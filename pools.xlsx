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otStuff" sheetId="1" r:id="rId5"/>
    <sheet state="visible" name="Combined Standings" sheetId="2" r:id="rId6"/>
    <sheet state="visible" name="Hero Standings" sheetId="3" r:id="rId7"/>
    <sheet state="visible" name="Villain Standings" sheetId="4" r:id="rId8"/>
    <sheet state="visible" name="Quotas" sheetId="5" r:id="rId9"/>
    <sheet state="visible" name="Entropy" sheetId="6" r:id="rId10"/>
    <sheet state="visible" name="Matches" sheetId="7" r:id="rId11"/>
    <sheet state="visible" name="Player Database" sheetId="8" r:id="rId12"/>
    <sheet state="visible" name="Pools" sheetId="9" r:id="rId13"/>
    <sheet state="visible" name="Pool Changes" sheetId="10" r:id="rId14"/>
    <sheet state="visible" name="just_records" sheetId="11" r:id="rId15"/>
    <sheet state="visible" name="Sheet92" sheetId="12" r:id="rId16"/>
    <sheet state="visible" name="Sheet93" sheetId="13" r:id="rId17"/>
    <sheet state="visible" name="Sheet91" sheetId="14" r:id="rId18"/>
  </sheets>
  <definedNames/>
  <calcPr/>
</workbook>
</file>

<file path=xl/sharedStrings.xml><?xml version="1.0" encoding="utf-8"?>
<sst xmlns="http://schemas.openxmlformats.org/spreadsheetml/2006/main" count="20046" uniqueCount="6344">
  <si>
    <t>Choice State:</t>
  </si>
  <si>
    <t>ARENA GAUNTLET LEAGUE: Marvel Super Heroes</t>
  </si>
  <si>
    <t>ARENA GAUNTLET LEAGUE: Marvel Super Heroes LEAGUE OF VILLAINS</t>
  </si>
  <si>
    <t>ARENA GAUNTLET LEAGUE: Marvel Super Heroes AGENCY OF HEROES</t>
  </si>
  <si>
    <t>{}</t>
  </si>
  <si>
    <t>Week:</t>
  </si>
  <si>
    <t>Survey Sent?</t>
  </si>
  <si>
    <t xml:space="preserve"> </t>
  </si>
  <si>
    <t>PLAYER NAME</t>
  </si>
  <si>
    <t>ARENA ID</t>
  </si>
  <si>
    <t>COUNTRY</t>
  </si>
  <si>
    <t>RANK</t>
  </si>
  <si>
    <t>Player 
Name &amp; ID</t>
  </si>
  <si>
    <t>RECORD</t>
  </si>
  <si>
    <t>MATCHES PLAYED</t>
  </si>
  <si>
    <t>MATCHES &lt;Min</t>
  </si>
  <si>
    <t>MATCHES &lt;Max</t>
  </si>
  <si>
    <t>OMW%</t>
  </si>
  <si>
    <t>HERO SCORE</t>
  </si>
  <si>
    <t>MATCHES TO PLAY STATUS</t>
  </si>
  <si>
    <t>THIS WEEK</t>
  </si>
  <si>
    <t>OTHER INFO</t>
  </si>
  <si>
    <t>wins this week</t>
  </si>
  <si>
    <t>losses this week</t>
  </si>
  <si>
    <t>Time min</t>
  </si>
  <si>
    <t>Time max</t>
  </si>
  <si>
    <t>ENTROPY</t>
  </si>
  <si>
    <t>TOTALS (incl entropy)</t>
  </si>
  <si>
    <t>TOTALS (w/o entropy)</t>
  </si>
  <si>
    <t>Number of Active Heroes:</t>
  </si>
  <si>
    <t>Number of Heroes Eliminated:</t>
  </si>
  <si>
    <t>WEEK #</t>
  </si>
  <si>
    <t>Entropy Week</t>
  </si>
  <si>
    <t>(should be at 0 before the league starts)</t>
  </si>
  <si>
    <t>.</t>
  </si>
  <si>
    <t>QUOTA:</t>
  </si>
  <si>
    <t>DATES</t>
  </si>
  <si>
    <t>MATCHES RANGE</t>
  </si>
  <si>
    <t>PLANE CODES</t>
  </si>
  <si>
    <t>WEEK</t>
  </si>
  <si>
    <t>FROM</t>
  </si>
  <si>
    <t>TO</t>
  </si>
  <si>
    <t>MIN</t>
  </si>
  <si>
    <t>MAX</t>
  </si>
  <si>
    <t>DOM</t>
  </si>
  <si>
    <t>Registration</t>
  </si>
  <si>
    <t>M21</t>
  </si>
  <si>
    <t>AFR</t>
  </si>
  <si>
    <t>KLR</t>
  </si>
  <si>
    <t>M19</t>
  </si>
  <si>
    <t>**You must end each week within the specified Min-Max range of matches played. Times in EST.</t>
  </si>
  <si>
    <t>M20</t>
  </si>
  <si>
    <t>SNC</t>
  </si>
  <si>
    <t>BRO</t>
  </si>
  <si>
    <t>XLN</t>
  </si>
  <si>
    <t>STX</t>
  </si>
  <si>
    <t>AKR</t>
  </si>
  <si>
    <t>KHM</t>
  </si>
  <si>
    <t>DMU</t>
  </si>
  <si>
    <t>ELD</t>
  </si>
  <si>
    <t>IKO</t>
  </si>
  <si>
    <t>NEO</t>
  </si>
  <si>
    <t>THB</t>
  </si>
  <si>
    <t>ISD</t>
  </si>
  <si>
    <t>MATCH #</t>
  </si>
  <si>
    <t>PLAYER 1</t>
  </si>
  <si>
    <t>PLAYER 2</t>
  </si>
  <si>
    <t>PLAYER 1 SCORE</t>
  </si>
  <si>
    <t>PLAYER 2 SCORE</t>
  </si>
  <si>
    <t>RESULT</t>
  </si>
  <si>
    <t>Bot Messaged</t>
  </si>
  <si>
    <t>Timestamp</t>
  </si>
  <si>
    <t>DM Sent</t>
  </si>
  <si>
    <t>Pack Chosen</t>
  </si>
  <si>
    <t>Packs Offered</t>
  </si>
  <si>
    <t>Adrian C - CarrRadio#73846</t>
  </si>
  <si>
    <t>2</t>
  </si>
  <si>
    <t>0</t>
  </si>
  <si>
    <t/>
  </si>
  <si>
    <t>[marvel-offers:mkm,tmt]</t>
  </si>
  <si>
    <t>Albert Z - water#52340</t>
  </si>
  <si>
    <t>[marvel-offers:ltr,tmt,msh]</t>
  </si>
  <si>
    <t>Benjamin M - benj#73000</t>
  </si>
  <si>
    <t>[marvel-offers:ltr,spm,msh]</t>
  </si>
  <si>
    <t>[marvel-offers:tla,otj]</t>
  </si>
  <si>
    <t>[marvel-offers:tla,tmt,msh]</t>
  </si>
  <si>
    <t>Curtis K - Oblivion#40925</t>
  </si>
  <si>
    <t>[marvel-offers:mkm,tmt,msh]</t>
  </si>
  <si>
    <t>Emmett F - Sepulchure#51526</t>
  </si>
  <si>
    <t>Ethan C - lasaga cat#94863</t>
  </si>
  <si>
    <t>[marvel-offers:ltr,tmt]</t>
  </si>
  <si>
    <t>Michael M - Atombomb11991#07305</t>
  </si>
  <si>
    <t>Oskar T - ossytubbi#87966</t>
  </si>
  <si>
    <t>[marvel-offers:mkm,otj,msh]</t>
  </si>
  <si>
    <t>Stefan V - Silversword#06621</t>
  </si>
  <si>
    <t>[marvel-offers:mkm,otj]</t>
  </si>
  <si>
    <t>Adam St - Mythk#27035</t>
  </si>
  <si>
    <t>[marvel-offers:mkm,spm,msh]</t>
  </si>
  <si>
    <t>[marvel-offers:tla,tmt]</t>
  </si>
  <si>
    <t>[marvel-offers:tla,spm]</t>
  </si>
  <si>
    <t>Alex We - TrashMan#57762</t>
  </si>
  <si>
    <t>Alexander C - StoplightDelight#66421</t>
  </si>
  <si>
    <t>[marvel-offers:tla,otj,msh]</t>
  </si>
  <si>
    <t>Ammon M - ForgottenPast#86029</t>
  </si>
  <si>
    <t>Andrew M - Robespierre#01976</t>
  </si>
  <si>
    <t>Ben M - cardmaaster#84341</t>
  </si>
  <si>
    <t>[marvel-offers:ltr,otj]</t>
  </si>
  <si>
    <t>Number of Active Villains:</t>
  </si>
  <si>
    <t>Bernard B - bforbernard#46312</t>
  </si>
  <si>
    <t>Number of Villains Eliminated:</t>
  </si>
  <si>
    <t>Christopher G - oompaloompa#65002</t>
  </si>
  <si>
    <t>Dallas M - Magicmrmoose#82526</t>
  </si>
  <si>
    <t>Eric Y - egyeager#10250</t>
  </si>
  <si>
    <t>Gregory C - BigChase#15341</t>
  </si>
  <si>
    <t>Jonathan P - wheat4days#18347</t>
  </si>
  <si>
    <t>Kirk K - Hearto#70043</t>
  </si>
  <si>
    <t>Nick R - Snappy546#89582</t>
  </si>
  <si>
    <t>Quill M - Nocnoc#13791</t>
  </si>
  <si>
    <t>[marvel-offers:ltr,otj,msh]</t>
  </si>
  <si>
    <t>Thong K - Cromatis#61183</t>
  </si>
  <si>
    <t>[marvel-offers:mkm,spm]</t>
  </si>
  <si>
    <t>Will M - Argonplatypus#63382</t>
  </si>
  <si>
    <t>Zeke W - smarmyplatapus#30066</t>
  </si>
  <si>
    <t>Your Name</t>
  </si>
  <si>
    <t>Loser Name</t>
  </si>
  <si>
    <t>Result</t>
  </si>
  <si>
    <t>Notes</t>
  </si>
  <si>
    <t>Match Announced</t>
  </si>
  <si>
    <t>Brenden N - Eggplantsonfire#75821</t>
  </si>
  <si>
    <t>Matt P - MattPow#53130</t>
  </si>
  <si>
    <t>2-0</t>
  </si>
  <si>
    <t>Wesley R - Voluntary Ignorance#16973</t>
  </si>
  <si>
    <t>Jacky L - Luckbox#52583</t>
  </si>
  <si>
    <t>Aaron B - Bevelman#18220</t>
  </si>
  <si>
    <t>Hannah B - Itsme#75750</t>
  </si>
  <si>
    <t>Bobby W - sleepingwolf#58460</t>
  </si>
  <si>
    <t>GGS</t>
  </si>
  <si>
    <t>Lukas M - Finley_2k1#30925</t>
  </si>
  <si>
    <t>Jamie W - Jamie#45846</t>
  </si>
  <si>
    <t>2-1</t>
  </si>
  <si>
    <t>Alex H - Merriman#08092</t>
  </si>
  <si>
    <t>Cody U - Speediurdi#14686</t>
  </si>
  <si>
    <t>Luciano D - Vexisto#65373</t>
  </si>
  <si>
    <t>Nick H - DriftDraftDraw#62192</t>
  </si>
  <si>
    <t>Nick A - Nistar#14127</t>
  </si>
  <si>
    <t>Paul G - TheDragon#61289</t>
  </si>
  <si>
    <t>Chris P - Joker01#66827</t>
  </si>
  <si>
    <t>[marvel-offers:tla,spm,msh]</t>
  </si>
  <si>
    <t>Jared C - waffletiger#24369</t>
  </si>
  <si>
    <t>Dirk E - BegginBlue#16667</t>
  </si>
  <si>
    <t>Stijn V - Derpy#48087</t>
  </si>
  <si>
    <t>Court G - C0urtSystem#61956</t>
  </si>
  <si>
    <t>Alexis M - Alexsfly#67052</t>
  </si>
  <si>
    <t>close games!</t>
  </si>
  <si>
    <t>Tim W - zaergaegyr#34014</t>
  </si>
  <si>
    <t>Alex W - ImperialMarch#57138</t>
  </si>
  <si>
    <t>Sawyer T - soyboy#35469</t>
  </si>
  <si>
    <t>ggs!</t>
  </si>
  <si>
    <t>Welcome to the league!</t>
  </si>
  <si>
    <t>Casey A - andrewca#12272</t>
  </si>
  <si>
    <t>Michael W - adoodwithgood#69394</t>
  </si>
  <si>
    <t>Parker D - Android5000#23254</t>
  </si>
  <si>
    <t>Matt Ko - Myth#18089</t>
  </si>
  <si>
    <t>Jack H - Rakic#98298</t>
  </si>
  <si>
    <t>Joeri vdE - Saixzerjg#15429</t>
  </si>
  <si>
    <t>gg</t>
  </si>
  <si>
    <t>Daniel O - JaceVess#31204</t>
  </si>
  <si>
    <t>ggs</t>
  </si>
  <si>
    <t>Matthew L - RamblinDash#10694</t>
  </si>
  <si>
    <t>Austin L -  letschanator#21795</t>
  </si>
  <si>
    <t>Zach M - Merrillium#62012</t>
  </si>
  <si>
    <t>Lucas G - Mcnuggs#97708</t>
  </si>
  <si>
    <t>Buster S - Hugester#31975</t>
  </si>
  <si>
    <t>GGs, Mentors Make the World Go Round</t>
  </si>
  <si>
    <t>Howard T - Kaozu#62298</t>
  </si>
  <si>
    <t>GG</t>
  </si>
  <si>
    <t>Wei C - Azayaka#83352</t>
  </si>
  <si>
    <t>Wyatt C - hotdolphin#30769</t>
  </si>
  <si>
    <t>Corey S - C-Dog#37775</t>
  </si>
  <si>
    <t>Edward H - PillageEnjoyer#05863</t>
  </si>
  <si>
    <t>Charles B - CandyDaniel#16348</t>
  </si>
  <si>
    <t>Bob P - HIT#08120</t>
  </si>
  <si>
    <t>Daniel K - wkufan89#09556</t>
  </si>
  <si>
    <t>Sean O - PawnOfHumalog#82404</t>
  </si>
  <si>
    <t>Kevin I - Kni1993#29285</t>
  </si>
  <si>
    <t>Chris Y - Yorke on Games#66909</t>
  </si>
  <si>
    <t>Marc D - M013#58004</t>
  </si>
  <si>
    <t>ggs! Lands be landin</t>
  </si>
  <si>
    <t>James C - 3scher#17401</t>
  </si>
  <si>
    <t>ggs! Sorry lands were sucking =(</t>
  </si>
  <si>
    <t>Kevin L - Ginjja#84067</t>
  </si>
  <si>
    <t>Steve T - strout#45062</t>
  </si>
  <si>
    <t>GGs!</t>
  </si>
  <si>
    <t>Nick L - Aliphos#10232</t>
  </si>
  <si>
    <t>Hayden S - Silver Heart#86389</t>
  </si>
  <si>
    <t>Johnny M - Johnny#69519</t>
  </si>
  <si>
    <t>Justin H - whodack#18767</t>
  </si>
  <si>
    <t>John T - GDJT#35358</t>
  </si>
  <si>
    <t>Logan R - RussLg#32030</t>
  </si>
  <si>
    <t>Evan T - tensfull2003#69753</t>
  </si>
  <si>
    <t>Scott A - Sesqui#98407</t>
  </si>
  <si>
    <t>VvV</t>
  </si>
  <si>
    <t>[marvel-offers:ltr,spm]</t>
  </si>
  <si>
    <t>Alexis A - VioletThunder#65144</t>
  </si>
  <si>
    <t>Landon H - G4mingP4stor#86671</t>
  </si>
  <si>
    <t>Nolan F - Mordor#75624</t>
  </si>
  <si>
    <t>Connor O - Funnytruck#07667</t>
  </si>
  <si>
    <t>Gg</t>
  </si>
  <si>
    <t>Stephen H - Crayth#38098</t>
  </si>
  <si>
    <t>that'll teach you to shark me</t>
  </si>
  <si>
    <t>Sam B - winSome#94148</t>
  </si>
  <si>
    <t>Slugfest '26</t>
  </si>
  <si>
    <t>Mitchel S - Spaghettimitch#18619</t>
  </si>
  <si>
    <t>gg! nice games</t>
  </si>
  <si>
    <t>Dan B - Hmishima#77128</t>
  </si>
  <si>
    <t>Tim A - Flavatog#03743</t>
  </si>
  <si>
    <t>Quandrix violence</t>
  </si>
  <si>
    <t>James M - Demonic Tutor#02131</t>
  </si>
  <si>
    <t>Tim O - Zeven28#21705</t>
  </si>
  <si>
    <t>Piers E - Tarnal#87103</t>
  </si>
  <si>
    <t xml:space="preserve">GGS </t>
  </si>
  <si>
    <t>Theia E - Catarang#49877</t>
  </si>
  <si>
    <t>Matthias H - Rezreh#11308</t>
  </si>
  <si>
    <t>David N - Volt65#59442</t>
  </si>
  <si>
    <t>Jewel S - Frostsaber#44055</t>
  </si>
  <si>
    <t>Georgii C - Yasunori#84481</t>
  </si>
  <si>
    <t>Chris Pr - Darkdragonzt#58801</t>
  </si>
  <si>
    <t>GG's</t>
  </si>
  <si>
    <t>Dat K - DolphinDefense#33687</t>
  </si>
  <si>
    <t>John L - Tiger Burning#89444</t>
  </si>
  <si>
    <t>Greg B - Piloswine#16597</t>
  </si>
  <si>
    <t>Alex O - Poisonedchicken#66453</t>
  </si>
  <si>
    <t>Matt G - iluvatar777#20638</t>
  </si>
  <si>
    <t>Chris K - Kaiserroll802#17525</t>
  </si>
  <si>
    <t>Ryan M - rrrn22#32842</t>
  </si>
  <si>
    <t>Ryan H - Kitchensinks#50434</t>
  </si>
  <si>
    <t>Ggs!</t>
  </si>
  <si>
    <t>Jacob P - Pie_Demon#80712</t>
  </si>
  <si>
    <t>Evan L - Evan#97713</t>
  </si>
  <si>
    <t>Derek B - Ignition Spark#44046</t>
  </si>
  <si>
    <t>Terrible luck G2</t>
  </si>
  <si>
    <t>Juan Q - JuanCu#95616</t>
  </si>
  <si>
    <t>John P - gokuorgohome#51511</t>
  </si>
  <si>
    <t>Emilia P - Quiza#32870</t>
  </si>
  <si>
    <t>Jason C - smokedogplays#32367</t>
  </si>
  <si>
    <t>Troy A - Tadams54#66582</t>
  </si>
  <si>
    <t>Sending my energy</t>
  </si>
  <si>
    <t>Caleb G - Whynaut#28590</t>
  </si>
  <si>
    <t>Marcus O - mumOjO#15346</t>
  </si>
  <si>
    <t>gg!</t>
  </si>
  <si>
    <t>Carter S - Barter#43945</t>
  </si>
  <si>
    <t>Adam S - wizma#29010</t>
  </si>
  <si>
    <t>Thanks for the match!!</t>
  </si>
  <si>
    <t>Brice G - Dany Brillantine#64832</t>
  </si>
  <si>
    <t>Clutch games wow, wp!</t>
  </si>
  <si>
    <t>Wp!</t>
  </si>
  <si>
    <t>Nathan W - drummaestro#53129</t>
  </si>
  <si>
    <t>Tejasvi R - Celes#99710</t>
  </si>
  <si>
    <t>James Ca - j87c92r36#60257</t>
  </si>
  <si>
    <t>GGs, goated sleeves!</t>
  </si>
  <si>
    <t>Kenny W - NivMizzet042#64889</t>
  </si>
  <si>
    <t>Steven L - limlimrevolution#50308</t>
  </si>
  <si>
    <t>Aaron A - Eclipse2470#03650</t>
  </si>
  <si>
    <t>Sibran V - Rataplana#92088</t>
  </si>
  <si>
    <t>Shaun H - Hoidbringer#50183</t>
  </si>
  <si>
    <t>Chris G - Cmgid#51744</t>
  </si>
  <si>
    <t>chris had to mull to 5 twice :(</t>
  </si>
  <si>
    <t>Mike R - powerfulfalcon#27271</t>
  </si>
  <si>
    <t>GGs</t>
  </si>
  <si>
    <t>Colton M - mang#55794</t>
  </si>
  <si>
    <t>sick games wp !</t>
  </si>
  <si>
    <t>Jonathan L - jslesser#56805</t>
  </si>
  <si>
    <t>David M - davemurra#85098</t>
  </si>
  <si>
    <t>Austin O - Ausboss1#74492</t>
  </si>
  <si>
    <t>Sylvain T - Iquitos#15484</t>
  </si>
  <si>
    <t>Matt St - bubbasbums#70462</t>
  </si>
  <si>
    <t>??</t>
  </si>
  <si>
    <t>GG! Close games</t>
  </si>
  <si>
    <t>Parker V - MajorManiac#13144</t>
  </si>
  <si>
    <t>Jonathan C - godp3#98184</t>
  </si>
  <si>
    <t>Chris R - Sinkwater#27508</t>
  </si>
  <si>
    <t>Daniel D - botman#56686</t>
  </si>
  <si>
    <t>Ishaan S - Huterio#38198</t>
  </si>
  <si>
    <t>Daniel H - Persivin#94328</t>
  </si>
  <si>
    <t>Jack S - AjaniGoldmane#67634</t>
  </si>
  <si>
    <t>Darren C - TurfJerky#01817</t>
  </si>
  <si>
    <t>Stratton B - Viper312#10821</t>
  </si>
  <si>
    <t>Preston B - Vorbis#46420</t>
  </si>
  <si>
    <t>Keith L - Uruma#71243</t>
  </si>
  <si>
    <t>Nik S - njsiii#50504</t>
  </si>
  <si>
    <t>Daniel He - DanimalMTG#77832</t>
  </si>
  <si>
    <t>Matt S - mullethunter324#49693</t>
  </si>
  <si>
    <t>Super good games, sorry about the saga!</t>
  </si>
  <si>
    <t>Simon K - gameboy350#56819</t>
  </si>
  <si>
    <t>Daniel G - FriskyHobbit#43185</t>
  </si>
  <si>
    <t>Evil triumphs!</t>
  </si>
  <si>
    <t>Josie B - Visager#25850</t>
  </si>
  <si>
    <t>ggs! Insane board state game 2!</t>
  </si>
  <si>
    <t>Shemaryahu D - 0mniscience#87429</t>
  </si>
  <si>
    <t>Sorry about the screw game 2 :(, ggs!</t>
  </si>
  <si>
    <t>Evil triumphs over the shuffler!</t>
  </si>
  <si>
    <t>ggs, good luck with your pack!</t>
  </si>
  <si>
    <t>Joaquin E - DiabolicMachine#23891</t>
  </si>
  <si>
    <t>Wesley C - GigaVoltaic#11782</t>
  </si>
  <si>
    <t>Daniel M - HPWizard#40332</t>
  </si>
  <si>
    <t>Sebastian B - 22bebo#54651</t>
  </si>
  <si>
    <t>Drew B - ducksarecool2#08176</t>
  </si>
  <si>
    <t>Archie B - archiebaker#44712</t>
  </si>
  <si>
    <t>Great set of games!</t>
  </si>
  <si>
    <t>ggs, better draws next time!</t>
  </si>
  <si>
    <t>epic game 2! Sorry about the flood in 3 :(</t>
  </si>
  <si>
    <t>Casey L - caseyloreants#09219</t>
  </si>
  <si>
    <t>good game</t>
  </si>
  <si>
    <t>Jaidin M - MnemonicDevice#38774</t>
  </si>
  <si>
    <t>Enrique O - Caex#39549</t>
  </si>
  <si>
    <t>Jordan M - JMTron#46639</t>
  </si>
  <si>
    <t>ggs best of luck!!</t>
  </si>
  <si>
    <t xml:space="preserve">ggs </t>
  </si>
  <si>
    <t>Incredible games!</t>
  </si>
  <si>
    <t>Micah C - Giant_Tiger_7#45331</t>
  </si>
  <si>
    <t>Lotte P - Lotte #93345</t>
  </si>
  <si>
    <t>Violet M - Solaris25#29367</t>
  </si>
  <si>
    <t xml:space="preserve"> Call me Ishmael. Some years ago—never mind how long precisely—having little or no money in my purse, and nothing particular to interest me on shore, I thought I would sail about a little and see the watery part of the world. It is a way I have of driving off the spleen and regulating the circulation. Whenever I find myself growing grim about the mouth; whenever it is a damp, drizzly November in my soul; whenever I find myself involuntarily pausing before coffin warehouses, and bringing up the rear of every funeral I meet; and especially whenever my hypos get such an upper hand of me, that it requires a strong moral principle to prevent me from deliberately stepping into the street, and methodically knocking people’s hats off—then, I account it high time to get to sea as soon as I can. This is my substitute for pistol and ball. With a philosophical flourish Cato throws himself upon his sword; I quietly take to the ship. There is nothing surprising in this. If they but knew it, almost all men in their degree, some time or other, cherish very nearly the same feelings towards the ocean with me. </t>
  </si>
  <si>
    <t>Good games!</t>
  </si>
  <si>
    <t>There now is your insular city of the Manhattoes, belted round by wharves as Indian isles by coral reefs—commerce surrounds it with her surf. Right and left, the streets take you waterward. Its extreme downtown is the battery, where that noble mole is washed by waves, and cooled by breezes, which a few hours previous were out of sight of land. Look at the crowds of water-gazers there.</t>
  </si>
  <si>
    <t>g g</t>
  </si>
  <si>
    <t>Sorry about shuffler</t>
  </si>
  <si>
    <t>Evil reigns supreme!</t>
  </si>
  <si>
    <t>I can do this all day.</t>
  </si>
  <si>
    <t>GGs! That was close</t>
  </si>
  <si>
    <t>GGs, Mentors Make the World Go Round!</t>
  </si>
  <si>
    <t>Sentry really has a dark side :(</t>
  </si>
  <si>
    <t>You've already lied to him. Now you want to go to war with him?</t>
  </si>
  <si>
    <t>ggs and good luck!</t>
  </si>
  <si>
    <t>wp!</t>
  </si>
  <si>
    <t>wp</t>
  </si>
  <si>
    <t>GG. New found appreciation for tappers!</t>
  </si>
  <si>
    <t>long games ggs</t>
  </si>
  <si>
    <t>Good games! Rivalry intensifies!</t>
  </si>
  <si>
    <t>Close match!</t>
  </si>
  <si>
    <t>ggs... Finally picked up a match against you ;)</t>
  </si>
  <si>
    <t>ggwp!</t>
  </si>
  <si>
    <t>Close games!</t>
  </si>
  <si>
    <t xml:space="preserve">Ggs! </t>
  </si>
  <si>
    <t xml:space="preserve">ggs, sorry for the mana issues </t>
  </si>
  <si>
    <t>good games!</t>
  </si>
  <si>
    <t>GGs! The last was a close one!</t>
  </si>
  <si>
    <t>Evil triumphs again!</t>
  </si>
  <si>
    <t>Ggs</t>
  </si>
  <si>
    <t>terrifying games!</t>
  </si>
  <si>
    <t>Super Hero Civil War 2 - 0 Theia</t>
  </si>
  <si>
    <t xml:space="preserve">Great game of bombs vs synergie </t>
  </si>
  <si>
    <t>ggg</t>
  </si>
  <si>
    <t>Ggs, sorry about the mana issues g1</t>
  </si>
  <si>
    <t>gg! close games!</t>
  </si>
  <si>
    <t>Identification</t>
  </si>
  <si>
    <t>Name</t>
  </si>
  <si>
    <t>Discord ID</t>
  </si>
  <si>
    <t>Arena ID</t>
  </si>
  <si>
    <t>Country of Residence</t>
  </si>
  <si>
    <t>City</t>
  </si>
  <si>
    <t>Matches played</t>
  </si>
  <si>
    <t>Wins</t>
  </si>
  <si>
    <t>Losses</t>
  </si>
  <si>
    <t>Record</t>
  </si>
  <si>
    <t>Entropy</t>
  </si>
  <si>
    <t>Win % (rank 2)</t>
  </si>
  <si>
    <t>Win % no entropy</t>
  </si>
  <si>
    <t>Max losses left in league</t>
  </si>
  <si>
    <t>Identification again (for OMW calc)</t>
  </si>
  <si>
    <t>Propped up win%</t>
  </si>
  <si>
    <t>Opponents played</t>
  </si>
  <si>
    <t>Rank</t>
  </si>
  <si>
    <t>TOURNAMENT STATUS</t>
  </si>
  <si>
    <t>Last Loss Time</t>
  </si>
  <si>
    <t>Last Loss Week</t>
  </si>
  <si>
    <t>Survey Sent</t>
  </si>
  <si>
    <t>Streak</t>
  </si>
  <si>
    <t>Wins This Week</t>
  </si>
  <si>
    <t>Hero Score</t>
  </si>
  <si>
    <t>Close one!</t>
  </si>
  <si>
    <t>Close match - well played!</t>
  </si>
  <si>
    <t>gg! really crazy first game!</t>
  </si>
  <si>
    <t>GGs, sorry about the flood</t>
  </si>
  <si>
    <t>GGs! Awesome game</t>
  </si>
  <si>
    <t>biggest of ggs</t>
  </si>
  <si>
    <t>Sorry for the mana issues game 1</t>
  </si>
  <si>
    <t>was playing slow due to some texts/phonecalls from work sorry :(</t>
  </si>
  <si>
    <t>good games</t>
  </si>
  <si>
    <t>good match!</t>
  </si>
  <si>
    <t>Both were close ones! GG!</t>
  </si>
  <si>
    <t>So close! GGs!</t>
  </si>
  <si>
    <t>Sending good pack!</t>
  </si>
  <si>
    <t>Sorry about the timing. GG and GL</t>
  </si>
  <si>
    <t xml:space="preserve">GGs! </t>
  </si>
  <si>
    <t>great games!</t>
  </si>
  <si>
    <t>ggs! sorry about that flood g2</t>
  </si>
  <si>
    <t>gg! crazy second game</t>
  </si>
  <si>
    <t>ggs, sorry about the flood :(</t>
  </si>
  <si>
    <t>good, close games!</t>
  </si>
  <si>
    <t>nice games!</t>
  </si>
  <si>
    <t>ggs, sry abt landscrew gm 1</t>
  </si>
  <si>
    <t>Great battle!</t>
  </si>
  <si>
    <t>roto revenga</t>
  </si>
  <si>
    <t>GGs, sry about the lands</t>
  </si>
  <si>
    <t>BRrrrr... gettin' cold in here!</t>
  </si>
  <si>
    <t xml:space="preserve">GG </t>
  </si>
  <si>
    <t>ggs close one</t>
  </si>
  <si>
    <t>yolo attack all ftw!</t>
  </si>
  <si>
    <t>GG. May we never play again!</t>
  </si>
  <si>
    <t>gg, really weird double mull on both sides g2</t>
  </si>
  <si>
    <t>extremely unfortunate draws on your part, cool game 1 and 2 though</t>
  </si>
  <si>
    <t>very well played, either of us could have won that</t>
  </si>
  <si>
    <t>Great games</t>
  </si>
  <si>
    <t>Good match</t>
  </si>
  <si>
    <t>close games, sorry about the topdeck there</t>
  </si>
  <si>
    <t>ggs clutch match !</t>
  </si>
  <si>
    <t>ggs, close games</t>
  </si>
  <si>
    <t>Thanks for playing this league! Hope you enjoyed it :)</t>
  </si>
  <si>
    <t>ggs, I guess only 1 ring wasn't enough ;)</t>
  </si>
  <si>
    <t>squirell girl op</t>
  </si>
  <si>
    <t>G to the G</t>
  </si>
  <si>
    <t>Great match!</t>
  </si>
  <si>
    <t>Ggs! Sorry on your lands!</t>
  </si>
  <si>
    <t>ggs, srry about the flood</t>
  </si>
  <si>
    <t>good close games</t>
  </si>
  <si>
    <t>You’re free!</t>
  </si>
  <si>
    <t>Close call</t>
  </si>
  <si>
    <t>wow, great games!</t>
  </si>
  <si>
    <t>ggs, sry abt double mull gm2</t>
  </si>
  <si>
    <t>Q&amp;A Session</t>
  </si>
  <si>
    <t>New nemesis unlocked!</t>
  </si>
  <si>
    <t>Clash of Old Man Mornings (tm)</t>
  </si>
  <si>
    <t>Timtastrophe</t>
  </si>
  <si>
    <t>Fun games!</t>
  </si>
  <si>
    <t>Great match! Epic comeback game 1!</t>
  </si>
  <si>
    <t>gg, the sideboard got me there</t>
  </si>
  <si>
    <t>gg, loved your synergy pile</t>
  </si>
  <si>
    <t>i am so sorry</t>
  </si>
  <si>
    <t>gg, sorry for your mulls</t>
  </si>
  <si>
    <t>Week</t>
  </si>
  <si>
    <t>Player Pools</t>
  </si>
  <si>
    <t>NAME</t>
  </si>
  <si>
    <t>WINS</t>
  </si>
  <si>
    <t>LOSSES</t>
  </si>
  <si>
    <t>CURRENT POOL</t>
  </si>
  <si>
    <t>STARTING POOL</t>
  </si>
  <si>
    <t>PACK 1</t>
  </si>
  <si>
    <t>PACK 2</t>
  </si>
  <si>
    <t>PACK 3</t>
  </si>
  <si>
    <t>PACK 4</t>
  </si>
  <si>
    <t>PACK 5</t>
  </si>
  <si>
    <t>PACK 6</t>
  </si>
  <si>
    <t>PACK 7</t>
  </si>
  <si>
    <t>PACK 8</t>
  </si>
  <si>
    <t>PACK 9</t>
  </si>
  <si>
    <t>PACK 10</t>
  </si>
  <si>
    <t>PACK 11</t>
  </si>
  <si>
    <t>COMET MESSAGED</t>
  </si>
  <si>
    <t>1</t>
  </si>
  <si>
    <t>2026-06-24T21:14:10.868Z</t>
  </si>
  <si>
    <t>starting pool</t>
  </si>
  <si>
    <t>MWCwAaJmy7</t>
  </si>
  <si>
    <t>MSH pool</t>
  </si>
  <si>
    <t>2026-06-24T21:14:25.448Z</t>
  </si>
  <si>
    <t>a3YyNb964L</t>
  </si>
  <si>
    <t>2026-06-24T21:14:37.793Z</t>
  </si>
  <si>
    <t>9fhB7xoGNC</t>
  </si>
  <si>
    <t>2026-06-24T21:14:50.473Z</t>
  </si>
  <si>
    <t>hupdhNW8TV</t>
  </si>
  <si>
    <t>2026-06-24T21:15:06.333Z</t>
  </si>
  <si>
    <t>F64S8KDLPA</t>
  </si>
  <si>
    <t>2026-06-24T21:15:17.393Z</t>
  </si>
  <si>
    <t>vdayz1K7Qy</t>
  </si>
  <si>
    <t>2026-06-24T21:15:27.510Z</t>
  </si>
  <si>
    <t>nWYDparuXZ</t>
  </si>
  <si>
    <t>2026-06-24T21:15:34.576Z</t>
  </si>
  <si>
    <t>zsG1b4BDDq</t>
  </si>
  <si>
    <t>2026-06-24T21:15:46.860Z</t>
  </si>
  <si>
    <t>oQmtM3rhXB</t>
  </si>
  <si>
    <t>2026-06-24T21:16:03.071Z</t>
  </si>
  <si>
    <t>jHUAP5H4zD</t>
  </si>
  <si>
    <t>2026-06-24T21:16:14.670Z</t>
  </si>
  <si>
    <t>ijg6EGXXAZ</t>
  </si>
  <si>
    <t>2026-06-24T21:16:24.639Z</t>
  </si>
  <si>
    <t>xUKLk47LSB</t>
  </si>
  <si>
    <t>2026-06-24T21:16:34.230Z</t>
  </si>
  <si>
    <t>BxRrBazcBw</t>
  </si>
  <si>
    <t>2026-06-24T21:16:44.101Z</t>
  </si>
  <si>
    <t>RixiN1boRg</t>
  </si>
  <si>
    <t>2026-06-24T21:16:52.959Z</t>
  </si>
  <si>
    <t>nfyf6yaG9M</t>
  </si>
  <si>
    <t>2026-06-24T21:17:02.918Z</t>
  </si>
  <si>
    <t>zqcXNW1uKX</t>
  </si>
  <si>
    <t>2026-06-24T21:17:22.248Z</t>
  </si>
  <si>
    <t>aNxgT4cNom</t>
  </si>
  <si>
    <t>2026-06-24T21:17:33.157Z</t>
  </si>
  <si>
    <t>m4BiAi4sRs</t>
  </si>
  <si>
    <t>2026-06-24T21:17:46.909Z</t>
  </si>
  <si>
    <t>JjytWMbrc4</t>
  </si>
  <si>
    <t>2026-06-24T21:17:58.858Z</t>
  </si>
  <si>
    <t>7cKXKb3nCv</t>
  </si>
  <si>
    <t>2026-06-24T21:18:06.651Z</t>
  </si>
  <si>
    <t>DZpx93yHhK</t>
  </si>
  <si>
    <t>2026-06-24T21:18:12.335Z</t>
  </si>
  <si>
    <t>N2a5nSBrFK</t>
  </si>
  <si>
    <t>2026-06-24T21:18:20.821Z</t>
  </si>
  <si>
    <t>DaRap3GdkF</t>
  </si>
  <si>
    <t>2026-06-24T21:18:31.795Z</t>
  </si>
  <si>
    <t>9sAqY1YMFv</t>
  </si>
  <si>
    <t>2026-06-24T21:18:40.925Z</t>
  </si>
  <si>
    <t>2ywmcro3Bm</t>
  </si>
  <si>
    <t>2026-06-24T21:18:46.280Z</t>
  </si>
  <si>
    <t>ha1PBccWwh</t>
  </si>
  <si>
    <t>2026-06-24T21:18:57.484Z</t>
  </si>
  <si>
    <t>C1VdPp7cE8</t>
  </si>
  <si>
    <t>2026-06-24T21:19:05.359Z</t>
  </si>
  <si>
    <t>VCgg7U8M9u</t>
  </si>
  <si>
    <t>2026-06-24T21:19:11.911Z</t>
  </si>
  <si>
    <t>nD1qQEc2kM</t>
  </si>
  <si>
    <t>2026-06-24T21:19:20.056Z</t>
  </si>
  <si>
    <t>GKDM9BKJTZ</t>
  </si>
  <si>
    <t>2026-06-24T21:19:26.930Z</t>
  </si>
  <si>
    <t>USvFMgzbJt</t>
  </si>
  <si>
    <t>2026-06-24T21:19:37.834Z</t>
  </si>
  <si>
    <t>YoN8aKR8n9</t>
  </si>
  <si>
    <t>2026-06-24T21:19:58.993Z</t>
  </si>
  <si>
    <t>76vBCf5zAG</t>
  </si>
  <si>
    <t>2026-06-24T21:20:05.452Z</t>
  </si>
  <si>
    <t>e2zeCJo78p</t>
  </si>
  <si>
    <t>2026-06-24T21:20:13.815Z</t>
  </si>
  <si>
    <t>hQpBCCCQ3y</t>
  </si>
  <si>
    <t>2026-06-24T21:20:21.274Z</t>
  </si>
  <si>
    <t>ZkhCKcPdLQ</t>
  </si>
  <si>
    <t>2026-06-24T21:20:22.776Z</t>
  </si>
  <si>
    <t>add pack</t>
  </si>
  <si>
    <t>t6bF2EitmT</t>
  </si>
  <si>
    <t>Origin: ltr (+1)</t>
  </si>
  <si>
    <t>2aX1HXsdRd</t>
  </si>
  <si>
    <t>2026-06-24T21:20:29.806Z</t>
  </si>
  <si>
    <t>3immaoVv1d</t>
  </si>
  <si>
    <t>2026-06-24T21:20:37.134Z</t>
  </si>
  <si>
    <t>baugTHiMWq</t>
  </si>
  <si>
    <t>2026-06-24T21:20:48.258Z</t>
  </si>
  <si>
    <t>pVL4x2UCdy</t>
  </si>
  <si>
    <t>2026-06-24T21:20:55.741Z</t>
  </si>
  <si>
    <t>5DwaGhAkuN</t>
  </si>
  <si>
    <t>2026-06-24T21:21:02.898Z</t>
  </si>
  <si>
    <t>LSsypY1qa6</t>
  </si>
  <si>
    <t>2026-06-24T21:21:12.955Z</t>
  </si>
  <si>
    <t>H9eX7ESK5a</t>
  </si>
  <si>
    <t>2026-06-24T21:21:23.414Z</t>
  </si>
  <si>
    <t>T1t6gnZ8Aj</t>
  </si>
  <si>
    <t>2026-06-24T21:21:33.069Z</t>
  </si>
  <si>
    <t>LQZYueDS4N</t>
  </si>
  <si>
    <t>Origin: mkm (+3)</t>
  </si>
  <si>
    <t>QUihEJrMgG</t>
  </si>
  <si>
    <t>2026-06-24T21:21:34.607Z</t>
  </si>
  <si>
    <t>NtNPKz2vG1</t>
  </si>
  <si>
    <t>2026-06-24T21:21:42.173Z</t>
  </si>
  <si>
    <t>wzTPBV88tf</t>
  </si>
  <si>
    <t>2026-06-24T21:21:58.113Z</t>
  </si>
  <si>
    <t>a3ksfCRgEc</t>
  </si>
  <si>
    <t>2026-06-24T21:22:05.885Z</t>
  </si>
  <si>
    <t>nmCogD1CX7</t>
  </si>
  <si>
    <t>2026-06-24T21:22:14.237Z</t>
  </si>
  <si>
    <t>qEi7JNqGKY</t>
  </si>
  <si>
    <t>2026-06-24T21:22:21.840Z</t>
  </si>
  <si>
    <t>zkJ5yVMgUt</t>
  </si>
  <si>
    <t>2026-06-24T21:22:30.333Z</t>
  </si>
  <si>
    <t>v3RyWt15gL</t>
  </si>
  <si>
    <t>2026-06-24T21:22:45.732Z</t>
  </si>
  <si>
    <t>uiTZBkwxv3</t>
  </si>
  <si>
    <t>2026-06-24T21:23:00.190Z</t>
  </si>
  <si>
    <t>15CSQZ85qH</t>
  </si>
  <si>
    <t>2026-06-24T21:23:06.742Z</t>
  </si>
  <si>
    <t>wPhSxZiosp</t>
  </si>
  <si>
    <t>2026-06-24T21:23:14.252Z</t>
  </si>
  <si>
    <t>4ZAbbC5JBc</t>
  </si>
  <si>
    <t>2026-06-24T21:23:28.490Z</t>
  </si>
  <si>
    <t>fuDBE8MuWp</t>
  </si>
  <si>
    <t>2026-06-24T21:23:41.167Z</t>
  </si>
  <si>
    <t>5tdcLdiozd</t>
  </si>
  <si>
    <t>2026-06-24T21:23:55.071Z</t>
  </si>
  <si>
    <t>uuoHACasa2</t>
  </si>
  <si>
    <t>2026-06-24T21:24:04.233Z</t>
  </si>
  <si>
    <t>B9Jp8iuAg9</t>
  </si>
  <si>
    <t>2026-06-24T21:24:28.689Z</t>
  </si>
  <si>
    <t>athT6eeaPb</t>
  </si>
  <si>
    <t>2026-06-24T21:24:30.042Z</t>
  </si>
  <si>
    <t>W5sXtVGAAt</t>
  </si>
  <si>
    <t>ffRztMr689</t>
  </si>
  <si>
    <t>2026-06-24T21:24:31.360Z</t>
  </si>
  <si>
    <t>Ehw46egD8e</t>
  </si>
  <si>
    <t>Origin: otj (-2)</t>
  </si>
  <si>
    <t>m7v4DDB1cF</t>
  </si>
  <si>
    <t>2026-06-24T21:24:43.094Z</t>
  </si>
  <si>
    <t>3wUpKsBAVD</t>
  </si>
  <si>
    <t>2026-06-24T21:24:50.491Z</t>
  </si>
  <si>
    <t>zJGWCycdnC</t>
  </si>
  <si>
    <t>DdBD6mXxwz</t>
  </si>
  <si>
    <t>2026-06-24T21:24:57.701Z</t>
  </si>
  <si>
    <t>VSC34HUGgz</t>
  </si>
  <si>
    <t>2026-06-24T21:25:09.573Z</t>
  </si>
  <si>
    <t>ayuwLebth3</t>
  </si>
  <si>
    <t>2026-06-24T21:25:15.512Z</t>
  </si>
  <si>
    <t>KggkAdXCdE</t>
  </si>
  <si>
    <t>2026-06-24T21:25:25.451Z</t>
  </si>
  <si>
    <t>AvhBo3Ud4H</t>
  </si>
  <si>
    <t>2026-06-24T21:25:26.739Z</t>
  </si>
  <si>
    <t>9dqj8gqXYB</t>
  </si>
  <si>
    <t>Origin: tla (+2)</t>
  </si>
  <si>
    <t>Q4hFsvqVFF</t>
  </si>
  <si>
    <t>2026-06-24T21:25:32.610Z</t>
  </si>
  <si>
    <t>NDHeB1Bip6</t>
  </si>
  <si>
    <t>2026-06-24T21:25:42.828Z</t>
  </si>
  <si>
    <t>7BU8hNZCpy</t>
  </si>
  <si>
    <t>2026-06-24T21:25:50.570Z</t>
  </si>
  <si>
    <t>rMVfJZGJCZ</t>
  </si>
  <si>
    <t>2026-06-24T21:26:00.892Z</t>
  </si>
  <si>
    <t>NoEBmL9n2m</t>
  </si>
  <si>
    <t>2026-06-24T21:26:08.889Z</t>
  </si>
  <si>
    <t>6nuPw43EGh</t>
  </si>
  <si>
    <t>2026-06-24T21:26:14.803Z</t>
  </si>
  <si>
    <t>B9adcd6sFM</t>
  </si>
  <si>
    <t>2026-06-24T21:26:22.830Z</t>
  </si>
  <si>
    <t>PZf7HdoMcp</t>
  </si>
  <si>
    <t>2026-06-24T21:26:31.383Z</t>
  </si>
  <si>
    <t>zgiSH6pSmD</t>
  </si>
  <si>
    <t>2026-06-24T21:26:39.046Z</t>
  </si>
  <si>
    <t>mLNs1SpNLQ</t>
  </si>
  <si>
    <t>2026-06-24T21:26:49.196Z</t>
  </si>
  <si>
    <t>h3iU92vASN</t>
  </si>
  <si>
    <t>2026-06-24T21:26:55.971Z</t>
  </si>
  <si>
    <t>aTAvnNZ5Xz</t>
  </si>
  <si>
    <t>2026-06-24T21:27:05.034Z</t>
  </si>
  <si>
    <t>ExY7GUcpbq</t>
  </si>
  <si>
    <t>2026-06-24T21:27:14.908Z</t>
  </si>
  <si>
    <t>mpszcikYui</t>
  </si>
  <si>
    <t>2026-06-24T21:27:21.896Z</t>
  </si>
  <si>
    <t>mx6rcjfk4i</t>
  </si>
  <si>
    <t>2026-06-24T21:27:32.391Z</t>
  </si>
  <si>
    <t>a1sTaLvHYx</t>
  </si>
  <si>
    <t>2026-06-24T21:27:41.438Z</t>
  </si>
  <si>
    <t>qNQ2zLB7VU</t>
  </si>
  <si>
    <t>2026-06-24T21:27:51.185Z</t>
  </si>
  <si>
    <t>5HVa3gTvoa</t>
  </si>
  <si>
    <t>2026-06-24T21:27:58.507Z</t>
  </si>
  <si>
    <t>Kh7EL4mvcu</t>
  </si>
  <si>
    <t>2026-06-24T21:28:08.710Z</t>
  </si>
  <si>
    <t>FWAVgSnJ75</t>
  </si>
  <si>
    <t>2026-06-24T21:28:16.051Z</t>
  </si>
  <si>
    <t>FF48ku2wKn</t>
  </si>
  <si>
    <t>2026-06-24T21:28:20.511Z</t>
  </si>
  <si>
    <t>Nf2NmpYmTM</t>
  </si>
  <si>
    <t>iVki3YDf2B</t>
  </si>
  <si>
    <t>2026-06-24T21:28:25.070Z</t>
  </si>
  <si>
    <t>rhNE26zHL1</t>
  </si>
  <si>
    <t>2026-06-24T21:28:32.841Z</t>
  </si>
  <si>
    <t>doigVyehqR</t>
  </si>
  <si>
    <t>4SrhHgyEMm</t>
  </si>
  <si>
    <t>2026-06-24T21:28:34.741Z</t>
  </si>
  <si>
    <t>an6PP4AKvm</t>
  </si>
  <si>
    <t>2026-06-24T21:28:42.047Z</t>
  </si>
  <si>
    <t>NnXZr865ij</t>
  </si>
  <si>
    <t>2026-06-24T21:28:50.217Z</t>
  </si>
  <si>
    <t>1WvcoTzH8S</t>
  </si>
  <si>
    <t>2026-06-24T21:28:59.026Z</t>
  </si>
  <si>
    <t>KKj3XeVa2S</t>
  </si>
  <si>
    <t>2026-06-24T21:29:08.135Z</t>
  </si>
  <si>
    <t>eT1PzgDgJw</t>
  </si>
  <si>
    <t>2026-06-24T21:29:17.589Z</t>
  </si>
  <si>
    <t>49GpRPqmie</t>
  </si>
  <si>
    <t>2026-06-24T21:29:26.166Z</t>
  </si>
  <si>
    <t>hQzrKyGEDE</t>
  </si>
  <si>
    <t>2026-06-24T21:29:35.075Z</t>
  </si>
  <si>
    <t>Jjdwc7hCc9</t>
  </si>
  <si>
    <t>2026-06-24T21:29:47.471Z</t>
  </si>
  <si>
    <t>gEUSKX6eQc</t>
  </si>
  <si>
    <t>hc4Y1u5JSM</t>
  </si>
  <si>
    <t>2026-06-24T21:29:54.170Z</t>
  </si>
  <si>
    <t>7qo78zUYeM</t>
  </si>
  <si>
    <t>2026-06-24T21:30:04.477Z</t>
  </si>
  <si>
    <t>LM8nFfWt1K</t>
  </si>
  <si>
    <t>2026-06-24T21:30:11.769Z</t>
  </si>
  <si>
    <t>LfpbAnGE4j</t>
  </si>
  <si>
    <t>2026-06-24T21:30:19.200Z</t>
  </si>
  <si>
    <t>WiDcQTZBRB</t>
  </si>
  <si>
    <t>2026-06-24T21:30:25.760Z</t>
  </si>
  <si>
    <t>TisnknrjjR</t>
  </si>
  <si>
    <t>2026-06-24T21:30:34.505Z</t>
  </si>
  <si>
    <t>2Y1yre7159</t>
  </si>
  <si>
    <t>2026-06-24T21:30:42.847Z</t>
  </si>
  <si>
    <t>srdT9zKoiD</t>
  </si>
  <si>
    <t>mwo7P2DSSy</t>
  </si>
  <si>
    <t>2026-06-24T21:30:54.277Z</t>
  </si>
  <si>
    <t>uK7rDY515z</t>
  </si>
  <si>
    <t>2026-06-24T21:31:03.263Z</t>
  </si>
  <si>
    <t>Vv75w6ENM5</t>
  </si>
  <si>
    <t>Origin: spm (-3)</t>
  </si>
  <si>
    <t>ToPRx7Apwn</t>
  </si>
  <si>
    <t>2026-06-24T21:31:08.364Z</t>
  </si>
  <si>
    <t>6CdisP41w4</t>
  </si>
  <si>
    <t>2026-06-24T21:31:15.745Z</t>
  </si>
  <si>
    <t>ZnRpewq6p5</t>
  </si>
  <si>
    <t>2026-06-24T21:31:24.205Z</t>
  </si>
  <si>
    <t>mhtpH1iLgs</t>
  </si>
  <si>
    <t>dRC2x5otdb</t>
  </si>
  <si>
    <t>2026-06-24T21:31:30.247Z</t>
  </si>
  <si>
    <t>K4jgfFvtwn</t>
  </si>
  <si>
    <t>2026-06-24T21:31:38.404Z</t>
  </si>
  <si>
    <t>9nYmx6VPoJ</t>
  </si>
  <si>
    <t>2026-06-24T21:31:53.510Z</t>
  </si>
  <si>
    <t>fNZrRXnctX</t>
  </si>
  <si>
    <t>2026-06-24T21:32:07.824Z</t>
  </si>
  <si>
    <t>3vd3dTzcG1</t>
  </si>
  <si>
    <t>2026-06-24T21:32:15.203Z</t>
  </si>
  <si>
    <t>zNK2LN1Wp1</t>
  </si>
  <si>
    <t>2026-06-24T21:32:24.487Z</t>
  </si>
  <si>
    <t>tmsZ6to6SH</t>
  </si>
  <si>
    <t>2026-06-24T21:32:36.337Z</t>
  </si>
  <si>
    <t>HhRVUGyXK6</t>
  </si>
  <si>
    <t>2026-06-24T21:32:37.848Z</t>
  </si>
  <si>
    <t>gnkjH9BYbW</t>
  </si>
  <si>
    <t>XrVC1muFja</t>
  </si>
  <si>
    <t>2026-06-24T21:32:46.720Z</t>
  </si>
  <si>
    <t>DkNo8YxkGC</t>
  </si>
  <si>
    <t>2026-06-24T21:32:51.189Z</t>
  </si>
  <si>
    <t>qGQvvjkoPR</t>
  </si>
  <si>
    <t>rBjWUAY3Xo</t>
  </si>
  <si>
    <t>2026-06-24T21:32:53.130Z</t>
  </si>
  <si>
    <t>5nkc3cRXYn</t>
  </si>
  <si>
    <t>2026-06-24T21:33:03.844Z</t>
  </si>
  <si>
    <t>rbUfZXte4J</t>
  </si>
  <si>
    <t>2026-06-24T21:33:10.336Z</t>
  </si>
  <si>
    <t>pYJNfKMpmr</t>
  </si>
  <si>
    <t>2026-06-24T21:33:17.703Z</t>
  </si>
  <si>
    <t>rWJtQHfwmT</t>
  </si>
  <si>
    <t>2026-06-24T21:33:24.527Z</t>
  </si>
  <si>
    <t>ZyTMtpdxh1</t>
  </si>
  <si>
    <t>2026-06-24T21:33:27.604Z</t>
  </si>
  <si>
    <t>ho1woEye77</t>
  </si>
  <si>
    <t>6XVV9p1C8t</t>
  </si>
  <si>
    <t>2026-06-24T21:33:30.926Z</t>
  </si>
  <si>
    <t>gF1WtXTuQC</t>
  </si>
  <si>
    <t>2026-06-24T21:33:36.124Z</t>
  </si>
  <si>
    <t>sfPsNDi96i</t>
  </si>
  <si>
    <t>2026-06-24T21:33:41.786Z</t>
  </si>
  <si>
    <t>3zcSbL1xSW</t>
  </si>
  <si>
    <t>2026-06-24T21:33:46.646Z</t>
  </si>
  <si>
    <t>KH6R6CxyvC</t>
  </si>
  <si>
    <t>2026-06-24T21:33:52.927Z</t>
  </si>
  <si>
    <t>UkAMTNFdwv</t>
  </si>
  <si>
    <t>2026-06-24T21:33:59.144Z</t>
  </si>
  <si>
    <t>YLX6pRwNhn</t>
  </si>
  <si>
    <t>bzVpwBRkpZ</t>
  </si>
  <si>
    <t>2026-06-24T21:34:01.724Z</t>
  </si>
  <si>
    <t>bWbxCtJ1Yz</t>
  </si>
  <si>
    <t>2026-06-24T21:34:08.547Z</t>
  </si>
  <si>
    <t>4ahRqhT1rJ</t>
  </si>
  <si>
    <t>2026-06-24T21:34:17.832Z</t>
  </si>
  <si>
    <t>DWWLc5Vyvp</t>
  </si>
  <si>
    <t>2026-06-24T21:34:23.923Z</t>
  </si>
  <si>
    <t>sD5Dv6aSpx</t>
  </si>
  <si>
    <t>UfbTCdXBd2</t>
  </si>
  <si>
    <t>2026-06-24T21:34:24.418Z</t>
  </si>
  <si>
    <t>GAVqfU8Uok</t>
  </si>
  <si>
    <t>2026-06-24T21:34:32.912Z</t>
  </si>
  <si>
    <t>Aahu4DYKhP</t>
  </si>
  <si>
    <t>2026-06-24T21:34:40.319Z</t>
  </si>
  <si>
    <t>KdPPj5E6RR</t>
  </si>
  <si>
    <t>83FQ5fJ4ZA</t>
  </si>
  <si>
    <t>2026-06-24T21:34:42.829Z</t>
  </si>
  <si>
    <t>5GxrhDnFgx</t>
  </si>
  <si>
    <t>2026-06-24T21:34:49.783Z</t>
  </si>
  <si>
    <t>LEH4wvCNpZ</t>
  </si>
  <si>
    <t>2026-06-24T21:35:01.797Z</t>
  </si>
  <si>
    <t>svS1qyh3pR</t>
  </si>
  <si>
    <t>2026-06-24T21:35:16.059Z</t>
  </si>
  <si>
    <t>avowjwn5VV</t>
  </si>
  <si>
    <t>2026-06-24T21:35:24.458Z</t>
  </si>
  <si>
    <t>qGRdNB8CBc</t>
  </si>
  <si>
    <t>2026-06-24T21:35:34.242Z</t>
  </si>
  <si>
    <t>mrjzHAB2qq</t>
  </si>
  <si>
    <t>2026-06-24T21:35:44.061Z</t>
  </si>
  <si>
    <t>iYvtJJTq9K</t>
  </si>
  <si>
    <t>2026-06-24T21:35:48.672Z</t>
  </si>
  <si>
    <t>B6G56QYqvZ</t>
  </si>
  <si>
    <t>hEUQjXMVf9</t>
  </si>
  <si>
    <t>2026-06-24T21:35:50.686Z</t>
  </si>
  <si>
    <t>XPVZVJVVp3</t>
  </si>
  <si>
    <t>2026-06-24T21:35:57.482Z</t>
  </si>
  <si>
    <t>suRRmAAzWS</t>
  </si>
  <si>
    <t>2026-06-24T21:36:05.102Z</t>
  </si>
  <si>
    <t>hm579jUz1e</t>
  </si>
  <si>
    <t>2026-06-24T21:36:12.906Z</t>
  </si>
  <si>
    <t>2zRMYLTvbX</t>
  </si>
  <si>
    <t>2026-06-24T21:36:21.391Z</t>
  </si>
  <si>
    <t>XWXm5XMHWD</t>
  </si>
  <si>
    <t>2026-06-24T21:36:28.167Z</t>
  </si>
  <si>
    <t>hCBWLZmFrB</t>
  </si>
  <si>
    <t>2026-06-24T21:36:35.817Z</t>
  </si>
  <si>
    <t>qZMaM99RAh</t>
  </si>
  <si>
    <t>2026-06-24T21:36:43.962Z</t>
  </si>
  <si>
    <t>p2wR1Cdfzh</t>
  </si>
  <si>
    <t>2026-06-24T21:36:50.844Z</t>
  </si>
  <si>
    <t>ZCfzqfdPZZ</t>
  </si>
  <si>
    <t>2026-06-24T21:36:58.988Z</t>
  </si>
  <si>
    <t>Jdaggn5YbL</t>
  </si>
  <si>
    <t>2026-06-24T21:37:04.681Z</t>
  </si>
  <si>
    <t>cgRSiNpNGw</t>
  </si>
  <si>
    <t>2026-06-24T21:37:05.816Z</t>
  </si>
  <si>
    <t>w98KGY3VdW</t>
  </si>
  <si>
    <t>wpRQWqnEcP</t>
  </si>
  <si>
    <t>2026-06-24T21:37:15.005Z</t>
  </si>
  <si>
    <t>s1J8UGnaD6</t>
  </si>
  <si>
    <t>2026-06-24T21:37:21.619Z</t>
  </si>
  <si>
    <t>wvc73WBmxT</t>
  </si>
  <si>
    <t>2026-06-24T21:37:28.755Z</t>
  </si>
  <si>
    <t>cu9d8n8sor</t>
  </si>
  <si>
    <t>2026-06-24T21:37:35.824Z</t>
  </si>
  <si>
    <t>mf79Xy8DTC</t>
  </si>
  <si>
    <t>2026-06-24T21:37:37.132Z</t>
  </si>
  <si>
    <t>YjhKjeGAWf</t>
  </si>
  <si>
    <t>ZVJwV2eccz</t>
  </si>
  <si>
    <t>2026-06-24T21:37:44.618Z</t>
  </si>
  <si>
    <t>1nLEKWNo3z</t>
  </si>
  <si>
    <t>2026-06-24T21:37:50.160Z</t>
  </si>
  <si>
    <t>mjQUKk2MEC</t>
  </si>
  <si>
    <t>2026-06-24T21:37:56.731Z</t>
  </si>
  <si>
    <t>7fNfD3bUPA</t>
  </si>
  <si>
    <t>pEZu46ztrr</t>
  </si>
  <si>
    <t>2026-06-24T21:37:57.260Z</t>
  </si>
  <si>
    <t>jVRTebLYGk</t>
  </si>
  <si>
    <t>2026-06-24T21:38:04.205Z</t>
  </si>
  <si>
    <t>kbhUHLSneR</t>
  </si>
  <si>
    <t>2026-06-24T21:38:09.105Z</t>
  </si>
  <si>
    <t>DCxoXxxjDW</t>
  </si>
  <si>
    <t>2026-06-24T21:38:18.251Z</t>
  </si>
  <si>
    <t>1SqxnMgvbF</t>
  </si>
  <si>
    <t>2026-06-24T21:38:38.064Z</t>
  </si>
  <si>
    <t>Dcrn1LaDtK</t>
  </si>
  <si>
    <t>2026-06-24T21:38:53.421Z</t>
  </si>
  <si>
    <t>ct8yQ2G8cA</t>
  </si>
  <si>
    <t>2026-06-24T21:39:09.930Z</t>
  </si>
  <si>
    <t>JQTZnizG22</t>
  </si>
  <si>
    <t>2026-06-24T21:39:20.060Z</t>
  </si>
  <si>
    <t>Z3jRLe9jCE</t>
  </si>
  <si>
    <t>2026-06-24T21:39:27.539Z</t>
  </si>
  <si>
    <t>NnsH4jJfrP</t>
  </si>
  <si>
    <t>2026-06-24T21:39:33.366Z</t>
  </si>
  <si>
    <t>QuWuN4s28y</t>
  </si>
  <si>
    <t>2026-06-24T21:39:39.649Z</t>
  </si>
  <si>
    <t>SVctMdiF95</t>
  </si>
  <si>
    <t>2026-06-24T21:39:44.986Z</t>
  </si>
  <si>
    <t>QijAcUa4jD</t>
  </si>
  <si>
    <t>2026-06-24T21:39:48.009Z</t>
  </si>
  <si>
    <t>eKyEhSo4rm</t>
  </si>
  <si>
    <t>fx6u3K2rRH</t>
  </si>
  <si>
    <t>2026-06-24T21:39:53.637Z</t>
  </si>
  <si>
    <t>z51kHUQxdw</t>
  </si>
  <si>
    <t>2026-06-24T21:40:10.128Z</t>
  </si>
  <si>
    <t>Nbws8GaX8v</t>
  </si>
  <si>
    <t>cpCgYKzenG</t>
  </si>
  <si>
    <t>2026-06-24T21:40:11.461Z</t>
  </si>
  <si>
    <t>5gbAd7vfRE</t>
  </si>
  <si>
    <t>2026-06-24T21:40:21.080Z</t>
  </si>
  <si>
    <t>5C17FFRQJi</t>
  </si>
  <si>
    <t>2026-06-24T21:40:46.823Z</t>
  </si>
  <si>
    <t>6sqViMQ7Hr</t>
  </si>
  <si>
    <t>Origin: tmt (-1)</t>
  </si>
  <si>
    <t>ternymAoP3</t>
  </si>
  <si>
    <t>2026-06-24T21:42:01.384Z</t>
  </si>
  <si>
    <t>69XBaa9aDE</t>
  </si>
  <si>
    <t>TL4HXRA2o8</t>
  </si>
  <si>
    <t>2026-06-24T21:42:59.738Z</t>
  </si>
  <si>
    <t>DKNqrPHPvq</t>
  </si>
  <si>
    <t>ppWdduQWJ1</t>
  </si>
  <si>
    <t>2026-06-24T21:43:15.485Z</t>
  </si>
  <si>
    <t>TMvtaz1CTX</t>
  </si>
  <si>
    <t>MKAFnhZxhL</t>
  </si>
  <si>
    <t>2026-06-24T21:45:39.068Z</t>
  </si>
  <si>
    <t>dnKZKkp5kG</t>
  </si>
  <si>
    <t>wmgpvvZ5e5</t>
  </si>
  <si>
    <t>2026-06-24T21:45:48.813Z</t>
  </si>
  <si>
    <t>goTSNkKkkc</t>
  </si>
  <si>
    <t>bFm2rQHgBM</t>
  </si>
  <si>
    <t>2026-06-24T21:45:50.451Z</t>
  </si>
  <si>
    <t>yM1pYuWcvU</t>
  </si>
  <si>
    <t>6KhWwXXETe</t>
  </si>
  <si>
    <t>2026-06-24T21:46:15.096Z</t>
  </si>
  <si>
    <t>D6ibeWQLjV</t>
  </si>
  <si>
    <t>Y34Kbr1F5K</t>
  </si>
  <si>
    <t>2026-06-24T21:46:47.319Z</t>
  </si>
  <si>
    <t>aBefM2FJz6</t>
  </si>
  <si>
    <t>757aude3hW</t>
  </si>
  <si>
    <t>2026-06-24T21:50:34.675Z</t>
  </si>
  <si>
    <t>4NRKAjRMBU</t>
  </si>
  <si>
    <t>8dft5hRCBd</t>
  </si>
  <si>
    <t>2026-06-24T21:50:44.830Z</t>
  </si>
  <si>
    <t>oGa4E9JhLY</t>
  </si>
  <si>
    <t>tdwvCQS29F</t>
  </si>
  <si>
    <t>2026-06-24T21:51:34.991Z</t>
  </si>
  <si>
    <t>uDFH6hp89r</t>
  </si>
  <si>
    <t>168rJ5SLg3</t>
  </si>
  <si>
    <t>2026-06-24T21:52:23.301Z</t>
  </si>
  <si>
    <t>yABqm1Qs3L</t>
  </si>
  <si>
    <t>WwN8HFFSwV</t>
  </si>
  <si>
    <t>2026-06-24T21:53:05.215Z</t>
  </si>
  <si>
    <t>ZnhiP7PpAj</t>
  </si>
  <si>
    <t>tP6Wct8zE6</t>
  </si>
  <si>
    <t>2026-06-24T21:53:29.086Z</t>
  </si>
  <si>
    <t>BUy4Eyf1te</t>
  </si>
  <si>
    <t>iZvNBZzGb5</t>
  </si>
  <si>
    <t>2026-06-24T21:54:08.075Z</t>
  </si>
  <si>
    <t>gCWFASQHyB</t>
  </si>
  <si>
    <t>X3Yk2aJr3v</t>
  </si>
  <si>
    <t>2026-06-24T21:54:35.333Z</t>
  </si>
  <si>
    <t>cT4zrPM4wk</t>
  </si>
  <si>
    <t>2026-06-24T21:54:53.293Z</t>
  </si>
  <si>
    <t>gPMPnf6Hvg</t>
  </si>
  <si>
    <t>NXfHUSGZcV</t>
  </si>
  <si>
    <t>2026-06-24T21:55:13.914Z</t>
  </si>
  <si>
    <t>FPfUa8ANsZ</t>
  </si>
  <si>
    <t>vHokh19XbV</t>
  </si>
  <si>
    <t>2026-06-24T21:55:53.594Z</t>
  </si>
  <si>
    <t>dW2YujyRKH</t>
  </si>
  <si>
    <t>jbLp6cSEWv</t>
  </si>
  <si>
    <t>2026-06-24T21:56:11.179Z</t>
  </si>
  <si>
    <t>KD2doQgdkJ</t>
  </si>
  <si>
    <t>P63WjgphqY</t>
  </si>
  <si>
    <t>2026-06-24T21:58:07.675Z</t>
  </si>
  <si>
    <t>Jcbft933v6</t>
  </si>
  <si>
    <t>UViChtNq7c</t>
  </si>
  <si>
    <t>2026-06-24T21:58:52.285Z</t>
  </si>
  <si>
    <t>G4co9ATcqA</t>
  </si>
  <si>
    <t>cKr53dojnS</t>
  </si>
  <si>
    <t>2026-06-24T21:59:09.113Z</t>
  </si>
  <si>
    <t>Sz7sZpsK79</t>
  </si>
  <si>
    <t>aLUMsV6ZEx</t>
  </si>
  <si>
    <t>2026-06-24T21:59:26.282Z</t>
  </si>
  <si>
    <t>YtAZRs2W1r</t>
  </si>
  <si>
    <t>xvE5ciZu5x</t>
  </si>
  <si>
    <t>2026-06-24T21:59:47.579Z</t>
  </si>
  <si>
    <t>pDYW8jy3B9</t>
  </si>
  <si>
    <t>dnAUXcibgN</t>
  </si>
  <si>
    <t>2026-06-24T22:00:01.314Z</t>
  </si>
  <si>
    <t>WXKvyiPEf4</t>
  </si>
  <si>
    <t>Bdx26JGTnW</t>
  </si>
  <si>
    <t>2026-06-24T22:02:00.582Z</t>
  </si>
  <si>
    <t>abj1bavzV7</t>
  </si>
  <si>
    <t>jTJZFYcGPF</t>
  </si>
  <si>
    <t>2026-06-24T22:08:10.897Z</t>
  </si>
  <si>
    <t>ZMyMgQpF4N</t>
  </si>
  <si>
    <t>wi6SPxxuJ5</t>
  </si>
  <si>
    <t>2026-06-24T22:10:17.392Z</t>
  </si>
  <si>
    <t>Abe6P8Wg18</t>
  </si>
  <si>
    <t>zHYdTHGW1b</t>
  </si>
  <si>
    <t>2026-06-24T22:12:15.241Z</t>
  </si>
  <si>
    <t>zunyv9hBYj</t>
  </si>
  <si>
    <t>RUrVS3rNHe</t>
  </si>
  <si>
    <t>2026-06-24T22:14:47.965Z</t>
  </si>
  <si>
    <t>mWa7tFE5wo</t>
  </si>
  <si>
    <t>atQwU5fjGF</t>
  </si>
  <si>
    <t>2026-06-24T22:17:01.010Z</t>
  </si>
  <si>
    <t>45JMWx6MsP</t>
  </si>
  <si>
    <t>jxPXBkFbDf</t>
  </si>
  <si>
    <t>2026-06-24T22:17:47.008Z</t>
  </si>
  <si>
    <t>QAottiFc59</t>
  </si>
  <si>
    <t>W2kQwhjgKw</t>
  </si>
  <si>
    <t>2026-06-24T22:17:49.277Z</t>
  </si>
  <si>
    <t>CvqjRqEoHZ</t>
  </si>
  <si>
    <t>c2x86gbCgj</t>
  </si>
  <si>
    <t>2026-06-24T22:19:35.712Z</t>
  </si>
  <si>
    <t>bgLjSShE2R</t>
  </si>
  <si>
    <t>chf65VcqCh</t>
  </si>
  <si>
    <t>2026-06-24T22:23:59.046Z</t>
  </si>
  <si>
    <t>jMQmUfLd8T</t>
  </si>
  <si>
    <t>hXRrrBzFhj</t>
  </si>
  <si>
    <t>2026-06-24T22:25:08.904Z</t>
  </si>
  <si>
    <t>skQ5LE9aDZ</t>
  </si>
  <si>
    <t>tLxTXTbHRZ</t>
  </si>
  <si>
    <t>2026-06-24T22:25:39.425Z</t>
  </si>
  <si>
    <t>aBc2nLm6ak</t>
  </si>
  <si>
    <t>vPX72XHBCt</t>
  </si>
  <si>
    <t>2026-06-24T22:27:26.145Z</t>
  </si>
  <si>
    <t>tvwYUUzZKS</t>
  </si>
  <si>
    <t>ydpEDZozs9</t>
  </si>
  <si>
    <t>2026-06-24T22:28:15.572Z</t>
  </si>
  <si>
    <t>rH9a2JXnyQ</t>
  </si>
  <si>
    <t>UFR3RhFNhW</t>
  </si>
  <si>
    <t>2026-06-24T22:28:38.012Z</t>
  </si>
  <si>
    <t>41e4NkZVJD</t>
  </si>
  <si>
    <t>B8u2NTQp1w</t>
  </si>
  <si>
    <t>2026-06-24T22:33:50.425Z</t>
  </si>
  <si>
    <t>WQjGTJEt7N</t>
  </si>
  <si>
    <t>imDAsnT9pS</t>
  </si>
  <si>
    <t>2026-06-24T22:35:05.656Z</t>
  </si>
  <si>
    <t>gVvgqxWDde</t>
  </si>
  <si>
    <t>at74KsYY5e</t>
  </si>
  <si>
    <t>2026-06-24T22:42:06.837Z</t>
  </si>
  <si>
    <t>tL43UEYWmi</t>
  </si>
  <si>
    <t>AW3hxpLZFp</t>
  </si>
  <si>
    <t>2026-06-24T22:42:28.124Z</t>
  </si>
  <si>
    <t>qUf7jf3MBd</t>
  </si>
  <si>
    <t>1azhBeFcvV</t>
  </si>
  <si>
    <t>2026-06-24T22:43:31.145Z</t>
  </si>
  <si>
    <t>vyseL8p7GM</t>
  </si>
  <si>
    <t>Myvjuh8exL</t>
  </si>
  <si>
    <t>2026-06-24T22:45:46.652Z</t>
  </si>
  <si>
    <t>aiw96sQWY2</t>
  </si>
  <si>
    <t>mAFvkZqdZt</t>
  </si>
  <si>
    <t>2026-06-24T22:48:23.601Z</t>
  </si>
  <si>
    <t>NikVP2N38v</t>
  </si>
  <si>
    <t>qinUE9rXRX</t>
  </si>
  <si>
    <t>2026-06-24T22:48:59.142Z</t>
  </si>
  <si>
    <t>e2cv1YuEyT</t>
  </si>
  <si>
    <t>3V9UYQiJDT</t>
  </si>
  <si>
    <t>2026-06-24T22:52:00.639Z</t>
  </si>
  <si>
    <t>TJ6oGtWv85</t>
  </si>
  <si>
    <t>UpTekzGsti</t>
  </si>
  <si>
    <t>2026-06-24T22:56:03.519Z</t>
  </si>
  <si>
    <t>CpGEMWrNQQ</t>
  </si>
  <si>
    <t>NTgLbFCZ3d</t>
  </si>
  <si>
    <t>2026-06-24T23:05:17.153Z</t>
  </si>
  <si>
    <t>RxfRWqsS3F</t>
  </si>
  <si>
    <t>cGi5bbWiux</t>
  </si>
  <si>
    <t>2026-06-24T23:05:28.842Z</t>
  </si>
  <si>
    <t>ZZFueUfNJ8</t>
  </si>
  <si>
    <t>dbMzhvQ6zF</t>
  </si>
  <si>
    <t>2026-06-24T23:17:47.493Z</t>
  </si>
  <si>
    <t>bgM94u6ChY</t>
  </si>
  <si>
    <t>tWs4zjztZH</t>
  </si>
  <si>
    <t>2026-06-24T23:35:37.710Z</t>
  </si>
  <si>
    <t>HFtANDinSp</t>
  </si>
  <si>
    <t>An5Kcw5QqB</t>
  </si>
  <si>
    <t>2026-06-24T23:44:45.659Z</t>
  </si>
  <si>
    <t>U77UeBk16h</t>
  </si>
  <si>
    <t>xe4oi6T6X2</t>
  </si>
  <si>
    <t>2026-06-24T23:50:26.767Z</t>
  </si>
  <si>
    <t>jticiN5HCA</t>
  </si>
  <si>
    <t>MToWE1NrmZ</t>
  </si>
  <si>
    <t>2026-06-24T23:53:10.598Z</t>
  </si>
  <si>
    <t>T3kXvCvyD3</t>
  </si>
  <si>
    <t>uT8zNR18Pc</t>
  </si>
  <si>
    <t>2026-06-24T23:55:38.852Z</t>
  </si>
  <si>
    <t>RRGVC8Doet</t>
  </si>
  <si>
    <t>JaQWJWrEz9</t>
  </si>
  <si>
    <t>2026-06-24T23:58:23.259Z</t>
  </si>
  <si>
    <t>8zT6T9WVbi</t>
  </si>
  <si>
    <t>y3Q7Y2Whwd</t>
  </si>
  <si>
    <t>2026-06-24T23:58:43.095Z</t>
  </si>
  <si>
    <t>YpWKiFk3nz</t>
  </si>
  <si>
    <t>JgMVN86qvm</t>
  </si>
  <si>
    <t>2026-06-24T23:58:49.931Z</t>
  </si>
  <si>
    <t>pLTyRQyj7N</t>
  </si>
  <si>
    <t>gQ1YC7Gvpw</t>
  </si>
  <si>
    <t>2026-06-24T23:59:16.498Z</t>
  </si>
  <si>
    <t>pUj55t1F3B</t>
  </si>
  <si>
    <t>uuukxvuVfu</t>
  </si>
  <si>
    <t>2026-06-25T00:15:13.785Z</t>
  </si>
  <si>
    <t>xKgAzjRbi6</t>
  </si>
  <si>
    <t>1fWWuXQtrt</t>
  </si>
  <si>
    <t>2026-06-25T00:17:19.961Z</t>
  </si>
  <si>
    <t>qcfKjZj9Uh</t>
  </si>
  <si>
    <t>PFqWGbW6ya</t>
  </si>
  <si>
    <t>2026-06-25T00:17:45.757Z</t>
  </si>
  <si>
    <t>4isjNjucaj</t>
  </si>
  <si>
    <t>RCs1HETpX6</t>
  </si>
  <si>
    <t>2026-06-25T00:17:53.435Z</t>
  </si>
  <si>
    <t>Tymhw77UrA</t>
  </si>
  <si>
    <t>95wRhp8dXY</t>
  </si>
  <si>
    <t>2026-06-25T00:26:51.298Z</t>
  </si>
  <si>
    <t>1CKwcSQBDC</t>
  </si>
  <si>
    <t>Lz4hWAJ4iC</t>
  </si>
  <si>
    <t>2026-06-25T00:40:51.555Z</t>
  </si>
  <si>
    <t>nWzWWKm2qR</t>
  </si>
  <si>
    <t>D9KfnTTDdu</t>
  </si>
  <si>
    <t>2026-06-25T00:44:28.058Z</t>
  </si>
  <si>
    <t>SjMNbYcZHi</t>
  </si>
  <si>
    <t>C4qP6aAnoo</t>
  </si>
  <si>
    <t>2026-06-25T00:50:14.880Z</t>
  </si>
  <si>
    <t>jmonp62XEx</t>
  </si>
  <si>
    <t>JjP1bMNcyr</t>
  </si>
  <si>
    <t>2026-06-25T01:04:16.328Z</t>
  </si>
  <si>
    <t>MgDq68gASW</t>
  </si>
  <si>
    <t>X3CBBRnwAa</t>
  </si>
  <si>
    <t>2026-06-25T01:14:17.535Z</t>
  </si>
  <si>
    <t>8nUddLr3G7</t>
  </si>
  <si>
    <t>aRp4thLX5d</t>
  </si>
  <si>
    <t>2026-06-25T01:32:20.232Z</t>
  </si>
  <si>
    <t>FtkVgto3zn</t>
  </si>
  <si>
    <t>GZak7tgg9K</t>
  </si>
  <si>
    <t>2026-06-25T01:37:19.999Z</t>
  </si>
  <si>
    <t>U7KpkSBfB6</t>
  </si>
  <si>
    <t>9Kdqg4u6fK</t>
  </si>
  <si>
    <t>2026-06-25T01:42:52.189Z</t>
  </si>
  <si>
    <t>ZuMZfMwY66</t>
  </si>
  <si>
    <t>2026-06-25T01:43:13.646Z</t>
  </si>
  <si>
    <t>QqjHuqM6fQ</t>
  </si>
  <si>
    <t>2026-06-25T01:43:30.774Z</t>
  </si>
  <si>
    <t>WBwJV8zrqd</t>
  </si>
  <si>
    <t>2026-06-25T01:43:38.504Z</t>
  </si>
  <si>
    <t>hzYDPVG8wk</t>
  </si>
  <si>
    <t>2026-06-25T01:48:50.018Z</t>
  </si>
  <si>
    <t>XyUtsd45bJ</t>
  </si>
  <si>
    <t>jNfYCDmXFo</t>
  </si>
  <si>
    <t>2026-06-25T01:57:57.120Z</t>
  </si>
  <si>
    <t>PdXQLCRkJN</t>
  </si>
  <si>
    <t>h2f4HaLnob</t>
  </si>
  <si>
    <t>2026-06-25T01:58:54.410Z</t>
  </si>
  <si>
    <t>tj3sGdeBxb</t>
  </si>
  <si>
    <t>edY5BHsS7m</t>
  </si>
  <si>
    <t>2026-06-25T02:09:31.075Z</t>
  </si>
  <si>
    <t>VV5k8h36JB</t>
  </si>
  <si>
    <t>9sE3RnvsM6</t>
  </si>
  <si>
    <t>2026-06-25T02:20:01.813Z</t>
  </si>
  <si>
    <t>anxquhSWm5</t>
  </si>
  <si>
    <t>n5h5cjpV6k</t>
  </si>
  <si>
    <t>2026-06-25T02:31:28.350Z</t>
  </si>
  <si>
    <t>H2xnCuMYyM</t>
  </si>
  <si>
    <t>H8Fctvsg84</t>
  </si>
  <si>
    <t>2026-06-25T02:32:03.878Z</t>
  </si>
  <si>
    <t>JncBdscg5T</t>
  </si>
  <si>
    <t>2026-06-25T02:33:25.929Z</t>
  </si>
  <si>
    <t>hwQPLbw6rF</t>
  </si>
  <si>
    <t>Ra7v5jaarX</t>
  </si>
  <si>
    <t>2026-06-25T02:35:14.535Z</t>
  </si>
  <si>
    <t>BJ1BqzRSRx</t>
  </si>
  <si>
    <t>7ApRVWY4Xm</t>
  </si>
  <si>
    <t>2026-06-25T02:35:40.119Z</t>
  </si>
  <si>
    <t>LdAPBen4CL</t>
  </si>
  <si>
    <t>noD2YQjLzK</t>
  </si>
  <si>
    <t>2026-06-25T02:40:17.398Z</t>
  </si>
  <si>
    <t>RBcavNBJgs</t>
  </si>
  <si>
    <t>EuXvvyrgFa</t>
  </si>
  <si>
    <t>2026-06-25T02:45:53.741Z</t>
  </si>
  <si>
    <t>V55wxyCv6M</t>
  </si>
  <si>
    <t>o8w6jSwKK9</t>
  </si>
  <si>
    <t>2026-06-25T03:20:19.165Z</t>
  </si>
  <si>
    <t>HKSHqBs4EP</t>
  </si>
  <si>
    <t>ivm5uuFGHh</t>
  </si>
  <si>
    <t>2026-06-25T03:26:39.432Z</t>
  </si>
  <si>
    <t>nTfjUUnJev</t>
  </si>
  <si>
    <t>9wnC22KFzN</t>
  </si>
  <si>
    <t>2026-06-25T03:45:54.777Z</t>
  </si>
  <si>
    <t>qUk1p6sDcb</t>
  </si>
  <si>
    <t>oAonCga6pi</t>
  </si>
  <si>
    <t>2026-06-25T04:13:37.895Z</t>
  </si>
  <si>
    <t>to6aHUtQ5s</t>
  </si>
  <si>
    <t>2026-06-25T04:17:05.307Z</t>
  </si>
  <si>
    <t>inHA3CNPKa</t>
  </si>
  <si>
    <t>GHNJxPnta7</t>
  </si>
  <si>
    <t>2026-06-25T04:21:37.405Z</t>
  </si>
  <si>
    <t>9JUy1mVbd6</t>
  </si>
  <si>
    <t>gGAg1zgsXk</t>
  </si>
  <si>
    <t>2026-06-25T04:25:59.933Z</t>
  </si>
  <si>
    <t>5mA5MDgdrb</t>
  </si>
  <si>
    <t>ZWXrhj1zCd</t>
  </si>
  <si>
    <t>2026-06-25T04:51:16.536Z</t>
  </si>
  <si>
    <t>8Jwn3BmKG3</t>
  </si>
  <si>
    <t>4ZmbTVTuEL</t>
  </si>
  <si>
    <t>2026-06-25T05:04:19.813Z</t>
  </si>
  <si>
    <t>quucrowGxq</t>
  </si>
  <si>
    <t>47s68ViNfv</t>
  </si>
  <si>
    <t>2026-06-25T05:12:17.210Z</t>
  </si>
  <si>
    <t>8gFHofYSUA</t>
  </si>
  <si>
    <t>bCEpJ2k6Vz</t>
  </si>
  <si>
    <t>2026-06-25T05:38:41.064Z</t>
  </si>
  <si>
    <t>HH83kYnELZ</t>
  </si>
  <si>
    <t>GyRm9Rd28k</t>
  </si>
  <si>
    <t>2026-06-25T06:16:00.145Z</t>
  </si>
  <si>
    <t>UUz2aRtYCB</t>
  </si>
  <si>
    <t>8nK5z6vR4X</t>
  </si>
  <si>
    <t>2026-06-25T06:20:33.043Z</t>
  </si>
  <si>
    <t>LzqnNV3XpD</t>
  </si>
  <si>
    <t>YyqTTHiAXc</t>
  </si>
  <si>
    <t>2026-06-25T06:23:22.930Z</t>
  </si>
  <si>
    <t>8FowyXQCAK</t>
  </si>
  <si>
    <t>RaxpE9JM2Z</t>
  </si>
  <si>
    <t>2026-06-25T08:00:46.057Z</t>
  </si>
  <si>
    <t>vjEn3XwATh</t>
  </si>
  <si>
    <t>YLR9NjAsat</t>
  </si>
  <si>
    <t>2026-06-25T11:25:05.338Z</t>
  </si>
  <si>
    <t>BhjMNfZZyf</t>
  </si>
  <si>
    <t>nQ51vBgfzQ</t>
  </si>
  <si>
    <t>2026-06-25T11:51:08.050Z</t>
  </si>
  <si>
    <t>y4Zom6UKHX</t>
  </si>
  <si>
    <t>dozHfpZTML</t>
  </si>
  <si>
    <t>NpTNEUSuev</t>
  </si>
  <si>
    <t>EKMDodzKQE</t>
  </si>
  <si>
    <t>LksNh89D3G</t>
  </si>
  <si>
    <t>Uy6zQqm1FK</t>
  </si>
  <si>
    <t>2026-06-25T12:53:19.683Z</t>
  </si>
  <si>
    <t>5pibRrwjbE</t>
  </si>
  <si>
    <t>wuyHsZHSZW</t>
  </si>
  <si>
    <t>UwggYNvPxy</t>
  </si>
  <si>
    <t>ShVjNwRSyz</t>
  </si>
  <si>
    <t>2026-06-25T13:20:19.088Z</t>
  </si>
  <si>
    <t>BnUhau4Gqg</t>
  </si>
  <si>
    <t>BUoAecK1xp</t>
  </si>
  <si>
    <t>2026-06-25T14:18:22.498Z</t>
  </si>
  <si>
    <t>bCdchLZyqr</t>
  </si>
  <si>
    <t>VCouy9DJSW</t>
  </si>
  <si>
    <t>2026-06-25T14:48:54.766Z</t>
  </si>
  <si>
    <t>94TtQsS3SL</t>
  </si>
  <si>
    <t>EechspaHj3</t>
  </si>
  <si>
    <t>2026-06-25T15:09:19.222Z</t>
  </si>
  <si>
    <t>75RoXRCZ9j</t>
  </si>
  <si>
    <t>NjZwWLCQiF</t>
  </si>
  <si>
    <t>2026-06-25T15:38:45.126Z</t>
  </si>
  <si>
    <t>DU99qVrukz</t>
  </si>
  <si>
    <t>2srehW3uPz</t>
  </si>
  <si>
    <t>2026-06-25T16:22:46.374Z</t>
  </si>
  <si>
    <t>khRSZDyBTm</t>
  </si>
  <si>
    <t>NvRpfm41dT</t>
  </si>
  <si>
    <t>2026-06-25T17:28:38.466Z</t>
  </si>
  <si>
    <t>WU9QpwNvW3</t>
  </si>
  <si>
    <t>1VAA2kCfdq</t>
  </si>
  <si>
    <t>2026-06-25T17:55:17.415Z</t>
  </si>
  <si>
    <t>Z7LRPxswk9</t>
  </si>
  <si>
    <t>2026-06-25T19:58:48.240Z</t>
  </si>
  <si>
    <t>2PQLbpoJzP</t>
  </si>
  <si>
    <t>NcDyzAtpNE</t>
  </si>
  <si>
    <t>2026-06-25T20:37:17.704Z</t>
  </si>
  <si>
    <t>X3ne3qUQ55</t>
  </si>
  <si>
    <t>X1xayNYphg</t>
  </si>
  <si>
    <t>2026-06-25T21:26:15.416Z</t>
  </si>
  <si>
    <t>YvoD8b6Vzg</t>
  </si>
  <si>
    <t>vWgWNGoZ3j</t>
  </si>
  <si>
    <t>2026-06-25T21:30:56.360Z</t>
  </si>
  <si>
    <t>tLoZxm5usK</t>
  </si>
  <si>
    <t>HZA4DEQLQV</t>
  </si>
  <si>
    <t>2026-06-25T21:56:36.246Z</t>
  </si>
  <si>
    <t>yDxFAHbRc7</t>
  </si>
  <si>
    <t>H8yRxwjVRw</t>
  </si>
  <si>
    <t>2026-06-25T22:16:57.287Z</t>
  </si>
  <si>
    <t>155xaDQLVE</t>
  </si>
  <si>
    <t>bLqFUioMFW</t>
  </si>
  <si>
    <t>2026-06-25T22:28:46.399Z</t>
  </si>
  <si>
    <t>dsZkTQQUR3</t>
  </si>
  <si>
    <t>KRxfCjijJX</t>
  </si>
  <si>
    <t>2026-06-25T23:38:34.913Z</t>
  </si>
  <si>
    <t>XaEj7PwSth</t>
  </si>
  <si>
    <t>7oPkYzBF7Q</t>
  </si>
  <si>
    <t>2026-06-26T01:15:30.450Z</t>
  </si>
  <si>
    <t>SwduKazxMS</t>
  </si>
  <si>
    <t>B3YTijJHnU</t>
  </si>
  <si>
    <t>2026-06-26T01:22:51.255Z</t>
  </si>
  <si>
    <t>BRaevfAtT6</t>
  </si>
  <si>
    <t>fy2F7ee6Xr</t>
  </si>
  <si>
    <t>2026-06-26T02:35:23.255Z</t>
  </si>
  <si>
    <t>rcsyuerSeh</t>
  </si>
  <si>
    <t>T2GeYvC4jh</t>
  </si>
  <si>
    <t>2026-06-26T12:23:37.316Z</t>
  </si>
  <si>
    <t>rxac3oS5EV</t>
  </si>
  <si>
    <t>LHyrcik2LU</t>
  </si>
  <si>
    <t>2026-06-26T17:51:38.715Z</t>
  </si>
  <si>
    <t>YuSK1vsVD7</t>
  </si>
  <si>
    <t>1x9qZMeA5L</t>
  </si>
  <si>
    <t>2026-06-26T17:52:44.072Z</t>
  </si>
  <si>
    <t>YSMt3hQFqw</t>
  </si>
  <si>
    <t>hGh7bE5JSr</t>
  </si>
  <si>
    <t>2026-06-26T20:33:26.435Z</t>
  </si>
  <si>
    <t>5hbx7yTu4D</t>
  </si>
  <si>
    <t>f6UwGFgnYS</t>
  </si>
  <si>
    <t>2026-06-26T20:47:00.873Z</t>
  </si>
  <si>
    <t>buQFj4iCtN</t>
  </si>
  <si>
    <t>RftEghDW2t</t>
  </si>
  <si>
    <t>2026-06-26T21:11:57.514Z</t>
  </si>
  <si>
    <t>sKAc84mFsR</t>
  </si>
  <si>
    <t>Comeback: msh (±0)</t>
  </si>
  <si>
    <t>bmPFSRpnaU</t>
  </si>
  <si>
    <t>±0</t>
  </si>
  <si>
    <t>2026-06-26T21:22:52.028Z</t>
  </si>
  <si>
    <t>QWebHu3q3D</t>
  </si>
  <si>
    <t>Comeback: ltr (+1)</t>
  </si>
  <si>
    <t>7zWYjNP6uE</t>
  </si>
  <si>
    <t>2026-06-26T21:24:02.644Z</t>
  </si>
  <si>
    <t>AEArdFjbtd</t>
  </si>
  <si>
    <t>c3nN7gmpFJ</t>
  </si>
  <si>
    <t>2026-06-26T21:27:10.159Z</t>
  </si>
  <si>
    <t>rVDQAkb8TK</t>
  </si>
  <si>
    <t>Comeback: tmt (-1)</t>
  </si>
  <si>
    <t>Jc3oBi2y54</t>
  </si>
  <si>
    <t>2026-06-26T21:34:33.199Z</t>
  </si>
  <si>
    <t>H4eW6BgDhC</t>
  </si>
  <si>
    <t>fU5541sma9</t>
  </si>
  <si>
    <t>2026-06-26T21:37:48.586Z</t>
  </si>
  <si>
    <t>2bNqkx79m3</t>
  </si>
  <si>
    <t>Comeback: mkm (+3)</t>
  </si>
  <si>
    <t>Tu4nMSaDNk</t>
  </si>
  <si>
    <t>2026-06-26T21:39:26.913Z</t>
  </si>
  <si>
    <t>UTewm83K48</t>
  </si>
  <si>
    <t>Fvn541orn1</t>
  </si>
  <si>
    <t>2026-06-26T21:45:16.183Z</t>
  </si>
  <si>
    <t>YchjLiafub</t>
  </si>
  <si>
    <t>vd4aXoRTt1</t>
  </si>
  <si>
    <t>2026-06-26T21:45:18.221Z</t>
  </si>
  <si>
    <t>TWYFgGAL14</t>
  </si>
  <si>
    <t>Comeback: otj (-2)</t>
  </si>
  <si>
    <t>vTTgvUS7CU</t>
  </si>
  <si>
    <t>2026-06-26T21:45:56.893Z</t>
  </si>
  <si>
    <t>wuUsmbVEga</t>
  </si>
  <si>
    <t>p13W7eLoJJ</t>
  </si>
  <si>
    <t>2026-06-26T21:50:34.585Z</t>
  </si>
  <si>
    <t>dSrEvetP4A</t>
  </si>
  <si>
    <t>rQpik7Pt5B</t>
  </si>
  <si>
    <t>2026-06-26T21:50:42.075Z</t>
  </si>
  <si>
    <t>TLRLf5WMNh</t>
  </si>
  <si>
    <t>D9y8JSiaUG</t>
  </si>
  <si>
    <t>2026-06-26T21:50:52.506Z</t>
  </si>
  <si>
    <t>Xywv2uwbmC</t>
  </si>
  <si>
    <t>sUMGa64f26</t>
  </si>
  <si>
    <t>2026-06-26T21:56:45.548Z</t>
  </si>
  <si>
    <t>6mH3mPfP7T</t>
  </si>
  <si>
    <t>UCt9gx8W7s</t>
  </si>
  <si>
    <t>2026-06-26T21:58:00.093Z</t>
  </si>
  <si>
    <t>9enzsDS2Zd</t>
  </si>
  <si>
    <t>hDhHigG4M9</t>
  </si>
  <si>
    <t>2026-06-26T22:01:55.555Z</t>
  </si>
  <si>
    <t>XcZHY2Mjqk</t>
  </si>
  <si>
    <t>C4LBQ5PDnn</t>
  </si>
  <si>
    <t>2026-06-26T22:02:21.062Z</t>
  </si>
  <si>
    <t>WUMnVCCycB</t>
  </si>
  <si>
    <t>KmcVzanzYL</t>
  </si>
  <si>
    <t>2026-06-26T22:04:08.702Z</t>
  </si>
  <si>
    <t>HCx4dUTqvX</t>
  </si>
  <si>
    <t>Comeback: spm (-3)</t>
  </si>
  <si>
    <t>ye89jC7864</t>
  </si>
  <si>
    <t>2026-06-26T22:08:57.817Z</t>
  </si>
  <si>
    <t>Gis2G5bQuq</t>
  </si>
  <si>
    <t>mtJ1czdyr1</t>
  </si>
  <si>
    <t>2026-06-26T22:18:38.186Z</t>
  </si>
  <si>
    <t>CqhWyvupiG</t>
  </si>
  <si>
    <t>Comeback: tla (+2)</t>
  </si>
  <si>
    <t>wyhBHZbSgj</t>
  </si>
  <si>
    <t>2026-06-26T22:18:58.682Z</t>
  </si>
  <si>
    <t>xNVLRgaEJA</t>
  </si>
  <si>
    <t>uoq3EAzJ58</t>
  </si>
  <si>
    <t>2026-06-26T22:19:32.081Z</t>
  </si>
  <si>
    <t>8pwU7c4LRc</t>
  </si>
  <si>
    <t>BEpzxwaDMr</t>
  </si>
  <si>
    <t>2026-06-26T22:26:31.097Z</t>
  </si>
  <si>
    <t>u1adKRbW8v</t>
  </si>
  <si>
    <t>NCqT1ipjM5</t>
  </si>
  <si>
    <t>2026-06-26T22:33:23.938Z</t>
  </si>
  <si>
    <t>D4uxu4pcss</t>
  </si>
  <si>
    <t>QVhta7RSxR</t>
  </si>
  <si>
    <t>2026-06-26T22:34:12.610Z</t>
  </si>
  <si>
    <t>RXPLbgtiRt</t>
  </si>
  <si>
    <t>EutYo22d68</t>
  </si>
  <si>
    <t>2026-06-26T22:34:44.255Z</t>
  </si>
  <si>
    <t>N6dN7Ptr9v</t>
  </si>
  <si>
    <t>9aoCKmipLV</t>
  </si>
  <si>
    <t>2026-06-26T22:39:27.565Z</t>
  </si>
  <si>
    <t>bq9QGL9Umt</t>
  </si>
  <si>
    <t>bsQ9XzewjF</t>
  </si>
  <si>
    <t>2026-06-26T22:39:36.178Z</t>
  </si>
  <si>
    <t>shNy1KJ55w</t>
  </si>
  <si>
    <t>ZYroWQVSgr</t>
  </si>
  <si>
    <t>2026-06-26T22:40:06.292Z</t>
  </si>
  <si>
    <t>nY5CSzpHSh</t>
  </si>
  <si>
    <t>GX7nuCuCcA</t>
  </si>
  <si>
    <t>2026-06-26T22:49:50.834Z</t>
  </si>
  <si>
    <t>uCmDpMGMiS</t>
  </si>
  <si>
    <t>2CyfJPZmao</t>
  </si>
  <si>
    <t>2026-06-26T22:58:54.782Z</t>
  </si>
  <si>
    <t>UzdakQ8GLP</t>
  </si>
  <si>
    <t>2YnTZGLUAg</t>
  </si>
  <si>
    <t>2026-06-26T23:02:27.408Z</t>
  </si>
  <si>
    <t>UFwUfoP55R</t>
  </si>
  <si>
    <t>ZZzA5kKpsp</t>
  </si>
  <si>
    <t>2026-06-26T23:04:21.455Z</t>
  </si>
  <si>
    <t>rm1UqvdehX</t>
  </si>
  <si>
    <t>eR4gEBmAd3</t>
  </si>
  <si>
    <t>2026-06-26T23:05:23.893Z</t>
  </si>
  <si>
    <t>GtBrCHrTBV</t>
  </si>
  <si>
    <t>GZz4fcPpJc</t>
  </si>
  <si>
    <t>2026-06-26T23:13:31.450Z</t>
  </si>
  <si>
    <t>VWWVEcnb2z</t>
  </si>
  <si>
    <t>w2yp6hrJSU</t>
  </si>
  <si>
    <t>2026-06-26T23:15:02.780Z</t>
  </si>
  <si>
    <t>R66bi6hmnk</t>
  </si>
  <si>
    <t>aMztuzktVS</t>
  </si>
  <si>
    <t>2026-06-26T23:35:51.232Z</t>
  </si>
  <si>
    <t>pA9nERshhU</t>
  </si>
  <si>
    <t>7JFxPXZBQD</t>
  </si>
  <si>
    <t>2026-06-26T23:36:44.564Z</t>
  </si>
  <si>
    <t>xfNSMiV9VK</t>
  </si>
  <si>
    <t>e3E6qyGbtP</t>
  </si>
  <si>
    <t>2026-06-26T23:50:36.551Z</t>
  </si>
  <si>
    <t>LAjGbu3skh</t>
  </si>
  <si>
    <t>vwNATST1dW</t>
  </si>
  <si>
    <t>2026-06-26T23:53:21.781Z</t>
  </si>
  <si>
    <t>7a6KdjiHi6</t>
  </si>
  <si>
    <t>Xa9STuJHkK</t>
  </si>
  <si>
    <t>2026-06-26T23:53:51.006Z</t>
  </si>
  <si>
    <t>kSdGRUDiAx</t>
  </si>
  <si>
    <t>eLjXGWEqCw</t>
  </si>
  <si>
    <t>2026-06-27T00:01:32.226Z</t>
  </si>
  <si>
    <t>vrUFSKggJT</t>
  </si>
  <si>
    <t>AgUmr8WQPn</t>
  </si>
  <si>
    <t>2026-06-27T00:11:46.721Z</t>
  </si>
  <si>
    <t>jqPkC5cvKW</t>
  </si>
  <si>
    <t>oS9GNWrwmu</t>
  </si>
  <si>
    <t>2026-06-27T00:24:16.403Z</t>
  </si>
  <si>
    <t>FtnKNijMgz</t>
  </si>
  <si>
    <t>anA77oy6sf</t>
  </si>
  <si>
    <t>2026-06-27T00:28:15.699Z</t>
  </si>
  <si>
    <t>2cJFRQG1dV</t>
  </si>
  <si>
    <t>bRqXwgj1oy</t>
  </si>
  <si>
    <t>2026-06-27T00:31:36.138Z</t>
  </si>
  <si>
    <t>yFu5t64dut</t>
  </si>
  <si>
    <t>2vZkw9nLoA</t>
  </si>
  <si>
    <t>2026-06-27T00:35:23.575Z</t>
  </si>
  <si>
    <t>pX1vrBw5E6</t>
  </si>
  <si>
    <t>PfoZV6h58y</t>
  </si>
  <si>
    <t>2026-06-27T00:35:38.402Z</t>
  </si>
  <si>
    <t>5YXsMteZwb</t>
  </si>
  <si>
    <t>JXjBRVKQmZ</t>
  </si>
  <si>
    <t>2026-06-27T00:40:01.272Z</t>
  </si>
  <si>
    <t>iLGv83oMBZ</t>
  </si>
  <si>
    <t>dondAL6WnT</t>
  </si>
  <si>
    <t>2026-06-27T00:40:51.644Z</t>
  </si>
  <si>
    <t>t1HJfDKaiS</t>
  </si>
  <si>
    <t>LDSuDpDNdp</t>
  </si>
  <si>
    <t>2026-06-27T00:44:18.719Z</t>
  </si>
  <si>
    <t>tNdrDkGD6e</t>
  </si>
  <si>
    <t>zuUd1NZF3a</t>
  </si>
  <si>
    <t>2026-06-27T00:54:33.615Z</t>
  </si>
  <si>
    <t>PsjvRSG3rY</t>
  </si>
  <si>
    <t>4ztTXVyQ48</t>
  </si>
  <si>
    <t>2026-06-27T01:11:35.199Z</t>
  </si>
  <si>
    <t>kJPZn5GkEp</t>
  </si>
  <si>
    <t>mfvMM1BjYP</t>
  </si>
  <si>
    <t>2026-06-27T01:13:12.080Z</t>
  </si>
  <si>
    <t>6kE33sWgay</t>
  </si>
  <si>
    <t>ejPiUnx9P3</t>
  </si>
  <si>
    <t>2026-06-27T01:16:14.314Z</t>
  </si>
  <si>
    <t>EgA2CbGkLz</t>
  </si>
  <si>
    <t>qhwzfSRfhG</t>
  </si>
  <si>
    <t>2026-06-27T01:41:06.039Z</t>
  </si>
  <si>
    <t>x1v3NozLKi</t>
  </si>
  <si>
    <t>obgUCx23Fr</t>
  </si>
  <si>
    <t>2026-06-27T01:44:34.762Z</t>
  </si>
  <si>
    <t>gnCyTfDhK5</t>
  </si>
  <si>
    <t>wcmHvzRYR3</t>
  </si>
  <si>
    <t>2026-06-27T01:57:17.298Z</t>
  </si>
  <si>
    <t>Eui64wvZn7</t>
  </si>
  <si>
    <t>cQ32k17F13</t>
  </si>
  <si>
    <t>2026-06-27T02:05:45.095Z</t>
  </si>
  <si>
    <t>9CBGhw1z7J</t>
  </si>
  <si>
    <t>qcFgapJ56j</t>
  </si>
  <si>
    <t>2026-06-27T02:11:31.739Z</t>
  </si>
  <si>
    <t>PZxrvt1fzv</t>
  </si>
  <si>
    <t>Ej2FUYA3ek</t>
  </si>
  <si>
    <t>2026-06-27T02:22:33.027Z</t>
  </si>
  <si>
    <t>G5KptmFXPv</t>
  </si>
  <si>
    <t>M7k5BveanV</t>
  </si>
  <si>
    <t>2026-06-27T02:27:00.638Z</t>
  </si>
  <si>
    <t>PaTQdZr4oo</t>
  </si>
  <si>
    <t>FEVesCsWBe</t>
  </si>
  <si>
    <t>2026-06-27T02:43:04.728Z</t>
  </si>
  <si>
    <t>z8yMnF6snB</t>
  </si>
  <si>
    <t>PaYZSDrknN</t>
  </si>
  <si>
    <t>2026-06-27T02:43:26.225Z</t>
  </si>
  <si>
    <t>cirS97agpT</t>
  </si>
  <si>
    <t>eQYED7dd8X</t>
  </si>
  <si>
    <t>2026-06-27T02:47:11.850Z</t>
  </si>
  <si>
    <t>AHCiqJzVty</t>
  </si>
  <si>
    <t>py5zcuwVoU</t>
  </si>
  <si>
    <t>2026-06-27T02:47:18.875Z</t>
  </si>
  <si>
    <t>MZhNE8fUPh</t>
  </si>
  <si>
    <t>WipRzWQhGy</t>
  </si>
  <si>
    <t>2026-06-27T02:54:56.232Z</t>
  </si>
  <si>
    <t>8krw7CKKwi</t>
  </si>
  <si>
    <t>hC6xcPhB6V</t>
  </si>
  <si>
    <t>2026-06-27T03:00:51.431Z</t>
  </si>
  <si>
    <t>51UPA6yhbS</t>
  </si>
  <si>
    <t>aRfbxCPohH</t>
  </si>
  <si>
    <t>2026-06-27T03:05:46.329Z</t>
  </si>
  <si>
    <t>uJUhGug2bg</t>
  </si>
  <si>
    <t>1cREmWZZD7</t>
  </si>
  <si>
    <t>2026-06-27T03:13:56.147Z</t>
  </si>
  <si>
    <t>HXQKZiuCBA</t>
  </si>
  <si>
    <t>VfwJ8ABK9V</t>
  </si>
  <si>
    <t>2026-06-27T03:24:17.729Z</t>
  </si>
  <si>
    <t>ksypm883Ub</t>
  </si>
  <si>
    <t>U9SRFEcyf8</t>
  </si>
  <si>
    <t>2026-06-27T03:28:01.076Z</t>
  </si>
  <si>
    <t>BAXKzSAYMf</t>
  </si>
  <si>
    <t>xP9P5NzYaP</t>
  </si>
  <si>
    <t>2026-06-27T03:35:42.534Z</t>
  </si>
  <si>
    <t>5tafdvacLD</t>
  </si>
  <si>
    <t>a7VsndAivc</t>
  </si>
  <si>
    <t>2026-06-27T03:37:13.755Z</t>
  </si>
  <si>
    <t>CqjTpGGoHR</t>
  </si>
  <si>
    <t>bhevz1iNtr</t>
  </si>
  <si>
    <t>2026-06-27T03:39:23.031Z</t>
  </si>
  <si>
    <t>9Q42cqsYKM</t>
  </si>
  <si>
    <t>Q73zpheMMj</t>
  </si>
  <si>
    <t>2026-06-27T03:39:49.433Z</t>
  </si>
  <si>
    <t>2kxVyjELSw</t>
  </si>
  <si>
    <t>c8VbUKaAUo</t>
  </si>
  <si>
    <t>2026-06-27T03:42:37.296Z</t>
  </si>
  <si>
    <t>FrzxgPboH8</t>
  </si>
  <si>
    <t>RHbXheE9KN</t>
  </si>
  <si>
    <t>2026-06-27T03:42:47.147Z</t>
  </si>
  <si>
    <t>mWyCt3wKqy</t>
  </si>
  <si>
    <t>VSJmsu5wif</t>
  </si>
  <si>
    <t>2026-06-27T03:48:06.715Z</t>
  </si>
  <si>
    <t>KX25rz5wGs</t>
  </si>
  <si>
    <t>Rst4HH1aQX</t>
  </si>
  <si>
    <t>2026-06-27T03:49:53.271Z</t>
  </si>
  <si>
    <t>bRracWcQpG</t>
  </si>
  <si>
    <t>BJcd4kZCto</t>
  </si>
  <si>
    <t>2026-06-27T03:56:20.980Z</t>
  </si>
  <si>
    <t>HnQUpuqprM</t>
  </si>
  <si>
    <t>4Tuj2SxPDR</t>
  </si>
  <si>
    <t>2026-06-27T04:01:58.167Z</t>
  </si>
  <si>
    <t>i1vMbwNDqV</t>
  </si>
  <si>
    <t>tvyumchpTY</t>
  </si>
  <si>
    <t>2026-06-27T04:05:59.348Z</t>
  </si>
  <si>
    <t>r3a5aSWyxt</t>
  </si>
  <si>
    <t>a4zZiu2GbR</t>
  </si>
  <si>
    <t>2026-06-27T04:08:21.075Z</t>
  </si>
  <si>
    <t>wcJ1BbH4KK</t>
  </si>
  <si>
    <t>uJhP3LkxAe</t>
  </si>
  <si>
    <t>2026-06-27T04:10:02.212Z</t>
  </si>
  <si>
    <t>GNT9yjwAap</t>
  </si>
  <si>
    <t>QkUsdFdeQw</t>
  </si>
  <si>
    <t>2026-06-27T04:10:27.608Z</t>
  </si>
  <si>
    <t>g4EDDPvBA6</t>
  </si>
  <si>
    <t>9dUzzE4cug</t>
  </si>
  <si>
    <t>2026-06-27T04:12:31.965Z</t>
  </si>
  <si>
    <t>eRPUX6XTyT</t>
  </si>
  <si>
    <t>d5FcfGPosb</t>
  </si>
  <si>
    <t>2026-06-27T04:13:46.346Z</t>
  </si>
  <si>
    <t>YfLA2kaJCA</t>
  </si>
  <si>
    <t>TwtGd3qFYh</t>
  </si>
  <si>
    <t>2026-06-27T04:14:03.584Z</t>
  </si>
  <si>
    <t>PCV54PyT6y</t>
  </si>
  <si>
    <t>cgbg6zsbxV</t>
  </si>
  <si>
    <t>2026-06-27T04:27:49.563Z</t>
  </si>
  <si>
    <t>3bmGJ5RNJE</t>
  </si>
  <si>
    <t>PSwfUyEtpB</t>
  </si>
  <si>
    <t>2026-06-27T04:28:47.544Z</t>
  </si>
  <si>
    <t>RMj5T6cM8k</t>
  </si>
  <si>
    <t>RWT8vc7DSc</t>
  </si>
  <si>
    <t>2026-06-27T04:34:12.116Z</t>
  </si>
  <si>
    <t>2xz9BF7wZn</t>
  </si>
  <si>
    <t>8MiidE9aNr</t>
  </si>
  <si>
    <t>2026-06-27T04:38:30.147Z</t>
  </si>
  <si>
    <t>jFxvTsovfo</t>
  </si>
  <si>
    <t>KR7qSXvpzQ</t>
  </si>
  <si>
    <t>2026-06-27T04:38:58.561Z</t>
  </si>
  <si>
    <t>dEhXRUhWNW</t>
  </si>
  <si>
    <t>AcLfJ5UJ4w</t>
  </si>
  <si>
    <t>2026-06-27T04:42:59.597Z</t>
  </si>
  <si>
    <t>YMRdjiW8Ar</t>
  </si>
  <si>
    <t>HL357Vzj5y</t>
  </si>
  <si>
    <t>2026-06-27T04:50:57.232Z</t>
  </si>
  <si>
    <t>ejHHzKekgL</t>
  </si>
  <si>
    <t>SyCWwWH6Sd</t>
  </si>
  <si>
    <t>2026-06-27T04:55:10.734Z</t>
  </si>
  <si>
    <t>ZmnyMaUAfT</t>
  </si>
  <si>
    <t>fGfW2LzWck</t>
  </si>
  <si>
    <t>2026-06-27T05:03:19.492Z</t>
  </si>
  <si>
    <t>TfhWXBjC29</t>
  </si>
  <si>
    <t>sY21QJrB6e</t>
  </si>
  <si>
    <t>2026-06-27T05:06:38.559Z</t>
  </si>
  <si>
    <t>ChEpERDmpY</t>
  </si>
  <si>
    <t>RjG9Bdwh5p</t>
  </si>
  <si>
    <t>2026-06-27T05:33:27.499Z</t>
  </si>
  <si>
    <t>uDPGHgvWfb</t>
  </si>
  <si>
    <t>iVNj6CxPtf</t>
  </si>
  <si>
    <t>2026-06-27T05:35:58.274Z</t>
  </si>
  <si>
    <t>HB9mVkYujb</t>
  </si>
  <si>
    <t>WhpkpeSJn2</t>
  </si>
  <si>
    <t>2026-06-27T05:48:33.267Z</t>
  </si>
  <si>
    <t>KN4ExfiqC7</t>
  </si>
  <si>
    <t>giu4SNvw1V</t>
  </si>
  <si>
    <t>2026-06-27T05:51:54.633Z</t>
  </si>
  <si>
    <t>hUaqwDqBk8</t>
  </si>
  <si>
    <t>aozdD6eZK9</t>
  </si>
  <si>
    <t>2026-06-27T07:14:53.974Z</t>
  </si>
  <si>
    <t>5jhMrRAeVt</t>
  </si>
  <si>
    <t>xXkDvamv4m</t>
  </si>
  <si>
    <t>2026-06-27T07:20:33.600Z</t>
  </si>
  <si>
    <t>Fhm4zZX1Fr</t>
  </si>
  <si>
    <t>TN4KnwHuKV</t>
  </si>
  <si>
    <t>2026-06-27T07:38:46.600Z</t>
  </si>
  <si>
    <t>19JqdxtQUL</t>
  </si>
  <si>
    <t>YMicrNsaUs</t>
  </si>
  <si>
    <t>2026-06-27T08:55:22.871Z</t>
  </si>
  <si>
    <t>k5thZWcBVN</t>
  </si>
  <si>
    <t>GBF88VqhLb</t>
  </si>
  <si>
    <t>2026-06-27T10:11:39.004Z</t>
  </si>
  <si>
    <t>ntktTGVkTw</t>
  </si>
  <si>
    <t>GbCwzKNtC3</t>
  </si>
  <si>
    <t>2026-06-27T10:29:57.009Z</t>
  </si>
  <si>
    <t>WMsaUXN2qs</t>
  </si>
  <si>
    <t>ZVumt9dzbM</t>
  </si>
  <si>
    <t>2026-06-27T11:07:21.429Z</t>
  </si>
  <si>
    <t>snFRZ8N5KE</t>
  </si>
  <si>
    <t>UqYeDhHmYo</t>
  </si>
  <si>
    <t>2026-06-27T11:08:37.377Z</t>
  </si>
  <si>
    <t>uWsrcgq3uX</t>
  </si>
  <si>
    <t>eNri1GmTk5</t>
  </si>
  <si>
    <t>2026-06-27T11:39:50.778Z</t>
  </si>
  <si>
    <t>9PFUzppj1n</t>
  </si>
  <si>
    <t>57jNY2BvGt</t>
  </si>
  <si>
    <t>2026-06-27T12:30:40.446Z</t>
  </si>
  <si>
    <t>tAKfaKenV1</t>
  </si>
  <si>
    <t>nouZaPrrsP</t>
  </si>
  <si>
    <t>2026-06-27T12:58:49.387Z</t>
  </si>
  <si>
    <t>gAoZM5a1J6</t>
  </si>
  <si>
    <t>rQrN49wiBW</t>
  </si>
  <si>
    <t>2026-06-27T13:30:48.080Z</t>
  </si>
  <si>
    <t>iL5rXJXHg8</t>
  </si>
  <si>
    <t>cuNNWAuDoE</t>
  </si>
  <si>
    <t>2026-06-27T14:03:23.170Z</t>
  </si>
  <si>
    <t>JiofeLDmzT</t>
  </si>
  <si>
    <t>UctV4snU95</t>
  </si>
  <si>
    <t>2026-06-27T14:19:35.754Z</t>
  </si>
  <si>
    <t>qWYnQ6BvcU</t>
  </si>
  <si>
    <t>iyueWWwrFL</t>
  </si>
  <si>
    <t>2026-06-27T14:29:41.459Z</t>
  </si>
  <si>
    <t>5cHgRqMVdT</t>
  </si>
  <si>
    <t>K9MhFUM3Ks</t>
  </si>
  <si>
    <t>2026-06-27T14:31:57.864Z</t>
  </si>
  <si>
    <t>DrJHSdUwdk</t>
  </si>
  <si>
    <t>TtTkWBPxuT</t>
  </si>
  <si>
    <t>2026-06-27T14:40:07.602Z</t>
  </si>
  <si>
    <t>RL3X3bJzY5</t>
  </si>
  <si>
    <t>3Pm3z9LNvj</t>
  </si>
  <si>
    <t>2026-06-27T14:55:39.267Z</t>
  </si>
  <si>
    <t>5fTA36pC58</t>
  </si>
  <si>
    <t>QUzGv8QMxo</t>
  </si>
  <si>
    <t>2026-06-27T15:10:21.328Z</t>
  </si>
  <si>
    <t>dMVf9Nr5TS</t>
  </si>
  <si>
    <t>7VRV5dFpTJ</t>
  </si>
  <si>
    <t>2026-06-27T15:33:43.483Z</t>
  </si>
  <si>
    <t>VS9do7REAp</t>
  </si>
  <si>
    <t>HFz8pDhzEc</t>
  </si>
  <si>
    <t>2026-06-27T15:36:11.162Z</t>
  </si>
  <si>
    <t>GEQgcYs9RA</t>
  </si>
  <si>
    <t>gYekBLQxWj</t>
  </si>
  <si>
    <t>2026-06-27T15:45:27.740Z</t>
  </si>
  <si>
    <t>8cjdRjPhaG</t>
  </si>
  <si>
    <t>nYVhPJFrib</t>
  </si>
  <si>
    <t>2026-06-27T15:51:46.518Z</t>
  </si>
  <si>
    <t>JTXCf66YdL</t>
  </si>
  <si>
    <t>3xgqeJ3WVH</t>
  </si>
  <si>
    <t>2026-06-27T16:09:31.829Z</t>
  </si>
  <si>
    <t>g71tqLhPhy</t>
  </si>
  <si>
    <t>5by5tCNDuk</t>
  </si>
  <si>
    <t>2026-06-27T16:16:26.103Z</t>
  </si>
  <si>
    <t>4Dpkj369io</t>
  </si>
  <si>
    <t>jACNHbabfZ</t>
  </si>
  <si>
    <t>2026-06-27T16:21:52.254Z</t>
  </si>
  <si>
    <t>obBYcdSukE</t>
  </si>
  <si>
    <t>T94suNphHk</t>
  </si>
  <si>
    <t>2026-06-27T16:22:02.935Z</t>
  </si>
  <si>
    <t>N9DF6x9YYN</t>
  </si>
  <si>
    <t>dbwxqQuoCx</t>
  </si>
  <si>
    <t>2026-06-27T16:33:58.158Z</t>
  </si>
  <si>
    <t>SmSQWVjFCw</t>
  </si>
  <si>
    <t>yWBAWPX5tT</t>
  </si>
  <si>
    <t>2026-06-27T16:37:14.097Z</t>
  </si>
  <si>
    <t>XhrUGm7XWK</t>
  </si>
  <si>
    <t>xvwHajSLQK</t>
  </si>
  <si>
    <t>2026-06-27T16:37:52.642Z</t>
  </si>
  <si>
    <t>ycybKK69vQ</t>
  </si>
  <si>
    <t>nmdUvmbXjD</t>
  </si>
  <si>
    <t>2026-06-27T16:40:13.879Z</t>
  </si>
  <si>
    <t>JU9JxicoVv</t>
  </si>
  <si>
    <t>E3XfHoraZd</t>
  </si>
  <si>
    <t>2026-06-27T16:59:29.703Z</t>
  </si>
  <si>
    <t>gTqwzhPwYk</t>
  </si>
  <si>
    <t>qHvj5GFwHD</t>
  </si>
  <si>
    <t>2026-06-27T17:07:44.369Z</t>
  </si>
  <si>
    <t>oXPgXK2wS1</t>
  </si>
  <si>
    <t>3R1Li6GJ1b</t>
  </si>
  <si>
    <t>2026-06-27T17:16:57.313Z</t>
  </si>
  <si>
    <t>4fGPfVUQzz</t>
  </si>
  <si>
    <t>3e7wGwvkCo</t>
  </si>
  <si>
    <t>2026-06-27T17:28:49.404Z</t>
  </si>
  <si>
    <t>osUJfh4chQ</t>
  </si>
  <si>
    <t>CBSbnxg7uW</t>
  </si>
  <si>
    <t>2026-06-27T17:40:26.229Z</t>
  </si>
  <si>
    <t>RN2hjzmrhJ</t>
  </si>
  <si>
    <t>6grT7Np7vV</t>
  </si>
  <si>
    <t>2026-06-27T18:09:30.885Z</t>
  </si>
  <si>
    <t>GjGCjPKq2S</t>
  </si>
  <si>
    <t>9QCmd1L1Mg</t>
  </si>
  <si>
    <t>2026-06-27T18:46:08.517Z</t>
  </si>
  <si>
    <t>eqCKRGkkPJ</t>
  </si>
  <si>
    <t>TTL1Ax2ewR</t>
  </si>
  <si>
    <t>2026-06-27T19:11:33.909Z</t>
  </si>
  <si>
    <t>w8gxkEZ5co</t>
  </si>
  <si>
    <t>78BykQJHKB</t>
  </si>
  <si>
    <t>2026-06-27T19:18:51.568Z</t>
  </si>
  <si>
    <t>QrAungabSw</t>
  </si>
  <si>
    <t>FF6ofbp7H1</t>
  </si>
  <si>
    <t>2026-06-27T20:11:28.997Z</t>
  </si>
  <si>
    <t>LXxPsGyvxH</t>
  </si>
  <si>
    <t>1vFB71ycPk</t>
  </si>
  <si>
    <t>2026-06-27T20:23:21.355Z</t>
  </si>
  <si>
    <t>8Pxbaa8jpC</t>
  </si>
  <si>
    <t>637mDB6jBV</t>
  </si>
  <si>
    <t>2026-06-27T20:33:41.766Z</t>
  </si>
  <si>
    <t>nnF3PBeJVo</t>
  </si>
  <si>
    <t>D98bhFs8fC</t>
  </si>
  <si>
    <t>2026-06-27T20:37:41.239Z</t>
  </si>
  <si>
    <t>MsKzojdFgD</t>
  </si>
  <si>
    <t>mH1JN7a73w</t>
  </si>
  <si>
    <t>2026-06-27T21:15:49.198Z</t>
  </si>
  <si>
    <t>YEsuQY2mQp</t>
  </si>
  <si>
    <t>MLw8mmqzXe</t>
  </si>
  <si>
    <t>2026-06-27T21:36:57.540Z</t>
  </si>
  <si>
    <t>EMNGKQ8vBt</t>
  </si>
  <si>
    <t>XYtDBAWQBm</t>
  </si>
  <si>
    <t>2026-06-27T21:54:49.418Z</t>
  </si>
  <si>
    <t>yZfuC6XMJh</t>
  </si>
  <si>
    <t>Hd3RMGd3ua</t>
  </si>
  <si>
    <t>2026-06-27T22:44:52.324Z</t>
  </si>
  <si>
    <t>FWe1wbCMSH</t>
  </si>
  <si>
    <t>fRZjzgpDwW</t>
  </si>
  <si>
    <t>2026-06-27T23:13:35.924Z</t>
  </si>
  <si>
    <t>KuykhLsygk</t>
  </si>
  <si>
    <t>A4SQgLXu4Q</t>
  </si>
  <si>
    <t>2026-06-27T23:23:05.052Z</t>
  </si>
  <si>
    <t>vkZCrXkAyS</t>
  </si>
  <si>
    <t>otrGTM975Z</t>
  </si>
  <si>
    <t>2026-06-27T23:53:30.439Z</t>
  </si>
  <si>
    <t>BL9UtgED9a</t>
  </si>
  <si>
    <t>biZyR3ncv2</t>
  </si>
  <si>
    <t>2026-06-27T23:54:13.571Z</t>
  </si>
  <si>
    <t>m6ThJQB9FF</t>
  </si>
  <si>
    <t>LyQJ2bMPEk</t>
  </si>
  <si>
    <t>2026-06-27T23:58:25.008Z</t>
  </si>
  <si>
    <t>2WamiuM1dw</t>
  </si>
  <si>
    <t>bTXH8pEuMr</t>
  </si>
  <si>
    <t>2026-06-28T00:40:20.122Z</t>
  </si>
  <si>
    <t>VMuDupasQ6</t>
  </si>
  <si>
    <t>hCYAJ1PacQ</t>
  </si>
  <si>
    <t>2026-06-28T00:43:26.238Z</t>
  </si>
  <si>
    <t>qAaPPnYPng</t>
  </si>
  <si>
    <t>y4UoykFrgK</t>
  </si>
  <si>
    <t>2026-06-28T00:50:01.106Z</t>
  </si>
  <si>
    <t>XSFQYs3xBP</t>
  </si>
  <si>
    <t>9DoQdryrtE</t>
  </si>
  <si>
    <t>2026-06-28T01:06:09.458Z</t>
  </si>
  <si>
    <t>7UjQQ5MMeq</t>
  </si>
  <si>
    <t>Ru5Uartncm</t>
  </si>
  <si>
    <t>2026-06-28T01:06:58.526Z</t>
  </si>
  <si>
    <t>3BAYhAJESv</t>
  </si>
  <si>
    <t>U6VugKV6gK</t>
  </si>
  <si>
    <t>2026-06-28T01:16:23.750Z</t>
  </si>
  <si>
    <t>ZQ1CkeRKNd</t>
  </si>
  <si>
    <t>gPcsQZr2Fx</t>
  </si>
  <si>
    <t>2026-06-28T01:20:23.584Z</t>
  </si>
  <si>
    <t>E54M63hqEn</t>
  </si>
  <si>
    <t>tk5DDp753P</t>
  </si>
  <si>
    <t>2026-06-28T01:35:33.831Z</t>
  </si>
  <si>
    <t>ipzTsnspyP</t>
  </si>
  <si>
    <t>6L728WZmR8</t>
  </si>
  <si>
    <t>2026-06-28T01:41:18.450Z</t>
  </si>
  <si>
    <t>4nj7uCvJG3</t>
  </si>
  <si>
    <t>4G3qNje8oP</t>
  </si>
  <si>
    <t>2026-06-28T02:04:20.098Z</t>
  </si>
  <si>
    <t>qUEqcsVzg3</t>
  </si>
  <si>
    <t>V9MPzexe5E</t>
  </si>
  <si>
    <t>2026-06-28T02:07:22.991Z</t>
  </si>
  <si>
    <t>uFXLpCAcsL</t>
  </si>
  <si>
    <t>UqyMfnfu4P</t>
  </si>
  <si>
    <t>2026-06-28T03:12:29.050Z</t>
  </si>
  <si>
    <t>9tFihMevWq</t>
  </si>
  <si>
    <t>QVyakfkgdH</t>
  </si>
  <si>
    <t>2026-06-28T03:31:43.722Z</t>
  </si>
  <si>
    <t>1kpS5mrnCP</t>
  </si>
  <si>
    <t>4qV1ewwsKk</t>
  </si>
  <si>
    <t>2026-06-28T03:44:19.073Z</t>
  </si>
  <si>
    <t>Nk7cRBQykR</t>
  </si>
  <si>
    <t>4rzoiXoBcD</t>
  </si>
  <si>
    <t>2026-06-28T03:54:48.229Z</t>
  </si>
  <si>
    <t>pYchJE1dXL</t>
  </si>
  <si>
    <t>fqvu3uh8Z3</t>
  </si>
  <si>
    <t>2026-06-28T04:10:33.034Z</t>
  </si>
  <si>
    <t>jgDUZLeRcU</t>
  </si>
  <si>
    <t>NS2aYUeTip</t>
  </si>
  <si>
    <t>2026-06-28T05:09:52.251Z</t>
  </si>
  <si>
    <t>3bj3tHJFXa</t>
  </si>
  <si>
    <t>NGa6LthZqa</t>
  </si>
  <si>
    <t>2026-06-28T05:34:14.021Z</t>
  </si>
  <si>
    <t>PCvwy5HWGs</t>
  </si>
  <si>
    <t>vFZthq8DPP</t>
  </si>
  <si>
    <t>2026-06-28T11:25:30.465Z</t>
  </si>
  <si>
    <t>sBUPT5QJUw</t>
  </si>
  <si>
    <t>oaazXTCgr7</t>
  </si>
  <si>
    <t>2026-06-28T12:12:28.248Z</t>
  </si>
  <si>
    <t>DmRCJH7xMs</t>
  </si>
  <si>
    <t>snCVDEqM2j</t>
  </si>
  <si>
    <t>2026-06-28T12:16:53.213Z</t>
  </si>
  <si>
    <t>vbbft2TgRi</t>
  </si>
  <si>
    <t>SaiRLfDpFt</t>
  </si>
  <si>
    <t>2026-06-28T12:25:36.388Z</t>
  </si>
  <si>
    <t>beGYTGPFFg</t>
  </si>
  <si>
    <t>2XXatWsTv1</t>
  </si>
  <si>
    <t>2026-06-28T12:41:21.329Z</t>
  </si>
  <si>
    <t>uvrjNoS3nh</t>
  </si>
  <si>
    <t>g666zWGZFe</t>
  </si>
  <si>
    <t>2026-06-28T13:04:03.405Z</t>
  </si>
  <si>
    <t>3yN52UASL1</t>
  </si>
  <si>
    <t>sETWEsL7D3</t>
  </si>
  <si>
    <t>2026-06-28T13:06:04.990Z</t>
  </si>
  <si>
    <t>wLQi21rZpM</t>
  </si>
  <si>
    <t>LdGaHESKmX</t>
  </si>
  <si>
    <t>2026-06-28T14:00:55.257Z</t>
  </si>
  <si>
    <t>T7NsvUb5N3</t>
  </si>
  <si>
    <t>vEyFCt4Cso</t>
  </si>
  <si>
    <t>2026-06-28T14:33:42.425Z</t>
  </si>
  <si>
    <t>C3Fu3PEnGA</t>
  </si>
  <si>
    <t>qRY6D4sXkV</t>
  </si>
  <si>
    <t>2026-06-28T15:00:37.841Z</t>
  </si>
  <si>
    <t>pEyHDFz6CA</t>
  </si>
  <si>
    <t>bw5Ci57Rwa</t>
  </si>
  <si>
    <t>2026-06-28T15:09:54.408Z</t>
  </si>
  <si>
    <t>PSfdhY54cT</t>
  </si>
  <si>
    <t>p2quF8sFcQ</t>
  </si>
  <si>
    <t>2026-06-28T15:12:07.690Z</t>
  </si>
  <si>
    <t>TpAvwDaScX</t>
  </si>
  <si>
    <t>b85yJp9FPS</t>
  </si>
  <si>
    <t>2026-06-28T15:48:36.331Z</t>
  </si>
  <si>
    <t>QGnM2VE6DH</t>
  </si>
  <si>
    <t>XjEFwHiXPW</t>
  </si>
  <si>
    <t>2026-06-28T16:48:02.126Z</t>
  </si>
  <si>
    <t>NPkDd3ycfV</t>
  </si>
  <si>
    <t>mJyPiq5K29</t>
  </si>
  <si>
    <t>2026-06-28T16:48:53.881Z</t>
  </si>
  <si>
    <t>1TG5cYhHnR</t>
  </si>
  <si>
    <t>7j6PGWYbW9</t>
  </si>
  <si>
    <t>2026-06-28T16:54:49.013Z</t>
  </si>
  <si>
    <t>je8M6NXh3C</t>
  </si>
  <si>
    <t>WVJNDcik72</t>
  </si>
  <si>
    <t>2026-06-28T17:07:25.331Z</t>
  </si>
  <si>
    <t>QGgngXWgC6</t>
  </si>
  <si>
    <t>zt7wmEcsoR</t>
  </si>
  <si>
    <t>2026-06-28T17:25:16.452Z</t>
  </si>
  <si>
    <t>f4UFMjyhY4</t>
  </si>
  <si>
    <t>thVBeGKRwD</t>
  </si>
  <si>
    <t>2026-06-28T17:35:40.162Z</t>
  </si>
  <si>
    <t>QDQTHDXBv5</t>
  </si>
  <si>
    <t>4rSAfy7UWk</t>
  </si>
  <si>
    <t>2026-06-28T17:38:49.115Z</t>
  </si>
  <si>
    <t>718oURoFLD</t>
  </si>
  <si>
    <t>PqgLQP7Spk</t>
  </si>
  <si>
    <t>2026-06-28T17:45:21.333Z</t>
  </si>
  <si>
    <t>vcBVXwWRjR</t>
  </si>
  <si>
    <t>1Bgu2aYsXs</t>
  </si>
  <si>
    <t>2026-06-28T17:52:45.157Z</t>
  </si>
  <si>
    <t>XTGxdKQGVV</t>
  </si>
  <si>
    <t>x6bPWmvmz8</t>
  </si>
  <si>
    <t>2026-06-28T17:55:24.280Z</t>
  </si>
  <si>
    <t>s8pUsvJQEL</t>
  </si>
  <si>
    <t>piv8mVC7hc</t>
  </si>
  <si>
    <t>2026-06-28T18:15:23.381Z</t>
  </si>
  <si>
    <t>mwPmwXtexE</t>
  </si>
  <si>
    <t>xfmqay6GHM</t>
  </si>
  <si>
    <t>2026-06-28T18:28:36.368Z</t>
  </si>
  <si>
    <t>rzVsBhYveg</t>
  </si>
  <si>
    <t>6cyKiniZkq</t>
  </si>
  <si>
    <t>2026-06-28T18:33:15.625Z</t>
  </si>
  <si>
    <t>mCggPMKAFM</t>
  </si>
  <si>
    <t>e86z7g8xya</t>
  </si>
  <si>
    <t>2026-06-28T18:33:40.173Z</t>
  </si>
  <si>
    <t>3SvJQ1KMW8</t>
  </si>
  <si>
    <t>pDkt4sDP7r</t>
  </si>
  <si>
    <t>2026-06-28T18:47:13.065Z</t>
  </si>
  <si>
    <t>Advuc3SKLx</t>
  </si>
  <si>
    <t>e6kxQqtVjN</t>
  </si>
  <si>
    <t>2026-06-28T19:38:43.400Z</t>
  </si>
  <si>
    <t>AssZwBZf9Z</t>
  </si>
  <si>
    <t>mrKc2DciZZ</t>
  </si>
  <si>
    <t>2026-06-28T20:05:42.417Z</t>
  </si>
  <si>
    <t>rHYxsX8Bnj</t>
  </si>
  <si>
    <t>KLYkhfn6TT</t>
  </si>
  <si>
    <t>2026-06-28T20:17:49.469Z</t>
  </si>
  <si>
    <t>Bft5Suwd4G</t>
  </si>
  <si>
    <t>ZE7Uj7o57d</t>
  </si>
  <si>
    <t>2026-06-28T20:23:05.007Z</t>
  </si>
  <si>
    <t>ZN8zYrhSgT</t>
  </si>
  <si>
    <t>kQBtQkt5sB</t>
  </si>
  <si>
    <t>2026-06-28T21:06:47.849Z</t>
  </si>
  <si>
    <t>5E7R4SLyKp</t>
  </si>
  <si>
    <t>eKGfptcWiW</t>
  </si>
  <si>
    <t>2026-06-28T21:17:48.771Z</t>
  </si>
  <si>
    <t>7rrvxmR8RX</t>
  </si>
  <si>
    <t>g3JbevWojL</t>
  </si>
  <si>
    <t>2026-06-28T21:42:11.016Z</t>
  </si>
  <si>
    <t>HWjBskGCou</t>
  </si>
  <si>
    <t>gGDBKugEgc</t>
  </si>
  <si>
    <t>2026-06-28T21:52:35.352Z</t>
  </si>
  <si>
    <t>YeyNyYsKa6</t>
  </si>
  <si>
    <t>WYhwagGnJ5</t>
  </si>
  <si>
    <t>2026-06-28T22:18:42.050Z</t>
  </si>
  <si>
    <t>ZvQWe9F3nZ</t>
  </si>
  <si>
    <t>UdCvyPBKQh</t>
  </si>
  <si>
    <t>2026-06-28T22:25:18.806Z</t>
  </si>
  <si>
    <t>MKTo8csWHf</t>
  </si>
  <si>
    <t>vr8uC2958s</t>
  </si>
  <si>
    <t>2026-06-28T22:35:49.506Z</t>
  </si>
  <si>
    <t>5DoGQbL6Rm</t>
  </si>
  <si>
    <t>KQRYNRLcYQ</t>
  </si>
  <si>
    <t>2026-06-28T23:19:16.885Z</t>
  </si>
  <si>
    <t>92ZFeffB1p</t>
  </si>
  <si>
    <t>VmEMgzVZfC</t>
  </si>
  <si>
    <t>2026-06-28T23:51:13.895Z</t>
  </si>
  <si>
    <t>31kW8a9MrJ</t>
  </si>
  <si>
    <t>UnCEgDCLd5</t>
  </si>
  <si>
    <t>2026-06-29T00:24:05.580Z</t>
  </si>
  <si>
    <t>yx7WjPGc44</t>
  </si>
  <si>
    <t>GcdMquGncb</t>
  </si>
  <si>
    <t>2026-06-29T01:01:54.313Z</t>
  </si>
  <si>
    <t>oGDZLevRQL</t>
  </si>
  <si>
    <t>ysD4PTfYGE</t>
  </si>
  <si>
    <t>2026-06-29T01:05:07.950Z</t>
  </si>
  <si>
    <t>BSgrcxTpvs</t>
  </si>
  <si>
    <t>pxdTaJVemL</t>
  </si>
  <si>
    <t>2026-06-29T01:38:08.931Z</t>
  </si>
  <si>
    <t>7aDRoS2k4j</t>
  </si>
  <si>
    <t>Wgh2gy3nRo</t>
  </si>
  <si>
    <t>2026-06-29T02:07:38.851Z</t>
  </si>
  <si>
    <t>jCY1Meizi9</t>
  </si>
  <si>
    <t>os6nnbe7Gx</t>
  </si>
  <si>
    <t>2026-06-29T02:31:09.609Z</t>
  </si>
  <si>
    <t>hqKq1etgsK</t>
  </si>
  <si>
    <t>GpnDvQCNm8</t>
  </si>
  <si>
    <t>2026-06-29T02:32:34.066Z</t>
  </si>
  <si>
    <t>ZRQKQj3Qnu</t>
  </si>
  <si>
    <t>iFz6CdUBQV</t>
  </si>
  <si>
    <t>2026-06-29T02:48:04.787Z</t>
  </si>
  <si>
    <t>8BnseUhxqE</t>
  </si>
  <si>
    <t>SUqNGb9quG</t>
  </si>
  <si>
    <t>2026-06-29T02:52:56.442Z</t>
  </si>
  <si>
    <t>p8MryJkDYR</t>
  </si>
  <si>
    <t>Gs7HUsw5qZ</t>
  </si>
  <si>
    <t>2026-06-29T03:42:12.815Z</t>
  </si>
  <si>
    <t>PrtEoGuAaW</t>
  </si>
  <si>
    <t>GswRQ5FMeW</t>
  </si>
  <si>
    <t>2026-06-29T03:44:21.747Z</t>
  </si>
  <si>
    <t>jRYQwwHTm7</t>
  </si>
  <si>
    <t>vn5mAe3MEp</t>
  </si>
  <si>
    <t>2026-06-29T04:02:00.456Z</t>
  </si>
  <si>
    <t>MzEiUwAVen</t>
  </si>
  <si>
    <t>j4gquGrvXU</t>
  </si>
  <si>
    <t>2026-06-29T04:05:33.418Z</t>
  </si>
  <si>
    <t>R5JaeoCNeG</t>
  </si>
  <si>
    <t>S68ks7ViMb</t>
  </si>
  <si>
    <t>2026-06-29T12:19:39.464Z</t>
  </si>
  <si>
    <t>77LpYYhpjX</t>
  </si>
  <si>
    <t>24fVtn4MSV</t>
  </si>
  <si>
    <t>2026-06-29T13:22:25.317Z</t>
  </si>
  <si>
    <t>8eEXHQ3SKH</t>
  </si>
  <si>
    <t>6G4QJUW45o</t>
  </si>
  <si>
    <t>2026-06-29T14:44:38.907Z</t>
  </si>
  <si>
    <t>A7h9szzhqc</t>
  </si>
  <si>
    <t>KTHRWHs582</t>
  </si>
  <si>
    <t>2026-06-29T15:49:41.193Z</t>
  </si>
  <si>
    <t>FJPZYu2iT3</t>
  </si>
  <si>
    <t>EWqiZMPwL7</t>
  </si>
  <si>
    <t>2026-06-29T15:52:36.636Z</t>
  </si>
  <si>
    <t>26zT7dsz6D</t>
  </si>
  <si>
    <t>VCYcvUrny7</t>
  </si>
  <si>
    <t>2026-06-29T16:27:55.060Z</t>
  </si>
  <si>
    <t>ZsGcgRrsm1</t>
  </si>
  <si>
    <t>9byhtdjjEv</t>
  </si>
  <si>
    <t>2026-06-29T16:40:05.518Z</t>
  </si>
  <si>
    <t>tvYsofto6S</t>
  </si>
  <si>
    <t>YVW7nuiz7n</t>
  </si>
  <si>
    <t>2026-06-29T17:19:35.043Z</t>
  </si>
  <si>
    <t>CczPuZX6Vw</t>
  </si>
  <si>
    <t>R5wTAb48Nv</t>
  </si>
  <si>
    <t>2026-06-29T17:42:55.416Z</t>
  </si>
  <si>
    <t>hSeQ74DYFq</t>
  </si>
  <si>
    <t>C5PuEohCJe</t>
  </si>
  <si>
    <t>2026-06-29T18:05:17.719Z</t>
  </si>
  <si>
    <t>ry8eZKQKCk</t>
  </si>
  <si>
    <t>TLsJfZefHA</t>
  </si>
  <si>
    <t>2026-06-29T18:47:41.912Z</t>
  </si>
  <si>
    <t>vygg4gzEHi</t>
  </si>
  <si>
    <t>cFTgWsRFba</t>
  </si>
  <si>
    <t>2026-06-29T19:36:03.625Z</t>
  </si>
  <si>
    <t>cSXyJ6xWWu</t>
  </si>
  <si>
    <t>KsB2nuu5qN</t>
  </si>
  <si>
    <t>2026-06-29T19:36:05.432Z</t>
  </si>
  <si>
    <t>Vc2f7ptRCG</t>
  </si>
  <si>
    <t>yRHcfvBkrs</t>
  </si>
  <si>
    <t>2026-06-29T19:52:22.326Z</t>
  </si>
  <si>
    <t>XE4zjtrd5c</t>
  </si>
  <si>
    <t>LDCQ32RHoH</t>
  </si>
  <si>
    <t>2026-06-29T20:20:17.389Z</t>
  </si>
  <si>
    <t>5MrxpVaTdR</t>
  </si>
  <si>
    <t>xavjZ9MKTW</t>
  </si>
  <si>
    <t>2026-06-29T20:22:30.118Z</t>
  </si>
  <si>
    <t>dm4P1RJmgZ</t>
  </si>
  <si>
    <t>2gYSYQrzsy</t>
  </si>
  <si>
    <t>2026-06-29T20:35:43.840Z</t>
  </si>
  <si>
    <t>Mqz9u1ZvT8</t>
  </si>
  <si>
    <t>6ZEJtSWeBV</t>
  </si>
  <si>
    <t>2026-06-29T20:51:00.943Z</t>
  </si>
  <si>
    <t>6PMAt5drFg</t>
  </si>
  <si>
    <t>GfnkBVwhvQ</t>
  </si>
  <si>
    <t>2026-06-29T20:54:50.608Z</t>
  </si>
  <si>
    <t>Jt3xWMfq4w</t>
  </si>
  <si>
    <t>fpbdTbzkik</t>
  </si>
  <si>
    <t>2026-06-29T21:40:01.001Z</t>
  </si>
  <si>
    <t>XLW9u4DykM</t>
  </si>
  <si>
    <t>adhU3BGh8u</t>
  </si>
  <si>
    <t>2026-06-29T21:44:54.121Z</t>
  </si>
  <si>
    <t>TT24APghGd</t>
  </si>
  <si>
    <t>UcjNpgS7Rw</t>
  </si>
  <si>
    <t>2026-06-29T22:15:02.838Z</t>
  </si>
  <si>
    <t>8E3Ju5zSXG</t>
  </si>
  <si>
    <t>9tLXCXtrPe</t>
  </si>
  <si>
    <t>2026-06-29T22:44:03.536Z</t>
  </si>
  <si>
    <t>a4U6RJu8x4</t>
  </si>
  <si>
    <t>VCZZdLAVcU</t>
  </si>
  <si>
    <t>2026-06-29T22:48:51.939Z</t>
  </si>
  <si>
    <t>inswvSo22z</t>
  </si>
  <si>
    <t>49TArWfRP4</t>
  </si>
  <si>
    <t>2026-06-29T23:16:34.799Z</t>
  </si>
  <si>
    <t>8embumrrZR</t>
  </si>
  <si>
    <t>hRCxY5jbog</t>
  </si>
  <si>
    <t>2026-06-29T23:23:01.857Z</t>
  </si>
  <si>
    <t>N6K865yayY</t>
  </si>
  <si>
    <t>hUuu6TvoKf</t>
  </si>
  <si>
    <t>2026-06-29T23:59:15.327Z</t>
  </si>
  <si>
    <t>rPDSuvkiX9</t>
  </si>
  <si>
    <t>EF5NwdsABv</t>
  </si>
  <si>
    <t>2026-06-30T00:25:13.460Z</t>
  </si>
  <si>
    <t>tECDPqVMVB</t>
  </si>
  <si>
    <t>TTvytFPdHK</t>
  </si>
  <si>
    <t>2026-06-30T00:32:08.728Z</t>
  </si>
  <si>
    <t>F3s537GptZ</t>
  </si>
  <si>
    <t>7wPkLzyigE</t>
  </si>
  <si>
    <t>2026-06-30T01:09:44.683Z</t>
  </si>
  <si>
    <t>jU4zMeWu2r</t>
  </si>
  <si>
    <t>jmfRutPuTf</t>
  </si>
  <si>
    <t>2026-06-30T01:17:12.456Z</t>
  </si>
  <si>
    <t>J4r42xVZYp</t>
  </si>
  <si>
    <t>b2YufhsrAm</t>
  </si>
  <si>
    <t>2026-06-30T01:34:17.696Z</t>
  </si>
  <si>
    <t>TqW2w8cs4j</t>
  </si>
  <si>
    <t>fubLjnSaf8</t>
  </si>
  <si>
    <t>2026-06-30T01:35:14.140Z</t>
  </si>
  <si>
    <t>Hdd3aLVPCk</t>
  </si>
  <si>
    <t>kD1PkPJV9Q</t>
  </si>
  <si>
    <t>2026-06-30T01:46:29.892Z</t>
  </si>
  <si>
    <t>ZczXLN8V4F</t>
  </si>
  <si>
    <t>jZcduBVtBS</t>
  </si>
  <si>
    <t>2026-06-30T01:47:54.198Z</t>
  </si>
  <si>
    <t>qHSrwznF6D</t>
  </si>
  <si>
    <t>saxUyvabPV</t>
  </si>
  <si>
    <t>2026-06-30T01:49:38.835Z</t>
  </si>
  <si>
    <t>KFbdDgm9gp</t>
  </si>
  <si>
    <t>Wc5jC7e19H</t>
  </si>
  <si>
    <t>2026-06-30T02:13:53.513Z</t>
  </si>
  <si>
    <t>rdTkdkEm5A</t>
  </si>
  <si>
    <t>CRXHFy6qep</t>
  </si>
  <si>
    <t>2026-06-30T02:29:44.531Z</t>
  </si>
  <si>
    <t>UdYAMW1h6S</t>
  </si>
  <si>
    <t>cdQKimwgT8</t>
  </si>
  <si>
    <t>2026-06-30T02:39:12.481Z</t>
  </si>
  <si>
    <t>zZ7HKoWjyF</t>
  </si>
  <si>
    <t>Ja6Y2un96j</t>
  </si>
  <si>
    <t>2026-06-30T02:39:43.325Z</t>
  </si>
  <si>
    <t>VFLTpV4wP6</t>
  </si>
  <si>
    <t>ZoAZ91dktC</t>
  </si>
  <si>
    <t>2026-06-30T02:51:55.757Z</t>
  </si>
  <si>
    <t>t5knoZRN7a</t>
  </si>
  <si>
    <t>H494r9sw6V</t>
  </si>
  <si>
    <t>2026-06-30T02:56:08.669Z</t>
  </si>
  <si>
    <t>j5SFomsFHi</t>
  </si>
  <si>
    <t>DkkWKWEZaR</t>
  </si>
  <si>
    <t>2026-06-30T02:57:47.777Z</t>
  </si>
  <si>
    <t>oQbxVZaq1r</t>
  </si>
  <si>
    <t>pQu4Rbyer2</t>
  </si>
  <si>
    <t>2026-06-30T03:03:38.391Z</t>
  </si>
  <si>
    <t>2yWffpcvrM</t>
  </si>
  <si>
    <t>bEwMCeyJdQ</t>
  </si>
  <si>
    <t>2026-06-30T03:44:20.416Z</t>
  </si>
  <si>
    <t>aPEPDk6ToC</t>
  </si>
  <si>
    <t>12jtW5Nmbr</t>
  </si>
  <si>
    <t>2026-06-30T03:45:53.631Z</t>
  </si>
  <si>
    <t>xTLFVopkuj</t>
  </si>
  <si>
    <t>CuWzHKTNeW</t>
  </si>
  <si>
    <t>2026-06-30T04:21:50.197Z</t>
  </si>
  <si>
    <t>fvoApn46pk</t>
  </si>
  <si>
    <t>fL1TiQ9BMi</t>
  </si>
  <si>
    <t>2026-06-30T04:53:41.386Z</t>
  </si>
  <si>
    <t>QkZKP5v14N</t>
  </si>
  <si>
    <t>4UgYzZMDRi</t>
  </si>
  <si>
    <t>2026-06-30T04:55:29.002Z</t>
  </si>
  <si>
    <t>4CSHjouozv</t>
  </si>
  <si>
    <t>2Agtm3mgBD</t>
  </si>
  <si>
    <t>2026-06-30T05:10:07.165Z</t>
  </si>
  <si>
    <t>C5vCEt9M24</t>
  </si>
  <si>
    <t>un1aHC7iro</t>
  </si>
  <si>
    <t>2026-06-30T05:35:54.655Z</t>
  </si>
  <si>
    <t>miGBf3j6KY</t>
  </si>
  <si>
    <t>tRHCfW61op</t>
  </si>
  <si>
    <t>2026-06-30T06:17:20.472Z</t>
  </si>
  <si>
    <t>hesbWqSbBP</t>
  </si>
  <si>
    <t>fezdczLHXR</t>
  </si>
  <si>
    <t>2026-06-30T13:08:26.026Z</t>
  </si>
  <si>
    <t>YboX2oQJui</t>
  </si>
  <si>
    <t>itoHyQK5bf</t>
  </si>
  <si>
    <t>2026-06-30T15:34:17.869Z</t>
  </si>
  <si>
    <t>3XFRCQDqk7</t>
  </si>
  <si>
    <t>QQbZwGgp8K</t>
  </si>
  <si>
    <t>2026-06-30T15:46:46.158Z</t>
  </si>
  <si>
    <t>539CvYL6ye</t>
  </si>
  <si>
    <t>k5kANbDixo</t>
  </si>
  <si>
    <t>2026-06-30T16:07:52.379Z</t>
  </si>
  <si>
    <t>6gBzNHg5Pr</t>
  </si>
  <si>
    <t>w9DHmB1Kf2</t>
  </si>
  <si>
    <t>2026-06-30T16:14:04.501Z</t>
  </si>
  <si>
    <t>hbUSH5RNqb</t>
  </si>
  <si>
    <t>KQo7oPkotq</t>
  </si>
  <si>
    <t>2026-06-30T16:23:45.491Z</t>
  </si>
  <si>
    <t>hF8ogTMw6u</t>
  </si>
  <si>
    <t>zpLEMHt8Mj</t>
  </si>
  <si>
    <t>2026-06-30T16:38:25.052Z</t>
  </si>
  <si>
    <t>UhTTHxDgHy</t>
  </si>
  <si>
    <t>Png6DSziWw</t>
  </si>
  <si>
    <t>2026-06-30T17:56:03.027Z</t>
  </si>
  <si>
    <t>VwDVyGd3ug</t>
  </si>
  <si>
    <t>RXLxqV5Uih</t>
  </si>
  <si>
    <t>2026-06-30T19:11:28.415Z</t>
  </si>
  <si>
    <t>znEh87EdP1</t>
  </si>
  <si>
    <t>W31xDwATWV</t>
  </si>
  <si>
    <t>2026-06-30T20:47:29.981Z</t>
  </si>
  <si>
    <t>Daeg9B96Cn</t>
  </si>
  <si>
    <t>zzXkV5QC5e</t>
  </si>
  <si>
    <t>2026-06-30T21:10:43.629Z</t>
  </si>
  <si>
    <t>Qir7ZAu1yb</t>
  </si>
  <si>
    <t>Kai2Rt7euT</t>
  </si>
  <si>
    <t>2026-06-30T22:00:13.726Z</t>
  </si>
  <si>
    <t>KypbULxVvM</t>
  </si>
  <si>
    <t>AJFDCLSEH9</t>
  </si>
  <si>
    <t>2026-06-30T23:06:05.024Z</t>
  </si>
  <si>
    <t>dhpPCPL2uW</t>
  </si>
  <si>
    <t>PajZZtixtq</t>
  </si>
  <si>
    <t>2026-06-30T23:22:01.371Z</t>
  </si>
  <si>
    <t>JYSn5XYshU</t>
  </si>
  <si>
    <t>ntotHw3ksQ</t>
  </si>
  <si>
    <t>2026-06-30T23:59:44.266Z</t>
  </si>
  <si>
    <t>1YxZ2jd7bC</t>
  </si>
  <si>
    <t>xmXxJoxAc4</t>
  </si>
  <si>
    <t>2026-07-01T00:13:38.376Z</t>
  </si>
  <si>
    <t>ZoQz8bdG87</t>
  </si>
  <si>
    <t>8yPfM2XXq5</t>
  </si>
  <si>
    <t>2026-07-01T00:35:47.485Z</t>
  </si>
  <si>
    <t>FDH6DFHUpt</t>
  </si>
  <si>
    <t>679X1Q3xTR</t>
  </si>
  <si>
    <t>2026-07-01T00:37:17.193Z</t>
  </si>
  <si>
    <t>bDdWk7ECfZ</t>
  </si>
  <si>
    <t>Z2jEGB8pb5</t>
  </si>
  <si>
    <t>2026-07-01T01:18:59.809Z</t>
  </si>
  <si>
    <t>idggTGfP8v</t>
  </si>
  <si>
    <t>R2mdEdvcVs</t>
  </si>
  <si>
    <t>2026-07-01T01:31:03.346Z</t>
  </si>
  <si>
    <t>HZf3Bsm9ZR</t>
  </si>
  <si>
    <t>5nCP8dNK4R</t>
  </si>
  <si>
    <t>2026-07-01T01:54:54.425Z</t>
  </si>
  <si>
    <t>iJTQkr7c8S</t>
  </si>
  <si>
    <t>vp3RXXZsNZ</t>
  </si>
  <si>
    <t>2026-07-01T02:08:30.063Z</t>
  </si>
  <si>
    <t>m85dEWDHLZ</t>
  </si>
  <si>
    <t>9J2ScHXp18</t>
  </si>
  <si>
    <t>2026-07-01T02:29:26.230Z</t>
  </si>
  <si>
    <t>pnji78Eavm</t>
  </si>
  <si>
    <t>atuqi6FyVF</t>
  </si>
  <si>
    <t>2026-07-01T03:04:21.339Z</t>
  </si>
  <si>
    <t>77SgiiVQpV</t>
  </si>
  <si>
    <t>e2LqbLbHKo</t>
  </si>
  <si>
    <t>2026-07-01T03:05:56.907Z</t>
  </si>
  <si>
    <t>q2MhE4YtEk</t>
  </si>
  <si>
    <t>K9VmodRsQS</t>
  </si>
  <si>
    <t>2026-07-01T03:41:37.468Z</t>
  </si>
  <si>
    <t>vBj2nLzYNG</t>
  </si>
  <si>
    <t>nwGow6uV25</t>
  </si>
  <si>
    <t>2026-07-01T03:42:59.984Z</t>
  </si>
  <si>
    <t>6iVbtvErNq</t>
  </si>
  <si>
    <t>HQUEf1Qcf3</t>
  </si>
  <si>
    <t>2026-07-01T03:56:46.649Z</t>
  </si>
  <si>
    <t>h7aq8SPRrD</t>
  </si>
  <si>
    <t>J4XbRxrWfu</t>
  </si>
  <si>
    <t>2026-07-01T04:08:26.582Z</t>
  </si>
  <si>
    <t>GPnCiUrNgp</t>
  </si>
  <si>
    <t>tH7GQH52gg</t>
  </si>
  <si>
    <t>2026-07-01T04:47:23.624Z</t>
  </si>
  <si>
    <t>TWFD427XNg</t>
  </si>
  <si>
    <t>vgzSUgGvSq</t>
  </si>
  <si>
    <t>2026-07-01T04:50:40.236Z</t>
  </si>
  <si>
    <t>DVgupshvL4</t>
  </si>
  <si>
    <t>oNDaDCBbfK</t>
  </si>
  <si>
    <t>2026-07-01T05:32:10.271Z</t>
  </si>
  <si>
    <t>t4REiUjbhR</t>
  </si>
  <si>
    <t>Z9fEph8o4D</t>
  </si>
  <si>
    <t>2026-07-01T09:24:31.251Z</t>
  </si>
  <si>
    <t>yDyB47BLQ9</t>
  </si>
  <si>
    <t>qMohec2mYV</t>
  </si>
  <si>
    <t>2026-07-01T11:54:28.835Z</t>
  </si>
  <si>
    <t>oAyLwyev9F</t>
  </si>
  <si>
    <t>vmEcpxKNDt</t>
  </si>
  <si>
    <t>2026-07-01T13:20:16.900Z</t>
  </si>
  <si>
    <t>i7NNVqBXVr</t>
  </si>
  <si>
    <t>U5FZe2agDT</t>
  </si>
  <si>
    <t>2026-07-01T13:39:05.563Z</t>
  </si>
  <si>
    <t>qbDEdJykn7</t>
  </si>
  <si>
    <t>BAogFFx2m6</t>
  </si>
  <si>
    <t>2026-07-01T15:39:09.523Z</t>
  </si>
  <si>
    <t>qkTaJh9drG</t>
  </si>
  <si>
    <t>GLhFumqTPd</t>
  </si>
  <si>
    <t>2026-07-01T16:03:25.097Z</t>
  </si>
  <si>
    <t>huTEKByPTW</t>
  </si>
  <si>
    <t>3ZwfSQ2i7P</t>
  </si>
  <si>
    <t>2026-07-01T16:48:28.501Z</t>
  </si>
  <si>
    <t>26j18pnBcg</t>
  </si>
  <si>
    <t>xmm4iijsff</t>
  </si>
  <si>
    <t>2026-07-01T17:25:57.329Z</t>
  </si>
  <si>
    <t>wymKfEGt79</t>
  </si>
  <si>
    <t>84LVZaFyGp</t>
  </si>
  <si>
    <t>2026-07-01T18:51:39.358Z</t>
  </si>
  <si>
    <t>q6rKJ5tqJb</t>
  </si>
  <si>
    <t>ajsYu5uwoA</t>
  </si>
  <si>
    <t>2026-07-01T19:08:33.558Z</t>
  </si>
  <si>
    <t>mwC1xhtYmn</t>
  </si>
  <si>
    <t>AdSXvQ3iXo</t>
  </si>
  <si>
    <t>2026-07-01T19:31:48.534Z</t>
  </si>
  <si>
    <t>nE2a3RmcMN</t>
  </si>
  <si>
    <t>meAJa111Hf</t>
  </si>
  <si>
    <t>2026-07-01T20:03:25.476Z</t>
  </si>
  <si>
    <t>2nuuBZAvvz</t>
  </si>
  <si>
    <t>1Zr5nDvrFK</t>
  </si>
  <si>
    <t>2026-07-01T20:23:39.395Z</t>
  </si>
  <si>
    <t>xKRSRVaYt2</t>
  </si>
  <si>
    <t>SKEbFDkeWS</t>
  </si>
  <si>
    <t>2026-07-01T22:37:50.999Z</t>
  </si>
  <si>
    <t>WDZpVFrPMz</t>
  </si>
  <si>
    <t>gzZLQVXPij</t>
  </si>
  <si>
    <t>2026-07-01T23:21:26.222Z</t>
  </si>
  <si>
    <t>ynCbkcSXsd</t>
  </si>
  <si>
    <t>p1Sj4b1Lo7</t>
  </si>
  <si>
    <t>2026-07-02T00:25:26.380Z</t>
  </si>
  <si>
    <t>GNnaf4MzU6</t>
  </si>
  <si>
    <t>KDYsr3APSQ</t>
  </si>
  <si>
    <t>2026-07-02T00:59:47.875Z</t>
  </si>
  <si>
    <t>bYhLNRFZ8y</t>
  </si>
  <si>
    <t>1SZnxJuqTU</t>
  </si>
  <si>
    <t>2026-07-02T01:22:11.200Z</t>
  </si>
  <si>
    <t>3PaaVYcBjB</t>
  </si>
  <si>
    <t>xfAScivLyF</t>
  </si>
  <si>
    <t>2026-07-02T01:36:37.611Z</t>
  </si>
  <si>
    <t>pRzmJU4P6E</t>
  </si>
  <si>
    <t>h962yvMu1d</t>
  </si>
  <si>
    <t>2026-07-02T02:26:23.399Z</t>
  </si>
  <si>
    <t>xAumFvVEqT</t>
  </si>
  <si>
    <t>5BoRLVN1Vv</t>
  </si>
  <si>
    <t>2026-07-02T02:55:21.751Z</t>
  </si>
  <si>
    <t>Lv6pr9mvYc</t>
  </si>
  <si>
    <t>sya6Nb28Gm</t>
  </si>
  <si>
    <t>2026-07-02T03:58:47.167Z</t>
  </si>
  <si>
    <t>hUav9Bc1Nk</t>
  </si>
  <si>
    <t>1zRFRWstfZ</t>
  </si>
  <si>
    <t>2026-07-02T04:06:59.895Z</t>
  </si>
  <si>
    <t>k5oHmfPDRS</t>
  </si>
  <si>
    <t>J7BQiUPzfn</t>
  </si>
  <si>
    <t>2026-07-02T04:17:22.844Z</t>
  </si>
  <si>
    <t>nWP5MaE83f</t>
  </si>
  <si>
    <t>qTamr5Qyoe</t>
  </si>
  <si>
    <t>2026-07-02T04:48:27.852Z</t>
  </si>
  <si>
    <t>JmTNhHFJBd</t>
  </si>
  <si>
    <t>VnL9XcZLPn</t>
  </si>
  <si>
    <t>2026-07-02T04:54:35.123Z</t>
  </si>
  <si>
    <t>uNkbbMe49o</t>
  </si>
  <si>
    <t>tnphfbsdxr</t>
  </si>
  <si>
    <t>2026-07-02T05:20:59.703Z</t>
  </si>
  <si>
    <t>Pu89toZ6MZ</t>
  </si>
  <si>
    <t>SFkNzXs3cz</t>
  </si>
  <si>
    <t>2026-07-02T05:23:45.198Z</t>
  </si>
  <si>
    <t>RcGqVPjqpf</t>
  </si>
  <si>
    <t>XY1UNHH8GM</t>
  </si>
  <si>
    <t>2026-07-02T05:35:55.730Z</t>
  </si>
  <si>
    <t>A5z94tVf7f</t>
  </si>
  <si>
    <t>iFfaGW4DXQ</t>
  </si>
  <si>
    <t>2026-07-02T05:40:51.517Z</t>
  </si>
  <si>
    <t>Q1g9todrK5</t>
  </si>
  <si>
    <t>2mYmh9xGiQ</t>
  </si>
  <si>
    <t>2026-07-02T07:17:35.412Z</t>
  </si>
  <si>
    <t>x1GWY8jVNi</t>
  </si>
  <si>
    <t>jS2EHXfuTU</t>
  </si>
  <si>
    <t>2026-07-02T11:55:51.569Z</t>
  </si>
  <si>
    <t>RRPnsbYGGs</t>
  </si>
  <si>
    <t>TTcs3RvP6e</t>
  </si>
  <si>
    <t>2026-07-02T13:01:03.745Z</t>
  </si>
  <si>
    <t>JJoD2Eq29Z</t>
  </si>
  <si>
    <t>xW2qMmf1De</t>
  </si>
  <si>
    <t>2026-07-02T13:23:13.899Z</t>
  </si>
  <si>
    <t>nHcagGmSdK</t>
  </si>
  <si>
    <t>LdvRi8kLLE</t>
  </si>
  <si>
    <t>2026-07-02T13:53:03.404Z</t>
  </si>
  <si>
    <t>cViTWJfzqK</t>
  </si>
  <si>
    <t>CjF6bfU1jn</t>
  </si>
  <si>
    <t>2026-07-02T14:09:06.927Z</t>
  </si>
  <si>
    <t>ciKQEzSLJy</t>
  </si>
  <si>
    <t>UxQHL8aYnM</t>
  </si>
  <si>
    <t>2026-07-02T14:45:39.302Z</t>
  </si>
  <si>
    <t>hj7qFSYV8V</t>
  </si>
  <si>
    <t>AySg4Ut8Zo</t>
  </si>
  <si>
    <t>2026-07-02T15:47:10.841Z</t>
  </si>
  <si>
    <t>gVmnzVr5US</t>
  </si>
  <si>
    <t>rn2ULBMoGC</t>
  </si>
  <si>
    <t>2026-07-02T15:56:52.345Z</t>
  </si>
  <si>
    <t>ueCZx2augC</t>
  </si>
  <si>
    <t>XdfEF9AWS7</t>
  </si>
  <si>
    <t>2026-07-02T16:24:48.465Z</t>
  </si>
  <si>
    <t>jj3MioNHKF</t>
  </si>
  <si>
    <t>H5ypxEZhmK</t>
  </si>
  <si>
    <t>2026-07-02T16:29:46.535Z</t>
  </si>
  <si>
    <t>kXSvhuj18j</t>
  </si>
  <si>
    <t>GZe42EnMNc</t>
  </si>
  <si>
    <t>2026-07-02T16:41:48.606Z</t>
  </si>
  <si>
    <t>22oEain6WS</t>
  </si>
  <si>
    <t>fizhaeGnvh</t>
  </si>
  <si>
    <t>2026-07-02T17:03:11.882Z</t>
  </si>
  <si>
    <t>EXQndAMmH9</t>
  </si>
  <si>
    <t>7nyQ9T23uP</t>
  </si>
  <si>
    <t>2026-07-02T17:29:56.807Z</t>
  </si>
  <si>
    <t>uu4Gi8cEEF</t>
  </si>
  <si>
    <t>tYGcW7ppRB</t>
  </si>
  <si>
    <t>2026-07-02T17:59:01.139Z</t>
  </si>
  <si>
    <t>U8RdcQVFbm</t>
  </si>
  <si>
    <t>iaFMin9WNw</t>
  </si>
  <si>
    <t>2026-07-02T17:59:37.799Z</t>
  </si>
  <si>
    <t>2nnKwE6FRJ</t>
  </si>
  <si>
    <t>bHosoRgQQB</t>
  </si>
  <si>
    <t>2026-07-02T18:41:46.366Z</t>
  </si>
  <si>
    <t>HdHKkGCKW5</t>
  </si>
  <si>
    <t>tDW7UnHaDw</t>
  </si>
  <si>
    <t>2026-07-02T19:43:28.625Z</t>
  </si>
  <si>
    <t>f7FdCtQ9o1</t>
  </si>
  <si>
    <t>jTDQiLT1oz</t>
  </si>
  <si>
    <t>2026-07-02T20:17:54.341Z</t>
  </si>
  <si>
    <t>1xyPJ8yjN4</t>
  </si>
  <si>
    <t>YcNcutER9i</t>
  </si>
  <si>
    <t>2026-07-02T20:37:27.123Z</t>
  </si>
  <si>
    <t>fX2SErVunH</t>
  </si>
  <si>
    <t>qzDEqfZviT</t>
  </si>
  <si>
    <t>2026-07-02T21:07:55.484Z</t>
  </si>
  <si>
    <t>QB5tXP5YRj</t>
  </si>
  <si>
    <t>jHBBrBMcxA</t>
  </si>
  <si>
    <t>2026-07-02T21:34:49.844Z</t>
  </si>
  <si>
    <t>71JDsEzDLk</t>
  </si>
  <si>
    <t>hyC4u1RdHw</t>
  </si>
  <si>
    <t>2026-07-02T21:53:55.888Z</t>
  </si>
  <si>
    <t>MeYPZjtiHg</t>
  </si>
  <si>
    <t>YcoRHu1NDR</t>
  </si>
  <si>
    <t>2026-07-02T22:49:39.050Z</t>
  </si>
  <si>
    <t>wFJnJFzdUm</t>
  </si>
  <si>
    <t>PTVb5qkaX8</t>
  </si>
  <si>
    <t>2026-07-02T23:39:06.449Z</t>
  </si>
  <si>
    <t>16VBZyYzK5</t>
  </si>
  <si>
    <t>z81LfqFqpZ</t>
  </si>
  <si>
    <t>2026-07-03T00:00:11.439Z</t>
  </si>
  <si>
    <t>6aUa8dpKrU</t>
  </si>
  <si>
    <t>VGJPbwB67C</t>
  </si>
  <si>
    <t>2026-07-03T01:10:42.051Z</t>
  </si>
  <si>
    <t>GaKCTRbxEb</t>
  </si>
  <si>
    <t>rBghfVHFsg</t>
  </si>
  <si>
    <t>2026-07-03T01:47:57.241Z</t>
  </si>
  <si>
    <t>anNrkvssnY</t>
  </si>
  <si>
    <t>AfNgFfNHtE</t>
  </si>
  <si>
    <t>2026-07-03T02:02:21.703Z</t>
  </si>
  <si>
    <t>7kmwzDEv88</t>
  </si>
  <si>
    <t>cBzafcETkP</t>
  </si>
  <si>
    <t>2026-07-03T02:24:26.743Z</t>
  </si>
  <si>
    <t>X9n2QfqpyA</t>
  </si>
  <si>
    <t>6Lr9UbSeSu</t>
  </si>
  <si>
    <t>2026-07-03T02:31:47.615Z</t>
  </si>
  <si>
    <t>3efSe6MFNG</t>
  </si>
  <si>
    <t>FvpahGSH3G</t>
  </si>
  <si>
    <t>2026-07-03T03:09:44.877Z</t>
  </si>
  <si>
    <t>oif1Ne9Wic</t>
  </si>
  <si>
    <t>qo4YqVpWpz</t>
  </si>
  <si>
    <t>2026-07-03T03:36:30.030Z</t>
  </si>
  <si>
    <t>LPGg8UgUTs</t>
  </si>
  <si>
    <t>LCVw73qV1W</t>
  </si>
  <si>
    <t>2026-07-03T03:40:06.762Z</t>
  </si>
  <si>
    <t>MCP9vVFs4M</t>
  </si>
  <si>
    <t>9nGN5Rzh92</t>
  </si>
  <si>
    <t>2026-07-03T04:25:12.666Z</t>
  </si>
  <si>
    <t>3XtM2h1Aj8</t>
  </si>
  <si>
    <t>MSz2tGWBRC</t>
  </si>
  <si>
    <t>2026-07-03T05:04:41.642Z</t>
  </si>
  <si>
    <t>HSNGbuDqHD</t>
  </si>
  <si>
    <t>Cp8Zt5XPa6</t>
  </si>
  <si>
    <t>2026-07-03T05:10:39.822Z</t>
  </si>
  <si>
    <t>PRbs4dZc1H</t>
  </si>
  <si>
    <t>wRsDYDyX6n</t>
  </si>
  <si>
    <t>2026-07-03T05:34:11.848Z</t>
  </si>
  <si>
    <t>9W2vJSPSd7</t>
  </si>
  <si>
    <t>J3uDngGx8s</t>
  </si>
  <si>
    <t>2026-07-03T07:26:21.104Z</t>
  </si>
  <si>
    <t>r4mjGzJf4B</t>
  </si>
  <si>
    <t>SyqM4HahNJ</t>
  </si>
  <si>
    <t>2026-07-03T07:28:15.716Z</t>
  </si>
  <si>
    <t>PQxvBFyHLv</t>
  </si>
  <si>
    <t>nAU9vZwHPg</t>
  </si>
  <si>
    <t>2026-07-03T11:42:35.660Z</t>
  </si>
  <si>
    <t>bcPjKbntLH</t>
  </si>
  <si>
    <t>JEeG1YdbeN</t>
  </si>
  <si>
    <t>2026-07-03T12:46:04.053Z</t>
  </si>
  <si>
    <t>y7dZ6sK8Cd</t>
  </si>
  <si>
    <t>2gkStWQLb4</t>
  </si>
  <si>
    <t>2026-07-03T14:10:15.450Z</t>
  </si>
  <si>
    <t>6H38mSJANA</t>
  </si>
  <si>
    <t>mF9mByK7ki</t>
  </si>
  <si>
    <t>2026-07-03T14:50:24.573Z</t>
  </si>
  <si>
    <t>fhT1WgN6Uj</t>
  </si>
  <si>
    <t>nRgZqhx7X3</t>
  </si>
  <si>
    <t>2026-07-03T15:33:08.499Z</t>
  </si>
  <si>
    <t>UKBbvqeUMD</t>
  </si>
  <si>
    <t>zNCcroLwAT</t>
  </si>
  <si>
    <t>2026-07-03T15:56:55.882Z</t>
  </si>
  <si>
    <t>9opeH2Fm3G</t>
  </si>
  <si>
    <t>E6TrWFEw8D</t>
  </si>
  <si>
    <t>2026-07-03T16:20:44.166Z</t>
  </si>
  <si>
    <t>poUAGkT8tU</t>
  </si>
  <si>
    <t>uThCHjxNfD</t>
  </si>
  <si>
    <t>2026-07-03T16:30:41.094Z</t>
  </si>
  <si>
    <t>QQ2pQx9exM</t>
  </si>
  <si>
    <t>wbJUGnRHFD</t>
  </si>
  <si>
    <t>2026-07-03T16:32:07.962Z</t>
  </si>
  <si>
    <t>84D6Rq1RpW</t>
  </si>
  <si>
    <t>QzUZPT1Xhy</t>
  </si>
  <si>
    <t>2026-07-03T17:06:07.733Z</t>
  </si>
  <si>
    <t>2arJVmrAAd</t>
  </si>
  <si>
    <t>1hEksHMZRF</t>
  </si>
  <si>
    <t>2026-07-03T17:06:11.252Z</t>
  </si>
  <si>
    <t>HrqxcG6ZB5</t>
  </si>
  <si>
    <t>k5WwnrrwZN</t>
  </si>
  <si>
    <t>2026-07-03T17:48:22.903Z</t>
  </si>
  <si>
    <t>hJEc9zPLmY</t>
  </si>
  <si>
    <t>GPx8digycY</t>
  </si>
  <si>
    <t>2026-07-03T17:52:21.328Z</t>
  </si>
  <si>
    <t>LW2q2pJRZZ</t>
  </si>
  <si>
    <t>Mwd1t7Zpvd</t>
  </si>
  <si>
    <t>2026-07-03T18:13:40.694Z</t>
  </si>
  <si>
    <t>47omjZntka</t>
  </si>
  <si>
    <t>P33f4MB81s</t>
  </si>
  <si>
    <t>2026-07-03T18:29:27.439Z</t>
  </si>
  <si>
    <t>zrGVbQLnA5</t>
  </si>
  <si>
    <t>p6BakQbEK4</t>
  </si>
  <si>
    <t>2026-07-03T18:58:59.156Z</t>
  </si>
  <si>
    <t>JsboXxcPHY</t>
  </si>
  <si>
    <t>qLNF1UT7fS</t>
  </si>
  <si>
    <t>2026-07-03T19:31:06.971Z</t>
  </si>
  <si>
    <t>V4iRNyPLnf</t>
  </si>
  <si>
    <t>ZEtt6CZ8wX</t>
  </si>
  <si>
    <t>2026-07-03T19:45:12.341Z</t>
  </si>
  <si>
    <t>RSum3b6Z2v</t>
  </si>
  <si>
    <t>q9iL3Sfx3L</t>
  </si>
  <si>
    <t>2026-07-03T19:59:25.358Z</t>
  </si>
  <si>
    <t>vNoXSpuz81</t>
  </si>
  <si>
    <t>tixUphx8GD</t>
  </si>
  <si>
    <t>2026-07-03T20:23:51.763Z</t>
  </si>
  <si>
    <t>hdzGQTHLHB</t>
  </si>
  <si>
    <t>ADmhTAiY1Z</t>
  </si>
  <si>
    <t>2026-07-03T21:56:13.656Z</t>
  </si>
  <si>
    <t>AtX38sF52j</t>
  </si>
  <si>
    <t>4bGp5N8y9m</t>
  </si>
  <si>
    <t>2026-07-03T21:56:32.669Z</t>
  </si>
  <si>
    <t>9NKRYXDPPd</t>
  </si>
  <si>
    <t>DwhmgX6cGD</t>
  </si>
  <si>
    <t>2026-07-03T22:02:32.107Z</t>
  </si>
  <si>
    <t>JP6iqxRiHi</t>
  </si>
  <si>
    <t>vroLP87Td1</t>
  </si>
  <si>
    <t>2026-07-03T22:02:36.915Z</t>
  </si>
  <si>
    <t>NGtZCoWcES</t>
  </si>
  <si>
    <t>vrhkuFSEHg</t>
  </si>
  <si>
    <t>2026-07-03T22:02:40.870Z</t>
  </si>
  <si>
    <t>VCJRVkeGdr</t>
  </si>
  <si>
    <t>1xHYrQZsPT</t>
  </si>
  <si>
    <t>2026-07-03T22:05:48.406Z</t>
  </si>
  <si>
    <t>pxKNtcymkV</t>
  </si>
  <si>
    <t>xQBrhBoZxW</t>
  </si>
  <si>
    <t>2026-07-03T22:06:05.494Z</t>
  </si>
  <si>
    <t>3nA9S6cBQu</t>
  </si>
  <si>
    <t>9tmNXgmCbb</t>
  </si>
  <si>
    <t>2026-07-03T22:07:36.121Z</t>
  </si>
  <si>
    <t>B3jEJLgKrt</t>
  </si>
  <si>
    <t>9zwpKiFZHP</t>
  </si>
  <si>
    <t>2026-07-03T22:07:52.746Z</t>
  </si>
  <si>
    <t>5EraJdX2yZ</t>
  </si>
  <si>
    <t>hD8GBA6GK4</t>
  </si>
  <si>
    <t>2026-07-03T22:10:09.951Z</t>
  </si>
  <si>
    <t>63M6kr4g1x</t>
  </si>
  <si>
    <t>kK7SErw5Ch</t>
  </si>
  <si>
    <t>2026-07-03T22:19:45.371Z</t>
  </si>
  <si>
    <t>mKrus1i3Nq</t>
  </si>
  <si>
    <t>xnDNbFNNof</t>
  </si>
  <si>
    <t>2026-07-03T22:20:01.366Z</t>
  </si>
  <si>
    <t>JEWMPeD6AP</t>
  </si>
  <si>
    <t>j81zR1ehcf</t>
  </si>
  <si>
    <t>2026-07-03T22:37:40.334Z</t>
  </si>
  <si>
    <t>SD3sDq8p13</t>
  </si>
  <si>
    <t>WN4ndzfwAE</t>
  </si>
  <si>
    <t>2026-07-03T22:42:00.459Z</t>
  </si>
  <si>
    <t>8JjDGaJ6ZG</t>
  </si>
  <si>
    <t>tb23kW7fPA</t>
  </si>
  <si>
    <t>2026-07-03T22:45:19.092Z</t>
  </si>
  <si>
    <t>YmKCz55JjF</t>
  </si>
  <si>
    <t>rThCDwdy3T</t>
  </si>
  <si>
    <t>2026-07-03T22:50:05.839Z</t>
  </si>
  <si>
    <t>yvV9aibQb8</t>
  </si>
  <si>
    <t>E1BEJwMiBp</t>
  </si>
  <si>
    <t>2026-07-03T22:50:47.771Z</t>
  </si>
  <si>
    <t>Xp1eWjSZLr</t>
  </si>
  <si>
    <t>w7UJDRt5hP</t>
  </si>
  <si>
    <t>2026-07-03T22:55:24.659Z</t>
  </si>
  <si>
    <t>vXXPuJujuy</t>
  </si>
  <si>
    <t>yb43A4hpQq</t>
  </si>
  <si>
    <t>2026-07-03T23:00:53.903Z</t>
  </si>
  <si>
    <t>sQA5U7QLKC</t>
  </si>
  <si>
    <t>UDkBZPf5p6</t>
  </si>
  <si>
    <t>2026-07-03T23:05:07.353Z</t>
  </si>
  <si>
    <t>uDNAcQG9tC</t>
  </si>
  <si>
    <t>jJPX2ayyqL</t>
  </si>
  <si>
    <t>2026-07-03T23:14:48.802Z</t>
  </si>
  <si>
    <t>WT76mm1JW2</t>
  </si>
  <si>
    <t>oNKfszbQLj</t>
  </si>
  <si>
    <t>2026-07-03T23:23:47.661Z</t>
  </si>
  <si>
    <t>f4VuWmTuwF</t>
  </si>
  <si>
    <t>r9TXuwcvc4</t>
  </si>
  <si>
    <t>2026-07-03T23:25:59.580Z</t>
  </si>
  <si>
    <t>xH8FLG99MF</t>
  </si>
  <si>
    <t>cvwyrtvBkQ</t>
  </si>
  <si>
    <t>2026-07-03T23:27:28.428Z</t>
  </si>
  <si>
    <t>wik8nbMFDY</t>
  </si>
  <si>
    <t>H4C1kSRugH</t>
  </si>
  <si>
    <t>2026-07-03T23:56:14.046Z</t>
  </si>
  <si>
    <t>uwXPvXJAmX</t>
  </si>
  <si>
    <t>GCzKHQ7bRs</t>
  </si>
  <si>
    <t>2026-07-03T23:56:47.270Z</t>
  </si>
  <si>
    <t>KLF39NHezs</t>
  </si>
  <si>
    <t>XsxjqVo9GP</t>
  </si>
  <si>
    <t>2026-07-04T00:35:52.586Z</t>
  </si>
  <si>
    <t>RuBiBDhjmQ</t>
  </si>
  <si>
    <t>V5o1NThTve</t>
  </si>
  <si>
    <t>2026-07-04T00:36:45.841Z</t>
  </si>
  <si>
    <t>QZ1n1BAn7w</t>
  </si>
  <si>
    <t>tbwDCcWTm3</t>
  </si>
  <si>
    <t>2026-07-04T00:39:26.600Z</t>
  </si>
  <si>
    <t>DgPrYjFaY4</t>
  </si>
  <si>
    <t>X7udrJV7B5</t>
  </si>
  <si>
    <t>2026-07-04T00:42:10.097Z</t>
  </si>
  <si>
    <t>5dAn7we3o5</t>
  </si>
  <si>
    <t>Y3MreVBeLo</t>
  </si>
  <si>
    <t>2026-07-04T00:53:07.393Z</t>
  </si>
  <si>
    <t>xAzFvNyR4H</t>
  </si>
  <si>
    <t>8yfZHvHHBw</t>
  </si>
  <si>
    <t>2026-07-04T01:12:46.424Z</t>
  </si>
  <si>
    <t>2dxn2Dk59b</t>
  </si>
  <si>
    <t>Wv9VPieS5F</t>
  </si>
  <si>
    <t>2026-07-04T01:17:01.416Z</t>
  </si>
  <si>
    <t>5s33JYQJts</t>
  </si>
  <si>
    <t>JzrbZe2LsS</t>
  </si>
  <si>
    <t>2026-07-04T01:35:35.876Z</t>
  </si>
  <si>
    <t>dBGS4wh1dj</t>
  </si>
  <si>
    <t>wAVrDYTVr2</t>
  </si>
  <si>
    <t>2026-07-04T01:36:52.272Z</t>
  </si>
  <si>
    <t>JARCjnzR9k</t>
  </si>
  <si>
    <t>pgQ1oQowik</t>
  </si>
  <si>
    <t>2026-07-04T01:48:55.986Z</t>
  </si>
  <si>
    <t>G7AA9sf8Re</t>
  </si>
  <si>
    <t>eV9akXWxSk</t>
  </si>
  <si>
    <t>2026-07-04T02:00:42.622Z</t>
  </si>
  <si>
    <t>1yUrnmLmjK</t>
  </si>
  <si>
    <t>4m9rwJhB45</t>
  </si>
  <si>
    <t>2026-07-04T02:08:25.044Z</t>
  </si>
  <si>
    <t>z75XSiCizS</t>
  </si>
  <si>
    <t>2G7F6qDexJ</t>
  </si>
  <si>
    <t>2026-07-04T02:20:54.813Z</t>
  </si>
  <si>
    <t>XokvzwqVG1</t>
  </si>
  <si>
    <t>hE9AJo1gjT</t>
  </si>
  <si>
    <t>2026-07-04T02:24:32.598Z</t>
  </si>
  <si>
    <t>XXJ8y7oDbn</t>
  </si>
  <si>
    <t>cAbo2FMDk5</t>
  </si>
  <si>
    <t>2026-07-04T02:31:52.765Z</t>
  </si>
  <si>
    <t>NEZZm8b7XZ</t>
  </si>
  <si>
    <t>71V5Rsm6Z5</t>
  </si>
  <si>
    <t>2026-07-04T02:39:46.285Z</t>
  </si>
  <si>
    <t>8A4aFnqn6X</t>
  </si>
  <si>
    <t>vfxB85hqtQ</t>
  </si>
  <si>
    <t>2026-07-04T02:41:23.556Z</t>
  </si>
  <si>
    <t>JvBE1sSvnq</t>
  </si>
  <si>
    <t>PmnjP3JSno</t>
  </si>
  <si>
    <t>2026-07-04T02:48:56.117Z</t>
  </si>
  <si>
    <t>ZtZXrwvLj9</t>
  </si>
  <si>
    <t>F83KmXWBjg</t>
  </si>
  <si>
    <t>2026-07-04T02:49:00.242Z</t>
  </si>
  <si>
    <t>jJGVRTpShn</t>
  </si>
  <si>
    <t>jh4ujoTZwe</t>
  </si>
  <si>
    <t>2026-07-04T02:55:52.858Z</t>
  </si>
  <si>
    <t>jjCWSFkEaM</t>
  </si>
  <si>
    <t>LB7zgquJFQ</t>
  </si>
  <si>
    <t>2026-07-04T03:05:34.307Z</t>
  </si>
  <si>
    <t>TwkVNf735H</t>
  </si>
  <si>
    <t>6qMTrFd85a</t>
  </si>
  <si>
    <t>2026-07-04T03:15:21.833Z</t>
  </si>
  <si>
    <t>4S5ajdV2bS</t>
  </si>
  <si>
    <t>HMFu6vyqpx</t>
  </si>
  <si>
    <t>2026-07-04T03:22:19.732Z</t>
  </si>
  <si>
    <t>dwocf6Da1x</t>
  </si>
  <si>
    <t>QGEaCKu344</t>
  </si>
  <si>
    <t>2026-07-04T03:23:32.602Z</t>
  </si>
  <si>
    <t>DweydqZ8Lo</t>
  </si>
  <si>
    <t>9dEtSL4uuH</t>
  </si>
  <si>
    <t>2026-07-04T03:54:51.342Z</t>
  </si>
  <si>
    <t>wZmiT1DHjW</t>
  </si>
  <si>
    <t>C5EYPQ2d7y</t>
  </si>
  <si>
    <t>2026-07-04T04:00:11.487Z</t>
  </si>
  <si>
    <t>zKDj6EfAN2</t>
  </si>
  <si>
    <t>a6yWDSoiFR</t>
  </si>
  <si>
    <t>2026-07-04T04:26:10.714Z</t>
  </si>
  <si>
    <t>EheTPHg8vY</t>
  </si>
  <si>
    <t>Qs8axW2gfb</t>
  </si>
  <si>
    <t>2026-07-04T04:38:18.556Z</t>
  </si>
  <si>
    <t>SZYTUijyFd</t>
  </si>
  <si>
    <t>YBjVNYWRJm</t>
  </si>
  <si>
    <t>2026-07-04T04:52:10.670Z</t>
  </si>
  <si>
    <t>h5SdEQ8F3p</t>
  </si>
  <si>
    <t>8MxjWHZ8Lz</t>
  </si>
  <si>
    <t>2026-07-04T05:01:23.124Z</t>
  </si>
  <si>
    <t>pHMbeh85wJ</t>
  </si>
  <si>
    <t>nftUrd4b4J</t>
  </si>
  <si>
    <t>2026-07-04T05:02:52.603Z</t>
  </si>
  <si>
    <t>VEzELbiv8q</t>
  </si>
  <si>
    <t>D6nP1gagCC</t>
  </si>
  <si>
    <t>2026-07-04T05:04:27.725Z</t>
  </si>
  <si>
    <t>7oBZ9R74rP</t>
  </si>
  <si>
    <t>TGv4Y1Copv</t>
  </si>
  <si>
    <t>2026-07-04T05:39:00.095Z</t>
  </si>
  <si>
    <t>Rf4PGkG7TL</t>
  </si>
  <si>
    <t>6uK4TGQkjc</t>
  </si>
  <si>
    <t>2026-07-04T06:12:49.072Z</t>
  </si>
  <si>
    <t>a3PsEN8wPj</t>
  </si>
  <si>
    <t>xTpXokEgpB</t>
  </si>
  <si>
    <t>2026-07-04T06:29:50.090Z</t>
  </si>
  <si>
    <t>fV4JxNy23g</t>
  </si>
  <si>
    <t>scdCj4554M</t>
  </si>
  <si>
    <t>2026-07-04T11:14:21.725Z</t>
  </si>
  <si>
    <t>yNS2UBmkHM</t>
  </si>
  <si>
    <t>2cbbHCaL1K</t>
  </si>
  <si>
    <t>2026-07-04T12:30:05.354Z</t>
  </si>
  <si>
    <t>X19Qm8cM62</t>
  </si>
  <si>
    <t>56CA3SgEwY</t>
  </si>
  <si>
    <t>2026-07-04T12:52:44.953Z</t>
  </si>
  <si>
    <t>oVekrHVK7g</t>
  </si>
  <si>
    <t>E3RSfMb3Ph</t>
  </si>
  <si>
    <t>2026-07-04T13:22:39.940Z</t>
  </si>
  <si>
    <t>itjxaf8CPT</t>
  </si>
  <si>
    <t>pCSBG9kaEe</t>
  </si>
  <si>
    <t>2026-07-04T13:29:30.143Z</t>
  </si>
  <si>
    <t>4P93XsTZWW</t>
  </si>
  <si>
    <t>wBkSEjjyrX</t>
  </si>
  <si>
    <t>2026-07-04T13:48:35.669Z</t>
  </si>
  <si>
    <t>C2dPXKZABD</t>
  </si>
  <si>
    <t>5r7GKuBChE</t>
  </si>
  <si>
    <t>2026-07-04T13:51:04.907Z</t>
  </si>
  <si>
    <t>Dhh39ZrrhD</t>
  </si>
  <si>
    <t>Nn45j61JzT</t>
  </si>
  <si>
    <t>2026-07-04T14:05:43.935Z</t>
  </si>
  <si>
    <t>ixfDYpdcCp</t>
  </si>
  <si>
    <t>6v4Hq8cnHj</t>
  </si>
  <si>
    <t>2026-07-04T14:26:12.486Z</t>
  </si>
  <si>
    <t>2RD8Nk2ngD</t>
  </si>
  <si>
    <t>VX43SmxJ79</t>
  </si>
  <si>
    <t>2026-07-04T14:30:10.988Z</t>
  </si>
  <si>
    <t>GU1teAg3S7</t>
  </si>
  <si>
    <t>R8CineWgoG</t>
  </si>
  <si>
    <t>2026-07-04T14:51:26.631Z</t>
  </si>
  <si>
    <t>WHTiWZ8xvL</t>
  </si>
  <si>
    <t>RC8Ah8xrux</t>
  </si>
  <si>
    <t>2026-07-04T15:09:25.231Z</t>
  </si>
  <si>
    <t>Xeknz1PHpJ</t>
  </si>
  <si>
    <t>snQSvjibCa</t>
  </si>
  <si>
    <t>2026-07-04T15:43:51.196Z</t>
  </si>
  <si>
    <t>cftJdXhZbk</t>
  </si>
  <si>
    <t>XuQYHcqhM4</t>
  </si>
  <si>
    <t>2026-07-04T15:50:11.862Z</t>
  </si>
  <si>
    <t>nnayh67Cuo</t>
  </si>
  <si>
    <t>uhafVwUk8L</t>
  </si>
  <si>
    <t>2026-07-04T16:02:05.960Z</t>
  </si>
  <si>
    <t>XaZnFfWBUD</t>
  </si>
  <si>
    <t>oBHTX9sci6</t>
  </si>
  <si>
    <t>2026-07-04T16:06:58.497Z</t>
  </si>
  <si>
    <t>m4UgYCx2Xb</t>
  </si>
  <si>
    <t>DVbGo32UPu</t>
  </si>
  <si>
    <t>2026-07-04T16:23:08.328Z</t>
  </si>
  <si>
    <t>DiXFvDAJPd</t>
  </si>
  <si>
    <t>xPGkGP95JL</t>
  </si>
  <si>
    <t>2026-07-04T16:37:24.846Z</t>
  </si>
  <si>
    <t>uQsWKoUbYA</t>
  </si>
  <si>
    <t>bnz6KEPNU3</t>
  </si>
  <si>
    <t>2026-07-04T16:47:18.459Z</t>
  </si>
  <si>
    <t>4iFW8jytoC</t>
  </si>
  <si>
    <t>pWSjSsNKCW</t>
  </si>
  <si>
    <t>2026-07-04T17:25:03.363Z</t>
  </si>
  <si>
    <t>2yzQrQr74b</t>
  </si>
  <si>
    <t>KieHhKSQez</t>
  </si>
  <si>
    <t>2026-07-04T17:46:55.234Z</t>
  </si>
  <si>
    <t>SsZFpvjgM1</t>
  </si>
  <si>
    <t>gFy8KFhJaW</t>
  </si>
  <si>
    <t>2026-07-04T19:13:20.245Z</t>
  </si>
  <si>
    <t>roj54upVdg</t>
  </si>
  <si>
    <t>k3YeyYHZNn</t>
  </si>
  <si>
    <t>2026-07-04T20:09:36.248Z</t>
  </si>
  <si>
    <t>xb94ZGpj7V</t>
  </si>
  <si>
    <t>7768bFMTvL</t>
  </si>
  <si>
    <t>2026-07-04T20:36:01.100Z</t>
  </si>
  <si>
    <t>QZyVMfd6Fu</t>
  </si>
  <si>
    <t>bEbGQXNxv6</t>
  </si>
  <si>
    <t>2026-07-04T20:53:11.080Z</t>
  </si>
  <si>
    <t>RDWKfemuS5</t>
  </si>
  <si>
    <t>U9VdUSfmNs</t>
  </si>
  <si>
    <t>2026-07-04T20:55:56.573Z</t>
  </si>
  <si>
    <t>eAxyr98zXY</t>
  </si>
  <si>
    <t>j6fiUmokaW</t>
  </si>
  <si>
    <t>2026-07-04T21:15:39.240Z</t>
  </si>
  <si>
    <t>rXqyFUehZv</t>
  </si>
  <si>
    <t>GWfTxJJJJ6</t>
  </si>
  <si>
    <t>2026-07-04T21:31:40.861Z</t>
  </si>
  <si>
    <t>9Uc95Nxjg2</t>
  </si>
  <si>
    <t>bSGS3iACBZ</t>
  </si>
  <si>
    <t>2026-07-04T21:34:23.402Z</t>
  </si>
  <si>
    <t>PmvoKKztGv</t>
  </si>
  <si>
    <t>BD3pEqccdr</t>
  </si>
  <si>
    <t>2026-07-04T21:49:32.991Z</t>
  </si>
  <si>
    <t>GYRHxakdi7</t>
  </si>
  <si>
    <t>9jo5YxQHda</t>
  </si>
  <si>
    <t>2026-07-04T23:06:05.539Z</t>
  </si>
  <si>
    <t>UQ8c7bRTER</t>
  </si>
  <si>
    <t>QDyk1v2qv1</t>
  </si>
  <si>
    <t>2026-07-04T23:30:07.402Z</t>
  </si>
  <si>
    <t>t7LtyHE1hq</t>
  </si>
  <si>
    <t>b2S9EH22To</t>
  </si>
  <si>
    <t>2026-07-04T23:43:51.629Z</t>
  </si>
  <si>
    <t>kW9Pe8ZrFW</t>
  </si>
  <si>
    <t>mH7iLQkd2j</t>
  </si>
  <si>
    <t>2026-07-05T00:07:24.087Z</t>
  </si>
  <si>
    <t>YbSypNh4uM</t>
  </si>
  <si>
    <t>8jhrEugF5A</t>
  </si>
  <si>
    <t>2026-07-05T01:35:37.470Z</t>
  </si>
  <si>
    <t>9jY7grebkU</t>
  </si>
  <si>
    <t>v3DyFhTWEj</t>
  </si>
  <si>
    <t>2026-07-05T01:49:52.168Z</t>
  </si>
  <si>
    <t>PDiAaucN4P</t>
  </si>
  <si>
    <t>SVAFwLCxYW</t>
  </si>
  <si>
    <t>2026-07-05T02:12:19.481Z</t>
  </si>
  <si>
    <t>a3MRZZeKEX</t>
  </si>
  <si>
    <t>P84kvr2N8s</t>
  </si>
  <si>
    <t>2026-07-05T02:33:01.431Z</t>
  </si>
  <si>
    <t>KV7kYyxrBt</t>
  </si>
  <si>
    <t>ro2nbUpJ3q</t>
  </si>
  <si>
    <t>2026-07-05T02:50:06.432Z</t>
  </si>
  <si>
    <t>nFHnQ6Xzp1</t>
  </si>
  <si>
    <t>ZbMMrEAAF1</t>
  </si>
  <si>
    <t>2026-07-05T03:09:14.736Z</t>
  </si>
  <si>
    <t>yHduucgaoP</t>
  </si>
  <si>
    <t>MCCj6vwQ9H</t>
  </si>
  <si>
    <t>2026-07-05T03:21:09.678Z</t>
  </si>
  <si>
    <t>7ax8yzqBi7</t>
  </si>
  <si>
    <t>hCcVZ8mpQE</t>
  </si>
  <si>
    <t>2026-07-05T04:25:38.595Z</t>
  </si>
  <si>
    <t>AV2ReJfpyL</t>
  </si>
  <si>
    <t>Z39N4Sfjz6</t>
  </si>
  <si>
    <t>2026-07-05T05:14:12.083Z</t>
  </si>
  <si>
    <t>92qea8Ea4G</t>
  </si>
  <si>
    <t>J23pvS3kWa</t>
  </si>
  <si>
    <t>2026-07-05T05:43:46.723Z</t>
  </si>
  <si>
    <t>ptVNSaM7ic</t>
  </si>
  <si>
    <t>HiJ4TSYNWk</t>
  </si>
  <si>
    <t>2026-07-05T11:53:18.441Z</t>
  </si>
  <si>
    <t>mA4wxEk7MY</t>
  </si>
  <si>
    <t>hncCsf9nni</t>
  </si>
  <si>
    <t>2026-07-05T12:59:27.566Z</t>
  </si>
  <si>
    <t>eCJmYSMxf1</t>
  </si>
  <si>
    <t>rXBARhgdeC</t>
  </si>
  <si>
    <t>2026-07-05T13:20:30.362Z</t>
  </si>
  <si>
    <t>LD9btz65Aa</t>
  </si>
  <si>
    <t>2wt84hm2tF</t>
  </si>
  <si>
    <t>2026-07-05T13:34:40.330Z</t>
  </si>
  <si>
    <t>tgvJiYHGeY</t>
  </si>
  <si>
    <t>uE3wj1YdXe</t>
  </si>
  <si>
    <t>2026-07-05T14:11:55.566Z</t>
  </si>
  <si>
    <t>fEvF77AcmX</t>
  </si>
  <si>
    <t>R9aKuGhFG3</t>
  </si>
  <si>
    <t>2026-07-05T14:12:32.904Z</t>
  </si>
  <si>
    <t>yRqY8GGdWb</t>
  </si>
  <si>
    <t>vbfMFF1gmY</t>
  </si>
  <si>
    <t>2026-07-05T15:12:27.740Z</t>
  </si>
  <si>
    <t>zfeQRsPvw2</t>
  </si>
  <si>
    <t>8E4qk21Ao9</t>
  </si>
  <si>
    <t>2026-07-05T15:12:32.886Z</t>
  </si>
  <si>
    <t>7GTfr9v1aK</t>
  </si>
  <si>
    <t>DPhUxKsSHk</t>
  </si>
  <si>
    <t>2026-07-05T15:22:42.905Z</t>
  </si>
  <si>
    <t>TejeWgREbU</t>
  </si>
  <si>
    <t>swZVariY6V</t>
  </si>
  <si>
    <t>2026-07-05T15:29:46.837Z</t>
  </si>
  <si>
    <t>z67RorWB5g</t>
  </si>
  <si>
    <t>fWCWFwTLpq</t>
  </si>
  <si>
    <t>2026-07-05T15:41:28.020Z</t>
  </si>
  <si>
    <t>6pKCRYwnE1</t>
  </si>
  <si>
    <t>DSQiuhpRV5</t>
  </si>
  <si>
    <t>2026-07-05T16:05:10.107Z</t>
  </si>
  <si>
    <t>zpLQehFSbg</t>
  </si>
  <si>
    <t>fVZxuhE36j</t>
  </si>
  <si>
    <t>2026-07-05T16:15:24.507Z</t>
  </si>
  <si>
    <t>uVLFQEwAoZ</t>
  </si>
  <si>
    <t>WtoCQr998j</t>
  </si>
  <si>
    <t>2026-07-05T16:40:46.817Z</t>
  </si>
  <si>
    <t>RD9M9syq32</t>
  </si>
  <si>
    <t>DrvkA3yft6</t>
  </si>
  <si>
    <t>2026-07-05T17:11:22.752Z</t>
  </si>
  <si>
    <t>JmSPRhV4fR</t>
  </si>
  <si>
    <t>oRYmjaj51K</t>
  </si>
  <si>
    <t>2026-07-05T17:19:41.590Z</t>
  </si>
  <si>
    <t>6pmU7iVaLb</t>
  </si>
  <si>
    <t>v2Cd8Vfwt3</t>
  </si>
  <si>
    <t>2026-07-05T18:11:36.945Z</t>
  </si>
  <si>
    <t>kCU7mPoyZK</t>
  </si>
  <si>
    <t>YYtamhuyt5</t>
  </si>
  <si>
    <t>2026-07-05T18:12:18.145Z</t>
  </si>
  <si>
    <t>D49X59Xzb2</t>
  </si>
  <si>
    <t>icwSDK2i5d</t>
  </si>
  <si>
    <t>2026-07-05T18:15:22.258Z</t>
  </si>
  <si>
    <t>WT9JZZfPgf</t>
  </si>
  <si>
    <t>RpB1n9SGne</t>
  </si>
  <si>
    <t>2026-07-05T18:35:37.750Z</t>
  </si>
  <si>
    <t>xbnDYRjUd1</t>
  </si>
  <si>
    <t>RJpX8BXkCE</t>
  </si>
  <si>
    <t>2026-07-05T18:38:34.745Z</t>
  </si>
  <si>
    <t>VJxaWzyPuX</t>
  </si>
  <si>
    <t>nghHLN9U69</t>
  </si>
  <si>
    <t>2026-07-05T18:43:22.628Z</t>
  </si>
  <si>
    <t>wfGfM7D4wW</t>
  </si>
  <si>
    <t>fNZTsx4st3</t>
  </si>
  <si>
    <t>2026-07-05T18:57:31.789Z</t>
  </si>
  <si>
    <t>tRW4FKDcjt</t>
  </si>
  <si>
    <t>MAGpr7s6ao</t>
  </si>
  <si>
    <t>2026-07-05T19:23:21.841Z</t>
  </si>
  <si>
    <t>TmYKsAERTt</t>
  </si>
  <si>
    <t>K4sy3Y2QbE</t>
  </si>
  <si>
    <t>2026-07-05T19:26:59.259Z</t>
  </si>
  <si>
    <t>iVmUKN2Yk6</t>
  </si>
  <si>
    <t>ucrjpdwN54</t>
  </si>
  <si>
    <t>2026-07-05T19:45:02.389Z</t>
  </si>
  <si>
    <t>rrqm9azvZt</t>
  </si>
  <si>
    <t>TmtNoaEXGi</t>
  </si>
  <si>
    <t>2026-07-05T20:13:04.026Z</t>
  </si>
  <si>
    <t>8GKgyV34CN</t>
  </si>
  <si>
    <t>L8C2SvWaBF</t>
  </si>
  <si>
    <t>2026-07-05T20:23:08.050Z</t>
  </si>
  <si>
    <t>jf7aN6uVF2</t>
  </si>
  <si>
    <t>C6KC293d6X</t>
  </si>
  <si>
    <t>2026-07-05T20:48:10.112Z</t>
  </si>
  <si>
    <t>ezVRTMGqWR</t>
  </si>
  <si>
    <t>c1daH7NYXk</t>
  </si>
  <si>
    <t>2026-07-05T21:45:55.283Z</t>
  </si>
  <si>
    <t>EeaoWMCMh1</t>
  </si>
  <si>
    <t>8W4y9KADKw</t>
  </si>
  <si>
    <t>2026-07-05T22:02:58.999Z</t>
  </si>
  <si>
    <t>ECReQmkTXf</t>
  </si>
  <si>
    <t>BHqi5Xs6cU</t>
  </si>
  <si>
    <t>2026-07-05T22:24:08.879Z</t>
  </si>
  <si>
    <t>MpbNjvs52S</t>
  </si>
  <si>
    <t>bhJkstn56U</t>
  </si>
  <si>
    <t>2026-07-05T22:25:41.295Z</t>
  </si>
  <si>
    <t>cMzeoyrYLw</t>
  </si>
  <si>
    <t>bv71ELrW9K</t>
  </si>
  <si>
    <t>2026-07-05T22:38:52.776Z</t>
  </si>
  <si>
    <t>kT8QSr1Hw6</t>
  </si>
  <si>
    <t>vxZKJ4pHcc</t>
  </si>
  <si>
    <t>2026-07-05T23:07:01.772Z</t>
  </si>
  <si>
    <t>xPo8uUCK1v</t>
  </si>
  <si>
    <t>A2KBK5skZZ</t>
  </si>
  <si>
    <t>2026-07-05T23:15:22.368Z</t>
  </si>
  <si>
    <t>Lh4rkYcAU2</t>
  </si>
  <si>
    <t>eHiU2AVZUy</t>
  </si>
  <si>
    <t>2026-07-05T23:16:26.722Z</t>
  </si>
  <si>
    <t>13c3dxbrQx</t>
  </si>
  <si>
    <t>fiacC5opTV</t>
  </si>
  <si>
    <t>2026-07-05T23:42:53.381Z</t>
  </si>
  <si>
    <t>h8JHV2qcsz</t>
  </si>
  <si>
    <t>vdvaYFfWB5</t>
  </si>
  <si>
    <t>2026-07-06T00:27:03.334Z</t>
  </si>
  <si>
    <t>Cg6mw58cFk</t>
  </si>
  <si>
    <t>1QKrc18Uc2</t>
  </si>
  <si>
    <t>2026-07-06T00:35:20.007Z</t>
  </si>
  <si>
    <t>Pkvu39G4bB</t>
  </si>
  <si>
    <t>t6743vqSsd</t>
  </si>
  <si>
    <t>2026-07-06T01:10:51.443Z</t>
  </si>
  <si>
    <t>rPQCgShT3B</t>
  </si>
  <si>
    <t>7iZ9EEgANN</t>
  </si>
  <si>
    <t>2026-07-06T01:31:27.499Z</t>
  </si>
  <si>
    <t>3epJyRfXwZ</t>
  </si>
  <si>
    <t>kCQHrDK5Zm</t>
  </si>
  <si>
    <t>2026-07-06T01:55:09.306Z</t>
  </si>
  <si>
    <t>f3ezihuBA8</t>
  </si>
  <si>
    <t>dWRcgjMmti</t>
  </si>
  <si>
    <t>2026-07-06T02:00:50.379Z</t>
  </si>
  <si>
    <t>nbehzL4nCx</t>
  </si>
  <si>
    <t>sQfSQQyNgU</t>
  </si>
  <si>
    <t>2026-07-06T02:17:28.044Z</t>
  </si>
  <si>
    <t>g8pwtLakFQ</t>
  </si>
  <si>
    <t>qATBvQvoDW</t>
  </si>
  <si>
    <t>2026-07-06T02:54:48.896Z</t>
  </si>
  <si>
    <t>SPhnoZJcLH</t>
  </si>
  <si>
    <t>KjyUW9VH5A</t>
  </si>
  <si>
    <t>2026-07-06T03:06:28.738Z</t>
  </si>
  <si>
    <t>QPq3aJHrd6</t>
  </si>
  <si>
    <t>SzQznJRXhu</t>
  </si>
  <si>
    <t>2026-07-06T03:33:48.352Z</t>
  </si>
  <si>
    <t>b1uT6kMDrA</t>
  </si>
  <si>
    <t>Fs1k4yzFYu</t>
  </si>
  <si>
    <t>2026-07-06T03:45:48.932Z</t>
  </si>
  <si>
    <t>nVLd9aHe1B</t>
  </si>
  <si>
    <t>4AYWq8jBWW</t>
  </si>
  <si>
    <t>2026-07-06T03:46:14.451Z</t>
  </si>
  <si>
    <t>rB9CncKmYt</t>
  </si>
  <si>
    <t>grwPasgUoK</t>
  </si>
  <si>
    <t>2026-07-06T04:20:55.898Z</t>
  </si>
  <si>
    <t>5P7SS8dVNg</t>
  </si>
  <si>
    <t>nk73tkTM6Y</t>
  </si>
  <si>
    <t>2026-07-06T05:35:52.827Z</t>
  </si>
  <si>
    <t>Zb65vobAkh</t>
  </si>
  <si>
    <t>c12ECWkrfV</t>
  </si>
  <si>
    <t>2026-07-06T13:21:27.230Z</t>
  </si>
  <si>
    <t>gXsgVtpxxZ</t>
  </si>
  <si>
    <t>5FK7QxrDcK</t>
  </si>
  <si>
    <t>2026-07-06T14:04:48.976Z</t>
  </si>
  <si>
    <t>v3ZuGnoBTz</t>
  </si>
  <si>
    <t>EEDKgbXXVG</t>
  </si>
  <si>
    <t>2026-07-06T14:49:19.681Z</t>
  </si>
  <si>
    <t>bze3FeKhhr</t>
  </si>
  <si>
    <t>mJVHwQXBvE</t>
  </si>
  <si>
    <t>2026-07-06T15:15:11.996Z</t>
  </si>
  <si>
    <t>TLeccUi5fz</t>
  </si>
  <si>
    <t>kM8UzfmPHD</t>
  </si>
  <si>
    <t>2026-07-06T15:23:43.792Z</t>
  </si>
  <si>
    <t>f2ggGFo8Dh</t>
  </si>
  <si>
    <t>q82rWEJ8dj</t>
  </si>
  <si>
    <t>2026-07-06T15:25:34.105Z</t>
  </si>
  <si>
    <t>DjAN7V1pmt</t>
  </si>
  <si>
    <t>4yZeTY9pi2</t>
  </si>
  <si>
    <t>2026-07-06T15:26:39.590Z</t>
  </si>
  <si>
    <t>k4U9C2wqgR</t>
  </si>
  <si>
    <t>VrDL5y1VzH</t>
  </si>
  <si>
    <t>2026-07-06T15:27:09.922Z</t>
  </si>
  <si>
    <t>uRGAB6HRwq</t>
  </si>
  <si>
    <t>zY7TmRP9RY</t>
  </si>
  <si>
    <t>2026-07-06T15:40:48.729Z</t>
  </si>
  <si>
    <t>uAxmUxKed9</t>
  </si>
  <si>
    <t>s6kyttmKQg</t>
  </si>
  <si>
    <t>2026-07-06T15:45:16.320Z</t>
  </si>
  <si>
    <t>LAnBiPdTwy</t>
  </si>
  <si>
    <t>ttoZe6Fdie</t>
  </si>
  <si>
    <t>2026-07-06T15:49:43.477Z</t>
  </si>
  <si>
    <t>5vTratJNgh</t>
  </si>
  <si>
    <t>fBLpW9XeYg</t>
  </si>
  <si>
    <t>2026-07-06T16:09:52.167Z</t>
  </si>
  <si>
    <t>tf358WNw9m</t>
  </si>
  <si>
    <t>WEGmL4Wv1H</t>
  </si>
  <si>
    <t>2026-07-06T16:26:48.149Z</t>
  </si>
  <si>
    <t>9skXm5s72Z</t>
  </si>
  <si>
    <t>j1RG7msMwX</t>
  </si>
  <si>
    <t>2026-07-06T16:27:51.835Z</t>
  </si>
  <si>
    <t>Y17ymU62gj</t>
  </si>
  <si>
    <t>hpTvJjPg7d</t>
  </si>
  <si>
    <t>2026-07-06T16:41:55.914Z</t>
  </si>
  <si>
    <t>QNy7iagwFK</t>
  </si>
  <si>
    <t>kD29zFYeWs</t>
  </si>
  <si>
    <t>2026-07-06T16:48:53.056Z</t>
  </si>
  <si>
    <t>4tscUekdzP</t>
  </si>
  <si>
    <t>MNNMj5FUg6</t>
  </si>
  <si>
    <t>2026-07-06T16:53:40.924Z</t>
  </si>
  <si>
    <t>eFRJL3iXkk</t>
  </si>
  <si>
    <t>7mRtUqVjX4</t>
  </si>
  <si>
    <t>2026-07-06T17:16:54.196Z</t>
  </si>
  <si>
    <t>vcKrGZsdFb</t>
  </si>
  <si>
    <t>d4vjLiY6Rt</t>
  </si>
  <si>
    <t>2026-07-06T17:22:02.522Z</t>
  </si>
  <si>
    <t>iXJC3ebZsU</t>
  </si>
  <si>
    <t>2x8AjyE1HP</t>
  </si>
  <si>
    <t>2026-07-06T17:35:32.369Z</t>
  </si>
  <si>
    <t>nP5DFmuy9P</t>
  </si>
  <si>
    <t>iPifVf5snT</t>
  </si>
  <si>
    <t>2026-07-06T17:43:50.247Z</t>
  </si>
  <si>
    <t>XAtr27Wm6P</t>
  </si>
  <si>
    <t>W2D3ztByGV</t>
  </si>
  <si>
    <t>2026-07-06T17:59:16.035Z</t>
  </si>
  <si>
    <t>ogZo2dR26q</t>
  </si>
  <si>
    <t>qcdimsb5hN</t>
  </si>
  <si>
    <t>2026-07-06T18:24:38.055Z</t>
  </si>
  <si>
    <t>YGRv27wXLn</t>
  </si>
  <si>
    <t>HwaBCBmNVT</t>
  </si>
  <si>
    <t>2026-07-06T18:31:36.226Z</t>
  </si>
  <si>
    <t>zNsxhvVNBt</t>
  </si>
  <si>
    <t>SESxCkLDR8</t>
  </si>
  <si>
    <t>2026-07-06T18:43:42.593Z</t>
  </si>
  <si>
    <t>PFs1Q5AyNc</t>
  </si>
  <si>
    <t>R5x87i5Dv2</t>
  </si>
  <si>
    <t>2026-07-06T18:56:57.901Z</t>
  </si>
  <si>
    <t>3NJfKASamq</t>
  </si>
  <si>
    <t>tr6LmD5gye</t>
  </si>
  <si>
    <t>2026-07-06T19:11:08.607Z</t>
  </si>
  <si>
    <t>j7oQqW22bb</t>
  </si>
  <si>
    <t>iGkMaRVgUr</t>
  </si>
  <si>
    <t>2026-07-06T19:56:12.590Z</t>
  </si>
  <si>
    <t>WzUuR61MKm</t>
  </si>
  <si>
    <t>Tc2MpNcJdu</t>
  </si>
  <si>
    <t>2026-07-06T20:29:34.308Z</t>
  </si>
  <si>
    <t>jDW3svuPDy</t>
  </si>
  <si>
    <t>g8QStmBGud</t>
  </si>
  <si>
    <t>2026-07-06T20:33:53.432Z</t>
  </si>
  <si>
    <t>MTiA6Wm28R</t>
  </si>
  <si>
    <t>n9NuLiPZgn</t>
  </si>
  <si>
    <t>2026-07-06T21:02:05.811Z</t>
  </si>
  <si>
    <t>ptXoxR8PDM</t>
  </si>
  <si>
    <t>zs1RYYUxHa</t>
  </si>
  <si>
    <t>2026-07-06T21:58:19.982Z</t>
  </si>
  <si>
    <t>5dUbgoGxzy</t>
  </si>
  <si>
    <t>5kExUP6X21</t>
  </si>
  <si>
    <t>2026-07-06T22:53:15.405Z</t>
  </si>
  <si>
    <t>xDpkRbt6hG</t>
  </si>
  <si>
    <t>t3Ep4HtfVw</t>
  </si>
  <si>
    <t>2026-07-06T22:55:13.268Z</t>
  </si>
  <si>
    <t>6dHFEagngm</t>
  </si>
  <si>
    <t>Ajwr7LprDi</t>
  </si>
  <si>
    <t>2026-07-06T23:07:03.776Z</t>
  </si>
  <si>
    <t>T8VaYYybYx</t>
  </si>
  <si>
    <t>pRWsDuiCwB</t>
  </si>
  <si>
    <t>2026-07-06T23:23:03.878Z</t>
  </si>
  <si>
    <t>zkJHFsXdej</t>
  </si>
  <si>
    <t>s6tq7Qss3R</t>
  </si>
  <si>
    <t>2026-07-06T23:55:01.522Z</t>
  </si>
  <si>
    <t>aa9MkbAiTh</t>
  </si>
  <si>
    <t>YKFtAYRsE8</t>
  </si>
  <si>
    <t>2026-07-07T00:24:28.743Z</t>
  </si>
  <si>
    <t>VxamudezQW</t>
  </si>
  <si>
    <t>Wc8kpjFm3T</t>
  </si>
  <si>
    <t>2026-07-07T00:33:40.720Z</t>
  </si>
  <si>
    <t>UunKgyu5aN</t>
  </si>
  <si>
    <t>d2iwR6EPui</t>
  </si>
  <si>
    <t>2026-07-07T01:02:08.945Z</t>
  </si>
  <si>
    <t>9fjJqPd6Ss</t>
  </si>
  <si>
    <t>Ggzj1urvr1</t>
  </si>
  <si>
    <t>2026-07-07T01:34:57.578Z</t>
  </si>
  <si>
    <t>wWqmiJVsD7</t>
  </si>
  <si>
    <t>G9N7AadCsY</t>
  </si>
  <si>
    <t>2026-07-07T02:03:20.474Z</t>
  </si>
  <si>
    <t>uxFnEN8MY6</t>
  </si>
  <si>
    <t>tHL7y1GDop</t>
  </si>
  <si>
    <t>2026-07-07T02:33:28.267Z</t>
  </si>
  <si>
    <t>X8uA6EZPbW</t>
  </si>
  <si>
    <t>ijRZgWKw38</t>
  </si>
  <si>
    <t>2026-07-07T02:46:16.567Z</t>
  </si>
  <si>
    <t>kwvZJcdvdd</t>
  </si>
  <si>
    <t>v3itupqd13</t>
  </si>
  <si>
    <t>2026-07-07T03:02:11.821Z</t>
  </si>
  <si>
    <t>9hTMDj88XY</t>
  </si>
  <si>
    <t>9xJiUgrGhh</t>
  </si>
  <si>
    <t>2026-07-07T03:11:20.902Z</t>
  </si>
  <si>
    <t>cGW27xntTs</t>
  </si>
  <si>
    <t>tmBJSPwwe7</t>
  </si>
  <si>
    <t>2026-07-07T03:20:17.937Z</t>
  </si>
  <si>
    <t>GmKGMrgLau</t>
  </si>
  <si>
    <t>Bnnafy15Hj</t>
  </si>
  <si>
    <t>2026-07-07T03:40:27.756Z</t>
  </si>
  <si>
    <t>WpAKinvT5u</t>
  </si>
  <si>
    <t>C32b4Ed4wx</t>
  </si>
  <si>
    <t>2026-07-07T03:44:04.910Z</t>
  </si>
  <si>
    <t>yzGR77WoLv</t>
  </si>
  <si>
    <t>tKA3H2nA5s</t>
  </si>
  <si>
    <t>2026-07-07T04:10:04.851Z</t>
  </si>
  <si>
    <t>KqvHxaUzvF</t>
  </si>
  <si>
    <t>yYFNw1ohX4</t>
  </si>
  <si>
    <t>2026-07-07T04:24:09.534Z</t>
  </si>
  <si>
    <t>xQ8oHXuMua</t>
  </si>
  <si>
    <t>6FgaRVbkbA</t>
  </si>
  <si>
    <t>2026-07-07T04:32:17.304Z</t>
  </si>
  <si>
    <t>zQwWe3USu3</t>
  </si>
  <si>
    <t>wqJsq4phYw</t>
  </si>
  <si>
    <t>2026-07-07T04:37:04.086Z</t>
  </si>
  <si>
    <t>VMxY3vAtDR</t>
  </si>
  <si>
    <t>Brodk21sZ3</t>
  </si>
  <si>
    <t>2026-07-07T04:50:18.664Z</t>
  </si>
  <si>
    <t>AotGddzmH2</t>
  </si>
  <si>
    <t>RFMLSt7agC</t>
  </si>
  <si>
    <t>2026-07-07T05:02:18.764Z</t>
  </si>
  <si>
    <t>M9auSxRYWo</t>
  </si>
  <si>
    <t>QFP7GpRaQa</t>
  </si>
  <si>
    <t>2026-07-07T06:54:04.704Z</t>
  </si>
  <si>
    <t>9wFqk5cwLQ</t>
  </si>
  <si>
    <t>ems4pQBGnT</t>
  </si>
  <si>
    <t>2026-07-07T09:04:04.085Z</t>
  </si>
  <si>
    <t>Y7NHWfbiUg</t>
  </si>
  <si>
    <t>CxYzikN6dM</t>
  </si>
  <si>
    <t>2026-07-07T13:35:04.535Z</t>
  </si>
  <si>
    <t>jyp3MPGz4J</t>
  </si>
  <si>
    <t>UJVCNSGPNg</t>
  </si>
  <si>
    <t>2026-07-07T13:59:25.856Z</t>
  </si>
  <si>
    <t>iUqqbArfcC</t>
  </si>
  <si>
    <t>jcmu7ATcLD</t>
  </si>
  <si>
    <t>2026-07-07T14:56:50.547Z</t>
  </si>
  <si>
    <t>jJZxG1SupN</t>
  </si>
  <si>
    <t>5XqFuDZQB4</t>
  </si>
  <si>
    <t>2026-07-07T15:33:34.450Z</t>
  </si>
  <si>
    <t>ZpKouw5FTR</t>
  </si>
  <si>
    <t>Utcucrhpvu</t>
  </si>
  <si>
    <t>2026-07-07T15:49:23.732Z</t>
  </si>
  <si>
    <t>9k37ZRvRcm</t>
  </si>
  <si>
    <t>JfbViXneCU</t>
  </si>
  <si>
    <t>2026-07-07T15:54:02.444Z</t>
  </si>
  <si>
    <t>pfcm916GBS</t>
  </si>
  <si>
    <t>F9kSNMRdFz</t>
  </si>
  <si>
    <t>2026-07-07T16:41:00.515Z</t>
  </si>
  <si>
    <t>Yp24H2KcSx</t>
  </si>
  <si>
    <t>UQEtB1bSdz</t>
  </si>
  <si>
    <t>2026-07-07T17:03:49.883Z</t>
  </si>
  <si>
    <t>SHYw7ecPeE</t>
  </si>
  <si>
    <t>g3ABJNUj5S</t>
  </si>
  <si>
    <t>2026-07-07T17:25:52.911Z</t>
  </si>
  <si>
    <t>vS8AodrHVm</t>
  </si>
  <si>
    <t>4BNJZ8YC1m</t>
  </si>
  <si>
    <t>2026-07-07T18:45:41.991Z</t>
  </si>
  <si>
    <t>kmDMTF2g2j</t>
  </si>
  <si>
    <t>WAqBjSr55f</t>
  </si>
  <si>
    <t>2026-07-07T19:05:44.313Z</t>
  </si>
  <si>
    <t>wy4mCapc64</t>
  </si>
  <si>
    <t>wLDL8nQGLr</t>
  </si>
  <si>
    <t>2026-07-07T19:47:24.220Z</t>
  </si>
  <si>
    <t>kEQei7pp1e</t>
  </si>
  <si>
    <t>TAjvG2Xvdm</t>
  </si>
  <si>
    <t>2026-07-07T19:50:15.563Z</t>
  </si>
  <si>
    <t>itxceujFqC</t>
  </si>
  <si>
    <t>pWxzDNjbPu</t>
  </si>
  <si>
    <t>2026-07-07T19:58:58.922Z</t>
  </si>
  <si>
    <t>bi3eePwFLg</t>
  </si>
  <si>
    <t>N9vYu1uTxo</t>
  </si>
  <si>
    <t>2026-07-07T21:02:56.213Z</t>
  </si>
  <si>
    <t>zPQ3iZhCp3</t>
  </si>
  <si>
    <t>Dko758WUbf</t>
  </si>
  <si>
    <t>2026-07-07T21:30:14.976Z</t>
  </si>
  <si>
    <t>22mGgAjCFH</t>
  </si>
  <si>
    <t>mFgNaoCD9F</t>
  </si>
  <si>
    <t>2026-07-07T22:10:55.157Z</t>
  </si>
  <si>
    <t>RHbtM1GMWj</t>
  </si>
  <si>
    <t>U4QwTw1BGe</t>
  </si>
  <si>
    <t>2026-07-07T22:49:08.534Z</t>
  </si>
  <si>
    <t>2XobuGatA7</t>
  </si>
  <si>
    <t>W3m91Fsivi</t>
  </si>
  <si>
    <t>2026-07-07T23:04:56.097Z</t>
  </si>
  <si>
    <t>m2RpJ4ypPq</t>
  </si>
  <si>
    <t>qS2VsFHRcC</t>
  </si>
  <si>
    <t>2026-07-07T23:51:53.195Z</t>
  </si>
  <si>
    <t>LqCxLfJxhE</t>
  </si>
  <si>
    <t>SmNSuLtYPh</t>
  </si>
  <si>
    <t>2026-07-08T00:37:01.287Z</t>
  </si>
  <si>
    <t>vwtB2iCA2M</t>
  </si>
  <si>
    <t>nUb4Qh7PFF</t>
  </si>
  <si>
    <t>2026-07-08T00:38:35.293Z</t>
  </si>
  <si>
    <t>XYcyGVGu8N</t>
  </si>
  <si>
    <t>FD1ewocYfY</t>
  </si>
  <si>
    <t>2026-07-08T01:05:22.402Z</t>
  </si>
  <si>
    <t>5rmZXghd65</t>
  </si>
  <si>
    <t>GMAK7k6TFw</t>
  </si>
  <si>
    <t>2026-07-08T01:20:05.431Z</t>
  </si>
  <si>
    <t>Qinn6oJkm4</t>
  </si>
  <si>
    <t>cMEGLoEin8</t>
  </si>
  <si>
    <t>2026-07-08T01:22:10.102Z</t>
  </si>
  <si>
    <t>SB98xndNh1</t>
  </si>
  <si>
    <t>Cue9KQ88hY</t>
  </si>
  <si>
    <t>2026-07-08T02:03:04.039Z</t>
  </si>
  <si>
    <t>uiGrxQGtmp</t>
  </si>
  <si>
    <t>GR8XoxLm78</t>
  </si>
  <si>
    <t>2026-07-08T02:17:00.241Z</t>
  </si>
  <si>
    <t>wNRQBxPbzB</t>
  </si>
  <si>
    <t>FjMJS9hsi6</t>
  </si>
  <si>
    <t>2026-07-08T02:19:10.810Z</t>
  </si>
  <si>
    <t>F4cEcLzEjR</t>
  </si>
  <si>
    <t>wjKxajoa33</t>
  </si>
  <si>
    <t>2026-07-08T02:31:05.297Z</t>
  </si>
  <si>
    <t>vwcHb1qyAv</t>
  </si>
  <si>
    <t>WsF8bPTuAA</t>
  </si>
  <si>
    <t>2026-07-08T02:33:39.208Z</t>
  </si>
  <si>
    <t>ubFDiKmqCn</t>
  </si>
  <si>
    <t>tSMTUqYN25</t>
  </si>
  <si>
    <t>2026-07-08T02:50:37.601Z</t>
  </si>
  <si>
    <t>3SGBMVhZjZ</t>
  </si>
  <si>
    <t>L8d7GfmEPF</t>
  </si>
  <si>
    <t>2026-07-08T03:25:57.970Z</t>
  </si>
  <si>
    <t>M9jL95X35G</t>
  </si>
  <si>
    <t>RsrKSgkUbY</t>
  </si>
  <si>
    <t>2026-07-08T03:40:27.441Z</t>
  </si>
  <si>
    <t>q3n8yFEX2d</t>
  </si>
  <si>
    <t>Wh9QHe4RSt</t>
  </si>
  <si>
    <t>2026-07-08T04:37:16.321Z</t>
  </si>
  <si>
    <t>oCU7HMXgkK</t>
  </si>
  <si>
    <t>c8QHcoWrmR</t>
  </si>
  <si>
    <t>2026-07-08T04:39:59.879Z</t>
  </si>
  <si>
    <t>2ANPUXdKRL</t>
  </si>
  <si>
    <t>1FVBWg2Zme</t>
  </si>
  <si>
    <t>2026-07-08T12:10:57.350Z</t>
  </si>
  <si>
    <t>ayYnRqS5ig</t>
  </si>
  <si>
    <t>QfnyahtXYn</t>
  </si>
  <si>
    <t>2026-07-08T13:18:03.513Z</t>
  </si>
  <si>
    <t>GQ2eWoE7Ds</t>
  </si>
  <si>
    <t>eVZZksQhWh</t>
  </si>
  <si>
    <t>2026-07-08T15:41:10.474Z</t>
  </si>
  <si>
    <t>mjCrUANBPL</t>
  </si>
  <si>
    <t>vR9EjW41c1</t>
  </si>
  <si>
    <t>2026-07-08T16:23:41.265Z</t>
  </si>
  <si>
    <t>asf3ViSJNp</t>
  </si>
  <si>
    <t>nMvdt1SKEX</t>
  </si>
  <si>
    <t>2026-07-08T16:33:38.165Z</t>
  </si>
  <si>
    <t>HDa9vv2v6r</t>
  </si>
  <si>
    <t>EEfW3e1F4B</t>
  </si>
  <si>
    <t>2026-07-08T16:55:08.625Z</t>
  </si>
  <si>
    <t>RTJkZYF7qV</t>
  </si>
  <si>
    <t>2CiLxRKTHM</t>
  </si>
  <si>
    <t>2026-07-08T18:05:17.407Z</t>
  </si>
  <si>
    <t>uqzWe7AGDr</t>
  </si>
  <si>
    <t>tEWz5jqM7M</t>
  </si>
  <si>
    <t>2026-07-08T18:22:40.358Z</t>
  </si>
  <si>
    <t>1zNbJ7gdk9</t>
  </si>
  <si>
    <t>ooVmbLUkrH</t>
  </si>
  <si>
    <t>2026-07-08T18:48:06.123Z</t>
  </si>
  <si>
    <t>i4AE2x9gK7</t>
  </si>
  <si>
    <t>Z4mrvSKwou</t>
  </si>
  <si>
    <t>2026-07-08T18:59:34.416Z</t>
  </si>
  <si>
    <t>Qba4zSvdgP</t>
  </si>
  <si>
    <t>F3E7XiSBDa</t>
  </si>
  <si>
    <t>2026-07-08T19:42:19.771Z</t>
  </si>
  <si>
    <t>kWnPNsQAKo</t>
  </si>
  <si>
    <t>mLhMasLHKs</t>
  </si>
  <si>
    <t>2026-07-08T19:56:08.829Z</t>
  </si>
  <si>
    <t>DQRivZQh2o</t>
  </si>
  <si>
    <t>o2KcYsopWN</t>
  </si>
  <si>
    <t>2026-07-08T20:24:10.363Z</t>
  </si>
  <si>
    <t>WC8TDUtJsA</t>
  </si>
  <si>
    <t>VieXoQcA4i</t>
  </si>
  <si>
    <t>2026-07-08T20:25:24.549Z</t>
  </si>
  <si>
    <t>NcyiqQPP2G</t>
  </si>
  <si>
    <t>qcgk8zUZzP</t>
  </si>
  <si>
    <t>2026-07-08T20:38:31.239Z</t>
  </si>
  <si>
    <t>sTheDrYKGw</t>
  </si>
  <si>
    <t>j1BG2ZAZop</t>
  </si>
  <si>
    <t>2026-07-08T21:12:54.734Z</t>
  </si>
  <si>
    <t>2fB7tgPUuS</t>
  </si>
  <si>
    <t>2SDkBUsGKT</t>
  </si>
  <si>
    <t>2026-07-08T21:29:20.524Z</t>
  </si>
  <si>
    <t>5pBfSEWGjJ</t>
  </si>
  <si>
    <t>Ezuo7Cn9KR</t>
  </si>
  <si>
    <t>2026-07-08T22:04:21.224Z</t>
  </si>
  <si>
    <t>mjAtvTGgRo</t>
  </si>
  <si>
    <t>i6NUxHwosx</t>
  </si>
  <si>
    <t>2026-07-08T22:22:27.148Z</t>
  </si>
  <si>
    <t>LC4v8hvKUA</t>
  </si>
  <si>
    <t>WVwf2ShgBv</t>
  </si>
  <si>
    <t>2026-07-08T22:39:47.188Z</t>
  </si>
  <si>
    <t>KECdp5MP7w</t>
  </si>
  <si>
    <t>2sEnnMkHSo</t>
  </si>
  <si>
    <t>2026-07-08T22:47:40.152Z</t>
  </si>
  <si>
    <t>TQbDaLNuUC</t>
  </si>
  <si>
    <t>aaroKfsWYm</t>
  </si>
  <si>
    <t>2026-07-08T22:54:39.106Z</t>
  </si>
  <si>
    <t>dpu7NuXCHR</t>
  </si>
  <si>
    <t>hwrYJi54QQ</t>
  </si>
  <si>
    <t>2026-07-08T23:03:08.237Z</t>
  </si>
  <si>
    <t>5kjqtJNw7s</t>
  </si>
  <si>
    <t>kdRHDcvp2B</t>
  </si>
  <si>
    <t>2026-07-08T23:10:02.904Z</t>
  </si>
  <si>
    <t>ZMoqAnfTMf</t>
  </si>
  <si>
    <t>5bcBu6DnhZ</t>
  </si>
  <si>
    <t>2026-07-08T23:26:20.536Z</t>
  </si>
  <si>
    <t>zeqywVWTWu</t>
  </si>
  <si>
    <t>DrS9NtDBtu</t>
  </si>
  <si>
    <t>2026-07-08T23:42:41.435Z</t>
  </si>
  <si>
    <t>3Qbyxj6So2</t>
  </si>
  <si>
    <t>H1ECnnhiQe</t>
  </si>
  <si>
    <t>2026-07-09T00:17:04.697Z</t>
  </si>
  <si>
    <t>hGJcmUBQ7V</t>
  </si>
  <si>
    <t>Rw1YttT9XH</t>
  </si>
  <si>
    <t>2026-07-09T01:02:17.824Z</t>
  </si>
  <si>
    <t>MXwNYZptLR</t>
  </si>
  <si>
    <t>5Rp847r2vE</t>
  </si>
  <si>
    <t>2026-07-09T01:26:30.273Z</t>
  </si>
  <si>
    <t>t9aG1ZkPGz</t>
  </si>
  <si>
    <t>47r3BHCoCc</t>
  </si>
  <si>
    <t>2026-07-09T01:28:14.590Z</t>
  </si>
  <si>
    <t>bkAPtXj844</t>
  </si>
  <si>
    <t>fDARYL3jbP</t>
  </si>
  <si>
    <t>2026-07-09T01:36:39.530Z</t>
  </si>
  <si>
    <t>A4EbrTegyd</t>
  </si>
  <si>
    <t>oXXYChd7ix</t>
  </si>
  <si>
    <t>2026-07-09T01:50:21.786Z</t>
  </si>
  <si>
    <t>PfTYfE1hfA</t>
  </si>
  <si>
    <t>xDT684phg6</t>
  </si>
  <si>
    <t>2026-07-09T02:13:12.179Z</t>
  </si>
  <si>
    <t>6uT48QwKas</t>
  </si>
  <si>
    <t>UTo6wy8qm4</t>
  </si>
  <si>
    <t>2026-07-09T02:16:43.239Z</t>
  </si>
  <si>
    <t>kCe4z6suba</t>
  </si>
  <si>
    <t>7WJddeoS2P</t>
  </si>
  <si>
    <t>2026-07-09T02:28:59.118Z</t>
  </si>
  <si>
    <t>TvEVqvTKBB</t>
  </si>
  <si>
    <t>pWcS7KQkeV</t>
  </si>
  <si>
    <t>2026-07-09T02:31:43.611Z</t>
  </si>
  <si>
    <t>j6EAfte23o</t>
  </si>
  <si>
    <t>3pLCqEMdfm</t>
  </si>
  <si>
    <t>2026-07-09T02:32:05.275Z</t>
  </si>
  <si>
    <t>vYbMtRJqwC</t>
  </si>
  <si>
    <t>fDCJENc6bj</t>
  </si>
  <si>
    <t>2026-07-09T03:00:10.163Z</t>
  </si>
  <si>
    <t>DZ4h4MVwuE</t>
  </si>
  <si>
    <t>KnQEQouLsE</t>
  </si>
  <si>
    <t>2026-07-09T03:04:40.935Z</t>
  </si>
  <si>
    <t>9FQ8bvMxY4</t>
  </si>
  <si>
    <t>epvkVn4nfN</t>
  </si>
  <si>
    <t>2026-07-09T03:14:36.582Z</t>
  </si>
  <si>
    <t>63U5guU1UK</t>
  </si>
  <si>
    <t>dZuRuiNunE</t>
  </si>
  <si>
    <t>2026-07-09T03:21:53.035Z</t>
  </si>
  <si>
    <t>zc8w7zLLZ9</t>
  </si>
  <si>
    <t>3hYhRsRzur</t>
  </si>
  <si>
    <t>2026-07-09T03:32:37.656Z</t>
  </si>
  <si>
    <t>UR5voXbip9</t>
  </si>
  <si>
    <t>Vz2nHyCACv</t>
  </si>
  <si>
    <t>2026-07-09T04:13:51.620Z</t>
  </si>
  <si>
    <t>YXBGfneSEc</t>
  </si>
  <si>
    <t>WzRcmKhWRF</t>
  </si>
  <si>
    <t>2026-07-09T04:45:02.569Z</t>
  </si>
  <si>
    <t>UDLb2z5yb8</t>
  </si>
  <si>
    <t>Rb9UZvbKat</t>
  </si>
  <si>
    <t>2026-07-09T05:23:35.450Z</t>
  </si>
  <si>
    <t>bnXNcZBns9</t>
  </si>
  <si>
    <t>RykQYnqhXH</t>
  </si>
  <si>
    <t>2026-07-09T05:25:13.545Z</t>
  </si>
  <si>
    <t>R52y9h3iAF</t>
  </si>
  <si>
    <t>ZNpuDC3sSM</t>
  </si>
  <si>
    <t>2026-07-09T05:32:47.244Z</t>
  </si>
  <si>
    <t>reBg8yL56Y</t>
  </si>
  <si>
    <t>TiBe7wjn6b</t>
  </si>
  <si>
    <t>2026-07-09T06:00:12.750Z</t>
  </si>
  <si>
    <t>7Z4VSzaEYC</t>
  </si>
  <si>
    <t>VFVtWE25MF</t>
  </si>
  <si>
    <t>2026-07-09T06:26:10.236Z</t>
  </si>
  <si>
    <t>ESF4bkFC8e</t>
  </si>
  <si>
    <t>kjxNHRPB4M</t>
  </si>
  <si>
    <t>2026-07-09T06:30:28.655Z</t>
  </si>
  <si>
    <t>cPsH6FYuDb</t>
  </si>
  <si>
    <t>9NJubatBHm</t>
  </si>
  <si>
    <t>2026-07-09T16:02:44.554Z</t>
  </si>
  <si>
    <t>9KKWsjiEce</t>
  </si>
  <si>
    <t>Kigku6AaRa</t>
  </si>
  <si>
    <t>2026-07-09T16:55:20.963Z</t>
  </si>
  <si>
    <t>nM6K5NNmxY</t>
  </si>
  <si>
    <t>23JxhoT7p4</t>
  </si>
  <si>
    <t>2026-07-09T17:04:31.926Z</t>
  </si>
  <si>
    <t>pQVAeuUGC5</t>
  </si>
  <si>
    <t>rwkwFj2yb1</t>
  </si>
  <si>
    <t>2026-07-09T17:10:48.256Z</t>
  </si>
  <si>
    <t>jhgqNTK74a</t>
  </si>
  <si>
    <t>jMr4TQRRpa</t>
  </si>
  <si>
    <t>2026-07-09T17:17:46.321Z</t>
  </si>
  <si>
    <t>SEywZTJhu7</t>
  </si>
  <si>
    <t>4f8qTg6iwP</t>
  </si>
  <si>
    <t>2026-07-09T17:32:50.641Z</t>
  </si>
  <si>
    <t>H4C49GaE9n</t>
  </si>
  <si>
    <t>YG54bnuPCc</t>
  </si>
  <si>
    <t>2026-07-09T17:40:54.909Z</t>
  </si>
  <si>
    <t>kuZivhBYdh</t>
  </si>
  <si>
    <t>SRN7zY7U4m</t>
  </si>
  <si>
    <t>2026-07-09T18:16:12.021Z</t>
  </si>
  <si>
    <t>KC9g9QjMxn</t>
  </si>
  <si>
    <t>1ejKoZvJyQ</t>
  </si>
  <si>
    <t>2026-07-09T18:19:40.024Z</t>
  </si>
  <si>
    <t>BEPjNuRfR5</t>
  </si>
  <si>
    <t>6CLgV4J4ra</t>
  </si>
  <si>
    <t>2026-07-09T18:44:04.506Z</t>
  </si>
  <si>
    <t>XvQpxooVYV</t>
  </si>
  <si>
    <t>WNgszEFo5X</t>
  </si>
  <si>
    <t>2026-07-09T18:44:49.944Z</t>
  </si>
  <si>
    <t>Fim8VzoQsy</t>
  </si>
  <si>
    <t>SashKrjAij</t>
  </si>
  <si>
    <t>2026-07-09T19:15:47.785Z</t>
  </si>
  <si>
    <t>PJZd7VPMPA</t>
  </si>
  <si>
    <t>hJUMPvTrqK</t>
  </si>
  <si>
    <t>2026-07-09T21:52:49.844Z</t>
  </si>
  <si>
    <t>HKtcxtD2Uo</t>
  </si>
  <si>
    <t>j7hoKrKBxc</t>
  </si>
  <si>
    <t>2026-07-09T22:20:47.210Z</t>
  </si>
  <si>
    <t>aWwXr89zeB</t>
  </si>
  <si>
    <t>PBr3GS5cDg</t>
  </si>
  <si>
    <t>2026-07-09T22:22:39.577Z</t>
  </si>
  <si>
    <t>U27fwK8oCz</t>
  </si>
  <si>
    <t>aDcYYdWSfL</t>
  </si>
  <si>
    <t>2026-07-09T22:56:23.203Z</t>
  </si>
  <si>
    <t>eGJ9YNzf9G</t>
  </si>
  <si>
    <t>2JvY47Gpps</t>
  </si>
  <si>
    <t>2026-07-09T22:57:24.490Z</t>
  </si>
  <si>
    <t>ocJEEHzTci</t>
  </si>
  <si>
    <t>H1P6VxDpij</t>
  </si>
  <si>
    <t>2026-07-09T23:15:29.882Z</t>
  </si>
  <si>
    <t>nLNAnq24uf</t>
  </si>
  <si>
    <t>LdYFJa7S4a</t>
  </si>
  <si>
    <t>2026-07-09T23:22:32.448Z</t>
  </si>
  <si>
    <t>5Vm2vZCJHQ</t>
  </si>
  <si>
    <t>TKwuzj8GUa</t>
  </si>
  <si>
    <t>2026-07-10T00:06:02.291Z</t>
  </si>
  <si>
    <t>berBY5P4vJ</t>
  </si>
  <si>
    <t>s7PMMKW6eK</t>
  </si>
  <si>
    <t>2026-07-10T00:20:00.037Z</t>
  </si>
  <si>
    <t>g3rYZzkTTC</t>
  </si>
  <si>
    <t>HAvGBXoqTZ</t>
  </si>
  <si>
    <t>2026-07-10T00:49:07.209Z</t>
  </si>
  <si>
    <t>ShimUubTJL</t>
  </si>
  <si>
    <t>sxbrfVK9U5</t>
  </si>
  <si>
    <t>2026-07-10T01:00:57.845Z</t>
  </si>
  <si>
    <t>4o3xXWtuWX</t>
  </si>
  <si>
    <t>4StWVZewVx</t>
  </si>
  <si>
    <t>2026-07-10T01:14:46.794Z</t>
  </si>
  <si>
    <t>8NbAe6YntS</t>
  </si>
  <si>
    <t>88Pd2TVBvL</t>
  </si>
  <si>
    <t>2026-07-10T01:22:57.443Z</t>
  </si>
  <si>
    <t>xpcWiMmJj6</t>
  </si>
  <si>
    <t>JxkN9PxmBR</t>
  </si>
  <si>
    <t>2026-07-10T01:37:37.748Z</t>
  </si>
  <si>
    <t>VqGLLUVWWq</t>
  </si>
  <si>
    <t>aHGaMGpAEp</t>
  </si>
  <si>
    <t>2026-07-10T01:48:18.617Z</t>
  </si>
  <si>
    <t>PAgiNpwR1H</t>
  </si>
  <si>
    <t>PTzArATtNX</t>
  </si>
  <si>
    <t>2026-07-10T01:55:43.879Z</t>
  </si>
  <si>
    <t>tfotFuLwLA</t>
  </si>
  <si>
    <t>YeMb82XU3c</t>
  </si>
  <si>
    <t>2026-07-10T01:56:36.531Z</t>
  </si>
  <si>
    <t>nPnJqgvvPn</t>
  </si>
  <si>
    <t>XSQfnHcSQS</t>
  </si>
  <si>
    <t>2026-07-10T02:07:19.199Z</t>
  </si>
  <si>
    <t>qBhc32Gm2i</t>
  </si>
  <si>
    <t>Lj1etZnfZC</t>
  </si>
  <si>
    <t>2026-07-10T02:25:57.558Z</t>
  </si>
  <si>
    <t>Y4RvjiSK3L</t>
  </si>
  <si>
    <t>1Bf9m7vM5D</t>
  </si>
  <si>
    <t>2026-07-10T02:47:37.293Z</t>
  </si>
  <si>
    <t>y2A55hgs6A</t>
  </si>
  <si>
    <t>3JPo4enATv</t>
  </si>
  <si>
    <t>2026-07-10T03:08:18.790Z</t>
  </si>
  <si>
    <t>jpyTm4osPB</t>
  </si>
  <si>
    <t>Jb1pMcrcVN</t>
  </si>
  <si>
    <t>2026-07-10T03:14:31.434Z</t>
  </si>
  <si>
    <t>17ZfFU1W4b</t>
  </si>
  <si>
    <t>Wcq9cMYp15</t>
  </si>
  <si>
    <t>2026-07-10T03:16:25.244Z</t>
  </si>
  <si>
    <t>Q7fF1wbZkM</t>
  </si>
  <si>
    <t>TbR8pSprzo</t>
  </si>
  <si>
    <t>2026-07-10T03:40:41.351Z</t>
  </si>
  <si>
    <t>TQVYMQFYLt</t>
  </si>
  <si>
    <t>ZiUTNnHhes</t>
  </si>
  <si>
    <t>2026-07-10T03:41:16.571Z</t>
  </si>
  <si>
    <t>sMPkQ9pGXu</t>
  </si>
  <si>
    <t>HN6H2Eoktb</t>
  </si>
  <si>
    <t>2026-07-10T04:13:01.547Z</t>
  </si>
  <si>
    <t>omrpSEWwc2</t>
  </si>
  <si>
    <t>2TMCSZ9dS7</t>
  </si>
  <si>
    <t>2026-07-10T04:15:51.102Z</t>
  </si>
  <si>
    <t>GNaQFcPGfJ</t>
  </si>
  <si>
    <t>1AD8soHWUf</t>
  </si>
  <si>
    <t>2026-07-10T04:16:20.572Z</t>
  </si>
  <si>
    <t>XVvhcv6MDZ</t>
  </si>
  <si>
    <t>hvCZDiV2dN</t>
  </si>
  <si>
    <t>2026-07-10T04:25:01.546Z</t>
  </si>
  <si>
    <t>vCoDDjNX77</t>
  </si>
  <si>
    <t>fKbmSH1WGw</t>
  </si>
  <si>
    <t>2026-07-10T04:42:35.127Z</t>
  </si>
  <si>
    <t>Q64NMtEzNY</t>
  </si>
  <si>
    <t>3958U5mbx8</t>
  </si>
  <si>
    <t>2026-07-10T04:50:05.593Z</t>
  </si>
  <si>
    <t>ZnYnBsX1tt</t>
  </si>
  <si>
    <t>qaMF2u5fFo</t>
  </si>
  <si>
    <t>2026-07-10T05:22:56.450Z</t>
  </si>
  <si>
    <t>7gmZNnX9HS</t>
  </si>
  <si>
    <t>mtbs9yHL5W</t>
  </si>
  <si>
    <t>2026-07-10T07:10:48.521Z</t>
  </si>
  <si>
    <t>GhAKX63sc4</t>
  </si>
  <si>
    <t>4gw5mjzJPL</t>
  </si>
  <si>
    <t>2026-07-10T09:16:35.231Z</t>
  </si>
  <si>
    <t>LzbGkA4ajN</t>
  </si>
  <si>
    <t>TvcSNnUwnJ</t>
  </si>
  <si>
    <t>2026-07-10T10:57:02.805Z</t>
  </si>
  <si>
    <t>YwqKJRhjHF</t>
  </si>
  <si>
    <t>J2jN8revMT</t>
  </si>
  <si>
    <t>2026-07-10T15:13:37.226Z</t>
  </si>
  <si>
    <t>NTYJ68TghA</t>
  </si>
  <si>
    <t>Z6mdMyjYex</t>
  </si>
  <si>
    <t>2026-07-10T15:17:30.292Z</t>
  </si>
  <si>
    <t>um4pNkHdkP</t>
  </si>
  <si>
    <t>23Bn9QHfmR</t>
  </si>
  <si>
    <t>2026-07-10T15:35:08.571Z</t>
  </si>
  <si>
    <t>QbFfXYew4o</t>
  </si>
  <si>
    <t>y8cfA72HY8</t>
  </si>
  <si>
    <t>2026-07-10T16:01:25.786Z</t>
  </si>
  <si>
    <t>U7i6Ckd7zd</t>
  </si>
  <si>
    <t>Cm3gXbbmVL</t>
  </si>
  <si>
    <t>2026-07-10T16:40:13.867Z</t>
  </si>
  <si>
    <t>94iCJ2hLYv</t>
  </si>
  <si>
    <t>prNf1tgXM9</t>
  </si>
  <si>
    <t>2026-07-10T16:43:59.733Z</t>
  </si>
  <si>
    <t>mQdfB4Ekdi</t>
  </si>
  <si>
    <t>eXwoMcPG6M</t>
  </si>
  <si>
    <t>2026-07-10T16:44:36.970Z</t>
  </si>
  <si>
    <t>gJsTzKEE4k</t>
  </si>
  <si>
    <t>bnrz9GMGCY</t>
  </si>
  <si>
    <t>2026-07-10T17:22:14.703Z</t>
  </si>
  <si>
    <t>i1kqLNRdWG</t>
  </si>
  <si>
    <t>TVzCYYBXg6</t>
  </si>
  <si>
    <t>2026-07-10T17:41:55.853Z</t>
  </si>
  <si>
    <t>VjxJeHdTpC</t>
  </si>
  <si>
    <t>w5GygDGPKL</t>
  </si>
  <si>
    <t>2026-07-10T18:07:18.407Z</t>
  </si>
  <si>
    <t>1Zjrpmkssw</t>
  </si>
  <si>
    <t>ggUtrCvzdt</t>
  </si>
  <si>
    <t>2026-07-10T18:07:30.441Z</t>
  </si>
  <si>
    <t>DeSbetMm18</t>
  </si>
  <si>
    <t>KSszKZdUWJ</t>
  </si>
  <si>
    <t>2026-07-10T18:16:36.842Z</t>
  </si>
  <si>
    <t>S8RmF7Brbo</t>
  </si>
  <si>
    <t>JNgV9JLZ3G</t>
  </si>
  <si>
    <t>2026-07-10T18:18:22.951Z</t>
  </si>
  <si>
    <t>k4omcMBumv</t>
  </si>
  <si>
    <t>LbQjopRC81</t>
  </si>
  <si>
    <t>2026-07-10T18:19:37.921Z</t>
  </si>
  <si>
    <t>s61vTgcspK</t>
  </si>
  <si>
    <t>DwhHweQq41</t>
  </si>
  <si>
    <t>2026-07-10T18:32:08.652Z</t>
  </si>
  <si>
    <t>rpW9mnuvTt</t>
  </si>
  <si>
    <t>gbFNkncy8q</t>
  </si>
  <si>
    <t>2026-07-10T18:41:55.106Z</t>
  </si>
  <si>
    <t>MfgsSo9gyE</t>
  </si>
  <si>
    <t>25thwAu2GY</t>
  </si>
  <si>
    <t>2026-07-10T19:07:23.133Z</t>
  </si>
  <si>
    <t>VM1dteMCHf</t>
  </si>
  <si>
    <t>7kcPcB6GS2</t>
  </si>
  <si>
    <t>2026-07-10T19:11:02.160Z</t>
  </si>
  <si>
    <t>QhVrmQCn9r</t>
  </si>
  <si>
    <t>LiXb8yxiKk</t>
  </si>
  <si>
    <t>2026-07-10T19:38:44.160Z</t>
  </si>
  <si>
    <t>mynmCGnnHB</t>
  </si>
  <si>
    <t>vhwypNBrEC</t>
  </si>
  <si>
    <t>2026-07-10T19:51:57.763Z</t>
  </si>
  <si>
    <t>eoQwrNvG56</t>
  </si>
  <si>
    <t>rhYj9BNh5t</t>
  </si>
  <si>
    <t>2026-07-10T20:27:10.742Z</t>
  </si>
  <si>
    <t>YeMw1wXBX4</t>
  </si>
  <si>
    <t>sBz9oNuNdW</t>
  </si>
  <si>
    <t>2026-07-10T20:36:22.719Z</t>
  </si>
  <si>
    <t>K6QLf1SY1E</t>
  </si>
  <si>
    <t>WfxvVkjcLE</t>
  </si>
  <si>
    <t>2026-07-10T20:59:06.304Z</t>
  </si>
  <si>
    <t>HB3CFV5pRd</t>
  </si>
  <si>
    <t>QqM6W66LSJ</t>
  </si>
  <si>
    <t>2026-07-10T20:59:22.963Z</t>
  </si>
  <si>
    <t>D6cQJ5sAov</t>
  </si>
  <si>
    <t>2PV4ZiReas</t>
  </si>
  <si>
    <t>2026-07-10T21:01:37.963Z</t>
  </si>
  <si>
    <t>abzEsCBb8C</t>
  </si>
  <si>
    <t>ezxaDWFow8</t>
  </si>
  <si>
    <t>2026-07-10T21:01:59.039Z</t>
  </si>
  <si>
    <t>YgqH5en3Xg</t>
  </si>
  <si>
    <t>spiBCfYRHa</t>
  </si>
  <si>
    <t>2026-07-10T21:02:06.636Z</t>
  </si>
  <si>
    <t>VwQBkCn6XG</t>
  </si>
  <si>
    <t>H5prZTM7Gw</t>
  </si>
  <si>
    <t>2026-07-10T21:05:49.643Z</t>
  </si>
  <si>
    <t>fCtX3WnyQC</t>
  </si>
  <si>
    <t>BkneVY1sS6</t>
  </si>
  <si>
    <t>2026-07-10T21:06:22.653Z</t>
  </si>
  <si>
    <t>rLovnTLsE7</t>
  </si>
  <si>
    <t>XQH1DRKxPa</t>
  </si>
  <si>
    <t>2026-07-10T21:06:30.848Z</t>
  </si>
  <si>
    <t>s7tyBHBmXz</t>
  </si>
  <si>
    <t>PA2xpyGiNd</t>
  </si>
  <si>
    <t>2026-07-10T21:16:52.325Z</t>
  </si>
  <si>
    <t>CoZEae9i3t</t>
  </si>
  <si>
    <t>JRKPFHQakq</t>
  </si>
  <si>
    <t>2026-07-10T21:17:53.712Z</t>
  </si>
  <si>
    <t>yP9hkLiL75</t>
  </si>
  <si>
    <t>TeiBG6MKjS</t>
  </si>
  <si>
    <t>2026-07-10T21:33:18.539Z</t>
  </si>
  <si>
    <t>5fmzQodRMJ</t>
  </si>
  <si>
    <t>VD5mVvVdoL</t>
  </si>
  <si>
    <t>2026-07-10T21:34:48.746Z</t>
  </si>
  <si>
    <t>ny1msNXbBk</t>
  </si>
  <si>
    <t>xaUC4Nu5wG</t>
  </si>
  <si>
    <t>2026-07-10T21:36:31.849Z</t>
  </si>
  <si>
    <t>S2tctZzFw4</t>
  </si>
  <si>
    <t>tpPpCQD22S</t>
  </si>
  <si>
    <t>2026-07-10T21:38:53.402Z</t>
  </si>
  <si>
    <t>tsRyL8rgrx</t>
  </si>
  <si>
    <t>54Pau7PCBe</t>
  </si>
  <si>
    <t>2026-07-10T21:39:21.949Z</t>
  </si>
  <si>
    <t>eQJ9LypuxH</t>
  </si>
  <si>
    <t>kkw6bFYCct</t>
  </si>
  <si>
    <t>2026-07-10T21:42:12.581Z</t>
  </si>
  <si>
    <t>MW4F7m2PSa</t>
  </si>
  <si>
    <t>9CzZ4CBV2q</t>
  </si>
  <si>
    <t>2026-07-10T21:49:27.000Z</t>
  </si>
  <si>
    <t>NraxXcCP8f</t>
  </si>
  <si>
    <t>oowtRriZjw</t>
  </si>
  <si>
    <t>2026-07-10T21:51:18.616Z</t>
  </si>
  <si>
    <t>mvwrxrCTNQ</t>
  </si>
  <si>
    <t>BQhFtPyXa4</t>
  </si>
  <si>
    <t>2026-07-10T21:55:03.872Z</t>
  </si>
  <si>
    <t>MCWkPcBnk2</t>
  </si>
  <si>
    <t>NDnFmvJujn</t>
  </si>
  <si>
    <t>2026-07-10T21:57:57.273Z</t>
  </si>
  <si>
    <t>jCukFTDyDG</t>
  </si>
  <si>
    <t>7wk6dK8m8F</t>
  </si>
  <si>
    <t>2026-07-10T21:58:13.675Z</t>
  </si>
  <si>
    <t>C6gNmLS7QA</t>
  </si>
  <si>
    <t>mPYTbwQxMa</t>
  </si>
  <si>
    <t>2026-07-10T21:59:44.297Z</t>
  </si>
  <si>
    <t>Mk1ieiRj4E</t>
  </si>
  <si>
    <t>psnMq8jEur</t>
  </si>
  <si>
    <t>2026-07-10T22:01:53.891Z</t>
  </si>
  <si>
    <t>R9q1B5HrEN</t>
  </si>
  <si>
    <t>UcAFF652oR</t>
  </si>
  <si>
    <t>2026-07-10T22:05:43.133Z</t>
  </si>
  <si>
    <t>gPXfd6KFpB</t>
  </si>
  <si>
    <t>Ke1QtMzEh1</t>
  </si>
  <si>
    <t>2026-07-10T22:06:12.391Z</t>
  </si>
  <si>
    <t>Q3VHeNP1z4</t>
  </si>
  <si>
    <t>eawmUNoZ9r</t>
  </si>
  <si>
    <t>2026-07-10T22:25:30.900Z</t>
  </si>
  <si>
    <t>2oCuDGK1Wx</t>
  </si>
  <si>
    <t>ZZn5YKM3gR</t>
  </si>
  <si>
    <t>2026-07-10T22:29:55.628Z</t>
  </si>
  <si>
    <t>QhobqhiAHn</t>
  </si>
  <si>
    <t>1fjzSTcmY1</t>
  </si>
  <si>
    <t>2026-07-10T22:31:28.122Z</t>
  </si>
  <si>
    <t>y4EXEBf8xk</t>
  </si>
  <si>
    <t>tGaoKouQM2</t>
  </si>
  <si>
    <t>2026-07-10T22:31:58.747Z</t>
  </si>
  <si>
    <t>gCsZTD5qzs</t>
  </si>
  <si>
    <t>Rar4EJ9RHf</t>
  </si>
  <si>
    <t>2026-07-10T22:33:10.836Z</t>
  </si>
  <si>
    <t>XYWebKSKg2</t>
  </si>
  <si>
    <t>cYZR73uEWR</t>
  </si>
  <si>
    <t>2026-07-10T22:48:55.962Z</t>
  </si>
  <si>
    <t>NmeqLM8EoB</t>
  </si>
  <si>
    <t>7pXDgtgE56</t>
  </si>
  <si>
    <t>2026-07-10T22:56:20.355Z</t>
  </si>
  <si>
    <t>r3jmPrnXwe</t>
  </si>
  <si>
    <t>FiheqerScn</t>
  </si>
  <si>
    <t>2026-07-10T22:58:35.855Z</t>
  </si>
  <si>
    <t>BTYz4czKc7</t>
  </si>
  <si>
    <t>9HvVE27Z4V</t>
  </si>
  <si>
    <t>2026-07-10T23:04:04.760Z</t>
  </si>
  <si>
    <t>ECBwaKsr7b</t>
  </si>
  <si>
    <t>8p6wQ8dGRK</t>
  </si>
  <si>
    <t>2026-07-10T23:12:01.924Z</t>
  </si>
  <si>
    <t>CpKNGG7mYo</t>
  </si>
  <si>
    <t>ZpR9w3Eaio</t>
  </si>
  <si>
    <t>2026-07-10T23:21:01.967Z</t>
  </si>
  <si>
    <t>bWDJ6ufS1k</t>
  </si>
  <si>
    <t>so48xPztNR</t>
  </si>
  <si>
    <t>2026-07-10T23:26:49.630Z</t>
  </si>
  <si>
    <t>rmvThKMxXT</t>
  </si>
  <si>
    <t>j5EQYk442i</t>
  </si>
  <si>
    <t>2026-07-10T23:28:23.163Z</t>
  </si>
  <si>
    <t>uUbDodSxod</t>
  </si>
  <si>
    <t>m64CGqqCgL</t>
  </si>
  <si>
    <t>2026-07-10T23:28:36.638Z</t>
  </si>
  <si>
    <t>wvTm2GHeYJ</t>
  </si>
  <si>
    <t>UBjN2RKdEA</t>
  </si>
  <si>
    <t>2026-07-10T23:29:31.501Z</t>
  </si>
  <si>
    <t>Rzn1CubW9J</t>
  </si>
  <si>
    <t>eEUdDLFp31</t>
  </si>
  <si>
    <t>2026-07-10T23:44:39.954Z</t>
  </si>
  <si>
    <t>pfE8WXFG75</t>
  </si>
  <si>
    <t>vyLJ7kktEN</t>
  </si>
  <si>
    <t>2026-07-10T23:46:56.967Z</t>
  </si>
  <si>
    <t>fxpa9G152G</t>
  </si>
  <si>
    <t>k74VPJPrDP</t>
  </si>
  <si>
    <t>2026-07-10T23:47:13.813Z</t>
  </si>
  <si>
    <t>fB5CUWVDRP</t>
  </si>
  <si>
    <t>M4ydDrfmvA</t>
  </si>
  <si>
    <t>2026-07-10T23:49:18.801Z</t>
  </si>
  <si>
    <t>uwdkqkEsWK</t>
  </si>
  <si>
    <t>2omjhzgAyN</t>
  </si>
  <si>
    <t>2026-07-10T23:58:53.337Z</t>
  </si>
  <si>
    <t>QJ4LyD2M4E</t>
  </si>
  <si>
    <t>DX9EPBKHAJ</t>
  </si>
  <si>
    <t>2026-07-11T00:02:45.657Z</t>
  </si>
  <si>
    <t>hFWs5o2n6F</t>
  </si>
  <si>
    <t>bSEaQrLnfi</t>
  </si>
  <si>
    <t>2026-07-11T00:11:25.760Z</t>
  </si>
  <si>
    <t>8LfEDEE37h</t>
  </si>
  <si>
    <t>FSxRrLxwM4</t>
  </si>
  <si>
    <t>2026-07-11T00:12:55.035Z</t>
  </si>
  <si>
    <t>apGRD56yW8</t>
  </si>
  <si>
    <t>4s5s1KkBpV</t>
  </si>
  <si>
    <t>2026-07-11T00:29:08.366Z</t>
  </si>
  <si>
    <t>VRzseSwyHv</t>
  </si>
  <si>
    <t>9KNcRTqnAq</t>
  </si>
  <si>
    <t>2026-07-11T00:40:58.924Z</t>
  </si>
  <si>
    <t>diNTH82sAJ</t>
  </si>
  <si>
    <t>oaHQSdyis8</t>
  </si>
  <si>
    <t>2026-07-11T00:41:23.808Z</t>
  </si>
  <si>
    <t>ZTYqocDzRW</t>
  </si>
  <si>
    <t>BMRhxLnU46</t>
  </si>
  <si>
    <t>2026-07-11T01:17:23.046Z</t>
  </si>
  <si>
    <t>JBEyQd639N</t>
  </si>
  <si>
    <t>gerEfswW9i</t>
  </si>
  <si>
    <t>2026-07-11T01:18:39.890Z</t>
  </si>
  <si>
    <t>AGVwDeqiCQ</t>
  </si>
  <si>
    <t>XoPuV3y6Pt</t>
  </si>
  <si>
    <t>2026-07-11T01:33:11.400Z</t>
  </si>
  <si>
    <t>NbPzQDDwdU</t>
  </si>
  <si>
    <t>Jg3mbsbdoB</t>
  </si>
  <si>
    <t>2026-07-11T01:48:47.663Z</t>
  </si>
  <si>
    <t>Que97VZKuZ</t>
  </si>
  <si>
    <t>w4wtrTVncL</t>
  </si>
  <si>
    <t>2026-07-11T01:48:57.662Z</t>
  </si>
  <si>
    <t>YNkYVL8dms</t>
  </si>
  <si>
    <t>Gqt2hwbzAT</t>
  </si>
  <si>
    <t>2026-07-11T01:55:54.193Z</t>
  </si>
  <si>
    <t>ta1hj4qCTK</t>
  </si>
  <si>
    <t>4AUosfZGJf</t>
  </si>
  <si>
    <t>2026-07-11T02:10:01.959Z</t>
  </si>
  <si>
    <t>NLrwKMEyM8</t>
  </si>
  <si>
    <t>VaSNVeZ7RN</t>
  </si>
  <si>
    <t>2026-07-11T02:21:54.392Z</t>
  </si>
  <si>
    <t>N4FVVhrm5F</t>
  </si>
  <si>
    <t>ZkYRe3kBFg</t>
  </si>
  <si>
    <t>2026-07-11T03:19:05.409Z</t>
  </si>
  <si>
    <t>SrRDx1vrjg</t>
  </si>
  <si>
    <t>cJm6RxSrDn</t>
  </si>
  <si>
    <t>2026-07-11T03:22:15.623Z</t>
  </si>
  <si>
    <t>8otGxrQ2Be</t>
  </si>
  <si>
    <t>dKfSaM5JVJ</t>
  </si>
  <si>
    <t>2026-07-11T03:35:10.434Z</t>
  </si>
  <si>
    <t>P81KVY6dCN</t>
  </si>
  <si>
    <t>4r1Fh924TW</t>
  </si>
  <si>
    <t>2026-07-11T03:40:29.592Z</t>
  </si>
  <si>
    <t>8nEHRggjU5</t>
  </si>
  <si>
    <t>cmAE5rJBwN</t>
  </si>
  <si>
    <t>2026-07-11T03:44:24.072Z</t>
  </si>
  <si>
    <t>KD1yWw26ai</t>
  </si>
  <si>
    <t>g4iZCVNud4</t>
  </si>
  <si>
    <t>2026-07-11T03:58:54.638Z</t>
  </si>
  <si>
    <t>QZXMW4TG1b</t>
  </si>
  <si>
    <t>CnbpJmTPRB</t>
  </si>
  <si>
    <t>2026-07-11T04:03:52.691Z</t>
  </si>
  <si>
    <t>s6YBsNRXj9</t>
  </si>
  <si>
    <t>VNjYh8FpSD</t>
  </si>
  <si>
    <t>2026-07-11T04:07:53.146Z</t>
  </si>
  <si>
    <t>RdEBqvJt7Q</t>
  </si>
  <si>
    <t>xXgQvFxBgV</t>
  </si>
  <si>
    <t>2026-07-11T04:11:54.756Z</t>
  </si>
  <si>
    <t>dqS1DwX7Pg</t>
  </si>
  <si>
    <t>5ZbAjGpicS</t>
  </si>
  <si>
    <t>2026-07-11T04:32:50.324Z</t>
  </si>
  <si>
    <t>rrfCCCcb8Q</t>
  </si>
  <si>
    <t>ea6veUvSW7</t>
  </si>
  <si>
    <t>2026-07-11T04:37:37.674Z</t>
  </si>
  <si>
    <t>2RWyjSndyy</t>
  </si>
  <si>
    <t>jMgyxvZPmL</t>
  </si>
  <si>
    <t>2026-07-11T04:50:44.882Z</t>
  </si>
  <si>
    <t>V13Lap1YCh</t>
  </si>
  <si>
    <t>z1P7gEbQ8o</t>
  </si>
  <si>
    <t>2026-07-11T05:02:56.986Z</t>
  </si>
  <si>
    <t>KiM6h3ZHxD</t>
  </si>
  <si>
    <t>u1V3ieUS4B</t>
  </si>
  <si>
    <t>2026-07-11T05:03:59.626Z</t>
  </si>
  <si>
    <t>WjKZDzabhR</t>
  </si>
  <si>
    <t>4GGt2jnJdJ</t>
  </si>
  <si>
    <t>2026-07-11T05:44:35.478Z</t>
  </si>
  <si>
    <t>XQvVFjkVtU</t>
  </si>
  <si>
    <t>HVZEveRwjC</t>
  </si>
  <si>
    <t>2026-07-11T06:07:44.598Z</t>
  </si>
  <si>
    <t>JF89wbhTd5</t>
  </si>
  <si>
    <t>pvPJoyUitH</t>
  </si>
  <si>
    <t>2026-07-11T06:08:24.331Z</t>
  </si>
  <si>
    <t>jdZ2xXe97K</t>
  </si>
  <si>
    <t>VSeDauLKtZ</t>
  </si>
  <si>
    <t>2026-07-11T06:08:51.728Z</t>
  </si>
  <si>
    <t>FkFgREtFxe</t>
  </si>
  <si>
    <t>b8xyzm9woy</t>
  </si>
  <si>
    <t>2026-07-11T06:10:09.833Z</t>
  </si>
  <si>
    <t>AQBwWJQk8a</t>
  </si>
  <si>
    <t>ykdurHYFrG</t>
  </si>
  <si>
    <t>2026-07-11T06:10:22.014Z</t>
  </si>
  <si>
    <t>WczdvUkyra</t>
  </si>
  <si>
    <t>7MnR2JVtJn</t>
  </si>
  <si>
    <t>2026-07-11T06:21:16.984Z</t>
  </si>
  <si>
    <t>LGfxrt5WoK</t>
  </si>
  <si>
    <t>f7MYEdosdN</t>
  </si>
  <si>
    <t>2026-07-11T06:46:20.029Z</t>
  </si>
  <si>
    <t>eUvc6Gt7VT</t>
  </si>
  <si>
    <t>mQRTL3J7bt</t>
  </si>
  <si>
    <t>2026-07-11T07:38:27.359Z</t>
  </si>
  <si>
    <t>4rv1CXKeA1</t>
  </si>
  <si>
    <t>f33AaEQuP7</t>
  </si>
  <si>
    <t>2026-07-11T10:22:47.142Z</t>
  </si>
  <si>
    <t>wNwxef797F</t>
  </si>
  <si>
    <t>2dAu4hDsT2</t>
  </si>
  <si>
    <t>2026-07-11T11:35:59.523Z</t>
  </si>
  <si>
    <t>rLaL47wAEH</t>
  </si>
  <si>
    <t>uBTsb9jDPw</t>
  </si>
  <si>
    <t>2026-07-11T12:32:11.318Z</t>
  </si>
  <si>
    <t>h5gwGELu2v</t>
  </si>
  <si>
    <t>DARZUif5GT</t>
  </si>
  <si>
    <t>2026-07-11T13:03:55.113Z</t>
  </si>
  <si>
    <t>TELx9MZDgD</t>
  </si>
  <si>
    <t>QJnTSp6Lpm</t>
  </si>
  <si>
    <t>2026-07-11T13:26:36.069Z</t>
  </si>
  <si>
    <t>iL44Lr3wzV</t>
  </si>
  <si>
    <t>zviQToMbrC</t>
  </si>
  <si>
    <t>2026-07-11T13:50:03.131Z</t>
  </si>
  <si>
    <t>AxSaF9B37t</t>
  </si>
  <si>
    <t>SVYibLRmEQ</t>
  </si>
  <si>
    <t>2026-07-11T14:20:53.950Z</t>
  </si>
  <si>
    <t>qzSA6irTsU</t>
  </si>
  <si>
    <t>aVUVx2Ljn5</t>
  </si>
  <si>
    <t>2026-07-11T14:59:15.430Z</t>
  </si>
  <si>
    <t>fUhcKiEBXf</t>
  </si>
  <si>
    <t>Jqbnktti5y</t>
  </si>
  <si>
    <t>2026-07-11T15:11:28.131Z</t>
  </si>
  <si>
    <t>y8Gs4X73J9</t>
  </si>
  <si>
    <t>vwXrvQHZzQ</t>
  </si>
  <si>
    <t>2026-07-11T15:15:37.809Z</t>
  </si>
  <si>
    <t>DWVrv8Qbty</t>
  </si>
  <si>
    <t>iDg354TPkS</t>
  </si>
  <si>
    <t>2026-07-11T16:09:22.598Z</t>
  </si>
  <si>
    <t>mrW9LzG82B</t>
  </si>
  <si>
    <t>ov4F1Pdj4D</t>
  </si>
  <si>
    <t>2026-07-11T17:01:09.667Z</t>
  </si>
  <si>
    <t>vRbtB7wvQr</t>
  </si>
  <si>
    <t>cvDd83ZZEu</t>
  </si>
  <si>
    <t>2026-07-11T17:07:19.420Z</t>
  </si>
  <si>
    <t>1fRyPWAohD</t>
  </si>
  <si>
    <t>D4sQjbNpEK</t>
  </si>
  <si>
    <t>2026-07-11T17:31:17.683Z</t>
  </si>
  <si>
    <t>Mbnq67C5At</t>
  </si>
  <si>
    <t>RHy6Wa9s7A</t>
  </si>
  <si>
    <t>2026-07-11T17:33:02.441Z</t>
  </si>
  <si>
    <t>SWXmzUzCCf</t>
  </si>
  <si>
    <t>SchzQcshCG</t>
  </si>
  <si>
    <t>2026-07-11T17:33:24.768Z</t>
  </si>
  <si>
    <t>3WhSbnucYG</t>
  </si>
  <si>
    <t>AN5QdH6nzb</t>
  </si>
  <si>
    <t>2026-07-11T17:56:03.284Z</t>
  </si>
  <si>
    <t>kHPiYQwL8d</t>
  </si>
  <si>
    <t>FpSjcRdPJS</t>
  </si>
  <si>
    <t>2026-07-11T17:59:53.856Z</t>
  </si>
  <si>
    <t>K7fSx5bySB</t>
  </si>
  <si>
    <t>7CPx9ydJJL</t>
  </si>
  <si>
    <t>2026-07-11T18:06:41.405Z</t>
  </si>
  <si>
    <t>jwgiR4AYdi</t>
  </si>
  <si>
    <t>PvPeqP7rAh</t>
  </si>
  <si>
    <t>2026-07-11T18:56:01.055Z</t>
  </si>
  <si>
    <t>Jpua7ZWdZ9</t>
  </si>
  <si>
    <t>pv2vLQC52U</t>
  </si>
  <si>
    <t>2026-07-11T19:00:12.403Z</t>
  </si>
  <si>
    <t>wuFwwP4yVW</t>
  </si>
  <si>
    <t>kQvmSFrYB9</t>
  </si>
  <si>
    <t>2026-07-11T19:54:41.126Z</t>
  </si>
  <si>
    <t>G8Qk9BtXJa</t>
  </si>
  <si>
    <t>EYsEndoBf8</t>
  </si>
  <si>
    <t>2026-07-11T20:44:56.069Z</t>
  </si>
  <si>
    <t>XhgpPtznTU</t>
  </si>
  <si>
    <t>neDzPUzN4z</t>
  </si>
  <si>
    <t>2026-07-11T22:16:56.937Z</t>
  </si>
  <si>
    <t>vzSAN5whPy</t>
  </si>
  <si>
    <t>NdnMgTo7i4</t>
  </si>
  <si>
    <t>2026-07-11T23:34:43.203Z</t>
  </si>
  <si>
    <t>sQMsfKwcE4</t>
  </si>
  <si>
    <t>qAeiJYTxFZ</t>
  </si>
  <si>
    <t>2026-07-12T00:58:44.884Z</t>
  </si>
  <si>
    <t>u17WksZAcS</t>
  </si>
  <si>
    <t>qRTq5XntRW</t>
  </si>
  <si>
    <t>2026-07-12T01:49:06.074Z</t>
  </si>
  <si>
    <t>b16KJjumRT</t>
  </si>
  <si>
    <t>Jx2ub2ST3K</t>
  </si>
  <si>
    <t>2026-07-12T02:31:37.544Z</t>
  </si>
  <si>
    <t>A2avriPvZA</t>
  </si>
  <si>
    <t>yypzQjGPA1</t>
  </si>
  <si>
    <t>2026-07-12T02:54:16.599Z</t>
  </si>
  <si>
    <t>4zpgPSoUro</t>
  </si>
  <si>
    <t>xSkj3CaCyw</t>
  </si>
  <si>
    <t>2026-07-12T03:44:18.560Z</t>
  </si>
  <si>
    <t>UJ81FXBTc4</t>
  </si>
  <si>
    <t>UC6637KAJY</t>
  </si>
  <si>
    <t>2026-07-12T04:33:40.923Z</t>
  </si>
  <si>
    <t>9y58p29HfR</t>
  </si>
  <si>
    <t>qob1AWVrDv</t>
  </si>
  <si>
    <t>2026-07-12T04:45:45.289Z</t>
  </si>
  <si>
    <t>dYWKe5T37e</t>
  </si>
  <si>
    <t>kJAr1K8U97</t>
  </si>
  <si>
    <t>2026-07-12T05:17:10.271Z</t>
  </si>
  <si>
    <t>YbUruEN1ws</t>
  </si>
  <si>
    <t>RouSDwTuwd</t>
  </si>
  <si>
    <t>2026-07-12T05:38:28.060Z</t>
  </si>
  <si>
    <t>jwKqUakWfm</t>
  </si>
  <si>
    <t>L9averWcd8</t>
  </si>
  <si>
    <t>2026-07-12T05:54:02.493Z</t>
  </si>
  <si>
    <t>QwaxvBhv2v</t>
  </si>
  <si>
    <t>bKSxRjJHyS</t>
  </si>
  <si>
    <t>2026-07-12T06:27:59.166Z</t>
  </si>
  <si>
    <t>kjM617yN38</t>
  </si>
  <si>
    <t>n7Gf7G9F3D</t>
  </si>
  <si>
    <t>2026-07-12T07:59:18.225Z</t>
  </si>
  <si>
    <t>T5FY8pZakd</t>
  </si>
  <si>
    <t>g6j9cVF6CA</t>
  </si>
  <si>
    <t>2026-07-12T09:53:48.011Z</t>
  </si>
  <si>
    <t>EBGPYKrUx8</t>
  </si>
  <si>
    <t>NVzBpAv7Bj</t>
  </si>
  <si>
    <t>2026-07-12T10:23:42.295Z</t>
  </si>
  <si>
    <t>Sk49JXc4cC</t>
  </si>
  <si>
    <t>g2rNWzkWdd</t>
  </si>
  <si>
    <t>2026-07-12T12:46:25.256Z</t>
  </si>
  <si>
    <t>Jqa64QdTx1</t>
  </si>
  <si>
    <t>58iKUqm6nE</t>
  </si>
  <si>
    <t>2026-07-12T13:43:49.428Z</t>
  </si>
  <si>
    <t>cAz1smMxRG</t>
  </si>
  <si>
    <t>QbDpFyYQVt</t>
  </si>
  <si>
    <t>2026-07-12T13:56:08.597Z</t>
  </si>
  <si>
    <t>CmuvQVR5HT</t>
  </si>
  <si>
    <t>GFMnqLJUak</t>
  </si>
  <si>
    <t>2026-07-12T14:24:08.779Z</t>
  </si>
  <si>
    <t>mjehaT6qKL</t>
  </si>
  <si>
    <t>musghcJtRQ</t>
  </si>
  <si>
    <t>2026-07-12T15:19:06.851Z</t>
  </si>
  <si>
    <t>UmrpcqCBES</t>
  </si>
  <si>
    <t>qGta96uh87</t>
  </si>
  <si>
    <t>2026-07-12T15:35:31.537Z</t>
  </si>
  <si>
    <t>n9yyZF48vD</t>
  </si>
  <si>
    <t>TkK6a3hPCB</t>
  </si>
  <si>
    <t>2026-07-12T15:49:30.065Z</t>
  </si>
  <si>
    <t>UYg7b2u5Gb</t>
  </si>
  <si>
    <t>2XJYSGkU1L</t>
  </si>
  <si>
    <t>2026-07-12T16:18:02.989Z</t>
  </si>
  <si>
    <t>3XagRSXkhw</t>
  </si>
  <si>
    <t>JDDxHpepLS</t>
  </si>
  <si>
    <t>2026-07-12T16:23:00.203Z</t>
  </si>
  <si>
    <t>9NTc4jBEU7</t>
  </si>
  <si>
    <t>UnUQmamWSz</t>
  </si>
  <si>
    <t>2026-07-12T17:01:28.557Z</t>
  </si>
  <si>
    <t>N2v9LXhZPd</t>
  </si>
  <si>
    <t>5HX3rqQ3yq</t>
  </si>
  <si>
    <t>2026-07-12T17:03:48.819Z</t>
  </si>
  <si>
    <t>8pLNvQ6mFr</t>
  </si>
  <si>
    <t>jiemtgeX8s</t>
  </si>
  <si>
    <t>2026-07-12T17:33:30.398Z</t>
  </si>
  <si>
    <t>igwKMZZhL9</t>
  </si>
  <si>
    <t>ynVd9KJAJu</t>
  </si>
  <si>
    <t>2026-07-12T17:45:37.930Z</t>
  </si>
  <si>
    <t>MqbUzHK2so</t>
  </si>
  <si>
    <t>YxmUhyCADM</t>
  </si>
  <si>
    <t>2026-07-12T17:59:16.185Z</t>
  </si>
  <si>
    <t>YEKdcUQgsm</t>
  </si>
  <si>
    <t>6DwRvwH92v</t>
  </si>
  <si>
    <t>2026-07-12T18:04:35.735Z</t>
  </si>
  <si>
    <t>vnm2eLJcvF</t>
  </si>
  <si>
    <t>p9bx4mwPTJ</t>
  </si>
  <si>
    <t>2026-07-12T18:14:37.239Z</t>
  </si>
  <si>
    <t>8KyC9RsP8j</t>
  </si>
  <si>
    <t>8n4CAs1oXg</t>
  </si>
  <si>
    <t>2026-07-12T18:36:56.473Z</t>
  </si>
  <si>
    <t>FN31TSFQZ8</t>
  </si>
  <si>
    <t>7RUv8FSCGo</t>
  </si>
  <si>
    <t>2026-07-12T19:13:08.016Z</t>
  </si>
  <si>
    <t>gjLBbB83ny</t>
  </si>
  <si>
    <t>y6rXgMsPne</t>
  </si>
  <si>
    <t>2026-07-12T20:52:58.990Z</t>
  </si>
  <si>
    <t>BakeojfUnE</t>
  </si>
  <si>
    <t>hRgHj9peQz</t>
  </si>
  <si>
    <t>2026-07-12T21:06:50.450Z</t>
  </si>
  <si>
    <t>T26SVbgQR7</t>
  </si>
  <si>
    <t>fpMVpSxozp</t>
  </si>
  <si>
    <t>2026-07-12T21:42:12.952Z</t>
  </si>
  <si>
    <t>yvcoC759wg</t>
  </si>
  <si>
    <t>tXiFvTkhz6</t>
  </si>
  <si>
    <t>2026-07-12T22:33:46.088Z</t>
  </si>
  <si>
    <t>XneitFSSfp</t>
  </si>
  <si>
    <t>F7oFepexiW</t>
  </si>
  <si>
    <t>2026-07-12T23:05:25.626Z</t>
  </si>
  <si>
    <t>ENxjMEMTZc</t>
  </si>
  <si>
    <t>CHmqG6VAsT</t>
  </si>
  <si>
    <t>2026-07-13T00:00:30.164Z</t>
  </si>
  <si>
    <t>cdnAssGyCU</t>
  </si>
  <si>
    <t>KXC5HYXqRr</t>
  </si>
  <si>
    <t>2026-07-13T00:07:47.662Z</t>
  </si>
  <si>
    <t>4haFnqsgmX</t>
  </si>
  <si>
    <t>hbQuZ1mfYU</t>
  </si>
  <si>
    <t>2026-07-13T00:32:42.661Z</t>
  </si>
  <si>
    <t>qEDcPsKzaL</t>
  </si>
  <si>
    <t>8j1SpgSktV</t>
  </si>
  <si>
    <t>2026-07-13T00:40:28.440Z</t>
  </si>
  <si>
    <t>kvCWyL1tGx</t>
  </si>
  <si>
    <t>dyXdWcKvNp</t>
  </si>
  <si>
    <t>2026-07-13T00:46:52.904Z</t>
  </si>
  <si>
    <t>STPM3aQW7U</t>
  </si>
  <si>
    <t>YcUFKQxjNx</t>
  </si>
  <si>
    <t>2026-07-13T00:49:38.486Z</t>
  </si>
  <si>
    <t>RwGkYExB78</t>
  </si>
  <si>
    <t>VnTs8mwrrQ</t>
  </si>
  <si>
    <t>2026-07-13T01:03:26.760Z</t>
  </si>
  <si>
    <t>k1MMCbVRLk</t>
  </si>
  <si>
    <t>LH19TVRQFJ</t>
  </si>
  <si>
    <t>2026-07-13T01:14:15.242Z</t>
  </si>
  <si>
    <t>4aqEGpqg2Y</t>
  </si>
  <si>
    <t>PcJGPCBpDj</t>
  </si>
  <si>
    <t>2026-07-13T01:27:16.242Z</t>
  </si>
  <si>
    <t>mQw5hNpF5r</t>
  </si>
  <si>
    <t>Ki1bwKVSj5</t>
  </si>
  <si>
    <t>2026-07-13T01:38:20.580Z</t>
  </si>
  <si>
    <t>kkTUdEdy3d</t>
  </si>
  <si>
    <t>yhz89BHn1F</t>
  </si>
  <si>
    <t>2026-07-13T01:43:36.979Z</t>
  </si>
  <si>
    <t>rwoK7xonj5</t>
  </si>
  <si>
    <t>gfncxHmfAq</t>
  </si>
  <si>
    <t>2026-07-13T02:15:14.916Z</t>
  </si>
  <si>
    <t>P9Xdjh5tZi</t>
  </si>
  <si>
    <t>jLvPBTibgC</t>
  </si>
  <si>
    <t>2026-07-13T02:17:46.798Z</t>
  </si>
  <si>
    <t>GQftA5fpRg</t>
  </si>
  <si>
    <t>YJv3Exu5D7</t>
  </si>
  <si>
    <t>2026-07-13T02:45:11.188Z</t>
  </si>
  <si>
    <t>LtcEKS7Rc1</t>
  </si>
  <si>
    <t>HwcyS6CNhF</t>
  </si>
  <si>
    <t>2026-07-13T02:49:07.513Z</t>
  </si>
  <si>
    <t>7A6XTzVfdk</t>
  </si>
  <si>
    <t>TW34VzKoxT</t>
  </si>
  <si>
    <t>2026-07-13T02:54:08.819Z</t>
  </si>
  <si>
    <t>Hwka4Sp5Ms</t>
  </si>
  <si>
    <t>Fo8WRk2Bfx</t>
  </si>
  <si>
    <t>2026-07-13T03:09:53.880Z</t>
  </si>
  <si>
    <t>vDgGr7LMDe</t>
  </si>
  <si>
    <t>mZatQmtTaT</t>
  </si>
  <si>
    <t>2026-07-13T03:27:11.766Z</t>
  </si>
  <si>
    <t>CTXzXCD6mN</t>
  </si>
  <si>
    <t>Zn1mZsk5Sa</t>
  </si>
  <si>
    <t>2026-07-13T03:53:33.241Z</t>
  </si>
  <si>
    <t>rafxUJqZiR</t>
  </si>
  <si>
    <t>ranrzbnhjv</t>
  </si>
  <si>
    <t>2026-07-13T05:10:25.307Z</t>
  </si>
  <si>
    <t>6WiuCnGVBH</t>
  </si>
  <si>
    <t>C2DpGgQqrN</t>
  </si>
  <si>
    <t>2026-07-13T06:03:46.106Z</t>
  </si>
  <si>
    <t>7NuXiCU3yD</t>
  </si>
  <si>
    <t>63xt7aKuS7</t>
  </si>
  <si>
    <t>2026-07-13T09:42:52.809Z</t>
  </si>
  <si>
    <t>BjDXWktFxS</t>
  </si>
  <si>
    <t>RtKXaT3XX7</t>
  </si>
  <si>
    <t>2026-07-13T09:59:45.152Z</t>
  </si>
  <si>
    <t>EPRDznQC3g</t>
  </si>
  <si>
    <t>zx8RxCWPXw</t>
  </si>
  <si>
    <t>2026-07-13T13:53:18.592Z</t>
  </si>
  <si>
    <t>Trn3mH74eW</t>
  </si>
  <si>
    <t>jJ16nLwcpR</t>
  </si>
  <si>
    <t>2026-07-13T15:13:09.334Z</t>
  </si>
  <si>
    <t>d4RN3PwhQ7</t>
  </si>
  <si>
    <t>pFdg8dsNJ5</t>
  </si>
  <si>
    <t>2026-07-13T15:28:47.820Z</t>
  </si>
  <si>
    <t>6K2NJKip4Q</t>
  </si>
  <si>
    <t>vu8y57VFC3</t>
  </si>
  <si>
    <t>2026-07-13T16:15:51.175Z</t>
  </si>
  <si>
    <t>pYLiVN7b2V</t>
  </si>
  <si>
    <t>xRFgvpVLsc</t>
  </si>
  <si>
    <t>2026-07-13T16:21:55.709Z</t>
  </si>
  <si>
    <t>iCsYc9jodm</t>
  </si>
  <si>
    <t>SSgSGP4ANU</t>
  </si>
  <si>
    <t>2026-07-13T16:32:14.104Z</t>
  </si>
  <si>
    <t>8tgc4P9Hcr</t>
  </si>
  <si>
    <t>sW7dHKCTDW</t>
  </si>
  <si>
    <t>2026-07-13T16:34:52.024Z</t>
  </si>
  <si>
    <t>dxhiAuNPnD</t>
  </si>
  <si>
    <t>DGUEazqsmh</t>
  </si>
  <si>
    <t>2026-07-13T16:37:53.290Z</t>
  </si>
  <si>
    <t>TNLd8yvrnB</t>
  </si>
  <si>
    <t>s8XpJhj4rR</t>
  </si>
  <si>
    <t>2026-07-13T16:57:08.284Z</t>
  </si>
  <si>
    <t>iU7SANDYgX</t>
  </si>
  <si>
    <t>RRPACTRp12</t>
  </si>
  <si>
    <t>2026-07-13T17:02:22.855Z</t>
  </si>
  <si>
    <t>kgq8FqSx4w</t>
  </si>
  <si>
    <t>KUrDvhFaC7</t>
  </si>
  <si>
    <t>2026-07-13T17:04:22.945Z</t>
  </si>
  <si>
    <t>DxdYiWwwgG</t>
  </si>
  <si>
    <t>HAdidzDwb6</t>
  </si>
  <si>
    <t>2026-07-13T17:24:24.132Z</t>
  </si>
  <si>
    <t>oGFd8Qfisi</t>
  </si>
  <si>
    <t>vzKPAy7FW6</t>
  </si>
  <si>
    <t>2026-07-13T17:27:29.977Z</t>
  </si>
  <si>
    <t>ZZrUVxiT3E</t>
  </si>
  <si>
    <t>cbL2i4nDHS</t>
  </si>
  <si>
    <t>2026-07-13T17:41:24.932Z</t>
  </si>
  <si>
    <t>AXMgtSC9As</t>
  </si>
  <si>
    <t>qMpyxtnHhH</t>
  </si>
  <si>
    <t>2026-07-13T17:51:07.009Z</t>
  </si>
  <si>
    <t>CeGaE78CMd</t>
  </si>
  <si>
    <t>ewLgbeXycj</t>
  </si>
  <si>
    <t>2026-07-13T18:10:20.964Z</t>
  </si>
  <si>
    <t>i742ociP7g</t>
  </si>
  <si>
    <t>z52XPjqiHz</t>
  </si>
  <si>
    <t>2026-07-13T18:14:35.195Z</t>
  </si>
  <si>
    <t>QyeYCYWRvL</t>
  </si>
  <si>
    <t>npjKMv9ANb</t>
  </si>
  <si>
    <t>2026-07-13T18:15:16.993Z</t>
  </si>
  <si>
    <t>WWxN178DQi</t>
  </si>
  <si>
    <t>4EAKgL2QXe</t>
  </si>
  <si>
    <t>2026-07-13T18:38:51.539Z</t>
  </si>
  <si>
    <t>tTNGq9mMfD</t>
  </si>
  <si>
    <t>2UCGkx5KsR</t>
  </si>
  <si>
    <t>2026-07-13T18:40:35.259Z</t>
  </si>
  <si>
    <t>hmzYiyHihp</t>
  </si>
  <si>
    <t>CZh97gXeQ6</t>
  </si>
  <si>
    <t>2026-07-13T18:40:54.791Z</t>
  </si>
  <si>
    <t>VKR8ZJf29b</t>
  </si>
  <si>
    <t>9nS1o4yAyX</t>
  </si>
  <si>
    <t>2026-07-13T18:48:42.557Z</t>
  </si>
  <si>
    <t>6Nm2KgHbjC</t>
  </si>
  <si>
    <t>Sg4gdgYjE6</t>
  </si>
  <si>
    <t>2026-07-13T19:28:14.638Z</t>
  </si>
  <si>
    <t>seuEah4hUB</t>
  </si>
  <si>
    <t>7eDT8Dco6M</t>
  </si>
  <si>
    <t>2026-07-13T19:45:01.237Z</t>
  </si>
  <si>
    <t>aWdPQauvKT</t>
  </si>
  <si>
    <t>iHXd5ctsz9</t>
  </si>
  <si>
    <t>2026-07-13T20:18:04.731Z</t>
  </si>
  <si>
    <t>mkPJfw8ggx</t>
  </si>
  <si>
    <t>SmsZWNaRZh</t>
  </si>
  <si>
    <t>2026-07-13T20:19:38.019Z</t>
  </si>
  <si>
    <t>Z6F5bVqb7j</t>
  </si>
  <si>
    <t>vNWtMsUCUX</t>
  </si>
  <si>
    <t>2026-07-13T20:33:26.228Z</t>
  </si>
  <si>
    <t>KidXJB4zCp</t>
  </si>
  <si>
    <t>3yoVRbN75Y</t>
  </si>
  <si>
    <t>2026-07-13T20:36:51.983Z</t>
  </si>
  <si>
    <t>7Tmis5LN2p</t>
  </si>
  <si>
    <t>N8WmABQwHw</t>
  </si>
  <si>
    <t>2026-07-13T20:52:11.822Z</t>
  </si>
  <si>
    <t>ZRDopdAzyZ</t>
  </si>
  <si>
    <t>2v5ve722Gt</t>
  </si>
  <si>
    <t>2026-07-13T21:09:37.062Z</t>
  </si>
  <si>
    <t>WvF8gRwt73</t>
  </si>
  <si>
    <t>Snti1gmtLL</t>
  </si>
  <si>
    <t>2026-07-13T21:39:55.101Z</t>
  </si>
  <si>
    <t>usLcRarA82</t>
  </si>
  <si>
    <t>rwpSbHz1Jp</t>
  </si>
  <si>
    <t>2026-07-13T21:47:47.769Z</t>
  </si>
  <si>
    <t>pKn3LeHTWH</t>
  </si>
  <si>
    <t>BcVUE33fdc</t>
  </si>
  <si>
    <t>2026-07-13T22:01:49.756Z</t>
  </si>
  <si>
    <t>hCYy35p6Rr</t>
  </si>
  <si>
    <t>iRqRMwoFMU</t>
  </si>
  <si>
    <t>2026-07-13T22:02:15.691Z</t>
  </si>
  <si>
    <t>baMEc9TRCU</t>
  </si>
  <si>
    <t>jXGQh3q2pR</t>
  </si>
  <si>
    <t>2026-07-13T22:20:06.001Z</t>
  </si>
  <si>
    <t>DcdWKNmgac</t>
  </si>
  <si>
    <t>NLyfD9wium</t>
  </si>
  <si>
    <t>2026-07-13T22:34:18.712Z</t>
  </si>
  <si>
    <t>WMn8tXba5v</t>
  </si>
  <si>
    <t>9KeSunFi4F</t>
  </si>
  <si>
    <t>2026-07-13T22:42:47.735Z</t>
  </si>
  <si>
    <t>VqywArL3HK</t>
  </si>
  <si>
    <t>TFixkEduga</t>
  </si>
  <si>
    <t>2026-07-13T22:46:19.774Z</t>
  </si>
  <si>
    <t>SNkiWkWAhW</t>
  </si>
  <si>
    <t>fU6jMr6dnL</t>
  </si>
  <si>
    <t>2026-07-14T00:46:24.799Z</t>
  </si>
  <si>
    <t>hvzYmdURRN</t>
  </si>
  <si>
    <t>F17NhEmmRF</t>
  </si>
  <si>
    <t>2026-07-14T00:47:04.372Z</t>
  </si>
  <si>
    <t>qpC2WzJnhj</t>
  </si>
  <si>
    <t>yynQ54TTMe</t>
  </si>
  <si>
    <t>2026-07-14T01:52:43.394Z</t>
  </si>
  <si>
    <t>KDcdNXkDfR</t>
  </si>
  <si>
    <t>fqNmyvscT9</t>
  </si>
  <si>
    <t>2026-07-14T02:10:17.191Z</t>
  </si>
  <si>
    <t>cKPY53TdPu</t>
  </si>
  <si>
    <t>XbG8UnqhSV</t>
  </si>
  <si>
    <t>2026-07-14T02:17:42.018Z</t>
  </si>
  <si>
    <t>jPQVkm257F</t>
  </si>
  <si>
    <t>p6dH86jyNV</t>
  </si>
  <si>
    <t>2026-07-14T02:36:52.491Z</t>
  </si>
  <si>
    <t>8tSwtStovS</t>
  </si>
  <si>
    <t>dUUpL98qr1</t>
  </si>
  <si>
    <t>2026-07-14T02:40:39.319Z</t>
  </si>
  <si>
    <t>DcS2xavNMN</t>
  </si>
  <si>
    <t>hx7N5Zvdap</t>
  </si>
  <si>
    <t>2026-07-14T02:46:11.113Z</t>
  </si>
  <si>
    <t>yNbZPhkHZ3</t>
  </si>
  <si>
    <t>ch9ranfhF9</t>
  </si>
  <si>
    <t>2026-07-14T02:59:18.895Z</t>
  </si>
  <si>
    <t>UuaR8w3HRK</t>
  </si>
  <si>
    <t>8o3jPhj1UA</t>
  </si>
  <si>
    <t>2026-07-14T03:13:59.949Z</t>
  </si>
  <si>
    <t>z8s8n6v2iL</t>
  </si>
  <si>
    <t>asQwNoSqfo</t>
  </si>
  <si>
    <t>2026-07-14T03:50:15.188Z</t>
  </si>
  <si>
    <t>LNVSCceosy</t>
  </si>
  <si>
    <t>31gbwBSokP</t>
  </si>
  <si>
    <t>2026-07-14T04:04:17.344Z</t>
  </si>
  <si>
    <t>i1uk12avYU</t>
  </si>
  <si>
    <t>bwDj5YJWy3</t>
  </si>
  <si>
    <t>2026-07-14T05:45:29.600Z</t>
  </si>
  <si>
    <t>AQmRAbt3dy</t>
  </si>
  <si>
    <t>yxmQYtaKTZ</t>
  </si>
  <si>
    <t>2026-07-14T06:09:12.808Z</t>
  </si>
  <si>
    <t>cgxj3uP8pV</t>
  </si>
  <si>
    <t>6saj3xGSc4</t>
  </si>
  <si>
    <t>2026-07-14T15:08:47.510Z</t>
  </si>
  <si>
    <t>it9MoRXg8H</t>
  </si>
  <si>
    <t>81PvhSDcVQ</t>
  </si>
  <si>
    <t>2026-07-14T15:42:10.483Z</t>
  </si>
  <si>
    <t>AUVcF26CzQ</t>
  </si>
  <si>
    <t>jzeCSPh7w1</t>
  </si>
  <si>
    <t>2026-07-14T16:35:06.446Z</t>
  </si>
  <si>
    <t>Number of Active Players:</t>
  </si>
  <si>
    <t>dte1hv8bhq</t>
  </si>
  <si>
    <t>Sr6bHPDTnw</t>
  </si>
  <si>
    <t>2026-07-14T17:00:31.902Z</t>
  </si>
  <si>
    <t>t7as1pgB36</t>
  </si>
  <si>
    <t>ZLhf44bYyp</t>
  </si>
  <si>
    <t>2026-07-14T17:20:53.385Z</t>
  </si>
  <si>
    <t>PSMfHSmoAf</t>
  </si>
  <si>
    <t>CF33BzeDyY</t>
  </si>
  <si>
    <t>2026-07-14T17:21:25.573Z</t>
  </si>
  <si>
    <t>isiWkq7qWK</t>
  </si>
  <si>
    <t>rb1ZhvrDdb</t>
  </si>
  <si>
    <t>Number of Players Eliminated:</t>
  </si>
  <si>
    <t>2026-07-14T17:28:36.526Z</t>
  </si>
  <si>
    <t>P3j49ozUKr</t>
  </si>
  <si>
    <t>Cs5KJmu9yY</t>
  </si>
  <si>
    <t>2026-07-14T18:26:42.924Z</t>
  </si>
  <si>
    <t>Above green line = prizes!</t>
  </si>
  <si>
    <t>859TBGnxzg</t>
  </si>
  <si>
    <t>ebgf73HyB2</t>
  </si>
  <si>
    <t>2026-07-14T18:44:48.935Z</t>
  </si>
  <si>
    <t>AGL Probability Model</t>
  </si>
  <si>
    <t>Ujg9PJyKPm</t>
  </si>
  <si>
    <t>zvjLnZAkfR</t>
  </si>
  <si>
    <t>2026-07-14T18:54:47.580Z</t>
  </si>
  <si>
    <t>aEo16KadH6</t>
  </si>
  <si>
    <t>bULxpYNAxV</t>
  </si>
  <si>
    <t>2026-07-14T19:22:20.216Z</t>
  </si>
  <si>
    <t>TgpQfs6aWT</t>
  </si>
  <si>
    <t>CXnE3zue3t</t>
  </si>
  <si>
    <t>2026-07-14T19:56:55.868Z</t>
  </si>
  <si>
    <t>97LAwyb2oq</t>
  </si>
  <si>
    <t>VHM1gTuea2</t>
  </si>
  <si>
    <t>2026-07-14T20:02:16.280Z</t>
  </si>
  <si>
    <t>qLpcmnXpYN</t>
  </si>
  <si>
    <t>7Vi2Jmvwsr</t>
  </si>
  <si>
    <t>2026-07-14T20:12:29.349Z</t>
  </si>
  <si>
    <t>rqVSMWgvG7</t>
  </si>
  <si>
    <t>y9JU7SUNdy</t>
  </si>
  <si>
    <t>Total number of matches</t>
  </si>
  <si>
    <t>2026-07-14T20:26:43.400Z</t>
  </si>
  <si>
    <t>yhxvfgKx93</t>
  </si>
  <si>
    <t>KdkgqqnaFK</t>
  </si>
  <si>
    <t>2026-07-14T20:50:43.717Z</t>
  </si>
  <si>
    <t>JhhuwFS2up</t>
  </si>
  <si>
    <t>4wE5UvTPnr</t>
  </si>
  <si>
    <t>2026-07-14T21:12:07.916Z</t>
  </si>
  <si>
    <t>Below green line = NO prizes</t>
  </si>
  <si>
    <t>HcjNMniz5Z</t>
  </si>
  <si>
    <t>kg68uppTVA</t>
  </si>
  <si>
    <t>2026-07-14T21:28:37.683Z</t>
  </si>
  <si>
    <t>7SF39g3uBL</t>
  </si>
  <si>
    <t>jVi14UuBFJ</t>
  </si>
  <si>
    <t>Number of Match Wins</t>
  </si>
  <si>
    <t>2026-07-14T21:37:42.553Z</t>
  </si>
  <si>
    <t>pgkWv4LgEb</t>
  </si>
  <si>
    <t>kHvGKNVT79</t>
  </si>
  <si>
    <t>2026-07-14T21:58:25.395Z</t>
  </si>
  <si>
    <t>A3KHzt6Xbo</t>
  </si>
  <si>
    <t>qZv7jUgFmW</t>
  </si>
  <si>
    <t>2026-07-14T22:05:32.812Z</t>
  </si>
  <si>
    <t>XUwJs387TD</t>
  </si>
  <si>
    <t>jmvLwynkbg</t>
  </si>
  <si>
    <t>2026-07-14T22:30:40.235Z</t>
  </si>
  <si>
    <t>Number of Match Losses</t>
  </si>
  <si>
    <t>x1HCuWRsPt</t>
  </si>
  <si>
    <t>SUj3zpeWbi</t>
  </si>
  <si>
    <t>2026-07-14T22:44:49.532Z</t>
  </si>
  <si>
    <t>d5dL5Ki3XE</t>
  </si>
  <si>
    <t>jc1Sk8AtbJ</t>
  </si>
  <si>
    <t>2026-07-14T23:08:24.028Z</t>
  </si>
  <si>
    <t>Q3ZcPqiaVP</t>
  </si>
  <si>
    <t>5jsKdBG56X</t>
  </si>
  <si>
    <t>All Time Stats</t>
  </si>
  <si>
    <t>2026-07-15T00:35:23.049Z</t>
  </si>
  <si>
    <t>scdze3RnaN</t>
  </si>
  <si>
    <t>z4BcMgCxEm</t>
  </si>
  <si>
    <t>2026-07-15T00:38:12.814Z</t>
  </si>
  <si>
    <t>nt3wPgX31E</t>
  </si>
  <si>
    <t>UMPvgp4jsB</t>
  </si>
  <si>
    <t>2026-07-15T00:57:54.337Z</t>
  </si>
  <si>
    <t>2SqztaF2xE</t>
  </si>
  <si>
    <t>B2ALrGmDzL</t>
  </si>
  <si>
    <t>2026-07-15T01:33:51.206Z</t>
  </si>
  <si>
    <t>G1nhwTdsjx</t>
  </si>
  <si>
    <t>d5xC9K8ja6</t>
  </si>
  <si>
    <t>Max number of matches left</t>
  </si>
  <si>
    <t>2026-07-15T01:46:38.205Z</t>
  </si>
  <si>
    <t>u6uRZ1fBU2</t>
  </si>
  <si>
    <t>2JyUV4pGq6</t>
  </si>
  <si>
    <t>2026-07-15T01:49:44.424Z</t>
  </si>
  <si>
    <t>Ht3aBUVVtf</t>
  </si>
  <si>
    <t>7fvvym9YMf</t>
  </si>
  <si>
    <t>2026-07-15T01:51:35.703Z</t>
  </si>
  <si>
    <t>RiUK5KA9FP</t>
  </si>
  <si>
    <t>9QSgiR5X1k</t>
  </si>
  <si>
    <t>2026-07-15T01:59:25.642Z</t>
  </si>
  <si>
    <t>8t8dLqDzwi</t>
  </si>
  <si>
    <t>MRbCfKvwLy</t>
  </si>
  <si>
    <t>2026-07-15T02:04:42.785Z</t>
  </si>
  <si>
    <t>DEQK8WHYX2</t>
  </si>
  <si>
    <t>EbtrjMtZTs</t>
  </si>
  <si>
    <t>2026-07-15T02:09:57.990Z</t>
  </si>
  <si>
    <t>v26AHEiDWp</t>
  </si>
  <si>
    <t>iVxV3A51Nh</t>
  </si>
  <si>
    <t>2026-07-15T02:48:01.045Z</t>
  </si>
  <si>
    <t>cWbyX2gHMf</t>
  </si>
  <si>
    <t>sM4oVFYMzw</t>
  </si>
  <si>
    <t>2026-07-15T02:48:39.862Z</t>
  </si>
  <si>
    <t>fDFkGeLdXg</t>
  </si>
  <si>
    <t>tJYZVsFnYa</t>
  </si>
  <si>
    <t>2026-07-15T03:09:29.204Z</t>
  </si>
  <si>
    <t>3a3Ps1UYic</t>
  </si>
  <si>
    <t>D5XPwJKSy8</t>
  </si>
  <si>
    <t>2026-07-15T03:23:20.371Z</t>
  </si>
  <si>
    <t>WLD1AtWBsZ</t>
  </si>
  <si>
    <t>ghPhhq1HgC</t>
  </si>
  <si>
    <t>2026-07-15T03:33:14.735Z</t>
  </si>
  <si>
    <t>UCBe5DFtGA</t>
  </si>
  <si>
    <t>TthYym5w6K</t>
  </si>
  <si>
    <t>2026-07-15T03:37:24.677Z</t>
  </si>
  <si>
    <t>8N6ryzcJgr</t>
  </si>
  <si>
    <t>U4aGUQo5x1</t>
  </si>
  <si>
    <t>2026-07-15T04:43:50.584Z</t>
  </si>
  <si>
    <t>uJ8uPgUUQd</t>
  </si>
  <si>
    <t>D2HFC3GzL6</t>
  </si>
  <si>
    <t>2026-07-15T05:29:40.001Z</t>
  </si>
  <si>
    <t>pN6PnpzgBK</t>
  </si>
  <si>
    <t>m53oZjDdej</t>
  </si>
  <si>
    <t>2026-07-15T06:18:39.485Z</t>
  </si>
  <si>
    <t>FNBNtcMebT</t>
  </si>
  <si>
    <t>2HQ2SXPks8</t>
  </si>
  <si>
    <t>2026-07-15T10:37:15.803Z</t>
  </si>
  <si>
    <t>z5AzcfpLqp</t>
  </si>
  <si>
    <t>JGt49mgsMP</t>
  </si>
  <si>
    <t>2026-07-15T12:38:24.725Z</t>
  </si>
  <si>
    <t>mjZDX23ynB</t>
  </si>
  <si>
    <t>ajLCayKyuf</t>
  </si>
  <si>
    <t>2026-07-15T15:35:05.119Z</t>
  </si>
  <si>
    <t>CPi1QAQwKS</t>
  </si>
  <si>
    <t>VZWmb8nnTr</t>
  </si>
  <si>
    <t>2026-07-15T16:04:42.123Z</t>
  </si>
  <si>
    <t>NSC8N8irxv</t>
  </si>
  <si>
    <t>1eZTvs2ZjB</t>
  </si>
  <si>
    <t>2026-07-15T16:30:16.378Z</t>
  </si>
  <si>
    <t>tuxWHicbMW</t>
  </si>
  <si>
    <t>g9r885uYPp</t>
  </si>
  <si>
    <t>2026-07-15T16:34:13.483Z</t>
  </si>
  <si>
    <t>rYuHrwqqic</t>
  </si>
  <si>
    <t>66gERYEWrq</t>
  </si>
  <si>
    <t>2026-07-15T17:10:00.680Z</t>
  </si>
  <si>
    <t>Lkof8Wnhqr</t>
  </si>
  <si>
    <t>RArtFu5KjD</t>
  </si>
  <si>
    <t>2026-07-15T17:22:26.678Z</t>
  </si>
  <si>
    <t>Fbt4kQ8cqa</t>
  </si>
  <si>
    <t>628sgTuioe</t>
  </si>
  <si>
    <t>2026-07-15T19:08:12.028Z</t>
  </si>
  <si>
    <t>6LTrJMFkJM</t>
  </si>
  <si>
    <t>jne1bqaDn7</t>
  </si>
  <si>
    <t>2026-07-15T19:18:02.008Z</t>
  </si>
  <si>
    <t>HHNMnRiWXB</t>
  </si>
  <si>
    <t>VmV9ok5Pty</t>
  </si>
  <si>
    <t>2026-07-15T20:12:40.935Z</t>
  </si>
  <si>
    <t>SNktf8dyaP</t>
  </si>
  <si>
    <t>eqeHQsTLjX</t>
  </si>
  <si>
    <t>2026-07-15T20:39:35.565Z</t>
  </si>
  <si>
    <t>SFgPEDMerA</t>
  </si>
  <si>
    <t>xnMiyEXAND</t>
  </si>
  <si>
    <t>2026-07-15T21:17:43.147Z</t>
  </si>
  <si>
    <t>zWzUrLtq4r</t>
  </si>
  <si>
    <t>ozknBNjdk1</t>
  </si>
  <si>
    <t>2026-07-15T23:30:17.209Z</t>
  </si>
  <si>
    <t>sNvpFqZ6mL</t>
  </si>
  <si>
    <t>sGiySu1Kiw</t>
  </si>
  <si>
    <t>2026-07-15T23:59:39.389Z</t>
  </si>
  <si>
    <t>HP7gdFQA7e</t>
  </si>
  <si>
    <t>btGWsdToGo</t>
  </si>
  <si>
    <t>2026-07-16T00:02:30.024Z</t>
  </si>
  <si>
    <t>LrBTeSffTg</t>
  </si>
  <si>
    <t>fVox9vArJi</t>
  </si>
  <si>
    <t>2026-07-16T00:54:27.592Z</t>
  </si>
  <si>
    <t>dWxupjUpmV</t>
  </si>
  <si>
    <t>1rnBzSEcgK</t>
  </si>
  <si>
    <t>2026-07-16T01:24:27.738Z</t>
  </si>
  <si>
    <t>U1zhVEazkc</t>
  </si>
  <si>
    <t>NbeEgG2yWC</t>
  </si>
  <si>
    <t>2026-07-16T03:25:12.488Z</t>
  </si>
  <si>
    <t>zUWpojd96w</t>
  </si>
  <si>
    <t>jDPP57VzUi</t>
  </si>
  <si>
    <t>2026-07-16T03:40:19.119Z</t>
  </si>
  <si>
    <t>td7ySGBAMb</t>
  </si>
  <si>
    <t>eLA4ytWD6H</t>
  </si>
  <si>
    <t>2026-07-16T03:58:45.014Z</t>
  </si>
  <si>
    <t>i5jHy4NKoB</t>
  </si>
  <si>
    <t>ca4H35UaLG</t>
  </si>
  <si>
    <t>2026-07-16T04:03:18.212Z</t>
  </si>
  <si>
    <t>Tus9p2dpwH</t>
  </si>
  <si>
    <t>sWBS2XwDTe</t>
  </si>
  <si>
    <t>2026-07-16T04:20:05.292Z</t>
  </si>
  <si>
    <t>gT2jyaocmm</t>
  </si>
  <si>
    <t>89xSdmofgU</t>
  </si>
  <si>
    <t>2026-07-16T05:40:34.914Z</t>
  </si>
  <si>
    <t>6uG9SArMCH</t>
  </si>
  <si>
    <t>aLpgnkG9dC</t>
  </si>
  <si>
    <t>2026-07-16T10:41:47.227Z</t>
  </si>
  <si>
    <t>FHasTEWS7S</t>
  </si>
  <si>
    <t>749d2d8bJq</t>
  </si>
  <si>
    <t>2026-07-16T13:50:58.129Z</t>
  </si>
  <si>
    <t>HZnKNeZmbv</t>
  </si>
  <si>
    <t>jvZpXqcy1F</t>
  </si>
  <si>
    <t>2026-07-16T16:09:13.925Z</t>
  </si>
  <si>
    <t>Udf2zih3i5</t>
  </si>
  <si>
    <t>1wCTSP5ear</t>
  </si>
  <si>
    <t>2026-07-16T16:38:33.416Z</t>
  </si>
  <si>
    <t>BdjnPZna8C</t>
  </si>
  <si>
    <t>hAq868etgZ</t>
  </si>
  <si>
    <t>2026-07-16T17:08:32.125Z</t>
  </si>
  <si>
    <t>ipHhgzXSGn</t>
  </si>
  <si>
    <t>s4PuPTYAoH</t>
  </si>
  <si>
    <t>2026-07-16T19:15:42.180Z</t>
  </si>
  <si>
    <t>2qQi7PVJR4</t>
  </si>
  <si>
    <t>k8HZU8pxLN</t>
  </si>
  <si>
    <t>2026-07-16T19:16:28.571Z</t>
  </si>
  <si>
    <t>c8bvRqwEhM</t>
  </si>
  <si>
    <t>vp1Qk32Fdh</t>
  </si>
  <si>
    <t>2026-07-16T20:06:53.506Z</t>
  </si>
  <si>
    <t>n8qSUKg1UU</t>
  </si>
  <si>
    <t>srEao33ZFx</t>
  </si>
  <si>
    <t>2026-07-16T20:29:40.905Z</t>
  </si>
  <si>
    <t>BJ2eYNyyN6</t>
  </si>
  <si>
    <t>LrouxrmFzU</t>
  </si>
  <si>
    <t>2026-07-16T20:48:16.354Z</t>
  </si>
  <si>
    <t>x4oCw6Usuj</t>
  </si>
  <si>
    <t>5VBt6Xn2zP</t>
  </si>
  <si>
    <t>2026-07-16T20:48:37.114Z</t>
  </si>
  <si>
    <t>LYnW7zt4tR</t>
  </si>
  <si>
    <t>tFy2AuruYT</t>
  </si>
  <si>
    <t>2026-07-16T21:01:24.055Z</t>
  </si>
  <si>
    <t>yBWmmpXBco</t>
  </si>
  <si>
    <t>HjTuYowGCw</t>
  </si>
  <si>
    <t>2026-07-16T21:04:18.775Z</t>
  </si>
  <si>
    <t>wmrW5EB86f</t>
  </si>
  <si>
    <t>Z5UnxytQxB</t>
  </si>
  <si>
    <t>2026-07-16T21:29:14.338Z</t>
  </si>
  <si>
    <t>HuseXi4q41</t>
  </si>
  <si>
    <t>v136uWKn3e</t>
  </si>
  <si>
    <t>2026-07-16T22:23:41.047Z</t>
  </si>
  <si>
    <t>SJK3paonD6</t>
  </si>
  <si>
    <t>zZYQkkGPAr</t>
  </si>
  <si>
    <t>2026-07-16T22:42:54.334Z</t>
  </si>
  <si>
    <t>LE3n8vKkmq</t>
  </si>
  <si>
    <t>cyfDyU7Sge</t>
  </si>
  <si>
    <t>2026-07-16T22:45:00.681Z</t>
  </si>
  <si>
    <t>uqKWaxwUVM</t>
  </si>
  <si>
    <t>M5r7o2Gmbv</t>
  </si>
  <si>
    <t>2026-07-16T23:01:51.634Z</t>
  </si>
  <si>
    <t>FeWpw28qdo</t>
  </si>
  <si>
    <t>m18o8pU4yR</t>
  </si>
  <si>
    <t>2026-07-16T23:17:42.845Z</t>
  </si>
  <si>
    <t>TDM9vptLyQ</t>
  </si>
  <si>
    <t>KjStH7tadG</t>
  </si>
  <si>
    <t>2026-07-16T23:23:16.473Z</t>
  </si>
  <si>
    <t>M92y7Yp63M</t>
  </si>
  <si>
    <t>4NqUHZZZ2m</t>
  </si>
  <si>
    <t>2026-07-16T23:28:54.451Z</t>
  </si>
  <si>
    <t>FWRvXhZiW4</t>
  </si>
  <si>
    <t>a9Cuh81Fat</t>
  </si>
  <si>
    <t>2026-07-16T23:43:00.831Z</t>
  </si>
  <si>
    <t>LYjyxowjjB</t>
  </si>
  <si>
    <t>NJU8ZgziCr</t>
  </si>
  <si>
    <t>2026-07-16T23:49:00.210Z</t>
  </si>
  <si>
    <t>Sbr1pW3B9g</t>
  </si>
  <si>
    <t>PYReS7TNyV</t>
  </si>
  <si>
    <t>2026-07-16T23:50:39.582Z</t>
  </si>
  <si>
    <t>DaZKJaM5CG</t>
  </si>
  <si>
    <t>dSHLcpXc1j</t>
  </si>
  <si>
    <t>2026-07-17T00:26:17.994Z</t>
  </si>
  <si>
    <t>2mYtcWQt4c</t>
  </si>
  <si>
    <t>dxwgztN6rA</t>
  </si>
  <si>
    <t>2026-07-17T00:45:07.906Z</t>
  </si>
  <si>
    <t>119MGAoRvr</t>
  </si>
  <si>
    <t>8kcJEcAK34</t>
  </si>
  <si>
    <t>2026-07-17T01:01:37.382Z</t>
  </si>
  <si>
    <t>ePTn3J9FCs</t>
  </si>
  <si>
    <t>FY1KQNAKGE</t>
  </si>
  <si>
    <t>2026-07-17T01:10:25.448Z</t>
  </si>
  <si>
    <t>BMmHrnZd42</t>
  </si>
  <si>
    <t>vHYkTrHdu2</t>
  </si>
  <si>
    <t>2026-07-17T01:35:16.819Z</t>
  </si>
  <si>
    <t>nSHYpFVaLt</t>
  </si>
  <si>
    <t>DzNtdBYHR8</t>
  </si>
  <si>
    <t>2026-07-17T01:39:11.986Z</t>
  </si>
  <si>
    <t>zrmPSpLqyv</t>
  </si>
  <si>
    <t>CVMbUF8AWc</t>
  </si>
  <si>
    <t>2026-07-17T01:39:23.551Z</t>
  </si>
  <si>
    <t>GePf2kRLAh</t>
  </si>
  <si>
    <t>K4UFeJq6Y8</t>
  </si>
  <si>
    <t>2026-07-17T01:56:18.876Z</t>
  </si>
  <si>
    <t>mtPvBR1uyg</t>
  </si>
  <si>
    <t>iemA8q2FeJ</t>
  </si>
  <si>
    <t>2026-07-17T02:10:19.840Z</t>
  </si>
  <si>
    <t>pydCgcHURv</t>
  </si>
  <si>
    <t>8yuBthpS8R</t>
  </si>
  <si>
    <t>2026-07-17T02:17:26.465Z</t>
  </si>
  <si>
    <t>D49YWVvSRv</t>
  </si>
  <si>
    <t>krMJwMCStg</t>
  </si>
  <si>
    <t>2026-07-17T02:51:12.269Z</t>
  </si>
  <si>
    <t>NbcmdjDQMH</t>
  </si>
  <si>
    <t>p5dCQnjaHB</t>
  </si>
  <si>
    <t>2026-07-17T03:09:20.779Z</t>
  </si>
  <si>
    <t>UXJzPpykED</t>
  </si>
  <si>
    <t>JbruLc7vxd</t>
  </si>
  <si>
    <t>2026-07-17T03:24:49.175Z</t>
  </si>
  <si>
    <t>tCSkqGHVMf</t>
  </si>
  <si>
    <t>SRUsXQcriX</t>
  </si>
  <si>
    <t>2026-07-17T03:35:02.062Z</t>
  </si>
  <si>
    <t>yYfTSZ7a1g</t>
  </si>
  <si>
    <t>k1MPcrJ8t2</t>
  </si>
  <si>
    <t>2026-07-17T03:38:46.981Z</t>
  </si>
  <si>
    <t>QqJrRW1sFr</t>
  </si>
  <si>
    <t>jQDvEcoox6</t>
  </si>
  <si>
    <t>2026-07-17T04:07:31.289Z</t>
  </si>
  <si>
    <t>dQ2ULEYyMH</t>
  </si>
  <si>
    <t>urDQHxEBCq</t>
  </si>
  <si>
    <t>2026-07-17T04:44:45.587Z</t>
  </si>
  <si>
    <t>rjKUjrpNWS</t>
  </si>
  <si>
    <t>ubVKWFb9Ft</t>
  </si>
  <si>
    <t>2026-07-17T04:47:31.158Z</t>
  </si>
  <si>
    <t>Bz1pM7kB6W</t>
  </si>
  <si>
    <t>uUvP8TiuXZ</t>
  </si>
  <si>
    <t>2026-07-17T05:40:53.840Z</t>
  </si>
  <si>
    <t>t94qop7cvY</t>
  </si>
  <si>
    <t>ssqdxNrDiT</t>
  </si>
  <si>
    <t>2026-07-17T08:44:47.186Z</t>
  </si>
  <si>
    <t>Lix1tApQsB</t>
  </si>
  <si>
    <t>WEEvxJqr6c</t>
  </si>
  <si>
    <t>2026-07-17T14:03:22.368Z</t>
  </si>
  <si>
    <t>NoikCPSyZC</t>
  </si>
  <si>
    <t>aFGVHFWYrk</t>
  </si>
  <si>
    <t>2026-07-17T14:43:55.406Z</t>
  </si>
  <si>
    <t>bGXbqGk2sf</t>
  </si>
  <si>
    <t>NMaCGEB5pn</t>
  </si>
  <si>
    <t>2026-07-17T15:55:57.577Z</t>
  </si>
  <si>
    <t>EsfRR9vxJa</t>
  </si>
  <si>
    <t>3GfiTyrtpD</t>
  </si>
  <si>
    <t>2026-07-17T15:57:26.810Z</t>
  </si>
  <si>
    <t>YodL5FCJfH</t>
  </si>
  <si>
    <t>BWj2EpUunF</t>
  </si>
  <si>
    <t>2026-07-17T15:58:26.457Z</t>
  </si>
  <si>
    <t>mZnV7qEVEe</t>
  </si>
  <si>
    <t>XCTUaUXjtG</t>
  </si>
  <si>
    <t>2026-07-17T16:08:58.996Z</t>
  </si>
  <si>
    <t>i33231nxw3</t>
  </si>
  <si>
    <t>jfcMVGKPwr</t>
  </si>
  <si>
    <t>2026-07-17T16:22:15.396Z</t>
  </si>
  <si>
    <t>TjHSUutvso</t>
  </si>
  <si>
    <t>353TTDfLA5</t>
  </si>
  <si>
    <t>2026-07-17T16:49:03.876Z</t>
  </si>
  <si>
    <t>u64rZdCXiY</t>
  </si>
  <si>
    <t>Q8bYRbe1gA</t>
  </si>
  <si>
    <t>2026-07-17T16:50:03.746Z</t>
  </si>
  <si>
    <t>DWTGdV8cNL</t>
  </si>
  <si>
    <t>dWgctFfWvK</t>
  </si>
  <si>
    <t>2026-07-17T17:20:09.162Z</t>
  </si>
  <si>
    <t>5pnA58RrSF</t>
  </si>
  <si>
    <t>xNxmHB5tKG</t>
  </si>
  <si>
    <t>2026-07-17T17:57:43.394Z</t>
  </si>
  <si>
    <t>Zp494569iS</t>
  </si>
  <si>
    <t>yJQYsiU177</t>
  </si>
  <si>
    <t>2026-07-17T18:10:39.631Z</t>
  </si>
  <si>
    <t>eM3r9Gncrc</t>
  </si>
  <si>
    <t>BeHgpX1fGG</t>
  </si>
  <si>
    <t>2026-07-17T19:12:30.245Z</t>
  </si>
  <si>
    <t>cPeByUmkMH</t>
  </si>
  <si>
    <t>bPoc7EJjzt</t>
  </si>
  <si>
    <t>2026-07-17T19:35:17.446Z</t>
  </si>
  <si>
    <t>fRphYryBMM</t>
  </si>
  <si>
    <t>BQsDHVhusq</t>
  </si>
  <si>
    <t>2026-07-17T19:38:55.282Z</t>
  </si>
  <si>
    <t>XwCBRsxphn</t>
  </si>
  <si>
    <t>s8fdpKiXuj</t>
  </si>
  <si>
    <t>2026-07-17T19:49:00.207Z</t>
  </si>
  <si>
    <t>NmHesneMwX</t>
  </si>
  <si>
    <t>wqaTShcPLD</t>
  </si>
  <si>
    <t>2026-07-17T20:42:06.887Z</t>
  </si>
  <si>
    <t>Yx6cidyeCY</t>
  </si>
  <si>
    <t>ZXHSrEcskP</t>
  </si>
  <si>
    <t>2026-07-17T21:03:46.010Z</t>
  </si>
  <si>
    <t>JUNxnah7PK</t>
  </si>
  <si>
    <t>tZYxQFoVwA</t>
  </si>
  <si>
    <t>2026-07-17T21:04:37.094Z</t>
  </si>
  <si>
    <t>SS8ArvNYpU</t>
  </si>
  <si>
    <t>ccZUHMws9N</t>
  </si>
  <si>
    <t>2026-07-17T21:06:07.538Z</t>
  </si>
  <si>
    <t>8psJKe1cBW</t>
  </si>
  <si>
    <t>2qJKy4KewM</t>
  </si>
  <si>
    <t>2026-07-17T21:14:53.212Z</t>
  </si>
  <si>
    <t>sJ1mo7Mdac</t>
  </si>
  <si>
    <t>UpePkuYbmP</t>
  </si>
  <si>
    <t>2026-07-17T21:18:03.265Z</t>
  </si>
  <si>
    <t>Ksr5mKctCj</t>
  </si>
  <si>
    <t>naRNZTiviL</t>
  </si>
  <si>
    <t>2026-07-17T21:27:25.887Z</t>
  </si>
  <si>
    <t>kNRRmR3Xgn</t>
  </si>
  <si>
    <t>e96ofZKDSN</t>
  </si>
  <si>
    <t>2026-07-17T21:28:58.631Z</t>
  </si>
  <si>
    <t>UrHPkpWJtv</t>
  </si>
  <si>
    <t>9AX2twt726</t>
  </si>
  <si>
    <t>2026-07-17T21:29:46.670Z</t>
  </si>
  <si>
    <t>E2gSXB5yGs</t>
  </si>
  <si>
    <t>ASbJbB1ohS</t>
  </si>
  <si>
    <t>2026-07-17T21:41:45.363Z</t>
  </si>
  <si>
    <t>VhhnDGV6WC</t>
  </si>
  <si>
    <t>3CuYrZY3yq</t>
  </si>
  <si>
    <t>2026-07-17T21:59:28.039Z</t>
  </si>
  <si>
    <t>QwWXHXjPgo</t>
  </si>
  <si>
    <t>Jn16izFpYi</t>
  </si>
  <si>
    <t>2026-07-17T22:05:58.895Z</t>
  </si>
  <si>
    <t>uNV9EjLCje</t>
  </si>
  <si>
    <t>KC9UNM3Zc5</t>
  </si>
  <si>
    <t>2026-07-17T22:07:54.848Z</t>
  </si>
  <si>
    <t>7Wbqhx6Baw</t>
  </si>
  <si>
    <t>S1u1uMhcpo</t>
  </si>
  <si>
    <t>2026-07-17T22:19:22.399Z</t>
  </si>
  <si>
    <t>XvMDmJpVCv</t>
  </si>
  <si>
    <t>zTrSg6zbvV</t>
  </si>
  <si>
    <t>2026-07-17T22:23:07.042Z</t>
  </si>
  <si>
    <t>Xn1GHwHghE</t>
  </si>
  <si>
    <t>vBCmNLCvmy</t>
  </si>
  <si>
    <t>2026-07-17T22:42:37.138Z</t>
  </si>
  <si>
    <t>C6r8B1KmSg</t>
  </si>
  <si>
    <t>WJS91jkWJp</t>
  </si>
  <si>
    <t>2026-07-17T22:43:17.956Z</t>
  </si>
  <si>
    <t>B9qKMzB7xH</t>
  </si>
  <si>
    <t>4umMCNt5of</t>
  </si>
  <si>
    <t>2026-07-17T22:43:19.482Z</t>
  </si>
  <si>
    <t>7hiA6VV2RL</t>
  </si>
  <si>
    <t>sxEX7dDGaQ</t>
  </si>
  <si>
    <t>2026-07-17T22:44:18.946Z</t>
  </si>
  <si>
    <t>i8kG2MEZ16</t>
  </si>
  <si>
    <t>fYii1LGxtc</t>
  </si>
  <si>
    <t>2026-07-17T22:44:59.885Z</t>
  </si>
  <si>
    <t>ktm2ycPA7K</t>
  </si>
  <si>
    <t>MwcYEzndfg</t>
  </si>
  <si>
    <t>2026-07-17T22:45:24.959Z</t>
  </si>
  <si>
    <t>9A5GnBrtkc</t>
  </si>
  <si>
    <t>Q56GUsfuda</t>
  </si>
  <si>
    <t>2026-07-17T22:57:13.914Z</t>
  </si>
  <si>
    <t>TmfU3KE2nT</t>
  </si>
  <si>
    <t>TikLgjpN8S</t>
  </si>
  <si>
    <t>2026-07-17T23:10:45.761Z</t>
  </si>
  <si>
    <t>pcsXdUh4tz</t>
  </si>
  <si>
    <t>RzhjDrD5hP</t>
  </si>
  <si>
    <t>2026-07-17T23:25:51.929Z</t>
  </si>
  <si>
    <t>Sdeh7gRNbo</t>
  </si>
  <si>
    <t>fUs1rQimND</t>
  </si>
  <si>
    <t>2026-07-17T23:28:11.594Z</t>
  </si>
  <si>
    <t>ftXXRWNCPC</t>
  </si>
  <si>
    <t>vhC6E34HyQ</t>
  </si>
  <si>
    <t>2026-07-17T23:36:16.661Z</t>
  </si>
  <si>
    <t>MDrH6tPdbR</t>
  </si>
  <si>
    <t>nCtJRWtfT7</t>
  </si>
  <si>
    <t>2026-07-17T23:41:39.480Z</t>
  </si>
  <si>
    <t>t6r5accSs5</t>
  </si>
  <si>
    <t>hAvRkpehHP</t>
  </si>
  <si>
    <t>2026-07-17T23:51:12.731Z</t>
  </si>
  <si>
    <t>8dK8zJ65Eg</t>
  </si>
  <si>
    <t>PR5z8xzuT2</t>
  </si>
  <si>
    <t>2026-07-17T23:52:13.597Z</t>
  </si>
  <si>
    <t>iyz9WrqHc6</t>
  </si>
  <si>
    <t>5MufMrp4ik</t>
  </si>
  <si>
    <t>2026-07-17T23:57:33.784Z</t>
  </si>
  <si>
    <t>jmLcC11gvZ</t>
  </si>
  <si>
    <t>guancXkS79</t>
  </si>
  <si>
    <t>2026-07-18T00:06:39.252Z</t>
  </si>
  <si>
    <t>sNQrEtJuYQ</t>
  </si>
  <si>
    <t>59T1evMfAp</t>
  </si>
  <si>
    <t>2026-07-18T00:09:06.895Z</t>
  </si>
  <si>
    <t>RknBj8XM9y</t>
  </si>
  <si>
    <t>m2Y4f1eEpz</t>
  </si>
  <si>
    <t>2026-07-18T00:17:23.464Z</t>
  </si>
  <si>
    <t>sERKnCQkMT</t>
  </si>
  <si>
    <t>ySRuWtpVFM</t>
  </si>
  <si>
    <t>2026-07-18T00:24:19.371Z</t>
  </si>
  <si>
    <t>4dALnV8T2G</t>
  </si>
  <si>
    <t>4aqzyb9MbC</t>
  </si>
  <si>
    <t>2026-07-18T00:33:11.607Z</t>
  </si>
  <si>
    <t>LWCpLCXz4g</t>
  </si>
  <si>
    <t>HP4jTHuaqw</t>
  </si>
  <si>
    <t>2026-07-18T00:46:46.732Z</t>
  </si>
  <si>
    <t>u7q9e9TXxk</t>
  </si>
  <si>
    <t>Z65hDU9ASn</t>
  </si>
  <si>
    <t>2026-07-18T00:47:55.605Z</t>
  </si>
  <si>
    <t>ksUuu27Szb</t>
  </si>
  <si>
    <t>qtAJNgGWZa</t>
  </si>
  <si>
    <t>2026-07-18T00:54:03.424Z</t>
  </si>
  <si>
    <t>Lenvob5KiE</t>
  </si>
  <si>
    <t>qeWbLf3EdR</t>
  </si>
  <si>
    <t>2026-07-18T00:54:35.813Z</t>
  </si>
  <si>
    <t>J6X6PdV1Br</t>
  </si>
  <si>
    <t>CuDyfguHKz</t>
  </si>
  <si>
    <t>2026-07-18T01:03:31.223Z</t>
  </si>
  <si>
    <t>JuZ3umAGwX</t>
  </si>
  <si>
    <t>GKZvq5UApp</t>
  </si>
  <si>
    <t>2026-07-18T01:31:01.789Z</t>
  </si>
  <si>
    <t>2jG5nur4CM</t>
  </si>
  <si>
    <t>buJrXdmBVR</t>
  </si>
  <si>
    <t>2026-07-18T01:41:09.178Z</t>
  </si>
  <si>
    <t>vtJsZFLDp9</t>
  </si>
  <si>
    <t>d9BZpy8VeU</t>
  </si>
  <si>
    <t>2026-07-18T01:56:01.011Z</t>
  </si>
  <si>
    <t>Xp7EF7nMxV</t>
  </si>
  <si>
    <t>u2iRdqTAHH</t>
  </si>
  <si>
    <t>2026-07-18T02:05:42.241Z</t>
  </si>
  <si>
    <t>bPEtEhMTB9</t>
  </si>
  <si>
    <t>k1ADrAVqyQ</t>
  </si>
  <si>
    <t>2026-07-18T02:16:17.995Z</t>
  </si>
  <si>
    <t>Cx8xjUMY2n</t>
  </si>
  <si>
    <t>yeDvnaerrK</t>
  </si>
  <si>
    <t>2026-07-18T02:37:59.257Z</t>
  </si>
  <si>
    <t>d9VLiAyxQU</t>
  </si>
  <si>
    <t>dTZ6dvoAru</t>
  </si>
  <si>
    <t>2026-07-18T02:46:56.477Z</t>
  </si>
  <si>
    <t>RwMyZtpucJ</t>
  </si>
  <si>
    <t>LYqCHYLFSh</t>
  </si>
  <si>
    <t>2026-07-18T02:47:25.509Z</t>
  </si>
  <si>
    <t>edS4hLpVua</t>
  </si>
  <si>
    <t>UjPwyYEhhr</t>
  </si>
  <si>
    <t>2026-07-18T03:05:42.795Z</t>
  </si>
  <si>
    <t>sk15jgBgJm</t>
  </si>
  <si>
    <t>sUgfu6sogG</t>
  </si>
  <si>
    <t>2026-07-18T03:06:10.656Z</t>
  </si>
  <si>
    <t>QRpvFvFzjf</t>
  </si>
  <si>
    <t>KjQ8uodsPc</t>
  </si>
  <si>
    <t>2026-07-18T03:10:27.938Z</t>
  </si>
  <si>
    <t>9x6YyQ5wya</t>
  </si>
  <si>
    <t>6669AmyduR</t>
  </si>
  <si>
    <t>2026-07-18T03:24:31.787Z</t>
  </si>
  <si>
    <t>YQz8B27D5v</t>
  </si>
  <si>
    <t>cUML4V6TJ5</t>
  </si>
  <si>
    <t>2026-07-18T03:27:37.445Z</t>
  </si>
  <si>
    <t>kyqe6g7z1N</t>
  </si>
  <si>
    <t>vCFxZH3AJw</t>
  </si>
  <si>
    <t>2026-07-18T03:46:16.048Z</t>
  </si>
  <si>
    <t>g8ePoxFLRe</t>
  </si>
  <si>
    <t>j3tozJbNg3</t>
  </si>
  <si>
    <t>2026-07-18T04:21:27.400Z</t>
  </si>
  <si>
    <t>S7YXaV6V6w</t>
  </si>
  <si>
    <t>1e4XqPdX6A</t>
  </si>
  <si>
    <t>2026-07-18T04:22:19.085Z</t>
  </si>
  <si>
    <t>k9YiKwhgnZ</t>
  </si>
  <si>
    <t>AAqYcyMpzq</t>
  </si>
  <si>
    <t>2026-07-18T04:27:05.639Z</t>
  </si>
  <si>
    <t>aL85h6WeRb</t>
  </si>
  <si>
    <t>p3LuFwdGwu</t>
  </si>
  <si>
    <t>2026-07-18T04:28:09.836Z</t>
  </si>
  <si>
    <t>3NzYpoYpHm</t>
  </si>
  <si>
    <t>3MFRc2k4jn</t>
  </si>
  <si>
    <t>2026-07-18T05:00:24.887Z</t>
  </si>
  <si>
    <t>PEeeeVwJ9v</t>
  </si>
  <si>
    <t>fo2yz9Npd9</t>
  </si>
  <si>
    <t>2026-07-18T05:08:03.964Z</t>
  </si>
  <si>
    <t>kLPEYFM7YF</t>
  </si>
  <si>
    <t>np9Dse5uDC</t>
  </si>
  <si>
    <t>2026-07-18T05:16:22.586Z</t>
  </si>
  <si>
    <t>miN6DLg6WW</t>
  </si>
  <si>
    <t>N4F3mn3U7K</t>
  </si>
  <si>
    <t>2026-07-18T12:01:58.241Z</t>
  </si>
  <si>
    <t>4QzTPWU66m</t>
  </si>
  <si>
    <t>Tt3q8GBkJx</t>
  </si>
  <si>
    <t>2026-07-18T13:03:46.698Z</t>
  </si>
  <si>
    <t>ejUzPPtkHv</t>
  </si>
  <si>
    <t>7Utt63XssJ</t>
  </si>
  <si>
    <t>2026-07-18T15:28:46.413Z</t>
  </si>
  <si>
    <t>EHyYV92bEd</t>
  </si>
  <si>
    <t>ozaZSM5HAX</t>
  </si>
  <si>
    <t>2026-07-18T15:49:57.585Z</t>
  </si>
  <si>
    <t>kA9LeNrmbs</t>
  </si>
  <si>
    <t>U6GYv5e1Va</t>
  </si>
  <si>
    <t>2026-07-18T16:00:54.256Z</t>
  </si>
  <si>
    <t>DyCtTuqUYx</t>
  </si>
  <si>
    <t>sP7C6ZRJKp</t>
  </si>
  <si>
    <t>2026-07-18T16:28:22.260Z</t>
  </si>
  <si>
    <t>UFhfW9DmR2</t>
  </si>
  <si>
    <t>qxQ7hnvAPz</t>
  </si>
  <si>
    <t>2026-07-18T16:39:46.845Z</t>
  </si>
  <si>
    <t>SHk8VdjBtd</t>
  </si>
  <si>
    <t>DetJ5Q6gkY</t>
  </si>
  <si>
    <t>2026-07-18T16:57:59.493Z</t>
  </si>
  <si>
    <t>XD49n24PmY</t>
  </si>
  <si>
    <t>3dUhGQhD1o</t>
  </si>
  <si>
    <t>2026-07-18T17:13:15.200Z</t>
  </si>
  <si>
    <t>rqLzWaz9wD</t>
  </si>
  <si>
    <t>LC5hSvy3XW</t>
  </si>
  <si>
    <t>2026-07-18T17:32:51.586Z</t>
  </si>
  <si>
    <t>8DorDizFqe</t>
  </si>
  <si>
    <t>FZuWmMHswW</t>
  </si>
  <si>
    <t>2026-07-18T18:08:30.108Z</t>
  </si>
  <si>
    <t>4wELJ1DMun</t>
  </si>
  <si>
    <t>73XAaiGcEM</t>
  </si>
  <si>
    <t>2026-07-18T18:48:42.626Z</t>
  </si>
  <si>
    <t>QmHbJc4xSB</t>
  </si>
  <si>
    <t>gMFeeyMVk6</t>
  </si>
  <si>
    <t>2026-07-18T18:56:20.175Z</t>
  </si>
  <si>
    <t>Z7CRxUASCu</t>
  </si>
  <si>
    <t>hEAQp97SSW</t>
  </si>
  <si>
    <t>2026-07-18T19:11:36.335Z</t>
  </si>
  <si>
    <t>ydbknXn4qF</t>
  </si>
  <si>
    <t>Rbn2PVkkz8</t>
  </si>
  <si>
    <t>2026-07-18T19:50:15.044Z</t>
  </si>
  <si>
    <t>Gjd3n3n7DW</t>
  </si>
  <si>
    <t>D2J8RvnJpd</t>
  </si>
  <si>
    <t>2026-07-18T20:15:29.320Z</t>
  </si>
  <si>
    <t>d716vZzycM</t>
  </si>
  <si>
    <t>XiHPkx4D5a</t>
  </si>
  <si>
    <t>2026-07-18T20:51:00.999Z</t>
  </si>
  <si>
    <t>hdErqNZyVF</t>
  </si>
  <si>
    <t>hMDQXZAYy6</t>
  </si>
  <si>
    <t>2026-07-18T20:53:07.696Z</t>
  </si>
  <si>
    <t>Pdtn1DPpdD</t>
  </si>
  <si>
    <t>QogUFa2JFy</t>
  </si>
  <si>
    <t>2026-07-18T21:16:13.168Z</t>
  </si>
  <si>
    <t>hkaoHmr2x6</t>
  </si>
  <si>
    <t>Wft54y6ssZ</t>
  </si>
  <si>
    <t>2026-07-18T21:27:13.359Z</t>
  </si>
  <si>
    <t>VySaEpP9wR</t>
  </si>
  <si>
    <t>wJ4zDyRjaH</t>
  </si>
  <si>
    <t>2026-07-18T21:28:45.220Z</t>
  </si>
  <si>
    <t>FJJcdDct93</t>
  </si>
  <si>
    <t>jzxcDEdL6s</t>
  </si>
  <si>
    <t>2026-07-18T21:29:00.730Z</t>
  </si>
  <si>
    <t>UdK5K5SoE8</t>
  </si>
  <si>
    <t>4jWGgNEPf5</t>
  </si>
  <si>
    <t>2026-07-18T21:43:01.876Z</t>
  </si>
  <si>
    <t>StBeFdHB3s</t>
  </si>
  <si>
    <t>ACgxdzBpQH</t>
  </si>
  <si>
    <t>2026-07-18T21:52:07.403Z</t>
  </si>
  <si>
    <t>dsYxBjAGRw</t>
  </si>
  <si>
    <t>43XBXLsc2d</t>
  </si>
  <si>
    <t>2026-07-18T21:53:28.484Z</t>
  </si>
  <si>
    <t>MBmYNwUPSE</t>
  </si>
  <si>
    <t>qiETrYRmpF</t>
  </si>
  <si>
    <t>2026-07-18T22:29:37.971Z</t>
  </si>
  <si>
    <t>Uc7m36TSr8</t>
  </si>
  <si>
    <t>m4HAR5cKgr</t>
  </si>
  <si>
    <t>2026-07-18T22:49:32.805Z</t>
  </si>
  <si>
    <t>MX2RS5o2g1</t>
  </si>
  <si>
    <t>LwLv5Wei6s</t>
  </si>
  <si>
    <t>2026-07-18T22:58:13.996Z</t>
  </si>
  <si>
    <t>UjneAXxHPK</t>
  </si>
  <si>
    <t>WvR2YkzpLQ</t>
  </si>
  <si>
    <t>2026-07-18T23:21:19.495Z</t>
  </si>
  <si>
    <t>idt76jPmft</t>
  </si>
  <si>
    <t>rnGC5c8Sp5</t>
  </si>
  <si>
    <t>2026-07-18T23:57:47.449Z</t>
  </si>
  <si>
    <t>LgFj5W2LNm</t>
  </si>
  <si>
    <t>uZYbizyrj9</t>
  </si>
  <si>
    <t>2026-07-19T00:02:37.437Z</t>
  </si>
  <si>
    <t>RB3HrwenK7</t>
  </si>
  <si>
    <t>7Sot1Q5PsX</t>
  </si>
  <si>
    <t>2026-07-19T00:13:51.944Z</t>
  </si>
  <si>
    <t>Yghr4pNwvu</t>
  </si>
  <si>
    <t>B3qDwC8JLQ</t>
  </si>
  <si>
    <t>2026-07-19T01:00:09.770Z</t>
  </si>
  <si>
    <t>6PfAWWDEG2</t>
  </si>
  <si>
    <t>c5c7cNRBGg</t>
  </si>
  <si>
    <t>2026-07-19T01:13:19.132Z</t>
  </si>
  <si>
    <t>Gfy8jEqDTg</t>
  </si>
  <si>
    <t>8Q9qxYhSZw</t>
  </si>
  <si>
    <t>2026-07-19T01:17:55.775Z</t>
  </si>
  <si>
    <t>bmNqo7SeBL</t>
  </si>
  <si>
    <t>XReLs6vSBr</t>
  </si>
  <si>
    <t>2026-07-19T01:37:24.972Z</t>
  </si>
  <si>
    <t>K5uhnCTa2s</t>
  </si>
  <si>
    <t>eEyWwhB8u6</t>
  </si>
  <si>
    <t>2026-07-19T01:54:25.750Z</t>
  </si>
  <si>
    <t>KeB2m1jagg</t>
  </si>
  <si>
    <t>A6LrS4duWt</t>
  </si>
  <si>
    <t>2026-07-19T02:19:50.168Z</t>
  </si>
  <si>
    <t>ne6hyATkCn</t>
  </si>
  <si>
    <t>WbT71R99BW</t>
  </si>
  <si>
    <t>2026-07-19T02:37:00.009Z</t>
  </si>
  <si>
    <t>XCZcS4D9Xa</t>
  </si>
  <si>
    <t>d3QiWkA5Tg</t>
  </si>
  <si>
    <t>2026-07-19T03:12:59.279Z</t>
  </si>
  <si>
    <t>UeNsPxCf8Q</t>
  </si>
  <si>
    <t>dxzDwV3xeq</t>
  </si>
  <si>
    <t>2026-07-19T03:14:45.265Z</t>
  </si>
  <si>
    <t>AMTSPdFuSm</t>
  </si>
  <si>
    <t>irwirHbsWc</t>
  </si>
  <si>
    <t>2026-07-19T03:26:54.949Z</t>
  </si>
  <si>
    <t>rhHNa5sYSf</t>
  </si>
  <si>
    <t>VcEi8qobq8</t>
  </si>
  <si>
    <t>2026-07-19T03:51:07.611Z</t>
  </si>
  <si>
    <t>4HyB9oZ2Tb</t>
  </si>
  <si>
    <t>oX3DEtH4Ht</t>
  </si>
  <si>
    <t>2026-07-19T04:16:31.962Z</t>
  </si>
  <si>
    <t>ZjQBUuZKqu</t>
  </si>
  <si>
    <t>5hSsHwAwGb</t>
  </si>
  <si>
    <t>2026-07-19T11:55:42.049Z</t>
  </si>
  <si>
    <t>wxSXfo8KEi</t>
  </si>
  <si>
    <t>UXhGJ1W9a6</t>
  </si>
  <si>
    <t>2026-07-19T14:53:13.681Z</t>
  </si>
  <si>
    <t>9cXoUoigma</t>
  </si>
  <si>
    <t>jzzo5S5WzE</t>
  </si>
  <si>
    <t>2026-07-19T18:23:08.126Z</t>
  </si>
  <si>
    <t>ReoRMxm2Wm</t>
  </si>
  <si>
    <t>MLMyPCQpJw</t>
  </si>
  <si>
    <t>2026-07-19T18:39:32.442Z</t>
  </si>
  <si>
    <t>toaLNco7oX</t>
  </si>
  <si>
    <t>WHsH2NvEwG</t>
  </si>
  <si>
    <t>2026-07-19T18:59:36.735Z</t>
  </si>
  <si>
    <t>bmwmL9Ng4F</t>
  </si>
  <si>
    <t>WZdMiT3F4j</t>
  </si>
  <si>
    <t>2026-07-19T19:52:17.246Z</t>
  </si>
  <si>
    <t>21NK8qCLP8</t>
  </si>
  <si>
    <t>ugiq7Duw3n</t>
  </si>
  <si>
    <t>2026-07-19T20:04:56.744Z</t>
  </si>
  <si>
    <t>srdeGu9DX6</t>
  </si>
  <si>
    <t>2kM4YFJNc2</t>
  </si>
  <si>
    <t>2026-07-19T21:11:03.316Z</t>
  </si>
  <si>
    <t>sTcfZX5K1o</t>
  </si>
  <si>
    <t>Ffx5FyByt9</t>
  </si>
  <si>
    <t>2026-07-19T21:35:56.216Z</t>
  </si>
  <si>
    <t>xDtT54kP5U</t>
  </si>
  <si>
    <t>TDoLFbRVam</t>
  </si>
  <si>
    <t>2026-07-19T21:47:40.115Z</t>
  </si>
  <si>
    <t>EmBeYhaeXe</t>
  </si>
  <si>
    <t>xr2fukCX6P</t>
  </si>
  <si>
    <t>2026-07-19T22:32:12.739Z</t>
  </si>
  <si>
    <t>1oMqzjxnQ8</t>
  </si>
  <si>
    <t>QNt8ctd7Na</t>
  </si>
  <si>
    <t>2026-07-19T22:40:15.384Z</t>
  </si>
  <si>
    <t>YKucBVJNiD</t>
  </si>
  <si>
    <t>oPva39RkYb</t>
  </si>
  <si>
    <t>2026-07-19T23:13:14.305Z</t>
  </si>
  <si>
    <t>9HqzMpdcmi</t>
  </si>
  <si>
    <t>FEZGysoX1b</t>
  </si>
  <si>
    <t>2026-07-19T23:42:04.397Z</t>
  </si>
  <si>
    <t>76LBveG9uk</t>
  </si>
  <si>
    <t>REzd6i6BSg</t>
  </si>
  <si>
    <t>2026-07-20T01:43:58.929Z</t>
  </si>
  <si>
    <t>MghQduV2nP</t>
  </si>
  <si>
    <t>y3N8A9dXsS</t>
  </si>
  <si>
    <t>2026-07-20T02:14:33.193Z</t>
  </si>
  <si>
    <t>pUPDRob5Ey</t>
  </si>
  <si>
    <t>qUST8pe2JU</t>
  </si>
  <si>
    <t>2026-07-20T02:29:01.505Z</t>
  </si>
  <si>
    <t>ozasKmtw6Y</t>
  </si>
  <si>
    <t>d3MDrQJ5aJ</t>
  </si>
  <si>
    <t>2026-07-20T04:26:25.111Z</t>
  </si>
  <si>
    <t>Yk2vNLgffn</t>
  </si>
  <si>
    <t>VgiynHWkrC</t>
  </si>
  <si>
    <t>2026-07-20T06:00:38.091Z</t>
  </si>
  <si>
    <t>SbN8YHA1Gv</t>
  </si>
  <si>
    <t>1nQrzd3NB2</t>
  </si>
  <si>
    <t>2026-07-20T06:59:13.935Z</t>
  </si>
  <si>
    <t>Y2mXMjyDHt</t>
  </si>
  <si>
    <t>jk6RWJjLEu</t>
  </si>
  <si>
    <t>2026-07-20T13:52:41.680Z</t>
  </si>
  <si>
    <t>hpEmGrGnzn</t>
  </si>
  <si>
    <t>doq7DXUrxo</t>
  </si>
  <si>
    <t>2026-07-20T14:04:45.909Z</t>
  </si>
  <si>
    <t>kxAckNoXNf</t>
  </si>
  <si>
    <t>Ny9CCetGFF</t>
  </si>
  <si>
    <t>2026-07-20T14:12:56.051Z</t>
  </si>
  <si>
    <t>vNPbwWnt9C</t>
  </si>
  <si>
    <t>aGdmFJCbWU</t>
  </si>
  <si>
    <t>2026-07-20T14:43:30.355Z</t>
  </si>
  <si>
    <t>ouxJFEbwrx</t>
  </si>
  <si>
    <t>SQgSMqSRra</t>
  </si>
  <si>
    <t>2026-07-20T15:32:44.874Z</t>
  </si>
  <si>
    <t>RwrrYRk7NG</t>
  </si>
  <si>
    <t>uvb2Ri4YDL</t>
  </si>
  <si>
    <t>2026-07-20T15:43:35.770Z</t>
  </si>
  <si>
    <t>YK4o8N9dUP</t>
  </si>
  <si>
    <t>PHV4tLXMRE</t>
  </si>
  <si>
    <t>2026-07-20T16:09:31.247Z</t>
  </si>
  <si>
    <t>uuCujUdkq9</t>
  </si>
  <si>
    <t>Z3QVLy1guZ</t>
  </si>
  <si>
    <t>2026-07-20T16:55:11.810Z</t>
  </si>
  <si>
    <t>mrPGBC2MMB</t>
  </si>
  <si>
    <t>xuqqHZw7ZR</t>
  </si>
  <si>
    <t>2026-07-20T16:55:15.911Z</t>
  </si>
  <si>
    <t>fFVhQHNq84</t>
  </si>
  <si>
    <t>rqEBGggjuT</t>
  </si>
  <si>
    <t>2026-07-20T17:07:58.377Z</t>
  </si>
  <si>
    <t>YQwia4QZXq</t>
  </si>
  <si>
    <t>MD6xaRwphd</t>
  </si>
  <si>
    <t>2026-07-20T17:13:29.820Z</t>
  </si>
  <si>
    <t>cVyHunhK9f</t>
  </si>
  <si>
    <t>zYMCMyA5Pz</t>
  </si>
  <si>
    <t>2026-07-20T17:50:15.856Z</t>
  </si>
  <si>
    <t>gi8TdBbEs5</t>
  </si>
  <si>
    <t>rxHMDHXs2d</t>
  </si>
  <si>
    <t>2026-07-20T18:21:25.987Z</t>
  </si>
  <si>
    <t>F5wQj5HL3q</t>
  </si>
  <si>
    <t>K38GFAXR5t</t>
  </si>
  <si>
    <t>2026-07-20T18:31:28.313Z</t>
  </si>
  <si>
    <t>3Dbh4RHoY7</t>
  </si>
  <si>
    <t>BdXMR2jZRS</t>
  </si>
  <si>
    <t>2026-07-20T18:52:15.555Z</t>
  </si>
  <si>
    <t>DTR2owrCY1</t>
  </si>
  <si>
    <t>r5mC1rg1e1</t>
  </si>
  <si>
    <t>2026-07-20T19:23:01.370Z</t>
  </si>
  <si>
    <t>vA9sTnG14N</t>
  </si>
  <si>
    <t>iEZsaVYZWV</t>
  </si>
  <si>
    <t>2026-07-20T20:08:19.129Z</t>
  </si>
  <si>
    <t>cD1eatGuge</t>
  </si>
  <si>
    <t>R3FmevsMAY</t>
  </si>
  <si>
    <t>2026-07-20T20:40:34.048Z</t>
  </si>
  <si>
    <t>U3yfHVT3az</t>
  </si>
  <si>
    <t>MKwVz4pQQJ</t>
  </si>
  <si>
    <t>2026-07-20T20:43:47.379Z</t>
  </si>
  <si>
    <t>yseEaiWyMS</t>
  </si>
  <si>
    <t>eU8ZkTh7h4</t>
  </si>
  <si>
    <t>2026-07-20T21:33:13.491Z</t>
  </si>
  <si>
    <t>JuZxvkDVbq</t>
  </si>
  <si>
    <t>aNpMcQcvXU</t>
  </si>
  <si>
    <t>2026-07-20T21:40:30.717Z</t>
  </si>
  <si>
    <t>v7R1gPwiVy</t>
  </si>
  <si>
    <t>vrBLCbTkPV</t>
  </si>
  <si>
    <t>2026-07-20T22:05:26.939Z</t>
  </si>
  <si>
    <t>b4XpUKsyvE</t>
  </si>
  <si>
    <t>Vcf3eBWpJe</t>
  </si>
  <si>
    <t>2026-07-20T22:18:05.496Z</t>
  </si>
  <si>
    <t>gHwrc5yRby</t>
  </si>
  <si>
    <t>kdm59ZqkRo</t>
  </si>
  <si>
    <t>2026-07-20T22:26:24.490Z</t>
  </si>
  <si>
    <t>aUcUQckDxC</t>
  </si>
  <si>
    <t>W4SJ9fHf9d</t>
  </si>
  <si>
    <t>2026-07-20T22:40:03.848Z</t>
  </si>
  <si>
    <t>ukJbwpPNgt</t>
  </si>
  <si>
    <t>e3M6zw7BNB</t>
  </si>
  <si>
    <t>2026-07-20T23:04:37.457Z</t>
  </si>
  <si>
    <t>XJyNmQsDsZ</t>
  </si>
  <si>
    <t>ZiEcwjH4Fw</t>
  </si>
  <si>
    <t>2026-07-20T23:52:51.821Z</t>
  </si>
  <si>
    <t>YJVYQgcDiJ</t>
  </si>
  <si>
    <t>vBrvsFsJNS</t>
  </si>
  <si>
    <t>2026-07-21T00:52:12.807Z</t>
  </si>
  <si>
    <t>GvKDX3y9HK</t>
  </si>
  <si>
    <t>BUuMEXArb8</t>
  </si>
  <si>
    <t>2026-07-21T01:20:16.563Z</t>
  </si>
  <si>
    <t>Zu5boHn3gS</t>
  </si>
  <si>
    <t>aHuPcUepLa</t>
  </si>
  <si>
    <t>2026-07-21T01:50:37.329Z</t>
  </si>
  <si>
    <t>p1X9NybTMv</t>
  </si>
  <si>
    <t>YZTAKQfTwm</t>
  </si>
  <si>
    <t>2026-07-21T02:10:33.009Z</t>
  </si>
  <si>
    <t>5YEwRWYmrN</t>
  </si>
  <si>
    <t>ZsPo1Z1YcP</t>
  </si>
  <si>
    <t>2026-07-21T02:15:46.108Z</t>
  </si>
  <si>
    <t>EQpa6JS32b</t>
  </si>
  <si>
    <t>bqsXzQNsVq</t>
  </si>
  <si>
    <t>2026-07-21T02:25:43.700Z</t>
  </si>
  <si>
    <t>muiwNjbSff</t>
  </si>
  <si>
    <t>vtU7DRezVN</t>
  </si>
  <si>
    <t>2026-07-21T02:33:41.982Z</t>
  </si>
  <si>
    <t>JMeQgsFsG8</t>
  </si>
  <si>
    <t>L9QABHT8pf</t>
  </si>
  <si>
    <t>2026-07-21T03:32:17.522Z</t>
  </si>
  <si>
    <t>aZqpA9z1wJ</t>
  </si>
  <si>
    <t>ey8MkFaAiR</t>
  </si>
  <si>
    <t>2026-07-21T03:49:52.467Z</t>
  </si>
  <si>
    <t>jhyB1YfRJz</t>
  </si>
  <si>
    <t>9t4Bnkg2uJ</t>
  </si>
  <si>
    <t>2026-07-21T04:14:21.651Z</t>
  </si>
  <si>
    <t>BPeuZXTE3i</t>
  </si>
  <si>
    <t>RtH75TZiUJ</t>
  </si>
  <si>
    <t>2026-07-21T04:17:56.218Z</t>
  </si>
  <si>
    <t>kdA9gshv9N</t>
  </si>
  <si>
    <t>X1SdeuFymo</t>
  </si>
  <si>
    <t>2026-07-21T09:03:19.445Z</t>
  </si>
  <si>
    <t>mr9HX9jARL</t>
  </si>
  <si>
    <t>SvgSCQeQE7</t>
  </si>
  <si>
    <t>2026-07-21T13:22:51.799Z</t>
  </si>
  <si>
    <t>HTVPfhz7Mf</t>
  </si>
  <si>
    <t>cqfFMWnFYJ</t>
  </si>
  <si>
    <t>2026-07-21T14:23:57.274Z</t>
  </si>
  <si>
    <t>2vfKHjRzD5</t>
  </si>
  <si>
    <t>VFWkQkWkQX</t>
  </si>
  <si>
    <t>2026-07-21T15:14:08.538Z</t>
  </si>
  <si>
    <t>Hzb3kssXLU</t>
  </si>
  <si>
    <t>VF8y6WJEUN</t>
  </si>
  <si>
    <t>2026-07-21T18:49:51.350Z</t>
  </si>
  <si>
    <t>dWLq8p8ufp</t>
  </si>
  <si>
    <t>fznG936tao</t>
  </si>
  <si>
    <t>2026-07-21T19:17:22.336Z</t>
  </si>
  <si>
    <t>uYbJGEd7eB</t>
  </si>
  <si>
    <t>KqZoZrwQLx</t>
  </si>
  <si>
    <t>2026-07-21T19:26:50.444Z</t>
  </si>
  <si>
    <t>o4J48FhjnS</t>
  </si>
  <si>
    <t>W8vpge9CGd</t>
  </si>
  <si>
    <t>2026-07-21T19:35:35.477Z</t>
  </si>
  <si>
    <t>4uJYMWuTEi</t>
  </si>
  <si>
    <t>x9JBWsNaba</t>
  </si>
  <si>
    <t>2026-07-21T20:03:14.904Z</t>
  </si>
  <si>
    <t>2hy62gPCEp</t>
  </si>
  <si>
    <t>bG31AbXrGJ</t>
  </si>
  <si>
    <t>2026-07-21T21:35:34.521Z</t>
  </si>
  <si>
    <t>Km1qLCSBHz</t>
  </si>
  <si>
    <t>tUVASFrT8B</t>
  </si>
  <si>
    <t>2026-07-21T22:12:27.683Z</t>
  </si>
  <si>
    <t>AzYL2R5tMZ</t>
  </si>
  <si>
    <t>FdcsfYYRVC</t>
  </si>
  <si>
    <t>2026-07-21T22:32:55.617Z</t>
  </si>
  <si>
    <t>472ZRi58Rh</t>
  </si>
  <si>
    <t>3doCi3bXKe</t>
  </si>
  <si>
    <t>2026-07-21T23:40:05.959Z</t>
  </si>
  <si>
    <t>LfkbAW3Tjh</t>
  </si>
  <si>
    <t>1xHmVj9Cpa</t>
  </si>
  <si>
    <t>2026-07-22T00:00:32.441Z</t>
  </si>
  <si>
    <t>X216RDH2Wg</t>
  </si>
  <si>
    <t>La2DXw7ogd</t>
  </si>
  <si>
    <t>2026-07-22T00:18:00.019Z</t>
  </si>
  <si>
    <t>BKPLcKguks</t>
  </si>
  <si>
    <t>8ZcVJyJLNL</t>
  </si>
  <si>
    <t>2026-07-22T00:19:22.065Z</t>
  </si>
  <si>
    <t>CEoefv4XJC</t>
  </si>
  <si>
    <t>QDct4g5pq3</t>
  </si>
  <si>
    <t>2026-07-22T01:03:59.825Z</t>
  </si>
  <si>
    <t>Q2spoEicUn</t>
  </si>
  <si>
    <t>jr4CEGEnK2</t>
  </si>
  <si>
    <t>2026-07-22T01:07:50.426Z</t>
  </si>
  <si>
    <t>2YyeJZa1iG</t>
  </si>
  <si>
    <t>evLDWhFunq</t>
  </si>
  <si>
    <t>2026-07-22T01:39:28.453Z</t>
  </si>
  <si>
    <t>PsTjvyPM4E</t>
  </si>
  <si>
    <t>TviMMfKuRy</t>
  </si>
  <si>
    <t>2026-07-22T01:58:14.912Z</t>
  </si>
  <si>
    <t>3udM8ehB96</t>
  </si>
  <si>
    <t>q1AgbJky6A</t>
  </si>
  <si>
    <t>2026-07-22T02:43:20.559Z</t>
  </si>
  <si>
    <t>XJaxtnAb7k</t>
  </si>
  <si>
    <t>4ENWokzbwe</t>
  </si>
  <si>
    <t>2026-07-22T03:19:39.280Z</t>
  </si>
  <si>
    <t>xvSkzUAs4t</t>
  </si>
  <si>
    <t>dM4pqtfL1f</t>
  </si>
  <si>
    <t>2026-07-22T03:20:07.461Z</t>
  </si>
  <si>
    <t>12XYH9qxmU</t>
  </si>
  <si>
    <t>7cdfYbpchD</t>
  </si>
  <si>
    <t>2026-07-22T04:37:03.321Z</t>
  </si>
  <si>
    <t>SsbxcfH8Dd</t>
  </si>
  <si>
    <t>JE7DwvHH8f</t>
  </si>
  <si>
    <t>2026-07-22T11:00:56.625Z</t>
  </si>
  <si>
    <t>jrccC27WnX</t>
  </si>
  <si>
    <t>34mDSfy3SE</t>
  </si>
  <si>
    <t>2026-07-22T11:11:47.702Z</t>
  </si>
  <si>
    <t>uTSGJ48i7K</t>
  </si>
  <si>
    <t>9PYY7Ns1dF</t>
  </si>
  <si>
    <t>2026-07-22T16:20:55.666Z</t>
  </si>
  <si>
    <t>SzwN9Ru4uN</t>
  </si>
  <si>
    <t>aCXgdz9LbC</t>
  </si>
  <si>
    <t>2026-07-22T16:52:09.426Z</t>
  </si>
  <si>
    <t>CUdp8cpZ5p</t>
  </si>
  <si>
    <t>ghXL3hj3Ph</t>
  </si>
  <si>
    <t>2026-07-22T17:21:55.990Z</t>
  </si>
  <si>
    <t>oMQiRbQpyZ</t>
  </si>
  <si>
    <t>nUGUJ5B6in</t>
  </si>
  <si>
    <t>2026-07-22T17:23:05.534Z</t>
  </si>
  <si>
    <t>mBZUjkq59b</t>
  </si>
  <si>
    <t>NiiEEbXE8r</t>
  </si>
  <si>
    <t>2026-07-22T19:05:47.310Z</t>
  </si>
  <si>
    <t>qEzoACCnVY</t>
  </si>
  <si>
    <t>pcwQ3uYUyW</t>
  </si>
  <si>
    <t>2026-07-22T20:00:03.933Z</t>
  </si>
  <si>
    <t>rVRttiq3bH</t>
  </si>
  <si>
    <t>bYRk6YXY5N</t>
  </si>
  <si>
    <t>2026-07-22T20:19:46.469Z</t>
  </si>
  <si>
    <t>nAyXwXBezc</t>
  </si>
  <si>
    <t>ed7Efg6ZsL</t>
  </si>
  <si>
    <t>2026-07-22T20:23:58.907Z</t>
  </si>
  <si>
    <t>v7bKDFuziJ</t>
  </si>
  <si>
    <t>QGcqz9vzMh</t>
  </si>
  <si>
    <t>2026-07-22T21:01:09.386Z</t>
  </si>
  <si>
    <t>PvTiM99Afy</t>
  </si>
  <si>
    <t>nFqDgDVLGK</t>
  </si>
  <si>
    <t>2026-07-22T23:10:16.641Z</t>
  </si>
  <si>
    <t>FwVfzGrpgq</t>
  </si>
  <si>
    <t>g21faE7NLP</t>
  </si>
  <si>
    <t>2026-07-22T23:46:06.958Z</t>
  </si>
  <si>
    <t>Kx1zeSjrU3</t>
  </si>
  <si>
    <t>qeTTkk7JJg</t>
  </si>
  <si>
    <t>2026-07-23T00:04:44.501Z</t>
  </si>
  <si>
    <t>2iooWrfpre</t>
  </si>
  <si>
    <t>DzkRTGsKV6</t>
  </si>
  <si>
    <t>2026-07-23T00:08:04.961Z</t>
  </si>
  <si>
    <t>KmXb9K2rXz</t>
  </si>
  <si>
    <t>z8LYxoMehJ</t>
  </si>
  <si>
    <t>2026-07-23T01:35:51.985Z</t>
  </si>
  <si>
    <t>uzb5EJcu1G</t>
  </si>
  <si>
    <t>dhWkqVBNoM</t>
  </si>
  <si>
    <t>2026-07-23T02:14:31.720Z</t>
  </si>
  <si>
    <t>1H2ZHQaPhz</t>
  </si>
  <si>
    <t>pa7sc5L3DE</t>
  </si>
  <si>
    <t>2026-07-23T02:25:54.762Z</t>
  </si>
  <si>
    <t>H6gfxKt8Lo</t>
  </si>
  <si>
    <t>mSKJcuqbHi</t>
  </si>
  <si>
    <t>2026-07-23T02:26:57.012Z</t>
  </si>
  <si>
    <t>UELMVf6fu3</t>
  </si>
  <si>
    <t>Mq262PjT5D</t>
  </si>
  <si>
    <t>2026-07-23T02:41:40.429Z</t>
  </si>
  <si>
    <t>n8TiTLzh9U</t>
  </si>
  <si>
    <t>vWkcUjd5J3</t>
  </si>
  <si>
    <t>2026-07-23T02:57:22.345Z</t>
  </si>
  <si>
    <t>VcrmpoYTLe</t>
  </si>
  <si>
    <t>3Ar5Tjeq2h</t>
  </si>
  <si>
    <t>2026-07-23T03:30:22.624Z</t>
  </si>
  <si>
    <t>uJ454HyNLq</t>
  </si>
  <si>
    <t>JbdTJ9sqrK</t>
  </si>
  <si>
    <t>2026-07-23T03:35:33.548Z</t>
  </si>
  <si>
    <t>9MwoCUTEKU</t>
  </si>
  <si>
    <t>pXD8gBBAZB</t>
  </si>
  <si>
    <t>2026-07-23T03:43:13.268Z</t>
  </si>
  <si>
    <t>36XjpoadoN</t>
  </si>
  <si>
    <t>HPFu3YBYXU</t>
  </si>
  <si>
    <t>2026-07-23T04:01:40.449Z</t>
  </si>
  <si>
    <t>HFKVAgWkNd</t>
  </si>
  <si>
    <t>Rd6x9ZZsVv</t>
  </si>
  <si>
    <t>2026-07-23T04:08:08.299Z</t>
  </si>
  <si>
    <t>EtbK8L6nP6</t>
  </si>
  <si>
    <t>6XLzHEAiV2</t>
  </si>
  <si>
    <t>2026-07-23T04:15:58.097Z</t>
  </si>
  <si>
    <t>BYZBV2WkLi</t>
  </si>
  <si>
    <t>gPN6JMtdrM</t>
  </si>
  <si>
    <t>2026-07-23T05:14:03.764Z</t>
  </si>
  <si>
    <t>KoNMP1UDP4</t>
  </si>
  <si>
    <t>TbScn26jXc</t>
  </si>
  <si>
    <t>2026-07-23T13:23:07.376Z</t>
  </si>
  <si>
    <t>fEwkQ67zAE</t>
  </si>
  <si>
    <t>vpDnFRLAVh</t>
  </si>
  <si>
    <t>2026-07-23T14:36:50.835Z</t>
  </si>
  <si>
    <t>RLrwWqhAvC</t>
  </si>
  <si>
    <t>UTZxmEqi8w</t>
  </si>
  <si>
    <t>2026-07-23T15:33:23.074Z</t>
  </si>
  <si>
    <t>hAheu9mNxs</t>
  </si>
  <si>
    <t>nE7VM11UsF</t>
  </si>
  <si>
    <t>2026-07-23T16:09:34.389Z</t>
  </si>
  <si>
    <t>jhJbWshDNb</t>
  </si>
  <si>
    <t>kJbXYtxikE</t>
  </si>
  <si>
    <t>2026-07-23T16:59:32.379Z</t>
  </si>
  <si>
    <t>toWEDYmMMy</t>
  </si>
  <si>
    <t>1jY5bkN2CA</t>
  </si>
  <si>
    <t>2026-07-23T18:11:41.779Z</t>
  </si>
  <si>
    <t>s2JC9YGUzN</t>
  </si>
  <si>
    <t>UsRNjgNXim</t>
  </si>
  <si>
    <t>2026-07-23T19:13:16.926Z</t>
  </si>
  <si>
    <t>PnoDRfWTzU</t>
  </si>
  <si>
    <t>mNZyUPYGC6</t>
  </si>
  <si>
    <t>2026-07-23T20:32:43.019Z</t>
  </si>
  <si>
    <t>EHSDXeC96T</t>
  </si>
  <si>
    <t>XqjrbwzphL</t>
  </si>
  <si>
    <t>2026-07-23T21:12:30.899Z</t>
  </si>
  <si>
    <t>xmBc8sDJLb</t>
  </si>
  <si>
    <t>W9gvvnYCuy</t>
  </si>
  <si>
    <t>2026-07-23T21:34:40.315Z</t>
  </si>
  <si>
    <t>ArHXuXCpnC</t>
  </si>
  <si>
    <t>SnctmCkqki</t>
  </si>
  <si>
    <t>2026-07-23T21:35:16.121Z</t>
  </si>
  <si>
    <t>ZWo4Q6icum</t>
  </si>
  <si>
    <t>1XQBu7E4BR</t>
  </si>
  <si>
    <t>2026-07-23T21:38:43.259Z</t>
  </si>
  <si>
    <t>fTTNNpFg4z</t>
  </si>
  <si>
    <t>E6sZ3LPYPc</t>
  </si>
  <si>
    <t>2026-07-23T22:20:45.576Z</t>
  </si>
  <si>
    <t>FGHQ8eZccu</t>
  </si>
  <si>
    <t>iV7v2Ba45F</t>
  </si>
  <si>
    <t>2026-07-23T23:04:46.697Z</t>
  </si>
  <si>
    <t>tiXqBAAcNB</t>
  </si>
  <si>
    <t>WWochZf46h</t>
  </si>
  <si>
    <t>2026-07-23T23:07:59.319Z</t>
  </si>
  <si>
    <t>pN9Y2gmaY5</t>
  </si>
  <si>
    <t>WBQuXYrS77</t>
  </si>
  <si>
    <t>2026-07-23T23:47:49.467Z</t>
  </si>
  <si>
    <t>jEQFNzJsPw</t>
  </si>
  <si>
    <t>veMTSwJGi5</t>
  </si>
  <si>
    <t>2026-07-23T23:52:05.796Z</t>
  </si>
  <si>
    <t>ENFMbiwcTX</t>
  </si>
  <si>
    <t>3UwN7EsSjH</t>
  </si>
  <si>
    <t>2026-07-24T00:30:11.509Z</t>
  </si>
  <si>
    <t>7HsL1FZHhK</t>
  </si>
  <si>
    <t>h5wMCT7xPf</t>
  </si>
  <si>
    <t>2026-07-24T00:57:56.297Z</t>
  </si>
  <si>
    <t>m7hgEGoeLa</t>
  </si>
  <si>
    <t>thsUVXewAE</t>
  </si>
  <si>
    <t>2026-07-24T01:28:22.017Z</t>
  </si>
  <si>
    <t>vfoUeMBx1z</t>
  </si>
  <si>
    <t>tbdYY979z1</t>
  </si>
  <si>
    <t>2026-07-24T01:46:56.543Z</t>
  </si>
  <si>
    <t>SRXxR3Wrvh</t>
  </si>
  <si>
    <t>yeZB2ny2pc</t>
  </si>
  <si>
    <t>2026-07-24T02:33:15.894Z</t>
  </si>
  <si>
    <t>crkkrJZ6KH</t>
  </si>
  <si>
    <t>1mABrV14AX</t>
  </si>
  <si>
    <t>2026-07-24T02:40:31.150Z</t>
  </si>
  <si>
    <t>wzcGeKDp57</t>
  </si>
  <si>
    <t>dYpE2B8fbk</t>
  </si>
  <si>
    <t>2026-07-24T02:55:43.961Z</t>
  </si>
  <si>
    <t>poA2Bxp5Sa</t>
  </si>
  <si>
    <t>ADDuu89S7k</t>
  </si>
  <si>
    <t>2026-07-24T03:18:29.933Z</t>
  </si>
  <si>
    <t>n6YuDSYb76</t>
  </si>
  <si>
    <t>BC6wvBQ9Ej</t>
  </si>
  <si>
    <t>2026-07-24T03:55:29.026Z</t>
  </si>
  <si>
    <t>NXviNcF4kx</t>
  </si>
  <si>
    <t>L2dgFCSdPR</t>
  </si>
  <si>
    <t>2026-07-24T04:13:49.849Z</t>
  </si>
  <si>
    <t>s74HgVUfTC</t>
  </si>
  <si>
    <t>z35wza2RVE</t>
  </si>
  <si>
    <t>2026-07-24T04:20:24.267Z</t>
  </si>
  <si>
    <t>8gtue9VNPp</t>
  </si>
  <si>
    <t>SycXiFhe13</t>
  </si>
  <si>
    <t>2026-07-24T04:46:30.104Z</t>
  </si>
  <si>
    <t>bAvZwsyqGP</t>
  </si>
  <si>
    <t>Nfo4ZZr6iB</t>
  </si>
  <si>
    <t>2026-07-24T05:20:42.010Z</t>
  </si>
  <si>
    <t>WKBLfEhQEJ</t>
  </si>
  <si>
    <t>YsQkVqZ7La</t>
  </si>
  <si>
    <t>2026-07-24T06:16:10.531Z</t>
  </si>
  <si>
    <t>wKp9P3AEnw</t>
  </si>
  <si>
    <t>U8wUzjuhdm</t>
  </si>
  <si>
    <t>2026-07-24T06:39:19.596Z</t>
  </si>
  <si>
    <t>BHVhT6ViRc</t>
  </si>
  <si>
    <t>GotxobVYzX</t>
  </si>
  <si>
    <t>2026-07-24T07:47:48.676Z</t>
  </si>
  <si>
    <t>oBoKNScCw7</t>
  </si>
  <si>
    <t>T7jvu2n6ek</t>
  </si>
  <si>
    <t>2026-07-24T08:58:51.246Z</t>
  </si>
  <si>
    <t>3fZTT68d9T</t>
  </si>
  <si>
    <t>Km52FAHA49</t>
  </si>
  <si>
    <t>2026-07-24T09:42:03.857Z</t>
  </si>
  <si>
    <t>9JWnj3F7ch</t>
  </si>
  <si>
    <t>g8XnsmAXoU</t>
  </si>
  <si>
    <t>2026-07-24T13:23:23.055Z</t>
  </si>
  <si>
    <t>RW1t14ZkHo</t>
  </si>
  <si>
    <t>7o5JLrMKpW</t>
  </si>
  <si>
    <t>2026-07-24T13:24:00.205Z</t>
  </si>
  <si>
    <t>2tQ1sZamA3</t>
  </si>
  <si>
    <t>7XoVNcWtXN</t>
  </si>
  <si>
    <t>2026-07-24T14:59:54.437Z</t>
  </si>
  <si>
    <t>Q6zyMMkB5f</t>
  </si>
  <si>
    <t>gbAFfffnQa</t>
  </si>
  <si>
    <t>2026-07-24T15:02:18.382Z</t>
  </si>
  <si>
    <t>k5nxqju2ro</t>
  </si>
  <si>
    <t>vJGvBdpGnt</t>
  </si>
  <si>
    <t>2026-07-24T15:35:31.119Z</t>
  </si>
  <si>
    <t>iR9ckg7BZw</t>
  </si>
  <si>
    <t>URUgfZrxCx</t>
  </si>
  <si>
    <t>2026-07-24T16:14:52.471Z</t>
  </si>
  <si>
    <t>eBdtivNikS</t>
  </si>
  <si>
    <t>yHmDV84xjm</t>
  </si>
  <si>
    <t>2026-07-24T17:42:37.233Z</t>
  </si>
  <si>
    <t>1Cy57yizfC</t>
  </si>
  <si>
    <t>jZLpqveadU</t>
  </si>
  <si>
    <t>2026-07-24T18:14:03.272Z</t>
  </si>
  <si>
    <t>HNu4SPTLJ4</t>
  </si>
  <si>
    <t>XcU4oV5UHs</t>
  </si>
  <si>
    <t>2026-07-24T18:47:33.091Z</t>
  </si>
  <si>
    <t>tbbNGT3Bgt</t>
  </si>
  <si>
    <t>XBxcmrU89U</t>
  </si>
  <si>
    <t>2026-07-24T19:40:18.949Z</t>
  </si>
  <si>
    <t>X8nhFacBDF</t>
  </si>
  <si>
    <t>caHLXkUK8L</t>
  </si>
  <si>
    <t>2026-07-24T19:51:47.288Z</t>
  </si>
  <si>
    <t>SjDJNmfuQr</t>
  </si>
  <si>
    <t>ZVPDNYVs43</t>
  </si>
  <si>
    <t>2026-07-24T20:00:26.862Z</t>
  </si>
  <si>
    <t>QJfxuTfLzw</t>
  </si>
  <si>
    <t>bw4Hjn3Bst</t>
  </si>
  <si>
    <t>win %</t>
  </si>
  <si>
    <t>Nick A</t>
  </si>
  <si>
    <t>17 - 3</t>
  </si>
  <si>
    <t>Zach M</t>
  </si>
  <si>
    <t>16 - 4</t>
  </si>
  <si>
    <t>Mike R</t>
  </si>
  <si>
    <t>15 - 4</t>
  </si>
  <si>
    <t>Sean O</t>
  </si>
  <si>
    <t>15 - 5</t>
  </si>
  <si>
    <t>Tim A</t>
  </si>
  <si>
    <t>Lukas M</t>
  </si>
  <si>
    <t>Aaron A</t>
  </si>
  <si>
    <t>https://sealeddeck.tech/4gw5mjzJPL</t>
  </si>
  <si>
    <t>Aaron B</t>
  </si>
  <si>
    <t>https://sealeddeck.tech/3dUhGQhD1o</t>
  </si>
  <si>
    <t>Adam S</t>
  </si>
  <si>
    <t>https://sealeddeck.tech/caHLXkUK8L</t>
  </si>
  <si>
    <t>Adam St</t>
  </si>
  <si>
    <t>https://sealeddeck.tech/bHosoRgQQB</t>
  </si>
  <si>
    <t>Adrian C</t>
  </si>
  <si>
    <t>https://sealeddeck.tech/eEUdDLFp31</t>
  </si>
  <si>
    <t>Albert Z</t>
  </si>
  <si>
    <t>https://sealeddeck.tech/wuyHsZHSZW</t>
  </si>
  <si>
    <t>Alex H</t>
  </si>
  <si>
    <t>https://sealeddeck.tech/p3LuFwdGwu</t>
  </si>
  <si>
    <t>Alex O</t>
  </si>
  <si>
    <t>https://sealeddeck.tech/ZVPDNYVs43</t>
  </si>
  <si>
    <t>Alex W</t>
  </si>
  <si>
    <t>https://sealeddeck.tech/d3MDrQJ5aJ</t>
  </si>
  <si>
    <t>Alex We</t>
  </si>
  <si>
    <t>https://sealeddeck.tech/ezxaDWFow8</t>
  </si>
  <si>
    <t>Alexander C</t>
  </si>
  <si>
    <t>https://sealeddeck.tech/yhz89BHn1F</t>
  </si>
  <si>
    <t>Chris Pr</t>
  </si>
  <si>
    <t>Alexis A</t>
  </si>
  <si>
    <t>https://sealeddeck.tech/jr4CEGEnK2</t>
  </si>
  <si>
    <t>Alexis M</t>
  </si>
  <si>
    <t>https://sealeddeck.tech/vrBLCbTkPV</t>
  </si>
  <si>
    <t>Ammon M</t>
  </si>
  <si>
    <t>https://sealeddeck.tech/AgUmr8WQPn</t>
  </si>
  <si>
    <t>Andrew M</t>
  </si>
  <si>
    <t>https://sealeddeck.tech/9nGN5Rzh92</t>
  </si>
  <si>
    <t>Archie B</t>
  </si>
  <si>
    <t>https://sealeddeck.tech/xuqqHZw7ZR</t>
  </si>
  <si>
    <t>Austin L</t>
  </si>
  <si>
    <t>https://sealeddeck.tech/HpReLDpZVb</t>
  </si>
  <si>
    <t>Austin O</t>
  </si>
  <si>
    <t>https://sealeddeck.tech/dYpE2B8fbk</t>
  </si>
  <si>
    <t>Ben M</t>
  </si>
  <si>
    <t>https://sealeddeck.tech/M4ydDrfmvA</t>
  </si>
  <si>
    <t>Benjamin M</t>
  </si>
  <si>
    <t>https://sealeddeck.tech/zY7TmRP9RY</t>
  </si>
  <si>
    <t>Bernard B</t>
  </si>
  <si>
    <t>https://sealeddeck.tech/swZVariY6V</t>
  </si>
  <si>
    <t>Bob P</t>
  </si>
  <si>
    <t>https://sealeddeck.tech/XcU4oV5UHs</t>
  </si>
  <si>
    <t>Luciano D</t>
  </si>
  <si>
    <t>14 - 6</t>
  </si>
  <si>
    <t>Bobby W</t>
  </si>
  <si>
    <t>https://sealeddeck.tech/aVUVx2Ljn5</t>
  </si>
  <si>
    <t>Brenden N</t>
  </si>
  <si>
    <t>https://sealeddeck.tech/vX3j2bbF7e</t>
  </si>
  <si>
    <t>Brice G</t>
  </si>
  <si>
    <t>https://sealeddeck.tech/TDoLFbRVam</t>
  </si>
  <si>
    <t>Buster S</t>
  </si>
  <si>
    <t>https://sealeddeck.tech/Z3QVLy1guZ</t>
  </si>
  <si>
    <t>Caleb G</t>
  </si>
  <si>
    <t>https://sealeddeck.tech/1yJQMqVkEY</t>
  </si>
  <si>
    <t>Carter S</t>
  </si>
  <si>
    <t>https://sealeddeck.tech/8yuBthpS8R</t>
  </si>
  <si>
    <t>Casey A</t>
  </si>
  <si>
    <t>https://sealeddeck.tech/VFWkQkWkQX</t>
  </si>
  <si>
    <t>Casey L</t>
  </si>
  <si>
    <t>https://sealeddeck.tech/iV7v2Ba45F</t>
  </si>
  <si>
    <t>Charles B</t>
  </si>
  <si>
    <t>https://sealeddeck.tech/K7uXA9eyCC</t>
  </si>
  <si>
    <t>Chris G</t>
  </si>
  <si>
    <t>https://sealeddeck.tech/s7PMMKW6eK</t>
  </si>
  <si>
    <t>Chris K</t>
  </si>
  <si>
    <t>https://sealeddeck.tech/3UwN7EsSjH</t>
  </si>
  <si>
    <t>Chris P</t>
  </si>
  <si>
    <t>https://sealeddeck.tech/SUj3zpeWbi</t>
  </si>
  <si>
    <t>https://sealeddeck.tech/VgiynHWkrC</t>
  </si>
  <si>
    <t>Chris R</t>
  </si>
  <si>
    <t>https://sealeddeck.tech/7Utt63XssJ</t>
  </si>
  <si>
    <t>Chris Y</t>
  </si>
  <si>
    <t>https://sealeddeck.tech/nCtJRWtfT7</t>
  </si>
  <si>
    <t>Christopher G</t>
  </si>
  <si>
    <t>https://sealeddeck.tech/buJrXdmBVR</t>
  </si>
  <si>
    <t>Cody U</t>
  </si>
  <si>
    <t>https://sealeddeck.tech/4DcHEmBGU2</t>
  </si>
  <si>
    <t>Colton M</t>
  </si>
  <si>
    <t>https://sealeddeck.tech/zYMCMyA5Pz</t>
  </si>
  <si>
    <t>Connor O</t>
  </si>
  <si>
    <t>https://sealeddeck.tech/Un8Em2Z5cy</t>
  </si>
  <si>
    <t>Corey S</t>
  </si>
  <si>
    <t>https://sealeddeck.tech/W9gvvnYCuy</t>
  </si>
  <si>
    <t>Court G</t>
  </si>
  <si>
    <t>https://sealeddeck.tech/Q56GUsfuda</t>
  </si>
  <si>
    <t>Curtis K</t>
  </si>
  <si>
    <t>https://sealeddeck.tech/1fWWuXQtrt</t>
  </si>
  <si>
    <t>Dallas M</t>
  </si>
  <si>
    <t>https://sealeddeck.tech/4rSAfy7UWk</t>
  </si>
  <si>
    <t>Dan B</t>
  </si>
  <si>
    <t>https://sealeddeck.tech/CVMbUF8AWc</t>
  </si>
  <si>
    <t>Daniel D</t>
  </si>
  <si>
    <t>https://sealeddeck.tech/9QSgiR5X1k</t>
  </si>
  <si>
    <t>Daniel G</t>
  </si>
  <si>
    <t>https://sealeddeck.tech/nFqDgDVLGK</t>
  </si>
  <si>
    <t>Daniel H</t>
  </si>
  <si>
    <t>https://sealeddeck.tech/Tc4UV6nCVr</t>
  </si>
  <si>
    <t>Daniel He</t>
  </si>
  <si>
    <t>https://sealeddeck.tech/K38GFAXR5t</t>
  </si>
  <si>
    <t>Daniel K</t>
  </si>
  <si>
    <t>https://sealeddeck.tech/vpDnFRLAVh</t>
  </si>
  <si>
    <t>Daniel M</t>
  </si>
  <si>
    <t>https://sealeddeck.tech/L2dgFCSdPR</t>
  </si>
  <si>
    <t>Daniel O</t>
  </si>
  <si>
    <t>https://sealeddeck.tech/FSxRrLxwM4</t>
  </si>
  <si>
    <t>Darren C</t>
  </si>
  <si>
    <t>https://sealeddeck.tech/yxmQYtaKTZ</t>
  </si>
  <si>
    <t>Tim O</t>
  </si>
  <si>
    <t>Dat K</t>
  </si>
  <si>
    <t>https://sealeddeck.tech/A6LrS4duWt</t>
  </si>
  <si>
    <t>David M</t>
  </si>
  <si>
    <t>https://sealeddeck.tech/hhUVaZ23UW</t>
  </si>
  <si>
    <t>David N</t>
  </si>
  <si>
    <t>https://sealeddeck.tech/4ENWokzbwe</t>
  </si>
  <si>
    <t>Derek B</t>
  </si>
  <si>
    <t>https://sealeddeck.tech/LbQjopRC81</t>
  </si>
  <si>
    <t>Dirk E</t>
  </si>
  <si>
    <t>https://sealeddeck.tech/pcwQ3uYUyW</t>
  </si>
  <si>
    <t>Drew B</t>
  </si>
  <si>
    <t>https://sealeddeck.tech/BeHgpX1fGG</t>
  </si>
  <si>
    <t>Edward H</t>
  </si>
  <si>
    <t>https://sealeddeck.tech/rxHMDHXs2d</t>
  </si>
  <si>
    <t>Emilia P</t>
  </si>
  <si>
    <t>https://sealeddeck.tech/URUgfZrxCx</t>
  </si>
  <si>
    <t>Emmett F</t>
  </si>
  <si>
    <t>https://sealeddeck.tech/WVJNDcik72</t>
  </si>
  <si>
    <t>Matthias H</t>
  </si>
  <si>
    <t>Enrique O</t>
  </si>
  <si>
    <t>https://sealeddeck.tech/1XQBu7E4BR</t>
  </si>
  <si>
    <t>Eric Y</t>
  </si>
  <si>
    <t>https://sealeddeck.tech/4GGt2jnJdJ</t>
  </si>
  <si>
    <t>Ethan C</t>
  </si>
  <si>
    <t>https://sealeddeck.tech/QDct4g5pq3</t>
  </si>
  <si>
    <t>Evan L</t>
  </si>
  <si>
    <t>https://sealeddeck.tech/34mDSfy3SE</t>
  </si>
  <si>
    <t>Evan T</t>
  </si>
  <si>
    <t>https://sealeddeck.tech/TbScn26jXc</t>
  </si>
  <si>
    <t>Georgii C</t>
  </si>
  <si>
    <t>https://sealeddeck.tech/HeTwFP6Cyv</t>
  </si>
  <si>
    <t>Greg B</t>
  </si>
  <si>
    <t>https://sealeddeck.tech/3vxMyLW4Fj</t>
  </si>
  <si>
    <t>Gregory C</t>
  </si>
  <si>
    <t>https://sealeddeck.tech/BQsDHVhusq</t>
  </si>
  <si>
    <t>Hannah B</t>
  </si>
  <si>
    <t>https://sealeddeck.tech/k1ADrAVqyQ</t>
  </si>
  <si>
    <t>Hayden S</t>
  </si>
  <si>
    <t>https://sealeddeck.tech/oX3DEtH4Ht</t>
  </si>
  <si>
    <t>Howard T</t>
  </si>
  <si>
    <t>https://sealeddeck.tech/NiiEEbXE8r</t>
  </si>
  <si>
    <t>Jared C</t>
  </si>
  <si>
    <t>Ishaan S</t>
  </si>
  <si>
    <t>https://sealeddeck.tech/PBr3GS5cDg</t>
  </si>
  <si>
    <t>Jack H</t>
  </si>
  <si>
    <t>https://sealeddeck.tech/uvb2Ri4YDL</t>
  </si>
  <si>
    <t>Jack S</t>
  </si>
  <si>
    <t>https://sealeddeck.tech/meUth737P7</t>
  </si>
  <si>
    <t>Jacky L</t>
  </si>
  <si>
    <t>https://sealeddeck.tech/XReLs6vSBr</t>
  </si>
  <si>
    <t>Jacob P</t>
  </si>
  <si>
    <t>https://sealeddeck.tech/6fZqdUUSbo</t>
  </si>
  <si>
    <t>Jaidin M</t>
  </si>
  <si>
    <t>https://sealeddeck.tech/HjTuYowGCw</t>
  </si>
  <si>
    <t>James C</t>
  </si>
  <si>
    <t>https://sealeddeck.tech/PTzArATtNX</t>
  </si>
  <si>
    <t>James Ca</t>
  </si>
  <si>
    <t>https://sealeddeck.tech/TthYym5w6K</t>
  </si>
  <si>
    <t>James M</t>
  </si>
  <si>
    <t>https://sealeddeck.tech/HPFu3YBYXU</t>
  </si>
  <si>
    <t>Jamie W</t>
  </si>
  <si>
    <t>https://sealeddeck.tech/yHmDV84xjm</t>
  </si>
  <si>
    <t>https://sealeddeck.tech/un4BrJCdeX</t>
  </si>
  <si>
    <t>Preston B</t>
  </si>
  <si>
    <t>13 - 6</t>
  </si>
  <si>
    <t>Jason C</t>
  </si>
  <si>
    <t>https://sealeddeck.tech/e3M6zw7BNB</t>
  </si>
  <si>
    <t>Jewel S</t>
  </si>
  <si>
    <t>https://sealeddeck.tech/5knuZsnj7b</t>
  </si>
  <si>
    <t>Joaquin E</t>
  </si>
  <si>
    <t>https://sealeddeck.tech/pa7sc5L3DE</t>
  </si>
  <si>
    <t>Joeri vdE</t>
  </si>
  <si>
    <t>https://sealeddeck.tech/PHV4tLXMRE</t>
  </si>
  <si>
    <t>John L</t>
  </si>
  <si>
    <t>https://sealeddeck.tech/vBCmNLCvmy</t>
  </si>
  <si>
    <t>John P</t>
  </si>
  <si>
    <t>https://sealeddeck.tech/rqEBGggjuT</t>
  </si>
  <si>
    <t>John T</t>
  </si>
  <si>
    <t>https://sealeddeck.tech/yypzQjGPA1</t>
  </si>
  <si>
    <t>Johnny M</t>
  </si>
  <si>
    <t>https://sealeddeck.tech/D5xdouBzwv</t>
  </si>
  <si>
    <t>Jonathan C</t>
  </si>
  <si>
    <t>https://sealeddeck.tech/cctf4r7Kjx</t>
  </si>
  <si>
    <t>Jonathan L</t>
  </si>
  <si>
    <t>https://sealeddeck.tech/HP4jTHuaqw</t>
  </si>
  <si>
    <t>Jonathan P</t>
  </si>
  <si>
    <t>https://sealeddeck.tech/Mwd1t7Zpvd</t>
  </si>
  <si>
    <t>Jordan M</t>
  </si>
  <si>
    <t>https://sealeddeck.tech/BC6wvBQ9Ej</t>
  </si>
  <si>
    <t>13 - 7</t>
  </si>
  <si>
    <t>Josie B</t>
  </si>
  <si>
    <t>https://sealeddeck.tech/BdXMR2jZRS</t>
  </si>
  <si>
    <t>Juan Q</t>
  </si>
  <si>
    <t>https://sealeddeck.tech/2qJKy4KewM</t>
  </si>
  <si>
    <t>Justin H</t>
  </si>
  <si>
    <t>https://sealeddeck.tech/3MFRc2k4jn</t>
  </si>
  <si>
    <t>Keith L</t>
  </si>
  <si>
    <t>https://sealeddeck.tech/JRUNe8UZ9s</t>
  </si>
  <si>
    <t>Kenny W</t>
  </si>
  <si>
    <t>https://sealeddeck.tech/d4vjLiY6Rt</t>
  </si>
  <si>
    <t>Kevin I</t>
  </si>
  <si>
    <t>https://sealeddeck.tech/4aqzyb9MbC</t>
  </si>
  <si>
    <t>Kevin L</t>
  </si>
  <si>
    <t>https://sealeddeck.tech/7cdfYbpchD</t>
  </si>
  <si>
    <t>Kirk K</t>
  </si>
  <si>
    <t>https://sealeddeck.tech/kHvGKNVT79</t>
  </si>
  <si>
    <t>Landon H</t>
  </si>
  <si>
    <t>https://sealeddeck.tech/jne1bqaDn7</t>
  </si>
  <si>
    <t>Logan R</t>
  </si>
  <si>
    <t>https://sealeddeck.tech/asQwNoSqfo</t>
  </si>
  <si>
    <t>Lotte P</t>
  </si>
  <si>
    <t>https://sealeddeck.tech/JC93Tv6K4o</t>
  </si>
  <si>
    <t>Steven L</t>
  </si>
  <si>
    <t>Lucas G</t>
  </si>
  <si>
    <t>https://sealeddeck.tech/8N83rGiBFD</t>
  </si>
  <si>
    <t>https://sealeddeck.tech/Fv26xt2mzT</t>
  </si>
  <si>
    <t>https://sealeddeck.tech/tbdYY979z1</t>
  </si>
  <si>
    <t>Marc D</t>
  </si>
  <si>
    <t>https://sealeddeck.tech/qtAJNgGWZa</t>
  </si>
  <si>
    <t>Marcus O</t>
  </si>
  <si>
    <t>https://sealeddeck.tech/7wk6dK8m8F</t>
  </si>
  <si>
    <t>Matt G</t>
  </si>
  <si>
    <t>https://sealeddeck.tech/aHuPcUepLa</t>
  </si>
  <si>
    <t>Matt Ko</t>
  </si>
  <si>
    <t>https://sealeddeck.tech/cM5BuvWrzX</t>
  </si>
  <si>
    <t>Matt P</t>
  </si>
  <si>
    <t>https://sealeddeck.tech/sP7C6ZRJKp</t>
  </si>
  <si>
    <t>Matt S</t>
  </si>
  <si>
    <t>https://sealeddeck.tech/MD6xaRwphd</t>
  </si>
  <si>
    <t>Matt St</t>
  </si>
  <si>
    <t>https://sealeddeck.tech/np9Dse5uDC</t>
  </si>
  <si>
    <t>Matthew L</t>
  </si>
  <si>
    <t>https://sealeddeck.tech/B3qDwC8JLQ</t>
  </si>
  <si>
    <t>https://sealeddeck.tech/WWochZf46h</t>
  </si>
  <si>
    <t>Micah C</t>
  </si>
  <si>
    <t>https://sealeddeck.tech/bw4Hjn3Bst</t>
  </si>
  <si>
    <t>Michael M</t>
  </si>
  <si>
    <t>https://sealeddeck.tech/mSKJcuqbHi</t>
  </si>
  <si>
    <t>Michael W</t>
  </si>
  <si>
    <t>https://sealeddeck.tech/eShmfkA2DS</t>
  </si>
  <si>
    <t>https://sealeddeck.tech/HjL9iPehjn</t>
  </si>
  <si>
    <t>Mitchel S</t>
  </si>
  <si>
    <t>https://sealeddeck.tech/YsQkVqZ7La</t>
  </si>
  <si>
    <t>Nathan W</t>
  </si>
  <si>
    <t>https://sealeddeck.tech/mNZyUPYGC6</t>
  </si>
  <si>
    <t>https://sealeddeck.tech/s7y8B4Ap5J</t>
  </si>
  <si>
    <t>Nick H</t>
  </si>
  <si>
    <t>https://sealeddeck.tech/KqZoZrwQLx</t>
  </si>
  <si>
    <t>Nick L</t>
  </si>
  <si>
    <t>https://sealeddeck.tech/mXbUVHmFJ1</t>
  </si>
  <si>
    <t>Nick R</t>
  </si>
  <si>
    <t>https://sealeddeck.tech/ynVd9KJAJu</t>
  </si>
  <si>
    <t>Nik S</t>
  </si>
  <si>
    <t>https://sealeddeck.tech/7Qw9LBwUTE</t>
  </si>
  <si>
    <t>Nolan F</t>
  </si>
  <si>
    <t>https://sealeddeck.tech/Ny9CCetGFF</t>
  </si>
  <si>
    <t>Oskar T</t>
  </si>
  <si>
    <t>https://sealeddeck.tech/dozHfpZTML</t>
  </si>
  <si>
    <t>Parker D</t>
  </si>
  <si>
    <t>https://sealeddeck.tech/rnGC5c8Sp5</t>
  </si>
  <si>
    <t>Parker V</t>
  </si>
  <si>
    <t>https://sealeddeck.tech/thsUVXewAE</t>
  </si>
  <si>
    <t>Paul G</t>
  </si>
  <si>
    <t>https://sealeddeck.tech/iEZsaVYZWV</t>
  </si>
  <si>
    <t>Piers E</t>
  </si>
  <si>
    <t>https://sealeddeck.tech/7o5JLrMKpW</t>
  </si>
  <si>
    <t>https://sealeddeck.tech/jqAqbwfqmp</t>
  </si>
  <si>
    <t>Quill M</t>
  </si>
  <si>
    <t>https://sealeddeck.tech/PYReS7TNyV</t>
  </si>
  <si>
    <t>Ryan H</t>
  </si>
  <si>
    <t>https://sealeddeck.tech/mLowUstcaC</t>
  </si>
  <si>
    <t>Ryan M</t>
  </si>
  <si>
    <t>https://sealeddeck.tech/pXD8gBBAZB</t>
  </si>
  <si>
    <t>Sam B</t>
  </si>
  <si>
    <t>https://sealeddeck.tech/Mi3LFWSF4w</t>
  </si>
  <si>
    <t>Sawyer T</t>
  </si>
  <si>
    <t>https://sealeddeck.tech/XBxcmrU89U</t>
  </si>
  <si>
    <t>Scott A</t>
  </si>
  <si>
    <t>https://sealeddeck.tech/bwDj5YJWy3</t>
  </si>
  <si>
    <t>https://sealeddeck.tech/AHQggSwvun</t>
  </si>
  <si>
    <t>Sebastian B</t>
  </si>
  <si>
    <t>https://sealeddeck.tech/m18o8pU4yR</t>
  </si>
  <si>
    <t>Shaun H</t>
  </si>
  <si>
    <t>https://sealeddeck.tech/DwhHweQq41</t>
  </si>
  <si>
    <t>Shemaryahu D</t>
  </si>
  <si>
    <t>https://sealeddeck.tech/TviMMfKuRy</t>
  </si>
  <si>
    <t>Sibran V</t>
  </si>
  <si>
    <t>https://sealeddeck.tech/fznG936tao</t>
  </si>
  <si>
    <t>Simon K</t>
  </si>
  <si>
    <t>https://sealeddeck.tech/ajLCayKyuf</t>
  </si>
  <si>
    <t>Stefan V</t>
  </si>
  <si>
    <t>https://sealeddeck.tech/ggPMa5aZuk</t>
  </si>
  <si>
    <t>Stephen H</t>
  </si>
  <si>
    <t>https://sealeddeck.tech/bG31AbXrGJ</t>
  </si>
  <si>
    <t>Steve T</t>
  </si>
  <si>
    <t>https://sealeddeck.tech/s7RpA1cb23</t>
  </si>
  <si>
    <t>https://sealeddeck.tech/DKLkcodvCk</t>
  </si>
  <si>
    <t>Stijn V</t>
  </si>
  <si>
    <t>https://sealeddeck.tech/ozaZSM5HAX</t>
  </si>
  <si>
    <t>Stratton B</t>
  </si>
  <si>
    <t>https://sealeddeck.tech/jQDvEcoox6</t>
  </si>
  <si>
    <t>Sylvain T</t>
  </si>
  <si>
    <t>https://sealeddeck.tech/ZZn5YKM3gR</t>
  </si>
  <si>
    <t>Tejasvi R</t>
  </si>
  <si>
    <t>https://sealeddeck.tech/ySRuWtpVFM</t>
  </si>
  <si>
    <t>Theia E</t>
  </si>
  <si>
    <t>https://sealeddeck.tech/rhYj9BNh5t</t>
  </si>
  <si>
    <t>Thong K</t>
  </si>
  <si>
    <t>https://sealeddeck.tech/b2YufhsrAm</t>
  </si>
  <si>
    <t>https://sealeddeck.tech/eU8ZkTh7h4</t>
  </si>
  <si>
    <t>https://sealeddeck.tech/uLe7oWU5Su</t>
  </si>
  <si>
    <t>Tim W</t>
  </si>
  <si>
    <t>https://sealeddeck.tech/t7JgopqsYn</t>
  </si>
  <si>
    <t>Troy A</t>
  </si>
  <si>
    <t>https://sealeddeck.tech/7XoVNcWtXN</t>
  </si>
  <si>
    <t>Violet M</t>
  </si>
  <si>
    <t>https://sealeddeck.tech/t3zGc7Mqra</t>
  </si>
  <si>
    <t>Wei C</t>
  </si>
  <si>
    <t>https://sealeddeck.tech/RbG4SnD69E</t>
  </si>
  <si>
    <t>Wesley C</t>
  </si>
  <si>
    <t>https://sealeddeck.tech/DzkRTGsKV6</t>
  </si>
  <si>
    <t>Wesley R</t>
  </si>
  <si>
    <t>https://sealeddeck.tech/oPva39RkYb</t>
  </si>
  <si>
    <t>Will M</t>
  </si>
  <si>
    <t>https://sealeddeck.tech/j1RG7msMwX</t>
  </si>
  <si>
    <t>Wyatt C</t>
  </si>
  <si>
    <t>https://sealeddeck.tech/Jqbnktti5y</t>
  </si>
  <si>
    <t>https://sealeddeck.tech/Fh8itS8oVv</t>
  </si>
  <si>
    <t>Zeke W</t>
  </si>
  <si>
    <t>https://sealeddeck.tech/ASbJbB1ohS</t>
  </si>
  <si>
    <t>Eclipse2470#03650</t>
  </si>
  <si>
    <t>232271734261153802</t>
  </si>
  <si>
    <t>https://sealeddeck.tech/5C17FFRQJi</t>
  </si>
  <si>
    <t>Bevelman#18220</t>
  </si>
  <si>
    <t>323831521519861760</t>
  </si>
  <si>
    <t>https://sealeddeck.tech/5gbAd7vfRE</t>
  </si>
  <si>
    <t>wizma#29010</t>
  </si>
  <si>
    <t>628270302102552578</t>
  </si>
  <si>
    <t>https://sealeddeck.tech/z51kHUQxdw</t>
  </si>
  <si>
    <t>WARNING - MATCH OVERPLAY</t>
  </si>
  <si>
    <t>Mythk#27035</t>
  </si>
  <si>
    <t>178215837637935113</t>
  </si>
  <si>
    <t>https://sealeddeck.tech/QijAcUa4jD</t>
  </si>
  <si>
    <t>CarrRadio#73846</t>
  </si>
  <si>
    <t>257582663488110602</t>
  </si>
  <si>
    <t>https://sealeddeck.tech/SVctMdiF95</t>
  </si>
  <si>
    <t>water#52340</t>
  </si>
  <si>
    <t>393815676323889153</t>
  </si>
  <si>
    <t>https://sealeddeck.tech/QuWuN4s28y</t>
  </si>
  <si>
    <t>Merriman#08092</t>
  </si>
  <si>
    <t>815758135741644800</t>
  </si>
  <si>
    <t>https://sealeddeck.tech/NnsH4jJfrP</t>
  </si>
  <si>
    <t>Poisonedchicken#66453</t>
  </si>
  <si>
    <t>185831723378933792</t>
  </si>
  <si>
    <t>https://sealeddeck.tech/Z3jRLe9jCE</t>
  </si>
  <si>
    <t>12 - 5</t>
  </si>
  <si>
    <t>ImperialMarch#57138</t>
  </si>
  <si>
    <t>544186914610348052</t>
  </si>
  <si>
    <t>https://sealeddeck.tech/JQTZnizG22</t>
  </si>
  <si>
    <t>12 - 6</t>
  </si>
  <si>
    <t>TrashMan#57762</t>
  </si>
  <si>
    <t>351123009546747904</t>
  </si>
  <si>
    <t>https://sealeddeck.tech/ct8yQ2G8cA</t>
  </si>
  <si>
    <t>12 - 7</t>
  </si>
  <si>
    <t>StoplightDelight#66421</t>
  </si>
  <si>
    <t>413129439359270912</t>
  </si>
  <si>
    <t>https://sealeddeck.tech/Dcrn1LaDtK</t>
  </si>
  <si>
    <t>VioletThunder#65144</t>
  </si>
  <si>
    <t>357612929752891392</t>
  </si>
  <si>
    <t>https://sealeddeck.tech/1SqxnMgvbF</t>
  </si>
  <si>
    <t>12 - 8</t>
  </si>
  <si>
    <t>Alexsfly#67052</t>
  </si>
  <si>
    <t>164813101001080833</t>
  </si>
  <si>
    <t>https://sealeddeck.tech/DCxoXxxjDW</t>
  </si>
  <si>
    <t>ForgottenPast#86029</t>
  </si>
  <si>
    <t>443755320058183680</t>
  </si>
  <si>
    <t>https://sealeddeck.tech/kbhUHLSneR</t>
  </si>
  <si>
    <t>Robespierre#01976</t>
  </si>
  <si>
    <t>345605872099262474</t>
  </si>
  <si>
    <t>https://sealeddeck.tech/jVRTebLYGk</t>
  </si>
  <si>
    <t>archiebaker#44712</t>
  </si>
  <si>
    <t>216936887120691200</t>
  </si>
  <si>
    <t>https://sealeddeck.tech/mjQUKk2MEC</t>
  </si>
  <si>
    <t>letschanator#21795</t>
  </si>
  <si>
    <t>178657985847885824</t>
  </si>
  <si>
    <t>https://sealeddeck.tech/1nLEKWNo3z</t>
  </si>
  <si>
    <t>Ausboss1#74492</t>
  </si>
  <si>
    <t>370056606664228865</t>
  </si>
  <si>
    <t>https://sealeddeck.tech/mf79Xy8DTC</t>
  </si>
  <si>
    <t>cardmaaster#84341</t>
  </si>
  <si>
    <t>1302451423014817872</t>
  </si>
  <si>
    <t>https://sealeddeck.tech/cu9d8n8sor</t>
  </si>
  <si>
    <t>benj#73000</t>
  </si>
  <si>
    <t>675011255924424704</t>
  </si>
  <si>
    <t>https://sealeddeck.tech/wvc73WBmxT</t>
  </si>
  <si>
    <t>bforbernard#46312</t>
  </si>
  <si>
    <t>709516427807162540</t>
  </si>
  <si>
    <t>https://sealeddeck.tech/s1J8UGnaD6</t>
  </si>
  <si>
    <t>HIT#08120</t>
  </si>
  <si>
    <t>294661175235444737</t>
  </si>
  <si>
    <t>https://sealeddeck.tech/cgRSiNpNGw</t>
  </si>
  <si>
    <t>sleepingwolf#58460</t>
  </si>
  <si>
    <t>135445024518307840</t>
  </si>
  <si>
    <t>https://sealeddeck.tech/Jdaggn5YbL</t>
  </si>
  <si>
    <t>11 - 7</t>
  </si>
  <si>
    <t>Eggplantsonfire#75821</t>
  </si>
  <si>
    <t>349057124568924164</t>
  </si>
  <si>
    <t>https://sealeddeck.tech/ZCfzqfdPZZ</t>
  </si>
  <si>
    <t>Dany Brillantine#64832</t>
  </si>
  <si>
    <t>1293554936528900149</t>
  </si>
  <si>
    <t>https://sealeddeck.tech/p2wR1Cdfzh</t>
  </si>
  <si>
    <t>11 - 8</t>
  </si>
  <si>
    <t>Hugester#31975</t>
  </si>
  <si>
    <t>849432617400795177</t>
  </si>
  <si>
    <t>https://sealeddeck.tech/qZMaM99RAh</t>
  </si>
  <si>
    <t>11 - 9</t>
  </si>
  <si>
    <t>Whynaut#28590</t>
  </si>
  <si>
    <t>264164195472375818</t>
  </si>
  <si>
    <t>https://sealeddeck.tech/hCBWLZmFrB</t>
  </si>
  <si>
    <t>Barter#43945</t>
  </si>
  <si>
    <t>209787217445519360</t>
  </si>
  <si>
    <t>https://sealeddeck.tech/ZuMZfMwY66</t>
  </si>
  <si>
    <t>andrewca#12272</t>
  </si>
  <si>
    <t>528695146460610581</t>
  </si>
  <si>
    <t>https://sealeddeck.tech/XWXm5XMHWD</t>
  </si>
  <si>
    <t>caseyloreants#09219</t>
  </si>
  <si>
    <t>186336510755340288</t>
  </si>
  <si>
    <t>https://sealeddeck.tech/2zRMYLTvbX</t>
  </si>
  <si>
    <t>CandyDaniel#16348</t>
  </si>
  <si>
    <t>123569663195086850</t>
  </si>
  <si>
    <t>https://sealeddeck.tech/hm579jUz1e</t>
  </si>
  <si>
    <t>Cmgid#51744</t>
  </si>
  <si>
    <t>760359122284707840</t>
  </si>
  <si>
    <t>https://sealeddeck.tech/suRRmAAzWS</t>
  </si>
  <si>
    <t>Kaiserroll802#17525</t>
  </si>
  <si>
    <t>632280268073598996</t>
  </si>
  <si>
    <t>https://sealeddeck.tech/XPVZVJVVp3</t>
  </si>
  <si>
    <t>Joker01#66827</t>
  </si>
  <si>
    <t>317689280631799810</t>
  </si>
  <si>
    <t>https://sealeddeck.tech/mrjzHAB2qq</t>
  </si>
  <si>
    <t>Darkdragonzt#58801</t>
  </si>
  <si>
    <t>123934086535315456</t>
  </si>
  <si>
    <t>https://sealeddeck.tech/iYvtJJTq9K</t>
  </si>
  <si>
    <t>Sinkwater#27508</t>
  </si>
  <si>
    <t>708862744748752898</t>
  </si>
  <si>
    <t>https://sealeddeck.tech/qGRdNB8CBc</t>
  </si>
  <si>
    <t>Yorke on Games#66909</t>
  </si>
  <si>
    <t>394273400425545738</t>
  </si>
  <si>
    <t>https://sealeddeck.tech/avowjwn5VV</t>
  </si>
  <si>
    <t>10 - 7</t>
  </si>
  <si>
    <t>oompaloompa#65002</t>
  </si>
  <si>
    <t>534806040122884109</t>
  </si>
  <si>
    <t>https://sealeddeck.tech/svS1qyh3pR</t>
  </si>
  <si>
    <t>10 - 8</t>
  </si>
  <si>
    <t>Speediurdi#14686</t>
  </si>
  <si>
    <t>121475854936178688</t>
  </si>
  <si>
    <t>https://sealeddeck.tech/LEH4wvCNpZ</t>
  </si>
  <si>
    <t>mang#55794</t>
  </si>
  <si>
    <t>547794841505890314</t>
  </si>
  <si>
    <t>https://sealeddeck.tech/5GxrhDnFgx</t>
  </si>
  <si>
    <t>10 - 9</t>
  </si>
  <si>
    <t>Funnytruck#07667</t>
  </si>
  <si>
    <t>307742187754618882</t>
  </si>
  <si>
    <t>https://sealeddeck.tech/Aahu4DYKhP</t>
  </si>
  <si>
    <t>C-Dog#37775</t>
  </si>
  <si>
    <t>388757276573302786</t>
  </si>
  <si>
    <t>https://sealeddeck.tech/GAVqfU8Uok</t>
  </si>
  <si>
    <t>C0urtSystem#61956</t>
  </si>
  <si>
    <t>621791871970181130</t>
  </si>
  <si>
    <t>https://sealeddeck.tech/WBwJV8zrqd</t>
  </si>
  <si>
    <t>10 - 10</t>
  </si>
  <si>
    <t>Oblivion#40925</t>
  </si>
  <si>
    <t>404420559997239296</t>
  </si>
  <si>
    <t>https://sealeddeck.tech/DWWLc5Vyvp</t>
  </si>
  <si>
    <t>Magicmrmoose#82526</t>
  </si>
  <si>
    <t>962855347561836594</t>
  </si>
  <si>
    <t>https://sealeddeck.tech/4ahRqhT1rJ</t>
  </si>
  <si>
    <t>Hmishima#77128</t>
  </si>
  <si>
    <t>666131875441672193</t>
  </si>
  <si>
    <t>https://sealeddeck.tech/bWbxCtJ1Yz</t>
  </si>
  <si>
    <t>botman#56686</t>
  </si>
  <si>
    <t>463120557089751040</t>
  </si>
  <si>
    <t>https://sealeddeck.tech/UkAMTNFdwv</t>
  </si>
  <si>
    <t>FriskyHobbit#43185</t>
  </si>
  <si>
    <t>540797209579487232</t>
  </si>
  <si>
    <t>https://sealeddeck.tech/KH6R6CxyvC</t>
  </si>
  <si>
    <t>Persivin#94328</t>
  </si>
  <si>
    <t>634258953320267776</t>
  </si>
  <si>
    <t>https://sealeddeck.tech/3zcSbL1xSW</t>
  </si>
  <si>
    <t>DanimalMTG#77832</t>
  </si>
  <si>
    <t>190665827836624896</t>
  </si>
  <si>
    <t>https://sealeddeck.tech/sfPsNDi96i</t>
  </si>
  <si>
    <t>wkufan89#09556</t>
  </si>
  <si>
    <t>428314400429047809</t>
  </si>
  <si>
    <t>https://sealeddeck.tech/gF1WtXTuQC</t>
  </si>
  <si>
    <t>HPWizard#40332</t>
  </si>
  <si>
    <t>818085657682640916</t>
  </si>
  <si>
    <t>https://sealeddeck.tech/ZyTMtpdxh1</t>
  </si>
  <si>
    <t>JaceVess#31204</t>
  </si>
  <si>
    <t>205907957702066176</t>
  </si>
  <si>
    <t>https://sealeddeck.tech/rWJtQHfwmT</t>
  </si>
  <si>
    <t>TurfJerky#01817</t>
  </si>
  <si>
    <t>740069327914401850</t>
  </si>
  <si>
    <t>https://sealeddeck.tech/pYJNfKMpmr</t>
  </si>
  <si>
    <t>DolphinDefense#33687</t>
  </si>
  <si>
    <t>488014769853431820</t>
  </si>
  <si>
    <t>https://sealeddeck.tech/rbUfZXte4J</t>
  </si>
  <si>
    <t>davemurra#85098</t>
  </si>
  <si>
    <t>844669426426314792</t>
  </si>
  <si>
    <t>https://sealeddeck.tech/5nkc3cRXYn</t>
  </si>
  <si>
    <t>Volt65#59442</t>
  </si>
  <si>
    <t>483095887111782400</t>
  </si>
  <si>
    <t>https://sealeddeck.tech/DkNo8YxkGC</t>
  </si>
  <si>
    <t>Ignition Spark#44046</t>
  </si>
  <si>
    <t>262337099447926786</t>
  </si>
  <si>
    <t>https://sealeddeck.tech/HhRVUGyXK6</t>
  </si>
  <si>
    <t>BegginBlue#16667</t>
  </si>
  <si>
    <t>106058722152833024</t>
  </si>
  <si>
    <t>https://sealeddeck.tech/tmsZ6to6SH</t>
  </si>
  <si>
    <t>9 - 8</t>
  </si>
  <si>
    <t>ducksarecool2#08176</t>
  </si>
  <si>
    <t>197897596273033227</t>
  </si>
  <si>
    <t>https://sealeddeck.tech/zNK2LN1Wp1</t>
  </si>
  <si>
    <t>9 - 9</t>
  </si>
  <si>
    <t>PillageEnjoyer#05863</t>
  </si>
  <si>
    <t>1518627386118111263</t>
  </si>
  <si>
    <t>https://sealeddeck.tech/3vd3dTzcG1</t>
  </si>
  <si>
    <t>Quiza#32870</t>
  </si>
  <si>
    <t>267756539455078402</t>
  </si>
  <si>
    <t>https://sealeddeck.tech/fNZrRXnctX</t>
  </si>
  <si>
    <t>Sepulchure#51526</t>
  </si>
  <si>
    <t>338799904057065493</t>
  </si>
  <si>
    <t>https://sealeddeck.tech/9nYmx6VPoJ</t>
  </si>
  <si>
    <t>Caex#39549</t>
  </si>
  <si>
    <t>695762941055729694</t>
  </si>
  <si>
    <t>https://sealeddeck.tech/K4jgfFvtwn</t>
  </si>
  <si>
    <t>egyeager#10250</t>
  </si>
  <si>
    <t>329840689527652352</t>
  </si>
  <si>
    <t>9 - 10</t>
  </si>
  <si>
    <t>https://sealeddeck.tech/ZnRpewq6p5</t>
  </si>
  <si>
    <t>lasaga cat#94863</t>
  </si>
  <si>
    <t>157028738679308288</t>
  </si>
  <si>
    <t>https://sealeddeck.tech/6CdisP41w4</t>
  </si>
  <si>
    <t>Evan#97713</t>
  </si>
  <si>
    <t>667122200440078375</t>
  </si>
  <si>
    <t>https://sealeddeck.tech/uK7rDY515z</t>
  </si>
  <si>
    <t>9 - 11</t>
  </si>
  <si>
    <t>tensfull2003#69753</t>
  </si>
  <si>
    <t>112805223457714176</t>
  </si>
  <si>
    <t>https://sealeddeck.tech/to6aHUtQ5s</t>
  </si>
  <si>
    <t>Yasunori#84481</t>
  </si>
  <si>
    <t>1275809694321213532</t>
  </si>
  <si>
    <t>https://sealeddeck.tech/2Y1yre7159</t>
  </si>
  <si>
    <t>Piloswine#16597</t>
  </si>
  <si>
    <t>205841364959625217</t>
  </si>
  <si>
    <t>https://sealeddeck.tech/TisnknrjjR</t>
  </si>
  <si>
    <t>BigChase#15341</t>
  </si>
  <si>
    <t>214966642680135683</t>
  </si>
  <si>
    <t>https://sealeddeck.tech/WiDcQTZBRB</t>
  </si>
  <si>
    <t>Itsme#75750</t>
  </si>
  <si>
    <t>800777507825385522</t>
  </si>
  <si>
    <t>https://sealeddeck.tech/LfpbAnGE4j</t>
  </si>
  <si>
    <t>8 - 5</t>
  </si>
  <si>
    <t>Silver Heart#86389</t>
  </si>
  <si>
    <t>408119821017022466</t>
  </si>
  <si>
    <t>https://sealeddeck.tech/JncBdscg5T</t>
  </si>
  <si>
    <t>8 - 8</t>
  </si>
  <si>
    <t>Kaozu#62298</t>
  </si>
  <si>
    <t>234533486206255115</t>
  </si>
  <si>
    <t>https://sealeddeck.tech/LM8nFfWt1K</t>
  </si>
  <si>
    <t>Huterio#38198</t>
  </si>
  <si>
    <t>645508752275013654</t>
  </si>
  <si>
    <t>https://sealeddeck.tech/7qo78zUYeM</t>
  </si>
  <si>
    <t>8 - 10</t>
  </si>
  <si>
    <t>Rakic#98298</t>
  </si>
  <si>
    <t>534123165593370664</t>
  </si>
  <si>
    <t>https://sealeddeck.tech/Jjdwc7hCc9</t>
  </si>
  <si>
    <t>AjaniGoldmane#67634</t>
  </si>
  <si>
    <t>1384329843470110781</t>
  </si>
  <si>
    <t>https://sealeddeck.tech/hQzrKyGEDE</t>
  </si>
  <si>
    <t>8 - 11</t>
  </si>
  <si>
    <t>Luckbox#52583</t>
  </si>
  <si>
    <t>746043622709002381</t>
  </si>
  <si>
    <t>https://sealeddeck.tech/49GpRPqmie</t>
  </si>
  <si>
    <t>Pie_Demon#80712</t>
  </si>
  <si>
    <t>88152763040555008</t>
  </si>
  <si>
    <t>https://sealeddeck.tech/eT1PzgDgJw</t>
  </si>
  <si>
    <t>MnemonicDevice#38774</t>
  </si>
  <si>
    <t>155784925142843392</t>
  </si>
  <si>
    <t>https://sealeddeck.tech/KKj3XeVa2S</t>
  </si>
  <si>
    <t>3scher#17401</t>
  </si>
  <si>
    <t>277235746278998016</t>
  </si>
  <si>
    <t>https://sealeddeck.tech/NnXZr865ij</t>
  </si>
  <si>
    <t>j87c92r36#60257</t>
  </si>
  <si>
    <t>352294541786873866</t>
  </si>
  <si>
    <t>https://sealeddeck.tech/1WvcoTzH8S</t>
  </si>
  <si>
    <t>Demonic Tutor#02131</t>
  </si>
  <si>
    <t>444713303793598474</t>
  </si>
  <si>
    <t>https://sealeddeck.tech/an6PP4AKvm</t>
  </si>
  <si>
    <t>Jamie#45846</t>
  </si>
  <si>
    <t>421405771939708938</t>
  </si>
  <si>
    <t>https://sealeddeck.tech/rhNE26zHL1</t>
  </si>
  <si>
    <t>waffletiger#24369</t>
  </si>
  <si>
    <t>297617945486557184</t>
  </si>
  <si>
    <t>https://sealeddeck.tech/FF48ku2wKn</t>
  </si>
  <si>
    <t>smokedogplays#32367</t>
  </si>
  <si>
    <t>1078316726623686696</t>
  </si>
  <si>
    <t>https://sealeddeck.tech/FWAVgSnJ75</t>
  </si>
  <si>
    <t>Frostsaber#44055</t>
  </si>
  <si>
    <t>191737980052963328</t>
  </si>
  <si>
    <t>https://sealeddeck.tech/hzYDPVG8wk</t>
  </si>
  <si>
    <t>DiabolicMachine#23891</t>
  </si>
  <si>
    <t>731384239865724999</t>
  </si>
  <si>
    <t>https://sealeddeck.tech/Kh7EL4mvcu</t>
  </si>
  <si>
    <t>Saixzerjg#15429</t>
  </si>
  <si>
    <t>231464780555091968</t>
  </si>
  <si>
    <t>https://sealeddeck.tech/5HVa3gTvoa</t>
  </si>
  <si>
    <t>7 - 6</t>
  </si>
  <si>
    <t>Tiger Burning#89444</t>
  </si>
  <si>
    <t>275086655411716096</t>
  </si>
  <si>
    <t>https://sealeddeck.tech/qNQ2zLB7VU</t>
  </si>
  <si>
    <t>gokuorgohome#51511</t>
  </si>
  <si>
    <t>476507220293582851</t>
  </si>
  <si>
    <t>https://sealeddeck.tech/63JzWTvned</t>
  </si>
  <si>
    <t>7 - 8</t>
  </si>
  <si>
    <t>https://sealeddeck.tech/a1sTaLvHYx</t>
  </si>
  <si>
    <t>GDJT#35358</t>
  </si>
  <si>
    <t>204751346581241856</t>
  </si>
  <si>
    <t>https://sealeddeck.tech/mx6rcjfk4i</t>
  </si>
  <si>
    <t>7 - 10</t>
  </si>
  <si>
    <t>Johnny#69519</t>
  </si>
  <si>
    <t>538455617493401612</t>
  </si>
  <si>
    <t>https://sealeddeck.tech/mpszcikYui</t>
  </si>
  <si>
    <t>7 - 11</t>
  </si>
  <si>
    <t>godp3#98184</t>
  </si>
  <si>
    <t>297618169705791488</t>
  </si>
  <si>
    <t>https://sealeddeck.tech/ExY7GUcpbq</t>
  </si>
  <si>
    <t>Nistar#14127</t>
  </si>
  <si>
    <t>UK</t>
  </si>
  <si>
    <t>Merrillium#62012</t>
  </si>
  <si>
    <t>USA</t>
  </si>
  <si>
    <t>powerfulfalcon#27271</t>
  </si>
  <si>
    <t>Canada</t>
  </si>
  <si>
    <t>PawnOfHumalog#82404</t>
  </si>
  <si>
    <t>Flavatog#03743</t>
  </si>
  <si>
    <t>Finley_2k1#30925</t>
  </si>
  <si>
    <t>Vexisto#65373</t>
  </si>
  <si>
    <t>Italy</t>
  </si>
  <si>
    <t>Zeven28#21705</t>
  </si>
  <si>
    <t>Rezreh#11308</t>
  </si>
  <si>
    <t>Austria</t>
  </si>
  <si>
    <t>Vorbis#46420</t>
  </si>
  <si>
    <t>limlimrevolution#50308</t>
  </si>
  <si>
    <t>France</t>
  </si>
  <si>
    <t>NivMizzet042#64889</t>
  </si>
  <si>
    <t>rrrn22#32842</t>
  </si>
  <si>
    <t>jslesser#56805</t>
  </si>
  <si>
    <t>534167054534574120</t>
  </si>
  <si>
    <t>Azayaka#83352</t>
  </si>
  <si>
    <t>https://sealeddeck.tech/aTAvnNZ5Xz</t>
  </si>
  <si>
    <t>JMTron#46639</t>
  </si>
  <si>
    <t>DriftDraftDraw#62192</t>
  </si>
  <si>
    <t>winSome#94148</t>
  </si>
  <si>
    <t>Solaris25#29367</t>
  </si>
  <si>
    <t>adoodwithgood#69394</t>
  </si>
  <si>
    <t>Israel</t>
  </si>
  <si>
    <t>strout#45062</t>
  </si>
  <si>
    <t>Lotte #93345</t>
  </si>
  <si>
    <t>Netherlands</t>
  </si>
  <si>
    <t>Mcnuggs#97708</t>
  </si>
  <si>
    <t>njsiii#50504</t>
  </si>
  <si>
    <t>Aliphos#10232</t>
  </si>
  <si>
    <t>Visager#25850</t>
  </si>
  <si>
    <t>zaergaegyr#34014</t>
  </si>
  <si>
    <t>Germany</t>
  </si>
  <si>
    <t>Slovenia</t>
  </si>
  <si>
    <t>wheat4days#18347</t>
  </si>
  <si>
    <t>376153881081675776</t>
  </si>
  <si>
    <t>Kitchensinks#50434</t>
  </si>
  <si>
    <t>Uruma#71243</t>
  </si>
  <si>
    <t>Sweden</t>
  </si>
  <si>
    <t>https://sealeddeck.tech/h3iU92vASN</t>
  </si>
  <si>
    <t>drummaestro#53129</t>
  </si>
  <si>
    <t>soyboy#35469</t>
  </si>
  <si>
    <t>Mordor#75624</t>
  </si>
  <si>
    <t>TheDragon#61289</t>
  </si>
  <si>
    <t>592771862140813317</t>
  </si>
  <si>
    <t>Derpy#48087</t>
  </si>
  <si>
    <t>Belgium</t>
  </si>
  <si>
    <t>https://sealeddeck.tech/mLNs1SpNLQ</t>
  </si>
  <si>
    <t>bubbasbums#70462</t>
  </si>
  <si>
    <t>Giant_Tiger_7#45331</t>
  </si>
  <si>
    <t>Myth#18089</t>
  </si>
  <si>
    <t>GigaVoltaic#11782</t>
  </si>
  <si>
    <t>MajorManiac#13144</t>
  </si>
  <si>
    <t>Spaghettimitch#18619</t>
  </si>
  <si>
    <t>Tadams54#66582</t>
  </si>
  <si>
    <t>Tarnal#87103</t>
  </si>
  <si>
    <t>Voluntary Ignorance#16973</t>
  </si>
  <si>
    <t>187764226515795969</t>
  </si>
  <si>
    <t>JuanCu#95616</t>
  </si>
  <si>
    <t>Chile</t>
  </si>
  <si>
    <t>https://sealeddeck.tech/zgiSH6pSmD</t>
  </si>
  <si>
    <t>iluvatar777#20638</t>
  </si>
  <si>
    <t>Celes#99710</t>
  </si>
  <si>
    <t>RamblinDash#10694</t>
  </si>
  <si>
    <t>gameboy350#56819</t>
  </si>
  <si>
    <t>New Zealand</t>
  </si>
  <si>
    <t>0mniscience#87429</t>
  </si>
  <si>
    <t>Crayth#38098</t>
  </si>
  <si>
    <t>whodack#18767</t>
  </si>
  <si>
    <t>Viper312#10821</t>
  </si>
  <si>
    <t>M013#58004</t>
  </si>
  <si>
    <t>Android5000#23254</t>
  </si>
  <si>
    <t>Atombomb11991#07305</t>
  </si>
  <si>
    <t>Kni1993#29285</t>
  </si>
  <si>
    <t>Ginjja#84067</t>
  </si>
  <si>
    <t>MattPow#53130</t>
  </si>
  <si>
    <t>mullethunter324#49693</t>
  </si>
  <si>
    <t>438844069398183937</t>
  </si>
  <si>
    <t>Silversword#06621</t>
  </si>
  <si>
    <t>22bebo#54651</t>
  </si>
  <si>
    <t>https://sealeddeck.tech/PZf7HdoMcp</t>
  </si>
  <si>
    <t>Rataplana#92088</t>
  </si>
  <si>
    <t>Sesqui#98407</t>
  </si>
  <si>
    <t>G4mingP4stor#86671</t>
  </si>
  <si>
    <t>RussLg#32030</t>
  </si>
  <si>
    <t>6 - 10</t>
  </si>
  <si>
    <t>smarmyplatapus#30066</t>
  </si>
  <si>
    <t>Hoidbringer#50183</t>
  </si>
  <si>
    <t>mumOjO#15346</t>
  </si>
  <si>
    <t>253359123192741889</t>
  </si>
  <si>
    <t>Nocnoc#13791</t>
  </si>
  <si>
    <t>Catarang#49877</t>
  </si>
  <si>
    <t>Australia</t>
  </si>
  <si>
    <t>https://sealeddeck.tech/B9adcd6sFM</t>
  </si>
  <si>
    <t>Hearto#70043</t>
  </si>
  <si>
    <t>Argonplatypus#63382</t>
  </si>
  <si>
    <t>Iquitos#15484</t>
  </si>
  <si>
    <t>Snappy546#89582</t>
  </si>
  <si>
    <t>hotdolphin#30769</t>
  </si>
  <si>
    <t>Cromatis#61183</t>
  </si>
  <si>
    <t>6 - 11</t>
  </si>
  <si>
    <t>360303090760679425</t>
  </si>
  <si>
    <t>ossytubbi#87966</t>
  </si>
  <si>
    <t>https://sealeddeck.tech/6nuPw43EGh</t>
  </si>
  <si>
    <t>Denmark</t>
  </si>
  <si>
    <t>547651956391280642</t>
  </si>
  <si>
    <t>https://sealeddeck.tech/NoEBmL9n2m</t>
  </si>
  <si>
    <t>423943967126585345</t>
  </si>
  <si>
    <t>https://sealeddeck.tech/rMVfJZGJCZ</t>
  </si>
  <si>
    <t>348034962068471809</t>
  </si>
  <si>
    <t>https://sealeddeck.tech/7BU8hNZCpy</t>
  </si>
  <si>
    <t>353406082867265536</t>
  </si>
  <si>
    <t>https://sealeddeck.tech/NDHeB1Bip6</t>
  </si>
  <si>
    <t>269592110427013130</t>
  </si>
  <si>
    <t>5 - 8</t>
  </si>
  <si>
    <t>https://sealeddeck.tech/AvhBo3Ud4H</t>
  </si>
  <si>
    <t>5 - 9</t>
  </si>
  <si>
    <t>384224992466042881</t>
  </si>
  <si>
    <t>https://sealeddeck.tech/KggkAdXCdE</t>
  </si>
  <si>
    <t>5 - 11</t>
  </si>
  <si>
    <t>559500200943550486</t>
  </si>
  <si>
    <t>https://sealeddeck.tech/ayuwLebth3</t>
  </si>
  <si>
    <t>485067337893019652</t>
  </si>
  <si>
    <t>https://sealeddeck.tech/VSC34HUGgz</t>
  </si>
  <si>
    <t>518761673734225920</t>
  </si>
  <si>
    <t>https://sealeddeck.tech/3wUpKsBAVD</t>
  </si>
  <si>
    <t>4 - 9</t>
  </si>
  <si>
    <t>689315236905222163</t>
  </si>
  <si>
    <t>https://sealeddeck.tech/athT6eeaPb</t>
  </si>
  <si>
    <t>125710739150340096</t>
  </si>
  <si>
    <t>https://sealeddeck.tech/B9Jp8iuAg9</t>
  </si>
  <si>
    <t>148574962905645057</t>
  </si>
  <si>
    <t>https://sealeddeck.tech/uuoHACasa2</t>
  </si>
  <si>
    <t>4 - 10</t>
  </si>
  <si>
    <t>124198108690251778</t>
  </si>
  <si>
    <t>https://sealeddeck.tech/5tdcLdiozd</t>
  </si>
  <si>
    <t>401533057925906442</t>
  </si>
  <si>
    <t>https://sealeddeck.tech/Z7LRPxswk9</t>
  </si>
  <si>
    <t>4 - 11</t>
  </si>
  <si>
    <t>1094380362416795768</t>
  </si>
  <si>
    <t>https://sealeddeck.tech/fuDBE8MuWp</t>
  </si>
  <si>
    <t>565236392444297216</t>
  </si>
  <si>
    <t>https://sealeddeck.tech/4ZAbbC5JBc</t>
  </si>
  <si>
    <t>291723457069187074</t>
  </si>
  <si>
    <t>https://sealeddeck.tech/wPhSxZiosp</t>
  </si>
  <si>
    <t>475067222314844163</t>
  </si>
  <si>
    <t>https://sealeddeck.tech/15CSQZ85qH</t>
  </si>
  <si>
    <t>367389692754395146</t>
  </si>
  <si>
    <t>https://sealeddeck.tech/uiTZBkwxv3</t>
  </si>
  <si>
    <t>1459621325944651817</t>
  </si>
  <si>
    <t>https://sealeddeck.tech/cT4zrPM4wk</t>
  </si>
  <si>
    <t>413138645050982401</t>
  </si>
  <si>
    <t>https://sealeddeck.tech/v3RyWt15gL</t>
  </si>
  <si>
    <t>647458921115549706</t>
  </si>
  <si>
    <t>https://sealeddeck.tech/zkJ5yVMgUt</t>
  </si>
  <si>
    <t>1403817349588451390</t>
  </si>
  <si>
    <t>https://sealeddeck.tech/qEi7JNqGKY</t>
  </si>
  <si>
    <t>146895902412374016</t>
  </si>
  <si>
    <t>https://sealeddeck.tech/nmCogD1CX7</t>
  </si>
  <si>
    <t>326493270618275840</t>
  </si>
  <si>
    <t>https://sealeddeck.tech/a3ksfCRgEc</t>
  </si>
  <si>
    <t>3 - 10</t>
  </si>
  <si>
    <t>316928438210658305</t>
  </si>
  <si>
    <t>https://sealeddeck.tech/wzTPBV88tf</t>
  </si>
  <si>
    <t>218657900426559489</t>
  </si>
  <si>
    <t>https://sealeddeck.tech/C1RYbnmapn</t>
  </si>
  <si>
    <t>https://sealeddeck.tech/NtNPKz2vG1</t>
  </si>
  <si>
    <t>218114266551549953</t>
  </si>
  <si>
    <t>https://sealeddeck.tech/T1t6gnZ8Aj</t>
  </si>
  <si>
    <t>690618896029319280</t>
  </si>
  <si>
    <t>https://sealeddeck.tech/H9eX7ESK5a</t>
  </si>
  <si>
    <t>529360437607923722</t>
  </si>
  <si>
    <t>https://sealeddeck.tech/LSsypY1qa6</t>
  </si>
  <si>
    <t>231397753559711744</t>
  </si>
  <si>
    <t>https://sealeddeck.tech/5DwaGhAkuN</t>
  </si>
  <si>
    <t>3 - 11</t>
  </si>
  <si>
    <t>282269507538386944</t>
  </si>
  <si>
    <t>https://sealeddeck.tech/pVL4x2UCdy</t>
  </si>
  <si>
    <t>484819752263614464</t>
  </si>
  <si>
    <t>https://sealeddeck.tech/baugTHiMWq</t>
  </si>
  <si>
    <t>2 - 11</t>
  </si>
  <si>
    <t>285890333114630144</t>
  </si>
  <si>
    <t>https://sealeddeck.tech/3immaoVv1d</t>
  </si>
  <si>
    <t>545255967001018368</t>
  </si>
  <si>
    <t>https://sealeddeck.tech/ZkhCKcPdLQ</t>
  </si>
  <si>
    <t>158655768592252928</t>
  </si>
  <si>
    <t>https://sealeddeck.tech/hQpBCCCQ3y</t>
  </si>
  <si>
    <t>790027868419784704</t>
  </si>
  <si>
    <t>https://sealeddeck.tech/e2zeCJo78p</t>
  </si>
  <si>
    <t>236880756109082624</t>
  </si>
  <si>
    <t>https://sealeddeck.tech/76vBCf5zAG</t>
  </si>
  <si>
    <t>196028132652875776</t>
  </si>
  <si>
    <t>https://sealeddeck.tech/YoN8aKR8n9</t>
  </si>
  <si>
    <t>943326797972537395</t>
  </si>
  <si>
    <t>https://sealeddeck.tech/USvFMgzbJt</t>
  </si>
  <si>
    <t>137648744328855553</t>
  </si>
  <si>
    <t>https://sealeddeck.tech/GKDM9BKJTZ</t>
  </si>
  <si>
    <t>346124470940991488</t>
  </si>
  <si>
    <t>https://sealeddeck.tech/nD1qQEc2kM</t>
  </si>
  <si>
    <t>190659654999736320</t>
  </si>
  <si>
    <t>https://sealeddeck.tech/VCgg7U8M9u</t>
  </si>
  <si>
    <t>210019070181900288</t>
  </si>
  <si>
    <t>https://sealeddeck.tech/oec29mCV1B</t>
  </si>
  <si>
    <t>https://sealeddeck.tech/C1VdPp7cE8</t>
  </si>
  <si>
    <t>255903036352888833</t>
  </si>
  <si>
    <t>https://sealeddeck.tech/ha1PBccWwh</t>
  </si>
  <si>
    <t>371171003864186890</t>
  </si>
  <si>
    <t>https://sealeddeck.tech/QqjHuqM6fQ</t>
  </si>
  <si>
    <t>271793455615836165</t>
  </si>
  <si>
    <t>https://sealeddeck.tech/2ywmcro3Bm</t>
  </si>
  <si>
    <t>317406164839170059</t>
  </si>
  <si>
    <t>https://sealeddeck.tech/9sAqY1YMFv</t>
  </si>
  <si>
    <t>133113906741641216</t>
  </si>
  <si>
    <t>https://sealeddeck.tech/DaRap3GdkF</t>
  </si>
  <si>
    <t>1 - 11</t>
  </si>
  <si>
    <t>294923182211596288</t>
  </si>
  <si>
    <t>https://sealeddeck.tech/N2a5nSBrFK</t>
  </si>
  <si>
    <t>https://sealeddeck.tech/DZpx93yHhK</t>
  </si>
  <si>
    <t>218773207337926656</t>
  </si>
  <si>
    <t>https://sealeddeck.tech/7cKXKb3nCv</t>
  </si>
  <si>
    <t>768820103261061121</t>
  </si>
  <si>
    <t>https://sealeddeck.tech/JjytWMbrc4</t>
  </si>
  <si>
    <t>183579440498868225</t>
  </si>
  <si>
    <t>https://sealeddeck.tech/m4BiAi4sRs</t>
  </si>
  <si>
    <t>356857462034399232</t>
  </si>
  <si>
    <t>https://sealeddeck.tech/aNxgT4cNom</t>
  </si>
  <si>
    <t>713585341725933588</t>
  </si>
  <si>
    <t>https://sealeddeck.tech/zqcXNW1uKX</t>
  </si>
  <si>
    <t>581983558403489805</t>
  </si>
  <si>
    <t>https://sealeddeck.tech/nfyf6yaG9M</t>
  </si>
  <si>
    <t>440014325097299968</t>
  </si>
  <si>
    <t>https://sealeddeck.tech/RixiN1boRg</t>
  </si>
  <si>
    <t>451936726554771456</t>
  </si>
  <si>
    <t>https://sealeddeck.tech/BxRrBazcBw</t>
  </si>
  <si>
    <t>226698146082717696</t>
  </si>
  <si>
    <t>https://sealeddeck.tech/xUKLk47LSB</t>
  </si>
  <si>
    <t>155716765039591425</t>
  </si>
  <si>
    <t>https://sealeddeck.tech/ijg6EGXXAZ</t>
  </si>
  <si>
    <t>413787592170143754</t>
  </si>
  <si>
    <t>https://sealeddeck.tech/jHUAP5H4zD</t>
  </si>
  <si>
    <t>638346454473113601</t>
  </si>
  <si>
    <t>https://sealeddeck.tech/oQmtM3rhXB</t>
  </si>
  <si>
    <t>0 - 11</t>
  </si>
  <si>
    <t>148997687813996544</t>
  </si>
  <si>
    <t>https://sealeddeck.tech/zsG1b4BDDq</t>
  </si>
  <si>
    <t>314995615811633152</t>
  </si>
  <si>
    <t>https://sealeddeck.tech/nWYDparuXZ</t>
  </si>
  <si>
    <t>142482631412547584</t>
  </si>
  <si>
    <t>https://sealeddeck.tech/vdayz1K7Qy</t>
  </si>
  <si>
    <t>666817143366615041</t>
  </si>
  <si>
    <t>https://sealeddeck.tech/F64S8KDLPA</t>
  </si>
  <si>
    <t>213489289147842560</t>
  </si>
  <si>
    <t>https://sealeddeck.tech/hupdhNW8TV</t>
  </si>
  <si>
    <t>122213336891785216</t>
  </si>
  <si>
    <t>https://sealeddeck.tech/9fhB7xoGNC</t>
  </si>
  <si>
    <t>522098995804372992</t>
  </si>
  <si>
    <t>https://sealeddeck.tech/a3YyNb964L</t>
  </si>
  <si>
    <t>257433049137020928</t>
  </si>
  <si>
    <t>https://sealeddeck.tech/MWCwAaJmy7</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</si>
</sst>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quot;-&quot;dd&quot; &quot;h&quot;:&quot;mm"/>
    <numFmt numFmtId="165" formatCode="m/d/yyyy h:mm:ss"/>
    <numFmt numFmtId="166" formatCode="m/d/yyyy h:mm"/>
    <numFmt numFmtId="167" formatCode="M/d/yyyy H:mm:ss"/>
  </numFmts>
  <fonts count="32">
    <font>
      <sz val="10.0"/>
      <color rgb="FF000000"/>
      <name val="Arial"/>
      <scheme val="minor"/>
    </font>
    <font>
      <color theme="1"/>
      <name val="Arial"/>
    </font>
    <font>
      <b/>
      <sz val="19.0"/>
      <color rgb="FF000000"/>
      <name val="Georgia"/>
    </font>
    <font>
      <sz val="11.0"/>
      <color theme="1"/>
      <name val="Calibri"/>
    </font>
    <font>
      <b/>
      <sz val="11.0"/>
      <color rgb="FF000000"/>
      <name val="Calibri"/>
    </font>
    <font>
      <b/>
      <sz val="11.0"/>
      <color theme="1"/>
      <name val="Calibri"/>
    </font>
    <font>
      <b/>
      <sz val="11.0"/>
      <color rgb="FFFFFFFF"/>
      <name val="Calibri"/>
    </font>
    <font>
      <b/>
      <color rgb="FFFFFFFF"/>
      <name val="Calibri"/>
    </font>
    <font>
      <b/>
      <sz val="11.0"/>
      <color rgb="FF1155CC"/>
      <name val="Calibri"/>
    </font>
    <font>
      <sz val="11.0"/>
      <color rgb="FF000000"/>
      <name val="Calibri"/>
    </font>
    <font>
      <color rgb="FFFFFFFF"/>
      <name val="Arial"/>
    </font>
    <font>
      <sz val="11.0"/>
      <color rgb="FFFFFFFF"/>
      <name val="Calibri"/>
    </font>
    <font>
      <color rgb="FF000000"/>
      <name val="Arial"/>
    </font>
    <font>
      <color theme="1"/>
      <name val="Arial"/>
      <scheme val="minor"/>
    </font>
    <font>
      <b/>
      <sz val="12.0"/>
      <color rgb="FF000000"/>
      <name val="Calibri"/>
    </font>
    <font>
      <color rgb="FF000000"/>
      <name val="Arial"/>
      <scheme val="minor"/>
    </font>
    <font>
      <sz val="18.0"/>
      <color rgb="FF000000"/>
      <name val="Calibri"/>
    </font>
    <font>
      <i/>
      <sz val="11.0"/>
      <color theme="1"/>
      <name val="Calibri"/>
    </font>
    <font>
      <b/>
      <sz val="18.0"/>
      <color rgb="FF000000"/>
      <name val="Calibri"/>
    </font>
    <font>
      <sz val="11.0"/>
      <color rgb="FF0070C0"/>
      <name val="Calibri"/>
    </font>
    <font>
      <b/>
      <color theme="1"/>
      <name val="Arial"/>
      <scheme val="minor"/>
    </font>
    <font>
      <b/>
      <color theme="1"/>
      <name val="Arial"/>
    </font>
    <font>
      <sz val="9.0"/>
      <color theme="1"/>
      <name val="Arial"/>
    </font>
    <font>
      <sz val="9.0"/>
      <color theme="1"/>
      <name val="Arial"/>
      <scheme val="minor"/>
    </font>
    <font>
      <sz val="11.0"/>
      <color theme="1"/>
      <name val="Arial"/>
    </font>
    <font>
      <b/>
      <sz val="18.0"/>
      <color theme="1"/>
      <name val="Calibri"/>
    </font>
    <font>
      <u/>
      <color rgb="FF1155CC"/>
      <name val="Arial"/>
    </font>
    <font>
      <u/>
      <color rgb="FF1155CC"/>
      <name val="Arial"/>
    </font>
    <font>
      <b/>
      <u/>
      <sz val="12.0"/>
      <color rgb="FF000000"/>
      <name val="Calibri"/>
    </font>
    <font>
      <b/>
      <u/>
      <sz val="12.0"/>
      <color rgb="FF000000"/>
      <name val="Calibri"/>
    </font>
    <font>
      <u/>
      <color rgb="FF0000FF"/>
    </font>
    <font>
      <u/>
      <color rgb="FF0000FF"/>
      <name val="Arial"/>
    </font>
  </fonts>
  <fills count="11">
    <fill>
      <patternFill patternType="none"/>
    </fill>
    <fill>
      <patternFill patternType="lightGray"/>
    </fill>
    <fill>
      <patternFill patternType="solid">
        <fgColor rgb="FFFFFFFF"/>
        <bgColor rgb="FFFFFFFF"/>
      </patternFill>
    </fill>
    <fill>
      <patternFill patternType="solid">
        <fgColor rgb="FF0070C0"/>
        <bgColor rgb="FF0070C0"/>
      </patternFill>
    </fill>
    <fill>
      <patternFill patternType="solid">
        <fgColor rgb="FFF6B26B"/>
        <bgColor rgb="FFF6B26B"/>
      </patternFill>
    </fill>
    <fill>
      <patternFill patternType="solid">
        <fgColor rgb="FF1155CC"/>
        <bgColor rgb="FF1155CC"/>
      </patternFill>
    </fill>
    <fill>
      <patternFill patternType="solid">
        <fgColor rgb="FF434343"/>
        <bgColor rgb="FF434343"/>
      </patternFill>
    </fill>
    <fill>
      <patternFill patternType="solid">
        <fgColor rgb="FFBDD6EE"/>
        <bgColor rgb="FFBDD6EE"/>
      </patternFill>
    </fill>
    <fill>
      <patternFill patternType="solid">
        <fgColor rgb="FFFFE598"/>
        <bgColor rgb="FFFFE598"/>
      </patternFill>
    </fill>
    <fill>
      <patternFill patternType="solid">
        <fgColor rgb="FFC5E0B3"/>
        <bgColor rgb="FFC5E0B3"/>
      </patternFill>
    </fill>
    <fill>
      <patternFill patternType="solid">
        <fgColor rgb="FFC55A11"/>
        <bgColor rgb="FFC55A11"/>
      </patternFill>
    </fill>
  </fills>
  <borders count="20">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70C0"/>
      </left>
      <right style="thin">
        <color rgb="FF0070C0"/>
      </right>
      <top style="thin">
        <color rgb="FF0070C0"/>
      </top>
      <bottom style="thin">
        <color rgb="FF0070C0"/>
      </bottom>
    </border>
    <border>
      <left style="thin">
        <color rgb="FF0070C0"/>
      </left>
      <right style="thin">
        <color rgb="FF000000"/>
      </right>
      <top style="thin">
        <color rgb="FF0070C0"/>
      </top>
      <bottom style="thin">
        <color rgb="FF000000"/>
      </bottom>
    </border>
    <border>
      <left style="thin">
        <color rgb="FF000000"/>
      </left>
      <right style="thin">
        <color rgb="FF0070C0"/>
      </right>
      <top style="thin">
        <color rgb="FF0070C0"/>
      </top>
      <bottom style="thin">
        <color rgb="FF000000"/>
      </bottom>
    </border>
    <border>
      <left style="thin">
        <color rgb="FF0070C0"/>
      </left>
      <right style="thin">
        <color rgb="FF000000"/>
      </right>
      <top style="thin">
        <color rgb="FF000000"/>
      </top>
      <bottom style="thin">
        <color rgb="FF000000"/>
      </bottom>
    </border>
    <border>
      <left style="thin">
        <color rgb="FF000000"/>
      </left>
      <right style="thin">
        <color rgb="FF000000"/>
      </right>
      <top style="thin">
        <color rgb="FF0070C0"/>
      </top>
      <bottom style="thin">
        <color rgb="FF0070C0"/>
      </bottom>
    </border>
    <border>
      <left style="thin">
        <color rgb="FF000000"/>
      </left>
      <right style="thin">
        <color rgb="FF0070C0"/>
      </right>
      <top style="thin">
        <color rgb="FF0070C0"/>
      </top>
      <bottom style="thin">
        <color rgb="FF0070C0"/>
      </bottom>
    </border>
    <border>
      <left style="thin">
        <color rgb="FF0070C0"/>
      </left>
      <right style="thin">
        <color rgb="FF000000"/>
      </right>
      <top style="thin">
        <color rgb="FF000000"/>
      </top>
      <bottom style="thin">
        <color rgb="FF0070C0"/>
      </bottom>
    </border>
    <border>
      <left style="thin">
        <color rgb="FF000000"/>
      </left>
      <right style="thin">
        <color rgb="FF0070C0"/>
      </right>
      <top style="thin">
        <color rgb="FF000000"/>
      </top>
      <bottom style="thin">
        <color rgb="FF0070C0"/>
      </bottom>
    </border>
    <border>
      <bottom style="thin">
        <color rgb="FF000000"/>
      </bottom>
    </border>
    <border>
      <left style="thin">
        <color rgb="FF000000"/>
      </left>
      <top style="thin">
        <color rgb="FF000000"/>
      </top>
      <bottom style="thin">
        <color rgb="FF000000"/>
      </bottom>
    </border>
    <border>
      <right/>
    </border>
    <border>
      <right/>
      <bottom/>
    </border>
    <border>
      <bottom/>
    </border>
    <border>
      <bottom style="thick">
        <color rgb="FF6AA84F"/>
      </bottom>
    </border>
    <border>
      <top style="thick">
        <color rgb="FF6AA84F"/>
      </top>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shrinkToFit="0" vertical="bottom" wrapText="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readingOrder="0" vertical="bottom"/>
    </xf>
    <xf borderId="0" fillId="0" fontId="4" numFmtId="0" xfId="0" applyAlignment="1" applyFont="1">
      <alignment readingOrder="0" vertical="bottom"/>
    </xf>
    <xf borderId="0" fillId="0" fontId="5" numFmtId="0" xfId="0" applyAlignment="1" applyFont="1">
      <alignment horizontal="center" readingOrder="0" vertical="top"/>
    </xf>
    <xf borderId="1" fillId="3" fontId="6" numFmtId="0" xfId="0" applyAlignment="1" applyBorder="1" applyFill="1" applyFont="1">
      <alignment shrinkToFit="0" wrapText="1"/>
    </xf>
    <xf borderId="1" fillId="3" fontId="6" numFmtId="0" xfId="0" applyAlignment="1" applyBorder="1" applyFont="1">
      <alignment horizontal="center" readingOrder="0" shrinkToFit="0" wrapText="1"/>
    </xf>
    <xf borderId="1" fillId="3" fontId="7" numFmtId="0" xfId="0" applyAlignment="1" applyBorder="1" applyFont="1">
      <alignment horizontal="center"/>
    </xf>
    <xf borderId="1" fillId="3" fontId="6" numFmtId="0" xfId="0" applyAlignment="1" applyBorder="1" applyFont="1">
      <alignment horizontal="center" shrinkToFit="0" wrapText="1"/>
    </xf>
    <xf borderId="1" fillId="3" fontId="6" numFmtId="0" xfId="0" applyAlignment="1" applyBorder="1" applyFont="1">
      <alignment horizontal="center" readingOrder="0" shrinkToFit="0" vertical="bottom" wrapText="1"/>
    </xf>
    <xf borderId="2" fillId="3" fontId="6" numFmtId="0" xfId="0" applyAlignment="1" applyBorder="1" applyFont="1">
      <alignment horizontal="center" readingOrder="0" shrinkToFit="0" vertical="bottom" wrapText="1"/>
    </xf>
    <xf borderId="2" fillId="3" fontId="6" numFmtId="0" xfId="0" applyAlignment="1" applyBorder="1" applyFont="1">
      <alignment horizontal="center" shrinkToFit="0" vertical="bottom" wrapText="1"/>
    </xf>
    <xf borderId="3" fillId="4" fontId="3" numFmtId="0" xfId="0" applyAlignment="1" applyBorder="1" applyFill="1" applyFont="1">
      <alignment readingOrder="0" vertical="bottom"/>
    </xf>
    <xf borderId="3" fillId="5" fontId="8" numFmtId="0" xfId="0" applyAlignment="1" applyBorder="1" applyFill="1" applyFont="1">
      <alignment horizontal="center" readingOrder="0" vertical="bottom"/>
    </xf>
    <xf borderId="0" fillId="6" fontId="3" numFmtId="0" xfId="0" applyAlignment="1" applyFill="1" applyFont="1">
      <alignment readingOrder="0" shrinkToFit="0" vertical="bottom" wrapText="0"/>
    </xf>
    <xf borderId="3" fillId="2" fontId="9" numFmtId="0" xfId="0" applyAlignment="1" applyBorder="1" applyFont="1">
      <alignment horizontal="center" readingOrder="0" shrinkToFit="0" wrapText="1"/>
    </xf>
    <xf borderId="3" fillId="0" fontId="9" numFmtId="0" xfId="0" applyAlignment="1" applyBorder="1" applyFont="1">
      <alignment horizontal="center" readingOrder="0" shrinkToFit="0" wrapText="1"/>
    </xf>
    <xf borderId="3" fillId="2" fontId="9" numFmtId="10" xfId="0" applyAlignment="1" applyBorder="1" applyFont="1" applyNumberFormat="1">
      <alignment horizontal="center" vertical="bottom"/>
    </xf>
    <xf borderId="0" fillId="3" fontId="6" numFmtId="0" xfId="0" applyAlignment="1" applyFont="1">
      <alignment horizontal="center" readingOrder="0" shrinkToFit="0" wrapText="1"/>
    </xf>
    <xf borderId="3" fillId="2" fontId="3" numFmtId="0" xfId="0" applyAlignment="1" applyBorder="1" applyFont="1">
      <alignment horizontal="center" shrinkToFit="0" wrapText="1"/>
    </xf>
    <xf borderId="1" fillId="2" fontId="9" numFmtId="0" xfId="0" applyAlignment="1" applyBorder="1" applyFont="1">
      <alignment horizontal="center" vertical="bottom"/>
    </xf>
    <xf borderId="3" fillId="2" fontId="9" numFmtId="0" xfId="0" applyAlignment="1" applyBorder="1" applyFont="1">
      <alignment horizontal="left" readingOrder="0" shrinkToFit="0" wrapText="0"/>
    </xf>
    <xf borderId="3" fillId="5" fontId="8" numFmtId="0" xfId="0" applyAlignment="1" applyBorder="1" applyFont="1">
      <alignment horizontal="center" vertical="bottom"/>
    </xf>
    <xf borderId="0" fillId="2" fontId="9" numFmtId="0" xfId="0" applyAlignment="1" applyFont="1">
      <alignment horizontal="left" readingOrder="0" shrinkToFit="0" wrapText="0"/>
    </xf>
    <xf borderId="4" fillId="0" fontId="3" numFmtId="0" xfId="0" applyAlignment="1" applyBorder="1" applyFont="1">
      <alignment horizontal="center" shrinkToFit="0" vertical="bottom" wrapText="1"/>
    </xf>
    <xf borderId="4" fillId="0" fontId="3" numFmtId="164" xfId="0" applyAlignment="1" applyBorder="1" applyFont="1" applyNumberFormat="1">
      <alignment horizontal="center" shrinkToFit="0" vertical="bottom" wrapText="1"/>
    </xf>
    <xf borderId="3" fillId="2" fontId="3" numFmtId="0" xfId="0" applyAlignment="1" applyBorder="1" applyFont="1">
      <alignment readingOrder="0" vertical="bottom"/>
    </xf>
    <xf borderId="3" fillId="2" fontId="4" numFmtId="0" xfId="0" applyAlignment="1" applyBorder="1" applyFont="1">
      <alignment horizontal="center" vertical="bottom"/>
    </xf>
    <xf borderId="0" fillId="0" fontId="1" numFmtId="0" xfId="0" applyAlignment="1" applyFont="1">
      <alignment horizontal="right" vertical="bottom"/>
    </xf>
    <xf borderId="3" fillId="2" fontId="9" numFmtId="0" xfId="0" applyAlignment="1" applyBorder="1" applyFont="1">
      <alignment readingOrder="0" vertical="bottom"/>
    </xf>
    <xf borderId="5" fillId="3" fontId="6" numFmtId="0" xfId="0" applyAlignment="1" applyBorder="1" applyFont="1">
      <alignment readingOrder="0" shrinkToFit="0" vertical="bottom" wrapText="1"/>
    </xf>
    <xf borderId="5" fillId="3" fontId="1" numFmtId="0" xfId="0" applyAlignment="1" applyBorder="1" applyFont="1">
      <alignment vertical="bottom"/>
    </xf>
    <xf borderId="6" fillId="7" fontId="4" numFmtId="0" xfId="0" applyAlignment="1" applyBorder="1" applyFill="1" applyFont="1">
      <alignment horizontal="center" shrinkToFit="0" vertical="bottom" wrapText="1"/>
    </xf>
    <xf borderId="7" fillId="7" fontId="9" numFmtId="0" xfId="0" applyAlignment="1" applyBorder="1" applyFont="1">
      <alignment horizontal="center" shrinkToFit="0" vertical="bottom" wrapText="1"/>
    </xf>
    <xf borderId="5" fillId="3" fontId="10" numFmtId="0" xfId="0" applyAlignment="1" applyBorder="1" applyFont="1">
      <alignment vertical="bottom"/>
    </xf>
    <xf borderId="5" fillId="3" fontId="11" numFmtId="0" xfId="0" applyAlignment="1" applyBorder="1" applyFont="1">
      <alignment readingOrder="0" shrinkToFit="0" vertical="bottom" wrapText="0"/>
    </xf>
    <xf borderId="8" fillId="7" fontId="9" numFmtId="0" xfId="0" applyAlignment="1" applyBorder="1" applyFont="1">
      <alignment horizontal="center" vertical="bottom"/>
    </xf>
    <xf borderId="3" fillId="7" fontId="9" numFmtId="0" xfId="0" applyAlignment="1" applyBorder="1" applyFont="1">
      <alignment horizontal="center" vertical="bottom"/>
    </xf>
    <xf borderId="9" fillId="7" fontId="9" numFmtId="0" xfId="0" applyAlignment="1" applyBorder="1" applyFont="1">
      <alignment horizontal="center" vertical="bottom"/>
    </xf>
    <xf borderId="10" fillId="7" fontId="9" numFmtId="0" xfId="0" applyAlignment="1" applyBorder="1" applyFont="1">
      <alignment horizontal="center" vertical="bottom"/>
    </xf>
    <xf borderId="5" fillId="3" fontId="11" numFmtId="0" xfId="0" applyAlignment="1" applyBorder="1" applyFont="1">
      <alignment horizontal="center" vertical="bottom"/>
    </xf>
    <xf borderId="11" fillId="7" fontId="9" numFmtId="0" xfId="0" applyAlignment="1" applyBorder="1" applyFont="1">
      <alignment horizontal="center" vertical="bottom"/>
    </xf>
    <xf borderId="12" fillId="7" fontId="9" numFmtId="0" xfId="0" applyAlignment="1" applyBorder="1" applyFont="1">
      <alignment horizontal="center" vertical="bottom"/>
    </xf>
    <xf borderId="5" fillId="3" fontId="9" numFmtId="0" xfId="0" applyAlignment="1" applyBorder="1" applyFont="1">
      <alignment horizontal="center" vertical="bottom"/>
    </xf>
    <xf borderId="0" fillId="0" fontId="10" numFmtId="0" xfId="0" applyAlignment="1" applyFont="1">
      <alignment vertical="bottom"/>
    </xf>
    <xf borderId="0" fillId="2" fontId="10" numFmtId="0" xfId="0" applyAlignment="1" applyFont="1">
      <alignment vertical="bottom"/>
    </xf>
    <xf borderId="13" fillId="2" fontId="10" numFmtId="0" xfId="0" applyAlignment="1" applyBorder="1" applyFont="1">
      <alignment vertical="bottom"/>
    </xf>
    <xf borderId="14" fillId="3" fontId="11" numFmtId="0" xfId="0" applyAlignment="1" applyBorder="1" applyFont="1">
      <alignment readingOrder="0" shrinkToFit="0" vertical="bottom" wrapText="0"/>
    </xf>
    <xf borderId="2" fillId="3" fontId="11" numFmtId="0" xfId="0" applyAlignment="1" applyBorder="1" applyFont="1">
      <alignment shrinkToFit="0" vertical="bottom" wrapText="0"/>
    </xf>
    <xf borderId="4" fillId="2" fontId="4" numFmtId="0" xfId="0" applyAlignment="1" applyBorder="1" applyFont="1">
      <alignment horizontal="center" vertical="bottom"/>
    </xf>
    <xf borderId="0" fillId="2" fontId="12" numFmtId="0" xfId="0" applyAlignment="1" applyFont="1">
      <alignment vertical="bottom"/>
    </xf>
    <xf borderId="0" fillId="0" fontId="13" numFmtId="0" xfId="0" applyFont="1"/>
    <xf borderId="0" fillId="2" fontId="14" numFmtId="0" xfId="0" applyAlignment="1" applyFont="1">
      <alignment readingOrder="0" shrinkToFit="0" vertical="bottom" wrapText="0"/>
    </xf>
    <xf borderId="0" fillId="2" fontId="15" numFmtId="0" xfId="0" applyFont="1"/>
    <xf borderId="0" fillId="2" fontId="9" numFmtId="0" xfId="0" applyAlignment="1" applyFont="1">
      <alignment vertical="bottom"/>
    </xf>
    <xf borderId="0" fillId="2" fontId="12" numFmtId="0" xfId="0" applyAlignment="1" applyFont="1">
      <alignment shrinkToFit="0" vertical="bottom" wrapText="0"/>
    </xf>
    <xf borderId="0" fillId="2" fontId="9" numFmtId="0" xfId="0" applyAlignment="1" applyFont="1">
      <alignment shrinkToFit="0" vertical="bottom" wrapText="0"/>
    </xf>
    <xf borderId="0" fillId="2" fontId="11" numFmtId="0" xfId="0" applyAlignment="1" applyFont="1">
      <alignment vertical="bottom"/>
    </xf>
    <xf borderId="0" fillId="2" fontId="14" numFmtId="0" xfId="0" applyAlignment="1" applyFont="1">
      <alignment readingOrder="0" vertical="bottom"/>
    </xf>
    <xf borderId="0" fillId="2" fontId="15" numFmtId="0" xfId="0" applyFont="1"/>
    <xf borderId="15" fillId="0" fontId="16" numFmtId="0" xfId="0" applyAlignment="1" applyBorder="1" applyFont="1">
      <alignment readingOrder="0" shrinkToFit="0" vertical="bottom" wrapText="0"/>
    </xf>
    <xf borderId="16" fillId="0" fontId="3" numFmtId="0" xfId="0" applyAlignment="1" applyBorder="1" applyFont="1">
      <alignment vertical="bottom"/>
    </xf>
    <xf borderId="15" fillId="0" fontId="3" numFmtId="0" xfId="0" applyAlignment="1" applyBorder="1" applyFont="1">
      <alignment vertical="bottom"/>
    </xf>
    <xf borderId="15" fillId="0" fontId="5" numFmtId="0" xfId="0" applyAlignment="1" applyBorder="1" applyFont="1">
      <alignment horizontal="center" vertical="bottom"/>
    </xf>
    <xf borderId="16" fillId="8" fontId="5" numFmtId="0" xfId="0" applyAlignment="1" applyBorder="1" applyFill="1" applyFont="1">
      <alignment horizontal="center" vertical="top"/>
    </xf>
    <xf borderId="0" fillId="0" fontId="5" numFmtId="0" xfId="0" applyAlignment="1" applyFont="1">
      <alignment horizontal="right" vertical="bottom"/>
    </xf>
    <xf borderId="0" fillId="0" fontId="3" numFmtId="0" xfId="0" applyAlignment="1" applyFont="1">
      <alignment horizontal="right" readingOrder="0" vertical="bottom"/>
    </xf>
    <xf borderId="0" fillId="0" fontId="17" numFmtId="0" xfId="0" applyAlignment="1" applyFont="1">
      <alignment vertical="bottom"/>
    </xf>
    <xf borderId="17" fillId="0" fontId="1" numFmtId="16" xfId="0" applyAlignment="1" applyBorder="1" applyFont="1" applyNumberFormat="1">
      <alignment vertical="bottom"/>
    </xf>
    <xf borderId="0" fillId="0" fontId="1" numFmtId="0" xfId="0" applyAlignment="1" applyFont="1">
      <alignment readingOrder="0" vertical="bottom"/>
    </xf>
    <xf borderId="16" fillId="9" fontId="5" numFmtId="16" xfId="0" applyAlignment="1" applyBorder="1" applyFill="1" applyFont="1" applyNumberFormat="1">
      <alignment horizontal="center" vertical="top"/>
    </xf>
    <xf borderId="0" fillId="0" fontId="1" numFmtId="0" xfId="0" applyAlignment="1" applyFont="1">
      <alignment vertical="bottom"/>
    </xf>
    <xf borderId="0" fillId="7" fontId="5" numFmtId="0" xfId="0" applyAlignment="1" applyFont="1">
      <alignment horizontal="center" vertical="bottom"/>
    </xf>
    <xf borderId="0" fillId="7" fontId="5" numFmtId="0" xfId="0" applyAlignment="1" applyFont="1">
      <alignment horizontal="center" vertical="bottom"/>
    </xf>
    <xf borderId="0" fillId="0" fontId="5" numFmtId="0" xfId="0" applyAlignment="1" applyFont="1">
      <alignment horizontal="center" vertical="bottom"/>
    </xf>
    <xf borderId="0" fillId="3" fontId="6" numFmtId="0" xfId="0" applyAlignment="1" applyFont="1">
      <alignment horizontal="center" shrinkToFit="0" vertical="bottom" wrapText="1"/>
    </xf>
    <xf borderId="0" fillId="3" fontId="6" numFmtId="0" xfId="0" applyAlignment="1" applyFont="1">
      <alignment horizontal="center" shrinkToFit="0" vertical="bottom" wrapText="1"/>
    </xf>
    <xf borderId="0" fillId="3" fontId="6" numFmtId="164" xfId="0" applyAlignment="1" applyFont="1" applyNumberFormat="1">
      <alignment horizontal="center" shrinkToFit="0" vertical="bottom" wrapText="1"/>
    </xf>
    <xf borderId="0" fillId="0" fontId="3" numFmtId="0" xfId="0" applyAlignment="1" applyFont="1">
      <alignment horizontal="center" shrinkToFit="0" vertical="bottom" wrapText="1"/>
    </xf>
    <xf borderId="0" fillId="0" fontId="3" numFmtId="0" xfId="0" applyAlignment="1" applyFont="1">
      <alignment horizontal="center" vertical="bottom"/>
    </xf>
    <xf borderId="0" fillId="0" fontId="3" numFmtId="165" xfId="0" applyAlignment="1" applyFont="1" applyNumberFormat="1">
      <alignment horizontal="center" vertical="bottom"/>
    </xf>
    <xf borderId="0" fillId="0" fontId="3" numFmtId="164" xfId="0" applyAlignment="1" applyFont="1" applyNumberFormat="1">
      <alignment horizontal="center" vertical="bottom"/>
    </xf>
    <xf borderId="0" fillId="0" fontId="3" numFmtId="0" xfId="0" applyAlignment="1" applyFont="1">
      <alignment horizontal="center" vertical="bottom"/>
    </xf>
    <xf borderId="0" fillId="0" fontId="3" numFmtId="166" xfId="0" applyAlignment="1" applyFont="1" applyNumberFormat="1">
      <alignment horizontal="center" readingOrder="0" vertical="bottom"/>
    </xf>
    <xf borderId="0" fillId="0" fontId="3" numFmtId="0" xfId="0" applyAlignment="1" applyFont="1">
      <alignment horizontal="center" readingOrder="0" vertical="bottom"/>
    </xf>
    <xf borderId="0" fillId="0" fontId="1" numFmtId="0" xfId="0" applyAlignment="1" applyFont="1">
      <alignment horizontal="center" readingOrder="0" vertical="bottom"/>
    </xf>
    <xf borderId="0" fillId="0" fontId="1" numFmtId="0" xfId="0" applyAlignment="1" applyFont="1">
      <alignment horizontal="center" vertical="bottom"/>
    </xf>
    <xf borderId="0" fillId="0" fontId="3" numFmtId="0" xfId="0" applyAlignment="1" applyFont="1">
      <alignment shrinkToFit="0" vertical="bottom" wrapText="1"/>
    </xf>
    <xf borderId="0" fillId="2" fontId="1" numFmtId="0" xfId="0" applyAlignment="1" applyFont="1">
      <alignment vertical="bottom"/>
    </xf>
    <xf borderId="15" fillId="0" fontId="18" numFmtId="0" xfId="0" applyAlignment="1" applyBorder="1" applyFont="1">
      <alignment readingOrder="0" shrinkToFit="0" vertical="bottom" wrapText="0"/>
    </xf>
    <xf borderId="16" fillId="8" fontId="5" numFmtId="0" xfId="0" applyAlignment="1" applyBorder="1" applyFont="1">
      <alignment horizontal="center" readingOrder="0" vertical="top"/>
    </xf>
    <xf borderId="0" fillId="0" fontId="5" numFmtId="0" xfId="0" applyAlignment="1" applyFont="1">
      <alignment readingOrder="0" vertical="bottom"/>
    </xf>
    <xf borderId="0" fillId="0" fontId="5" numFmtId="0" xfId="0" applyAlignment="1" applyFont="1">
      <alignment horizontal="center" vertical="bottom"/>
    </xf>
    <xf borderId="3" fillId="3" fontId="6" numFmtId="0" xfId="0" applyAlignment="1" applyBorder="1" applyFont="1">
      <alignment horizontal="center" shrinkToFit="0" wrapText="1"/>
    </xf>
    <xf borderId="3" fillId="0" fontId="3" numFmtId="0" xfId="0" applyAlignment="1" applyBorder="1" applyFont="1">
      <alignment horizontal="center" readingOrder="0" vertical="bottom"/>
    </xf>
    <xf borderId="3" fillId="0" fontId="3" numFmtId="0" xfId="0" applyAlignment="1" applyBorder="1" applyFont="1">
      <alignment readingOrder="0" vertical="bottom"/>
    </xf>
    <xf quotePrefix="1" borderId="3" fillId="0" fontId="3" numFmtId="0" xfId="0" applyAlignment="1" applyBorder="1" applyFont="1">
      <alignment horizontal="center" readingOrder="0" vertical="bottom"/>
    </xf>
    <xf borderId="3" fillId="0" fontId="19" numFmtId="0" xfId="0" applyAlignment="1" applyBorder="1" applyFont="1">
      <alignment horizontal="center" readingOrder="0" vertical="bottom"/>
    </xf>
    <xf borderId="0" fillId="0" fontId="1" numFmtId="165" xfId="0" applyAlignment="1" applyFont="1" applyNumberFormat="1">
      <alignment horizontal="right" readingOrder="0" vertical="bottom"/>
    </xf>
    <xf borderId="0" fillId="0" fontId="13" numFmtId="165" xfId="0" applyAlignment="1" applyFont="1" applyNumberFormat="1">
      <alignment readingOrder="0"/>
    </xf>
    <xf borderId="0" fillId="0" fontId="13" numFmtId="0" xfId="0" applyAlignment="1" applyFont="1">
      <alignment readingOrder="0"/>
    </xf>
    <xf borderId="0" fillId="0" fontId="13" numFmtId="0" xfId="0" applyAlignment="1" applyFont="1">
      <alignment readingOrder="0"/>
    </xf>
    <xf borderId="0" fillId="3" fontId="10" numFmtId="0" xfId="0" applyAlignment="1" applyFont="1">
      <alignment vertical="bottom"/>
    </xf>
    <xf borderId="3" fillId="2" fontId="8" numFmtId="0" xfId="0" applyAlignment="1" applyBorder="1" applyFont="1">
      <alignment horizontal="center" vertical="bottom"/>
    </xf>
    <xf borderId="0" fillId="3" fontId="6" numFmtId="0" xfId="0" applyAlignment="1" applyFont="1">
      <alignment vertical="bottom"/>
    </xf>
    <xf borderId="0" fillId="3" fontId="11" numFmtId="0" xfId="0" applyAlignment="1" applyFont="1">
      <alignment vertical="bottom"/>
    </xf>
    <xf borderId="0" fillId="3" fontId="6" numFmtId="49" xfId="0" applyAlignment="1" applyFont="1" applyNumberFormat="1">
      <alignment horizontal="center" vertical="bottom"/>
    </xf>
    <xf borderId="0" fillId="0" fontId="1" numFmtId="165" xfId="0" applyAlignment="1" applyFont="1" applyNumberFormat="1">
      <alignment horizontal="right" vertical="bottom"/>
    </xf>
    <xf borderId="0" fillId="0" fontId="1" numFmtId="0" xfId="0" applyAlignment="1" applyFont="1">
      <alignment horizontal="center" vertical="bottom"/>
    </xf>
    <xf quotePrefix="1" borderId="0" fillId="0" fontId="1" numFmtId="0" xfId="0" applyAlignment="1" applyFont="1">
      <alignment vertical="bottom"/>
    </xf>
    <xf borderId="0" fillId="0" fontId="13" numFmtId="165" xfId="0" applyFont="1" applyNumberFormat="1"/>
    <xf borderId="0" fillId="0" fontId="20" numFmtId="10" xfId="0" applyAlignment="1" applyFont="1" applyNumberFormat="1">
      <alignment readingOrder="0"/>
    </xf>
    <xf borderId="0" fillId="0" fontId="20" numFmtId="0" xfId="0" applyAlignment="1" applyFont="1">
      <alignment readingOrder="0"/>
    </xf>
    <xf borderId="0" fillId="0" fontId="20" numFmtId="0" xfId="0" applyFont="1"/>
    <xf borderId="0" fillId="0" fontId="21" numFmtId="0" xfId="0" applyAlignment="1" applyFont="1">
      <alignment vertical="bottom"/>
    </xf>
    <xf borderId="0" fillId="0" fontId="22" numFmtId="0" xfId="0" applyAlignment="1" applyFont="1">
      <alignment horizontal="right" vertical="bottom"/>
    </xf>
    <xf borderId="3" fillId="0" fontId="3" numFmtId="0" xfId="0" applyAlignment="1" applyBorder="1" applyFont="1">
      <alignment horizontal="center" shrinkToFit="0" vertical="bottom" wrapText="1"/>
    </xf>
    <xf borderId="0" fillId="0" fontId="1" numFmtId="0" xfId="0" applyAlignment="1" applyFont="1">
      <alignment horizontal="right" vertical="bottom"/>
    </xf>
    <xf borderId="0" fillId="0" fontId="1" numFmtId="10" xfId="0" applyAlignment="1" applyFont="1" applyNumberFormat="1">
      <alignment horizontal="right" vertical="bottom"/>
    </xf>
    <xf borderId="0" fillId="0" fontId="22" numFmtId="10" xfId="0" applyAlignment="1" applyFont="1" applyNumberFormat="1">
      <alignment vertical="bottom"/>
    </xf>
    <xf borderId="0" fillId="0" fontId="23" numFmtId="0" xfId="0" applyFont="1"/>
    <xf borderId="0" fillId="0" fontId="22" numFmtId="0" xfId="0" applyAlignment="1" applyFont="1">
      <alignment vertical="bottom"/>
    </xf>
    <xf borderId="3" fillId="0" fontId="3" numFmtId="167" xfId="0" applyAlignment="1" applyBorder="1" applyFont="1" applyNumberFormat="1">
      <alignment horizontal="center" vertical="bottom"/>
    </xf>
    <xf borderId="0" fillId="0" fontId="1" numFmtId="167" xfId="0" applyAlignment="1" applyFont="1" applyNumberFormat="1">
      <alignment horizontal="right" vertical="bottom"/>
    </xf>
    <xf borderId="0" fillId="0" fontId="1" numFmtId="0" xfId="0" applyAlignment="1" applyFont="1">
      <alignment horizontal="right" readingOrder="0" vertical="bottom"/>
    </xf>
    <xf borderId="0" fillId="2" fontId="24" numFmtId="0" xfId="0" applyAlignment="1" applyFont="1">
      <alignment vertical="bottom"/>
    </xf>
    <xf quotePrefix="1" borderId="0" fillId="0" fontId="1" numFmtId="0" xfId="0" applyAlignment="1" applyFont="1">
      <alignment vertical="bottom"/>
    </xf>
    <xf borderId="0" fillId="0" fontId="25" numFmtId="0" xfId="0" applyAlignment="1" applyFont="1">
      <alignment vertical="bottom"/>
    </xf>
    <xf borderId="0" fillId="0" fontId="1" numFmtId="0" xfId="0" applyAlignment="1" applyFont="1">
      <alignment vertical="top"/>
    </xf>
    <xf borderId="0" fillId="0" fontId="25" numFmtId="0" xfId="0" applyAlignment="1" applyFont="1">
      <alignment readingOrder="0" vertical="bottom"/>
    </xf>
    <xf borderId="13" fillId="0" fontId="1" numFmtId="0" xfId="0" applyAlignment="1" applyBorder="1" applyFont="1">
      <alignment vertical="bottom"/>
    </xf>
    <xf borderId="1" fillId="3" fontId="6" numFmtId="0" xfId="0" applyAlignment="1" applyBorder="1" applyFont="1">
      <alignment shrinkToFit="0" vertical="bottom" wrapText="1"/>
    </xf>
    <xf borderId="4" fillId="3" fontId="6" numFmtId="0" xfId="0" applyAlignment="1" applyBorder="1" applyFont="1">
      <alignment shrinkToFit="0" vertical="bottom" wrapText="1"/>
    </xf>
    <xf borderId="0" fillId="3" fontId="6" numFmtId="0" xfId="0" applyAlignment="1" applyFont="1">
      <alignment readingOrder="0" shrinkToFit="0" vertical="bottom" wrapText="1"/>
    </xf>
    <xf borderId="4" fillId="3" fontId="6" numFmtId="0" xfId="0" applyAlignment="1" applyBorder="1" applyFont="1">
      <alignment horizontal="center" shrinkToFit="0" vertical="bottom" wrapText="1"/>
    </xf>
    <xf borderId="3" fillId="3" fontId="6" numFmtId="0" xfId="0" applyAlignment="1" applyBorder="1" applyFont="1">
      <alignment shrinkToFit="0" vertical="bottom" wrapText="1"/>
    </xf>
    <xf borderId="3" fillId="3" fontId="6" numFmtId="0" xfId="0" applyAlignment="1" applyBorder="1" applyFont="1">
      <alignment readingOrder="0" shrinkToFit="0" vertical="bottom" wrapText="1"/>
    </xf>
    <xf borderId="0" fillId="2" fontId="13" numFmtId="0" xfId="0" applyFont="1"/>
    <xf borderId="0" fillId="2" fontId="23" numFmtId="0" xfId="0" applyFont="1"/>
    <xf borderId="0" fillId="2" fontId="13" numFmtId="0" xfId="0" applyAlignment="1" applyFont="1">
      <alignment readingOrder="0"/>
    </xf>
    <xf borderId="14" fillId="2" fontId="3" numFmtId="0" xfId="0" applyAlignment="1" applyBorder="1" applyFont="1">
      <alignment horizontal="center" vertical="bottom"/>
    </xf>
    <xf borderId="3" fillId="0" fontId="26" numFmtId="0" xfId="0" applyAlignment="1" applyBorder="1" applyFont="1">
      <alignment shrinkToFit="0" vertical="bottom" wrapText="0"/>
    </xf>
    <xf borderId="3" fillId="0" fontId="27" numFmtId="0" xfId="0" applyAlignment="1" applyBorder="1" applyFont="1">
      <alignment shrinkToFit="0" vertical="bottom" wrapText="0"/>
    </xf>
    <xf borderId="3" fillId="0" fontId="1" numFmtId="0" xfId="0" applyAlignment="1" applyBorder="1" applyFont="1">
      <alignment shrinkToFit="0" vertical="bottom" wrapText="0"/>
    </xf>
    <xf borderId="0" fillId="0" fontId="1" numFmtId="0" xfId="0" applyAlignment="1" applyFont="1">
      <alignment shrinkToFit="0" vertical="bottom" wrapText="0"/>
    </xf>
    <xf quotePrefix="1" borderId="0" fillId="0" fontId="13" numFmtId="0" xfId="0" applyAlignment="1" applyFont="1">
      <alignment readingOrder="0"/>
    </xf>
    <xf quotePrefix="1" borderId="0" fillId="0" fontId="1" numFmtId="0" xfId="0" applyAlignment="1" applyFont="1">
      <alignment readingOrder="0" shrinkToFit="0" vertical="bottom" wrapText="0"/>
    </xf>
    <xf borderId="0" fillId="0" fontId="13" numFmtId="0" xfId="0" applyFont="1"/>
    <xf borderId="2" fillId="10" fontId="3" numFmtId="0" xfId="0" applyAlignment="1" applyBorder="1" applyFill="1" applyFont="1">
      <alignment horizontal="center" shrinkToFit="0" vertical="bottom" wrapText="1"/>
    </xf>
    <xf borderId="4" fillId="3" fontId="1" numFmtId="0" xfId="0" applyAlignment="1" applyBorder="1" applyFont="1">
      <alignment vertical="bottom"/>
    </xf>
    <xf borderId="5" fillId="7" fontId="9" numFmtId="0" xfId="0" applyAlignment="1" applyBorder="1" applyFont="1">
      <alignment horizontal="center" vertical="bottom"/>
    </xf>
    <xf borderId="4" fillId="7" fontId="9" numFmtId="0" xfId="0" applyAlignment="1" applyBorder="1" applyFont="1">
      <alignment horizontal="center" vertical="bottom"/>
    </xf>
    <xf borderId="14" fillId="3" fontId="11" numFmtId="0" xfId="0" applyAlignment="1" applyBorder="1" applyFont="1">
      <alignment shrinkToFit="0" vertical="bottom" wrapText="0"/>
    </xf>
    <xf borderId="18" fillId="2" fontId="12" numFmtId="0" xfId="0" applyAlignment="1" applyBorder="1" applyFont="1">
      <alignment vertical="bottom"/>
    </xf>
    <xf borderId="18" fillId="2" fontId="15" numFmtId="0" xfId="0" applyBorder="1" applyFont="1"/>
    <xf borderId="0" fillId="2" fontId="28" numFmtId="0" xfId="0" applyAlignment="1" applyFont="1">
      <alignment readingOrder="0" shrinkToFit="0" vertical="bottom" wrapText="0"/>
    </xf>
    <xf borderId="2" fillId="2" fontId="4" numFmtId="0" xfId="0" applyAlignment="1" applyBorder="1" applyFont="1">
      <alignment horizontal="center" vertical="bottom"/>
    </xf>
    <xf borderId="19" fillId="2" fontId="12" numFmtId="0" xfId="0" applyAlignment="1" applyBorder="1" applyFont="1">
      <alignment vertical="bottom"/>
    </xf>
    <xf borderId="19" fillId="2" fontId="15" numFmtId="0" xfId="0" applyBorder="1" applyFont="1"/>
    <xf borderId="0" fillId="2" fontId="29" numFmtId="0" xfId="0" applyAlignment="1" applyFont="1">
      <alignment readingOrder="0" vertical="bottom"/>
    </xf>
    <xf borderId="2" fillId="3" fontId="11" numFmtId="0" xfId="0" applyAlignment="1" applyBorder="1" applyFont="1">
      <alignment readingOrder="0" shrinkToFit="0" vertical="bottom" wrapText="0"/>
    </xf>
    <xf borderId="0" fillId="2" fontId="11" numFmtId="0" xfId="0" applyAlignment="1" applyFont="1">
      <alignment readingOrder="0" shrinkToFit="0" vertical="bottom" wrapText="0"/>
    </xf>
    <xf borderId="0" fillId="2" fontId="4" numFmtId="0" xfId="0" applyAlignment="1" applyFont="1">
      <alignment horizontal="center" vertical="bottom"/>
    </xf>
    <xf borderId="0" fillId="0" fontId="1" numFmtId="0" xfId="0" applyAlignment="1" applyFont="1">
      <alignment readingOrder="0" shrinkToFit="0" vertical="bottom" wrapText="0"/>
    </xf>
    <xf borderId="0" fillId="2" fontId="3" numFmtId="0" xfId="0" applyAlignment="1" applyFont="1">
      <alignment readingOrder="0" vertical="bottom"/>
    </xf>
    <xf borderId="0" fillId="0" fontId="30" numFmtId="0" xfId="0" applyAlignment="1" applyFont="1">
      <alignment readingOrder="0"/>
    </xf>
    <xf borderId="0" fillId="2" fontId="9" numFmtId="0" xfId="0" applyAlignment="1" applyFont="1">
      <alignment readingOrder="0" vertical="bottom"/>
    </xf>
    <xf borderId="0" fillId="2" fontId="3" numFmtId="0" xfId="0" applyAlignment="1" applyFont="1">
      <alignment horizontal="center" vertical="bottom"/>
    </xf>
    <xf borderId="0" fillId="0" fontId="3" numFmtId="0" xfId="0" applyAlignment="1" applyFont="1">
      <alignment horizontal="left" readingOrder="0" shrinkToFit="0" wrapText="0"/>
    </xf>
    <xf borderId="0" fillId="0" fontId="13" numFmtId="0" xfId="0" applyAlignment="1" applyFont="1">
      <alignment shrinkToFit="0" wrapText="0"/>
    </xf>
    <xf borderId="3" fillId="3" fontId="6" numFmtId="0" xfId="0" applyAlignment="1" applyBorder="1" applyFont="1">
      <alignment shrinkToFit="0" vertical="bottom" wrapText="1"/>
    </xf>
    <xf borderId="3" fillId="0" fontId="1" numFmtId="0" xfId="0" applyAlignment="1" applyBorder="1" applyFont="1">
      <alignment vertical="bottom"/>
    </xf>
    <xf borderId="0" fillId="0" fontId="13" numFmtId="10" xfId="0" applyFont="1" applyNumberFormat="1"/>
    <xf borderId="0" fillId="0" fontId="13" numFmtId="167" xfId="0" applyFont="1" applyNumberFormat="1"/>
    <xf borderId="0" fillId="0" fontId="3" numFmtId="0" xfId="0" applyAlignment="1" applyFont="1">
      <alignment horizontal="center" shrinkToFit="0" vertical="bottom" wrapText="1"/>
    </xf>
    <xf borderId="0" fillId="0" fontId="3" numFmtId="167" xfId="0" applyAlignment="1" applyFont="1" applyNumberFormat="1">
      <alignment horizontal="center" vertical="bottom"/>
    </xf>
    <xf borderId="3" fillId="0" fontId="31" numFmtId="0" xfId="0" applyAlignment="1" applyBorder="1" applyFont="1">
      <alignment vertical="bottom"/>
    </xf>
  </cellXfs>
  <cellStyles count="1">
    <cellStyle xfId="0" name="Normal" builtinId="0"/>
  </cellStyles>
  <dxfs count="14">
    <dxf>
      <font/>
      <fill>
        <patternFill patternType="solid">
          <fgColor rgb="FFD9D9D9"/>
          <bgColor rgb="FFD9D9D9"/>
        </patternFill>
      </fill>
      <border/>
    </dxf>
    <dxf>
      <font/>
      <fill>
        <patternFill patternType="solid">
          <fgColor rgb="FF8E7CC3"/>
          <bgColor rgb="FF8E7CC3"/>
        </patternFill>
      </fill>
      <border/>
    </dxf>
    <dxf>
      <font>
        <color rgb="FF000000"/>
      </font>
      <fill>
        <patternFill patternType="solid">
          <fgColor rgb="FF999999"/>
          <bgColor rgb="FF999999"/>
        </patternFill>
      </fill>
      <border/>
    </dxf>
    <dxf>
      <font/>
      <fill>
        <patternFill patternType="solid">
          <fgColor rgb="FFF6B26B"/>
          <bgColor rgb="FFF6B26B"/>
        </patternFill>
      </fill>
      <border/>
    </dxf>
    <dxf>
      <font>
        <color rgb="FF000000"/>
      </font>
      <fill>
        <patternFill patternType="solid">
          <fgColor rgb="FFFFD966"/>
          <bgColor rgb="FFFFD966"/>
        </patternFill>
      </fill>
      <border/>
    </dxf>
    <dxf>
      <font>
        <color rgb="FF000000"/>
      </font>
      <fill>
        <patternFill patternType="solid">
          <fgColor rgb="FFF4CCCC"/>
          <bgColor rgb="FFF4CCCC"/>
        </patternFill>
      </fill>
      <border/>
    </dxf>
    <dxf>
      <font>
        <color rgb="FF000000"/>
      </font>
      <fill>
        <patternFill patternType="solid">
          <fgColor rgb="FFFEF2CB"/>
          <bgColor rgb="FFFEF2CB"/>
        </patternFill>
      </fill>
      <border/>
    </dxf>
    <dxf>
      <font>
        <color rgb="FF000000"/>
      </font>
      <fill>
        <patternFill patternType="solid">
          <fgColor rgb="FFC5E0B3"/>
          <bgColor rgb="FFC5E0B3"/>
        </patternFill>
      </fill>
      <border/>
    </dxf>
    <dxf>
      <font/>
      <fill>
        <patternFill patternType="solid">
          <fgColor rgb="FFBDD6EE"/>
          <bgColor rgb="FFBDD6EE"/>
        </patternFill>
      </fill>
      <border/>
    </dxf>
    <dxf>
      <font/>
      <fill>
        <patternFill patternType="solid">
          <fgColor rgb="FF00FF00"/>
          <bgColor rgb="FF00FF00"/>
        </patternFill>
      </fill>
      <border/>
    </dxf>
    <dxf>
      <font>
        <color rgb="FF000000"/>
      </font>
      <fill>
        <patternFill patternType="solid">
          <fgColor rgb="FFFFFAEB"/>
          <bgColor rgb="FFFFFAEB"/>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glpredictions.com/" TargetMode="External"/><Relationship Id="rId2" Type="http://schemas.openxmlformats.org/officeDocument/2006/relationships/hyperlink" Target="https://docs.google.com/spreadsheets/u/0/d/1DZ1y71E3DwwmgV43534n1GEgck-GMDnV7im2mbaHCWE/edi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sealeddeck.tech/zYMCMyA5Pz" TargetMode="External"/><Relationship Id="rId42" Type="http://schemas.openxmlformats.org/officeDocument/2006/relationships/hyperlink" Target="https://sealeddeck.tech/W9gvvnYCuy" TargetMode="External"/><Relationship Id="rId41" Type="http://schemas.openxmlformats.org/officeDocument/2006/relationships/hyperlink" Target="https://sealeddeck.tech/Un8Em2Z5cy" TargetMode="External"/><Relationship Id="rId44" Type="http://schemas.openxmlformats.org/officeDocument/2006/relationships/hyperlink" Target="https://sealeddeck.tech/1fWWuXQtrt" TargetMode="External"/><Relationship Id="rId43" Type="http://schemas.openxmlformats.org/officeDocument/2006/relationships/hyperlink" Target="https://sealeddeck.tech/Q56GUsfuda" TargetMode="External"/><Relationship Id="rId46" Type="http://schemas.openxmlformats.org/officeDocument/2006/relationships/hyperlink" Target="https://sealeddeck.tech/CVMbUF8AWc" TargetMode="External"/><Relationship Id="rId45" Type="http://schemas.openxmlformats.org/officeDocument/2006/relationships/hyperlink" Target="https://sealeddeck.tech/4rSAfy7UWk" TargetMode="External"/><Relationship Id="rId107" Type="http://schemas.openxmlformats.org/officeDocument/2006/relationships/hyperlink" Target="https://sealeddeck.tech/asQwNoSqfo" TargetMode="External"/><Relationship Id="rId106" Type="http://schemas.openxmlformats.org/officeDocument/2006/relationships/hyperlink" Target="https://sealeddeck.tech/jne1bqaDn7" TargetMode="External"/><Relationship Id="rId105" Type="http://schemas.openxmlformats.org/officeDocument/2006/relationships/hyperlink" Target="https://sealeddeck.tech/kHvGKNVT79" TargetMode="External"/><Relationship Id="rId104" Type="http://schemas.openxmlformats.org/officeDocument/2006/relationships/hyperlink" Target="https://sealeddeck.tech/7cdfYbpchD" TargetMode="External"/><Relationship Id="rId109" Type="http://schemas.openxmlformats.org/officeDocument/2006/relationships/hyperlink" Target="https://sealeddeck.tech/8N83rGiBFD" TargetMode="External"/><Relationship Id="rId108" Type="http://schemas.openxmlformats.org/officeDocument/2006/relationships/hyperlink" Target="https://sealeddeck.tech/JC93Tv6K4o" TargetMode="External"/><Relationship Id="rId48" Type="http://schemas.openxmlformats.org/officeDocument/2006/relationships/hyperlink" Target="https://sealeddeck.tech/nFqDgDVLGK" TargetMode="External"/><Relationship Id="rId47" Type="http://schemas.openxmlformats.org/officeDocument/2006/relationships/hyperlink" Target="https://sealeddeck.tech/9QSgiR5X1k" TargetMode="External"/><Relationship Id="rId49" Type="http://schemas.openxmlformats.org/officeDocument/2006/relationships/hyperlink" Target="https://sealeddeck.tech/Tc4UV6nCVr" TargetMode="External"/><Relationship Id="rId103" Type="http://schemas.openxmlformats.org/officeDocument/2006/relationships/hyperlink" Target="https://sealeddeck.tech/4aqzyb9MbC" TargetMode="External"/><Relationship Id="rId102" Type="http://schemas.openxmlformats.org/officeDocument/2006/relationships/hyperlink" Target="https://sealeddeck.tech/d4vjLiY6Rt" TargetMode="External"/><Relationship Id="rId101" Type="http://schemas.openxmlformats.org/officeDocument/2006/relationships/hyperlink" Target="https://sealeddeck.tech/JRUNe8UZ9s" TargetMode="External"/><Relationship Id="rId100" Type="http://schemas.openxmlformats.org/officeDocument/2006/relationships/hyperlink" Target="https://sealeddeck.tech/3MFRc2k4jn" TargetMode="External"/><Relationship Id="rId31" Type="http://schemas.openxmlformats.org/officeDocument/2006/relationships/hyperlink" Target="https://sealeddeck.tech/K7uXA9eyCC" TargetMode="External"/><Relationship Id="rId30" Type="http://schemas.openxmlformats.org/officeDocument/2006/relationships/hyperlink" Target="https://sealeddeck.tech/iV7v2Ba45F" TargetMode="External"/><Relationship Id="rId33" Type="http://schemas.openxmlformats.org/officeDocument/2006/relationships/hyperlink" Target="https://sealeddeck.tech/3UwN7EsSjH" TargetMode="External"/><Relationship Id="rId32" Type="http://schemas.openxmlformats.org/officeDocument/2006/relationships/hyperlink" Target="https://sealeddeck.tech/s7PMMKW6eK" TargetMode="External"/><Relationship Id="rId35" Type="http://schemas.openxmlformats.org/officeDocument/2006/relationships/hyperlink" Target="https://sealeddeck.tech/VgiynHWkrC" TargetMode="External"/><Relationship Id="rId34" Type="http://schemas.openxmlformats.org/officeDocument/2006/relationships/hyperlink" Target="https://sealeddeck.tech/SUj3zpeWbi" TargetMode="External"/><Relationship Id="rId37" Type="http://schemas.openxmlformats.org/officeDocument/2006/relationships/hyperlink" Target="https://sealeddeck.tech/nCtJRWtfT7" TargetMode="External"/><Relationship Id="rId36" Type="http://schemas.openxmlformats.org/officeDocument/2006/relationships/hyperlink" Target="https://sealeddeck.tech/7Utt63XssJ" TargetMode="External"/><Relationship Id="rId39" Type="http://schemas.openxmlformats.org/officeDocument/2006/relationships/hyperlink" Target="https://sealeddeck.tech/4DcHEmBGU2" TargetMode="External"/><Relationship Id="rId38" Type="http://schemas.openxmlformats.org/officeDocument/2006/relationships/hyperlink" Target="https://sealeddeck.tech/buJrXdmBVR" TargetMode="External"/><Relationship Id="rId173" Type="http://schemas.openxmlformats.org/officeDocument/2006/relationships/drawing" Target="../drawings/drawing12.xml"/><Relationship Id="rId20" Type="http://schemas.openxmlformats.org/officeDocument/2006/relationships/hyperlink" Target="https://sealeddeck.tech/zY7TmRP9RY" TargetMode="External"/><Relationship Id="rId22" Type="http://schemas.openxmlformats.org/officeDocument/2006/relationships/hyperlink" Target="https://sealeddeck.tech/XcU4oV5UHs" TargetMode="External"/><Relationship Id="rId21" Type="http://schemas.openxmlformats.org/officeDocument/2006/relationships/hyperlink" Target="https://sealeddeck.tech/swZVariY6V" TargetMode="External"/><Relationship Id="rId24" Type="http://schemas.openxmlformats.org/officeDocument/2006/relationships/hyperlink" Target="https://sealeddeck.tech/vX3j2bbF7e" TargetMode="External"/><Relationship Id="rId23" Type="http://schemas.openxmlformats.org/officeDocument/2006/relationships/hyperlink" Target="https://sealeddeck.tech/aVUVx2Ljn5" TargetMode="External"/><Relationship Id="rId129" Type="http://schemas.openxmlformats.org/officeDocument/2006/relationships/hyperlink" Target="https://sealeddeck.tech/mXbUVHmFJ1" TargetMode="External"/><Relationship Id="rId128" Type="http://schemas.openxmlformats.org/officeDocument/2006/relationships/hyperlink" Target="https://sealeddeck.tech/KqZoZrwQLx" TargetMode="External"/><Relationship Id="rId127" Type="http://schemas.openxmlformats.org/officeDocument/2006/relationships/hyperlink" Target="https://sealeddeck.tech/s7y8B4Ap5J" TargetMode="External"/><Relationship Id="rId126" Type="http://schemas.openxmlformats.org/officeDocument/2006/relationships/hyperlink" Target="https://sealeddeck.tech/mNZyUPYGC6" TargetMode="External"/><Relationship Id="rId26" Type="http://schemas.openxmlformats.org/officeDocument/2006/relationships/hyperlink" Target="https://sealeddeck.tech/Z3QVLy1guZ" TargetMode="External"/><Relationship Id="rId121" Type="http://schemas.openxmlformats.org/officeDocument/2006/relationships/hyperlink" Target="https://sealeddeck.tech/bw4Hjn3Bst" TargetMode="External"/><Relationship Id="rId25" Type="http://schemas.openxmlformats.org/officeDocument/2006/relationships/hyperlink" Target="https://sealeddeck.tech/TDoLFbRVam" TargetMode="External"/><Relationship Id="rId120" Type="http://schemas.openxmlformats.org/officeDocument/2006/relationships/hyperlink" Target="https://sealeddeck.tech/WWochZf46h" TargetMode="External"/><Relationship Id="rId28" Type="http://schemas.openxmlformats.org/officeDocument/2006/relationships/hyperlink" Target="https://sealeddeck.tech/8yuBthpS8R" TargetMode="External"/><Relationship Id="rId27" Type="http://schemas.openxmlformats.org/officeDocument/2006/relationships/hyperlink" Target="https://sealeddeck.tech/1yJQMqVkEY" TargetMode="External"/><Relationship Id="rId125" Type="http://schemas.openxmlformats.org/officeDocument/2006/relationships/hyperlink" Target="https://sealeddeck.tech/YsQkVqZ7La" TargetMode="External"/><Relationship Id="rId29" Type="http://schemas.openxmlformats.org/officeDocument/2006/relationships/hyperlink" Target="https://sealeddeck.tech/VFWkQkWkQX" TargetMode="External"/><Relationship Id="rId124" Type="http://schemas.openxmlformats.org/officeDocument/2006/relationships/hyperlink" Target="https://sealeddeck.tech/HjL9iPehjn" TargetMode="External"/><Relationship Id="rId123" Type="http://schemas.openxmlformats.org/officeDocument/2006/relationships/hyperlink" Target="https://sealeddeck.tech/eShmfkA2DS" TargetMode="External"/><Relationship Id="rId122" Type="http://schemas.openxmlformats.org/officeDocument/2006/relationships/hyperlink" Target="https://sealeddeck.tech/mSKJcuqbHi" TargetMode="External"/><Relationship Id="rId95" Type="http://schemas.openxmlformats.org/officeDocument/2006/relationships/hyperlink" Target="https://sealeddeck.tech/HP4jTHuaqw" TargetMode="External"/><Relationship Id="rId94" Type="http://schemas.openxmlformats.org/officeDocument/2006/relationships/hyperlink" Target="https://sealeddeck.tech/cctf4r7Kjx" TargetMode="External"/><Relationship Id="rId97" Type="http://schemas.openxmlformats.org/officeDocument/2006/relationships/hyperlink" Target="https://sealeddeck.tech/BC6wvBQ9Ej" TargetMode="External"/><Relationship Id="rId96" Type="http://schemas.openxmlformats.org/officeDocument/2006/relationships/hyperlink" Target="https://sealeddeck.tech/Mwd1t7Zpvd" TargetMode="External"/><Relationship Id="rId11" Type="http://schemas.openxmlformats.org/officeDocument/2006/relationships/hyperlink" Target="https://sealeddeck.tech/yhz89BHn1F" TargetMode="External"/><Relationship Id="rId99" Type="http://schemas.openxmlformats.org/officeDocument/2006/relationships/hyperlink" Target="https://sealeddeck.tech/2qJKy4KewM" TargetMode="External"/><Relationship Id="rId10" Type="http://schemas.openxmlformats.org/officeDocument/2006/relationships/hyperlink" Target="https://sealeddeck.tech/ezxaDWFow8" TargetMode="External"/><Relationship Id="rId98" Type="http://schemas.openxmlformats.org/officeDocument/2006/relationships/hyperlink" Target="https://sealeddeck.tech/BdXMR2jZRS" TargetMode="External"/><Relationship Id="rId13" Type="http://schemas.openxmlformats.org/officeDocument/2006/relationships/hyperlink" Target="https://sealeddeck.tech/vrBLCbTkPV" TargetMode="External"/><Relationship Id="rId12" Type="http://schemas.openxmlformats.org/officeDocument/2006/relationships/hyperlink" Target="https://sealeddeck.tech/jr4CEGEnK2" TargetMode="External"/><Relationship Id="rId91" Type="http://schemas.openxmlformats.org/officeDocument/2006/relationships/hyperlink" Target="https://sealeddeck.tech/rqEBGggjuT" TargetMode="External"/><Relationship Id="rId90" Type="http://schemas.openxmlformats.org/officeDocument/2006/relationships/hyperlink" Target="https://sealeddeck.tech/vBCmNLCvmy" TargetMode="External"/><Relationship Id="rId93" Type="http://schemas.openxmlformats.org/officeDocument/2006/relationships/hyperlink" Target="https://sealeddeck.tech/D5xdouBzwv" TargetMode="External"/><Relationship Id="rId92" Type="http://schemas.openxmlformats.org/officeDocument/2006/relationships/hyperlink" Target="https://sealeddeck.tech/yypzQjGPA1" TargetMode="External"/><Relationship Id="rId118" Type="http://schemas.openxmlformats.org/officeDocument/2006/relationships/hyperlink" Target="https://sealeddeck.tech/np9Dse5uDC" TargetMode="External"/><Relationship Id="rId117" Type="http://schemas.openxmlformats.org/officeDocument/2006/relationships/hyperlink" Target="https://sealeddeck.tech/MD6xaRwphd" TargetMode="External"/><Relationship Id="rId116" Type="http://schemas.openxmlformats.org/officeDocument/2006/relationships/hyperlink" Target="https://sealeddeck.tech/sP7C6ZRJKp" TargetMode="External"/><Relationship Id="rId115" Type="http://schemas.openxmlformats.org/officeDocument/2006/relationships/hyperlink" Target="https://sealeddeck.tech/cM5BuvWrzX" TargetMode="External"/><Relationship Id="rId119" Type="http://schemas.openxmlformats.org/officeDocument/2006/relationships/hyperlink" Target="https://sealeddeck.tech/B3qDwC8JLQ" TargetMode="External"/><Relationship Id="rId15" Type="http://schemas.openxmlformats.org/officeDocument/2006/relationships/hyperlink" Target="https://sealeddeck.tech/9nGN5Rzh92" TargetMode="External"/><Relationship Id="rId110" Type="http://schemas.openxmlformats.org/officeDocument/2006/relationships/hyperlink" Target="https://sealeddeck.tech/Fv26xt2mzT" TargetMode="External"/><Relationship Id="rId14" Type="http://schemas.openxmlformats.org/officeDocument/2006/relationships/hyperlink" Target="https://sealeddeck.tech/AgUmr8WQPn" TargetMode="External"/><Relationship Id="rId17" Type="http://schemas.openxmlformats.org/officeDocument/2006/relationships/hyperlink" Target="https://sealeddeck.tech/HpReLDpZVb" TargetMode="External"/><Relationship Id="rId16" Type="http://schemas.openxmlformats.org/officeDocument/2006/relationships/hyperlink" Target="https://sealeddeck.tech/xuqqHZw7ZR" TargetMode="External"/><Relationship Id="rId19" Type="http://schemas.openxmlformats.org/officeDocument/2006/relationships/hyperlink" Target="https://sealeddeck.tech/M4ydDrfmvA" TargetMode="External"/><Relationship Id="rId114" Type="http://schemas.openxmlformats.org/officeDocument/2006/relationships/hyperlink" Target="https://sealeddeck.tech/aHuPcUepLa" TargetMode="External"/><Relationship Id="rId18" Type="http://schemas.openxmlformats.org/officeDocument/2006/relationships/hyperlink" Target="https://sealeddeck.tech/dYpE2B8fbk" TargetMode="External"/><Relationship Id="rId113" Type="http://schemas.openxmlformats.org/officeDocument/2006/relationships/hyperlink" Target="https://sealeddeck.tech/7wk6dK8m8F" TargetMode="External"/><Relationship Id="rId112" Type="http://schemas.openxmlformats.org/officeDocument/2006/relationships/hyperlink" Target="https://sealeddeck.tech/qtAJNgGWZa" TargetMode="External"/><Relationship Id="rId111" Type="http://schemas.openxmlformats.org/officeDocument/2006/relationships/hyperlink" Target="https://sealeddeck.tech/tbdYY979z1" TargetMode="External"/><Relationship Id="rId84" Type="http://schemas.openxmlformats.org/officeDocument/2006/relationships/hyperlink" Target="https://sealeddeck.tech/yHmDV84xjm" TargetMode="External"/><Relationship Id="rId83" Type="http://schemas.openxmlformats.org/officeDocument/2006/relationships/hyperlink" Target="https://sealeddeck.tech/HPFu3YBYXU" TargetMode="External"/><Relationship Id="rId86" Type="http://schemas.openxmlformats.org/officeDocument/2006/relationships/hyperlink" Target="https://sealeddeck.tech/e3M6zw7BNB" TargetMode="External"/><Relationship Id="rId85" Type="http://schemas.openxmlformats.org/officeDocument/2006/relationships/hyperlink" Target="https://sealeddeck.tech/un4BrJCdeX" TargetMode="External"/><Relationship Id="rId88" Type="http://schemas.openxmlformats.org/officeDocument/2006/relationships/hyperlink" Target="https://sealeddeck.tech/pa7sc5L3DE" TargetMode="External"/><Relationship Id="rId150" Type="http://schemas.openxmlformats.org/officeDocument/2006/relationships/hyperlink" Target="https://sealeddeck.tech/ajLCayKyuf" TargetMode="External"/><Relationship Id="rId87" Type="http://schemas.openxmlformats.org/officeDocument/2006/relationships/hyperlink" Target="https://sealeddeck.tech/5knuZsnj7b" TargetMode="External"/><Relationship Id="rId89" Type="http://schemas.openxmlformats.org/officeDocument/2006/relationships/hyperlink" Target="https://sealeddeck.tech/PHV4tLXMRE" TargetMode="External"/><Relationship Id="rId80" Type="http://schemas.openxmlformats.org/officeDocument/2006/relationships/hyperlink" Target="https://sealeddeck.tech/HjTuYowGCw" TargetMode="External"/><Relationship Id="rId82" Type="http://schemas.openxmlformats.org/officeDocument/2006/relationships/hyperlink" Target="https://sealeddeck.tech/TthYym5w6K" TargetMode="External"/><Relationship Id="rId81" Type="http://schemas.openxmlformats.org/officeDocument/2006/relationships/hyperlink" Target="https://sealeddeck.tech/PTzArATtNX" TargetMode="External"/><Relationship Id="rId1" Type="http://schemas.openxmlformats.org/officeDocument/2006/relationships/hyperlink" Target="https://sealeddeck.tech/4gw5mjzJPL" TargetMode="External"/><Relationship Id="rId2" Type="http://schemas.openxmlformats.org/officeDocument/2006/relationships/hyperlink" Target="https://sealeddeck.tech/3dUhGQhD1o" TargetMode="External"/><Relationship Id="rId3" Type="http://schemas.openxmlformats.org/officeDocument/2006/relationships/hyperlink" Target="https://sealeddeck.tech/caHLXkUK8L" TargetMode="External"/><Relationship Id="rId149" Type="http://schemas.openxmlformats.org/officeDocument/2006/relationships/hyperlink" Target="https://sealeddeck.tech/fznG936tao" TargetMode="External"/><Relationship Id="rId4" Type="http://schemas.openxmlformats.org/officeDocument/2006/relationships/hyperlink" Target="https://sealeddeck.tech/bHosoRgQQB" TargetMode="External"/><Relationship Id="rId148" Type="http://schemas.openxmlformats.org/officeDocument/2006/relationships/hyperlink" Target="https://sealeddeck.tech/TviMMfKuRy" TargetMode="External"/><Relationship Id="rId9" Type="http://schemas.openxmlformats.org/officeDocument/2006/relationships/hyperlink" Target="https://sealeddeck.tech/d3MDrQJ5aJ" TargetMode="External"/><Relationship Id="rId143" Type="http://schemas.openxmlformats.org/officeDocument/2006/relationships/hyperlink" Target="https://sealeddeck.tech/XBxcmrU89U" TargetMode="External"/><Relationship Id="rId142" Type="http://schemas.openxmlformats.org/officeDocument/2006/relationships/hyperlink" Target="https://sealeddeck.tech/Mi3LFWSF4w" TargetMode="External"/><Relationship Id="rId141" Type="http://schemas.openxmlformats.org/officeDocument/2006/relationships/hyperlink" Target="https://sealeddeck.tech/pXD8gBBAZB" TargetMode="External"/><Relationship Id="rId140" Type="http://schemas.openxmlformats.org/officeDocument/2006/relationships/hyperlink" Target="https://sealeddeck.tech/mLowUstcaC" TargetMode="External"/><Relationship Id="rId5" Type="http://schemas.openxmlformats.org/officeDocument/2006/relationships/hyperlink" Target="https://sealeddeck.tech/eEUdDLFp31" TargetMode="External"/><Relationship Id="rId147" Type="http://schemas.openxmlformats.org/officeDocument/2006/relationships/hyperlink" Target="https://sealeddeck.tech/DwhHweQq41" TargetMode="External"/><Relationship Id="rId6" Type="http://schemas.openxmlformats.org/officeDocument/2006/relationships/hyperlink" Target="https://sealeddeck.tech/wuyHsZHSZW" TargetMode="External"/><Relationship Id="rId146" Type="http://schemas.openxmlformats.org/officeDocument/2006/relationships/hyperlink" Target="https://sealeddeck.tech/m18o8pU4yR" TargetMode="External"/><Relationship Id="rId7" Type="http://schemas.openxmlformats.org/officeDocument/2006/relationships/hyperlink" Target="https://sealeddeck.tech/p3LuFwdGwu" TargetMode="External"/><Relationship Id="rId145" Type="http://schemas.openxmlformats.org/officeDocument/2006/relationships/hyperlink" Target="https://sealeddeck.tech/AHQggSwvun" TargetMode="External"/><Relationship Id="rId8" Type="http://schemas.openxmlformats.org/officeDocument/2006/relationships/hyperlink" Target="https://sealeddeck.tech/ZVPDNYVs43" TargetMode="External"/><Relationship Id="rId144" Type="http://schemas.openxmlformats.org/officeDocument/2006/relationships/hyperlink" Target="https://sealeddeck.tech/bwDj5YJWy3" TargetMode="External"/><Relationship Id="rId73" Type="http://schemas.openxmlformats.org/officeDocument/2006/relationships/hyperlink" Target="https://sealeddeck.tech/oX3DEtH4Ht" TargetMode="External"/><Relationship Id="rId72" Type="http://schemas.openxmlformats.org/officeDocument/2006/relationships/hyperlink" Target="https://sealeddeck.tech/k1ADrAVqyQ" TargetMode="External"/><Relationship Id="rId75" Type="http://schemas.openxmlformats.org/officeDocument/2006/relationships/hyperlink" Target="https://sealeddeck.tech/PBr3GS5cDg" TargetMode="External"/><Relationship Id="rId74" Type="http://schemas.openxmlformats.org/officeDocument/2006/relationships/hyperlink" Target="https://sealeddeck.tech/NiiEEbXE8r" TargetMode="External"/><Relationship Id="rId77" Type="http://schemas.openxmlformats.org/officeDocument/2006/relationships/hyperlink" Target="https://sealeddeck.tech/meUth737P7" TargetMode="External"/><Relationship Id="rId76" Type="http://schemas.openxmlformats.org/officeDocument/2006/relationships/hyperlink" Target="https://sealeddeck.tech/uvb2Ri4YDL" TargetMode="External"/><Relationship Id="rId79" Type="http://schemas.openxmlformats.org/officeDocument/2006/relationships/hyperlink" Target="https://sealeddeck.tech/6fZqdUUSbo" TargetMode="External"/><Relationship Id="rId78" Type="http://schemas.openxmlformats.org/officeDocument/2006/relationships/hyperlink" Target="https://sealeddeck.tech/XReLs6vSBr" TargetMode="External"/><Relationship Id="rId71" Type="http://schemas.openxmlformats.org/officeDocument/2006/relationships/hyperlink" Target="https://sealeddeck.tech/BQsDHVhusq" TargetMode="External"/><Relationship Id="rId70" Type="http://schemas.openxmlformats.org/officeDocument/2006/relationships/hyperlink" Target="https://sealeddeck.tech/3vxMyLW4Fj" TargetMode="External"/><Relationship Id="rId139" Type="http://schemas.openxmlformats.org/officeDocument/2006/relationships/hyperlink" Target="https://sealeddeck.tech/PYReS7TNyV" TargetMode="External"/><Relationship Id="rId138" Type="http://schemas.openxmlformats.org/officeDocument/2006/relationships/hyperlink" Target="https://sealeddeck.tech/jqAqbwfqmp" TargetMode="External"/><Relationship Id="rId137" Type="http://schemas.openxmlformats.org/officeDocument/2006/relationships/hyperlink" Target="https://sealeddeck.tech/7o5JLrMKpW" TargetMode="External"/><Relationship Id="rId132" Type="http://schemas.openxmlformats.org/officeDocument/2006/relationships/hyperlink" Target="https://sealeddeck.tech/Ny9CCetGFF" TargetMode="External"/><Relationship Id="rId131" Type="http://schemas.openxmlformats.org/officeDocument/2006/relationships/hyperlink" Target="https://sealeddeck.tech/7Qw9LBwUTE" TargetMode="External"/><Relationship Id="rId130" Type="http://schemas.openxmlformats.org/officeDocument/2006/relationships/hyperlink" Target="https://sealeddeck.tech/ynVd9KJAJu" TargetMode="External"/><Relationship Id="rId136" Type="http://schemas.openxmlformats.org/officeDocument/2006/relationships/hyperlink" Target="https://sealeddeck.tech/iEZsaVYZWV" TargetMode="External"/><Relationship Id="rId135" Type="http://schemas.openxmlformats.org/officeDocument/2006/relationships/hyperlink" Target="https://sealeddeck.tech/thsUVXewAE" TargetMode="External"/><Relationship Id="rId134" Type="http://schemas.openxmlformats.org/officeDocument/2006/relationships/hyperlink" Target="https://sealeddeck.tech/rnGC5c8Sp5" TargetMode="External"/><Relationship Id="rId133" Type="http://schemas.openxmlformats.org/officeDocument/2006/relationships/hyperlink" Target="https://sealeddeck.tech/dozHfpZTML" TargetMode="External"/><Relationship Id="rId62" Type="http://schemas.openxmlformats.org/officeDocument/2006/relationships/hyperlink" Target="https://sealeddeck.tech/URUgfZrxCx" TargetMode="External"/><Relationship Id="rId61" Type="http://schemas.openxmlformats.org/officeDocument/2006/relationships/hyperlink" Target="https://sealeddeck.tech/rxHMDHXs2d" TargetMode="External"/><Relationship Id="rId64" Type="http://schemas.openxmlformats.org/officeDocument/2006/relationships/hyperlink" Target="https://sealeddeck.tech/1XQBu7E4BR" TargetMode="External"/><Relationship Id="rId63" Type="http://schemas.openxmlformats.org/officeDocument/2006/relationships/hyperlink" Target="https://sealeddeck.tech/WVJNDcik72" TargetMode="External"/><Relationship Id="rId66" Type="http://schemas.openxmlformats.org/officeDocument/2006/relationships/hyperlink" Target="https://sealeddeck.tech/QDct4g5pq3" TargetMode="External"/><Relationship Id="rId172" Type="http://schemas.openxmlformats.org/officeDocument/2006/relationships/hyperlink" Target="https://sealeddeck.tech/ASbJbB1ohS" TargetMode="External"/><Relationship Id="rId65" Type="http://schemas.openxmlformats.org/officeDocument/2006/relationships/hyperlink" Target="https://sealeddeck.tech/4GGt2jnJdJ" TargetMode="External"/><Relationship Id="rId171" Type="http://schemas.openxmlformats.org/officeDocument/2006/relationships/hyperlink" Target="https://sealeddeck.tech/Fh8itS8oVv" TargetMode="External"/><Relationship Id="rId68" Type="http://schemas.openxmlformats.org/officeDocument/2006/relationships/hyperlink" Target="https://sealeddeck.tech/TbScn26jXc" TargetMode="External"/><Relationship Id="rId170" Type="http://schemas.openxmlformats.org/officeDocument/2006/relationships/hyperlink" Target="https://sealeddeck.tech/Jqbnktti5y" TargetMode="External"/><Relationship Id="rId67" Type="http://schemas.openxmlformats.org/officeDocument/2006/relationships/hyperlink" Target="https://sealeddeck.tech/34mDSfy3SE" TargetMode="External"/><Relationship Id="rId60" Type="http://schemas.openxmlformats.org/officeDocument/2006/relationships/hyperlink" Target="https://sealeddeck.tech/BeHgpX1fGG" TargetMode="External"/><Relationship Id="rId165" Type="http://schemas.openxmlformats.org/officeDocument/2006/relationships/hyperlink" Target="https://sealeddeck.tech/t3zGc7Mqra" TargetMode="External"/><Relationship Id="rId69" Type="http://schemas.openxmlformats.org/officeDocument/2006/relationships/hyperlink" Target="https://sealeddeck.tech/HeTwFP6Cyv" TargetMode="External"/><Relationship Id="rId164" Type="http://schemas.openxmlformats.org/officeDocument/2006/relationships/hyperlink" Target="https://sealeddeck.tech/7XoVNcWtXN" TargetMode="External"/><Relationship Id="rId163" Type="http://schemas.openxmlformats.org/officeDocument/2006/relationships/hyperlink" Target="https://sealeddeck.tech/t7JgopqsYn" TargetMode="External"/><Relationship Id="rId162" Type="http://schemas.openxmlformats.org/officeDocument/2006/relationships/hyperlink" Target="https://sealeddeck.tech/uLe7oWU5Su" TargetMode="External"/><Relationship Id="rId169" Type="http://schemas.openxmlformats.org/officeDocument/2006/relationships/hyperlink" Target="https://sealeddeck.tech/j1RG7msMwX" TargetMode="External"/><Relationship Id="rId168" Type="http://schemas.openxmlformats.org/officeDocument/2006/relationships/hyperlink" Target="https://sealeddeck.tech/oPva39RkYb" TargetMode="External"/><Relationship Id="rId167" Type="http://schemas.openxmlformats.org/officeDocument/2006/relationships/hyperlink" Target="https://sealeddeck.tech/DzkRTGsKV6" TargetMode="External"/><Relationship Id="rId166" Type="http://schemas.openxmlformats.org/officeDocument/2006/relationships/hyperlink" Target="https://sealeddeck.tech/RbG4SnD69E" TargetMode="External"/><Relationship Id="rId51" Type="http://schemas.openxmlformats.org/officeDocument/2006/relationships/hyperlink" Target="https://sealeddeck.tech/vpDnFRLAVh" TargetMode="External"/><Relationship Id="rId50" Type="http://schemas.openxmlformats.org/officeDocument/2006/relationships/hyperlink" Target="https://sealeddeck.tech/K38GFAXR5t" TargetMode="External"/><Relationship Id="rId53" Type="http://schemas.openxmlformats.org/officeDocument/2006/relationships/hyperlink" Target="https://sealeddeck.tech/FSxRrLxwM4" TargetMode="External"/><Relationship Id="rId52" Type="http://schemas.openxmlformats.org/officeDocument/2006/relationships/hyperlink" Target="https://sealeddeck.tech/L2dgFCSdPR" TargetMode="External"/><Relationship Id="rId55" Type="http://schemas.openxmlformats.org/officeDocument/2006/relationships/hyperlink" Target="https://sealeddeck.tech/A6LrS4duWt" TargetMode="External"/><Relationship Id="rId161" Type="http://schemas.openxmlformats.org/officeDocument/2006/relationships/hyperlink" Target="https://sealeddeck.tech/eU8ZkTh7h4" TargetMode="External"/><Relationship Id="rId54" Type="http://schemas.openxmlformats.org/officeDocument/2006/relationships/hyperlink" Target="https://sealeddeck.tech/yxmQYtaKTZ" TargetMode="External"/><Relationship Id="rId160" Type="http://schemas.openxmlformats.org/officeDocument/2006/relationships/hyperlink" Target="https://sealeddeck.tech/b2YufhsrAm" TargetMode="External"/><Relationship Id="rId57" Type="http://schemas.openxmlformats.org/officeDocument/2006/relationships/hyperlink" Target="https://sealeddeck.tech/4ENWokzbwe" TargetMode="External"/><Relationship Id="rId56" Type="http://schemas.openxmlformats.org/officeDocument/2006/relationships/hyperlink" Target="https://sealeddeck.tech/hhUVaZ23UW" TargetMode="External"/><Relationship Id="rId159" Type="http://schemas.openxmlformats.org/officeDocument/2006/relationships/hyperlink" Target="https://sealeddeck.tech/rhYj9BNh5t" TargetMode="External"/><Relationship Id="rId59" Type="http://schemas.openxmlformats.org/officeDocument/2006/relationships/hyperlink" Target="https://sealeddeck.tech/pcwQ3uYUyW" TargetMode="External"/><Relationship Id="rId154" Type="http://schemas.openxmlformats.org/officeDocument/2006/relationships/hyperlink" Target="https://sealeddeck.tech/DKLkcodvCk" TargetMode="External"/><Relationship Id="rId58" Type="http://schemas.openxmlformats.org/officeDocument/2006/relationships/hyperlink" Target="https://sealeddeck.tech/LbQjopRC81" TargetMode="External"/><Relationship Id="rId153" Type="http://schemas.openxmlformats.org/officeDocument/2006/relationships/hyperlink" Target="https://sealeddeck.tech/s7RpA1cb23" TargetMode="External"/><Relationship Id="rId152" Type="http://schemas.openxmlformats.org/officeDocument/2006/relationships/hyperlink" Target="https://sealeddeck.tech/bG31AbXrGJ" TargetMode="External"/><Relationship Id="rId151" Type="http://schemas.openxmlformats.org/officeDocument/2006/relationships/hyperlink" Target="https://sealeddeck.tech/ggPMa5aZuk" TargetMode="External"/><Relationship Id="rId158" Type="http://schemas.openxmlformats.org/officeDocument/2006/relationships/hyperlink" Target="https://sealeddeck.tech/ySRuWtpVFM" TargetMode="External"/><Relationship Id="rId157" Type="http://schemas.openxmlformats.org/officeDocument/2006/relationships/hyperlink" Target="https://sealeddeck.tech/ZZn5YKM3gR" TargetMode="External"/><Relationship Id="rId156" Type="http://schemas.openxmlformats.org/officeDocument/2006/relationships/hyperlink" Target="https://sealeddeck.tech/jQDvEcoox6" TargetMode="External"/><Relationship Id="rId155" Type="http://schemas.openxmlformats.org/officeDocument/2006/relationships/hyperlink" Target="https://sealeddeck.tech/ozaZSM5HAX" TargetMode="External"/></Relationships>
</file>

<file path=xl/worksheets/_rels/sheet13.xml.rels><?xml version="1.0" encoding="UTF-8" standalone="yes"?><Relationships xmlns="http://schemas.openxmlformats.org/package/2006/relationships"><Relationship Id="rId392" Type="http://schemas.openxmlformats.org/officeDocument/2006/relationships/hyperlink" Target="https://sealeddeck.tech/RMj5T6cM8k" TargetMode="External"/><Relationship Id="rId391" Type="http://schemas.openxmlformats.org/officeDocument/2006/relationships/hyperlink" Target="https://sealeddeck.tech/Aahu4DYKhP" TargetMode="External"/><Relationship Id="rId390" Type="http://schemas.openxmlformats.org/officeDocument/2006/relationships/hyperlink" Target="https://sealeddeck.tech/Un8Em2Z5cy" TargetMode="External"/><Relationship Id="rId1" Type="http://schemas.openxmlformats.org/officeDocument/2006/relationships/hyperlink" Target="https://sealeddeck.tech/4gw5mjzJPL" TargetMode="External"/><Relationship Id="rId2" Type="http://schemas.openxmlformats.org/officeDocument/2006/relationships/hyperlink" Target="https://sealeddeck.tech/5C17FFRQJi" TargetMode="External"/><Relationship Id="rId3" Type="http://schemas.openxmlformats.org/officeDocument/2006/relationships/hyperlink" Target="https://sealeddeck.tech/PrtEoGuAaW" TargetMode="External"/><Relationship Id="rId4" Type="http://schemas.openxmlformats.org/officeDocument/2006/relationships/hyperlink" Target="https://sealeddeck.tech/R5JaeoCNeG" TargetMode="External"/><Relationship Id="rId9" Type="http://schemas.openxmlformats.org/officeDocument/2006/relationships/hyperlink" Target="https://sealeddeck.tech/3dUhGQhD1o" TargetMode="External"/><Relationship Id="rId385" Type="http://schemas.openxmlformats.org/officeDocument/2006/relationships/hyperlink" Target="https://sealeddeck.tech/ZZrUVxiT3E" TargetMode="External"/><Relationship Id="rId384" Type="http://schemas.openxmlformats.org/officeDocument/2006/relationships/hyperlink" Target="https://sealeddeck.tech/pYLiVN7b2V" TargetMode="External"/><Relationship Id="rId383" Type="http://schemas.openxmlformats.org/officeDocument/2006/relationships/hyperlink" Target="https://sealeddeck.tech/UdYAMW1h6S" TargetMode="External"/><Relationship Id="rId382" Type="http://schemas.openxmlformats.org/officeDocument/2006/relationships/hyperlink" Target="https://sealeddeck.tech/qHSrwznF6D" TargetMode="External"/><Relationship Id="rId5" Type="http://schemas.openxmlformats.org/officeDocument/2006/relationships/hyperlink" Target="https://sealeddeck.tech/RcGqVPjqpf" TargetMode="External"/><Relationship Id="rId389" Type="http://schemas.openxmlformats.org/officeDocument/2006/relationships/hyperlink" Target="https://sealeddeck.tech/cVyHunhK9f" TargetMode="External"/><Relationship Id="rId6" Type="http://schemas.openxmlformats.org/officeDocument/2006/relationships/hyperlink" Target="https://sealeddeck.tech/7oBZ9R74rP" TargetMode="External"/><Relationship Id="rId388" Type="http://schemas.openxmlformats.org/officeDocument/2006/relationships/hyperlink" Target="https://sealeddeck.tech/rhHNa5sYSf" TargetMode="External"/><Relationship Id="rId7" Type="http://schemas.openxmlformats.org/officeDocument/2006/relationships/hyperlink" Target="https://sealeddeck.tech/7gmZNnX9HS" TargetMode="External"/><Relationship Id="rId387" Type="http://schemas.openxmlformats.org/officeDocument/2006/relationships/hyperlink" Target="https://sealeddeck.tech/tTNGq9mMfD" TargetMode="External"/><Relationship Id="rId8" Type="http://schemas.openxmlformats.org/officeDocument/2006/relationships/hyperlink" Target="https://sealeddeck.tech/GhAKX63sc4" TargetMode="External"/><Relationship Id="rId386" Type="http://schemas.openxmlformats.org/officeDocument/2006/relationships/hyperlink" Target="https://sealeddeck.tech/QyeYCYWRvL" TargetMode="External"/><Relationship Id="rId381" Type="http://schemas.openxmlformats.org/officeDocument/2006/relationships/hyperlink" Target="https://sealeddeck.tech/XE4zjtrd5c" TargetMode="External"/><Relationship Id="rId380" Type="http://schemas.openxmlformats.org/officeDocument/2006/relationships/hyperlink" Target="https://sealeddeck.tech/vygg4gzEHi" TargetMode="External"/><Relationship Id="rId379" Type="http://schemas.openxmlformats.org/officeDocument/2006/relationships/hyperlink" Target="https://sealeddeck.tech/5GxrhDnFgx" TargetMode="External"/><Relationship Id="rId374" Type="http://schemas.openxmlformats.org/officeDocument/2006/relationships/hyperlink" Target="https://sealeddeck.tech/DWVrv8Qbty" TargetMode="External"/><Relationship Id="rId373" Type="http://schemas.openxmlformats.org/officeDocument/2006/relationships/hyperlink" Target="https://sealeddeck.tech/vXXPuJujuy" TargetMode="External"/><Relationship Id="rId372" Type="http://schemas.openxmlformats.org/officeDocument/2006/relationships/hyperlink" Target="https://sealeddeck.tech/26zT7dsz6D" TargetMode="External"/><Relationship Id="rId371" Type="http://schemas.openxmlformats.org/officeDocument/2006/relationships/hyperlink" Target="https://sealeddeck.tech/4Dpkj369io" TargetMode="External"/><Relationship Id="rId378" Type="http://schemas.openxmlformats.org/officeDocument/2006/relationships/hyperlink" Target="https://sealeddeck.tech/zYMCMyA5Pz" TargetMode="External"/><Relationship Id="rId377" Type="http://schemas.openxmlformats.org/officeDocument/2006/relationships/hyperlink" Target="https://sealeddeck.tech/8r1XeLD9Ju" TargetMode="External"/><Relationship Id="rId376" Type="http://schemas.openxmlformats.org/officeDocument/2006/relationships/hyperlink" Target="https://sealeddeck.tech/pjZtwD2Phb" TargetMode="External"/><Relationship Id="rId375" Type="http://schemas.openxmlformats.org/officeDocument/2006/relationships/hyperlink" Target="https://sealeddeck.tech/kA9LeNrmbs" TargetMode="External"/><Relationship Id="rId396" Type="http://schemas.openxmlformats.org/officeDocument/2006/relationships/hyperlink" Target="https://sealeddeck.tech/JBEyQd639N" TargetMode="External"/><Relationship Id="rId395" Type="http://schemas.openxmlformats.org/officeDocument/2006/relationships/hyperlink" Target="https://sealeddeck.tech/diNTH82sAJ" TargetMode="External"/><Relationship Id="rId394" Type="http://schemas.openxmlformats.org/officeDocument/2006/relationships/hyperlink" Target="https://sealeddeck.tech/pHMbeh85wJ" TargetMode="External"/><Relationship Id="rId393" Type="http://schemas.openxmlformats.org/officeDocument/2006/relationships/hyperlink" Target="https://sealeddeck.tech/KN4ExfiqC7" TargetMode="External"/><Relationship Id="rId399" Type="http://schemas.openxmlformats.org/officeDocument/2006/relationships/hyperlink" Target="https://sealeddeck.tech/v7xtMbNXVR" TargetMode="External"/><Relationship Id="rId398" Type="http://schemas.openxmlformats.org/officeDocument/2006/relationships/hyperlink" Target="https://sealeddeck.tech/ftXXRWNCPC" TargetMode="External"/><Relationship Id="rId397" Type="http://schemas.openxmlformats.org/officeDocument/2006/relationships/hyperlink" Target="https://sealeddeck.tech/dqS1DwX7Pg" TargetMode="External"/><Relationship Id="rId1730" Type="http://schemas.openxmlformats.org/officeDocument/2006/relationships/hyperlink" Target="https://sealeddeck.tech/6PfAWWDEG2" TargetMode="External"/><Relationship Id="rId1731" Type="http://schemas.openxmlformats.org/officeDocument/2006/relationships/hyperlink" Target="https://sealeddeck.tech/YKucBVJNiD" TargetMode="External"/><Relationship Id="rId1732" Type="http://schemas.openxmlformats.org/officeDocument/2006/relationships/hyperlink" Target="https://sealeddeck.tech/j1RG7msMwX" TargetMode="External"/><Relationship Id="rId1733" Type="http://schemas.openxmlformats.org/officeDocument/2006/relationships/hyperlink" Target="https://sealeddeck.tech/hupdhNW8TV" TargetMode="External"/><Relationship Id="rId1734" Type="http://schemas.openxmlformats.org/officeDocument/2006/relationships/hyperlink" Target="https://sealeddeck.tech/QWebHu3q3D" TargetMode="External"/><Relationship Id="rId1735" Type="http://schemas.openxmlformats.org/officeDocument/2006/relationships/hyperlink" Target="https://sealeddeck.tech/wuUsmbVEga" TargetMode="External"/><Relationship Id="rId1736" Type="http://schemas.openxmlformats.org/officeDocument/2006/relationships/hyperlink" Target="https://sealeddeck.tech/5fTA36pC58" TargetMode="External"/><Relationship Id="rId1737" Type="http://schemas.openxmlformats.org/officeDocument/2006/relationships/hyperlink" Target="https://sealeddeck.tech/GEQgcYs9RA" TargetMode="External"/><Relationship Id="rId1738" Type="http://schemas.openxmlformats.org/officeDocument/2006/relationships/hyperlink" Target="https://sealeddeck.tech/9skXm5s72Z" TargetMode="External"/><Relationship Id="rId1739" Type="http://schemas.openxmlformats.org/officeDocument/2006/relationships/hyperlink" Target="https://sealeddeck.tech/Jqbnktti5y" TargetMode="External"/><Relationship Id="rId1720" Type="http://schemas.openxmlformats.org/officeDocument/2006/relationships/hyperlink" Target="https://sealeddeck.tech/oPva39RkYb" TargetMode="External"/><Relationship Id="rId1721" Type="http://schemas.openxmlformats.org/officeDocument/2006/relationships/hyperlink" Target="https://sealeddeck.tech/F64S8KDLPA" TargetMode="External"/><Relationship Id="rId1722" Type="http://schemas.openxmlformats.org/officeDocument/2006/relationships/hyperlink" Target="https://sealeddeck.tech/jqPkC5cvKW" TargetMode="External"/><Relationship Id="rId1723" Type="http://schemas.openxmlformats.org/officeDocument/2006/relationships/hyperlink" Target="https://sealeddeck.tech/ycybKK69vQ" TargetMode="External"/><Relationship Id="rId1724" Type="http://schemas.openxmlformats.org/officeDocument/2006/relationships/hyperlink" Target="https://sealeddeck.tech/AtX38sF52j" TargetMode="External"/><Relationship Id="rId1725" Type="http://schemas.openxmlformats.org/officeDocument/2006/relationships/hyperlink" Target="https://sealeddeck.tech/Rf4PGkG7TL" TargetMode="External"/><Relationship Id="rId1726" Type="http://schemas.openxmlformats.org/officeDocument/2006/relationships/hyperlink" Target="https://sealeddeck.tech/9fjJqPd6Ss" TargetMode="External"/><Relationship Id="rId1727" Type="http://schemas.openxmlformats.org/officeDocument/2006/relationships/hyperlink" Target="https://sealeddeck.tech/ECBwaKsr7b" TargetMode="External"/><Relationship Id="rId1728" Type="http://schemas.openxmlformats.org/officeDocument/2006/relationships/hyperlink" Target="https://sealeddeck.tech/AGVwDeqiCQ" TargetMode="External"/><Relationship Id="rId1729" Type="http://schemas.openxmlformats.org/officeDocument/2006/relationships/hyperlink" Target="https://sealeddeck.tech/mrW9LzG82B" TargetMode="External"/><Relationship Id="rId1752" Type="http://schemas.openxmlformats.org/officeDocument/2006/relationships/hyperlink" Target="https://sealeddeck.tech/a3YyNb964L" TargetMode="External"/><Relationship Id="rId1753" Type="http://schemas.openxmlformats.org/officeDocument/2006/relationships/hyperlink" Target="https://sealeddeck.tech/g71tqLhPhy" TargetMode="External"/><Relationship Id="rId1754" Type="http://schemas.openxmlformats.org/officeDocument/2006/relationships/hyperlink" Target="https://sealeddeck.tech/zQwWe3USu3" TargetMode="External"/><Relationship Id="rId1755" Type="http://schemas.openxmlformats.org/officeDocument/2006/relationships/hyperlink" Target="https://sealeddeck.tech/BTYz4czKc7" TargetMode="External"/><Relationship Id="rId1756" Type="http://schemas.openxmlformats.org/officeDocument/2006/relationships/hyperlink" Target="https://sealeddeck.tech/P81KVY6dCN" TargetMode="External"/><Relationship Id="rId1757" Type="http://schemas.openxmlformats.org/officeDocument/2006/relationships/hyperlink" Target="https://sealeddeck.tech/aiaLCvtshN" TargetMode="External"/><Relationship Id="rId1758" Type="http://schemas.openxmlformats.org/officeDocument/2006/relationships/hyperlink" Target="https://sealeddeck.tech/GU6m3m8SN7" TargetMode="External"/><Relationship Id="rId1759" Type="http://schemas.openxmlformats.org/officeDocument/2006/relationships/hyperlink" Target="https://sealeddeck.tech/Em1CQDy54r" TargetMode="External"/><Relationship Id="rId808" Type="http://schemas.openxmlformats.org/officeDocument/2006/relationships/hyperlink" Target="https://sealeddeck.tech/G5KptmFXPv" TargetMode="External"/><Relationship Id="rId807" Type="http://schemas.openxmlformats.org/officeDocument/2006/relationships/hyperlink" Target="https://sealeddeck.tech/NnXZr865ij" TargetMode="External"/><Relationship Id="rId806" Type="http://schemas.openxmlformats.org/officeDocument/2006/relationships/hyperlink" Target="https://sealeddeck.tech/PTzArATtNX" TargetMode="External"/><Relationship Id="rId805" Type="http://schemas.openxmlformats.org/officeDocument/2006/relationships/hyperlink" Target="https://sealeddeck.tech/yBWmmpXBco" TargetMode="External"/><Relationship Id="rId809" Type="http://schemas.openxmlformats.org/officeDocument/2006/relationships/hyperlink" Target="https://sealeddeck.tech/MZhNE8fUPh" TargetMode="External"/><Relationship Id="rId800" Type="http://schemas.openxmlformats.org/officeDocument/2006/relationships/hyperlink" Target="https://sealeddeck.tech/KKj3XeVa2S" TargetMode="External"/><Relationship Id="rId804" Type="http://schemas.openxmlformats.org/officeDocument/2006/relationships/hyperlink" Target="https://sealeddeck.tech/eGJ9YNzf9G" TargetMode="External"/><Relationship Id="rId803" Type="http://schemas.openxmlformats.org/officeDocument/2006/relationships/hyperlink" Target="https://sealeddeck.tech/PJZd7VPMPA" TargetMode="External"/><Relationship Id="rId802" Type="http://schemas.openxmlformats.org/officeDocument/2006/relationships/hyperlink" Target="https://sealeddeck.tech/WzUuR61MKm" TargetMode="External"/><Relationship Id="rId801" Type="http://schemas.openxmlformats.org/officeDocument/2006/relationships/hyperlink" Target="https://sealeddeck.tech/U8RdcQVFbm" TargetMode="External"/><Relationship Id="rId1750" Type="http://schemas.openxmlformats.org/officeDocument/2006/relationships/hyperlink" Target="https://sealeddeck.tech/fUhcKiEBXf" TargetMode="External"/><Relationship Id="rId1751" Type="http://schemas.openxmlformats.org/officeDocument/2006/relationships/hyperlink" Target="https://sealeddeck.tech/Fh8itS8oVv" TargetMode="External"/><Relationship Id="rId1741" Type="http://schemas.openxmlformats.org/officeDocument/2006/relationships/hyperlink" Target="https://sealeddeck.tech/yFu5t64dut" TargetMode="External"/><Relationship Id="rId1742" Type="http://schemas.openxmlformats.org/officeDocument/2006/relationships/hyperlink" Target="https://sealeddeck.tech/KX25rz5wGs" TargetMode="External"/><Relationship Id="rId1743" Type="http://schemas.openxmlformats.org/officeDocument/2006/relationships/hyperlink" Target="https://sealeddeck.tech/JiofeLDmzT" TargetMode="External"/><Relationship Id="rId1744" Type="http://schemas.openxmlformats.org/officeDocument/2006/relationships/hyperlink" Target="https://sealeddeck.tech/GjGCjPKq2S" TargetMode="External"/><Relationship Id="rId1745" Type="http://schemas.openxmlformats.org/officeDocument/2006/relationships/hyperlink" Target="https://sealeddeck.tech/FJPZYu2iT3" TargetMode="External"/><Relationship Id="rId1746" Type="http://schemas.openxmlformats.org/officeDocument/2006/relationships/hyperlink" Target="https://sealeddeck.tech/iUqqbArfcC" TargetMode="External"/><Relationship Id="rId1747" Type="http://schemas.openxmlformats.org/officeDocument/2006/relationships/hyperlink" Target="https://sealeddeck.tech/jJZxG1SupN" TargetMode="External"/><Relationship Id="rId1748" Type="http://schemas.openxmlformats.org/officeDocument/2006/relationships/hyperlink" Target="https://sealeddeck.tech/pfcm916GBS" TargetMode="External"/><Relationship Id="rId1749" Type="http://schemas.openxmlformats.org/officeDocument/2006/relationships/hyperlink" Target="https://sealeddeck.tech/bi3eePwFLg" TargetMode="External"/><Relationship Id="rId1740" Type="http://schemas.openxmlformats.org/officeDocument/2006/relationships/hyperlink" Target="https://sealeddeck.tech/9fhB7xoGNC" TargetMode="External"/><Relationship Id="rId1710" Type="http://schemas.openxmlformats.org/officeDocument/2006/relationships/hyperlink" Target="https://sealeddeck.tech/vdayz1K7Qy" TargetMode="External"/><Relationship Id="rId1711" Type="http://schemas.openxmlformats.org/officeDocument/2006/relationships/hyperlink" Target="https://sealeddeck.tech/qkTaJh9drG" TargetMode="External"/><Relationship Id="rId1712" Type="http://schemas.openxmlformats.org/officeDocument/2006/relationships/hyperlink" Target="https://sealeddeck.tech/HdHKkGCKW5" TargetMode="External"/><Relationship Id="rId1713" Type="http://schemas.openxmlformats.org/officeDocument/2006/relationships/hyperlink" Target="https://sealeddeck.tech/JmSPRhV4fR" TargetMode="External"/><Relationship Id="rId1714" Type="http://schemas.openxmlformats.org/officeDocument/2006/relationships/hyperlink" Target="https://sealeddeck.tech/tRW4FKDcjt" TargetMode="External"/><Relationship Id="rId1715" Type="http://schemas.openxmlformats.org/officeDocument/2006/relationships/hyperlink" Target="https://sealeddeck.tech/BEPjNuRfR5" TargetMode="External"/><Relationship Id="rId1716" Type="http://schemas.openxmlformats.org/officeDocument/2006/relationships/hyperlink" Target="https://sealeddeck.tech/9NTc4jBEU7" TargetMode="External"/><Relationship Id="rId1717" Type="http://schemas.openxmlformats.org/officeDocument/2006/relationships/hyperlink" Target="https://sealeddeck.tech/Ujg9PJyKPm" TargetMode="External"/><Relationship Id="rId1718" Type="http://schemas.openxmlformats.org/officeDocument/2006/relationships/hyperlink" Target="https://sealeddeck.tech/Hzb3kssXLU" TargetMode="External"/><Relationship Id="rId1719" Type="http://schemas.openxmlformats.org/officeDocument/2006/relationships/hyperlink" Target="https://sealeddeck.tech/2iooWrfpre" TargetMode="External"/><Relationship Id="rId1700" Type="http://schemas.openxmlformats.org/officeDocument/2006/relationships/hyperlink" Target="https://sealeddeck.tech/EgA2CbGkLz" TargetMode="External"/><Relationship Id="rId1701" Type="http://schemas.openxmlformats.org/officeDocument/2006/relationships/hyperlink" Target="https://sealeddeck.tech/HB9mVkYujb" TargetMode="External"/><Relationship Id="rId1702" Type="http://schemas.openxmlformats.org/officeDocument/2006/relationships/hyperlink" Target="https://sealeddeck.tech/f3ezihuBA8" TargetMode="External"/><Relationship Id="rId1703" Type="http://schemas.openxmlformats.org/officeDocument/2006/relationships/hyperlink" Target="https://sealeddeck.tech/SPhnoZJcLH" TargetMode="External"/><Relationship Id="rId1704" Type="http://schemas.openxmlformats.org/officeDocument/2006/relationships/hyperlink" Target="https://sealeddeck.tech/nt3wPgX31E" TargetMode="External"/><Relationship Id="rId1705" Type="http://schemas.openxmlformats.org/officeDocument/2006/relationships/hyperlink" Target="https://sealeddeck.tech/DEQK8WHYX2" TargetMode="External"/><Relationship Id="rId1706" Type="http://schemas.openxmlformats.org/officeDocument/2006/relationships/hyperlink" Target="https://sealeddeck.tech/Xp7EF7nMxV" TargetMode="External"/><Relationship Id="rId1707" Type="http://schemas.openxmlformats.org/officeDocument/2006/relationships/hyperlink" Target="https://sealeddeck.tech/CavkaRPQ9Y" TargetMode="External"/><Relationship Id="rId1708" Type="http://schemas.openxmlformats.org/officeDocument/2006/relationships/hyperlink" Target="https://sealeddeck.tech/TfSftQRyh5" TargetMode="External"/><Relationship Id="rId1709" Type="http://schemas.openxmlformats.org/officeDocument/2006/relationships/hyperlink" Target="https://sealeddeck.tech/DzkRTGsKV6" TargetMode="External"/><Relationship Id="rId40" Type="http://schemas.openxmlformats.org/officeDocument/2006/relationships/hyperlink" Target="https://sealeddeck.tech/fCtX3WnyQC" TargetMode="External"/><Relationship Id="rId1334" Type="http://schemas.openxmlformats.org/officeDocument/2006/relationships/hyperlink" Target="https://sealeddeck.tech/YboX2oQJui" TargetMode="External"/><Relationship Id="rId1335" Type="http://schemas.openxmlformats.org/officeDocument/2006/relationships/hyperlink" Target="https://sealeddeck.tech/ZoQz8bdG87" TargetMode="External"/><Relationship Id="rId42" Type="http://schemas.openxmlformats.org/officeDocument/2006/relationships/hyperlink" Target="https://sealeddeck.tech/uUbDodSxod" TargetMode="External"/><Relationship Id="rId1336" Type="http://schemas.openxmlformats.org/officeDocument/2006/relationships/hyperlink" Target="https://sealeddeck.tech/WT9JZZfPgf" TargetMode="External"/><Relationship Id="rId41" Type="http://schemas.openxmlformats.org/officeDocument/2006/relationships/hyperlink" Target="https://sealeddeck.tech/s7tyBHBmXz" TargetMode="External"/><Relationship Id="rId1337" Type="http://schemas.openxmlformats.org/officeDocument/2006/relationships/hyperlink" Target="https://sealeddeck.tech/wfGfM7D4wW" TargetMode="External"/><Relationship Id="rId44" Type="http://schemas.openxmlformats.org/officeDocument/2006/relationships/hyperlink" Target="https://sealeddeck.tech/Rzn1CubW9J" TargetMode="External"/><Relationship Id="rId1338" Type="http://schemas.openxmlformats.org/officeDocument/2006/relationships/hyperlink" Target="https://sealeddeck.tech/rPQCgShT3B" TargetMode="External"/><Relationship Id="rId43" Type="http://schemas.openxmlformats.org/officeDocument/2006/relationships/hyperlink" Target="https://sealeddeck.tech/wvTm2GHeYJ" TargetMode="External"/><Relationship Id="rId1339" Type="http://schemas.openxmlformats.org/officeDocument/2006/relationships/hyperlink" Target="https://sealeddeck.tech/dxhiAuNPnD" TargetMode="External"/><Relationship Id="rId46" Type="http://schemas.openxmlformats.org/officeDocument/2006/relationships/hyperlink" Target="https://sealeddeck.tech/QuWuN4s28y" TargetMode="External"/><Relationship Id="rId45" Type="http://schemas.openxmlformats.org/officeDocument/2006/relationships/hyperlink" Target="https://sealeddeck.tech/wuyHsZHSZW" TargetMode="External"/><Relationship Id="rId745" Type="http://schemas.openxmlformats.org/officeDocument/2006/relationships/hyperlink" Target="https://sealeddeck.tech/mBZUjkq59b" TargetMode="External"/><Relationship Id="rId744" Type="http://schemas.openxmlformats.org/officeDocument/2006/relationships/hyperlink" Target="https://sealeddeck.tech/HHNMnRiWXB" TargetMode="External"/><Relationship Id="rId743" Type="http://schemas.openxmlformats.org/officeDocument/2006/relationships/hyperlink" Target="https://sealeddeck.tech/Que97VZKuZ" TargetMode="External"/><Relationship Id="rId742" Type="http://schemas.openxmlformats.org/officeDocument/2006/relationships/hyperlink" Target="https://sealeddeck.tech/RTJkZYF7qV" TargetMode="External"/><Relationship Id="rId749" Type="http://schemas.openxmlformats.org/officeDocument/2006/relationships/hyperlink" Target="https://sealeddeck.tech/bDdWk7ECfZ" TargetMode="External"/><Relationship Id="rId748" Type="http://schemas.openxmlformats.org/officeDocument/2006/relationships/hyperlink" Target="https://sealeddeck.tech/xTLFVopkuj" TargetMode="External"/><Relationship Id="rId747" Type="http://schemas.openxmlformats.org/officeDocument/2006/relationships/hyperlink" Target="https://sealeddeck.tech/7qo78zUYeM" TargetMode="External"/><Relationship Id="rId746" Type="http://schemas.openxmlformats.org/officeDocument/2006/relationships/hyperlink" Target="https://sealeddeck.tech/PBr3GS5cDg" TargetMode="External"/><Relationship Id="rId48" Type="http://schemas.openxmlformats.org/officeDocument/2006/relationships/hyperlink" Target="https://sealeddeck.tech/NnsH4jJfrP" TargetMode="External"/><Relationship Id="rId47" Type="http://schemas.openxmlformats.org/officeDocument/2006/relationships/hyperlink" Target="https://sealeddeck.tech/p3LuFwdGwu" TargetMode="External"/><Relationship Id="rId49" Type="http://schemas.openxmlformats.org/officeDocument/2006/relationships/hyperlink" Target="https://sealeddeck.tech/N6dN7Ptr9v" TargetMode="External"/><Relationship Id="rId741" Type="http://schemas.openxmlformats.org/officeDocument/2006/relationships/hyperlink" Target="https://sealeddeck.tech/ubFDiKmqCn" TargetMode="External"/><Relationship Id="rId1330" Type="http://schemas.openxmlformats.org/officeDocument/2006/relationships/hyperlink" Target="https://sealeddeck.tech/y8Gs4X73J9" TargetMode="External"/><Relationship Id="rId740" Type="http://schemas.openxmlformats.org/officeDocument/2006/relationships/hyperlink" Target="https://sealeddeck.tech/yRqY8GGdWb" TargetMode="External"/><Relationship Id="rId1331" Type="http://schemas.openxmlformats.org/officeDocument/2006/relationships/hyperlink" Target="https://sealeddeck.tech/igwKMZZhL9" TargetMode="External"/><Relationship Id="rId1332" Type="http://schemas.openxmlformats.org/officeDocument/2006/relationships/hyperlink" Target="https://sealeddeck.tech/7Qw9LBwUTE" TargetMode="External"/><Relationship Id="rId1333" Type="http://schemas.openxmlformats.org/officeDocument/2006/relationships/hyperlink" Target="https://sealeddeck.tech/LSsypY1qa6" TargetMode="External"/><Relationship Id="rId1323" Type="http://schemas.openxmlformats.org/officeDocument/2006/relationships/hyperlink" Target="https://sealeddeck.tech/YQz8B27D5v" TargetMode="External"/><Relationship Id="rId1324" Type="http://schemas.openxmlformats.org/officeDocument/2006/relationships/hyperlink" Target="https://sealeddeck.tech/sTcfZX5K1o" TargetMode="External"/><Relationship Id="rId31" Type="http://schemas.openxmlformats.org/officeDocument/2006/relationships/hyperlink" Target="https://sealeddeck.tech/FrzxgPboH8" TargetMode="External"/><Relationship Id="rId1325" Type="http://schemas.openxmlformats.org/officeDocument/2006/relationships/hyperlink" Target="https://sealeddeck.tech/cdYP5SoAER" TargetMode="External"/><Relationship Id="rId30" Type="http://schemas.openxmlformats.org/officeDocument/2006/relationships/hyperlink" Target="https://sealeddeck.tech/QijAcUa4jD" TargetMode="External"/><Relationship Id="rId1326" Type="http://schemas.openxmlformats.org/officeDocument/2006/relationships/hyperlink" Target="https://sealeddeck.tech/ynVd9KJAJu" TargetMode="External"/><Relationship Id="rId33" Type="http://schemas.openxmlformats.org/officeDocument/2006/relationships/hyperlink" Target="https://sealeddeck.tech/EXQndAMmH9" TargetMode="External"/><Relationship Id="rId1327" Type="http://schemas.openxmlformats.org/officeDocument/2006/relationships/hyperlink" Target="https://sealeddeck.tech/H9eX7ESK5a" TargetMode="External"/><Relationship Id="rId32" Type="http://schemas.openxmlformats.org/officeDocument/2006/relationships/hyperlink" Target="https://sealeddeck.tech/kXSvhuj18j" TargetMode="External"/><Relationship Id="rId1328" Type="http://schemas.openxmlformats.org/officeDocument/2006/relationships/hyperlink" Target="https://sealeddeck.tech/QGnM2VE6DH" TargetMode="External"/><Relationship Id="rId35" Type="http://schemas.openxmlformats.org/officeDocument/2006/relationships/hyperlink" Target="https://sealeddeck.tech/2nnKwE6FRJ" TargetMode="External"/><Relationship Id="rId1329" Type="http://schemas.openxmlformats.org/officeDocument/2006/relationships/hyperlink" Target="https://sealeddeck.tech/QB5tXP5YRj" TargetMode="External"/><Relationship Id="rId34" Type="http://schemas.openxmlformats.org/officeDocument/2006/relationships/hyperlink" Target="https://sealeddeck.tech/uu4Gi8cEEF" TargetMode="External"/><Relationship Id="rId739" Type="http://schemas.openxmlformats.org/officeDocument/2006/relationships/hyperlink" Target="https://sealeddeck.tech/C2dPXKZABD" TargetMode="External"/><Relationship Id="rId734" Type="http://schemas.openxmlformats.org/officeDocument/2006/relationships/hyperlink" Target="https://sealeddeck.tech/NiiEEbXE8r" TargetMode="External"/><Relationship Id="rId733" Type="http://schemas.openxmlformats.org/officeDocument/2006/relationships/hyperlink" Target="https://sealeddeck.tech/4HyB9oZ2Tb" TargetMode="External"/><Relationship Id="rId732" Type="http://schemas.openxmlformats.org/officeDocument/2006/relationships/hyperlink" Target="https://sealeddeck.tech/Gfy8jEqDTg" TargetMode="External"/><Relationship Id="rId731" Type="http://schemas.openxmlformats.org/officeDocument/2006/relationships/hyperlink" Target="https://sealeddeck.tech/B9qKMzB7xH" TargetMode="External"/><Relationship Id="rId738" Type="http://schemas.openxmlformats.org/officeDocument/2006/relationships/hyperlink" Target="https://sealeddeck.tech/ipzTsnspyP" TargetMode="External"/><Relationship Id="rId737" Type="http://schemas.openxmlformats.org/officeDocument/2006/relationships/hyperlink" Target="https://sealeddeck.tech/DrJHSdUwdk" TargetMode="External"/><Relationship Id="rId736" Type="http://schemas.openxmlformats.org/officeDocument/2006/relationships/hyperlink" Target="https://sealeddeck.tech/gAoZM5a1J6" TargetMode="External"/><Relationship Id="rId735" Type="http://schemas.openxmlformats.org/officeDocument/2006/relationships/hyperlink" Target="https://sealeddeck.tech/LM8nFfWt1K" TargetMode="External"/><Relationship Id="rId37" Type="http://schemas.openxmlformats.org/officeDocument/2006/relationships/hyperlink" Target="https://sealeddeck.tech/SVctMdiF95" TargetMode="External"/><Relationship Id="rId36" Type="http://schemas.openxmlformats.org/officeDocument/2006/relationships/hyperlink" Target="https://sealeddeck.tech/eEUdDLFp31" TargetMode="External"/><Relationship Id="rId39" Type="http://schemas.openxmlformats.org/officeDocument/2006/relationships/hyperlink" Target="https://sealeddeck.tech/JEWMPeD6AP" TargetMode="External"/><Relationship Id="rId38" Type="http://schemas.openxmlformats.org/officeDocument/2006/relationships/hyperlink" Target="https://sealeddeck.tech/9CBGhw1z7J" TargetMode="External"/><Relationship Id="rId730" Type="http://schemas.openxmlformats.org/officeDocument/2006/relationships/hyperlink" Target="https://sealeddeck.tech/Lkof8Wnhqr" TargetMode="External"/><Relationship Id="rId1320" Type="http://schemas.openxmlformats.org/officeDocument/2006/relationships/hyperlink" Target="https://sealeddeck.tech/5fmzQodRMJ" TargetMode="External"/><Relationship Id="rId1321" Type="http://schemas.openxmlformats.org/officeDocument/2006/relationships/hyperlink" Target="https://sealeddeck.tech/ZTYqocDzRW" TargetMode="External"/><Relationship Id="rId1322" Type="http://schemas.openxmlformats.org/officeDocument/2006/relationships/hyperlink" Target="https://sealeddeck.tech/sk15jgBgJm" TargetMode="External"/><Relationship Id="rId1356" Type="http://schemas.openxmlformats.org/officeDocument/2006/relationships/hyperlink" Target="https://sealeddeck.tech/dozHfpZTML" TargetMode="External"/><Relationship Id="rId1357" Type="http://schemas.openxmlformats.org/officeDocument/2006/relationships/hyperlink" Target="https://sealeddeck.tech/pVL4x2UCdy" TargetMode="External"/><Relationship Id="rId20" Type="http://schemas.openxmlformats.org/officeDocument/2006/relationships/hyperlink" Target="https://sealeddeck.tech/XD49n24PmY" TargetMode="External"/><Relationship Id="rId1358" Type="http://schemas.openxmlformats.org/officeDocument/2006/relationships/hyperlink" Target="https://sealeddeck.tech/rnGC5c8Sp5" TargetMode="External"/><Relationship Id="rId1359" Type="http://schemas.openxmlformats.org/officeDocument/2006/relationships/hyperlink" Target="https://sealeddeck.tech/baugTHiMWq" TargetMode="External"/><Relationship Id="rId22" Type="http://schemas.openxmlformats.org/officeDocument/2006/relationships/hyperlink" Target="https://sealeddeck.tech/z51kHUQxdw" TargetMode="External"/><Relationship Id="rId21" Type="http://schemas.openxmlformats.org/officeDocument/2006/relationships/hyperlink" Target="https://sealeddeck.tech/caHLXkUK8L" TargetMode="External"/><Relationship Id="rId24" Type="http://schemas.openxmlformats.org/officeDocument/2006/relationships/hyperlink" Target="https://sealeddeck.tech/VM1dteMCHf" TargetMode="External"/><Relationship Id="rId23" Type="http://schemas.openxmlformats.org/officeDocument/2006/relationships/hyperlink" Target="https://sealeddeck.tech/y7dZ6sK8Cd" TargetMode="External"/><Relationship Id="rId767" Type="http://schemas.openxmlformats.org/officeDocument/2006/relationships/hyperlink" Target="https://sealeddeck.tech/fvoApn46pk" TargetMode="External"/><Relationship Id="rId766" Type="http://schemas.openxmlformats.org/officeDocument/2006/relationships/hyperlink" Target="https://sealeddeck.tech/hQzrKyGEDE" TargetMode="External"/><Relationship Id="rId765" Type="http://schemas.openxmlformats.org/officeDocument/2006/relationships/hyperlink" Target="https://sealeddeck.tech/meUth737P7" TargetMode="External"/><Relationship Id="rId764" Type="http://schemas.openxmlformats.org/officeDocument/2006/relationships/hyperlink" Target="https://sealeddeck.tech/RwrrYRk7NG" TargetMode="External"/><Relationship Id="rId769" Type="http://schemas.openxmlformats.org/officeDocument/2006/relationships/hyperlink" Target="https://sealeddeck.tech/Lh4rkYcAU2" TargetMode="External"/><Relationship Id="rId768" Type="http://schemas.openxmlformats.org/officeDocument/2006/relationships/hyperlink" Target="https://sealeddeck.tech/jf7aN6uVF2" TargetMode="External"/><Relationship Id="rId26" Type="http://schemas.openxmlformats.org/officeDocument/2006/relationships/hyperlink" Target="https://sealeddeck.tech/cPeByUmkMH" TargetMode="External"/><Relationship Id="rId25" Type="http://schemas.openxmlformats.org/officeDocument/2006/relationships/hyperlink" Target="https://sealeddeck.tech/u6uRZ1fBU2" TargetMode="External"/><Relationship Id="rId28" Type="http://schemas.openxmlformats.org/officeDocument/2006/relationships/hyperlink" Target="https://sealeddeck.tech/X8nhFacBDF" TargetMode="External"/><Relationship Id="rId1350" Type="http://schemas.openxmlformats.org/officeDocument/2006/relationships/hyperlink" Target="https://sealeddeck.tech/XaZnFfWBUD" TargetMode="External"/><Relationship Id="rId27" Type="http://schemas.openxmlformats.org/officeDocument/2006/relationships/hyperlink" Target="https://sealeddeck.tech/aUcUQckDxC" TargetMode="External"/><Relationship Id="rId1351" Type="http://schemas.openxmlformats.org/officeDocument/2006/relationships/hyperlink" Target="https://sealeddeck.tech/V13Lap1YCh" TargetMode="External"/><Relationship Id="rId763" Type="http://schemas.openxmlformats.org/officeDocument/2006/relationships/hyperlink" Target="https://sealeddeck.tech/pUPDRob5Ey" TargetMode="External"/><Relationship Id="rId1352" Type="http://schemas.openxmlformats.org/officeDocument/2006/relationships/hyperlink" Target="https://sealeddeck.tech/d716vZzycM" TargetMode="External"/><Relationship Id="rId29" Type="http://schemas.openxmlformats.org/officeDocument/2006/relationships/hyperlink" Target="https://sealeddeck.tech/bHosoRgQQB" TargetMode="External"/><Relationship Id="rId762" Type="http://schemas.openxmlformats.org/officeDocument/2006/relationships/hyperlink" Target="https://sealeddeck.tech/UjneAXxHPK" TargetMode="External"/><Relationship Id="rId1353" Type="http://schemas.openxmlformats.org/officeDocument/2006/relationships/hyperlink" Target="https://sealeddeck.tech/hdErqNZyVF" TargetMode="External"/><Relationship Id="rId761" Type="http://schemas.openxmlformats.org/officeDocument/2006/relationships/hyperlink" Target="https://sealeddeck.tech/gT2jyaocmm" TargetMode="External"/><Relationship Id="rId1354" Type="http://schemas.openxmlformats.org/officeDocument/2006/relationships/hyperlink" Target="https://sealeddeck.tech/FJJcdDct93" TargetMode="External"/><Relationship Id="rId760" Type="http://schemas.openxmlformats.org/officeDocument/2006/relationships/hyperlink" Target="https://sealeddeck.tech/RdEBqvJt7Q" TargetMode="External"/><Relationship Id="rId1355" Type="http://schemas.openxmlformats.org/officeDocument/2006/relationships/hyperlink" Target="https://sealeddeck.tech/kxAckNoXNf" TargetMode="External"/><Relationship Id="rId1345" Type="http://schemas.openxmlformats.org/officeDocument/2006/relationships/hyperlink" Target="https://sealeddeck.tech/5DwaGhAkuN" TargetMode="External"/><Relationship Id="rId1346" Type="http://schemas.openxmlformats.org/officeDocument/2006/relationships/hyperlink" Target="https://sealeddeck.tech/dEhXRUhWNW" TargetMode="External"/><Relationship Id="rId1347" Type="http://schemas.openxmlformats.org/officeDocument/2006/relationships/hyperlink" Target="https://sealeddeck.tech/TfhWXBjC29" TargetMode="External"/><Relationship Id="rId1348" Type="http://schemas.openxmlformats.org/officeDocument/2006/relationships/hyperlink" Target="https://sealeddeck.tech/f4UFMjyhY4" TargetMode="External"/><Relationship Id="rId11" Type="http://schemas.openxmlformats.org/officeDocument/2006/relationships/hyperlink" Target="https://sealeddeck.tech/Xywv2uwbmC" TargetMode="External"/><Relationship Id="rId1349" Type="http://schemas.openxmlformats.org/officeDocument/2006/relationships/hyperlink" Target="https://sealeddeck.tech/GU1teAg3S7" TargetMode="External"/><Relationship Id="rId10" Type="http://schemas.openxmlformats.org/officeDocument/2006/relationships/hyperlink" Target="https://sealeddeck.tech/5gbAd7vfRE" TargetMode="External"/><Relationship Id="rId13" Type="http://schemas.openxmlformats.org/officeDocument/2006/relationships/hyperlink" Target="https://sealeddeck.tech/pA9nERshhU" TargetMode="External"/><Relationship Id="rId12" Type="http://schemas.openxmlformats.org/officeDocument/2006/relationships/hyperlink" Target="https://sealeddeck.tech/CqhWyvupiG" TargetMode="External"/><Relationship Id="rId756" Type="http://schemas.openxmlformats.org/officeDocument/2006/relationships/hyperlink" Target="https://sealeddeck.tech/rm1UqvdehX" TargetMode="External"/><Relationship Id="rId755" Type="http://schemas.openxmlformats.org/officeDocument/2006/relationships/hyperlink" Target="https://sealeddeck.tech/Jjdwc7hCc9" TargetMode="External"/><Relationship Id="rId754" Type="http://schemas.openxmlformats.org/officeDocument/2006/relationships/hyperlink" Target="https://sealeddeck.tech/uvb2Ri4YDL" TargetMode="External"/><Relationship Id="rId753" Type="http://schemas.openxmlformats.org/officeDocument/2006/relationships/hyperlink" Target="https://sealeddeck.tech/aWwXr89zeB" TargetMode="External"/><Relationship Id="rId759" Type="http://schemas.openxmlformats.org/officeDocument/2006/relationships/hyperlink" Target="https://sealeddeck.tech/N4FVVhrm5F" TargetMode="External"/><Relationship Id="rId758" Type="http://schemas.openxmlformats.org/officeDocument/2006/relationships/hyperlink" Target="https://sealeddeck.tech/xb94ZGpj7V" TargetMode="External"/><Relationship Id="rId757" Type="http://schemas.openxmlformats.org/officeDocument/2006/relationships/hyperlink" Target="https://sealeddeck.tech/Fhm4zZX1Fr" TargetMode="External"/><Relationship Id="rId15" Type="http://schemas.openxmlformats.org/officeDocument/2006/relationships/hyperlink" Target="https://sealeddeck.tech/YXBGfneSEc" TargetMode="External"/><Relationship Id="rId14" Type="http://schemas.openxmlformats.org/officeDocument/2006/relationships/hyperlink" Target="https://sealeddeck.tech/t9aG1ZkPGz" TargetMode="External"/><Relationship Id="rId17" Type="http://schemas.openxmlformats.org/officeDocument/2006/relationships/hyperlink" Target="https://sealeddeck.tech/tsRyL8rgrx" TargetMode="External"/><Relationship Id="rId16" Type="http://schemas.openxmlformats.org/officeDocument/2006/relationships/hyperlink" Target="https://sealeddeck.tech/R52y9h3iAF" TargetMode="External"/><Relationship Id="rId1340" Type="http://schemas.openxmlformats.org/officeDocument/2006/relationships/hyperlink" Target="https://sealeddeck.tech/KidXJB4zCp" TargetMode="External"/><Relationship Id="rId19" Type="http://schemas.openxmlformats.org/officeDocument/2006/relationships/hyperlink" Target="https://sealeddeck.tech/vRbtB7wvQr" TargetMode="External"/><Relationship Id="rId752" Type="http://schemas.openxmlformats.org/officeDocument/2006/relationships/hyperlink" Target="https://sealeddeck.tech/uiGrxQGtmp" TargetMode="External"/><Relationship Id="rId1341" Type="http://schemas.openxmlformats.org/officeDocument/2006/relationships/hyperlink" Target="https://sealeddeck.tech/EQpa6JS32b" TargetMode="External"/><Relationship Id="rId18" Type="http://schemas.openxmlformats.org/officeDocument/2006/relationships/hyperlink" Target="https://sealeddeck.tech/QhobqhiAHn" TargetMode="External"/><Relationship Id="rId751" Type="http://schemas.openxmlformats.org/officeDocument/2006/relationships/hyperlink" Target="https://sealeddeck.tech/Qinn6oJkm4" TargetMode="External"/><Relationship Id="rId1342" Type="http://schemas.openxmlformats.org/officeDocument/2006/relationships/hyperlink" Target="https://sealeddeck.tech/X216RDH2Wg" TargetMode="External"/><Relationship Id="rId750" Type="http://schemas.openxmlformats.org/officeDocument/2006/relationships/hyperlink" Target="https://sealeddeck.tech/pnji78Eavm" TargetMode="External"/><Relationship Id="rId1343" Type="http://schemas.openxmlformats.org/officeDocument/2006/relationships/hyperlink" Target="https://sealeddeck.tech/zpoCoQgSBu" TargetMode="External"/><Relationship Id="rId1344" Type="http://schemas.openxmlformats.org/officeDocument/2006/relationships/hyperlink" Target="https://sealeddeck.tech/Ny9CCetGFF" TargetMode="External"/><Relationship Id="rId84" Type="http://schemas.openxmlformats.org/officeDocument/2006/relationships/hyperlink" Target="https://sealeddeck.tech/vBj2nLzYNG" TargetMode="External"/><Relationship Id="rId83" Type="http://schemas.openxmlformats.org/officeDocument/2006/relationships/hyperlink" Target="https://sealeddeck.tech/JYSn5XYshU" TargetMode="External"/><Relationship Id="rId86" Type="http://schemas.openxmlformats.org/officeDocument/2006/relationships/hyperlink" Target="https://sealeddeck.tech/abzEsCBb8C" TargetMode="External"/><Relationship Id="rId85" Type="http://schemas.openxmlformats.org/officeDocument/2006/relationships/hyperlink" Target="https://sealeddeck.tech/6iVbtvErNq" TargetMode="External"/><Relationship Id="rId88" Type="http://schemas.openxmlformats.org/officeDocument/2006/relationships/hyperlink" Target="https://sealeddeck.tech/Dcrn1LaDtK" TargetMode="External"/><Relationship Id="rId87" Type="http://schemas.openxmlformats.org/officeDocument/2006/relationships/hyperlink" Target="https://sealeddeck.tech/yhz89BHn1F" TargetMode="External"/><Relationship Id="rId89" Type="http://schemas.openxmlformats.org/officeDocument/2006/relationships/hyperlink" Target="https://sealeddeck.tech/GaKCTRbxEb" TargetMode="External"/><Relationship Id="rId709" Type="http://schemas.openxmlformats.org/officeDocument/2006/relationships/hyperlink" Target="https://sealeddeck.tech/fRphYryBMM" TargetMode="External"/><Relationship Id="rId708" Type="http://schemas.openxmlformats.org/officeDocument/2006/relationships/hyperlink" Target="https://sealeddeck.tech/mZnV7qEVEe" TargetMode="External"/><Relationship Id="rId707" Type="http://schemas.openxmlformats.org/officeDocument/2006/relationships/hyperlink" Target="https://sealeddeck.tech/YodL5FCJfH" TargetMode="External"/><Relationship Id="rId706" Type="http://schemas.openxmlformats.org/officeDocument/2006/relationships/hyperlink" Target="https://sealeddeck.tech/EsfRR9vxJa" TargetMode="External"/><Relationship Id="rId80" Type="http://schemas.openxmlformats.org/officeDocument/2006/relationships/hyperlink" Target="https://sealeddeck.tech/ozasKmtw6Y" TargetMode="External"/><Relationship Id="rId82" Type="http://schemas.openxmlformats.org/officeDocument/2006/relationships/hyperlink" Target="https://sealeddeck.tech/ct8yQ2G8cA" TargetMode="External"/><Relationship Id="rId81" Type="http://schemas.openxmlformats.org/officeDocument/2006/relationships/hyperlink" Target="https://sealeddeck.tech/ezxaDWFow8" TargetMode="External"/><Relationship Id="rId701" Type="http://schemas.openxmlformats.org/officeDocument/2006/relationships/hyperlink" Target="https://sealeddeck.tech/r4mjGzJf4B" TargetMode="External"/><Relationship Id="rId700" Type="http://schemas.openxmlformats.org/officeDocument/2006/relationships/hyperlink" Target="https://sealeddeck.tech/WiDcQTZBRB" TargetMode="External"/><Relationship Id="rId705" Type="http://schemas.openxmlformats.org/officeDocument/2006/relationships/hyperlink" Target="https://sealeddeck.tech/Udf2zih3i5" TargetMode="External"/><Relationship Id="rId704" Type="http://schemas.openxmlformats.org/officeDocument/2006/relationships/hyperlink" Target="https://sealeddeck.tech/NTYJ68TghA" TargetMode="External"/><Relationship Id="rId703" Type="http://schemas.openxmlformats.org/officeDocument/2006/relationships/hyperlink" Target="https://sealeddeck.tech/Zb65vobAkh" TargetMode="External"/><Relationship Id="rId702" Type="http://schemas.openxmlformats.org/officeDocument/2006/relationships/hyperlink" Target="https://sealeddeck.tech/hdzGQTHLHB" TargetMode="External"/><Relationship Id="rId1770" Type="http://schemas.openxmlformats.org/officeDocument/2006/relationships/hyperlink" Target="https://sealeddeck.tech/UrHPkpWJtv" TargetMode="External"/><Relationship Id="rId1771" Type="http://schemas.openxmlformats.org/officeDocument/2006/relationships/hyperlink" Target="https://sealeddeck.tech/E2gSXB5yGs" TargetMode="External"/><Relationship Id="rId1772" Type="http://schemas.openxmlformats.org/officeDocument/2006/relationships/drawing" Target="../drawings/drawing13.xml"/><Relationship Id="rId73" Type="http://schemas.openxmlformats.org/officeDocument/2006/relationships/hyperlink" Target="https://sealeddeck.tech/ESF4bkFC8e" TargetMode="External"/><Relationship Id="rId1763" Type="http://schemas.openxmlformats.org/officeDocument/2006/relationships/hyperlink" Target="https://sealeddeck.tech/oif1Ne9Wic" TargetMode="External"/><Relationship Id="rId72" Type="http://schemas.openxmlformats.org/officeDocument/2006/relationships/hyperlink" Target="https://sealeddeck.tech/osUJfh4chQ" TargetMode="External"/><Relationship Id="rId1764" Type="http://schemas.openxmlformats.org/officeDocument/2006/relationships/hyperlink" Target="https://sealeddeck.tech/kCe4z6suba" TargetMode="External"/><Relationship Id="rId75" Type="http://schemas.openxmlformats.org/officeDocument/2006/relationships/hyperlink" Target="https://sealeddeck.tech/2SqztaF2xE" TargetMode="External"/><Relationship Id="rId1765" Type="http://schemas.openxmlformats.org/officeDocument/2006/relationships/hyperlink" Target="https://sealeddeck.tech/i1kqLNRdWG" TargetMode="External"/><Relationship Id="rId74" Type="http://schemas.openxmlformats.org/officeDocument/2006/relationships/hyperlink" Target="https://sealeddeck.tech/kjM617yN38" TargetMode="External"/><Relationship Id="rId1766" Type="http://schemas.openxmlformats.org/officeDocument/2006/relationships/hyperlink" Target="https://sealeddeck.tech/VwQBkCn6XG" TargetMode="External"/><Relationship Id="rId77" Type="http://schemas.openxmlformats.org/officeDocument/2006/relationships/hyperlink" Target="https://sealeddeck.tech/NmHesneMwX" TargetMode="External"/><Relationship Id="rId1767" Type="http://schemas.openxmlformats.org/officeDocument/2006/relationships/hyperlink" Target="https://sealeddeck.tech/NoikCPSyZC" TargetMode="External"/><Relationship Id="rId76" Type="http://schemas.openxmlformats.org/officeDocument/2006/relationships/hyperlink" Target="https://sealeddeck.tech/pN6PnpzgBK" TargetMode="External"/><Relationship Id="rId1768" Type="http://schemas.openxmlformats.org/officeDocument/2006/relationships/hyperlink" Target="https://sealeddeck.tech/i33231nxw3" TargetMode="External"/><Relationship Id="rId79" Type="http://schemas.openxmlformats.org/officeDocument/2006/relationships/hyperlink" Target="https://sealeddeck.tech/MghQduV2nP" TargetMode="External"/><Relationship Id="rId1769" Type="http://schemas.openxmlformats.org/officeDocument/2006/relationships/hyperlink" Target="https://sealeddeck.tech/kNRRmR3Xgn" TargetMode="External"/><Relationship Id="rId78" Type="http://schemas.openxmlformats.org/officeDocument/2006/relationships/hyperlink" Target="https://sealeddeck.tech/u7q9e9TXxk" TargetMode="External"/><Relationship Id="rId71" Type="http://schemas.openxmlformats.org/officeDocument/2006/relationships/hyperlink" Target="https://sealeddeck.tech/JQTZnizG22" TargetMode="External"/><Relationship Id="rId70" Type="http://schemas.openxmlformats.org/officeDocument/2006/relationships/hyperlink" Target="https://sealeddeck.tech/d3MDrQJ5aJ" TargetMode="External"/><Relationship Id="rId1760" Type="http://schemas.openxmlformats.org/officeDocument/2006/relationships/hyperlink" Target="https://sealeddeck.tech/ASbJbB1ohS" TargetMode="External"/><Relationship Id="rId1761" Type="http://schemas.openxmlformats.org/officeDocument/2006/relationships/hyperlink" Target="https://sealeddeck.tech/MWCwAaJmy7" TargetMode="External"/><Relationship Id="rId1762" Type="http://schemas.openxmlformats.org/officeDocument/2006/relationships/hyperlink" Target="https://sealeddeck.tech/cirS97agpT" TargetMode="External"/><Relationship Id="rId62" Type="http://schemas.openxmlformats.org/officeDocument/2006/relationships/hyperlink" Target="https://sealeddeck.tech/cViTWJfzqK" TargetMode="External"/><Relationship Id="rId1312" Type="http://schemas.openxmlformats.org/officeDocument/2006/relationships/hyperlink" Target="https://sealeddeck.tech/uYbJGEd7eB" TargetMode="External"/><Relationship Id="rId61" Type="http://schemas.openxmlformats.org/officeDocument/2006/relationships/hyperlink" Target="https://sealeddeck.tech/RRPnsbYGGs" TargetMode="External"/><Relationship Id="rId1313" Type="http://schemas.openxmlformats.org/officeDocument/2006/relationships/hyperlink" Target="https://sealeddeck.tech/BsWCJanLB9" TargetMode="External"/><Relationship Id="rId64" Type="http://schemas.openxmlformats.org/officeDocument/2006/relationships/hyperlink" Target="https://sealeddeck.tech/GYRHxakdi7" TargetMode="External"/><Relationship Id="rId1314" Type="http://schemas.openxmlformats.org/officeDocument/2006/relationships/hyperlink" Target="https://sealeddeck.tech/mXbUVHmFJ1" TargetMode="External"/><Relationship Id="rId63" Type="http://schemas.openxmlformats.org/officeDocument/2006/relationships/hyperlink" Target="https://sealeddeck.tech/RDWKfemuS5" TargetMode="External"/><Relationship Id="rId1315" Type="http://schemas.openxmlformats.org/officeDocument/2006/relationships/hyperlink" Target="https://sealeddeck.tech/T1t6gnZ8Aj" TargetMode="External"/><Relationship Id="rId66" Type="http://schemas.openxmlformats.org/officeDocument/2006/relationships/hyperlink" Target="https://sealeddeck.tech/mkPJfw8ggx" TargetMode="External"/><Relationship Id="rId1316" Type="http://schemas.openxmlformats.org/officeDocument/2006/relationships/hyperlink" Target="https://sealeddeck.tech/8krw7CKKwi" TargetMode="External"/><Relationship Id="rId65" Type="http://schemas.openxmlformats.org/officeDocument/2006/relationships/hyperlink" Target="https://sealeddeck.tech/aWdPQauvKT" TargetMode="External"/><Relationship Id="rId1317" Type="http://schemas.openxmlformats.org/officeDocument/2006/relationships/hyperlink" Target="https://sealeddeck.tech/iL5rXJXHg8" TargetMode="External"/><Relationship Id="rId68" Type="http://schemas.openxmlformats.org/officeDocument/2006/relationships/hyperlink" Target="https://sealeddeck.tech/Q6zyMMkB5f" TargetMode="External"/><Relationship Id="rId1318" Type="http://schemas.openxmlformats.org/officeDocument/2006/relationships/hyperlink" Target="https://sealeddeck.tech/JvBE1sSvnq" TargetMode="External"/><Relationship Id="rId67" Type="http://schemas.openxmlformats.org/officeDocument/2006/relationships/hyperlink" Target="https://sealeddeck.tech/WvF8gRwt73" TargetMode="External"/><Relationship Id="rId1319" Type="http://schemas.openxmlformats.org/officeDocument/2006/relationships/hyperlink" Target="https://sealeddeck.tech/dwocf6Da1x" TargetMode="External"/><Relationship Id="rId729" Type="http://schemas.openxmlformats.org/officeDocument/2006/relationships/hyperlink" Target="https://sealeddeck.tech/4zpgPSoUro" TargetMode="External"/><Relationship Id="rId728" Type="http://schemas.openxmlformats.org/officeDocument/2006/relationships/hyperlink" Target="https://sealeddeck.tech/17ZfFU1W4b" TargetMode="External"/><Relationship Id="rId60" Type="http://schemas.openxmlformats.org/officeDocument/2006/relationships/hyperlink" Target="https://sealeddeck.tech/Z3jRLe9jCE" TargetMode="External"/><Relationship Id="rId723" Type="http://schemas.openxmlformats.org/officeDocument/2006/relationships/hyperlink" Target="https://sealeddeck.tech/JncBdscg5T" TargetMode="External"/><Relationship Id="rId722" Type="http://schemas.openxmlformats.org/officeDocument/2006/relationships/hyperlink" Target="https://sealeddeck.tech/oX3DEtH4Ht" TargetMode="External"/><Relationship Id="rId721" Type="http://schemas.openxmlformats.org/officeDocument/2006/relationships/hyperlink" Target="https://sealeddeck.tech/bPEtEhMTB9" TargetMode="External"/><Relationship Id="rId720" Type="http://schemas.openxmlformats.org/officeDocument/2006/relationships/hyperlink" Target="https://sealeddeck.tech/iyz9WrqHc6" TargetMode="External"/><Relationship Id="rId727" Type="http://schemas.openxmlformats.org/officeDocument/2006/relationships/hyperlink" Target="https://sealeddeck.tech/VqGLLUVWWq" TargetMode="External"/><Relationship Id="rId726" Type="http://schemas.openxmlformats.org/officeDocument/2006/relationships/hyperlink" Target="https://sealeddeck.tech/zPQ3iZhCp3" TargetMode="External"/><Relationship Id="rId725" Type="http://schemas.openxmlformats.org/officeDocument/2006/relationships/hyperlink" Target="https://sealeddeck.tech/6PMAt5drFg" TargetMode="External"/><Relationship Id="rId724" Type="http://schemas.openxmlformats.org/officeDocument/2006/relationships/hyperlink" Target="https://sealeddeck.tech/PCV54PyT6y" TargetMode="External"/><Relationship Id="rId69" Type="http://schemas.openxmlformats.org/officeDocument/2006/relationships/hyperlink" Target="https://sealeddeck.tech/SjDJNmfuQr" TargetMode="External"/><Relationship Id="rId1310" Type="http://schemas.openxmlformats.org/officeDocument/2006/relationships/hyperlink" Target="https://sealeddeck.tech/9NKRYXDPPd" TargetMode="External"/><Relationship Id="rId1311" Type="http://schemas.openxmlformats.org/officeDocument/2006/relationships/hyperlink" Target="https://sealeddeck.tech/rafxUJqZiR" TargetMode="External"/><Relationship Id="rId51" Type="http://schemas.openxmlformats.org/officeDocument/2006/relationships/hyperlink" Target="https://sealeddeck.tech/kJPZn5GkEp" TargetMode="External"/><Relationship Id="rId1301" Type="http://schemas.openxmlformats.org/officeDocument/2006/relationships/hyperlink" Target="https://sealeddeck.tech/f4VuWmTuwF" TargetMode="External"/><Relationship Id="rId50" Type="http://schemas.openxmlformats.org/officeDocument/2006/relationships/hyperlink" Target="https://sealeddeck.tech/7a6KdjiHi6" TargetMode="External"/><Relationship Id="rId1302" Type="http://schemas.openxmlformats.org/officeDocument/2006/relationships/hyperlink" Target="https://sealeddeck.tech/pKn3LeHTWH" TargetMode="External"/><Relationship Id="rId53" Type="http://schemas.openxmlformats.org/officeDocument/2006/relationships/hyperlink" Target="https://sealeddeck.tech/kW9Pe8ZrFW" TargetMode="External"/><Relationship Id="rId1303" Type="http://schemas.openxmlformats.org/officeDocument/2006/relationships/hyperlink" Target="https://sealeddeck.tech/fCCVKZhQru" TargetMode="External"/><Relationship Id="rId52" Type="http://schemas.openxmlformats.org/officeDocument/2006/relationships/hyperlink" Target="https://sealeddeck.tech/wcJ1BbH4KK" TargetMode="External"/><Relationship Id="rId1304" Type="http://schemas.openxmlformats.org/officeDocument/2006/relationships/hyperlink" Target="https://sealeddeck.tech/C1RYbnmapn" TargetMode="External"/><Relationship Id="rId55" Type="http://schemas.openxmlformats.org/officeDocument/2006/relationships/hyperlink" Target="https://sealeddeck.tech/CoZEae9i3t" TargetMode="External"/><Relationship Id="rId1305" Type="http://schemas.openxmlformats.org/officeDocument/2006/relationships/hyperlink" Target="https://sealeddeck.tech/NtNPKz2vG1" TargetMode="External"/><Relationship Id="rId54" Type="http://schemas.openxmlformats.org/officeDocument/2006/relationships/hyperlink" Target="https://sealeddeck.tech/5P7SS8dVNg" TargetMode="External"/><Relationship Id="rId1306" Type="http://schemas.openxmlformats.org/officeDocument/2006/relationships/hyperlink" Target="https://sealeddeck.tech/YchjLiafub" TargetMode="External"/><Relationship Id="rId57" Type="http://schemas.openxmlformats.org/officeDocument/2006/relationships/hyperlink" Target="https://sealeddeck.tech/JuZ3umAGwX" TargetMode="External"/><Relationship Id="rId1307" Type="http://schemas.openxmlformats.org/officeDocument/2006/relationships/hyperlink" Target="https://sealeddeck.tech/YfLA2kaJCA" TargetMode="External"/><Relationship Id="rId56" Type="http://schemas.openxmlformats.org/officeDocument/2006/relationships/hyperlink" Target="https://sealeddeck.tech/MCWkPcBnk2" TargetMode="External"/><Relationship Id="rId1308" Type="http://schemas.openxmlformats.org/officeDocument/2006/relationships/hyperlink" Target="https://sealeddeck.tech/jgDUZLeRcU" TargetMode="External"/><Relationship Id="rId1309" Type="http://schemas.openxmlformats.org/officeDocument/2006/relationships/hyperlink" Target="https://sealeddeck.tech/PCvwy5HWGs" TargetMode="External"/><Relationship Id="rId719" Type="http://schemas.openxmlformats.org/officeDocument/2006/relationships/hyperlink" Target="https://sealeddeck.tech/Q3ZcPqiaVP" TargetMode="External"/><Relationship Id="rId718" Type="http://schemas.openxmlformats.org/officeDocument/2006/relationships/hyperlink" Target="https://sealeddeck.tech/HcjNMniz5Z" TargetMode="External"/><Relationship Id="rId717" Type="http://schemas.openxmlformats.org/officeDocument/2006/relationships/hyperlink" Target="https://sealeddeck.tech/mvwrxrCTNQ" TargetMode="External"/><Relationship Id="rId712" Type="http://schemas.openxmlformats.org/officeDocument/2006/relationships/hyperlink" Target="https://sealeddeck.tech/XcZHY2Mjqk" TargetMode="External"/><Relationship Id="rId711" Type="http://schemas.openxmlformats.org/officeDocument/2006/relationships/hyperlink" Target="https://sealeddeck.tech/LfpbAnGE4j" TargetMode="External"/><Relationship Id="rId710" Type="http://schemas.openxmlformats.org/officeDocument/2006/relationships/hyperlink" Target="https://sealeddeck.tech/k1ADrAVqyQ" TargetMode="External"/><Relationship Id="rId716" Type="http://schemas.openxmlformats.org/officeDocument/2006/relationships/hyperlink" Target="https://sealeddeck.tech/rLovnTLsE7" TargetMode="External"/><Relationship Id="rId715" Type="http://schemas.openxmlformats.org/officeDocument/2006/relationships/hyperlink" Target="https://sealeddeck.tech/TwkVNf735H" TargetMode="External"/><Relationship Id="rId714" Type="http://schemas.openxmlformats.org/officeDocument/2006/relationships/hyperlink" Target="https://sealeddeck.tech/z75XSiCizS" TargetMode="External"/><Relationship Id="rId713" Type="http://schemas.openxmlformats.org/officeDocument/2006/relationships/hyperlink" Target="https://sealeddeck.tech/shNy1KJ55w" TargetMode="External"/><Relationship Id="rId59" Type="http://schemas.openxmlformats.org/officeDocument/2006/relationships/hyperlink" Target="https://sealeddeck.tech/ZVPDNYVs43" TargetMode="External"/><Relationship Id="rId58" Type="http://schemas.openxmlformats.org/officeDocument/2006/relationships/hyperlink" Target="https://sealeddeck.tech/aL85h6WeRb" TargetMode="External"/><Relationship Id="rId1300" Type="http://schemas.openxmlformats.org/officeDocument/2006/relationships/hyperlink" Target="https://sealeddeck.tech/dMVf9Nr5TS" TargetMode="External"/><Relationship Id="rId349" Type="http://schemas.openxmlformats.org/officeDocument/2006/relationships/hyperlink" Target="https://sealeddeck.tech/NmeqLM8EoB" TargetMode="External"/><Relationship Id="rId348" Type="http://schemas.openxmlformats.org/officeDocument/2006/relationships/hyperlink" Target="https://sealeddeck.tech/DgPrYjFaY4" TargetMode="External"/><Relationship Id="rId347" Type="http://schemas.openxmlformats.org/officeDocument/2006/relationships/hyperlink" Target="https://sealeddeck.tech/JP6iqxRiHi" TargetMode="External"/><Relationship Id="rId346" Type="http://schemas.openxmlformats.org/officeDocument/2006/relationships/hyperlink" Target="https://sealeddeck.tech/g4EDDPvBA6" TargetMode="External"/><Relationship Id="rId341" Type="http://schemas.openxmlformats.org/officeDocument/2006/relationships/hyperlink" Target="https://sealeddeck.tech/ejUzPPtkHv" TargetMode="External"/><Relationship Id="rId340" Type="http://schemas.openxmlformats.org/officeDocument/2006/relationships/hyperlink" Target="https://sealeddeck.tech/hvzYmdURRN" TargetMode="External"/><Relationship Id="rId345" Type="http://schemas.openxmlformats.org/officeDocument/2006/relationships/hyperlink" Target="https://sealeddeck.tech/PaTQdZr4oo" TargetMode="External"/><Relationship Id="rId344" Type="http://schemas.openxmlformats.org/officeDocument/2006/relationships/hyperlink" Target="https://sealeddeck.tech/Eui64wvZn7" TargetMode="External"/><Relationship Id="rId343" Type="http://schemas.openxmlformats.org/officeDocument/2006/relationships/hyperlink" Target="https://sealeddeck.tech/avowjwn5VV" TargetMode="External"/><Relationship Id="rId342" Type="http://schemas.openxmlformats.org/officeDocument/2006/relationships/hyperlink" Target="https://sealeddeck.tech/nCtJRWtfT7" TargetMode="External"/><Relationship Id="rId338" Type="http://schemas.openxmlformats.org/officeDocument/2006/relationships/hyperlink" Target="https://sealeddeck.tech/TQbDaLNuUC" TargetMode="External"/><Relationship Id="rId337" Type="http://schemas.openxmlformats.org/officeDocument/2006/relationships/hyperlink" Target="https://sealeddeck.tech/q2MhE4YtEk" TargetMode="External"/><Relationship Id="rId336" Type="http://schemas.openxmlformats.org/officeDocument/2006/relationships/hyperlink" Target="https://sealeddeck.tech/t5knoZRN7a" TargetMode="External"/><Relationship Id="rId335" Type="http://schemas.openxmlformats.org/officeDocument/2006/relationships/hyperlink" Target="https://sealeddeck.tech/qGRdNB8CBc" TargetMode="External"/><Relationship Id="rId339" Type="http://schemas.openxmlformats.org/officeDocument/2006/relationships/hyperlink" Target="https://sealeddeck.tech/Jqa64QdTx1" TargetMode="External"/><Relationship Id="rId330" Type="http://schemas.openxmlformats.org/officeDocument/2006/relationships/hyperlink" Target="https://sealeddeck.tech/vkZCrXkAyS" TargetMode="External"/><Relationship Id="rId334" Type="http://schemas.openxmlformats.org/officeDocument/2006/relationships/hyperlink" Target="https://sealeddeck.tech/7Utt63XssJ" TargetMode="External"/><Relationship Id="rId333" Type="http://schemas.openxmlformats.org/officeDocument/2006/relationships/hyperlink" Target="https://sealeddeck.tech/Yk2vNLgffn" TargetMode="External"/><Relationship Id="rId332" Type="http://schemas.openxmlformats.org/officeDocument/2006/relationships/hyperlink" Target="https://sealeddeck.tech/DcdWKNmgac" TargetMode="External"/><Relationship Id="rId331" Type="http://schemas.openxmlformats.org/officeDocument/2006/relationships/hyperlink" Target="https://sealeddeck.tech/oGFd8Qfisi" TargetMode="External"/><Relationship Id="rId370" Type="http://schemas.openxmlformats.org/officeDocument/2006/relationships/hyperlink" Target="https://sealeddeck.tech/2kxVyjELSw" TargetMode="External"/><Relationship Id="rId369" Type="http://schemas.openxmlformats.org/officeDocument/2006/relationships/hyperlink" Target="https://sealeddeck.tech/5YXsMteZwb" TargetMode="External"/><Relationship Id="rId368" Type="http://schemas.openxmlformats.org/officeDocument/2006/relationships/hyperlink" Target="https://sealeddeck.tech/6mH3mPfP7T" TargetMode="External"/><Relationship Id="rId363" Type="http://schemas.openxmlformats.org/officeDocument/2006/relationships/hyperlink" Target="https://sealeddeck.tech/Lenvob5KiE" TargetMode="External"/><Relationship Id="rId362" Type="http://schemas.openxmlformats.org/officeDocument/2006/relationships/hyperlink" Target="https://sealeddeck.tech/sNQrEtJuYQ" TargetMode="External"/><Relationship Id="rId361" Type="http://schemas.openxmlformats.org/officeDocument/2006/relationships/hyperlink" Target="https://sealeddeck.tech/n9yyZF48vD" TargetMode="External"/><Relationship Id="rId360" Type="http://schemas.openxmlformats.org/officeDocument/2006/relationships/hyperlink" Target="https://sealeddeck.tech/wNwxef797F" TargetMode="External"/><Relationship Id="rId367" Type="http://schemas.openxmlformats.org/officeDocument/2006/relationships/hyperlink" Target="https://sealeddeck.tech/LEH4wvCNpZ" TargetMode="External"/><Relationship Id="rId366" Type="http://schemas.openxmlformats.org/officeDocument/2006/relationships/hyperlink" Target="https://sealeddeck.tech/4DcHEmBGU2" TargetMode="External"/><Relationship Id="rId365" Type="http://schemas.openxmlformats.org/officeDocument/2006/relationships/hyperlink" Target="https://sealeddeck.tech/2jG5nur4CM" TargetMode="External"/><Relationship Id="rId364" Type="http://schemas.openxmlformats.org/officeDocument/2006/relationships/hyperlink" Target="https://sealeddeck.tech/J6X6PdV1Br" TargetMode="External"/><Relationship Id="rId95" Type="http://schemas.openxmlformats.org/officeDocument/2006/relationships/hyperlink" Target="https://sealeddeck.tech/AQBwWJQk8a" TargetMode="External"/><Relationship Id="rId94" Type="http://schemas.openxmlformats.org/officeDocument/2006/relationships/hyperlink" Target="https://sealeddeck.tech/FkFgREtFxe" TargetMode="External"/><Relationship Id="rId97" Type="http://schemas.openxmlformats.org/officeDocument/2006/relationships/hyperlink" Target="https://sealeddeck.tech/RwGkYExB78" TargetMode="External"/><Relationship Id="rId96" Type="http://schemas.openxmlformats.org/officeDocument/2006/relationships/hyperlink" Target="https://sealeddeck.tech/WczdvUkyra" TargetMode="External"/><Relationship Id="rId99" Type="http://schemas.openxmlformats.org/officeDocument/2006/relationships/hyperlink" Target="https://sealeddeck.tech/jr4CEGEnK2" TargetMode="External"/><Relationship Id="rId98" Type="http://schemas.openxmlformats.org/officeDocument/2006/relationships/hyperlink" Target="https://sealeddeck.tech/kkTUdEdy3d" TargetMode="External"/><Relationship Id="rId91" Type="http://schemas.openxmlformats.org/officeDocument/2006/relationships/hyperlink" Target="https://sealeddeck.tech/RSum3b6Z2v" TargetMode="External"/><Relationship Id="rId90" Type="http://schemas.openxmlformats.org/officeDocument/2006/relationships/hyperlink" Target="https://sealeddeck.tech/84D6Rq1RpW" TargetMode="External"/><Relationship Id="rId93" Type="http://schemas.openxmlformats.org/officeDocument/2006/relationships/hyperlink" Target="https://sealeddeck.tech/jdZ2xXe97K" TargetMode="External"/><Relationship Id="rId92" Type="http://schemas.openxmlformats.org/officeDocument/2006/relationships/hyperlink" Target="https://sealeddeck.tech/JF89wbhTd5" TargetMode="External"/><Relationship Id="rId359" Type="http://schemas.openxmlformats.org/officeDocument/2006/relationships/hyperlink" Target="https://sealeddeck.tech/6uT48QwKas" TargetMode="External"/><Relationship Id="rId358" Type="http://schemas.openxmlformats.org/officeDocument/2006/relationships/hyperlink" Target="https://sealeddeck.tech/A4EbrTegyd" TargetMode="External"/><Relationship Id="rId357" Type="http://schemas.openxmlformats.org/officeDocument/2006/relationships/hyperlink" Target="https://sealeddeck.tech/3efSe6MFNG" TargetMode="External"/><Relationship Id="rId352" Type="http://schemas.openxmlformats.org/officeDocument/2006/relationships/hyperlink" Target="https://sealeddeck.tech/VhhnDGV6WC" TargetMode="External"/><Relationship Id="rId351" Type="http://schemas.openxmlformats.org/officeDocument/2006/relationships/hyperlink" Target="https://sealeddeck.tech/SS8ArvNYpU" TargetMode="External"/><Relationship Id="rId350" Type="http://schemas.openxmlformats.org/officeDocument/2006/relationships/hyperlink" Target="https://sealeddeck.tech/JUNxnah7PK" TargetMode="External"/><Relationship Id="rId356" Type="http://schemas.openxmlformats.org/officeDocument/2006/relationships/hyperlink" Target="https://sealeddeck.tech/uvrjNoS3nh" TargetMode="External"/><Relationship Id="rId355" Type="http://schemas.openxmlformats.org/officeDocument/2006/relationships/hyperlink" Target="https://sealeddeck.tech/svS1qyh3pR" TargetMode="External"/><Relationship Id="rId354" Type="http://schemas.openxmlformats.org/officeDocument/2006/relationships/hyperlink" Target="https://sealeddeck.tech/buJrXdmBVR" TargetMode="External"/><Relationship Id="rId353" Type="http://schemas.openxmlformats.org/officeDocument/2006/relationships/hyperlink" Target="https://sealeddeck.tech/MDrH6tPdbR" TargetMode="External"/><Relationship Id="rId1378" Type="http://schemas.openxmlformats.org/officeDocument/2006/relationships/hyperlink" Target="https://sealeddeck.tech/sNvpFqZ6mL" TargetMode="External"/><Relationship Id="rId1379" Type="http://schemas.openxmlformats.org/officeDocument/2006/relationships/hyperlink" Target="https://sealeddeck.tech/472ZRi58Rh" TargetMode="External"/><Relationship Id="rId305" Type="http://schemas.openxmlformats.org/officeDocument/2006/relationships/hyperlink" Target="https://sealeddeck.tech/3UwN7EsSjH" TargetMode="External"/><Relationship Id="rId789" Type="http://schemas.openxmlformats.org/officeDocument/2006/relationships/hyperlink" Target="https://sealeddeck.tech/eT1PzgDgJw" TargetMode="External"/><Relationship Id="rId304" Type="http://schemas.openxmlformats.org/officeDocument/2006/relationships/hyperlink" Target="https://sealeddeck.tech/berBY5P4vJ" TargetMode="External"/><Relationship Id="rId788" Type="http://schemas.openxmlformats.org/officeDocument/2006/relationships/hyperlink" Target="https://sealeddeck.tech/6fZqdUUSbo" TargetMode="External"/><Relationship Id="rId303" Type="http://schemas.openxmlformats.org/officeDocument/2006/relationships/hyperlink" Target="https://sealeddeck.tech/ocJEEHzTci" TargetMode="External"/><Relationship Id="rId787" Type="http://schemas.openxmlformats.org/officeDocument/2006/relationships/hyperlink" Target="https://sealeddeck.tech/bmNqo7SeBL" TargetMode="External"/><Relationship Id="rId302" Type="http://schemas.openxmlformats.org/officeDocument/2006/relationships/hyperlink" Target="https://sealeddeck.tech/Fim8VzoQsy" TargetMode="External"/><Relationship Id="rId786" Type="http://schemas.openxmlformats.org/officeDocument/2006/relationships/hyperlink" Target="https://sealeddeck.tech/vDgGr7LMDe" TargetMode="External"/><Relationship Id="rId309" Type="http://schemas.openxmlformats.org/officeDocument/2006/relationships/hyperlink" Target="https://sealeddeck.tech/ZMoqAnfTMf" TargetMode="External"/><Relationship Id="rId308" Type="http://schemas.openxmlformats.org/officeDocument/2006/relationships/hyperlink" Target="https://sealeddeck.tech/WpAKinvT5u" TargetMode="External"/><Relationship Id="rId307" Type="http://schemas.openxmlformats.org/officeDocument/2006/relationships/hyperlink" Target="https://sealeddeck.tech/7UjQQ5MMeq" TargetMode="External"/><Relationship Id="rId306" Type="http://schemas.openxmlformats.org/officeDocument/2006/relationships/hyperlink" Target="https://sealeddeck.tech/XPVZVJVVp3" TargetMode="External"/><Relationship Id="rId781" Type="http://schemas.openxmlformats.org/officeDocument/2006/relationships/hyperlink" Target="https://sealeddeck.tech/nFHnQ6Xzp1" TargetMode="External"/><Relationship Id="rId1370" Type="http://schemas.openxmlformats.org/officeDocument/2006/relationships/hyperlink" Target="https://sealeddeck.tech/thsUVXewAE" TargetMode="External"/><Relationship Id="rId780" Type="http://schemas.openxmlformats.org/officeDocument/2006/relationships/hyperlink" Target="https://sealeddeck.tech/xAzFvNyR4H" TargetMode="External"/><Relationship Id="rId1371" Type="http://schemas.openxmlformats.org/officeDocument/2006/relationships/hyperlink" Target="https://sealeddeck.tech/3immaoVv1d" TargetMode="External"/><Relationship Id="rId1372" Type="http://schemas.openxmlformats.org/officeDocument/2006/relationships/hyperlink" Target="https://sealeddeck.tech/zZ7HKoWjyF" TargetMode="External"/><Relationship Id="rId1373" Type="http://schemas.openxmlformats.org/officeDocument/2006/relationships/hyperlink" Target="https://sealeddeck.tech/h7aq8SPRrD" TargetMode="External"/><Relationship Id="rId301" Type="http://schemas.openxmlformats.org/officeDocument/2006/relationships/hyperlink" Target="https://sealeddeck.tech/KC9g9QjMxn" TargetMode="External"/><Relationship Id="rId785" Type="http://schemas.openxmlformats.org/officeDocument/2006/relationships/hyperlink" Target="https://sealeddeck.tech/UmrpcqCBES" TargetMode="External"/><Relationship Id="rId1374" Type="http://schemas.openxmlformats.org/officeDocument/2006/relationships/hyperlink" Target="https://sealeddeck.tech/xAumFvVEqT" TargetMode="External"/><Relationship Id="rId300" Type="http://schemas.openxmlformats.org/officeDocument/2006/relationships/hyperlink" Target="https://sealeddeck.tech/H4C49GaE9n" TargetMode="External"/><Relationship Id="rId784" Type="http://schemas.openxmlformats.org/officeDocument/2006/relationships/hyperlink" Target="https://sealeddeck.tech/UJ81FXBTc4" TargetMode="External"/><Relationship Id="rId1375" Type="http://schemas.openxmlformats.org/officeDocument/2006/relationships/hyperlink" Target="https://sealeddeck.tech/dpu7NuXCHR" TargetMode="External"/><Relationship Id="rId783" Type="http://schemas.openxmlformats.org/officeDocument/2006/relationships/hyperlink" Target="https://sealeddeck.tech/7GTfr9v1aK" TargetMode="External"/><Relationship Id="rId1376" Type="http://schemas.openxmlformats.org/officeDocument/2006/relationships/hyperlink" Target="https://sealeddeck.tech/MqbUzHK2so" TargetMode="External"/><Relationship Id="rId782" Type="http://schemas.openxmlformats.org/officeDocument/2006/relationships/hyperlink" Target="https://sealeddeck.tech/fEvF77AcmX" TargetMode="External"/><Relationship Id="rId1377" Type="http://schemas.openxmlformats.org/officeDocument/2006/relationships/hyperlink" Target="https://sealeddeck.tech/LNVSCceosy" TargetMode="External"/><Relationship Id="rId1367" Type="http://schemas.openxmlformats.org/officeDocument/2006/relationships/hyperlink" Target="https://sealeddeck.tech/8DorDizFqe" TargetMode="External"/><Relationship Id="rId1368" Type="http://schemas.openxmlformats.org/officeDocument/2006/relationships/hyperlink" Target="https://sealeddeck.tech/4wELJ1DMun" TargetMode="External"/><Relationship Id="rId1369" Type="http://schemas.openxmlformats.org/officeDocument/2006/relationships/hyperlink" Target="https://sealeddeck.tech/idt76jPmft" TargetMode="External"/><Relationship Id="rId778" Type="http://schemas.openxmlformats.org/officeDocument/2006/relationships/hyperlink" Target="https://sealeddeck.tech/xNVLRgaEJA" TargetMode="External"/><Relationship Id="rId777" Type="http://schemas.openxmlformats.org/officeDocument/2006/relationships/hyperlink" Target="https://sealeddeck.tech/49GpRPqmie" TargetMode="External"/><Relationship Id="rId776" Type="http://schemas.openxmlformats.org/officeDocument/2006/relationships/hyperlink" Target="https://sealeddeck.tech/XReLs6vSBr" TargetMode="External"/><Relationship Id="rId775" Type="http://schemas.openxmlformats.org/officeDocument/2006/relationships/hyperlink" Target="https://sealeddeck.tech/4ie1sspE44" TargetMode="External"/><Relationship Id="rId779" Type="http://schemas.openxmlformats.org/officeDocument/2006/relationships/hyperlink" Target="https://sealeddeck.tech/ksypm883Ub" TargetMode="External"/><Relationship Id="rId770" Type="http://schemas.openxmlformats.org/officeDocument/2006/relationships/hyperlink" Target="https://sealeddeck.tech/cGW27xntTs" TargetMode="External"/><Relationship Id="rId1360" Type="http://schemas.openxmlformats.org/officeDocument/2006/relationships/hyperlink" Target="https://sealeddeck.tech/8pwU7c4LRc" TargetMode="External"/><Relationship Id="rId1361" Type="http://schemas.openxmlformats.org/officeDocument/2006/relationships/hyperlink" Target="https://sealeddeck.tech/N9DF6x9YYN" TargetMode="External"/><Relationship Id="rId1362" Type="http://schemas.openxmlformats.org/officeDocument/2006/relationships/hyperlink" Target="https://sealeddeck.tech/XLW9u4DykM" TargetMode="External"/><Relationship Id="rId774" Type="http://schemas.openxmlformats.org/officeDocument/2006/relationships/hyperlink" Target="https://sealeddeck.tech/jThBTu5oVD" TargetMode="External"/><Relationship Id="rId1363" Type="http://schemas.openxmlformats.org/officeDocument/2006/relationships/hyperlink" Target="https://sealeddeck.tech/kT8QSr1Hw6" TargetMode="External"/><Relationship Id="rId773" Type="http://schemas.openxmlformats.org/officeDocument/2006/relationships/hyperlink" Target="https://sealeddeck.tech/s74HgVUfTC" TargetMode="External"/><Relationship Id="rId1364" Type="http://schemas.openxmlformats.org/officeDocument/2006/relationships/hyperlink" Target="https://sealeddeck.tech/HKtcxtD2Uo" TargetMode="External"/><Relationship Id="rId772" Type="http://schemas.openxmlformats.org/officeDocument/2006/relationships/hyperlink" Target="https://sealeddeck.tech/BPeuZXTE3i" TargetMode="External"/><Relationship Id="rId1365" Type="http://schemas.openxmlformats.org/officeDocument/2006/relationships/hyperlink" Target="https://sealeddeck.tech/Yx6cidyeCY" TargetMode="External"/><Relationship Id="rId771" Type="http://schemas.openxmlformats.org/officeDocument/2006/relationships/hyperlink" Target="https://sealeddeck.tech/scdze3RnaN" TargetMode="External"/><Relationship Id="rId1366" Type="http://schemas.openxmlformats.org/officeDocument/2006/relationships/hyperlink" Target="https://sealeddeck.tech/sJ1mo7Mdac" TargetMode="External"/><Relationship Id="rId327" Type="http://schemas.openxmlformats.org/officeDocument/2006/relationships/hyperlink" Target="https://sealeddeck.tech/VgiynHWkrC" TargetMode="External"/><Relationship Id="rId326" Type="http://schemas.openxmlformats.org/officeDocument/2006/relationships/hyperlink" Target="https://sealeddeck.tech/x1HCuWRsPt" TargetMode="External"/><Relationship Id="rId325" Type="http://schemas.openxmlformats.org/officeDocument/2006/relationships/hyperlink" Target="https://sealeddeck.tech/7SF39g3uBL" TargetMode="External"/><Relationship Id="rId324" Type="http://schemas.openxmlformats.org/officeDocument/2006/relationships/hyperlink" Target="https://sealeddeck.tech/hCYy35p6Rr" TargetMode="External"/><Relationship Id="rId329" Type="http://schemas.openxmlformats.org/officeDocument/2006/relationships/hyperlink" Target="https://sealeddeck.tech/JU9JxicoVv" TargetMode="External"/><Relationship Id="rId1390" Type="http://schemas.openxmlformats.org/officeDocument/2006/relationships/hyperlink" Target="https://sealeddeck.tech/EBGPYKrUx8" TargetMode="External"/><Relationship Id="rId328" Type="http://schemas.openxmlformats.org/officeDocument/2006/relationships/hyperlink" Target="https://sealeddeck.tech/iYvtJJTq9K" TargetMode="External"/><Relationship Id="rId1391" Type="http://schemas.openxmlformats.org/officeDocument/2006/relationships/hyperlink" Target="https://sealeddeck.tech/Pdtn1DPpdD" TargetMode="External"/><Relationship Id="rId1392" Type="http://schemas.openxmlformats.org/officeDocument/2006/relationships/hyperlink" Target="https://sealeddeck.tech/vA9sTnG14N" TargetMode="External"/><Relationship Id="rId1393" Type="http://schemas.openxmlformats.org/officeDocument/2006/relationships/hyperlink" Target="https://sealeddeck.tech/7o5JLrMKpW" TargetMode="External"/><Relationship Id="rId1394" Type="http://schemas.openxmlformats.org/officeDocument/2006/relationships/hyperlink" Target="https://sealeddeck.tech/hQpBCCCQ3y" TargetMode="External"/><Relationship Id="rId1395" Type="http://schemas.openxmlformats.org/officeDocument/2006/relationships/hyperlink" Target="https://sealeddeck.tech/5cHgRqMVdT" TargetMode="External"/><Relationship Id="rId323" Type="http://schemas.openxmlformats.org/officeDocument/2006/relationships/hyperlink" Target="https://sealeddeck.tech/ZnYnBsX1tt" TargetMode="External"/><Relationship Id="rId1396" Type="http://schemas.openxmlformats.org/officeDocument/2006/relationships/hyperlink" Target="https://sealeddeck.tech/MsKzojdFgD" TargetMode="External"/><Relationship Id="rId322" Type="http://schemas.openxmlformats.org/officeDocument/2006/relationships/hyperlink" Target="https://sealeddeck.tech/vCoDDjNX77" TargetMode="External"/><Relationship Id="rId1397" Type="http://schemas.openxmlformats.org/officeDocument/2006/relationships/hyperlink" Target="https://sealeddeck.tech/NcyiqQPP2G" TargetMode="External"/><Relationship Id="rId321" Type="http://schemas.openxmlformats.org/officeDocument/2006/relationships/hyperlink" Target="https://sealeddeck.tech/sTheDrYKGw" TargetMode="External"/><Relationship Id="rId1398" Type="http://schemas.openxmlformats.org/officeDocument/2006/relationships/hyperlink" Target="https://sealeddeck.tech/8tgc4P9Hcr" TargetMode="External"/><Relationship Id="rId320" Type="http://schemas.openxmlformats.org/officeDocument/2006/relationships/hyperlink" Target="https://sealeddeck.tech/5dUbgoGxzy" TargetMode="External"/><Relationship Id="rId1399" Type="http://schemas.openxmlformats.org/officeDocument/2006/relationships/hyperlink" Target="https://sealeddeck.tech/WMn8tXba5v" TargetMode="External"/><Relationship Id="rId1389" Type="http://schemas.openxmlformats.org/officeDocument/2006/relationships/hyperlink" Target="https://sealeddeck.tech/4rv1CXKeA1" TargetMode="External"/><Relationship Id="rId316" Type="http://schemas.openxmlformats.org/officeDocument/2006/relationships/hyperlink" Target="https://sealeddeck.tech/mrjzHAB2qq" TargetMode="External"/><Relationship Id="rId315" Type="http://schemas.openxmlformats.org/officeDocument/2006/relationships/hyperlink" Target="https://sealeddeck.tech/SUj3zpeWbi" TargetMode="External"/><Relationship Id="rId799" Type="http://schemas.openxmlformats.org/officeDocument/2006/relationships/hyperlink" Target="https://sealeddeck.tech/HjTuYowGCw" TargetMode="External"/><Relationship Id="rId314" Type="http://schemas.openxmlformats.org/officeDocument/2006/relationships/hyperlink" Target="https://sealeddeck.tech/ENFMbiwcTX" TargetMode="External"/><Relationship Id="rId798" Type="http://schemas.openxmlformats.org/officeDocument/2006/relationships/hyperlink" Target="https://sealeddeck.tech/CujUFjNpQ7" TargetMode="External"/><Relationship Id="rId313" Type="http://schemas.openxmlformats.org/officeDocument/2006/relationships/hyperlink" Target="https://sealeddeck.tech/pN9Y2gmaY5" TargetMode="External"/><Relationship Id="rId797" Type="http://schemas.openxmlformats.org/officeDocument/2006/relationships/hyperlink" Target="https://sealeddeck.tech/MX2RS5o2g1" TargetMode="External"/><Relationship Id="rId319" Type="http://schemas.openxmlformats.org/officeDocument/2006/relationships/hyperlink" Target="https://sealeddeck.tech/ynCbkcSXsd" TargetMode="External"/><Relationship Id="rId318" Type="http://schemas.openxmlformats.org/officeDocument/2006/relationships/hyperlink" Target="https://sealeddeck.tech/Qir7ZAu1yb" TargetMode="External"/><Relationship Id="rId317" Type="http://schemas.openxmlformats.org/officeDocument/2006/relationships/hyperlink" Target="https://sealeddeck.tech/dm4P1RJmgZ" TargetMode="External"/><Relationship Id="rId1380" Type="http://schemas.openxmlformats.org/officeDocument/2006/relationships/hyperlink" Target="https://sealeddeck.tech/m7hgEGoeLa" TargetMode="External"/><Relationship Id="rId792" Type="http://schemas.openxmlformats.org/officeDocument/2006/relationships/hyperlink" Target="https://sealeddeck.tech/5vTratJNgh" TargetMode="External"/><Relationship Id="rId1381" Type="http://schemas.openxmlformats.org/officeDocument/2006/relationships/hyperlink" Target="https://sealeddeck.tech/iEZsaVYZWV" TargetMode="External"/><Relationship Id="rId791" Type="http://schemas.openxmlformats.org/officeDocument/2006/relationships/hyperlink" Target="https://sealeddeck.tech/j5SFomsFHi" TargetMode="External"/><Relationship Id="rId1382" Type="http://schemas.openxmlformats.org/officeDocument/2006/relationships/hyperlink" Target="https://sealeddeck.tech/ZkhCKcPdLQ" TargetMode="External"/><Relationship Id="rId790" Type="http://schemas.openxmlformats.org/officeDocument/2006/relationships/hyperlink" Target="https://sealeddeck.tech/3bj3tHJFXa" TargetMode="External"/><Relationship Id="rId1383" Type="http://schemas.openxmlformats.org/officeDocument/2006/relationships/hyperlink" Target="https://sealeddeck.tech/TWYFgGAL14" TargetMode="External"/><Relationship Id="rId1384" Type="http://schemas.openxmlformats.org/officeDocument/2006/relationships/hyperlink" Target="https://sealeddeck.tech/u1adKRbW8v" TargetMode="External"/><Relationship Id="rId312" Type="http://schemas.openxmlformats.org/officeDocument/2006/relationships/hyperlink" Target="https://sealeddeck.tech/Kx1zeSjrU3" TargetMode="External"/><Relationship Id="rId796" Type="http://schemas.openxmlformats.org/officeDocument/2006/relationships/hyperlink" Target="https://sealeddeck.tech/UFhfW9DmR2" TargetMode="External"/><Relationship Id="rId1385" Type="http://schemas.openxmlformats.org/officeDocument/2006/relationships/hyperlink" Target="https://sealeddeck.tech/oVekrHVK7g" TargetMode="External"/><Relationship Id="rId311" Type="http://schemas.openxmlformats.org/officeDocument/2006/relationships/hyperlink" Target="https://sealeddeck.tech/4aqEGpqg2Y" TargetMode="External"/><Relationship Id="rId795" Type="http://schemas.openxmlformats.org/officeDocument/2006/relationships/hyperlink" Target="https://sealeddeck.tech/LtcEKS7Rc1" TargetMode="External"/><Relationship Id="rId1386" Type="http://schemas.openxmlformats.org/officeDocument/2006/relationships/hyperlink" Target="https://sealeddeck.tech/4P93XsTZWW" TargetMode="External"/><Relationship Id="rId310" Type="http://schemas.openxmlformats.org/officeDocument/2006/relationships/hyperlink" Target="https://sealeddeck.tech/qEDcPsKzaL" TargetMode="External"/><Relationship Id="rId794" Type="http://schemas.openxmlformats.org/officeDocument/2006/relationships/hyperlink" Target="https://sealeddeck.tech/M9auSxRYWo" TargetMode="External"/><Relationship Id="rId1387" Type="http://schemas.openxmlformats.org/officeDocument/2006/relationships/hyperlink" Target="https://sealeddeck.tech/2RD8Nk2ngD" TargetMode="External"/><Relationship Id="rId793" Type="http://schemas.openxmlformats.org/officeDocument/2006/relationships/hyperlink" Target="https://sealeddeck.tech/9hTMDj88XY" TargetMode="External"/><Relationship Id="rId1388" Type="http://schemas.openxmlformats.org/officeDocument/2006/relationships/hyperlink" Target="https://sealeddeck.tech/ny1msNXbBk" TargetMode="External"/><Relationship Id="rId297" Type="http://schemas.openxmlformats.org/officeDocument/2006/relationships/hyperlink" Target="https://sealeddeck.tech/71JDsEzDLk" TargetMode="External"/><Relationship Id="rId296" Type="http://schemas.openxmlformats.org/officeDocument/2006/relationships/hyperlink" Target="https://sealeddeck.tech/cSXyJ6xWWu" TargetMode="External"/><Relationship Id="rId295" Type="http://schemas.openxmlformats.org/officeDocument/2006/relationships/hyperlink" Target="https://sealeddeck.tech/tvYsofto6S" TargetMode="External"/><Relationship Id="rId294" Type="http://schemas.openxmlformats.org/officeDocument/2006/relationships/hyperlink" Target="https://sealeddeck.tech/suRRmAAzWS" TargetMode="External"/><Relationship Id="rId299" Type="http://schemas.openxmlformats.org/officeDocument/2006/relationships/hyperlink" Target="https://sealeddeck.tech/nM6K5NNmxY" TargetMode="External"/><Relationship Id="rId298" Type="http://schemas.openxmlformats.org/officeDocument/2006/relationships/hyperlink" Target="https://sealeddeck.tech/zc8w7zLLZ9" TargetMode="External"/><Relationship Id="rId271" Type="http://schemas.openxmlformats.org/officeDocument/2006/relationships/hyperlink" Target="https://sealeddeck.tech/2zRMYLTvbX" TargetMode="External"/><Relationship Id="rId270" Type="http://schemas.openxmlformats.org/officeDocument/2006/relationships/hyperlink" Target="https://sealeddeck.tech/iV7v2Ba45F" TargetMode="External"/><Relationship Id="rId269" Type="http://schemas.openxmlformats.org/officeDocument/2006/relationships/hyperlink" Target="https://sealeddeck.tech/2vfKHjRzD5" TargetMode="External"/><Relationship Id="rId264" Type="http://schemas.openxmlformats.org/officeDocument/2006/relationships/hyperlink" Target="https://sealeddeck.tech/YEKdcUQgsm" TargetMode="External"/><Relationship Id="rId263" Type="http://schemas.openxmlformats.org/officeDocument/2006/relationships/hyperlink" Target="https://sealeddeck.tech/YbSypNh4uM" TargetMode="External"/><Relationship Id="rId262" Type="http://schemas.openxmlformats.org/officeDocument/2006/relationships/hyperlink" Target="https://sealeddeck.tech/QZyVMfd6Fu" TargetMode="External"/><Relationship Id="rId261" Type="http://schemas.openxmlformats.org/officeDocument/2006/relationships/hyperlink" Target="https://sealeddeck.tech/ixfDYpdcCp" TargetMode="External"/><Relationship Id="rId268" Type="http://schemas.openxmlformats.org/officeDocument/2006/relationships/hyperlink" Target="https://sealeddeck.tech/YJVYQgcDiJ" TargetMode="External"/><Relationship Id="rId267" Type="http://schemas.openxmlformats.org/officeDocument/2006/relationships/hyperlink" Target="https://sealeddeck.tech/Z6F5bVqb7j" TargetMode="External"/><Relationship Id="rId266" Type="http://schemas.openxmlformats.org/officeDocument/2006/relationships/hyperlink" Target="https://sealeddeck.tech/6Nm2KgHbjC" TargetMode="External"/><Relationship Id="rId265" Type="http://schemas.openxmlformats.org/officeDocument/2006/relationships/hyperlink" Target="https://sealeddeck.tech/XneitFSSfp" TargetMode="External"/><Relationship Id="rId260" Type="http://schemas.openxmlformats.org/officeDocument/2006/relationships/hyperlink" Target="https://sealeddeck.tech/qbDEdJykn7" TargetMode="External"/><Relationship Id="rId259" Type="http://schemas.openxmlformats.org/officeDocument/2006/relationships/hyperlink" Target="https://sealeddeck.tech/XWXm5XMHWD" TargetMode="External"/><Relationship Id="rId258" Type="http://schemas.openxmlformats.org/officeDocument/2006/relationships/hyperlink" Target="https://sealeddeck.tech/VFWkQkWkQX" TargetMode="External"/><Relationship Id="rId253" Type="http://schemas.openxmlformats.org/officeDocument/2006/relationships/hyperlink" Target="https://sealeddeck.tech/PfTYfE1hfA" TargetMode="External"/><Relationship Id="rId252" Type="http://schemas.openxmlformats.org/officeDocument/2006/relationships/hyperlink" Target="https://sealeddeck.tech/uNkbbMe49o" TargetMode="External"/><Relationship Id="rId251" Type="http://schemas.openxmlformats.org/officeDocument/2006/relationships/hyperlink" Target="https://sealeddeck.tech/k5oHmfPDRS" TargetMode="External"/><Relationship Id="rId250" Type="http://schemas.openxmlformats.org/officeDocument/2006/relationships/hyperlink" Target="https://sealeddeck.tech/rzVsBhYveg" TargetMode="External"/><Relationship Id="rId257" Type="http://schemas.openxmlformats.org/officeDocument/2006/relationships/hyperlink" Target="https://sealeddeck.tech/pydCgcHURv" TargetMode="External"/><Relationship Id="rId256" Type="http://schemas.openxmlformats.org/officeDocument/2006/relationships/hyperlink" Target="https://sealeddeck.tech/nSHYpFVaLt" TargetMode="External"/><Relationship Id="rId255" Type="http://schemas.openxmlformats.org/officeDocument/2006/relationships/hyperlink" Target="https://sealeddeck.tech/119MGAoRvr" TargetMode="External"/><Relationship Id="rId254" Type="http://schemas.openxmlformats.org/officeDocument/2006/relationships/hyperlink" Target="https://sealeddeck.tech/tfotFuLwLA" TargetMode="External"/><Relationship Id="rId293" Type="http://schemas.openxmlformats.org/officeDocument/2006/relationships/hyperlink" Target="https://sealeddeck.tech/s7PMMKW6eK" TargetMode="External"/><Relationship Id="rId292" Type="http://schemas.openxmlformats.org/officeDocument/2006/relationships/hyperlink" Target="https://sealeddeck.tech/3CgiY2FVKu" TargetMode="External"/><Relationship Id="rId291" Type="http://schemas.openxmlformats.org/officeDocument/2006/relationships/hyperlink" Target="https://sealeddeck.tech/T5BLJ3nzd8" TargetMode="External"/><Relationship Id="rId290" Type="http://schemas.openxmlformats.org/officeDocument/2006/relationships/hyperlink" Target="https://sealeddeck.tech/5YEwRWYmrN" TargetMode="External"/><Relationship Id="rId286" Type="http://schemas.openxmlformats.org/officeDocument/2006/relationships/hyperlink" Target="https://sealeddeck.tech/dWxupjUpmV" TargetMode="External"/><Relationship Id="rId285" Type="http://schemas.openxmlformats.org/officeDocument/2006/relationships/hyperlink" Target="https://sealeddeck.tech/X19Qm8cM62" TargetMode="External"/><Relationship Id="rId284" Type="http://schemas.openxmlformats.org/officeDocument/2006/relationships/hyperlink" Target="https://sealeddeck.tech/PsjvRSG3rY" TargetMode="External"/><Relationship Id="rId283" Type="http://schemas.openxmlformats.org/officeDocument/2006/relationships/hyperlink" Target="https://sealeddeck.tech/hm579jUz1e" TargetMode="External"/><Relationship Id="rId289" Type="http://schemas.openxmlformats.org/officeDocument/2006/relationships/hyperlink" Target="https://sealeddeck.tech/JuZxvkDVbq" TargetMode="External"/><Relationship Id="rId288" Type="http://schemas.openxmlformats.org/officeDocument/2006/relationships/hyperlink" Target="https://sealeddeck.tech/cD1eatGuge" TargetMode="External"/><Relationship Id="rId287" Type="http://schemas.openxmlformats.org/officeDocument/2006/relationships/hyperlink" Target="https://sealeddeck.tech/i5jHy4NKoB" TargetMode="External"/><Relationship Id="rId282" Type="http://schemas.openxmlformats.org/officeDocument/2006/relationships/hyperlink" Target="https://sealeddeck.tech/K7uXA9eyCC" TargetMode="External"/><Relationship Id="rId281" Type="http://schemas.openxmlformats.org/officeDocument/2006/relationships/hyperlink" Target="https://sealeddeck.tech/FGHQ8eZccu" TargetMode="External"/><Relationship Id="rId280" Type="http://schemas.openxmlformats.org/officeDocument/2006/relationships/hyperlink" Target="https://sealeddeck.tech/s2JC9YGUzN" TargetMode="External"/><Relationship Id="rId275" Type="http://schemas.openxmlformats.org/officeDocument/2006/relationships/hyperlink" Target="https://sealeddeck.tech/zeqywVWTWu" TargetMode="External"/><Relationship Id="rId274" Type="http://schemas.openxmlformats.org/officeDocument/2006/relationships/hyperlink" Target="https://sealeddeck.tech/i4AE2x9gK7" TargetMode="External"/><Relationship Id="rId273" Type="http://schemas.openxmlformats.org/officeDocument/2006/relationships/hyperlink" Target="https://sealeddeck.tech/1xyPJ8yjN4" TargetMode="External"/><Relationship Id="rId272" Type="http://schemas.openxmlformats.org/officeDocument/2006/relationships/hyperlink" Target="https://sealeddeck.tech/jj3MioNHKF" TargetMode="External"/><Relationship Id="rId279" Type="http://schemas.openxmlformats.org/officeDocument/2006/relationships/hyperlink" Target="https://sealeddeck.tech/Zp494569iS" TargetMode="External"/><Relationship Id="rId278" Type="http://schemas.openxmlformats.org/officeDocument/2006/relationships/hyperlink" Target="https://sealeddeck.tech/TjHSUutvso" TargetMode="External"/><Relationship Id="rId277" Type="http://schemas.openxmlformats.org/officeDocument/2006/relationships/hyperlink" Target="https://sealeddeck.tech/kuZivhBYdh" TargetMode="External"/><Relationship Id="rId276" Type="http://schemas.openxmlformats.org/officeDocument/2006/relationships/hyperlink" Target="https://sealeddeck.tech/SEywZTJhu7" TargetMode="External"/><Relationship Id="rId1455" Type="http://schemas.openxmlformats.org/officeDocument/2006/relationships/hyperlink" Target="https://sealeddeck.tech/skWQXbbRKQ" TargetMode="External"/><Relationship Id="rId1456" Type="http://schemas.openxmlformats.org/officeDocument/2006/relationships/hyperlink" Target="https://sealeddeck.tech/tYvDfCi5QA" TargetMode="External"/><Relationship Id="rId1457" Type="http://schemas.openxmlformats.org/officeDocument/2006/relationships/hyperlink" Target="https://sealeddeck.tech/XBxcmrU89U" TargetMode="External"/><Relationship Id="rId1458" Type="http://schemas.openxmlformats.org/officeDocument/2006/relationships/hyperlink" Target="https://sealeddeck.tech/nD1qQEc2kM" TargetMode="External"/><Relationship Id="rId1459" Type="http://schemas.openxmlformats.org/officeDocument/2006/relationships/hyperlink" Target="https://sealeddeck.tech/WUMnVCCycB" TargetMode="External"/><Relationship Id="rId629" Type="http://schemas.openxmlformats.org/officeDocument/2006/relationships/hyperlink" Target="https://sealeddeck.tech/WC8TDUtJsA" TargetMode="External"/><Relationship Id="rId624" Type="http://schemas.openxmlformats.org/officeDocument/2006/relationships/hyperlink" Target="https://sealeddeck.tech/9nYmx6VPoJ" TargetMode="External"/><Relationship Id="rId623" Type="http://schemas.openxmlformats.org/officeDocument/2006/relationships/hyperlink" Target="https://sealeddeck.tech/WVJNDcik72" TargetMode="External"/><Relationship Id="rId622" Type="http://schemas.openxmlformats.org/officeDocument/2006/relationships/hyperlink" Target="https://sealeddeck.tech/iR9ckg7BZw" TargetMode="External"/><Relationship Id="rId621" Type="http://schemas.openxmlformats.org/officeDocument/2006/relationships/hyperlink" Target="https://sealeddeck.tech/jhJbWshDNb" TargetMode="External"/><Relationship Id="rId628" Type="http://schemas.openxmlformats.org/officeDocument/2006/relationships/hyperlink" Target="https://sealeddeck.tech/QQ2pQx9exM" TargetMode="External"/><Relationship Id="rId627" Type="http://schemas.openxmlformats.org/officeDocument/2006/relationships/hyperlink" Target="https://sealeddeck.tech/K4jgfFvtwn" TargetMode="External"/><Relationship Id="rId626" Type="http://schemas.openxmlformats.org/officeDocument/2006/relationships/hyperlink" Target="https://sealeddeck.tech/1XQBu7E4BR" TargetMode="External"/><Relationship Id="rId625" Type="http://schemas.openxmlformats.org/officeDocument/2006/relationships/hyperlink" Target="https://sealeddeck.tech/je8M6NXh3C" TargetMode="External"/><Relationship Id="rId1450" Type="http://schemas.openxmlformats.org/officeDocument/2006/relationships/hyperlink" Target="https://sealeddeck.tech/YGRv27wXLn" TargetMode="External"/><Relationship Id="rId620" Type="http://schemas.openxmlformats.org/officeDocument/2006/relationships/hyperlink" Target="https://sealeddeck.tech/FwVfzGrpgq" TargetMode="External"/><Relationship Id="rId1451" Type="http://schemas.openxmlformats.org/officeDocument/2006/relationships/hyperlink" Target="https://sealeddeck.tech/YbUruEN1ws" TargetMode="External"/><Relationship Id="rId1452" Type="http://schemas.openxmlformats.org/officeDocument/2006/relationships/hyperlink" Target="https://sealeddeck.tech/T5FY8pZakd" TargetMode="External"/><Relationship Id="rId1453" Type="http://schemas.openxmlformats.org/officeDocument/2006/relationships/hyperlink" Target="https://sealeddeck.tech/A3KHzt6Xbo" TargetMode="External"/><Relationship Id="rId1454" Type="http://schemas.openxmlformats.org/officeDocument/2006/relationships/hyperlink" Target="https://sealeddeck.tech/d5dL5Ki3XE" TargetMode="External"/><Relationship Id="rId1444" Type="http://schemas.openxmlformats.org/officeDocument/2006/relationships/hyperlink" Target="https://sealeddeck.tech/9MwoCUTEKU" TargetMode="External"/><Relationship Id="rId1445" Type="http://schemas.openxmlformats.org/officeDocument/2006/relationships/hyperlink" Target="https://sealeddeck.tech/Mi3LFWSF4w" TargetMode="External"/><Relationship Id="rId1446" Type="http://schemas.openxmlformats.org/officeDocument/2006/relationships/hyperlink" Target="https://sealeddeck.tech/GKDM9BKJTZ" TargetMode="External"/><Relationship Id="rId1447" Type="http://schemas.openxmlformats.org/officeDocument/2006/relationships/hyperlink" Target="https://sealeddeck.tech/uDPGHgvWfb" TargetMode="External"/><Relationship Id="rId1448" Type="http://schemas.openxmlformats.org/officeDocument/2006/relationships/hyperlink" Target="https://sealeddeck.tech/4fGPfVUQzz" TargetMode="External"/><Relationship Id="rId1449" Type="http://schemas.openxmlformats.org/officeDocument/2006/relationships/hyperlink" Target="https://sealeddeck.tech/RD9M9syq32" TargetMode="External"/><Relationship Id="rId619" Type="http://schemas.openxmlformats.org/officeDocument/2006/relationships/hyperlink" Target="https://sealeddeck.tech/b4XpUKsyvE" TargetMode="External"/><Relationship Id="rId618" Type="http://schemas.openxmlformats.org/officeDocument/2006/relationships/hyperlink" Target="https://sealeddeck.tech/kgq8FqSx4w" TargetMode="External"/><Relationship Id="rId613" Type="http://schemas.openxmlformats.org/officeDocument/2006/relationships/hyperlink" Target="https://sealeddeck.tech/TpAvwDaScX" TargetMode="External"/><Relationship Id="rId612" Type="http://schemas.openxmlformats.org/officeDocument/2006/relationships/hyperlink" Target="https://sealeddeck.tech/fNZrRXnctX" TargetMode="External"/><Relationship Id="rId611" Type="http://schemas.openxmlformats.org/officeDocument/2006/relationships/hyperlink" Target="https://sealeddeck.tech/URUgfZrxCx" TargetMode="External"/><Relationship Id="rId610" Type="http://schemas.openxmlformats.org/officeDocument/2006/relationships/hyperlink" Target="https://sealeddeck.tech/gi8TdBbEs5" TargetMode="External"/><Relationship Id="rId617" Type="http://schemas.openxmlformats.org/officeDocument/2006/relationships/hyperlink" Target="https://sealeddeck.tech/KECdp5MP7w" TargetMode="External"/><Relationship Id="rId616" Type="http://schemas.openxmlformats.org/officeDocument/2006/relationships/hyperlink" Target="https://sealeddeck.tech/poUAGkT8tU" TargetMode="External"/><Relationship Id="rId615" Type="http://schemas.openxmlformats.org/officeDocument/2006/relationships/hyperlink" Target="https://sealeddeck.tech/5E7R4SLyKp" TargetMode="External"/><Relationship Id="rId614" Type="http://schemas.openxmlformats.org/officeDocument/2006/relationships/hyperlink" Target="https://sealeddeck.tech/rHYxsX8Bnj" TargetMode="External"/><Relationship Id="rId1440" Type="http://schemas.openxmlformats.org/officeDocument/2006/relationships/hyperlink" Target="https://sealeddeck.tech/vS8AodrHVm" TargetMode="External"/><Relationship Id="rId1441" Type="http://schemas.openxmlformats.org/officeDocument/2006/relationships/hyperlink" Target="https://sealeddeck.tech/Y4RvjiSK3L" TargetMode="External"/><Relationship Id="rId1442" Type="http://schemas.openxmlformats.org/officeDocument/2006/relationships/hyperlink" Target="https://sealeddeck.tech/4uJYMWuTEi" TargetMode="External"/><Relationship Id="rId1443" Type="http://schemas.openxmlformats.org/officeDocument/2006/relationships/hyperlink" Target="https://sealeddeck.tech/SzwN9Ru4uN" TargetMode="External"/><Relationship Id="rId1477" Type="http://schemas.openxmlformats.org/officeDocument/2006/relationships/hyperlink" Target="https://sealeddeck.tech/jpyTm4osPB" TargetMode="External"/><Relationship Id="rId1478" Type="http://schemas.openxmlformats.org/officeDocument/2006/relationships/hyperlink" Target="https://sealeddeck.tech/S2tctZzFw4" TargetMode="External"/><Relationship Id="rId1479" Type="http://schemas.openxmlformats.org/officeDocument/2006/relationships/hyperlink" Target="https://sealeddeck.tech/STPM3aQW7U" TargetMode="External"/><Relationship Id="rId646" Type="http://schemas.openxmlformats.org/officeDocument/2006/relationships/hyperlink" Target="https://sealeddeck.tech/6CdisP41w4" TargetMode="External"/><Relationship Id="rId645" Type="http://schemas.openxmlformats.org/officeDocument/2006/relationships/hyperlink" Target="https://sealeddeck.tech/QDct4g5pq3" TargetMode="External"/><Relationship Id="rId644" Type="http://schemas.openxmlformats.org/officeDocument/2006/relationships/hyperlink" Target="https://sealeddeck.tech/WjKZDzabhR" TargetMode="External"/><Relationship Id="rId643" Type="http://schemas.openxmlformats.org/officeDocument/2006/relationships/hyperlink" Target="https://sealeddeck.tech/6pmU7iVaLb" TargetMode="External"/><Relationship Id="rId649" Type="http://schemas.openxmlformats.org/officeDocument/2006/relationships/hyperlink" Target="https://sealeddeck.tech/ShimUubTJL" TargetMode="External"/><Relationship Id="rId648" Type="http://schemas.openxmlformats.org/officeDocument/2006/relationships/hyperlink" Target="https://sealeddeck.tech/NGtZCoWcES" TargetMode="External"/><Relationship Id="rId647" Type="http://schemas.openxmlformats.org/officeDocument/2006/relationships/hyperlink" Target="https://sealeddeck.tech/PQxvBFyHLv" TargetMode="External"/><Relationship Id="rId1470" Type="http://schemas.openxmlformats.org/officeDocument/2006/relationships/hyperlink" Target="https://sealeddeck.tech/VCgg7U8M9u" TargetMode="External"/><Relationship Id="rId1471" Type="http://schemas.openxmlformats.org/officeDocument/2006/relationships/hyperlink" Target="https://sealeddeck.tech/CqjTpGGoHR" TargetMode="External"/><Relationship Id="rId1472" Type="http://schemas.openxmlformats.org/officeDocument/2006/relationships/hyperlink" Target="https://sealeddeck.tech/ZRQKQj3Qnu" TargetMode="External"/><Relationship Id="rId642" Type="http://schemas.openxmlformats.org/officeDocument/2006/relationships/hyperlink" Target="https://sealeddeck.tech/SZYTUijyFd" TargetMode="External"/><Relationship Id="rId1473" Type="http://schemas.openxmlformats.org/officeDocument/2006/relationships/hyperlink" Target="https://sealeddeck.tech/77SgiiVQpV" TargetMode="External"/><Relationship Id="rId641" Type="http://schemas.openxmlformats.org/officeDocument/2006/relationships/hyperlink" Target="https://sealeddeck.tech/JmTNhHFJBd" TargetMode="External"/><Relationship Id="rId1474" Type="http://schemas.openxmlformats.org/officeDocument/2006/relationships/hyperlink" Target="https://sealeddeck.tech/hUav9Bc1Nk" TargetMode="External"/><Relationship Id="rId640" Type="http://schemas.openxmlformats.org/officeDocument/2006/relationships/hyperlink" Target="https://sealeddeck.tech/QkZKP5v14N" TargetMode="External"/><Relationship Id="rId1475" Type="http://schemas.openxmlformats.org/officeDocument/2006/relationships/hyperlink" Target="https://sealeddeck.tech/2ANPUXdKRL" TargetMode="External"/><Relationship Id="rId1476" Type="http://schemas.openxmlformats.org/officeDocument/2006/relationships/hyperlink" Target="https://sealeddeck.tech/UR5voXbip9" TargetMode="External"/><Relationship Id="rId1466" Type="http://schemas.openxmlformats.org/officeDocument/2006/relationships/hyperlink" Target="https://sealeddeck.tech/3udM8ehB96" TargetMode="External"/><Relationship Id="rId1467" Type="http://schemas.openxmlformats.org/officeDocument/2006/relationships/hyperlink" Target="https://sealeddeck.tech/VcrmpoYTLe" TargetMode="External"/><Relationship Id="rId1468" Type="http://schemas.openxmlformats.org/officeDocument/2006/relationships/hyperlink" Target="https://sealeddeck.tech/tbbNGT3Bgt" TargetMode="External"/><Relationship Id="rId1469" Type="http://schemas.openxmlformats.org/officeDocument/2006/relationships/hyperlink" Target="https://sealeddeck.tech/bwDj5YJWy3" TargetMode="External"/><Relationship Id="rId635" Type="http://schemas.openxmlformats.org/officeDocument/2006/relationships/hyperlink" Target="https://sealeddeck.tech/ZWo4Q6icum" TargetMode="External"/><Relationship Id="rId634" Type="http://schemas.openxmlformats.org/officeDocument/2006/relationships/hyperlink" Target="https://sealeddeck.tech/ArHXuXCpnC" TargetMode="External"/><Relationship Id="rId633" Type="http://schemas.openxmlformats.org/officeDocument/2006/relationships/hyperlink" Target="https://sealeddeck.tech/t94qop7cvY" TargetMode="External"/><Relationship Id="rId632" Type="http://schemas.openxmlformats.org/officeDocument/2006/relationships/hyperlink" Target="https://sealeddeck.tech/Bz1pM7kB6W" TargetMode="External"/><Relationship Id="rId639" Type="http://schemas.openxmlformats.org/officeDocument/2006/relationships/hyperlink" Target="https://sealeddeck.tech/QrAungabSw" TargetMode="External"/><Relationship Id="rId638" Type="http://schemas.openxmlformats.org/officeDocument/2006/relationships/hyperlink" Target="https://sealeddeck.tech/nY5CSzpHSh" TargetMode="External"/><Relationship Id="rId637" Type="http://schemas.openxmlformats.org/officeDocument/2006/relationships/hyperlink" Target="https://sealeddeck.tech/ZnRpewq6p5" TargetMode="External"/><Relationship Id="rId636" Type="http://schemas.openxmlformats.org/officeDocument/2006/relationships/hyperlink" Target="https://sealeddeck.tech/4GGt2jnJdJ" TargetMode="External"/><Relationship Id="rId1460" Type="http://schemas.openxmlformats.org/officeDocument/2006/relationships/hyperlink" Target="https://sealeddeck.tech/KypbULxVvM" TargetMode="External"/><Relationship Id="rId1461" Type="http://schemas.openxmlformats.org/officeDocument/2006/relationships/hyperlink" Target="https://sealeddeck.tech/wymKfEGt79" TargetMode="External"/><Relationship Id="rId631" Type="http://schemas.openxmlformats.org/officeDocument/2006/relationships/hyperlink" Target="https://sealeddeck.tech/dQ2ULEYyMH" TargetMode="External"/><Relationship Id="rId1462" Type="http://schemas.openxmlformats.org/officeDocument/2006/relationships/hyperlink" Target="https://sealeddeck.tech/a3PsEN8wPj" TargetMode="External"/><Relationship Id="rId630" Type="http://schemas.openxmlformats.org/officeDocument/2006/relationships/hyperlink" Target="https://sealeddeck.tech/XvQpxooVYV" TargetMode="External"/><Relationship Id="rId1463" Type="http://schemas.openxmlformats.org/officeDocument/2006/relationships/hyperlink" Target="https://sealeddeck.tech/FNBNtcMebT" TargetMode="External"/><Relationship Id="rId1464" Type="http://schemas.openxmlformats.org/officeDocument/2006/relationships/hyperlink" Target="https://sealeddeck.tech/x4oCw6Usuj" TargetMode="External"/><Relationship Id="rId1465" Type="http://schemas.openxmlformats.org/officeDocument/2006/relationships/hyperlink" Target="https://sealeddeck.tech/ReoRMxm2Wm" TargetMode="External"/><Relationship Id="rId1411" Type="http://schemas.openxmlformats.org/officeDocument/2006/relationships/hyperlink" Target="https://sealeddeck.tech/zUWpojd96w" TargetMode="External"/><Relationship Id="rId1412" Type="http://schemas.openxmlformats.org/officeDocument/2006/relationships/hyperlink" Target="https://sealeddeck.tech/xvSkzUAs4t" TargetMode="External"/><Relationship Id="rId1413" Type="http://schemas.openxmlformats.org/officeDocument/2006/relationships/hyperlink" Target="https://sealeddeck.tech/eFjxrBf3Tg" TargetMode="External"/><Relationship Id="rId1414" Type="http://schemas.openxmlformats.org/officeDocument/2006/relationships/hyperlink" Target="https://sealeddeck.tech/9SA3iqLyAk" TargetMode="External"/><Relationship Id="rId1415" Type="http://schemas.openxmlformats.org/officeDocument/2006/relationships/hyperlink" Target="https://sealeddeck.tech/PYReS7TNyV" TargetMode="External"/><Relationship Id="rId1416" Type="http://schemas.openxmlformats.org/officeDocument/2006/relationships/hyperlink" Target="https://sealeddeck.tech/76vBCf5zAG" TargetMode="External"/><Relationship Id="rId1417" Type="http://schemas.openxmlformats.org/officeDocument/2006/relationships/hyperlink" Target="https://sealeddeck.tech/VMuDupasQ6" TargetMode="External"/><Relationship Id="rId1418" Type="http://schemas.openxmlformats.org/officeDocument/2006/relationships/hyperlink" Target="https://sealeddeck.tech/4nj7uCvJG3" TargetMode="External"/><Relationship Id="rId1419" Type="http://schemas.openxmlformats.org/officeDocument/2006/relationships/hyperlink" Target="https://sealeddeck.tech/vbbft2TgRi" TargetMode="External"/><Relationship Id="rId1410" Type="http://schemas.openxmlformats.org/officeDocument/2006/relationships/hyperlink" Target="https://sealeddeck.tech/63U5guU1UK" TargetMode="External"/><Relationship Id="rId1400" Type="http://schemas.openxmlformats.org/officeDocument/2006/relationships/hyperlink" Target="https://sealeddeck.tech/CPi1QAQwKS" TargetMode="External"/><Relationship Id="rId1401" Type="http://schemas.openxmlformats.org/officeDocument/2006/relationships/hyperlink" Target="https://sealeddeck.tech/NSC8N8irxv" TargetMode="External"/><Relationship Id="rId1402" Type="http://schemas.openxmlformats.org/officeDocument/2006/relationships/hyperlink" Target="https://sealeddeck.tech/AzYL2R5tMZ" TargetMode="External"/><Relationship Id="rId1403" Type="http://schemas.openxmlformats.org/officeDocument/2006/relationships/hyperlink" Target="https://sealeddeck.tech/toWEDYmMMy" TargetMode="External"/><Relationship Id="rId1404" Type="http://schemas.openxmlformats.org/officeDocument/2006/relationships/hyperlink" Target="https://sealeddeck.tech/RW1t14ZkHo" TargetMode="External"/><Relationship Id="rId1405" Type="http://schemas.openxmlformats.org/officeDocument/2006/relationships/hyperlink" Target="https://sealeddeck.tech/jqAqbwfqmp" TargetMode="External"/><Relationship Id="rId1406" Type="http://schemas.openxmlformats.org/officeDocument/2006/relationships/hyperlink" Target="https://sealeddeck.tech/e2zeCJo78p" TargetMode="External"/><Relationship Id="rId1407" Type="http://schemas.openxmlformats.org/officeDocument/2006/relationships/hyperlink" Target="https://sealeddeck.tech/C5vCEt9M24" TargetMode="External"/><Relationship Id="rId1408" Type="http://schemas.openxmlformats.org/officeDocument/2006/relationships/hyperlink" Target="https://sealeddeck.tech/anNrkvssnY" TargetMode="External"/><Relationship Id="rId1409" Type="http://schemas.openxmlformats.org/officeDocument/2006/relationships/hyperlink" Target="https://sealeddeck.tech/q3n8yFEX2d" TargetMode="External"/><Relationship Id="rId1433" Type="http://schemas.openxmlformats.org/officeDocument/2006/relationships/hyperlink" Target="https://sealeddeck.tech/RknBj8XM9y" TargetMode="External"/><Relationship Id="rId1434" Type="http://schemas.openxmlformats.org/officeDocument/2006/relationships/hyperlink" Target="https://sealeddeck.tech/Cx8xjUMY2n" TargetMode="External"/><Relationship Id="rId1435" Type="http://schemas.openxmlformats.org/officeDocument/2006/relationships/hyperlink" Target="https://sealeddeck.tech/zuevyj6fDf" TargetMode="External"/><Relationship Id="rId1436" Type="http://schemas.openxmlformats.org/officeDocument/2006/relationships/hyperlink" Target="https://sealeddeck.tech/pXD8gBBAZB" TargetMode="External"/><Relationship Id="rId1437" Type="http://schemas.openxmlformats.org/officeDocument/2006/relationships/hyperlink" Target="https://sealeddeck.tech/USvFMgzbJt" TargetMode="External"/><Relationship Id="rId1438" Type="http://schemas.openxmlformats.org/officeDocument/2006/relationships/hyperlink" Target="https://sealeddeck.tech/9tFihMevWq" TargetMode="External"/><Relationship Id="rId1439" Type="http://schemas.openxmlformats.org/officeDocument/2006/relationships/hyperlink" Target="https://sealeddeck.tech/pYchJE1dXL" TargetMode="External"/><Relationship Id="rId609" Type="http://schemas.openxmlformats.org/officeDocument/2006/relationships/hyperlink" Target="https://sealeddeck.tech/UXJzPpykED" TargetMode="External"/><Relationship Id="rId608" Type="http://schemas.openxmlformats.org/officeDocument/2006/relationships/hyperlink" Target="https://sealeddeck.tech/td7ySGBAMb" TargetMode="External"/><Relationship Id="rId607" Type="http://schemas.openxmlformats.org/officeDocument/2006/relationships/hyperlink" Target="https://sealeddeck.tech/z5AzcfpLqp" TargetMode="External"/><Relationship Id="rId602" Type="http://schemas.openxmlformats.org/officeDocument/2006/relationships/hyperlink" Target="https://sealeddeck.tech/wNRQBxPbzB" TargetMode="External"/><Relationship Id="rId601" Type="http://schemas.openxmlformats.org/officeDocument/2006/relationships/hyperlink" Target="https://sealeddeck.tech/t1HJfDKaiS" TargetMode="External"/><Relationship Id="rId600" Type="http://schemas.openxmlformats.org/officeDocument/2006/relationships/hyperlink" Target="https://sealeddeck.tech/3vd3dTzcG1" TargetMode="External"/><Relationship Id="rId606" Type="http://schemas.openxmlformats.org/officeDocument/2006/relationships/hyperlink" Target="https://sealeddeck.tech/3a3Ps1UYic" TargetMode="External"/><Relationship Id="rId605" Type="http://schemas.openxmlformats.org/officeDocument/2006/relationships/hyperlink" Target="https://sealeddeck.tech/9FQ8bvMxY4" TargetMode="External"/><Relationship Id="rId604" Type="http://schemas.openxmlformats.org/officeDocument/2006/relationships/hyperlink" Target="https://sealeddeck.tech/TvEVqvTKBB" TargetMode="External"/><Relationship Id="rId603" Type="http://schemas.openxmlformats.org/officeDocument/2006/relationships/hyperlink" Target="https://sealeddeck.tech/M9jL95X35G" TargetMode="External"/><Relationship Id="rId1430" Type="http://schemas.openxmlformats.org/officeDocument/2006/relationships/hyperlink" Target="https://sealeddeck.tech/8tSwtStovS" TargetMode="External"/><Relationship Id="rId1431" Type="http://schemas.openxmlformats.org/officeDocument/2006/relationships/hyperlink" Target="https://sealeddeck.tech/U1zhVEazkc" TargetMode="External"/><Relationship Id="rId1432" Type="http://schemas.openxmlformats.org/officeDocument/2006/relationships/hyperlink" Target="https://sealeddeck.tech/t6r5accSs5" TargetMode="External"/><Relationship Id="rId1422" Type="http://schemas.openxmlformats.org/officeDocument/2006/relationships/hyperlink" Target="https://sealeddeck.tech/yP9hkLiL75" TargetMode="External"/><Relationship Id="rId1423" Type="http://schemas.openxmlformats.org/officeDocument/2006/relationships/hyperlink" Target="https://sealeddeck.tech/LE3n8vKkmq" TargetMode="External"/><Relationship Id="rId1424" Type="http://schemas.openxmlformats.org/officeDocument/2006/relationships/hyperlink" Target="https://sealeddeck.tech/TDM9vptLyQ" TargetMode="External"/><Relationship Id="rId1425" Type="http://schemas.openxmlformats.org/officeDocument/2006/relationships/hyperlink" Target="https://sealeddeck.tech/Sbr1pW3B9g" TargetMode="External"/><Relationship Id="rId1426" Type="http://schemas.openxmlformats.org/officeDocument/2006/relationships/hyperlink" Target="https://sealeddeck.tech/mLowUstcaC" TargetMode="External"/><Relationship Id="rId1427" Type="http://schemas.openxmlformats.org/officeDocument/2006/relationships/hyperlink" Target="https://sealeddeck.tech/YoN8aKR8n9" TargetMode="External"/><Relationship Id="rId1428" Type="http://schemas.openxmlformats.org/officeDocument/2006/relationships/hyperlink" Target="https://sealeddeck.tech/T7NsvUb5N3" TargetMode="External"/><Relationship Id="rId1429" Type="http://schemas.openxmlformats.org/officeDocument/2006/relationships/hyperlink" Target="https://sealeddeck.tech/nPnJqgvvPn" TargetMode="External"/><Relationship Id="rId1420" Type="http://schemas.openxmlformats.org/officeDocument/2006/relationships/hyperlink" Target="https://sealeddeck.tech/5dAn7we3o5" TargetMode="External"/><Relationship Id="rId1421" Type="http://schemas.openxmlformats.org/officeDocument/2006/relationships/hyperlink" Target="https://sealeddeck.tech/xPo8uUCK1v" TargetMode="External"/><Relationship Id="rId1059" Type="http://schemas.openxmlformats.org/officeDocument/2006/relationships/hyperlink" Target="https://sealeddeck.tech/Jt3xWMfq4w" TargetMode="External"/><Relationship Id="rId228" Type="http://schemas.openxmlformats.org/officeDocument/2006/relationships/hyperlink" Target="https://sealeddeck.tech/uWsrcgq3uX" TargetMode="External"/><Relationship Id="rId227" Type="http://schemas.openxmlformats.org/officeDocument/2006/relationships/hyperlink" Target="https://sealeddeck.tech/mWyCt3wKqy" TargetMode="External"/><Relationship Id="rId226" Type="http://schemas.openxmlformats.org/officeDocument/2006/relationships/hyperlink" Target="https://sealeddeck.tech/qZMaM99RAh" TargetMode="External"/><Relationship Id="rId225" Type="http://schemas.openxmlformats.org/officeDocument/2006/relationships/hyperlink" Target="https://sealeddeck.tech/Z3QVLy1guZ" TargetMode="External"/><Relationship Id="rId229" Type="http://schemas.openxmlformats.org/officeDocument/2006/relationships/hyperlink" Target="https://sealeddeck.tech/JTXCf66YdL" TargetMode="External"/><Relationship Id="rId1050" Type="http://schemas.openxmlformats.org/officeDocument/2006/relationships/hyperlink" Target="https://sealeddeck.tech/Hwka4Sp5Ms" TargetMode="External"/><Relationship Id="rId220" Type="http://schemas.openxmlformats.org/officeDocument/2006/relationships/hyperlink" Target="https://sealeddeck.tech/zpLQehFSbg" TargetMode="External"/><Relationship Id="rId1051" Type="http://schemas.openxmlformats.org/officeDocument/2006/relationships/hyperlink" Target="https://sealeddeck.tech/6uG9SArMCH" TargetMode="External"/><Relationship Id="rId1052" Type="http://schemas.openxmlformats.org/officeDocument/2006/relationships/hyperlink" Target="https://sealeddeck.tech/p1X9NybTMv" TargetMode="External"/><Relationship Id="rId1053" Type="http://schemas.openxmlformats.org/officeDocument/2006/relationships/hyperlink" Target="https://sealeddeck.tech/muiwNjbSff" TargetMode="External"/><Relationship Id="rId1054" Type="http://schemas.openxmlformats.org/officeDocument/2006/relationships/hyperlink" Target="https://sealeddeck.tech/jhyB1YfRJz" TargetMode="External"/><Relationship Id="rId224" Type="http://schemas.openxmlformats.org/officeDocument/2006/relationships/hyperlink" Target="https://sealeddeck.tech/xDtT54kP5U" TargetMode="External"/><Relationship Id="rId1055" Type="http://schemas.openxmlformats.org/officeDocument/2006/relationships/hyperlink" Target="https://sealeddeck.tech/12XYH9qxmU" TargetMode="External"/><Relationship Id="rId223" Type="http://schemas.openxmlformats.org/officeDocument/2006/relationships/hyperlink" Target="https://sealeddeck.tech/DxdYiWwwgG" TargetMode="External"/><Relationship Id="rId1056" Type="http://schemas.openxmlformats.org/officeDocument/2006/relationships/hyperlink" Target="https://sealeddeck.tech/kHvGKNVT79" TargetMode="External"/><Relationship Id="rId222" Type="http://schemas.openxmlformats.org/officeDocument/2006/relationships/hyperlink" Target="https://sealeddeck.tech/BjDXWktFxS" TargetMode="External"/><Relationship Id="rId1057" Type="http://schemas.openxmlformats.org/officeDocument/2006/relationships/hyperlink" Target="https://sealeddeck.tech/NDHeB1Bip6" TargetMode="External"/><Relationship Id="rId221" Type="http://schemas.openxmlformats.org/officeDocument/2006/relationships/hyperlink" Target="https://sealeddeck.tech/BakeojfUnE" TargetMode="External"/><Relationship Id="rId1058" Type="http://schemas.openxmlformats.org/officeDocument/2006/relationships/hyperlink" Target="https://sealeddeck.tech/s8pUsvJQEL" TargetMode="External"/><Relationship Id="rId1048" Type="http://schemas.openxmlformats.org/officeDocument/2006/relationships/hyperlink" Target="https://sealeddeck.tech/yzGR77WoLv" TargetMode="External"/><Relationship Id="rId1049" Type="http://schemas.openxmlformats.org/officeDocument/2006/relationships/hyperlink" Target="https://sealeddeck.tech/KD1yWw26ai" TargetMode="External"/><Relationship Id="rId217" Type="http://schemas.openxmlformats.org/officeDocument/2006/relationships/hyperlink" Target="https://sealeddeck.tech/p2wR1Cdfzh" TargetMode="External"/><Relationship Id="rId216" Type="http://schemas.openxmlformats.org/officeDocument/2006/relationships/hyperlink" Target="https://sealeddeck.tech/TDoLFbRVam" TargetMode="External"/><Relationship Id="rId215" Type="http://schemas.openxmlformats.org/officeDocument/2006/relationships/hyperlink" Target="https://sealeddeck.tech/pZGBm1fspM" TargetMode="External"/><Relationship Id="rId699" Type="http://schemas.openxmlformats.org/officeDocument/2006/relationships/hyperlink" Target="https://sealeddeck.tech/BQsDHVhusq" TargetMode="External"/><Relationship Id="rId214" Type="http://schemas.openxmlformats.org/officeDocument/2006/relationships/hyperlink" Target="https://sealeddeck.tech/gHwrc5yRby" TargetMode="External"/><Relationship Id="rId698" Type="http://schemas.openxmlformats.org/officeDocument/2006/relationships/hyperlink" Target="https://sealeddeck.tech/gHKsdxsxhP" TargetMode="External"/><Relationship Id="rId219" Type="http://schemas.openxmlformats.org/officeDocument/2006/relationships/hyperlink" Target="https://sealeddeck.tech/TT24APghGd" TargetMode="External"/><Relationship Id="rId218" Type="http://schemas.openxmlformats.org/officeDocument/2006/relationships/hyperlink" Target="https://sealeddeck.tech/5MrxpVaTdR" TargetMode="External"/><Relationship Id="rId693" Type="http://schemas.openxmlformats.org/officeDocument/2006/relationships/hyperlink" Target="https://sealeddeck.tech/XXJ8y7oDbn" TargetMode="External"/><Relationship Id="rId1040" Type="http://schemas.openxmlformats.org/officeDocument/2006/relationships/hyperlink" Target="https://sealeddeck.tech/8pLNvQ6mFr" TargetMode="External"/><Relationship Id="rId692" Type="http://schemas.openxmlformats.org/officeDocument/2006/relationships/hyperlink" Target="https://sealeddeck.tech/1yUrnmLmjK" TargetMode="External"/><Relationship Id="rId1041" Type="http://schemas.openxmlformats.org/officeDocument/2006/relationships/hyperlink" Target="https://sealeddeck.tech/4haFnqsgmX" TargetMode="External"/><Relationship Id="rId691" Type="http://schemas.openxmlformats.org/officeDocument/2006/relationships/hyperlink" Target="https://sealeddeck.tech/ZQ1CkeRKNd" TargetMode="External"/><Relationship Id="rId1042" Type="http://schemas.openxmlformats.org/officeDocument/2006/relationships/hyperlink" Target="https://sealeddeck.tech/jmLcC11gvZ" TargetMode="External"/><Relationship Id="rId690" Type="http://schemas.openxmlformats.org/officeDocument/2006/relationships/hyperlink" Target="https://sealeddeck.tech/TisnknrjjR" TargetMode="External"/><Relationship Id="rId1043" Type="http://schemas.openxmlformats.org/officeDocument/2006/relationships/hyperlink" Target="https://sealeddeck.tech/4dALnV8T2G" TargetMode="External"/><Relationship Id="rId213" Type="http://schemas.openxmlformats.org/officeDocument/2006/relationships/hyperlink" Target="https://sealeddeck.tech/uNV9EjLCje" TargetMode="External"/><Relationship Id="rId697" Type="http://schemas.openxmlformats.org/officeDocument/2006/relationships/hyperlink" Target="https://sealeddeck.tech/QRpvFvFzjf" TargetMode="External"/><Relationship Id="rId1044" Type="http://schemas.openxmlformats.org/officeDocument/2006/relationships/hyperlink" Target="https://sealeddeck.tech/7cdfYbpchD" TargetMode="External"/><Relationship Id="rId212" Type="http://schemas.openxmlformats.org/officeDocument/2006/relationships/hyperlink" Target="https://sealeddeck.tech/iCsYc9jodm" TargetMode="External"/><Relationship Id="rId696" Type="http://schemas.openxmlformats.org/officeDocument/2006/relationships/hyperlink" Target="https://sealeddeck.tech/QwWXHXjPgo" TargetMode="External"/><Relationship Id="rId1045" Type="http://schemas.openxmlformats.org/officeDocument/2006/relationships/hyperlink" Target="https://sealeddeck.tech/7BU8hNZCpy" TargetMode="External"/><Relationship Id="rId211" Type="http://schemas.openxmlformats.org/officeDocument/2006/relationships/hyperlink" Target="https://sealeddeck.tech/FN31TSFQZ8" TargetMode="External"/><Relationship Id="rId695" Type="http://schemas.openxmlformats.org/officeDocument/2006/relationships/hyperlink" Target="https://sealeddeck.tech/KiM6h3ZHxD" TargetMode="External"/><Relationship Id="rId1046" Type="http://schemas.openxmlformats.org/officeDocument/2006/relationships/hyperlink" Target="https://sealeddeck.tech/3bmGJ5RNJE" TargetMode="External"/><Relationship Id="rId210" Type="http://schemas.openxmlformats.org/officeDocument/2006/relationships/hyperlink" Target="https://sealeddeck.tech/rmvThKMxXT" TargetMode="External"/><Relationship Id="rId694" Type="http://schemas.openxmlformats.org/officeDocument/2006/relationships/hyperlink" Target="https://sealeddeck.tech/s6YBsNRXj9" TargetMode="External"/><Relationship Id="rId1047" Type="http://schemas.openxmlformats.org/officeDocument/2006/relationships/hyperlink" Target="https://sealeddeck.tech/jJGVRTpShn" TargetMode="External"/><Relationship Id="rId249" Type="http://schemas.openxmlformats.org/officeDocument/2006/relationships/hyperlink" Target="https://sealeddeck.tech/ZuMZfMwY66" TargetMode="External"/><Relationship Id="rId248" Type="http://schemas.openxmlformats.org/officeDocument/2006/relationships/hyperlink" Target="https://sealeddeck.tech/8yuBthpS8R" TargetMode="External"/><Relationship Id="rId247" Type="http://schemas.openxmlformats.org/officeDocument/2006/relationships/hyperlink" Target="https://sealeddeck.tech/qaq3rkeSt8" TargetMode="External"/><Relationship Id="rId1070" Type="http://schemas.openxmlformats.org/officeDocument/2006/relationships/hyperlink" Target="https://sealeddeck.tech/i1vMbwNDqV" TargetMode="External"/><Relationship Id="rId1071" Type="http://schemas.openxmlformats.org/officeDocument/2006/relationships/hyperlink" Target="https://sealeddeck.tech/KuykhLsygk" TargetMode="External"/><Relationship Id="rId1072" Type="http://schemas.openxmlformats.org/officeDocument/2006/relationships/hyperlink" Target="https://sealeddeck.tech/A7h9szzhqc" TargetMode="External"/><Relationship Id="rId242" Type="http://schemas.openxmlformats.org/officeDocument/2006/relationships/hyperlink" Target="https://sealeddeck.tech/3SGBMVhZjZ" TargetMode="External"/><Relationship Id="rId1073" Type="http://schemas.openxmlformats.org/officeDocument/2006/relationships/hyperlink" Target="https://sealeddeck.tech/iVmUKN2Yk6" TargetMode="External"/><Relationship Id="rId241" Type="http://schemas.openxmlformats.org/officeDocument/2006/relationships/hyperlink" Target="https://sealeddeck.tech/8E3Ju5zSXG" TargetMode="External"/><Relationship Id="rId1074" Type="http://schemas.openxmlformats.org/officeDocument/2006/relationships/hyperlink" Target="https://sealeddeck.tech/8GKgyV34CN" TargetMode="External"/><Relationship Id="rId240" Type="http://schemas.openxmlformats.org/officeDocument/2006/relationships/hyperlink" Target="https://sealeddeck.tech/718oURoFLD" TargetMode="External"/><Relationship Id="rId1075" Type="http://schemas.openxmlformats.org/officeDocument/2006/relationships/hyperlink" Target="https://sealeddeck.tech/uAxmUxKed9" TargetMode="External"/><Relationship Id="rId1076" Type="http://schemas.openxmlformats.org/officeDocument/2006/relationships/hyperlink" Target="https://sealeddeck.tech/ZpKouw5FTR" TargetMode="External"/><Relationship Id="rId246" Type="http://schemas.openxmlformats.org/officeDocument/2006/relationships/hyperlink" Target="https://sealeddeck.tech/L5Dejk5LDY" TargetMode="External"/><Relationship Id="rId1077" Type="http://schemas.openxmlformats.org/officeDocument/2006/relationships/hyperlink" Target="https://sealeddeck.tech/7Tmis5LN2p" TargetMode="External"/><Relationship Id="rId245" Type="http://schemas.openxmlformats.org/officeDocument/2006/relationships/hyperlink" Target="https://sealeddeck.tech/hkaoHmr2x6" TargetMode="External"/><Relationship Id="rId1078" Type="http://schemas.openxmlformats.org/officeDocument/2006/relationships/hyperlink" Target="https://sealeddeck.tech/Fbt4kQ8cqa" TargetMode="External"/><Relationship Id="rId244" Type="http://schemas.openxmlformats.org/officeDocument/2006/relationships/hyperlink" Target="https://sealeddeck.tech/g8ePoxFLRe" TargetMode="External"/><Relationship Id="rId1079" Type="http://schemas.openxmlformats.org/officeDocument/2006/relationships/hyperlink" Target="https://sealeddeck.tech/6LTrJMFkJM" TargetMode="External"/><Relationship Id="rId243" Type="http://schemas.openxmlformats.org/officeDocument/2006/relationships/hyperlink" Target="https://sealeddeck.tech/9x6YyQ5wya" TargetMode="External"/><Relationship Id="rId239" Type="http://schemas.openxmlformats.org/officeDocument/2006/relationships/hyperlink" Target="https://sealeddeck.tech/QGgngXWgC6" TargetMode="External"/><Relationship Id="rId238" Type="http://schemas.openxmlformats.org/officeDocument/2006/relationships/hyperlink" Target="https://sealeddeck.tech/hCBWLZmFrB" TargetMode="External"/><Relationship Id="rId237" Type="http://schemas.openxmlformats.org/officeDocument/2006/relationships/hyperlink" Target="https://sealeddeck.tech/1yJQMqVkEY" TargetMode="External"/><Relationship Id="rId236" Type="http://schemas.openxmlformats.org/officeDocument/2006/relationships/hyperlink" Target="https://sealeddeck.tech/uuCujUdkq9" TargetMode="External"/><Relationship Id="rId1060" Type="http://schemas.openxmlformats.org/officeDocument/2006/relationships/hyperlink" Target="https://sealeddeck.tech/VwDVyGd3ug" TargetMode="External"/><Relationship Id="rId1061" Type="http://schemas.openxmlformats.org/officeDocument/2006/relationships/hyperlink" Target="https://sealeddeck.tech/PmvoKKztGv" TargetMode="External"/><Relationship Id="rId231" Type="http://schemas.openxmlformats.org/officeDocument/2006/relationships/hyperlink" Target="https://sealeddeck.tech/QNy7iagwFK" TargetMode="External"/><Relationship Id="rId1062" Type="http://schemas.openxmlformats.org/officeDocument/2006/relationships/hyperlink" Target="https://sealeddeck.tech/MTiA6Wm28R" TargetMode="External"/><Relationship Id="rId230" Type="http://schemas.openxmlformats.org/officeDocument/2006/relationships/hyperlink" Target="https://sealeddeck.tech/yNS2UBmkHM" TargetMode="External"/><Relationship Id="rId1063" Type="http://schemas.openxmlformats.org/officeDocument/2006/relationships/hyperlink" Target="https://sealeddeck.tech/jhgqNTK74a" TargetMode="External"/><Relationship Id="rId1064" Type="http://schemas.openxmlformats.org/officeDocument/2006/relationships/hyperlink" Target="https://sealeddeck.tech/MW4F7m2PSa" TargetMode="External"/><Relationship Id="rId1065" Type="http://schemas.openxmlformats.org/officeDocument/2006/relationships/hyperlink" Target="https://sealeddeck.tech/SNkiWkWAhW" TargetMode="External"/><Relationship Id="rId235" Type="http://schemas.openxmlformats.org/officeDocument/2006/relationships/hyperlink" Target="https://sealeddeck.tech/wxSXfo8KEi" TargetMode="External"/><Relationship Id="rId1066" Type="http://schemas.openxmlformats.org/officeDocument/2006/relationships/hyperlink" Target="https://sealeddeck.tech/dte1hv8bhq" TargetMode="External"/><Relationship Id="rId234" Type="http://schemas.openxmlformats.org/officeDocument/2006/relationships/hyperlink" Target="https://sealeddeck.tech/ZjQBUuZKqu" TargetMode="External"/><Relationship Id="rId1067" Type="http://schemas.openxmlformats.org/officeDocument/2006/relationships/hyperlink" Target="https://sealeddeck.tech/pgkWv4LgEb" TargetMode="External"/><Relationship Id="rId233" Type="http://schemas.openxmlformats.org/officeDocument/2006/relationships/hyperlink" Target="https://sealeddeck.tech/NbPzQDDwdU" TargetMode="External"/><Relationship Id="rId1068" Type="http://schemas.openxmlformats.org/officeDocument/2006/relationships/hyperlink" Target="https://sealeddeck.tech/jne1bqaDn7" TargetMode="External"/><Relationship Id="rId232" Type="http://schemas.openxmlformats.org/officeDocument/2006/relationships/hyperlink" Target="https://sealeddeck.tech/NraxXcCP8f" TargetMode="External"/><Relationship Id="rId1069" Type="http://schemas.openxmlformats.org/officeDocument/2006/relationships/hyperlink" Target="https://sealeddeck.tech/AvhBo3Ud4H" TargetMode="External"/><Relationship Id="rId1015" Type="http://schemas.openxmlformats.org/officeDocument/2006/relationships/hyperlink" Target="https://sealeddeck.tech/DeSbetMm18" TargetMode="External"/><Relationship Id="rId1499" Type="http://schemas.openxmlformats.org/officeDocument/2006/relationships/hyperlink" Target="https://sealeddeck.tech/QqjHuqM6fQ" TargetMode="External"/><Relationship Id="rId1016" Type="http://schemas.openxmlformats.org/officeDocument/2006/relationships/hyperlink" Target="https://sealeddeck.tech/7A6XTzVfdk" TargetMode="External"/><Relationship Id="rId1017" Type="http://schemas.openxmlformats.org/officeDocument/2006/relationships/hyperlink" Target="https://sealeddeck.tech/6WiuCnGVBH" TargetMode="External"/><Relationship Id="rId1018" Type="http://schemas.openxmlformats.org/officeDocument/2006/relationships/hyperlink" Target="https://sealeddeck.tech/wmrW5EB86f" TargetMode="External"/><Relationship Id="rId1019" Type="http://schemas.openxmlformats.org/officeDocument/2006/relationships/hyperlink" Target="https://sealeddeck.tech/BHVhT6ViRc" TargetMode="External"/><Relationship Id="rId668" Type="http://schemas.openxmlformats.org/officeDocument/2006/relationships/hyperlink" Target="https://sealeddeck.tech/TbScn26jXc" TargetMode="External"/><Relationship Id="rId667" Type="http://schemas.openxmlformats.org/officeDocument/2006/relationships/hyperlink" Target="https://sealeddeck.tech/jrccC27WnX" TargetMode="External"/><Relationship Id="rId666" Type="http://schemas.openxmlformats.org/officeDocument/2006/relationships/hyperlink" Target="https://sealeddeck.tech/TmfU3KE2nT" TargetMode="External"/><Relationship Id="rId665" Type="http://schemas.openxmlformats.org/officeDocument/2006/relationships/hyperlink" Target="https://sealeddeck.tech/XwCBRsxphn" TargetMode="External"/><Relationship Id="rId669" Type="http://schemas.openxmlformats.org/officeDocument/2006/relationships/hyperlink" Target="https://sealeddeck.tech/to6aHUtQ5s" TargetMode="External"/><Relationship Id="rId1490" Type="http://schemas.openxmlformats.org/officeDocument/2006/relationships/hyperlink" Target="https://sealeddeck.tech/n4nezF1KYU" TargetMode="External"/><Relationship Id="rId660" Type="http://schemas.openxmlformats.org/officeDocument/2006/relationships/hyperlink" Target="https://sealeddeck.tech/MKTo8csWHf" TargetMode="External"/><Relationship Id="rId1491" Type="http://schemas.openxmlformats.org/officeDocument/2006/relationships/hyperlink" Target="https://sealeddeck.tech/m18o8pU4yR" TargetMode="External"/><Relationship Id="rId1492" Type="http://schemas.openxmlformats.org/officeDocument/2006/relationships/hyperlink" Target="https://sealeddeck.tech/ha1PBccWwh" TargetMode="External"/><Relationship Id="rId1493" Type="http://schemas.openxmlformats.org/officeDocument/2006/relationships/hyperlink" Target="https://sealeddeck.tech/x1GWY8jVNi" TargetMode="External"/><Relationship Id="rId1010" Type="http://schemas.openxmlformats.org/officeDocument/2006/relationships/hyperlink" Target="https://sealeddeck.tech/3NzYpoYpHm" TargetMode="External"/><Relationship Id="rId1494" Type="http://schemas.openxmlformats.org/officeDocument/2006/relationships/hyperlink" Target="https://sealeddeck.tech/9wFqk5cwLQ" TargetMode="External"/><Relationship Id="rId664" Type="http://schemas.openxmlformats.org/officeDocument/2006/relationships/hyperlink" Target="https://sealeddeck.tech/rrqm9azvZt" TargetMode="External"/><Relationship Id="rId1011" Type="http://schemas.openxmlformats.org/officeDocument/2006/relationships/hyperlink" Target="https://sealeddeck.tech/JRUNe8UZ9s" TargetMode="External"/><Relationship Id="rId1495" Type="http://schemas.openxmlformats.org/officeDocument/2006/relationships/hyperlink" Target="https://sealeddeck.tech/MXwNYZptLR" TargetMode="External"/><Relationship Id="rId663" Type="http://schemas.openxmlformats.org/officeDocument/2006/relationships/hyperlink" Target="https://sealeddeck.tech/mA4wxEk7MY" TargetMode="External"/><Relationship Id="rId1012" Type="http://schemas.openxmlformats.org/officeDocument/2006/relationships/hyperlink" Target="https://sealeddeck.tech/6nuPw43EGh" TargetMode="External"/><Relationship Id="rId1496" Type="http://schemas.openxmlformats.org/officeDocument/2006/relationships/hyperlink" Target="https://sealeddeck.tech/cPsH6FYuDb" TargetMode="External"/><Relationship Id="rId662" Type="http://schemas.openxmlformats.org/officeDocument/2006/relationships/hyperlink" Target="https://sealeddeck.tech/a3MRZZeKEX" TargetMode="External"/><Relationship Id="rId1013" Type="http://schemas.openxmlformats.org/officeDocument/2006/relationships/hyperlink" Target="https://sealeddeck.tech/GPnCiUrNgp" TargetMode="External"/><Relationship Id="rId1497" Type="http://schemas.openxmlformats.org/officeDocument/2006/relationships/hyperlink" Target="https://sealeddeck.tech/FeWpw28qdo" TargetMode="External"/><Relationship Id="rId661" Type="http://schemas.openxmlformats.org/officeDocument/2006/relationships/hyperlink" Target="https://sealeddeck.tech/yvV9aibQb8" TargetMode="External"/><Relationship Id="rId1014" Type="http://schemas.openxmlformats.org/officeDocument/2006/relationships/hyperlink" Target="https://sealeddeck.tech/DVgupshvL4" TargetMode="External"/><Relationship Id="rId1498" Type="http://schemas.openxmlformats.org/officeDocument/2006/relationships/hyperlink" Target="https://sealeddeck.tech/DwhHweQq41" TargetMode="External"/><Relationship Id="rId1004" Type="http://schemas.openxmlformats.org/officeDocument/2006/relationships/hyperlink" Target="https://sealeddeck.tech/19JqdxtQUL" TargetMode="External"/><Relationship Id="rId1488" Type="http://schemas.openxmlformats.org/officeDocument/2006/relationships/hyperlink" Target="https://sealeddeck.tech/XyhgnqLmBQ" TargetMode="External"/><Relationship Id="rId1005" Type="http://schemas.openxmlformats.org/officeDocument/2006/relationships/hyperlink" Target="https://sealeddeck.tech/QZ1n1BAn7w" TargetMode="External"/><Relationship Id="rId1489" Type="http://schemas.openxmlformats.org/officeDocument/2006/relationships/hyperlink" Target="https://sealeddeck.tech/Dt3n468bJJ" TargetMode="External"/><Relationship Id="rId1006" Type="http://schemas.openxmlformats.org/officeDocument/2006/relationships/hyperlink" Target="https://sealeddeck.tech/VEzELbiv8q" TargetMode="External"/><Relationship Id="rId1007" Type="http://schemas.openxmlformats.org/officeDocument/2006/relationships/hyperlink" Target="https://sealeddeck.tech/6K2NJKip4Q" TargetMode="External"/><Relationship Id="rId1008" Type="http://schemas.openxmlformats.org/officeDocument/2006/relationships/hyperlink" Target="https://sealeddeck.tech/AXMgtSC9As" TargetMode="External"/><Relationship Id="rId1009" Type="http://schemas.openxmlformats.org/officeDocument/2006/relationships/hyperlink" Target="https://sealeddeck.tech/edS4hLpVua" TargetMode="External"/><Relationship Id="rId657" Type="http://schemas.openxmlformats.org/officeDocument/2006/relationships/hyperlink" Target="https://sealeddeck.tech/uK7rDY515z" TargetMode="External"/><Relationship Id="rId656" Type="http://schemas.openxmlformats.org/officeDocument/2006/relationships/hyperlink" Target="https://sealeddeck.tech/34mDSfy3SE" TargetMode="External"/><Relationship Id="rId655" Type="http://schemas.openxmlformats.org/officeDocument/2006/relationships/hyperlink" Target="https://sealeddeck.tech/CEoefv4XJC" TargetMode="External"/><Relationship Id="rId654" Type="http://schemas.openxmlformats.org/officeDocument/2006/relationships/hyperlink" Target="https://sealeddeck.tech/dsYxBjAGRw" TargetMode="External"/><Relationship Id="rId659" Type="http://schemas.openxmlformats.org/officeDocument/2006/relationships/hyperlink" Target="https://sealeddeck.tech/DmRCJH7xMs" TargetMode="External"/><Relationship Id="rId658" Type="http://schemas.openxmlformats.org/officeDocument/2006/relationships/hyperlink" Target="https://sealeddeck.tech/sBUPT5QJUw" TargetMode="External"/><Relationship Id="rId1480" Type="http://schemas.openxmlformats.org/officeDocument/2006/relationships/hyperlink" Target="https://sealeddeck.tech/i1uk12avYU" TargetMode="External"/><Relationship Id="rId1481" Type="http://schemas.openxmlformats.org/officeDocument/2006/relationships/hyperlink" Target="https://sealeddeck.tech/oec29mCV1B" TargetMode="External"/><Relationship Id="rId1482" Type="http://schemas.openxmlformats.org/officeDocument/2006/relationships/hyperlink" Target="https://sealeddeck.tech/C1VdPp7cE8" TargetMode="External"/><Relationship Id="rId1483" Type="http://schemas.openxmlformats.org/officeDocument/2006/relationships/hyperlink" Target="https://sealeddeck.tech/LAnBiPdTwy" TargetMode="External"/><Relationship Id="rId653" Type="http://schemas.openxmlformats.org/officeDocument/2006/relationships/hyperlink" Target="https://sealeddeck.tech/v26AHEiDWp" TargetMode="External"/><Relationship Id="rId1000" Type="http://schemas.openxmlformats.org/officeDocument/2006/relationships/hyperlink" Target="https://sealeddeck.tech/B9adcd6sFM" TargetMode="External"/><Relationship Id="rId1484" Type="http://schemas.openxmlformats.org/officeDocument/2006/relationships/hyperlink" Target="https://sealeddeck.tech/Trn3mH74eW" TargetMode="External"/><Relationship Id="rId652" Type="http://schemas.openxmlformats.org/officeDocument/2006/relationships/hyperlink" Target="https://sealeddeck.tech/cKPY53TdPu" TargetMode="External"/><Relationship Id="rId1001" Type="http://schemas.openxmlformats.org/officeDocument/2006/relationships/hyperlink" Target="https://sealeddeck.tech/uJUhGug2bg" TargetMode="External"/><Relationship Id="rId1485" Type="http://schemas.openxmlformats.org/officeDocument/2006/relationships/hyperlink" Target="https://sealeddeck.tech/qLpcmnXpYN" TargetMode="External"/><Relationship Id="rId651" Type="http://schemas.openxmlformats.org/officeDocument/2006/relationships/hyperlink" Target="https://sealeddeck.tech/KDcdNXkDfR" TargetMode="External"/><Relationship Id="rId1002" Type="http://schemas.openxmlformats.org/officeDocument/2006/relationships/hyperlink" Target="https://sealeddeck.tech/9Q42cqsYKM" TargetMode="External"/><Relationship Id="rId1486" Type="http://schemas.openxmlformats.org/officeDocument/2006/relationships/hyperlink" Target="https://sealeddeck.tech/cWbyX2gHMf" TargetMode="External"/><Relationship Id="rId650" Type="http://schemas.openxmlformats.org/officeDocument/2006/relationships/hyperlink" Target="https://sealeddeck.tech/YwqKJRhjHF" TargetMode="External"/><Relationship Id="rId1003" Type="http://schemas.openxmlformats.org/officeDocument/2006/relationships/hyperlink" Target="https://sealeddeck.tech/5jhMrRAeVt" TargetMode="External"/><Relationship Id="rId1487" Type="http://schemas.openxmlformats.org/officeDocument/2006/relationships/hyperlink" Target="https://sealeddeck.tech/bmwmL9Ng4F" TargetMode="External"/><Relationship Id="rId1037" Type="http://schemas.openxmlformats.org/officeDocument/2006/relationships/hyperlink" Target="https://sealeddeck.tech/gXsgVtpxxZ" TargetMode="External"/><Relationship Id="rId1038" Type="http://schemas.openxmlformats.org/officeDocument/2006/relationships/hyperlink" Target="https://sealeddeck.tech/XhgpPtznTU" TargetMode="External"/><Relationship Id="rId1039" Type="http://schemas.openxmlformats.org/officeDocument/2006/relationships/hyperlink" Target="https://sealeddeck.tech/u17WksZAcS" TargetMode="External"/><Relationship Id="rId206" Type="http://schemas.openxmlformats.org/officeDocument/2006/relationships/hyperlink" Target="https://sealeddeck.tech/AEArdFjbtd" TargetMode="External"/><Relationship Id="rId205" Type="http://schemas.openxmlformats.org/officeDocument/2006/relationships/hyperlink" Target="https://sealeddeck.tech/ZCfzqfdPZZ" TargetMode="External"/><Relationship Id="rId689" Type="http://schemas.openxmlformats.org/officeDocument/2006/relationships/hyperlink" Target="https://sealeddeck.tech/3vxMyLW4Fj" TargetMode="External"/><Relationship Id="rId204" Type="http://schemas.openxmlformats.org/officeDocument/2006/relationships/hyperlink" Target="https://sealeddeck.tech/vX3j2bbF7e" TargetMode="External"/><Relationship Id="rId688" Type="http://schemas.openxmlformats.org/officeDocument/2006/relationships/hyperlink" Target="https://sealeddeck.tech/tWzq14k9St" TargetMode="External"/><Relationship Id="rId203" Type="http://schemas.openxmlformats.org/officeDocument/2006/relationships/hyperlink" Target="https://sealeddeck.tech/qzSA6irTsU" TargetMode="External"/><Relationship Id="rId687" Type="http://schemas.openxmlformats.org/officeDocument/2006/relationships/hyperlink" Target="https://sealeddeck.tech/htPXCqZnuy" TargetMode="External"/><Relationship Id="rId209" Type="http://schemas.openxmlformats.org/officeDocument/2006/relationships/hyperlink" Target="https://sealeddeck.tech/uVLFQEwAoZ" TargetMode="External"/><Relationship Id="rId208" Type="http://schemas.openxmlformats.org/officeDocument/2006/relationships/hyperlink" Target="https://sealeddeck.tech/2yzQrQr74b" TargetMode="External"/><Relationship Id="rId207" Type="http://schemas.openxmlformats.org/officeDocument/2006/relationships/hyperlink" Target="https://sealeddeck.tech/gTqwzhPwYk" TargetMode="External"/><Relationship Id="rId682" Type="http://schemas.openxmlformats.org/officeDocument/2006/relationships/hyperlink" Target="https://sealeddeck.tech/KLF39NHezs" TargetMode="External"/><Relationship Id="rId681" Type="http://schemas.openxmlformats.org/officeDocument/2006/relationships/hyperlink" Target="https://sealeddeck.tech/8eEXHQ3SKH" TargetMode="External"/><Relationship Id="rId1030" Type="http://schemas.openxmlformats.org/officeDocument/2006/relationships/hyperlink" Target="https://sealeddeck.tech/4tscUekdzP" TargetMode="External"/><Relationship Id="rId680" Type="http://schemas.openxmlformats.org/officeDocument/2006/relationships/hyperlink" Target="https://sealeddeck.tech/31kW8a9MrJ" TargetMode="External"/><Relationship Id="rId1031" Type="http://schemas.openxmlformats.org/officeDocument/2006/relationships/hyperlink" Target="https://sealeddeck.tech/vcKrGZsdFb" TargetMode="External"/><Relationship Id="rId1032" Type="http://schemas.openxmlformats.org/officeDocument/2006/relationships/hyperlink" Target="https://sealeddeck.tech/4aqzyb9MbC" TargetMode="External"/><Relationship Id="rId202" Type="http://schemas.openxmlformats.org/officeDocument/2006/relationships/hyperlink" Target="https://sealeddeck.tech/XYWebKSKg2" TargetMode="External"/><Relationship Id="rId686" Type="http://schemas.openxmlformats.org/officeDocument/2006/relationships/hyperlink" Target="https://sealeddeck.tech/uTSGJ48i7K" TargetMode="External"/><Relationship Id="rId1033" Type="http://schemas.openxmlformats.org/officeDocument/2006/relationships/hyperlink" Target="https://sealeddeck.tech/rMVfJZGJCZ" TargetMode="External"/><Relationship Id="rId201" Type="http://schemas.openxmlformats.org/officeDocument/2006/relationships/hyperlink" Target="https://sealeddeck.tech/b1uT6kMDrA" TargetMode="External"/><Relationship Id="rId685" Type="http://schemas.openxmlformats.org/officeDocument/2006/relationships/hyperlink" Target="https://sealeddeck.tech/cdnAssGyCU" TargetMode="External"/><Relationship Id="rId1034" Type="http://schemas.openxmlformats.org/officeDocument/2006/relationships/hyperlink" Target="https://sealeddeck.tech/gnCyTfDhK5" TargetMode="External"/><Relationship Id="rId200" Type="http://schemas.openxmlformats.org/officeDocument/2006/relationships/hyperlink" Target="https://sealeddeck.tech/HCx4dUTqvX" TargetMode="External"/><Relationship Id="rId684" Type="http://schemas.openxmlformats.org/officeDocument/2006/relationships/hyperlink" Target="https://sealeddeck.tech/T26SVbgQR7" TargetMode="External"/><Relationship Id="rId1035" Type="http://schemas.openxmlformats.org/officeDocument/2006/relationships/hyperlink" Target="https://sealeddeck.tech/sQA5U7QLKC" TargetMode="External"/><Relationship Id="rId683" Type="http://schemas.openxmlformats.org/officeDocument/2006/relationships/hyperlink" Target="https://sealeddeck.tech/rXqyFUehZv" TargetMode="External"/><Relationship Id="rId1036" Type="http://schemas.openxmlformats.org/officeDocument/2006/relationships/hyperlink" Target="https://sealeddeck.tech/Cg6mw58cFk" TargetMode="External"/><Relationship Id="rId1026" Type="http://schemas.openxmlformats.org/officeDocument/2006/relationships/hyperlink" Target="https://sealeddeck.tech/PRbs4dZc1H" TargetMode="External"/><Relationship Id="rId1027" Type="http://schemas.openxmlformats.org/officeDocument/2006/relationships/hyperlink" Target="https://sealeddeck.tech/V4iRNyPLnf" TargetMode="External"/><Relationship Id="rId1028" Type="http://schemas.openxmlformats.org/officeDocument/2006/relationships/hyperlink" Target="https://sealeddeck.tech/3epJyRfXwZ" TargetMode="External"/><Relationship Id="rId1029" Type="http://schemas.openxmlformats.org/officeDocument/2006/relationships/hyperlink" Target="https://sealeddeck.tech/nbehzL4nCx" TargetMode="External"/><Relationship Id="rId679" Type="http://schemas.openxmlformats.org/officeDocument/2006/relationships/hyperlink" Target="https://sealeddeck.tech/mwPmwXtexE" TargetMode="External"/><Relationship Id="rId678" Type="http://schemas.openxmlformats.org/officeDocument/2006/relationships/hyperlink" Target="https://sealeddeck.tech/2Y1yre7159" TargetMode="External"/><Relationship Id="rId677" Type="http://schemas.openxmlformats.org/officeDocument/2006/relationships/hyperlink" Target="https://sealeddeck.tech/HeTwFP6Cyv" TargetMode="External"/><Relationship Id="rId676" Type="http://schemas.openxmlformats.org/officeDocument/2006/relationships/hyperlink" Target="https://sealeddeck.tech/KoNMP1UDP4" TargetMode="External"/><Relationship Id="rId671" Type="http://schemas.openxmlformats.org/officeDocument/2006/relationships/hyperlink" Target="https://sealeddeck.tech/ChEpERDmpY" TargetMode="External"/><Relationship Id="rId670" Type="http://schemas.openxmlformats.org/officeDocument/2006/relationships/hyperlink" Target="https://sealeddeck.tech/GNT9yjwAap" TargetMode="External"/><Relationship Id="rId1020" Type="http://schemas.openxmlformats.org/officeDocument/2006/relationships/hyperlink" Target="https://sealeddeck.tech/3fZTT68d9T" TargetMode="External"/><Relationship Id="rId1021" Type="http://schemas.openxmlformats.org/officeDocument/2006/relationships/hyperlink" Target="https://sealeddeck.tech/VU7sEtvvuW" TargetMode="External"/><Relationship Id="rId675" Type="http://schemas.openxmlformats.org/officeDocument/2006/relationships/hyperlink" Target="https://sealeddeck.tech/uJ8uPgUUQd" TargetMode="External"/><Relationship Id="rId1022" Type="http://schemas.openxmlformats.org/officeDocument/2006/relationships/hyperlink" Target="https://sealeddeck.tech/CmUdyNuVDf" TargetMode="External"/><Relationship Id="rId674" Type="http://schemas.openxmlformats.org/officeDocument/2006/relationships/hyperlink" Target="https://sealeddeck.tech/omrpSEWwc2" TargetMode="External"/><Relationship Id="rId1023" Type="http://schemas.openxmlformats.org/officeDocument/2006/relationships/hyperlink" Target="https://sealeddeck.tech/d4vjLiY6Rt" TargetMode="External"/><Relationship Id="rId673" Type="http://schemas.openxmlformats.org/officeDocument/2006/relationships/hyperlink" Target="https://sealeddeck.tech/xpcWiMmJj6" TargetMode="External"/><Relationship Id="rId1024" Type="http://schemas.openxmlformats.org/officeDocument/2006/relationships/hyperlink" Target="https://sealeddeck.tech/NoEBmL9n2m" TargetMode="External"/><Relationship Id="rId672" Type="http://schemas.openxmlformats.org/officeDocument/2006/relationships/hyperlink" Target="https://sealeddeck.tech/mjCrUANBPL" TargetMode="External"/><Relationship Id="rId1025" Type="http://schemas.openxmlformats.org/officeDocument/2006/relationships/hyperlink" Target="https://sealeddeck.tech/MeYPZjtiHg" TargetMode="External"/><Relationship Id="rId190" Type="http://schemas.openxmlformats.org/officeDocument/2006/relationships/hyperlink" Target="https://sealeddeck.tech/eqCKRGkkPJ" TargetMode="External"/><Relationship Id="rId194" Type="http://schemas.openxmlformats.org/officeDocument/2006/relationships/hyperlink" Target="https://sealeddeck.tech/vtJsZFLDp9" TargetMode="External"/><Relationship Id="rId193" Type="http://schemas.openxmlformats.org/officeDocument/2006/relationships/hyperlink" Target="https://sealeddeck.tech/mQw5hNpF5r" TargetMode="External"/><Relationship Id="rId192" Type="http://schemas.openxmlformats.org/officeDocument/2006/relationships/hyperlink" Target="https://sealeddeck.tech/SsZFpvjgM1" TargetMode="External"/><Relationship Id="rId191" Type="http://schemas.openxmlformats.org/officeDocument/2006/relationships/hyperlink" Target="https://sealeddeck.tech/XokvzwqVG1" TargetMode="External"/><Relationship Id="rId187" Type="http://schemas.openxmlformats.org/officeDocument/2006/relationships/hyperlink" Target="https://sealeddeck.tech/6kE33sWgay" TargetMode="External"/><Relationship Id="rId186" Type="http://schemas.openxmlformats.org/officeDocument/2006/relationships/hyperlink" Target="https://sealeddeck.tech/cgRSiNpNGw" TargetMode="External"/><Relationship Id="rId185" Type="http://schemas.openxmlformats.org/officeDocument/2006/relationships/hyperlink" Target="https://sealeddeck.tech/XcU4oV5UHs" TargetMode="External"/><Relationship Id="rId184" Type="http://schemas.openxmlformats.org/officeDocument/2006/relationships/hyperlink" Target="https://sealeddeck.tech/TejeWgREbU" TargetMode="External"/><Relationship Id="rId189" Type="http://schemas.openxmlformats.org/officeDocument/2006/relationships/hyperlink" Target="https://sealeddeck.tech/RN2hjzmrhJ" TargetMode="External"/><Relationship Id="rId188" Type="http://schemas.openxmlformats.org/officeDocument/2006/relationships/hyperlink" Target="https://sealeddeck.tech/AHCiqJzVty" TargetMode="External"/><Relationship Id="rId183" Type="http://schemas.openxmlformats.org/officeDocument/2006/relationships/hyperlink" Target="https://sealeddeck.tech/2arJVmrAAd" TargetMode="External"/><Relationship Id="rId182" Type="http://schemas.openxmlformats.org/officeDocument/2006/relationships/hyperlink" Target="https://sealeddeck.tech/Hdd3aLVPCk" TargetMode="External"/><Relationship Id="rId181" Type="http://schemas.openxmlformats.org/officeDocument/2006/relationships/hyperlink" Target="https://sealeddeck.tech/uCmDpMGMiS" TargetMode="External"/><Relationship Id="rId180" Type="http://schemas.openxmlformats.org/officeDocument/2006/relationships/hyperlink" Target="https://sealeddeck.tech/s1J8UGnaD6" TargetMode="External"/><Relationship Id="rId176" Type="http://schemas.openxmlformats.org/officeDocument/2006/relationships/hyperlink" Target="https://sealeddeck.tech/DjAN7V1pmt" TargetMode="External"/><Relationship Id="rId175" Type="http://schemas.openxmlformats.org/officeDocument/2006/relationships/hyperlink" Target="https://sealeddeck.tech/wvc73WBmxT" TargetMode="External"/><Relationship Id="rId174" Type="http://schemas.openxmlformats.org/officeDocument/2006/relationships/hyperlink" Target="https://sealeddeck.tech/zY7TmRP9RY" TargetMode="External"/><Relationship Id="rId173" Type="http://schemas.openxmlformats.org/officeDocument/2006/relationships/hyperlink" Target="https://sealeddeck.tech/fB5CUWVDRP" TargetMode="External"/><Relationship Id="rId179" Type="http://schemas.openxmlformats.org/officeDocument/2006/relationships/hyperlink" Target="https://sealeddeck.tech/swZVariY6V" TargetMode="External"/><Relationship Id="rId178" Type="http://schemas.openxmlformats.org/officeDocument/2006/relationships/hyperlink" Target="https://sealeddeck.tech/uRGAB6HRwq" TargetMode="External"/><Relationship Id="rId177" Type="http://schemas.openxmlformats.org/officeDocument/2006/relationships/hyperlink" Target="https://sealeddeck.tech/k4U9C2wqgR" TargetMode="External"/><Relationship Id="rId198" Type="http://schemas.openxmlformats.org/officeDocument/2006/relationships/hyperlink" Target="https://sealeddeck.tech/Jdaggn5YbL" TargetMode="External"/><Relationship Id="rId197" Type="http://schemas.openxmlformats.org/officeDocument/2006/relationships/hyperlink" Target="https://sealeddeck.tech/aVUVx2Ljn5" TargetMode="External"/><Relationship Id="rId196" Type="http://schemas.openxmlformats.org/officeDocument/2006/relationships/hyperlink" Target="https://sealeddeck.tech/HNu4SPTLJ4" TargetMode="External"/><Relationship Id="rId195" Type="http://schemas.openxmlformats.org/officeDocument/2006/relationships/hyperlink" Target="https://sealeddeck.tech/K5uhnCTa2s" TargetMode="External"/><Relationship Id="rId199" Type="http://schemas.openxmlformats.org/officeDocument/2006/relationships/hyperlink" Target="https://sealeddeck.tech/H4eW6BgDhC" TargetMode="External"/><Relationship Id="rId150" Type="http://schemas.openxmlformats.org/officeDocument/2006/relationships/hyperlink" Target="https://sealeddeck.tech/1fRyPWAohD" TargetMode="External"/><Relationship Id="rId149" Type="http://schemas.openxmlformats.org/officeDocument/2006/relationships/hyperlink" Target="https://sealeddeck.tech/3Qbyxj6So2" TargetMode="External"/><Relationship Id="rId148" Type="http://schemas.openxmlformats.org/officeDocument/2006/relationships/hyperlink" Target="https://sealeddeck.tech/MpbNjvs52S" TargetMode="External"/><Relationship Id="rId1090" Type="http://schemas.openxmlformats.org/officeDocument/2006/relationships/hyperlink" Target="https://sealeddeck.tech/DcS2xavNMN" TargetMode="External"/><Relationship Id="rId1091" Type="http://schemas.openxmlformats.org/officeDocument/2006/relationships/hyperlink" Target="https://sealeddeck.tech/z8s8n6v2iL" TargetMode="External"/><Relationship Id="rId1092" Type="http://schemas.openxmlformats.org/officeDocument/2006/relationships/hyperlink" Target="https://sealeddeck.tech/JC93Tv6K4o" TargetMode="External"/><Relationship Id="rId1093" Type="http://schemas.openxmlformats.org/officeDocument/2006/relationships/hyperlink" Target="https://sealeddeck.tech/ayuwLebth3" TargetMode="External"/><Relationship Id="rId1094" Type="http://schemas.openxmlformats.org/officeDocument/2006/relationships/hyperlink" Target="https://sealeddeck.tech/zrGVbQLnA5" TargetMode="External"/><Relationship Id="rId143" Type="http://schemas.openxmlformats.org/officeDocument/2006/relationships/hyperlink" Target="https://sealeddeck.tech/mrPGBC2MMB" TargetMode="External"/><Relationship Id="rId1095" Type="http://schemas.openxmlformats.org/officeDocument/2006/relationships/hyperlink" Target="https://sealeddeck.tech/5EraJdX2yZ" TargetMode="External"/><Relationship Id="rId142" Type="http://schemas.openxmlformats.org/officeDocument/2006/relationships/hyperlink" Target="https://sealeddeck.tech/vNPbwWnt9C" TargetMode="External"/><Relationship Id="rId1096" Type="http://schemas.openxmlformats.org/officeDocument/2006/relationships/hyperlink" Target="https://sealeddeck.tech/DQRivZQh2o" TargetMode="External"/><Relationship Id="rId141" Type="http://schemas.openxmlformats.org/officeDocument/2006/relationships/hyperlink" Target="https://sealeddeck.tech/hpEmGrGnzn" TargetMode="External"/><Relationship Id="rId1097" Type="http://schemas.openxmlformats.org/officeDocument/2006/relationships/hyperlink" Target="https://sealeddeck.tech/rpW9mnuvTt" TargetMode="External"/><Relationship Id="rId140" Type="http://schemas.openxmlformats.org/officeDocument/2006/relationships/hyperlink" Target="https://sealeddeck.tech/toaLNco7oX" TargetMode="External"/><Relationship Id="rId1098" Type="http://schemas.openxmlformats.org/officeDocument/2006/relationships/hyperlink" Target="https://sealeddeck.tech/G8Qk9BtXJa" TargetMode="External"/><Relationship Id="rId147" Type="http://schemas.openxmlformats.org/officeDocument/2006/relationships/hyperlink" Target="https://sealeddeck.tech/EeaoWMCMh1" TargetMode="External"/><Relationship Id="rId1099" Type="http://schemas.openxmlformats.org/officeDocument/2006/relationships/hyperlink" Target="https://sealeddeck.tech/Lix1tApQsB" TargetMode="External"/><Relationship Id="rId146" Type="http://schemas.openxmlformats.org/officeDocument/2006/relationships/hyperlink" Target="https://sealeddeck.tech/tECDPqVMVB" TargetMode="External"/><Relationship Id="rId145" Type="http://schemas.openxmlformats.org/officeDocument/2006/relationships/hyperlink" Target="https://sealeddeck.tech/1nLEKWNo3z" TargetMode="External"/><Relationship Id="rId144" Type="http://schemas.openxmlformats.org/officeDocument/2006/relationships/hyperlink" Target="https://sealeddeck.tech/HpReLDpZVb" TargetMode="External"/><Relationship Id="rId139" Type="http://schemas.openxmlformats.org/officeDocument/2006/relationships/hyperlink" Target="https://sealeddeck.tech/JhhuwFS2up" TargetMode="External"/><Relationship Id="rId138" Type="http://schemas.openxmlformats.org/officeDocument/2006/relationships/hyperlink" Target="https://sealeddeck.tech/97LAwyb2oq" TargetMode="External"/><Relationship Id="rId137" Type="http://schemas.openxmlformats.org/officeDocument/2006/relationships/hyperlink" Target="https://sealeddeck.tech/TgpQfs6aWT" TargetMode="External"/><Relationship Id="rId1080" Type="http://schemas.openxmlformats.org/officeDocument/2006/relationships/hyperlink" Target="https://sealeddeck.tech/asQwNoSqfo" TargetMode="External"/><Relationship Id="rId1081" Type="http://schemas.openxmlformats.org/officeDocument/2006/relationships/hyperlink" Target="https://sealeddeck.tech/KggkAdXCdE" TargetMode="External"/><Relationship Id="rId1082" Type="http://schemas.openxmlformats.org/officeDocument/2006/relationships/hyperlink" Target="https://sealeddeck.tech/5tafdvacLD" TargetMode="External"/><Relationship Id="rId1083" Type="http://schemas.openxmlformats.org/officeDocument/2006/relationships/hyperlink" Target="https://sealeddeck.tech/2xz9BF7wZn" TargetMode="External"/><Relationship Id="rId132" Type="http://schemas.openxmlformats.org/officeDocument/2006/relationships/hyperlink" Target="https://sealeddeck.tech/xuqqHZw7ZR" TargetMode="External"/><Relationship Id="rId1084" Type="http://schemas.openxmlformats.org/officeDocument/2006/relationships/hyperlink" Target="https://sealeddeck.tech/hUaqwDqBk8" TargetMode="External"/><Relationship Id="rId131" Type="http://schemas.openxmlformats.org/officeDocument/2006/relationships/hyperlink" Target="https://sealeddeck.tech/MCP9vVFs4M" TargetMode="External"/><Relationship Id="rId1085" Type="http://schemas.openxmlformats.org/officeDocument/2006/relationships/hyperlink" Target="https://sealeddeck.tech/5s33JYQJts" TargetMode="External"/><Relationship Id="rId130" Type="http://schemas.openxmlformats.org/officeDocument/2006/relationships/hyperlink" Target="https://sealeddeck.tech/jVRTebLYGk" TargetMode="External"/><Relationship Id="rId1086" Type="http://schemas.openxmlformats.org/officeDocument/2006/relationships/hyperlink" Target="https://sealeddeck.tech/G7AA9sf8Re" TargetMode="External"/><Relationship Id="rId1087" Type="http://schemas.openxmlformats.org/officeDocument/2006/relationships/hyperlink" Target="https://sealeddeck.tech/oCU7HMXgkK" TargetMode="External"/><Relationship Id="rId136" Type="http://schemas.openxmlformats.org/officeDocument/2006/relationships/hyperlink" Target="https://sealeddeck.tech/isiWkq7qWK" TargetMode="External"/><Relationship Id="rId1088" Type="http://schemas.openxmlformats.org/officeDocument/2006/relationships/hyperlink" Target="https://sealeddeck.tech/uwdkqkEsWK" TargetMode="External"/><Relationship Id="rId135" Type="http://schemas.openxmlformats.org/officeDocument/2006/relationships/hyperlink" Target="https://sealeddeck.tech/ptXoxR8PDM" TargetMode="External"/><Relationship Id="rId1089" Type="http://schemas.openxmlformats.org/officeDocument/2006/relationships/hyperlink" Target="https://sealeddeck.tech/VRzseSwyHv" TargetMode="External"/><Relationship Id="rId134" Type="http://schemas.openxmlformats.org/officeDocument/2006/relationships/hyperlink" Target="https://sealeddeck.tech/JJoD2Eq29Z" TargetMode="External"/><Relationship Id="rId133" Type="http://schemas.openxmlformats.org/officeDocument/2006/relationships/hyperlink" Target="https://sealeddeck.tech/mjQUKk2MEC" TargetMode="External"/><Relationship Id="rId172" Type="http://schemas.openxmlformats.org/officeDocument/2006/relationships/hyperlink" Target="https://sealeddeck.tech/fxpa9G152G" TargetMode="External"/><Relationship Id="rId171" Type="http://schemas.openxmlformats.org/officeDocument/2006/relationships/hyperlink" Target="https://sealeddeck.tech/S8RmF7Brbo" TargetMode="External"/><Relationship Id="rId170" Type="http://schemas.openxmlformats.org/officeDocument/2006/relationships/hyperlink" Target="https://sealeddeck.tech/TWFD427XNg" TargetMode="External"/><Relationship Id="rId165" Type="http://schemas.openxmlformats.org/officeDocument/2006/relationships/hyperlink" Target="https://sealeddeck.tech/M4ydDrfmvA" TargetMode="External"/><Relationship Id="rId164" Type="http://schemas.openxmlformats.org/officeDocument/2006/relationships/hyperlink" Target="https://sealeddeck.tech/wzcGeKDp57" TargetMode="External"/><Relationship Id="rId163" Type="http://schemas.openxmlformats.org/officeDocument/2006/relationships/hyperlink" Target="https://sealeddeck.tech/GvKDX3y9HK" TargetMode="External"/><Relationship Id="rId162" Type="http://schemas.openxmlformats.org/officeDocument/2006/relationships/hyperlink" Target="https://sealeddeck.tech/XJyNmQsDsZ" TargetMode="External"/><Relationship Id="rId169" Type="http://schemas.openxmlformats.org/officeDocument/2006/relationships/hyperlink" Target="https://sealeddeck.tech/miGBf3j6KY" TargetMode="External"/><Relationship Id="rId168" Type="http://schemas.openxmlformats.org/officeDocument/2006/relationships/hyperlink" Target="https://sealeddeck.tech/jRYQwwHTm7" TargetMode="External"/><Relationship Id="rId167" Type="http://schemas.openxmlformats.org/officeDocument/2006/relationships/hyperlink" Target="https://sealeddeck.tech/mCggPMKAFM" TargetMode="External"/><Relationship Id="rId166" Type="http://schemas.openxmlformats.org/officeDocument/2006/relationships/hyperlink" Target="https://sealeddeck.tech/cu9d8n8sor" TargetMode="External"/><Relationship Id="rId161" Type="http://schemas.openxmlformats.org/officeDocument/2006/relationships/hyperlink" Target="https://sealeddeck.tech/HP7gdFQA7e" TargetMode="External"/><Relationship Id="rId160" Type="http://schemas.openxmlformats.org/officeDocument/2006/relationships/hyperlink" Target="https://sealeddeck.tech/g3rYZzkTTC" TargetMode="External"/><Relationship Id="rId159" Type="http://schemas.openxmlformats.org/officeDocument/2006/relationships/hyperlink" Target="https://sealeddeck.tech/wWqmiJVsD7" TargetMode="External"/><Relationship Id="rId154" Type="http://schemas.openxmlformats.org/officeDocument/2006/relationships/hyperlink" Target="https://sealeddeck.tech/9cXoUoigma" TargetMode="External"/><Relationship Id="rId153" Type="http://schemas.openxmlformats.org/officeDocument/2006/relationships/hyperlink" Target="https://sealeddeck.tech/Uc7m36TSr8" TargetMode="External"/><Relationship Id="rId152" Type="http://schemas.openxmlformats.org/officeDocument/2006/relationships/hyperlink" Target="https://sealeddeck.tech/MBmYNwUPSE" TargetMode="External"/><Relationship Id="rId151" Type="http://schemas.openxmlformats.org/officeDocument/2006/relationships/hyperlink" Target="https://sealeddeck.tech/3WhSbnucYG" TargetMode="External"/><Relationship Id="rId158" Type="http://schemas.openxmlformats.org/officeDocument/2006/relationships/hyperlink" Target="https://sealeddeck.tech/rdTkdkEm5A" TargetMode="External"/><Relationship Id="rId157" Type="http://schemas.openxmlformats.org/officeDocument/2006/relationships/hyperlink" Target="https://sealeddeck.tech/mf79Xy8DTC" TargetMode="External"/><Relationship Id="rId156" Type="http://schemas.openxmlformats.org/officeDocument/2006/relationships/hyperlink" Target="https://sealeddeck.tech/dYpE2B8fbk" TargetMode="External"/><Relationship Id="rId155" Type="http://schemas.openxmlformats.org/officeDocument/2006/relationships/hyperlink" Target="https://sealeddeck.tech/mnemYHoFv1" TargetMode="External"/><Relationship Id="rId1510" Type="http://schemas.openxmlformats.org/officeDocument/2006/relationships/hyperlink" Target="https://sealeddeck.tech/94iCJ2hLYv" TargetMode="External"/><Relationship Id="rId1511" Type="http://schemas.openxmlformats.org/officeDocument/2006/relationships/hyperlink" Target="https://sealeddeck.tech/ta1hj4qCTK" TargetMode="External"/><Relationship Id="rId1512" Type="http://schemas.openxmlformats.org/officeDocument/2006/relationships/hyperlink" Target="https://sealeddeck.tech/FHasTEWS7S" TargetMode="External"/><Relationship Id="rId1513" Type="http://schemas.openxmlformats.org/officeDocument/2006/relationships/hyperlink" Target="https://sealeddeck.tech/BdjnPZna8C" TargetMode="External"/><Relationship Id="rId1514" Type="http://schemas.openxmlformats.org/officeDocument/2006/relationships/hyperlink" Target="https://sealeddeck.tech/NbcmdjDQMH" TargetMode="External"/><Relationship Id="rId1515" Type="http://schemas.openxmlformats.org/officeDocument/2006/relationships/hyperlink" Target="https://sealeddeck.tech/XCZcS4D9Xa" TargetMode="External"/><Relationship Id="rId1516" Type="http://schemas.openxmlformats.org/officeDocument/2006/relationships/hyperlink" Target="https://sealeddeck.tech/PsTjvyPM4E" TargetMode="External"/><Relationship Id="rId1517" Type="http://schemas.openxmlformats.org/officeDocument/2006/relationships/hyperlink" Target="https://sealeddeck.tech/fznG936tao" TargetMode="External"/><Relationship Id="rId1518" Type="http://schemas.openxmlformats.org/officeDocument/2006/relationships/hyperlink" Target="https://sealeddeck.tech/9sAqY1YMFv" TargetMode="External"/><Relationship Id="rId1519" Type="http://schemas.openxmlformats.org/officeDocument/2006/relationships/hyperlink" Target="https://sealeddeck.tech/6gBzNHg5Pr" TargetMode="External"/><Relationship Id="rId1500" Type="http://schemas.openxmlformats.org/officeDocument/2006/relationships/hyperlink" Target="https://sealeddeck.tech/ZsGcgRrsm1" TargetMode="External"/><Relationship Id="rId1501" Type="http://schemas.openxmlformats.org/officeDocument/2006/relationships/hyperlink" Target="https://sealeddeck.tech/znEh87EdP1" TargetMode="External"/><Relationship Id="rId1502" Type="http://schemas.openxmlformats.org/officeDocument/2006/relationships/hyperlink" Target="https://sealeddeck.tech/HZf3Bsm9ZR" TargetMode="External"/><Relationship Id="rId1503" Type="http://schemas.openxmlformats.org/officeDocument/2006/relationships/hyperlink" Target="https://sealeddeck.tech/1Zjrpmkssw" TargetMode="External"/><Relationship Id="rId1504" Type="http://schemas.openxmlformats.org/officeDocument/2006/relationships/hyperlink" Target="https://sealeddeck.tech/s61vTgcspK" TargetMode="External"/><Relationship Id="rId1505" Type="http://schemas.openxmlformats.org/officeDocument/2006/relationships/hyperlink" Target="https://sealeddeck.tech/TviMMfKuRy" TargetMode="External"/><Relationship Id="rId1506" Type="http://schemas.openxmlformats.org/officeDocument/2006/relationships/hyperlink" Target="https://sealeddeck.tech/2ywmcro3Bm" TargetMode="External"/><Relationship Id="rId1507" Type="http://schemas.openxmlformats.org/officeDocument/2006/relationships/hyperlink" Target="https://sealeddeck.tech/m85dEWDHLZ" TargetMode="External"/><Relationship Id="rId1508" Type="http://schemas.openxmlformats.org/officeDocument/2006/relationships/hyperlink" Target="https://sealeddeck.tech/X9n2QfqpyA" TargetMode="External"/><Relationship Id="rId1509" Type="http://schemas.openxmlformats.org/officeDocument/2006/relationships/hyperlink" Target="https://sealeddeck.tech/y2A55hgs6A" TargetMode="External"/><Relationship Id="rId1576" Type="http://schemas.openxmlformats.org/officeDocument/2006/relationships/hyperlink" Target="https://sealeddeck.tech/JjytWMbrc4" TargetMode="External"/><Relationship Id="rId1577" Type="http://schemas.openxmlformats.org/officeDocument/2006/relationships/hyperlink" Target="https://sealeddeck.tech/hqKq1etgsK" TargetMode="External"/><Relationship Id="rId1578" Type="http://schemas.openxmlformats.org/officeDocument/2006/relationships/hyperlink" Target="https://sealeddeck.tech/ry8eZKQKCk" TargetMode="External"/><Relationship Id="rId1579" Type="http://schemas.openxmlformats.org/officeDocument/2006/relationships/hyperlink" Target="https://sealeddeck.tech/tf358WNw9m" TargetMode="External"/><Relationship Id="rId509" Type="http://schemas.openxmlformats.org/officeDocument/2006/relationships/hyperlink" Target="https://sealeddeck.tech/rWJtQHfwmT" TargetMode="External"/><Relationship Id="rId508" Type="http://schemas.openxmlformats.org/officeDocument/2006/relationships/hyperlink" Target="https://sealeddeck.tech/FSxRrLxwM4" TargetMode="External"/><Relationship Id="rId503" Type="http://schemas.openxmlformats.org/officeDocument/2006/relationships/hyperlink" Target="https://sealeddeck.tech/YeMw1wXBX4" TargetMode="External"/><Relationship Id="rId987" Type="http://schemas.openxmlformats.org/officeDocument/2006/relationships/hyperlink" Target="https://sealeddeck.tech/cgxj3uP8pV" TargetMode="External"/><Relationship Id="rId502" Type="http://schemas.openxmlformats.org/officeDocument/2006/relationships/hyperlink" Target="https://sealeddeck.tech/pRzmJU4P6E" TargetMode="External"/><Relationship Id="rId986" Type="http://schemas.openxmlformats.org/officeDocument/2006/relationships/hyperlink" Target="https://sealeddeck.tech/Pkvu39G4bB" TargetMode="External"/><Relationship Id="rId501" Type="http://schemas.openxmlformats.org/officeDocument/2006/relationships/hyperlink" Target="https://sealeddeck.tech/ZyTMtpdxh1" TargetMode="External"/><Relationship Id="rId985" Type="http://schemas.openxmlformats.org/officeDocument/2006/relationships/hyperlink" Target="https://sealeddeck.tech/cMzeoyrYLw" TargetMode="External"/><Relationship Id="rId500" Type="http://schemas.openxmlformats.org/officeDocument/2006/relationships/hyperlink" Target="https://sealeddeck.tech/L2dgFCSdPR" TargetMode="External"/><Relationship Id="rId984" Type="http://schemas.openxmlformats.org/officeDocument/2006/relationships/hyperlink" Target="https://sealeddeck.tech/xKRSRVaYt2" TargetMode="External"/><Relationship Id="rId507" Type="http://schemas.openxmlformats.org/officeDocument/2006/relationships/hyperlink" Target="https://sealeddeck.tech/NXviNcF4kx" TargetMode="External"/><Relationship Id="rId506" Type="http://schemas.openxmlformats.org/officeDocument/2006/relationships/hyperlink" Target="https://sealeddeck.tech/EtbK8L6nP6" TargetMode="External"/><Relationship Id="rId505" Type="http://schemas.openxmlformats.org/officeDocument/2006/relationships/hyperlink" Target="https://sealeddeck.tech/DWTGdV8cNL" TargetMode="External"/><Relationship Id="rId989" Type="http://schemas.openxmlformats.org/officeDocument/2006/relationships/hyperlink" Target="https://sealeddeck.tech/UeNsPxCf8Q" TargetMode="External"/><Relationship Id="rId504" Type="http://schemas.openxmlformats.org/officeDocument/2006/relationships/hyperlink" Target="https://sealeddeck.tech/rjKUjrpNWS" TargetMode="External"/><Relationship Id="rId988" Type="http://schemas.openxmlformats.org/officeDocument/2006/relationships/hyperlink" Target="https://sealeddeck.tech/yhxvfgKx93" TargetMode="External"/><Relationship Id="rId1570" Type="http://schemas.openxmlformats.org/officeDocument/2006/relationships/hyperlink" Target="https://sealeddeck.tech/bAvZwsyqGP" TargetMode="External"/><Relationship Id="rId1571" Type="http://schemas.openxmlformats.org/officeDocument/2006/relationships/hyperlink" Target="https://sealeddeck.tech/wKp9P3AEnw" TargetMode="External"/><Relationship Id="rId983" Type="http://schemas.openxmlformats.org/officeDocument/2006/relationships/hyperlink" Target="https://sealeddeck.tech/q6rKJ5tqJb" TargetMode="External"/><Relationship Id="rId1572" Type="http://schemas.openxmlformats.org/officeDocument/2006/relationships/hyperlink" Target="https://sealeddeck.tech/oBoKNScCw7" TargetMode="External"/><Relationship Id="rId982" Type="http://schemas.openxmlformats.org/officeDocument/2006/relationships/hyperlink" Target="https://sealeddeck.tech/zgiSH6pSmD" TargetMode="External"/><Relationship Id="rId1573" Type="http://schemas.openxmlformats.org/officeDocument/2006/relationships/hyperlink" Target="https://sealeddeck.tech/LWpBPByFod" TargetMode="External"/><Relationship Id="rId981" Type="http://schemas.openxmlformats.org/officeDocument/2006/relationships/hyperlink" Target="https://sealeddeck.tech/BdXMR2jZRS" TargetMode="External"/><Relationship Id="rId1574" Type="http://schemas.openxmlformats.org/officeDocument/2006/relationships/hyperlink" Target="https://sealeddeck.tech/9SKmzbS471" TargetMode="External"/><Relationship Id="rId980" Type="http://schemas.openxmlformats.org/officeDocument/2006/relationships/hyperlink" Target="https://sealeddeck.tech/n6YuDSYb76" TargetMode="External"/><Relationship Id="rId1575" Type="http://schemas.openxmlformats.org/officeDocument/2006/relationships/hyperlink" Target="https://sealeddeck.tech/DKLkcodvCk" TargetMode="External"/><Relationship Id="rId1565" Type="http://schemas.openxmlformats.org/officeDocument/2006/relationships/hyperlink" Target="https://sealeddeck.tech/7cKXKb3nCv" TargetMode="External"/><Relationship Id="rId1566" Type="http://schemas.openxmlformats.org/officeDocument/2006/relationships/hyperlink" Target="https://sealeddeck.tech/HnQUpuqprM" TargetMode="External"/><Relationship Id="rId1567" Type="http://schemas.openxmlformats.org/officeDocument/2006/relationships/hyperlink" Target="https://sealeddeck.tech/YEsuQY2mQp" TargetMode="External"/><Relationship Id="rId1568" Type="http://schemas.openxmlformats.org/officeDocument/2006/relationships/hyperlink" Target="https://sealeddeck.tech/Q3VHeNP1z4" TargetMode="External"/><Relationship Id="rId1569" Type="http://schemas.openxmlformats.org/officeDocument/2006/relationships/hyperlink" Target="https://sealeddeck.tech/Tus9p2dpwH" TargetMode="External"/><Relationship Id="rId976" Type="http://schemas.openxmlformats.org/officeDocument/2006/relationships/hyperlink" Target="https://sealeddeck.tech/wFJnJFzdUm" TargetMode="External"/><Relationship Id="rId975" Type="http://schemas.openxmlformats.org/officeDocument/2006/relationships/hyperlink" Target="https://sealeddeck.tech/mLNs1SpNLQ" TargetMode="External"/><Relationship Id="rId974" Type="http://schemas.openxmlformats.org/officeDocument/2006/relationships/hyperlink" Target="https://sealeddeck.tech/BC6wvBQ9Ej" TargetMode="External"/><Relationship Id="rId973" Type="http://schemas.openxmlformats.org/officeDocument/2006/relationships/hyperlink" Target="https://sealeddeck.tech/LW2q2pJRZZ" TargetMode="External"/><Relationship Id="rId979" Type="http://schemas.openxmlformats.org/officeDocument/2006/relationships/hyperlink" Target="https://sealeddeck.tech/poA2Bxp5Sa" TargetMode="External"/><Relationship Id="rId978" Type="http://schemas.openxmlformats.org/officeDocument/2006/relationships/hyperlink" Target="https://sealeddeck.tech/FWRvXhZiW4" TargetMode="External"/><Relationship Id="rId977" Type="http://schemas.openxmlformats.org/officeDocument/2006/relationships/hyperlink" Target="https://sealeddeck.tech/16VBZyYzK5" TargetMode="External"/><Relationship Id="rId1560" Type="http://schemas.openxmlformats.org/officeDocument/2006/relationships/hyperlink" Target="https://sealeddeck.tech/ZRDopdAzyZ" TargetMode="External"/><Relationship Id="rId972" Type="http://schemas.openxmlformats.org/officeDocument/2006/relationships/hyperlink" Target="https://sealeddeck.tech/UKBbvqeUMD" TargetMode="External"/><Relationship Id="rId1561" Type="http://schemas.openxmlformats.org/officeDocument/2006/relationships/hyperlink" Target="https://sealeddeck.tech/XUwJs387TD" TargetMode="External"/><Relationship Id="rId971" Type="http://schemas.openxmlformats.org/officeDocument/2006/relationships/hyperlink" Target="https://sealeddeck.tech/fhT1WgN6Uj" TargetMode="External"/><Relationship Id="rId1562" Type="http://schemas.openxmlformats.org/officeDocument/2006/relationships/hyperlink" Target="https://sealeddeck.tech/uqKWaxwUVM" TargetMode="External"/><Relationship Id="rId970" Type="http://schemas.openxmlformats.org/officeDocument/2006/relationships/hyperlink" Target="https://sealeddeck.tech/h3iU92vASN" TargetMode="External"/><Relationship Id="rId1563" Type="http://schemas.openxmlformats.org/officeDocument/2006/relationships/hyperlink" Target="https://sealeddeck.tech/2hy62gPCEp" TargetMode="External"/><Relationship Id="rId1564" Type="http://schemas.openxmlformats.org/officeDocument/2006/relationships/hyperlink" Target="https://sealeddeck.tech/s7RpA1cb23" TargetMode="External"/><Relationship Id="rId1114" Type="http://schemas.openxmlformats.org/officeDocument/2006/relationships/hyperlink" Target="https://sealeddeck.tech/jSsALenW7T" TargetMode="External"/><Relationship Id="rId1598" Type="http://schemas.openxmlformats.org/officeDocument/2006/relationships/hyperlink" Target="https://sealeddeck.tech/EHyYV92bEd" TargetMode="External"/><Relationship Id="rId1115" Type="http://schemas.openxmlformats.org/officeDocument/2006/relationships/hyperlink" Target="https://sealeddeck.tech/Fv26xt2mzT" TargetMode="External"/><Relationship Id="rId1599" Type="http://schemas.openxmlformats.org/officeDocument/2006/relationships/hyperlink" Target="https://sealeddeck.tech/jQDvEcoox6" TargetMode="External"/><Relationship Id="rId1116" Type="http://schemas.openxmlformats.org/officeDocument/2006/relationships/hyperlink" Target="https://sealeddeck.tech/3wUpKsBAVD" TargetMode="External"/><Relationship Id="rId1117" Type="http://schemas.openxmlformats.org/officeDocument/2006/relationships/hyperlink" Target="https://sealeddeck.tech/WMsaUXN2qs" TargetMode="External"/><Relationship Id="rId1118" Type="http://schemas.openxmlformats.org/officeDocument/2006/relationships/hyperlink" Target="https://sealeddeck.tech/2fB7tgPUuS" TargetMode="External"/><Relationship Id="rId1119" Type="http://schemas.openxmlformats.org/officeDocument/2006/relationships/hyperlink" Target="https://sealeddeck.tech/tuxWHicbMW" TargetMode="External"/><Relationship Id="rId525" Type="http://schemas.openxmlformats.org/officeDocument/2006/relationships/hyperlink" Target="https://sealeddeck.tech/A5z94tVf7f" TargetMode="External"/><Relationship Id="rId524" Type="http://schemas.openxmlformats.org/officeDocument/2006/relationships/hyperlink" Target="https://sealeddeck.tech/t4REiUjbhR" TargetMode="External"/><Relationship Id="rId523" Type="http://schemas.openxmlformats.org/officeDocument/2006/relationships/hyperlink" Target="https://sealeddeck.tech/hesbWqSbBP" TargetMode="External"/><Relationship Id="rId522" Type="http://schemas.openxmlformats.org/officeDocument/2006/relationships/hyperlink" Target="https://sealeddeck.tech/4CSHjouozv" TargetMode="External"/><Relationship Id="rId529" Type="http://schemas.openxmlformats.org/officeDocument/2006/relationships/hyperlink" Target="https://sealeddeck.tech/Q64NMtEzNY" TargetMode="External"/><Relationship Id="rId528" Type="http://schemas.openxmlformats.org/officeDocument/2006/relationships/hyperlink" Target="https://sealeddeck.tech/AotGddzmH2" TargetMode="External"/><Relationship Id="rId527" Type="http://schemas.openxmlformats.org/officeDocument/2006/relationships/hyperlink" Target="https://sealeddeck.tech/92qea8Ea4G" TargetMode="External"/><Relationship Id="rId526" Type="http://schemas.openxmlformats.org/officeDocument/2006/relationships/hyperlink" Target="https://sealeddeck.tech/fV4JxNy23g" TargetMode="External"/><Relationship Id="rId1590" Type="http://schemas.openxmlformats.org/officeDocument/2006/relationships/hyperlink" Target="https://sealeddeck.tech/xfNSMiV9VK" TargetMode="External"/><Relationship Id="rId1591" Type="http://schemas.openxmlformats.org/officeDocument/2006/relationships/hyperlink" Target="https://sealeddeck.tech/CczPuZX6Vw" TargetMode="External"/><Relationship Id="rId1592" Type="http://schemas.openxmlformats.org/officeDocument/2006/relationships/hyperlink" Target="https://sealeddeck.tech/26j18pnBcg" TargetMode="External"/><Relationship Id="rId1593" Type="http://schemas.openxmlformats.org/officeDocument/2006/relationships/hyperlink" Target="https://sealeddeck.tech/TmYKsAERTt" TargetMode="External"/><Relationship Id="rId521" Type="http://schemas.openxmlformats.org/officeDocument/2006/relationships/hyperlink" Target="https://sealeddeck.tech/pYJNfKMpmr" TargetMode="External"/><Relationship Id="rId1110" Type="http://schemas.openxmlformats.org/officeDocument/2006/relationships/hyperlink" Target="https://sealeddeck.tech/6pKCRYwnE1" TargetMode="External"/><Relationship Id="rId1594" Type="http://schemas.openxmlformats.org/officeDocument/2006/relationships/hyperlink" Target="https://sealeddeck.tech/Sk49JXc4cC" TargetMode="External"/><Relationship Id="rId520" Type="http://schemas.openxmlformats.org/officeDocument/2006/relationships/hyperlink" Target="https://sealeddeck.tech/yxmQYtaKTZ" TargetMode="External"/><Relationship Id="rId1111" Type="http://schemas.openxmlformats.org/officeDocument/2006/relationships/hyperlink" Target="https://sealeddeck.tech/SrRDx1vrjg" TargetMode="External"/><Relationship Id="rId1595" Type="http://schemas.openxmlformats.org/officeDocument/2006/relationships/hyperlink" Target="https://sealeddeck.tech/iU7SANDYgX" TargetMode="External"/><Relationship Id="rId1112" Type="http://schemas.openxmlformats.org/officeDocument/2006/relationships/hyperlink" Target="https://sealeddeck.tech/k9YiKwhgnZ" TargetMode="External"/><Relationship Id="rId1596" Type="http://schemas.openxmlformats.org/officeDocument/2006/relationships/hyperlink" Target="https://sealeddeck.tech/VKR8ZJf29b" TargetMode="External"/><Relationship Id="rId1113" Type="http://schemas.openxmlformats.org/officeDocument/2006/relationships/hyperlink" Target="https://sealeddeck.tech/1oMqzjxnQ8" TargetMode="External"/><Relationship Id="rId1597" Type="http://schemas.openxmlformats.org/officeDocument/2006/relationships/hyperlink" Target="https://sealeddeck.tech/seuEah4hUB" TargetMode="External"/><Relationship Id="rId1103" Type="http://schemas.openxmlformats.org/officeDocument/2006/relationships/hyperlink" Target="https://sealeddeck.tech/8N83rGiBFD" TargetMode="External"/><Relationship Id="rId1587" Type="http://schemas.openxmlformats.org/officeDocument/2006/relationships/hyperlink" Target="https://sealeddeck.tech/ozaZSM5HAX" TargetMode="External"/><Relationship Id="rId1104" Type="http://schemas.openxmlformats.org/officeDocument/2006/relationships/hyperlink" Target="https://sealeddeck.tech/VSC34HUGgz" TargetMode="External"/><Relationship Id="rId1588" Type="http://schemas.openxmlformats.org/officeDocument/2006/relationships/hyperlink" Target="https://sealeddeck.tech/m4BiAi4sRs" TargetMode="External"/><Relationship Id="rId1105" Type="http://schemas.openxmlformats.org/officeDocument/2006/relationships/hyperlink" Target="https://sealeddeck.tech/LAjGbu3skh" TargetMode="External"/><Relationship Id="rId1589" Type="http://schemas.openxmlformats.org/officeDocument/2006/relationships/hyperlink" Target="https://sealeddeck.tech/TLRLf5WMNh" TargetMode="External"/><Relationship Id="rId1106" Type="http://schemas.openxmlformats.org/officeDocument/2006/relationships/hyperlink" Target="https://sealeddeck.tech/2cJFRQG1dV" TargetMode="External"/><Relationship Id="rId1107" Type="http://schemas.openxmlformats.org/officeDocument/2006/relationships/hyperlink" Target="https://sealeddeck.tech/cftJdXhZbk" TargetMode="External"/><Relationship Id="rId1108" Type="http://schemas.openxmlformats.org/officeDocument/2006/relationships/hyperlink" Target="https://sealeddeck.tech/eCJmYSMxf1" TargetMode="External"/><Relationship Id="rId1109" Type="http://schemas.openxmlformats.org/officeDocument/2006/relationships/hyperlink" Target="https://sealeddeck.tech/zfeQRsPvw2" TargetMode="External"/><Relationship Id="rId519" Type="http://schemas.openxmlformats.org/officeDocument/2006/relationships/hyperlink" Target="https://sealeddeck.tech/8LfEDEE37h" TargetMode="External"/><Relationship Id="rId514" Type="http://schemas.openxmlformats.org/officeDocument/2006/relationships/hyperlink" Target="https://sealeddeck.tech/uwXPvXJAmX" TargetMode="External"/><Relationship Id="rId998" Type="http://schemas.openxmlformats.org/officeDocument/2006/relationships/hyperlink" Target="https://sealeddeck.tech/8psJKe1cBW" TargetMode="External"/><Relationship Id="rId513" Type="http://schemas.openxmlformats.org/officeDocument/2006/relationships/hyperlink" Target="https://sealeddeck.tech/oGDZLevRQL" TargetMode="External"/><Relationship Id="rId997" Type="http://schemas.openxmlformats.org/officeDocument/2006/relationships/hyperlink" Target="https://sealeddeck.tech/apGRD56yW8" TargetMode="External"/><Relationship Id="rId512" Type="http://schemas.openxmlformats.org/officeDocument/2006/relationships/hyperlink" Target="https://sealeddeck.tech/1kpS5mrnCP" TargetMode="External"/><Relationship Id="rId996" Type="http://schemas.openxmlformats.org/officeDocument/2006/relationships/hyperlink" Target="https://sealeddeck.tech/bWDJ6ufS1k" TargetMode="External"/><Relationship Id="rId511" Type="http://schemas.openxmlformats.org/officeDocument/2006/relationships/hyperlink" Target="https://sealeddeck.tech/YMRdjiW8Ar" TargetMode="External"/><Relationship Id="rId995" Type="http://schemas.openxmlformats.org/officeDocument/2006/relationships/hyperlink" Target="https://sealeddeck.tech/iXJC3ebZsU" TargetMode="External"/><Relationship Id="rId518" Type="http://schemas.openxmlformats.org/officeDocument/2006/relationships/hyperlink" Target="https://sealeddeck.tech/r3jmPrnXwe" TargetMode="External"/><Relationship Id="rId517" Type="http://schemas.openxmlformats.org/officeDocument/2006/relationships/hyperlink" Target="https://sealeddeck.tech/KV7kYyxrBt" TargetMode="External"/><Relationship Id="rId516" Type="http://schemas.openxmlformats.org/officeDocument/2006/relationships/hyperlink" Target="https://sealeddeck.tech/9jY7grebkU" TargetMode="External"/><Relationship Id="rId515" Type="http://schemas.openxmlformats.org/officeDocument/2006/relationships/hyperlink" Target="https://sealeddeck.tech/JARCjnzR9k" TargetMode="External"/><Relationship Id="rId999" Type="http://schemas.openxmlformats.org/officeDocument/2006/relationships/hyperlink" Target="https://sealeddeck.tech/3MFRc2k4jn" TargetMode="External"/><Relationship Id="rId990" Type="http://schemas.openxmlformats.org/officeDocument/2006/relationships/hyperlink" Target="https://sealeddeck.tech/Y2mXMjyDHt" TargetMode="External"/><Relationship Id="rId1580" Type="http://schemas.openxmlformats.org/officeDocument/2006/relationships/hyperlink" Target="https://sealeddeck.tech/wy4mCapc64" TargetMode="External"/><Relationship Id="rId1581" Type="http://schemas.openxmlformats.org/officeDocument/2006/relationships/hyperlink" Target="https://sealeddeck.tech/P9Xdjh5tZi" TargetMode="External"/><Relationship Id="rId1582" Type="http://schemas.openxmlformats.org/officeDocument/2006/relationships/hyperlink" Target="https://sealeddeck.tech/d4RN3PwhQ7" TargetMode="External"/><Relationship Id="rId510" Type="http://schemas.openxmlformats.org/officeDocument/2006/relationships/hyperlink" Target="https://sealeddeck.tech/GtBrCHrTBV" TargetMode="External"/><Relationship Id="rId994" Type="http://schemas.openxmlformats.org/officeDocument/2006/relationships/hyperlink" Target="https://sealeddeck.tech/YeyNyYsKa6" TargetMode="External"/><Relationship Id="rId1583" Type="http://schemas.openxmlformats.org/officeDocument/2006/relationships/hyperlink" Target="https://sealeddeck.tech/DTR2owrCY1" TargetMode="External"/><Relationship Id="rId993" Type="http://schemas.openxmlformats.org/officeDocument/2006/relationships/hyperlink" Target="https://sealeddeck.tech/PZf7HdoMcp" TargetMode="External"/><Relationship Id="rId1100" Type="http://schemas.openxmlformats.org/officeDocument/2006/relationships/hyperlink" Target="https://sealeddeck.tech/oMQiRbQpyZ" TargetMode="External"/><Relationship Id="rId1584" Type="http://schemas.openxmlformats.org/officeDocument/2006/relationships/hyperlink" Target="https://sealeddeck.tech/QDGFvZN3K3" TargetMode="External"/><Relationship Id="rId992" Type="http://schemas.openxmlformats.org/officeDocument/2006/relationships/hyperlink" Target="https://sealeddeck.tech/2qJKy4KewM" TargetMode="External"/><Relationship Id="rId1101" Type="http://schemas.openxmlformats.org/officeDocument/2006/relationships/hyperlink" Target="https://sealeddeck.tech/fTTNNpFg4z" TargetMode="External"/><Relationship Id="rId1585" Type="http://schemas.openxmlformats.org/officeDocument/2006/relationships/hyperlink" Target="https://sealeddeck.tech/VzNpwVNpSw" TargetMode="External"/><Relationship Id="rId991" Type="http://schemas.openxmlformats.org/officeDocument/2006/relationships/hyperlink" Target="https://sealeddeck.tech/3Dbh4RHoY7" TargetMode="External"/><Relationship Id="rId1102" Type="http://schemas.openxmlformats.org/officeDocument/2006/relationships/hyperlink" Target="https://sealeddeck.tech/w6Xx9LBBHa" TargetMode="External"/><Relationship Id="rId1586" Type="http://schemas.openxmlformats.org/officeDocument/2006/relationships/hyperlink" Target="https://sealeddeck.tech/fBVy46z8bj" TargetMode="External"/><Relationship Id="rId1532" Type="http://schemas.openxmlformats.org/officeDocument/2006/relationships/hyperlink" Target="https://sealeddeck.tech/oAyLwyev9F" TargetMode="External"/><Relationship Id="rId1533" Type="http://schemas.openxmlformats.org/officeDocument/2006/relationships/hyperlink" Target="https://sealeddeck.tech/i7NNVqBXVr" TargetMode="External"/><Relationship Id="rId1534" Type="http://schemas.openxmlformats.org/officeDocument/2006/relationships/hyperlink" Target="https://sealeddeck.tech/ciKQEzSLJy" TargetMode="External"/><Relationship Id="rId1535" Type="http://schemas.openxmlformats.org/officeDocument/2006/relationships/hyperlink" Target="https://sealeddeck.tech/Xeknz1PHpJ" TargetMode="External"/><Relationship Id="rId1536" Type="http://schemas.openxmlformats.org/officeDocument/2006/relationships/hyperlink" Target="https://sealeddeck.tech/LD9btz65Aa" TargetMode="External"/><Relationship Id="rId1537" Type="http://schemas.openxmlformats.org/officeDocument/2006/relationships/hyperlink" Target="https://sealeddeck.tech/TNLd8yvrnB" TargetMode="External"/><Relationship Id="rId1538" Type="http://schemas.openxmlformats.org/officeDocument/2006/relationships/hyperlink" Target="https://sealeddeck.tech/WWxN178DQi" TargetMode="External"/><Relationship Id="rId1539" Type="http://schemas.openxmlformats.org/officeDocument/2006/relationships/hyperlink" Target="https://sealeddeck.tech/it9MoRXg8H" TargetMode="External"/><Relationship Id="rId949" Type="http://schemas.openxmlformats.org/officeDocument/2006/relationships/hyperlink" Target="https://sealeddeck.tech/xQ8oHXuMua" TargetMode="External"/><Relationship Id="rId948" Type="http://schemas.openxmlformats.org/officeDocument/2006/relationships/hyperlink" Target="https://sealeddeck.tech/ExY7GUcpbq" TargetMode="External"/><Relationship Id="rId943" Type="http://schemas.openxmlformats.org/officeDocument/2006/relationships/hyperlink" Target="https://sealeddeck.tech/Gjd3n3n7DW" TargetMode="External"/><Relationship Id="rId942" Type="http://schemas.openxmlformats.org/officeDocument/2006/relationships/hyperlink" Target="https://sealeddeck.tech/8N6ryzcJgr" TargetMode="External"/><Relationship Id="rId941" Type="http://schemas.openxmlformats.org/officeDocument/2006/relationships/hyperlink" Target="https://sealeddeck.tech/9y58p29HfR" TargetMode="External"/><Relationship Id="rId940" Type="http://schemas.openxmlformats.org/officeDocument/2006/relationships/hyperlink" Target="https://sealeddeck.tech/VMxY3vAtDR" TargetMode="External"/><Relationship Id="rId947" Type="http://schemas.openxmlformats.org/officeDocument/2006/relationships/hyperlink" Target="https://sealeddeck.tech/cctf4r7Kjx" TargetMode="External"/><Relationship Id="rId946" Type="http://schemas.openxmlformats.org/officeDocument/2006/relationships/hyperlink" Target="https://sealeddeck.tech/HkKvjk3cQ7" TargetMode="External"/><Relationship Id="rId945" Type="http://schemas.openxmlformats.org/officeDocument/2006/relationships/hyperlink" Target="https://sealeddeck.tech/GPYxWPYDrf" TargetMode="External"/><Relationship Id="rId944" Type="http://schemas.openxmlformats.org/officeDocument/2006/relationships/hyperlink" Target="https://sealeddeck.tech/RB3HrwenK7" TargetMode="External"/><Relationship Id="rId1530" Type="http://schemas.openxmlformats.org/officeDocument/2006/relationships/hyperlink" Target="https://sealeddeck.tech/DaRap3GdkF" TargetMode="External"/><Relationship Id="rId1531" Type="http://schemas.openxmlformats.org/officeDocument/2006/relationships/hyperlink" Target="https://sealeddeck.tech/hF8ogTMw6u" TargetMode="External"/><Relationship Id="rId1521" Type="http://schemas.openxmlformats.org/officeDocument/2006/relationships/hyperlink" Target="https://sealeddeck.tech/ECReQmkTXf" TargetMode="External"/><Relationship Id="rId1522" Type="http://schemas.openxmlformats.org/officeDocument/2006/relationships/hyperlink" Target="https://sealeddeck.tech/Y7NHWfbiUg" TargetMode="External"/><Relationship Id="rId1523" Type="http://schemas.openxmlformats.org/officeDocument/2006/relationships/hyperlink" Target="https://sealeddeck.tech/m2RpJ4ypPq" TargetMode="External"/><Relationship Id="rId1524" Type="http://schemas.openxmlformats.org/officeDocument/2006/relationships/hyperlink" Target="https://sealeddeck.tech/LqCxLfJxhE" TargetMode="External"/><Relationship Id="rId1525" Type="http://schemas.openxmlformats.org/officeDocument/2006/relationships/hyperlink" Target="https://sealeddeck.tech/vwtB2iCA2M" TargetMode="External"/><Relationship Id="rId1526" Type="http://schemas.openxmlformats.org/officeDocument/2006/relationships/hyperlink" Target="https://sealeddeck.tech/SNktf8dyaP" TargetMode="External"/><Relationship Id="rId1527" Type="http://schemas.openxmlformats.org/officeDocument/2006/relationships/hyperlink" Target="https://sealeddeck.tech/SFgPEDMerA" TargetMode="External"/><Relationship Id="rId1528" Type="http://schemas.openxmlformats.org/officeDocument/2006/relationships/hyperlink" Target="https://sealeddeck.tech/dWLq8p8ufp" TargetMode="External"/><Relationship Id="rId1529" Type="http://schemas.openxmlformats.org/officeDocument/2006/relationships/hyperlink" Target="https://sealeddeck.tech/ajLCayKyuf" TargetMode="External"/><Relationship Id="rId939" Type="http://schemas.openxmlformats.org/officeDocument/2006/relationships/hyperlink" Target="https://sealeddeck.tech/wLQi21rZpM" TargetMode="External"/><Relationship Id="rId938" Type="http://schemas.openxmlformats.org/officeDocument/2006/relationships/hyperlink" Target="https://sealeddeck.tech/51UPA6yhbS" TargetMode="External"/><Relationship Id="rId937" Type="http://schemas.openxmlformats.org/officeDocument/2006/relationships/hyperlink" Target="https://sealeddeck.tech/mpszcikYui" TargetMode="External"/><Relationship Id="rId932" Type="http://schemas.openxmlformats.org/officeDocument/2006/relationships/hyperlink" Target="https://sealeddeck.tech/D49X59Xzb2" TargetMode="External"/><Relationship Id="rId931" Type="http://schemas.openxmlformats.org/officeDocument/2006/relationships/hyperlink" Target="https://sealeddeck.tech/m4UgYCx2Xb" TargetMode="External"/><Relationship Id="rId930" Type="http://schemas.openxmlformats.org/officeDocument/2006/relationships/hyperlink" Target="https://sealeddeck.tech/B3jEJLgKrt" TargetMode="External"/><Relationship Id="rId936" Type="http://schemas.openxmlformats.org/officeDocument/2006/relationships/hyperlink" Target="https://sealeddeck.tech/D5xdouBzwv" TargetMode="External"/><Relationship Id="rId935" Type="http://schemas.openxmlformats.org/officeDocument/2006/relationships/hyperlink" Target="https://sealeddeck.tech/A2avriPvZA" TargetMode="External"/><Relationship Id="rId934" Type="http://schemas.openxmlformats.org/officeDocument/2006/relationships/hyperlink" Target="https://sealeddeck.tech/QZXMW4TG1b" TargetMode="External"/><Relationship Id="rId933" Type="http://schemas.openxmlformats.org/officeDocument/2006/relationships/hyperlink" Target="https://sealeddeck.tech/8otGxrQ2Be" TargetMode="External"/><Relationship Id="rId1520" Type="http://schemas.openxmlformats.org/officeDocument/2006/relationships/hyperlink" Target="https://sealeddeck.tech/UhTTHxDgHy" TargetMode="External"/><Relationship Id="rId1554" Type="http://schemas.openxmlformats.org/officeDocument/2006/relationships/hyperlink" Target="https://sealeddeck.tech/EMNGKQ8vBt" TargetMode="External"/><Relationship Id="rId1555" Type="http://schemas.openxmlformats.org/officeDocument/2006/relationships/hyperlink" Target="https://sealeddeck.tech/nE2a3RmcMN" TargetMode="External"/><Relationship Id="rId1556" Type="http://schemas.openxmlformats.org/officeDocument/2006/relationships/hyperlink" Target="https://sealeddeck.tech/WT76mm1JW2" TargetMode="External"/><Relationship Id="rId1557" Type="http://schemas.openxmlformats.org/officeDocument/2006/relationships/hyperlink" Target="https://sealeddeck.tech/EheTPHg8vY" TargetMode="External"/><Relationship Id="rId1558" Type="http://schemas.openxmlformats.org/officeDocument/2006/relationships/hyperlink" Target="https://sealeddeck.tech/mjAtvTGgRo" TargetMode="External"/><Relationship Id="rId1559" Type="http://schemas.openxmlformats.org/officeDocument/2006/relationships/hyperlink" Target="https://sealeddeck.tech/QJ4LyD2M4E" TargetMode="External"/><Relationship Id="rId965" Type="http://schemas.openxmlformats.org/officeDocument/2006/relationships/hyperlink" Target="https://sealeddeck.tech/kvCWyL1tGx" TargetMode="External"/><Relationship Id="rId964" Type="http://schemas.openxmlformats.org/officeDocument/2006/relationships/hyperlink" Target="https://sealeddeck.tech/ENxjMEMTZc" TargetMode="External"/><Relationship Id="rId963" Type="http://schemas.openxmlformats.org/officeDocument/2006/relationships/hyperlink" Target="https://sealeddeck.tech/jwKqUakWfm" TargetMode="External"/><Relationship Id="rId962" Type="http://schemas.openxmlformats.org/officeDocument/2006/relationships/hyperlink" Target="https://sealeddeck.tech/dYWKe5T37e" TargetMode="External"/><Relationship Id="rId969" Type="http://schemas.openxmlformats.org/officeDocument/2006/relationships/hyperlink" Target="https://sealeddeck.tech/Mwd1t7Zpvd" TargetMode="External"/><Relationship Id="rId968" Type="http://schemas.openxmlformats.org/officeDocument/2006/relationships/hyperlink" Target="https://sealeddeck.tech/LWCpLCXz4g" TargetMode="External"/><Relationship Id="rId967" Type="http://schemas.openxmlformats.org/officeDocument/2006/relationships/hyperlink" Target="https://sealeddeck.tech/8dK8zJ65Eg" TargetMode="External"/><Relationship Id="rId966" Type="http://schemas.openxmlformats.org/officeDocument/2006/relationships/hyperlink" Target="https://sealeddeck.tech/pcsXdUh4tz" TargetMode="External"/><Relationship Id="rId961" Type="http://schemas.openxmlformats.org/officeDocument/2006/relationships/hyperlink" Target="https://sealeddeck.tech/22mGgAjCFH" TargetMode="External"/><Relationship Id="rId1550" Type="http://schemas.openxmlformats.org/officeDocument/2006/relationships/hyperlink" Target="https://sealeddeck.tech/7Wbqhx6Baw" TargetMode="External"/><Relationship Id="rId960" Type="http://schemas.openxmlformats.org/officeDocument/2006/relationships/hyperlink" Target="https://sealeddeck.tech/aPEPDk6ToC" TargetMode="External"/><Relationship Id="rId1551" Type="http://schemas.openxmlformats.org/officeDocument/2006/relationships/hyperlink" Target="https://sealeddeck.tech/8c42fB9N32" TargetMode="External"/><Relationship Id="rId1552" Type="http://schemas.openxmlformats.org/officeDocument/2006/relationships/hyperlink" Target="https://sealeddeck.tech/bG31AbXrGJ" TargetMode="External"/><Relationship Id="rId1553" Type="http://schemas.openxmlformats.org/officeDocument/2006/relationships/hyperlink" Target="https://sealeddeck.tech/DZpx93yHhK" TargetMode="External"/><Relationship Id="rId1543" Type="http://schemas.openxmlformats.org/officeDocument/2006/relationships/hyperlink" Target="https://sealeddeck.tech/JsboXxcPHY" TargetMode="External"/><Relationship Id="rId1544" Type="http://schemas.openxmlformats.org/officeDocument/2006/relationships/hyperlink" Target="https://sealeddeck.tech/mKrus1i3Nq" TargetMode="External"/><Relationship Id="rId1545" Type="http://schemas.openxmlformats.org/officeDocument/2006/relationships/hyperlink" Target="https://sealeddeck.tech/z67RorWB5g" TargetMode="External"/><Relationship Id="rId1546" Type="http://schemas.openxmlformats.org/officeDocument/2006/relationships/hyperlink" Target="https://sealeddeck.tech/HB3CFV5pRd" TargetMode="External"/><Relationship Id="rId1547" Type="http://schemas.openxmlformats.org/officeDocument/2006/relationships/hyperlink" Target="https://sealeddeck.tech/YgqH5en3Xg" TargetMode="External"/><Relationship Id="rId1548" Type="http://schemas.openxmlformats.org/officeDocument/2006/relationships/hyperlink" Target="https://sealeddeck.tech/R9q1B5HrEN" TargetMode="External"/><Relationship Id="rId1549" Type="http://schemas.openxmlformats.org/officeDocument/2006/relationships/hyperlink" Target="https://sealeddeck.tech/gCsZTD5qzs" TargetMode="External"/><Relationship Id="rId959" Type="http://schemas.openxmlformats.org/officeDocument/2006/relationships/hyperlink" Target="https://sealeddeck.tech/TqW2w8cs4j" TargetMode="External"/><Relationship Id="rId954" Type="http://schemas.openxmlformats.org/officeDocument/2006/relationships/hyperlink" Target="https://sealeddeck.tech/BYZBV2WkLi" TargetMode="External"/><Relationship Id="rId953" Type="http://schemas.openxmlformats.org/officeDocument/2006/relationships/hyperlink" Target="https://sealeddeck.tech/9HqzMpdcmi" TargetMode="External"/><Relationship Id="rId952" Type="http://schemas.openxmlformats.org/officeDocument/2006/relationships/hyperlink" Target="https://sealeddeck.tech/LgFj5W2LNm" TargetMode="External"/><Relationship Id="rId951" Type="http://schemas.openxmlformats.org/officeDocument/2006/relationships/hyperlink" Target="https://sealeddeck.tech/bnXNcZBns9" TargetMode="External"/><Relationship Id="rId958" Type="http://schemas.openxmlformats.org/officeDocument/2006/relationships/hyperlink" Target="https://sealeddeck.tech/aTAvnNZ5Xz" TargetMode="External"/><Relationship Id="rId957" Type="http://schemas.openxmlformats.org/officeDocument/2006/relationships/hyperlink" Target="https://sealeddeck.tech/HP4jTHuaqw" TargetMode="External"/><Relationship Id="rId956" Type="http://schemas.openxmlformats.org/officeDocument/2006/relationships/hyperlink" Target="https://sealeddeck.tech/u945daaMEF" TargetMode="External"/><Relationship Id="rId955" Type="http://schemas.openxmlformats.org/officeDocument/2006/relationships/hyperlink" Target="https://sealeddeck.tech/crkkrJZ6KH" TargetMode="External"/><Relationship Id="rId950" Type="http://schemas.openxmlformats.org/officeDocument/2006/relationships/hyperlink" Target="https://sealeddeck.tech/UDLb2z5yb8" TargetMode="External"/><Relationship Id="rId1540" Type="http://schemas.openxmlformats.org/officeDocument/2006/relationships/hyperlink" Target="https://sealeddeck.tech/mjZDX23ynB" TargetMode="External"/><Relationship Id="rId1541" Type="http://schemas.openxmlformats.org/officeDocument/2006/relationships/hyperlink" Target="https://sealeddeck.tech/ggPMa5aZuk" TargetMode="External"/><Relationship Id="rId1542" Type="http://schemas.openxmlformats.org/officeDocument/2006/relationships/hyperlink" Target="https://sealeddeck.tech/N2a5nSBrFK" TargetMode="External"/><Relationship Id="rId590" Type="http://schemas.openxmlformats.org/officeDocument/2006/relationships/hyperlink" Target="https://sealeddeck.tech/Pu89toZ6MZ" TargetMode="External"/><Relationship Id="rId107" Type="http://schemas.openxmlformats.org/officeDocument/2006/relationships/hyperlink" Target="https://sealeddeck.tech/NLrwKMEyM8" TargetMode="External"/><Relationship Id="rId106" Type="http://schemas.openxmlformats.org/officeDocument/2006/relationships/hyperlink" Target="https://sealeddeck.tech/hGJcmUBQ7V" TargetMode="External"/><Relationship Id="rId105" Type="http://schemas.openxmlformats.org/officeDocument/2006/relationships/hyperlink" Target="https://sealeddeck.tech/xH8FLG99MF" TargetMode="External"/><Relationship Id="rId589" Type="http://schemas.openxmlformats.org/officeDocument/2006/relationships/hyperlink" Target="https://sealeddeck.tech/nWP5MaE83f" TargetMode="External"/><Relationship Id="rId104" Type="http://schemas.openxmlformats.org/officeDocument/2006/relationships/hyperlink" Target="https://sealeddeck.tech/3PaaVYcBjB" TargetMode="External"/><Relationship Id="rId588" Type="http://schemas.openxmlformats.org/officeDocument/2006/relationships/hyperlink" Target="https://sealeddeck.tech/zNK2LN1Wp1" TargetMode="External"/><Relationship Id="rId109" Type="http://schemas.openxmlformats.org/officeDocument/2006/relationships/hyperlink" Target="https://sealeddeck.tech/LfkbAW3Tjh" TargetMode="External"/><Relationship Id="rId1170" Type="http://schemas.openxmlformats.org/officeDocument/2006/relationships/hyperlink" Target="https://sealeddeck.tech/Vc2f7ptRCG" TargetMode="External"/><Relationship Id="rId108" Type="http://schemas.openxmlformats.org/officeDocument/2006/relationships/hyperlink" Target="https://sealeddeck.tech/rrfCCCcb8Q" TargetMode="External"/><Relationship Id="rId1171" Type="http://schemas.openxmlformats.org/officeDocument/2006/relationships/hyperlink" Target="https://sealeddeck.tech/h5SdEQ8F3p" TargetMode="External"/><Relationship Id="rId583" Type="http://schemas.openxmlformats.org/officeDocument/2006/relationships/hyperlink" Target="https://sealeddeck.tech/o4J48FhjnS" TargetMode="External"/><Relationship Id="rId1172" Type="http://schemas.openxmlformats.org/officeDocument/2006/relationships/hyperlink" Target="https://sealeddeck.tech/yHduucgaoP" TargetMode="External"/><Relationship Id="rId582" Type="http://schemas.openxmlformats.org/officeDocument/2006/relationships/hyperlink" Target="https://sealeddeck.tech/HZnKNeZmbv" TargetMode="External"/><Relationship Id="rId1173" Type="http://schemas.openxmlformats.org/officeDocument/2006/relationships/hyperlink" Target="https://sealeddeck.tech/AV2ReJfpyL" TargetMode="External"/><Relationship Id="rId581" Type="http://schemas.openxmlformats.org/officeDocument/2006/relationships/hyperlink" Target="https://sealeddeck.tech/LzbGkA4ajN" TargetMode="External"/><Relationship Id="rId1174" Type="http://schemas.openxmlformats.org/officeDocument/2006/relationships/hyperlink" Target="https://sealeddeck.tech/QPq3aJHrd6" TargetMode="External"/><Relationship Id="rId580" Type="http://schemas.openxmlformats.org/officeDocument/2006/relationships/hyperlink" Target="https://sealeddeck.tech/kEQei7pp1e" TargetMode="External"/><Relationship Id="rId1175" Type="http://schemas.openxmlformats.org/officeDocument/2006/relationships/hyperlink" Target="https://sealeddeck.tech/mr9HX9jARL" TargetMode="External"/><Relationship Id="rId103" Type="http://schemas.openxmlformats.org/officeDocument/2006/relationships/hyperlink" Target="https://sealeddeck.tech/inswvSo22z" TargetMode="External"/><Relationship Id="rId587" Type="http://schemas.openxmlformats.org/officeDocument/2006/relationships/hyperlink" Target="https://sealeddeck.tech/BeHgpX1fGG" TargetMode="External"/><Relationship Id="rId1176" Type="http://schemas.openxmlformats.org/officeDocument/2006/relationships/hyperlink" Target="https://sealeddeck.tech/k5nxqju2ro" TargetMode="External"/><Relationship Id="rId102" Type="http://schemas.openxmlformats.org/officeDocument/2006/relationships/hyperlink" Target="https://sealeddeck.tech/ZmnyMaUAfT" TargetMode="External"/><Relationship Id="rId586" Type="http://schemas.openxmlformats.org/officeDocument/2006/relationships/hyperlink" Target="https://sealeddeck.tech/qEzoACCnVY" TargetMode="External"/><Relationship Id="rId1177" Type="http://schemas.openxmlformats.org/officeDocument/2006/relationships/hyperlink" Target="https://sealeddeck.tech/xpQeWP9pXh" TargetMode="External"/><Relationship Id="rId101" Type="http://schemas.openxmlformats.org/officeDocument/2006/relationships/hyperlink" Target="https://sealeddeck.tech/r3a5aSWyxt" TargetMode="External"/><Relationship Id="rId585" Type="http://schemas.openxmlformats.org/officeDocument/2006/relationships/hyperlink" Target="https://sealeddeck.tech/SsbxcfH8Dd" TargetMode="External"/><Relationship Id="rId1178" Type="http://schemas.openxmlformats.org/officeDocument/2006/relationships/hyperlink" Target="https://sealeddeck.tech/sP7C6ZRJKp" TargetMode="External"/><Relationship Id="rId100" Type="http://schemas.openxmlformats.org/officeDocument/2006/relationships/hyperlink" Target="https://sealeddeck.tech/1SqxnMgvbF" TargetMode="External"/><Relationship Id="rId584" Type="http://schemas.openxmlformats.org/officeDocument/2006/relationships/hyperlink" Target="https://sealeddeck.tech/Km1qLCSBHz" TargetMode="External"/><Relationship Id="rId1179" Type="http://schemas.openxmlformats.org/officeDocument/2006/relationships/hyperlink" Target="https://sealeddeck.tech/fuDBE8MuWp" TargetMode="External"/><Relationship Id="rId1169" Type="http://schemas.openxmlformats.org/officeDocument/2006/relationships/hyperlink" Target="https://sealeddeck.tech/BSgrcxTpvs" TargetMode="External"/><Relationship Id="rId579" Type="http://schemas.openxmlformats.org/officeDocument/2006/relationships/hyperlink" Target="https://sealeddeck.tech/9k37ZRvRcm" TargetMode="External"/><Relationship Id="rId578" Type="http://schemas.openxmlformats.org/officeDocument/2006/relationships/hyperlink" Target="https://sealeddeck.tech/Mqz9u1ZvT8" TargetMode="External"/><Relationship Id="rId577" Type="http://schemas.openxmlformats.org/officeDocument/2006/relationships/hyperlink" Target="https://sealeddeck.tech/D4uxu4pcss" TargetMode="External"/><Relationship Id="rId1160" Type="http://schemas.openxmlformats.org/officeDocument/2006/relationships/hyperlink" Target="https://sealeddeck.tech/Lv6pr9mvYc" TargetMode="External"/><Relationship Id="rId572" Type="http://schemas.openxmlformats.org/officeDocument/2006/relationships/hyperlink" Target="https://sealeddeck.tech/QbFfXYew4o" TargetMode="External"/><Relationship Id="rId1161" Type="http://schemas.openxmlformats.org/officeDocument/2006/relationships/hyperlink" Target="https://sealeddeck.tech/itxceujFqC" TargetMode="External"/><Relationship Id="rId571" Type="http://schemas.openxmlformats.org/officeDocument/2006/relationships/hyperlink" Target="https://sealeddeck.tech/bYhLNRFZ8y" TargetMode="External"/><Relationship Id="rId1162" Type="http://schemas.openxmlformats.org/officeDocument/2006/relationships/hyperlink" Target="https://sealeddeck.tech/gJsTzKEE4k" TargetMode="External"/><Relationship Id="rId570" Type="http://schemas.openxmlformats.org/officeDocument/2006/relationships/hyperlink" Target="https://sealeddeck.tech/3yN52UASL1" TargetMode="External"/><Relationship Id="rId1163" Type="http://schemas.openxmlformats.org/officeDocument/2006/relationships/hyperlink" Target="https://sealeddeck.tech/UuaR8w3HRK" TargetMode="External"/><Relationship Id="rId1164" Type="http://schemas.openxmlformats.org/officeDocument/2006/relationships/hyperlink" Target="https://sealeddeck.tech/WLD1AtWBsZ" TargetMode="External"/><Relationship Id="rId576" Type="http://schemas.openxmlformats.org/officeDocument/2006/relationships/hyperlink" Target="https://sealeddeck.tech/tmsZ6to6SH" TargetMode="External"/><Relationship Id="rId1165" Type="http://schemas.openxmlformats.org/officeDocument/2006/relationships/hyperlink" Target="https://sealeddeck.tech/Zu5boHn3gS" TargetMode="External"/><Relationship Id="rId575" Type="http://schemas.openxmlformats.org/officeDocument/2006/relationships/hyperlink" Target="https://sealeddeck.tech/pcwQ3uYUyW" TargetMode="External"/><Relationship Id="rId1166" Type="http://schemas.openxmlformats.org/officeDocument/2006/relationships/hyperlink" Target="https://sealeddeck.tech/cM5BuvWrzX" TargetMode="External"/><Relationship Id="rId574" Type="http://schemas.openxmlformats.org/officeDocument/2006/relationships/hyperlink" Target="https://sealeddeck.tech/k4omcMBumv" TargetMode="External"/><Relationship Id="rId1167" Type="http://schemas.openxmlformats.org/officeDocument/2006/relationships/hyperlink" Target="https://sealeddeck.tech/Z7LRPxswk9" TargetMode="External"/><Relationship Id="rId573" Type="http://schemas.openxmlformats.org/officeDocument/2006/relationships/hyperlink" Target="https://sealeddeck.tech/VjxJeHdTpC" TargetMode="External"/><Relationship Id="rId1168" Type="http://schemas.openxmlformats.org/officeDocument/2006/relationships/hyperlink" Target="https://sealeddeck.tech/BL9UtgED9a" TargetMode="External"/><Relationship Id="rId129" Type="http://schemas.openxmlformats.org/officeDocument/2006/relationships/hyperlink" Target="https://sealeddeck.tech/9nGN5Rzh92" TargetMode="External"/><Relationship Id="rId128" Type="http://schemas.openxmlformats.org/officeDocument/2006/relationships/hyperlink" Target="https://sealeddeck.tech/vrUFSKggJT" TargetMode="External"/><Relationship Id="rId127" Type="http://schemas.openxmlformats.org/officeDocument/2006/relationships/hyperlink" Target="https://sealeddeck.tech/VWWVEcnb2z" TargetMode="External"/><Relationship Id="rId126" Type="http://schemas.openxmlformats.org/officeDocument/2006/relationships/hyperlink" Target="https://sealeddeck.tech/9enzsDS2Zd" TargetMode="External"/><Relationship Id="rId1190" Type="http://schemas.openxmlformats.org/officeDocument/2006/relationships/hyperlink" Target="https://sealeddeck.tech/MD6xaRwphd" TargetMode="External"/><Relationship Id="rId1191" Type="http://schemas.openxmlformats.org/officeDocument/2006/relationships/hyperlink" Target="https://sealeddeck.tech/4ZAbbC5JBc" TargetMode="External"/><Relationship Id="rId1192" Type="http://schemas.openxmlformats.org/officeDocument/2006/relationships/hyperlink" Target="https://sealeddeck.tech/3XFRCQDqk7" TargetMode="External"/><Relationship Id="rId1193" Type="http://schemas.openxmlformats.org/officeDocument/2006/relationships/hyperlink" Target="https://sealeddeck.tech/hbUSH5RNqb" TargetMode="External"/><Relationship Id="rId121" Type="http://schemas.openxmlformats.org/officeDocument/2006/relationships/hyperlink" Target="https://sealeddeck.tech/XvMDmJpVCv" TargetMode="External"/><Relationship Id="rId1194" Type="http://schemas.openxmlformats.org/officeDocument/2006/relationships/hyperlink" Target="https://sealeddeck.tech/huTEKByPTW" TargetMode="External"/><Relationship Id="rId120" Type="http://schemas.openxmlformats.org/officeDocument/2006/relationships/hyperlink" Target="https://sealeddeck.tech/Ksr5mKctCj" TargetMode="External"/><Relationship Id="rId1195" Type="http://schemas.openxmlformats.org/officeDocument/2006/relationships/hyperlink" Target="https://sealeddeck.tech/9opeH2Fm3G" TargetMode="External"/><Relationship Id="rId1196" Type="http://schemas.openxmlformats.org/officeDocument/2006/relationships/hyperlink" Target="https://sealeddeck.tech/SHYw7ecPeE" TargetMode="External"/><Relationship Id="rId1197" Type="http://schemas.openxmlformats.org/officeDocument/2006/relationships/hyperlink" Target="https://sealeddeck.tech/pQVAeuUGC5" TargetMode="External"/><Relationship Id="rId125" Type="http://schemas.openxmlformats.org/officeDocument/2006/relationships/hyperlink" Target="https://sealeddeck.tech/rVDQAkb8TK" TargetMode="External"/><Relationship Id="rId1198" Type="http://schemas.openxmlformats.org/officeDocument/2006/relationships/hyperlink" Target="https://sealeddeck.tech/AUVcF26CzQ" TargetMode="External"/><Relationship Id="rId124" Type="http://schemas.openxmlformats.org/officeDocument/2006/relationships/hyperlink" Target="https://sealeddeck.tech/kbhUHLSneR" TargetMode="External"/><Relationship Id="rId1199" Type="http://schemas.openxmlformats.org/officeDocument/2006/relationships/hyperlink" Target="https://sealeddeck.tech/t7as1pgB36" TargetMode="External"/><Relationship Id="rId123" Type="http://schemas.openxmlformats.org/officeDocument/2006/relationships/hyperlink" Target="https://sealeddeck.tech/AgUmr8WQPn" TargetMode="External"/><Relationship Id="rId122" Type="http://schemas.openxmlformats.org/officeDocument/2006/relationships/hyperlink" Target="https://sealeddeck.tech/v7R1gPwiVy" TargetMode="External"/><Relationship Id="rId118" Type="http://schemas.openxmlformats.org/officeDocument/2006/relationships/hyperlink" Target="https://sealeddeck.tech/cAz1smMxRG" TargetMode="External"/><Relationship Id="rId117" Type="http://schemas.openxmlformats.org/officeDocument/2006/relationships/hyperlink" Target="https://sealeddeck.tech/hFWs5o2n6F" TargetMode="External"/><Relationship Id="rId116" Type="http://schemas.openxmlformats.org/officeDocument/2006/relationships/hyperlink" Target="https://sealeddeck.tech/tgvJiYHGeY" TargetMode="External"/><Relationship Id="rId115" Type="http://schemas.openxmlformats.org/officeDocument/2006/relationships/hyperlink" Target="https://sealeddeck.tech/AssZwBZf9Z" TargetMode="External"/><Relationship Id="rId599" Type="http://schemas.openxmlformats.org/officeDocument/2006/relationships/hyperlink" Target="https://sealeddeck.tech/rxHMDHXs2d" TargetMode="External"/><Relationship Id="rId1180" Type="http://schemas.openxmlformats.org/officeDocument/2006/relationships/hyperlink" Target="https://sealeddeck.tech/sKAc84mFsR" TargetMode="External"/><Relationship Id="rId1181" Type="http://schemas.openxmlformats.org/officeDocument/2006/relationships/hyperlink" Target="https://sealeddeck.tech/qWYnQ6BvcU" TargetMode="External"/><Relationship Id="rId119" Type="http://schemas.openxmlformats.org/officeDocument/2006/relationships/hyperlink" Target="https://sealeddeck.tech/SJK3paonD6" TargetMode="External"/><Relationship Id="rId1182" Type="http://schemas.openxmlformats.org/officeDocument/2006/relationships/hyperlink" Target="https://sealeddeck.tech/VS9do7REAp" TargetMode="External"/><Relationship Id="rId110" Type="http://schemas.openxmlformats.org/officeDocument/2006/relationships/hyperlink" Target="https://sealeddeck.tech/Q2spoEicUn" TargetMode="External"/><Relationship Id="rId594" Type="http://schemas.openxmlformats.org/officeDocument/2006/relationships/hyperlink" Target="https://sealeddeck.tech/K6QLf1SY1E" TargetMode="External"/><Relationship Id="rId1183" Type="http://schemas.openxmlformats.org/officeDocument/2006/relationships/hyperlink" Target="https://sealeddeck.tech/XhrUGm7XWK" TargetMode="External"/><Relationship Id="rId593" Type="http://schemas.openxmlformats.org/officeDocument/2006/relationships/hyperlink" Target="https://sealeddeck.tech/9W2vJSPSd7" TargetMode="External"/><Relationship Id="rId1184" Type="http://schemas.openxmlformats.org/officeDocument/2006/relationships/hyperlink" Target="https://sealeddeck.tech/6dHFEagngm" TargetMode="External"/><Relationship Id="rId592" Type="http://schemas.openxmlformats.org/officeDocument/2006/relationships/hyperlink" Target="https://sealeddeck.tech/HSNGbuDqHD" TargetMode="External"/><Relationship Id="rId1185" Type="http://schemas.openxmlformats.org/officeDocument/2006/relationships/hyperlink" Target="https://sealeddeck.tech/aa9MkbAiTh" TargetMode="External"/><Relationship Id="rId591" Type="http://schemas.openxmlformats.org/officeDocument/2006/relationships/hyperlink" Target="https://sealeddeck.tech/3XtM2h1Aj8" TargetMode="External"/><Relationship Id="rId1186" Type="http://schemas.openxmlformats.org/officeDocument/2006/relationships/hyperlink" Target="https://sealeddeck.tech/UunKgyu5aN" TargetMode="External"/><Relationship Id="rId114" Type="http://schemas.openxmlformats.org/officeDocument/2006/relationships/hyperlink" Target="https://sealeddeck.tech/jFxvTsovfo" TargetMode="External"/><Relationship Id="rId598" Type="http://schemas.openxmlformats.org/officeDocument/2006/relationships/hyperlink" Target="https://sealeddeck.tech/eM3r9Gncrc" TargetMode="External"/><Relationship Id="rId1187" Type="http://schemas.openxmlformats.org/officeDocument/2006/relationships/hyperlink" Target="https://sealeddeck.tech/sQMsfKwcE4" TargetMode="External"/><Relationship Id="rId113" Type="http://schemas.openxmlformats.org/officeDocument/2006/relationships/hyperlink" Target="https://sealeddeck.tech/dSrEvetP4A" TargetMode="External"/><Relationship Id="rId597" Type="http://schemas.openxmlformats.org/officeDocument/2006/relationships/hyperlink" Target="https://sealeddeck.tech/5pnA58RrSF" TargetMode="External"/><Relationship Id="rId1188" Type="http://schemas.openxmlformats.org/officeDocument/2006/relationships/hyperlink" Target="https://sealeddeck.tech/vnm2eLJcvF" TargetMode="External"/><Relationship Id="rId112" Type="http://schemas.openxmlformats.org/officeDocument/2006/relationships/hyperlink" Target="https://sealeddeck.tech/DCxoXxxjDW" TargetMode="External"/><Relationship Id="rId596" Type="http://schemas.openxmlformats.org/officeDocument/2006/relationships/hyperlink" Target="https://sealeddeck.tech/u64rZdCXiY" TargetMode="External"/><Relationship Id="rId1189" Type="http://schemas.openxmlformats.org/officeDocument/2006/relationships/hyperlink" Target="https://sealeddeck.tech/DyCtTuqUYx" TargetMode="External"/><Relationship Id="rId111" Type="http://schemas.openxmlformats.org/officeDocument/2006/relationships/hyperlink" Target="https://sealeddeck.tech/vrBLCbTkPV" TargetMode="External"/><Relationship Id="rId595" Type="http://schemas.openxmlformats.org/officeDocument/2006/relationships/hyperlink" Target="https://sealeddeck.tech/D6cQJ5sAov" TargetMode="External"/><Relationship Id="rId1136" Type="http://schemas.openxmlformats.org/officeDocument/2006/relationships/hyperlink" Target="https://sealeddeck.tech/PZxrvt1fzv" TargetMode="External"/><Relationship Id="rId1137" Type="http://schemas.openxmlformats.org/officeDocument/2006/relationships/hyperlink" Target="https://sealeddeck.tech/2WamiuM1dw" TargetMode="External"/><Relationship Id="rId1138" Type="http://schemas.openxmlformats.org/officeDocument/2006/relationships/hyperlink" Target="https://sealeddeck.tech/reBg8yL56Y" TargetMode="External"/><Relationship Id="rId1139" Type="http://schemas.openxmlformats.org/officeDocument/2006/relationships/hyperlink" Target="https://sealeddeck.tech/7Z4VSzaEYC" TargetMode="External"/><Relationship Id="rId547" Type="http://schemas.openxmlformats.org/officeDocument/2006/relationships/hyperlink" Target="https://sealeddeck.tech/1zNbJ7gdk9" TargetMode="External"/><Relationship Id="rId546" Type="http://schemas.openxmlformats.org/officeDocument/2006/relationships/hyperlink" Target="https://sealeddeck.tech/8embumrrZR" TargetMode="External"/><Relationship Id="rId545" Type="http://schemas.openxmlformats.org/officeDocument/2006/relationships/hyperlink" Target="https://sealeddeck.tech/5nkc3cRXYn" TargetMode="External"/><Relationship Id="rId544" Type="http://schemas.openxmlformats.org/officeDocument/2006/relationships/hyperlink" Target="https://sealeddeck.tech/hhUVaZ23UW" TargetMode="External"/><Relationship Id="rId549" Type="http://schemas.openxmlformats.org/officeDocument/2006/relationships/hyperlink" Target="https://sealeddeck.tech/5Vm2vZCJHQ" TargetMode="External"/><Relationship Id="rId548" Type="http://schemas.openxmlformats.org/officeDocument/2006/relationships/hyperlink" Target="https://sealeddeck.tech/kWnPNsQAKo" TargetMode="External"/><Relationship Id="rId1130" Type="http://schemas.openxmlformats.org/officeDocument/2006/relationships/hyperlink" Target="https://sealeddeck.tech/GQftA5fpRg" TargetMode="External"/><Relationship Id="rId1131" Type="http://schemas.openxmlformats.org/officeDocument/2006/relationships/hyperlink" Target="https://sealeddeck.tech/tCSkqGHVMf" TargetMode="External"/><Relationship Id="rId543" Type="http://schemas.openxmlformats.org/officeDocument/2006/relationships/hyperlink" Target="https://sealeddeck.tech/KeB2m1jagg" TargetMode="External"/><Relationship Id="rId1132" Type="http://schemas.openxmlformats.org/officeDocument/2006/relationships/hyperlink" Target="https://sealeddeck.tech/jEQFNzJsPw" TargetMode="External"/><Relationship Id="rId542" Type="http://schemas.openxmlformats.org/officeDocument/2006/relationships/hyperlink" Target="https://sealeddeck.tech/CeGaE78CMd" TargetMode="External"/><Relationship Id="rId1133" Type="http://schemas.openxmlformats.org/officeDocument/2006/relationships/hyperlink" Target="https://sealeddeck.tech/vfoUeMBx1z" TargetMode="External"/><Relationship Id="rId541" Type="http://schemas.openxmlformats.org/officeDocument/2006/relationships/hyperlink" Target="https://sealeddeck.tech/yvcoC759wg" TargetMode="External"/><Relationship Id="rId1134" Type="http://schemas.openxmlformats.org/officeDocument/2006/relationships/hyperlink" Target="https://sealeddeck.tech/qtAJNgGWZa" TargetMode="External"/><Relationship Id="rId540" Type="http://schemas.openxmlformats.org/officeDocument/2006/relationships/hyperlink" Target="https://sealeddeck.tech/vwcHb1qyAv" TargetMode="External"/><Relationship Id="rId1135" Type="http://schemas.openxmlformats.org/officeDocument/2006/relationships/hyperlink" Target="https://sealeddeck.tech/B9Jp8iuAg9" TargetMode="External"/><Relationship Id="rId1125" Type="http://schemas.openxmlformats.org/officeDocument/2006/relationships/hyperlink" Target="https://sealeddeck.tech/CaxVYh564q" TargetMode="External"/><Relationship Id="rId1126" Type="http://schemas.openxmlformats.org/officeDocument/2006/relationships/hyperlink" Target="https://sealeddeck.tech/sK9kgiP2f3" TargetMode="External"/><Relationship Id="rId1127" Type="http://schemas.openxmlformats.org/officeDocument/2006/relationships/hyperlink" Target="https://sealeddeck.tech/tbdYY979z1" TargetMode="External"/><Relationship Id="rId1128" Type="http://schemas.openxmlformats.org/officeDocument/2006/relationships/hyperlink" Target="https://sealeddeck.tech/athT6eeaPb" TargetMode="External"/><Relationship Id="rId1129" Type="http://schemas.openxmlformats.org/officeDocument/2006/relationships/hyperlink" Target="https://sealeddeck.tech/gPXfd6KFpB" TargetMode="External"/><Relationship Id="rId536" Type="http://schemas.openxmlformats.org/officeDocument/2006/relationships/hyperlink" Target="https://sealeddeck.tech/2yWffpcvrM" TargetMode="External"/><Relationship Id="rId535" Type="http://schemas.openxmlformats.org/officeDocument/2006/relationships/hyperlink" Target="https://sealeddeck.tech/8BnseUhxqE" TargetMode="External"/><Relationship Id="rId534" Type="http://schemas.openxmlformats.org/officeDocument/2006/relationships/hyperlink" Target="https://sealeddeck.tech/w8gxkEZ5co" TargetMode="External"/><Relationship Id="rId533" Type="http://schemas.openxmlformats.org/officeDocument/2006/relationships/hyperlink" Target="https://sealeddeck.tech/rbUfZXte4J" TargetMode="External"/><Relationship Id="rId539" Type="http://schemas.openxmlformats.org/officeDocument/2006/relationships/hyperlink" Target="https://sealeddeck.tech/kmDMTF2g2j" TargetMode="External"/><Relationship Id="rId538" Type="http://schemas.openxmlformats.org/officeDocument/2006/relationships/hyperlink" Target="https://sealeddeck.tech/g8pwtLakFQ" TargetMode="External"/><Relationship Id="rId537" Type="http://schemas.openxmlformats.org/officeDocument/2006/relationships/hyperlink" Target="https://sealeddeck.tech/9Uc95Nxjg2" TargetMode="External"/><Relationship Id="rId1120" Type="http://schemas.openxmlformats.org/officeDocument/2006/relationships/hyperlink" Target="https://sealeddeck.tech/QmHbJc4xSB" TargetMode="External"/><Relationship Id="rId532" Type="http://schemas.openxmlformats.org/officeDocument/2006/relationships/hyperlink" Target="https://sealeddeck.tech/A6LrS4duWt" TargetMode="External"/><Relationship Id="rId1121" Type="http://schemas.openxmlformats.org/officeDocument/2006/relationships/hyperlink" Target="https://sealeddeck.tech/ydbknXn4qF" TargetMode="External"/><Relationship Id="rId531" Type="http://schemas.openxmlformats.org/officeDocument/2006/relationships/hyperlink" Target="https://sealeddeck.tech/AQmRAbt3dy" TargetMode="External"/><Relationship Id="rId1122" Type="http://schemas.openxmlformats.org/officeDocument/2006/relationships/hyperlink" Target="https://sealeddeck.tech/VySaEpP9wR" TargetMode="External"/><Relationship Id="rId530" Type="http://schemas.openxmlformats.org/officeDocument/2006/relationships/hyperlink" Target="https://sealeddeck.tech/7NuXiCU3yD" TargetMode="External"/><Relationship Id="rId1123" Type="http://schemas.openxmlformats.org/officeDocument/2006/relationships/hyperlink" Target="https://sealeddeck.tech/MLf6ZGT47C" TargetMode="External"/><Relationship Id="rId1124" Type="http://schemas.openxmlformats.org/officeDocument/2006/relationships/hyperlink" Target="https://sealeddeck.tech/o55Jwm2Bdu" TargetMode="External"/><Relationship Id="rId1158" Type="http://schemas.openxmlformats.org/officeDocument/2006/relationships/hyperlink" Target="https://sealeddeck.tech/XSFQYs3xBP" TargetMode="External"/><Relationship Id="rId1159" Type="http://schemas.openxmlformats.org/officeDocument/2006/relationships/hyperlink" Target="https://sealeddeck.tech/idggTGfP8v" TargetMode="External"/><Relationship Id="rId569" Type="http://schemas.openxmlformats.org/officeDocument/2006/relationships/hyperlink" Target="https://sealeddeck.tech/beGYTGPFFg" TargetMode="External"/><Relationship Id="rId568" Type="http://schemas.openxmlformats.org/officeDocument/2006/relationships/hyperlink" Target="https://sealeddeck.tech/HhRVUGyXK6" TargetMode="External"/><Relationship Id="rId567" Type="http://schemas.openxmlformats.org/officeDocument/2006/relationships/hyperlink" Target="https://sealeddeck.tech/LbQjopRC81" TargetMode="External"/><Relationship Id="rId566" Type="http://schemas.openxmlformats.org/officeDocument/2006/relationships/hyperlink" Target="https://sealeddeck.tech/XJaxtnAb7k" TargetMode="External"/><Relationship Id="rId561" Type="http://schemas.openxmlformats.org/officeDocument/2006/relationships/hyperlink" Target="https://sealeddeck.tech/4S5ajdV2bS" TargetMode="External"/><Relationship Id="rId1150" Type="http://schemas.openxmlformats.org/officeDocument/2006/relationships/hyperlink" Target="https://sealeddeck.tech/dBGS4wh1dj" TargetMode="External"/><Relationship Id="rId560" Type="http://schemas.openxmlformats.org/officeDocument/2006/relationships/hyperlink" Target="https://sealeddeck.tech/NPkDd3ycfV" TargetMode="External"/><Relationship Id="rId1151" Type="http://schemas.openxmlformats.org/officeDocument/2006/relationships/hyperlink" Target="https://sealeddeck.tech/eFRJL3iXkk" TargetMode="External"/><Relationship Id="rId1152" Type="http://schemas.openxmlformats.org/officeDocument/2006/relationships/hyperlink" Target="https://sealeddeck.tech/XAtr27Wm6P" TargetMode="External"/><Relationship Id="rId1153" Type="http://schemas.openxmlformats.org/officeDocument/2006/relationships/hyperlink" Target="https://sealeddeck.tech/zNsxhvVNBt" TargetMode="External"/><Relationship Id="rId565" Type="http://schemas.openxmlformats.org/officeDocument/2006/relationships/hyperlink" Target="https://sealeddeck.tech/ne6hyATkCn" TargetMode="External"/><Relationship Id="rId1154" Type="http://schemas.openxmlformats.org/officeDocument/2006/relationships/hyperlink" Target="https://sealeddeck.tech/eQJ9LypuxH" TargetMode="External"/><Relationship Id="rId564" Type="http://schemas.openxmlformats.org/officeDocument/2006/relationships/hyperlink" Target="https://sealeddeck.tech/uxFnEN8MY6" TargetMode="External"/><Relationship Id="rId1155" Type="http://schemas.openxmlformats.org/officeDocument/2006/relationships/hyperlink" Target="https://sealeddeck.tech/jCukFTDyDG" TargetMode="External"/><Relationship Id="rId563" Type="http://schemas.openxmlformats.org/officeDocument/2006/relationships/hyperlink" Target="https://sealeddeck.tech/eAxyr98zXY" TargetMode="External"/><Relationship Id="rId1156" Type="http://schemas.openxmlformats.org/officeDocument/2006/relationships/hyperlink" Target="https://sealeddeck.tech/aHuPcUepLa" TargetMode="External"/><Relationship Id="rId562" Type="http://schemas.openxmlformats.org/officeDocument/2006/relationships/hyperlink" Target="https://sealeddeck.tech/wZmiT1DHjW" TargetMode="External"/><Relationship Id="rId1157" Type="http://schemas.openxmlformats.org/officeDocument/2006/relationships/hyperlink" Target="https://sealeddeck.tech/5tdcLdiozd" TargetMode="External"/><Relationship Id="rId1147" Type="http://schemas.openxmlformats.org/officeDocument/2006/relationships/hyperlink" Target="https://sealeddeck.tech/ZN8zYrhSgT" TargetMode="External"/><Relationship Id="rId1148" Type="http://schemas.openxmlformats.org/officeDocument/2006/relationships/hyperlink" Target="https://sealeddeck.tech/hSeQ74DYFq" TargetMode="External"/><Relationship Id="rId1149" Type="http://schemas.openxmlformats.org/officeDocument/2006/relationships/hyperlink" Target="https://sealeddeck.tech/RuBiBDhjmQ" TargetMode="External"/><Relationship Id="rId558" Type="http://schemas.openxmlformats.org/officeDocument/2006/relationships/hyperlink" Target="https://sealeddeck.tech/8cjdRjPhaG" TargetMode="External"/><Relationship Id="rId557" Type="http://schemas.openxmlformats.org/officeDocument/2006/relationships/hyperlink" Target="https://sealeddeck.tech/DkNo8YxkGC" TargetMode="External"/><Relationship Id="rId556" Type="http://schemas.openxmlformats.org/officeDocument/2006/relationships/hyperlink" Target="https://sealeddeck.tech/4ENWokzbwe" TargetMode="External"/><Relationship Id="rId555" Type="http://schemas.openxmlformats.org/officeDocument/2006/relationships/hyperlink" Target="https://sealeddeck.tech/Hwm9iYvfbq" TargetMode="External"/><Relationship Id="rId559" Type="http://schemas.openxmlformats.org/officeDocument/2006/relationships/hyperlink" Target="https://sealeddeck.tech/uFXLpCAcsL" TargetMode="External"/><Relationship Id="rId550" Type="http://schemas.openxmlformats.org/officeDocument/2006/relationships/hyperlink" Target="https://sealeddeck.tech/859TBGnxzg" TargetMode="External"/><Relationship Id="rId1140" Type="http://schemas.openxmlformats.org/officeDocument/2006/relationships/hyperlink" Target="https://sealeddeck.tech/DaZKJaM5CG" TargetMode="External"/><Relationship Id="rId1141" Type="http://schemas.openxmlformats.org/officeDocument/2006/relationships/hyperlink" Target="https://sealeddeck.tech/BMmHrnZd42" TargetMode="External"/><Relationship Id="rId1142" Type="http://schemas.openxmlformats.org/officeDocument/2006/relationships/hyperlink" Target="https://sealeddeck.tech/Sdeh7gRNbo" TargetMode="External"/><Relationship Id="rId554" Type="http://schemas.openxmlformats.org/officeDocument/2006/relationships/hyperlink" Target="https://sealeddeck.tech/9JWnj3F7ch" TargetMode="External"/><Relationship Id="rId1143" Type="http://schemas.openxmlformats.org/officeDocument/2006/relationships/hyperlink" Target="https://sealeddeck.tech/ksUuu27Szb" TargetMode="External"/><Relationship Id="rId553" Type="http://schemas.openxmlformats.org/officeDocument/2006/relationships/hyperlink" Target="https://sealeddeck.tech/CUdp8cpZ5p" TargetMode="External"/><Relationship Id="rId1144" Type="http://schemas.openxmlformats.org/officeDocument/2006/relationships/hyperlink" Target="https://sealeddeck.tech/7wk6dK8m8F" TargetMode="External"/><Relationship Id="rId552" Type="http://schemas.openxmlformats.org/officeDocument/2006/relationships/hyperlink" Target="https://sealeddeck.tech/HTVPfhz7Mf" TargetMode="External"/><Relationship Id="rId1145" Type="http://schemas.openxmlformats.org/officeDocument/2006/relationships/hyperlink" Target="https://sealeddeck.tech/uuoHACasa2" TargetMode="External"/><Relationship Id="rId551" Type="http://schemas.openxmlformats.org/officeDocument/2006/relationships/hyperlink" Target="https://sealeddeck.tech/zWzUrLtq4r" TargetMode="External"/><Relationship Id="rId1146" Type="http://schemas.openxmlformats.org/officeDocument/2006/relationships/hyperlink" Target="https://sealeddeck.tech/Bft5Suwd4G" TargetMode="External"/><Relationship Id="rId495" Type="http://schemas.openxmlformats.org/officeDocument/2006/relationships/hyperlink" Target="https://sealeddeck.tech/aEo16KadH6" TargetMode="External"/><Relationship Id="rId494" Type="http://schemas.openxmlformats.org/officeDocument/2006/relationships/hyperlink" Target="https://sealeddeck.tech/9KKWsjiEce" TargetMode="External"/><Relationship Id="rId493" Type="http://schemas.openxmlformats.org/officeDocument/2006/relationships/hyperlink" Target="https://sealeddeck.tech/uDNAcQG9tC" TargetMode="External"/><Relationship Id="rId492" Type="http://schemas.openxmlformats.org/officeDocument/2006/relationships/hyperlink" Target="https://sealeddeck.tech/8JjDGaJ6ZG" TargetMode="External"/><Relationship Id="rId499" Type="http://schemas.openxmlformats.org/officeDocument/2006/relationships/hyperlink" Target="https://sealeddeck.tech/fEwkQ67zAE" TargetMode="External"/><Relationship Id="rId498" Type="http://schemas.openxmlformats.org/officeDocument/2006/relationships/hyperlink" Target="https://sealeddeck.tech/nAyXwXBezc" TargetMode="External"/><Relationship Id="rId497" Type="http://schemas.openxmlformats.org/officeDocument/2006/relationships/hyperlink" Target="https://sealeddeck.tech/rVRttiq3bH" TargetMode="External"/><Relationship Id="rId496" Type="http://schemas.openxmlformats.org/officeDocument/2006/relationships/hyperlink" Target="https://sealeddeck.tech/rYuHrwqqic" TargetMode="External"/><Relationship Id="rId1610" Type="http://schemas.openxmlformats.org/officeDocument/2006/relationships/hyperlink" Target="https://sealeddeck.tech/dhpPCPL2uW" TargetMode="External"/><Relationship Id="rId1611" Type="http://schemas.openxmlformats.org/officeDocument/2006/relationships/hyperlink" Target="https://sealeddeck.tech/1YxZ2jd7bC" TargetMode="External"/><Relationship Id="rId1612" Type="http://schemas.openxmlformats.org/officeDocument/2006/relationships/hyperlink" Target="https://sealeddeck.tech/WDZpVFrPMz" TargetMode="External"/><Relationship Id="rId1613" Type="http://schemas.openxmlformats.org/officeDocument/2006/relationships/hyperlink" Target="https://sealeddeck.tech/6aUa8dpKrU" TargetMode="External"/><Relationship Id="rId1614" Type="http://schemas.openxmlformats.org/officeDocument/2006/relationships/hyperlink" Target="https://sealeddeck.tech/SD3sDq8p13" TargetMode="External"/><Relationship Id="rId1615" Type="http://schemas.openxmlformats.org/officeDocument/2006/relationships/hyperlink" Target="https://sealeddeck.tech/h8JHV2qcsz" TargetMode="External"/><Relationship Id="rId1616" Type="http://schemas.openxmlformats.org/officeDocument/2006/relationships/hyperlink" Target="https://sealeddeck.tech/xDpkRbt6hG" TargetMode="External"/><Relationship Id="rId907" Type="http://schemas.openxmlformats.org/officeDocument/2006/relationships/hyperlink" Target="https://sealeddeck.tech/rPDSuvkiX9" TargetMode="External"/><Relationship Id="rId1617" Type="http://schemas.openxmlformats.org/officeDocument/2006/relationships/hyperlink" Target="https://sealeddeck.tech/2XobuGatA7" TargetMode="External"/><Relationship Id="rId906" Type="http://schemas.openxmlformats.org/officeDocument/2006/relationships/hyperlink" Target="https://sealeddeck.tech/yZfuC6XMJh" TargetMode="External"/><Relationship Id="rId1618" Type="http://schemas.openxmlformats.org/officeDocument/2006/relationships/hyperlink" Target="https://sealeddeck.tech/2oCuDGK1Wx" TargetMode="External"/><Relationship Id="rId905" Type="http://schemas.openxmlformats.org/officeDocument/2006/relationships/hyperlink" Target="https://sealeddeck.tech/qNQ2zLB7VU" TargetMode="External"/><Relationship Id="rId1619" Type="http://schemas.openxmlformats.org/officeDocument/2006/relationships/hyperlink" Target="https://sealeddeck.tech/ySRuWtpVFM" TargetMode="External"/><Relationship Id="rId904" Type="http://schemas.openxmlformats.org/officeDocument/2006/relationships/hyperlink" Target="https://sealeddeck.tech/vBCmNLCvmy" TargetMode="External"/><Relationship Id="rId909" Type="http://schemas.openxmlformats.org/officeDocument/2006/relationships/hyperlink" Target="https://sealeddeck.tech/nLNAnq24uf" TargetMode="External"/><Relationship Id="rId908" Type="http://schemas.openxmlformats.org/officeDocument/2006/relationships/hyperlink" Target="https://sealeddeck.tech/U27fwK8oCz" TargetMode="External"/><Relationship Id="rId903" Type="http://schemas.openxmlformats.org/officeDocument/2006/relationships/hyperlink" Target="https://sealeddeck.tech/YK4o8N9dUP" TargetMode="External"/><Relationship Id="rId902" Type="http://schemas.openxmlformats.org/officeDocument/2006/relationships/hyperlink" Target="https://sealeddeck.tech/ouxJFEbwrx" TargetMode="External"/><Relationship Id="rId901" Type="http://schemas.openxmlformats.org/officeDocument/2006/relationships/hyperlink" Target="https://sealeddeck.tech/miN6DLg6WW" TargetMode="External"/><Relationship Id="rId900" Type="http://schemas.openxmlformats.org/officeDocument/2006/relationships/hyperlink" Target="https://sealeddeck.tech/eUvc6Gt7VT" TargetMode="External"/><Relationship Id="rId1600" Type="http://schemas.openxmlformats.org/officeDocument/2006/relationships/hyperlink" Target="https://sealeddeck.tech/aNxgT4cNom" TargetMode="External"/><Relationship Id="rId1601" Type="http://schemas.openxmlformats.org/officeDocument/2006/relationships/hyperlink" Target="https://sealeddeck.tech/GNnaf4MzU6" TargetMode="External"/><Relationship Id="rId1602" Type="http://schemas.openxmlformats.org/officeDocument/2006/relationships/hyperlink" Target="https://sealeddeck.tech/vNoXSpuz81" TargetMode="External"/><Relationship Id="rId1603" Type="http://schemas.openxmlformats.org/officeDocument/2006/relationships/hyperlink" Target="https://sealeddeck.tech/TQVYMQFYLt" TargetMode="External"/><Relationship Id="rId1604" Type="http://schemas.openxmlformats.org/officeDocument/2006/relationships/hyperlink" Target="https://sealeddeck.tech/ePTn3J9FCs" TargetMode="External"/><Relationship Id="rId1605" Type="http://schemas.openxmlformats.org/officeDocument/2006/relationships/hyperlink" Target="https://sealeddeck.tech/mtPvBR1uyg" TargetMode="External"/><Relationship Id="rId1606" Type="http://schemas.openxmlformats.org/officeDocument/2006/relationships/hyperlink" Target="https://sealeddeck.tech/QqJrRW1sFr" TargetMode="External"/><Relationship Id="rId1607" Type="http://schemas.openxmlformats.org/officeDocument/2006/relationships/hyperlink" Target="https://sealeddeck.tech/ZZn5YKM3gR" TargetMode="External"/><Relationship Id="rId1608" Type="http://schemas.openxmlformats.org/officeDocument/2006/relationships/hyperlink" Target="https://sealeddeck.tech/zqcXNW1uKX" TargetMode="External"/><Relationship Id="rId1609" Type="http://schemas.openxmlformats.org/officeDocument/2006/relationships/hyperlink" Target="https://sealeddeck.tech/N6K865yayY" TargetMode="External"/><Relationship Id="rId1631" Type="http://schemas.openxmlformats.org/officeDocument/2006/relationships/hyperlink" Target="https://sealeddeck.tech/rhYj9BNh5t" TargetMode="External"/><Relationship Id="rId1632" Type="http://schemas.openxmlformats.org/officeDocument/2006/relationships/hyperlink" Target="https://sealeddeck.tech/RixiN1boRg" TargetMode="External"/><Relationship Id="rId1633" Type="http://schemas.openxmlformats.org/officeDocument/2006/relationships/hyperlink" Target="https://sealeddeck.tech/RL3X3bJzY5" TargetMode="External"/><Relationship Id="rId1634" Type="http://schemas.openxmlformats.org/officeDocument/2006/relationships/hyperlink" Target="https://sealeddeck.tech/HrqxcG6ZB5" TargetMode="External"/><Relationship Id="rId1635" Type="http://schemas.openxmlformats.org/officeDocument/2006/relationships/hyperlink" Target="https://sealeddeck.tech/hJEc9zPLmY" TargetMode="External"/><Relationship Id="rId1636" Type="http://schemas.openxmlformats.org/officeDocument/2006/relationships/hyperlink" Target="https://sealeddeck.tech/MfgsSo9gyE" TargetMode="External"/><Relationship Id="rId1637" Type="http://schemas.openxmlformats.org/officeDocument/2006/relationships/hyperlink" Target="https://sealeddeck.tech/QhVrmQCn9r" TargetMode="External"/><Relationship Id="rId1638" Type="http://schemas.openxmlformats.org/officeDocument/2006/relationships/hyperlink" Target="https://sealeddeck.tech/eoQwrNvG56" TargetMode="External"/><Relationship Id="rId929" Type="http://schemas.openxmlformats.org/officeDocument/2006/relationships/hyperlink" Target="https://sealeddeck.tech/qUEqcsVzg3" TargetMode="External"/><Relationship Id="rId1639" Type="http://schemas.openxmlformats.org/officeDocument/2006/relationships/hyperlink" Target="https://sealeddeck.tech/b2YufhsrAm" TargetMode="External"/><Relationship Id="rId928" Type="http://schemas.openxmlformats.org/officeDocument/2006/relationships/hyperlink" Target="https://sealeddeck.tech/ejHHzKekgL" TargetMode="External"/><Relationship Id="rId927" Type="http://schemas.openxmlformats.org/officeDocument/2006/relationships/hyperlink" Target="https://sealeddeck.tech/eRPUX6XTyT" TargetMode="External"/><Relationship Id="rId926" Type="http://schemas.openxmlformats.org/officeDocument/2006/relationships/hyperlink" Target="https://sealeddeck.tech/HXQKZiuCBA" TargetMode="External"/><Relationship Id="rId921" Type="http://schemas.openxmlformats.org/officeDocument/2006/relationships/hyperlink" Target="https://sealeddeck.tech/21NK8qCLP8" TargetMode="External"/><Relationship Id="rId920" Type="http://schemas.openxmlformats.org/officeDocument/2006/relationships/hyperlink" Target="https://sealeddeck.tech/UYg7b2u5Gb" TargetMode="External"/><Relationship Id="rId925" Type="http://schemas.openxmlformats.org/officeDocument/2006/relationships/hyperlink" Target="https://sealeddeck.tech/mx6rcjfk4i" TargetMode="External"/><Relationship Id="rId924" Type="http://schemas.openxmlformats.org/officeDocument/2006/relationships/hyperlink" Target="https://sealeddeck.tech/yypzQjGPA1" TargetMode="External"/><Relationship Id="rId923" Type="http://schemas.openxmlformats.org/officeDocument/2006/relationships/hyperlink" Target="https://sealeddeck.tech/sJrubgKLyc" TargetMode="External"/><Relationship Id="rId922" Type="http://schemas.openxmlformats.org/officeDocument/2006/relationships/hyperlink" Target="https://sealeddeck.tech/fFVhQHNq84" TargetMode="External"/><Relationship Id="rId1630" Type="http://schemas.openxmlformats.org/officeDocument/2006/relationships/hyperlink" Target="https://sealeddeck.tech/sERKnCQkMT" TargetMode="External"/><Relationship Id="rId1620" Type="http://schemas.openxmlformats.org/officeDocument/2006/relationships/hyperlink" Target="https://sealeddeck.tech/nfyf6yaG9M" TargetMode="External"/><Relationship Id="rId1621" Type="http://schemas.openxmlformats.org/officeDocument/2006/relationships/hyperlink" Target="https://sealeddeck.tech/5DoGQbL6Rm" TargetMode="External"/><Relationship Id="rId1622" Type="http://schemas.openxmlformats.org/officeDocument/2006/relationships/hyperlink" Target="https://sealeddeck.tech/F3s537GptZ" TargetMode="External"/><Relationship Id="rId1623" Type="http://schemas.openxmlformats.org/officeDocument/2006/relationships/hyperlink" Target="https://sealeddeck.tech/FDH6DFHUpt" TargetMode="External"/><Relationship Id="rId1624" Type="http://schemas.openxmlformats.org/officeDocument/2006/relationships/hyperlink" Target="https://sealeddeck.tech/pxKNtcymkV" TargetMode="External"/><Relationship Id="rId1625" Type="http://schemas.openxmlformats.org/officeDocument/2006/relationships/hyperlink" Target="https://sealeddeck.tech/Xp1eWjSZLr" TargetMode="External"/><Relationship Id="rId1626" Type="http://schemas.openxmlformats.org/officeDocument/2006/relationships/hyperlink" Target="https://sealeddeck.tech/2dxn2Dk59b" TargetMode="External"/><Relationship Id="rId1627" Type="http://schemas.openxmlformats.org/officeDocument/2006/relationships/hyperlink" Target="https://sealeddeck.tech/Jpua7ZWdZ9" TargetMode="External"/><Relationship Id="rId918" Type="http://schemas.openxmlformats.org/officeDocument/2006/relationships/hyperlink" Target="https://sealeddeck.tech/WHTiWZ8xvL" TargetMode="External"/><Relationship Id="rId1628" Type="http://schemas.openxmlformats.org/officeDocument/2006/relationships/hyperlink" Target="https://sealeddeck.tech/gjLBbB83ny" TargetMode="External"/><Relationship Id="rId917" Type="http://schemas.openxmlformats.org/officeDocument/2006/relationships/hyperlink" Target="https://sealeddeck.tech/Dhh39ZrrhD" TargetMode="External"/><Relationship Id="rId1629" Type="http://schemas.openxmlformats.org/officeDocument/2006/relationships/hyperlink" Target="https://sealeddeck.tech/VqywArL3HK" TargetMode="External"/><Relationship Id="rId916" Type="http://schemas.openxmlformats.org/officeDocument/2006/relationships/hyperlink" Target="https://sealeddeck.tech/3SvJQ1KMW8" TargetMode="External"/><Relationship Id="rId915" Type="http://schemas.openxmlformats.org/officeDocument/2006/relationships/hyperlink" Target="https://sealeddeck.tech/a1sTaLvHYx" TargetMode="External"/><Relationship Id="rId919" Type="http://schemas.openxmlformats.org/officeDocument/2006/relationships/hyperlink" Target="https://sealeddeck.tech/uQsWKoUbYA" TargetMode="External"/><Relationship Id="rId910" Type="http://schemas.openxmlformats.org/officeDocument/2006/relationships/hyperlink" Target="https://sealeddeck.tech/Mbnq67C5At" TargetMode="External"/><Relationship Id="rId914" Type="http://schemas.openxmlformats.org/officeDocument/2006/relationships/hyperlink" Target="https://sealeddeck.tech/63JzWTvned" TargetMode="External"/><Relationship Id="rId913" Type="http://schemas.openxmlformats.org/officeDocument/2006/relationships/hyperlink" Target="https://sealeddeck.tech/Xn1GHwHghE" TargetMode="External"/><Relationship Id="rId912" Type="http://schemas.openxmlformats.org/officeDocument/2006/relationships/hyperlink" Target="https://sealeddeck.tech/2mYtcWQt4c" TargetMode="External"/><Relationship Id="rId911" Type="http://schemas.openxmlformats.org/officeDocument/2006/relationships/hyperlink" Target="https://sealeddeck.tech/M92y7Yp63M" TargetMode="External"/><Relationship Id="rId1213" Type="http://schemas.openxmlformats.org/officeDocument/2006/relationships/hyperlink" Target="https://sealeddeck.tech/kLPEYFM7YF" TargetMode="External"/><Relationship Id="rId1697" Type="http://schemas.openxmlformats.org/officeDocument/2006/relationships/hyperlink" Target="https://sealeddeck.tech/bwN1omJcwq" TargetMode="External"/><Relationship Id="rId1214" Type="http://schemas.openxmlformats.org/officeDocument/2006/relationships/hyperlink" Target="https://sealeddeck.tech/B3qDwC8JLQ" TargetMode="External"/><Relationship Id="rId1698" Type="http://schemas.openxmlformats.org/officeDocument/2006/relationships/hyperlink" Target="https://sealeddeck.tech/RbG4SnD69E" TargetMode="External"/><Relationship Id="rId1215" Type="http://schemas.openxmlformats.org/officeDocument/2006/relationships/hyperlink" Target="https://sealeddeck.tech/15CSQZ85qH" TargetMode="External"/><Relationship Id="rId1699" Type="http://schemas.openxmlformats.org/officeDocument/2006/relationships/hyperlink" Target="https://sealeddeck.tech/nWYDparuXZ" TargetMode="External"/><Relationship Id="rId1216" Type="http://schemas.openxmlformats.org/officeDocument/2006/relationships/hyperlink" Target="https://sealeddeck.tech/z8yMnF6snB" TargetMode="External"/><Relationship Id="rId1217" Type="http://schemas.openxmlformats.org/officeDocument/2006/relationships/hyperlink" Target="https://sealeddeck.tech/9PFUzppj1n" TargetMode="External"/><Relationship Id="rId1218" Type="http://schemas.openxmlformats.org/officeDocument/2006/relationships/hyperlink" Target="https://sealeddeck.tech/3NJfKASamq" TargetMode="External"/><Relationship Id="rId1219" Type="http://schemas.openxmlformats.org/officeDocument/2006/relationships/hyperlink" Target="https://sealeddeck.tech/T8VaYYybYx" TargetMode="External"/><Relationship Id="rId866" Type="http://schemas.openxmlformats.org/officeDocument/2006/relationships/hyperlink" Target="https://sealeddeck.tech/iL44Lr3wzV" TargetMode="External"/><Relationship Id="rId865" Type="http://schemas.openxmlformats.org/officeDocument/2006/relationships/hyperlink" Target="https://sealeddeck.tech/GQ2eWoE7Ds" TargetMode="External"/><Relationship Id="rId864" Type="http://schemas.openxmlformats.org/officeDocument/2006/relationships/hyperlink" Target="https://sealeddeck.tech/ayYnRqS5ig" TargetMode="External"/><Relationship Id="rId863" Type="http://schemas.openxmlformats.org/officeDocument/2006/relationships/hyperlink" Target="https://sealeddeck.tech/ogZo2dR26q" TargetMode="External"/><Relationship Id="rId869" Type="http://schemas.openxmlformats.org/officeDocument/2006/relationships/hyperlink" Target="https://sealeddeck.tech/ukJbwpPNgt" TargetMode="External"/><Relationship Id="rId868" Type="http://schemas.openxmlformats.org/officeDocument/2006/relationships/hyperlink" Target="https://sealeddeck.tech/vzSAN5whPy" TargetMode="External"/><Relationship Id="rId867" Type="http://schemas.openxmlformats.org/officeDocument/2006/relationships/hyperlink" Target="https://sealeddeck.tech/AxSaF9B37t" TargetMode="External"/><Relationship Id="rId1690" Type="http://schemas.openxmlformats.org/officeDocument/2006/relationships/hyperlink" Target="https://sealeddeck.tech/TLeccUi5fz" TargetMode="External"/><Relationship Id="rId1691" Type="http://schemas.openxmlformats.org/officeDocument/2006/relationships/hyperlink" Target="https://sealeddeck.tech/jDW3svuPDy" TargetMode="External"/><Relationship Id="rId1692" Type="http://schemas.openxmlformats.org/officeDocument/2006/relationships/hyperlink" Target="https://sealeddeck.tech/Yp24H2KcSx" TargetMode="External"/><Relationship Id="rId862" Type="http://schemas.openxmlformats.org/officeDocument/2006/relationships/hyperlink" Target="https://sealeddeck.tech/13c3dxbrQx" TargetMode="External"/><Relationship Id="rId1693" Type="http://schemas.openxmlformats.org/officeDocument/2006/relationships/hyperlink" Target="https://sealeddeck.tech/LrBTeSffTg" TargetMode="External"/><Relationship Id="rId861" Type="http://schemas.openxmlformats.org/officeDocument/2006/relationships/hyperlink" Target="https://sealeddeck.tech/Advuc3SKLx" TargetMode="External"/><Relationship Id="rId1210" Type="http://schemas.openxmlformats.org/officeDocument/2006/relationships/hyperlink" Target="https://sealeddeck.tech/BJ2eYNyyN6" TargetMode="External"/><Relationship Id="rId1694" Type="http://schemas.openxmlformats.org/officeDocument/2006/relationships/hyperlink" Target="https://sealeddeck.tech/HuseXi4q41" TargetMode="External"/><Relationship Id="rId860" Type="http://schemas.openxmlformats.org/officeDocument/2006/relationships/hyperlink" Target="https://sealeddeck.tech/XTGxdKQGVV" TargetMode="External"/><Relationship Id="rId1211" Type="http://schemas.openxmlformats.org/officeDocument/2006/relationships/hyperlink" Target="https://sealeddeck.tech/kyqe6g7z1N" TargetMode="External"/><Relationship Id="rId1695" Type="http://schemas.openxmlformats.org/officeDocument/2006/relationships/hyperlink" Target="https://sealeddeck.tech/rqLzWaz9wD" TargetMode="External"/><Relationship Id="rId1212" Type="http://schemas.openxmlformats.org/officeDocument/2006/relationships/hyperlink" Target="https://sealeddeck.tech/S7YXaV6V6w" TargetMode="External"/><Relationship Id="rId1696" Type="http://schemas.openxmlformats.org/officeDocument/2006/relationships/hyperlink" Target="https://sealeddeck.tech/xXjx9AE5vi" TargetMode="External"/><Relationship Id="rId1202" Type="http://schemas.openxmlformats.org/officeDocument/2006/relationships/hyperlink" Target="https://sealeddeck.tech/np9Dse5uDC" TargetMode="External"/><Relationship Id="rId1686" Type="http://schemas.openxmlformats.org/officeDocument/2006/relationships/hyperlink" Target="https://sealeddeck.tech/t3zGc7Mqra" TargetMode="External"/><Relationship Id="rId1203" Type="http://schemas.openxmlformats.org/officeDocument/2006/relationships/hyperlink" Target="https://sealeddeck.tech/wPhSxZiosp" TargetMode="External"/><Relationship Id="rId1687" Type="http://schemas.openxmlformats.org/officeDocument/2006/relationships/hyperlink" Target="https://sealeddeck.tech/zsG1b4BDDq" TargetMode="External"/><Relationship Id="rId1204" Type="http://schemas.openxmlformats.org/officeDocument/2006/relationships/hyperlink" Target="https://sealeddeck.tech/ZczXLN8V4F" TargetMode="External"/><Relationship Id="rId1688" Type="http://schemas.openxmlformats.org/officeDocument/2006/relationships/hyperlink" Target="https://sealeddeck.tech/47omjZntka" TargetMode="External"/><Relationship Id="rId1205" Type="http://schemas.openxmlformats.org/officeDocument/2006/relationships/hyperlink" Target="https://sealeddeck.tech/8A4aFnqn6X" TargetMode="External"/><Relationship Id="rId1689" Type="http://schemas.openxmlformats.org/officeDocument/2006/relationships/hyperlink" Target="https://sealeddeck.tech/bze3FeKhhr" TargetMode="External"/><Relationship Id="rId1206" Type="http://schemas.openxmlformats.org/officeDocument/2006/relationships/hyperlink" Target="https://sealeddeck.tech/PDiAaucN4P" TargetMode="External"/><Relationship Id="rId1207" Type="http://schemas.openxmlformats.org/officeDocument/2006/relationships/hyperlink" Target="https://sealeddeck.tech/7ax8yzqBi7" TargetMode="External"/><Relationship Id="rId1208" Type="http://schemas.openxmlformats.org/officeDocument/2006/relationships/hyperlink" Target="https://sealeddeck.tech/Ht3aBUVVtf" TargetMode="External"/><Relationship Id="rId1209" Type="http://schemas.openxmlformats.org/officeDocument/2006/relationships/hyperlink" Target="https://sealeddeck.tech/c8bvRqwEhM" TargetMode="External"/><Relationship Id="rId855" Type="http://schemas.openxmlformats.org/officeDocument/2006/relationships/hyperlink" Target="https://sealeddeck.tech/EmBeYhaeXe" TargetMode="External"/><Relationship Id="rId854" Type="http://schemas.openxmlformats.org/officeDocument/2006/relationships/hyperlink" Target="https://sealeddeck.tech/LYjyxowjjB" TargetMode="External"/><Relationship Id="rId853" Type="http://schemas.openxmlformats.org/officeDocument/2006/relationships/hyperlink" Target="https://sealeddeck.tech/rqVSMWgvG7" TargetMode="External"/><Relationship Id="rId852" Type="http://schemas.openxmlformats.org/officeDocument/2006/relationships/hyperlink" Target="https://sealeddeck.tech/zkJHFsXdej" TargetMode="External"/><Relationship Id="rId859" Type="http://schemas.openxmlformats.org/officeDocument/2006/relationships/hyperlink" Target="https://sealeddeck.tech/FWAVgSnJ75" TargetMode="External"/><Relationship Id="rId858" Type="http://schemas.openxmlformats.org/officeDocument/2006/relationships/hyperlink" Target="https://sealeddeck.tech/e3M6zw7BNB" TargetMode="External"/><Relationship Id="rId857" Type="http://schemas.openxmlformats.org/officeDocument/2006/relationships/hyperlink" Target="https://sealeddeck.tech/BoDqZBSY7E" TargetMode="External"/><Relationship Id="rId856" Type="http://schemas.openxmlformats.org/officeDocument/2006/relationships/hyperlink" Target="https://sealeddeck.tech/SbN8YHA1Gv" TargetMode="External"/><Relationship Id="rId1680" Type="http://schemas.openxmlformats.org/officeDocument/2006/relationships/hyperlink" Target="https://sealeddeck.tech/XYcyGVGu8N" TargetMode="External"/><Relationship Id="rId1681" Type="http://schemas.openxmlformats.org/officeDocument/2006/relationships/hyperlink" Target="https://sealeddeck.tech/GePf2kRLAh" TargetMode="External"/><Relationship Id="rId851" Type="http://schemas.openxmlformats.org/officeDocument/2006/relationships/hyperlink" Target="https://sealeddeck.tech/wik8nbMFDY" TargetMode="External"/><Relationship Id="rId1682" Type="http://schemas.openxmlformats.org/officeDocument/2006/relationships/hyperlink" Target="https://sealeddeck.tech/U3yfHVT3az" TargetMode="External"/><Relationship Id="rId850" Type="http://schemas.openxmlformats.org/officeDocument/2006/relationships/hyperlink" Target="https://sealeddeck.tech/FF48ku2wKn" TargetMode="External"/><Relationship Id="rId1683" Type="http://schemas.openxmlformats.org/officeDocument/2006/relationships/hyperlink" Target="https://sealeddeck.tech/7HsL1FZHhK" TargetMode="External"/><Relationship Id="rId1200" Type="http://schemas.openxmlformats.org/officeDocument/2006/relationships/hyperlink" Target="https://sealeddeck.tech/PSMfHSmoAf" TargetMode="External"/><Relationship Id="rId1684" Type="http://schemas.openxmlformats.org/officeDocument/2006/relationships/hyperlink" Target="https://sealeddeck.tech/SRXxR3Wrvh" TargetMode="External"/><Relationship Id="rId1201" Type="http://schemas.openxmlformats.org/officeDocument/2006/relationships/hyperlink" Target="https://sealeddeck.tech/YQwia4QZXq" TargetMode="External"/><Relationship Id="rId1685" Type="http://schemas.openxmlformats.org/officeDocument/2006/relationships/hyperlink" Target="https://sealeddeck.tech/2tQ1sZamA3" TargetMode="External"/><Relationship Id="rId1235" Type="http://schemas.openxmlformats.org/officeDocument/2006/relationships/hyperlink" Target="https://sealeddeck.tech/cT4zrPM4wk" TargetMode="External"/><Relationship Id="rId1236" Type="http://schemas.openxmlformats.org/officeDocument/2006/relationships/hyperlink" Target="https://sealeddeck.tech/bcPjKbntLH" TargetMode="External"/><Relationship Id="rId1237" Type="http://schemas.openxmlformats.org/officeDocument/2006/relationships/hyperlink" Target="https://sealeddeck.tech/jyp3MPGz4J" TargetMode="External"/><Relationship Id="rId1238" Type="http://schemas.openxmlformats.org/officeDocument/2006/relationships/hyperlink" Target="https://sealeddeck.tech/U7i6Ckd7zd" TargetMode="External"/><Relationship Id="rId1239" Type="http://schemas.openxmlformats.org/officeDocument/2006/relationships/hyperlink" Target="https://sealeddeck.tech/N2v9LXhZPd" TargetMode="External"/><Relationship Id="rId409" Type="http://schemas.openxmlformats.org/officeDocument/2006/relationships/hyperlink" Target="https://sealeddeck.tech/n8TiTLzh9U" TargetMode="External"/><Relationship Id="rId404" Type="http://schemas.openxmlformats.org/officeDocument/2006/relationships/hyperlink" Target="https://sealeddeck.tech/3nA9S6cBQu" TargetMode="External"/><Relationship Id="rId888" Type="http://schemas.openxmlformats.org/officeDocument/2006/relationships/hyperlink" Target="https://sealeddeck.tech/K7fSx5bySB" TargetMode="External"/><Relationship Id="rId403" Type="http://schemas.openxmlformats.org/officeDocument/2006/relationships/hyperlink" Target="https://sealeddeck.tech/GAVqfU8Uok" TargetMode="External"/><Relationship Id="rId887" Type="http://schemas.openxmlformats.org/officeDocument/2006/relationships/hyperlink" Target="https://sealeddeck.tech/F4cEcLzEjR" TargetMode="External"/><Relationship Id="rId402" Type="http://schemas.openxmlformats.org/officeDocument/2006/relationships/hyperlink" Target="https://sealeddeck.tech/W9gvvnYCuy" TargetMode="External"/><Relationship Id="rId886" Type="http://schemas.openxmlformats.org/officeDocument/2006/relationships/hyperlink" Target="https://sealeddeck.tech/VJxaWzyPuX" TargetMode="External"/><Relationship Id="rId401" Type="http://schemas.openxmlformats.org/officeDocument/2006/relationships/hyperlink" Target="https://sealeddeck.tech/NX43X4WtoE" TargetMode="External"/><Relationship Id="rId885" Type="http://schemas.openxmlformats.org/officeDocument/2006/relationships/hyperlink" Target="https://sealeddeck.tech/hj7qFSYV8V" TargetMode="External"/><Relationship Id="rId408" Type="http://schemas.openxmlformats.org/officeDocument/2006/relationships/hyperlink" Target="https://sealeddeck.tech/Z7CRxUASCu" TargetMode="External"/><Relationship Id="rId407" Type="http://schemas.openxmlformats.org/officeDocument/2006/relationships/hyperlink" Target="https://sealeddeck.tech/ipHhgzXSGn" TargetMode="External"/><Relationship Id="rId406" Type="http://schemas.openxmlformats.org/officeDocument/2006/relationships/hyperlink" Target="https://sealeddeck.tech/P3j49ozUKr" TargetMode="External"/><Relationship Id="rId405" Type="http://schemas.openxmlformats.org/officeDocument/2006/relationships/hyperlink" Target="https://sealeddeck.tech/wuFwwP4yVW" TargetMode="External"/><Relationship Id="rId889" Type="http://schemas.openxmlformats.org/officeDocument/2006/relationships/hyperlink" Target="https://sealeddeck.tech/jPQVkm257F" TargetMode="External"/><Relationship Id="rId880" Type="http://schemas.openxmlformats.org/officeDocument/2006/relationships/hyperlink" Target="https://sealeddeck.tech/BsWLNT914h" TargetMode="External"/><Relationship Id="rId1230" Type="http://schemas.openxmlformats.org/officeDocument/2006/relationships/hyperlink" Target="https://sealeddeck.tech/uqzWe7AGDr" TargetMode="External"/><Relationship Id="rId400" Type="http://schemas.openxmlformats.org/officeDocument/2006/relationships/hyperlink" Target="https://sealeddeck.tech/KnerF6qGto" TargetMode="External"/><Relationship Id="rId884" Type="http://schemas.openxmlformats.org/officeDocument/2006/relationships/hyperlink" Target="https://sealeddeck.tech/2nuuBZAvvz" TargetMode="External"/><Relationship Id="rId1231" Type="http://schemas.openxmlformats.org/officeDocument/2006/relationships/hyperlink" Target="https://sealeddeck.tech/usLcRarA82" TargetMode="External"/><Relationship Id="rId883" Type="http://schemas.openxmlformats.org/officeDocument/2006/relationships/hyperlink" Target="https://sealeddeck.tech/Kh7EL4mvcu" TargetMode="External"/><Relationship Id="rId1232" Type="http://schemas.openxmlformats.org/officeDocument/2006/relationships/hyperlink" Target="https://sealeddeck.tech/baMEc9TRCU" TargetMode="External"/><Relationship Id="rId882" Type="http://schemas.openxmlformats.org/officeDocument/2006/relationships/hyperlink" Target="https://sealeddeck.tech/pa7sc5L3DE" TargetMode="External"/><Relationship Id="rId1233" Type="http://schemas.openxmlformats.org/officeDocument/2006/relationships/hyperlink" Target="https://sealeddeck.tech/tiXqBAAcNB" TargetMode="External"/><Relationship Id="rId881" Type="http://schemas.openxmlformats.org/officeDocument/2006/relationships/hyperlink" Target="https://sealeddeck.tech/mBGgVdbjRJ" TargetMode="External"/><Relationship Id="rId1234" Type="http://schemas.openxmlformats.org/officeDocument/2006/relationships/hyperlink" Target="https://sealeddeck.tech/bw4Hjn3Bst" TargetMode="External"/><Relationship Id="rId1224" Type="http://schemas.openxmlformats.org/officeDocument/2006/relationships/hyperlink" Target="https://sealeddeck.tech/rwoK7xonj5" TargetMode="External"/><Relationship Id="rId1225" Type="http://schemas.openxmlformats.org/officeDocument/2006/relationships/hyperlink" Target="https://sealeddeck.tech/Yghr4pNwvu" TargetMode="External"/><Relationship Id="rId1226" Type="http://schemas.openxmlformats.org/officeDocument/2006/relationships/hyperlink" Target="https://sealeddeck.tech/WWochZf46h" TargetMode="External"/><Relationship Id="rId1227" Type="http://schemas.openxmlformats.org/officeDocument/2006/relationships/hyperlink" Target="https://sealeddeck.tech/uiTZBkwxv3" TargetMode="External"/><Relationship Id="rId1228" Type="http://schemas.openxmlformats.org/officeDocument/2006/relationships/hyperlink" Target="https://sealeddeck.tech/pEyHDFz6CA" TargetMode="External"/><Relationship Id="rId1229" Type="http://schemas.openxmlformats.org/officeDocument/2006/relationships/hyperlink" Target="https://sealeddeck.tech/asf3ViSJNp" TargetMode="External"/><Relationship Id="rId877" Type="http://schemas.openxmlformats.org/officeDocument/2006/relationships/hyperlink" Target="https://sealeddeck.tech/BKPLcKguks" TargetMode="External"/><Relationship Id="rId876" Type="http://schemas.openxmlformats.org/officeDocument/2006/relationships/hyperlink" Target="https://sealeddeck.tech/kwvZJcdvdd" TargetMode="External"/><Relationship Id="rId875" Type="http://schemas.openxmlformats.org/officeDocument/2006/relationships/hyperlink" Target="https://sealeddeck.tech/ptVNSaM7ic" TargetMode="External"/><Relationship Id="rId874" Type="http://schemas.openxmlformats.org/officeDocument/2006/relationships/hyperlink" Target="https://sealeddeck.tech/ZtZXrwvLj9" TargetMode="External"/><Relationship Id="rId879" Type="http://schemas.openxmlformats.org/officeDocument/2006/relationships/hyperlink" Target="https://sealeddeck.tech/uJ454HyNLq" TargetMode="External"/><Relationship Id="rId878" Type="http://schemas.openxmlformats.org/officeDocument/2006/relationships/hyperlink" Target="https://sealeddeck.tech/2YyeJZa1iG" TargetMode="External"/><Relationship Id="rId873" Type="http://schemas.openxmlformats.org/officeDocument/2006/relationships/hyperlink" Target="https://sealeddeck.tech/FWe1wbCMSH" TargetMode="External"/><Relationship Id="rId1220" Type="http://schemas.openxmlformats.org/officeDocument/2006/relationships/hyperlink" Target="https://sealeddeck.tech/X8uA6EZPbW" TargetMode="External"/><Relationship Id="rId872" Type="http://schemas.openxmlformats.org/officeDocument/2006/relationships/hyperlink" Target="https://sealeddeck.tech/SmSQWVjFCw" TargetMode="External"/><Relationship Id="rId1221" Type="http://schemas.openxmlformats.org/officeDocument/2006/relationships/hyperlink" Target="https://sealeddeck.tech/DZ4h4MVwuE" TargetMode="External"/><Relationship Id="rId871" Type="http://schemas.openxmlformats.org/officeDocument/2006/relationships/hyperlink" Target="https://sealeddeck.tech/hzYDPVG8wk" TargetMode="External"/><Relationship Id="rId1222" Type="http://schemas.openxmlformats.org/officeDocument/2006/relationships/hyperlink" Target="https://sealeddeck.tech/8nEHRggjU5" TargetMode="External"/><Relationship Id="rId870" Type="http://schemas.openxmlformats.org/officeDocument/2006/relationships/hyperlink" Target="https://sealeddeck.tech/5knuZsnj7b" TargetMode="External"/><Relationship Id="rId1223" Type="http://schemas.openxmlformats.org/officeDocument/2006/relationships/hyperlink" Target="https://sealeddeck.tech/b16KJjumRT" TargetMode="External"/><Relationship Id="rId1653" Type="http://schemas.openxmlformats.org/officeDocument/2006/relationships/hyperlink" Target="https://sealeddeck.tech/ijg6EGXXAZ" TargetMode="External"/><Relationship Id="rId1654" Type="http://schemas.openxmlformats.org/officeDocument/2006/relationships/hyperlink" Target="https://sealeddeck.tech/obBYcdSukE" TargetMode="External"/><Relationship Id="rId1655" Type="http://schemas.openxmlformats.org/officeDocument/2006/relationships/hyperlink" Target="https://sealeddeck.tech/oXPgXK2wS1" TargetMode="External"/><Relationship Id="rId1656" Type="http://schemas.openxmlformats.org/officeDocument/2006/relationships/hyperlink" Target="https://sealeddeck.tech/SB98xndNh1" TargetMode="External"/><Relationship Id="rId1657" Type="http://schemas.openxmlformats.org/officeDocument/2006/relationships/hyperlink" Target="https://sealeddeck.tech/5pBfSEWGjJ" TargetMode="External"/><Relationship Id="rId1658" Type="http://schemas.openxmlformats.org/officeDocument/2006/relationships/hyperlink" Target="https://sealeddeck.tech/d9VLiAyxQU" TargetMode="External"/><Relationship Id="rId1659" Type="http://schemas.openxmlformats.org/officeDocument/2006/relationships/hyperlink" Target="https://sealeddeck.tech/SHk8VdjBtd" TargetMode="External"/><Relationship Id="rId829" Type="http://schemas.openxmlformats.org/officeDocument/2006/relationships/hyperlink" Target="https://sealeddeck.tech/VCJRVkeGdr" TargetMode="External"/><Relationship Id="rId828" Type="http://schemas.openxmlformats.org/officeDocument/2006/relationships/hyperlink" Target="https://sealeddeck.tech/nnF3PBeJVo" TargetMode="External"/><Relationship Id="rId827" Type="http://schemas.openxmlformats.org/officeDocument/2006/relationships/hyperlink" Target="https://sealeddeck.tech/an6PP4AKvm" TargetMode="External"/><Relationship Id="rId822" Type="http://schemas.openxmlformats.org/officeDocument/2006/relationships/hyperlink" Target="https://sealeddeck.tech/KqvHxaUzvF" TargetMode="External"/><Relationship Id="rId821" Type="http://schemas.openxmlformats.org/officeDocument/2006/relationships/hyperlink" Target="https://sealeddeck.tech/t7LtyHE1hq" TargetMode="External"/><Relationship Id="rId820" Type="http://schemas.openxmlformats.org/officeDocument/2006/relationships/hyperlink" Target="https://sealeddeck.tech/VFLTpV4wP6" TargetMode="External"/><Relationship Id="rId826" Type="http://schemas.openxmlformats.org/officeDocument/2006/relationships/hyperlink" Target="https://sealeddeck.tech/HPFu3YBYXU" TargetMode="External"/><Relationship Id="rId825" Type="http://schemas.openxmlformats.org/officeDocument/2006/relationships/hyperlink" Target="https://sealeddeck.tech/UCBe5DFtGA" TargetMode="External"/><Relationship Id="rId824" Type="http://schemas.openxmlformats.org/officeDocument/2006/relationships/hyperlink" Target="https://sealeddeck.tech/fDFkGeLdXg" TargetMode="External"/><Relationship Id="rId823" Type="http://schemas.openxmlformats.org/officeDocument/2006/relationships/hyperlink" Target="https://sealeddeck.tech/GNaQFcPGfJ" TargetMode="External"/><Relationship Id="rId1650" Type="http://schemas.openxmlformats.org/officeDocument/2006/relationships/hyperlink" Target="https://sealeddeck.tech/5rmZXghd65" TargetMode="External"/><Relationship Id="rId1651" Type="http://schemas.openxmlformats.org/officeDocument/2006/relationships/hyperlink" Target="https://sealeddeck.tech/yseEaiWyMS" TargetMode="External"/><Relationship Id="rId1652" Type="http://schemas.openxmlformats.org/officeDocument/2006/relationships/hyperlink" Target="https://sealeddeck.tech/uLe7oWU5Su" TargetMode="External"/><Relationship Id="rId1642" Type="http://schemas.openxmlformats.org/officeDocument/2006/relationships/hyperlink" Target="https://sealeddeck.tech/3BAYhAJESv" TargetMode="External"/><Relationship Id="rId1643" Type="http://schemas.openxmlformats.org/officeDocument/2006/relationships/hyperlink" Target="https://sealeddeck.tech/jU4zMeWu2r" TargetMode="External"/><Relationship Id="rId1644" Type="http://schemas.openxmlformats.org/officeDocument/2006/relationships/hyperlink" Target="https://sealeddeck.tech/J4r42xVZYp" TargetMode="External"/><Relationship Id="rId1645" Type="http://schemas.openxmlformats.org/officeDocument/2006/relationships/hyperlink" Target="https://sealeddeck.tech/eU8ZkTh7h4" TargetMode="External"/><Relationship Id="rId1646" Type="http://schemas.openxmlformats.org/officeDocument/2006/relationships/hyperlink" Target="https://sealeddeck.tech/xUKLk47LSB" TargetMode="External"/><Relationship Id="rId1647" Type="http://schemas.openxmlformats.org/officeDocument/2006/relationships/hyperlink" Target="https://sealeddeck.tech/E54M63hqEn" TargetMode="External"/><Relationship Id="rId1648" Type="http://schemas.openxmlformats.org/officeDocument/2006/relationships/hyperlink" Target="https://sealeddeck.tech/jCY1Meizi9" TargetMode="External"/><Relationship Id="rId1649" Type="http://schemas.openxmlformats.org/officeDocument/2006/relationships/hyperlink" Target="https://sealeddeck.tech/RHbtM1GMWj" TargetMode="External"/><Relationship Id="rId819" Type="http://schemas.openxmlformats.org/officeDocument/2006/relationships/hyperlink" Target="https://sealeddeck.tech/KFbdDgm9gp" TargetMode="External"/><Relationship Id="rId818" Type="http://schemas.openxmlformats.org/officeDocument/2006/relationships/hyperlink" Target="https://sealeddeck.tech/MzEiUwAVen" TargetMode="External"/><Relationship Id="rId817" Type="http://schemas.openxmlformats.org/officeDocument/2006/relationships/hyperlink" Target="https://sealeddeck.tech/92ZFeffB1p" TargetMode="External"/><Relationship Id="rId816" Type="http://schemas.openxmlformats.org/officeDocument/2006/relationships/hyperlink" Target="https://sealeddeck.tech/1WvcoTzH8S" TargetMode="External"/><Relationship Id="rId811" Type="http://schemas.openxmlformats.org/officeDocument/2006/relationships/hyperlink" Target="https://sealeddeck.tech/NEZZm8b7XZ" TargetMode="External"/><Relationship Id="rId810" Type="http://schemas.openxmlformats.org/officeDocument/2006/relationships/hyperlink" Target="https://sealeddeck.tech/22oEain6WS" TargetMode="External"/><Relationship Id="rId815" Type="http://schemas.openxmlformats.org/officeDocument/2006/relationships/hyperlink" Target="https://sealeddeck.tech/TthYym5w6K" TargetMode="External"/><Relationship Id="rId814" Type="http://schemas.openxmlformats.org/officeDocument/2006/relationships/hyperlink" Target="https://sealeddeck.tech/PAgiNpwR1H" TargetMode="External"/><Relationship Id="rId813" Type="http://schemas.openxmlformats.org/officeDocument/2006/relationships/hyperlink" Target="https://sealeddeck.tech/8NbAe6YntS" TargetMode="External"/><Relationship Id="rId812" Type="http://schemas.openxmlformats.org/officeDocument/2006/relationships/hyperlink" Target="https://sealeddeck.tech/jjCWSFkEaM" TargetMode="External"/><Relationship Id="rId1640" Type="http://schemas.openxmlformats.org/officeDocument/2006/relationships/hyperlink" Target="https://sealeddeck.tech/BxRrBazcBw" TargetMode="External"/><Relationship Id="rId1641" Type="http://schemas.openxmlformats.org/officeDocument/2006/relationships/hyperlink" Target="https://sealeddeck.tech/8Pxbaa8jpC" TargetMode="External"/><Relationship Id="rId1675" Type="http://schemas.openxmlformats.org/officeDocument/2006/relationships/hyperlink" Target="https://sealeddeck.tech/oQmtM3rhXB" TargetMode="External"/><Relationship Id="rId1676" Type="http://schemas.openxmlformats.org/officeDocument/2006/relationships/hyperlink" Target="https://sealeddeck.tech/1TG5cYhHnR" TargetMode="External"/><Relationship Id="rId1677" Type="http://schemas.openxmlformats.org/officeDocument/2006/relationships/hyperlink" Target="https://sealeddeck.tech/HWjBskGCou" TargetMode="External"/><Relationship Id="rId1678" Type="http://schemas.openxmlformats.org/officeDocument/2006/relationships/hyperlink" Target="https://sealeddeck.tech/yx7WjPGc44" TargetMode="External"/><Relationship Id="rId1679" Type="http://schemas.openxmlformats.org/officeDocument/2006/relationships/hyperlink" Target="https://sealeddeck.tech/nnayh67Cuo" TargetMode="External"/><Relationship Id="rId849" Type="http://schemas.openxmlformats.org/officeDocument/2006/relationships/hyperlink" Target="https://sealeddeck.tech/un4BrJCdeX" TargetMode="External"/><Relationship Id="rId844" Type="http://schemas.openxmlformats.org/officeDocument/2006/relationships/hyperlink" Target="https://sealeddeck.tech/2qQi7PVJR4" TargetMode="External"/><Relationship Id="rId843" Type="http://schemas.openxmlformats.org/officeDocument/2006/relationships/hyperlink" Target="https://sealeddeck.tech/EPRDznQC3g" TargetMode="External"/><Relationship Id="rId842" Type="http://schemas.openxmlformats.org/officeDocument/2006/relationships/hyperlink" Target="https://sealeddeck.tech/QwaxvBhv2v" TargetMode="External"/><Relationship Id="rId841" Type="http://schemas.openxmlformats.org/officeDocument/2006/relationships/hyperlink" Target="https://sealeddeck.tech/nHcagGmSdK" TargetMode="External"/><Relationship Id="rId848" Type="http://schemas.openxmlformats.org/officeDocument/2006/relationships/hyperlink" Target="https://sealeddeck.tech/eBdtivNikS" TargetMode="External"/><Relationship Id="rId847" Type="http://schemas.openxmlformats.org/officeDocument/2006/relationships/hyperlink" Target="https://sealeddeck.tech/hAheu9mNxs" TargetMode="External"/><Relationship Id="rId846" Type="http://schemas.openxmlformats.org/officeDocument/2006/relationships/hyperlink" Target="https://sealeddeck.tech/StBeFdHB3s" TargetMode="External"/><Relationship Id="rId845" Type="http://schemas.openxmlformats.org/officeDocument/2006/relationships/hyperlink" Target="https://sealeddeck.tech/UdK5K5SoE8" TargetMode="External"/><Relationship Id="rId1670" Type="http://schemas.openxmlformats.org/officeDocument/2006/relationships/hyperlink" Target="https://sealeddeck.tech/CpKNGG7mYo" TargetMode="External"/><Relationship Id="rId840" Type="http://schemas.openxmlformats.org/officeDocument/2006/relationships/hyperlink" Target="https://sealeddeck.tech/2bNqkx79m3" TargetMode="External"/><Relationship Id="rId1671" Type="http://schemas.openxmlformats.org/officeDocument/2006/relationships/hyperlink" Target="https://sealeddeck.tech/RwMyZtpucJ" TargetMode="External"/><Relationship Id="rId1672" Type="http://schemas.openxmlformats.org/officeDocument/2006/relationships/hyperlink" Target="https://sealeddeck.tech/PEeeeVwJ9v" TargetMode="External"/><Relationship Id="rId1673" Type="http://schemas.openxmlformats.org/officeDocument/2006/relationships/hyperlink" Target="https://sealeddeck.tech/pMwCz16sUA" TargetMode="External"/><Relationship Id="rId1674" Type="http://schemas.openxmlformats.org/officeDocument/2006/relationships/hyperlink" Target="https://sealeddeck.tech/7XoVNcWtXN" TargetMode="External"/><Relationship Id="rId1664" Type="http://schemas.openxmlformats.org/officeDocument/2006/relationships/hyperlink" Target="https://sealeddeck.tech/RXPLbgtiRt" TargetMode="External"/><Relationship Id="rId1665" Type="http://schemas.openxmlformats.org/officeDocument/2006/relationships/hyperlink" Target="https://sealeddeck.tech/UFwUfoP55R" TargetMode="External"/><Relationship Id="rId1666" Type="http://schemas.openxmlformats.org/officeDocument/2006/relationships/hyperlink" Target="https://sealeddeck.tech/FtnKNijMgz" TargetMode="External"/><Relationship Id="rId1667" Type="http://schemas.openxmlformats.org/officeDocument/2006/relationships/hyperlink" Target="https://sealeddeck.tech/itjxaf8CPT" TargetMode="External"/><Relationship Id="rId1668" Type="http://schemas.openxmlformats.org/officeDocument/2006/relationships/hyperlink" Target="https://sealeddeck.tech/DiXFvDAJPd" TargetMode="External"/><Relationship Id="rId1669" Type="http://schemas.openxmlformats.org/officeDocument/2006/relationships/hyperlink" Target="https://sealeddeck.tech/y4EXEBf8xk" TargetMode="External"/><Relationship Id="rId839" Type="http://schemas.openxmlformats.org/officeDocument/2006/relationships/hyperlink" Target="https://sealeddeck.tech/rhNE26zHL1" TargetMode="External"/><Relationship Id="rId838" Type="http://schemas.openxmlformats.org/officeDocument/2006/relationships/hyperlink" Target="https://sealeddeck.tech/yHmDV84xjm" TargetMode="External"/><Relationship Id="rId833" Type="http://schemas.openxmlformats.org/officeDocument/2006/relationships/hyperlink" Target="https://sealeddeck.tech/um4pNkHdkP" TargetMode="External"/><Relationship Id="rId832" Type="http://schemas.openxmlformats.org/officeDocument/2006/relationships/hyperlink" Target="https://sealeddeck.tech/v3ZuGnoBTz" TargetMode="External"/><Relationship Id="rId831" Type="http://schemas.openxmlformats.org/officeDocument/2006/relationships/hyperlink" Target="https://sealeddeck.tech/rB9CncKmYt" TargetMode="External"/><Relationship Id="rId830" Type="http://schemas.openxmlformats.org/officeDocument/2006/relationships/hyperlink" Target="https://sealeddeck.tech/roj54upVdg" TargetMode="External"/><Relationship Id="rId837" Type="http://schemas.openxmlformats.org/officeDocument/2006/relationships/hyperlink" Target="https://sealeddeck.tech/36XjpoadoN" TargetMode="External"/><Relationship Id="rId836" Type="http://schemas.openxmlformats.org/officeDocument/2006/relationships/hyperlink" Target="https://sealeddeck.tech/76LBveG9uk" TargetMode="External"/><Relationship Id="rId835" Type="http://schemas.openxmlformats.org/officeDocument/2006/relationships/hyperlink" Target="https://sealeddeck.tech/bGXbqGk2sf" TargetMode="External"/><Relationship Id="rId834" Type="http://schemas.openxmlformats.org/officeDocument/2006/relationships/hyperlink" Target="https://sealeddeck.tech/yYfTSZ7a1g" TargetMode="External"/><Relationship Id="rId1660" Type="http://schemas.openxmlformats.org/officeDocument/2006/relationships/hyperlink" Target="https://sealeddeck.tech/63Jb9X5tpk" TargetMode="External"/><Relationship Id="rId1661" Type="http://schemas.openxmlformats.org/officeDocument/2006/relationships/hyperlink" Target="https://sealeddeck.tech/EffhiNJSqr" TargetMode="External"/><Relationship Id="rId1662" Type="http://schemas.openxmlformats.org/officeDocument/2006/relationships/hyperlink" Target="https://sealeddeck.tech/t7JgopqsYn" TargetMode="External"/><Relationship Id="rId1663" Type="http://schemas.openxmlformats.org/officeDocument/2006/relationships/hyperlink" Target="https://sealeddeck.tech/jHUAP5H4zD" TargetMode="External"/><Relationship Id="rId469" Type="http://schemas.openxmlformats.org/officeDocument/2006/relationships/hyperlink" Target="https://sealeddeck.tech/2RWyjSndyy" TargetMode="External"/><Relationship Id="rId468" Type="http://schemas.openxmlformats.org/officeDocument/2006/relationships/hyperlink" Target="https://sealeddeck.tech/j6EAfte23o" TargetMode="External"/><Relationship Id="rId467" Type="http://schemas.openxmlformats.org/officeDocument/2006/relationships/hyperlink" Target="https://sealeddeck.tech/UQ8c7bRTER" TargetMode="External"/><Relationship Id="rId1290" Type="http://schemas.openxmlformats.org/officeDocument/2006/relationships/hyperlink" Target="https://sealeddeck.tech/7aDRoS2k4j" TargetMode="External"/><Relationship Id="rId1291" Type="http://schemas.openxmlformats.org/officeDocument/2006/relationships/hyperlink" Target="https://sealeddeck.tech/bkAPtXj844" TargetMode="External"/><Relationship Id="rId1292" Type="http://schemas.openxmlformats.org/officeDocument/2006/relationships/hyperlink" Target="https://sealeddeck.tech/vYbMtRJqwC" TargetMode="External"/><Relationship Id="rId462" Type="http://schemas.openxmlformats.org/officeDocument/2006/relationships/hyperlink" Target="https://sealeddeck.tech/v7bKDFuziJ" TargetMode="External"/><Relationship Id="rId1293" Type="http://schemas.openxmlformats.org/officeDocument/2006/relationships/hyperlink" Target="https://sealeddeck.tech/mQdfB4Ekdi" TargetMode="External"/><Relationship Id="rId461" Type="http://schemas.openxmlformats.org/officeDocument/2006/relationships/hyperlink" Target="https://sealeddeck.tech/kdA9gshv9N" TargetMode="External"/><Relationship Id="rId1294" Type="http://schemas.openxmlformats.org/officeDocument/2006/relationships/hyperlink" Target="https://sealeddeck.tech/LYnW7zt4tR" TargetMode="External"/><Relationship Id="rId460" Type="http://schemas.openxmlformats.org/officeDocument/2006/relationships/hyperlink" Target="https://sealeddeck.tech/hmzYiyHihp" TargetMode="External"/><Relationship Id="rId1295" Type="http://schemas.openxmlformats.org/officeDocument/2006/relationships/hyperlink" Target="https://sealeddeck.tech/HFKVAgWkNd" TargetMode="External"/><Relationship Id="rId1296" Type="http://schemas.openxmlformats.org/officeDocument/2006/relationships/hyperlink" Target="https://sealeddeck.tech/RLrwWqhAvC" TargetMode="External"/><Relationship Id="rId466" Type="http://schemas.openxmlformats.org/officeDocument/2006/relationships/hyperlink" Target="https://sealeddeck.tech/LPGg8UgUTs" TargetMode="External"/><Relationship Id="rId1297" Type="http://schemas.openxmlformats.org/officeDocument/2006/relationships/hyperlink" Target="https://sealeddeck.tech/PnoDRfWTzU" TargetMode="External"/><Relationship Id="rId465" Type="http://schemas.openxmlformats.org/officeDocument/2006/relationships/hyperlink" Target="https://sealeddeck.tech/3zcSbL1xSW" TargetMode="External"/><Relationship Id="rId1298" Type="http://schemas.openxmlformats.org/officeDocument/2006/relationships/hyperlink" Target="https://sealeddeck.tech/s7y8B4Ap5J" TargetMode="External"/><Relationship Id="rId464" Type="http://schemas.openxmlformats.org/officeDocument/2006/relationships/hyperlink" Target="https://sealeddeck.tech/Tc4UV6nCVr" TargetMode="External"/><Relationship Id="rId1299" Type="http://schemas.openxmlformats.org/officeDocument/2006/relationships/hyperlink" Target="https://sealeddeck.tech/wzTPBV88tf" TargetMode="External"/><Relationship Id="rId463" Type="http://schemas.openxmlformats.org/officeDocument/2006/relationships/hyperlink" Target="https://sealeddeck.tech/PvTiM99Afy" TargetMode="External"/><Relationship Id="rId459" Type="http://schemas.openxmlformats.org/officeDocument/2006/relationships/hyperlink" Target="https://sealeddeck.tech/i742ociP7g" TargetMode="External"/><Relationship Id="rId458" Type="http://schemas.openxmlformats.org/officeDocument/2006/relationships/hyperlink" Target="https://sealeddeck.tech/LGfxrt5WoK" TargetMode="External"/><Relationship Id="rId457" Type="http://schemas.openxmlformats.org/officeDocument/2006/relationships/hyperlink" Target="https://sealeddeck.tech/5kjqtJNw7s" TargetMode="External"/><Relationship Id="rId456" Type="http://schemas.openxmlformats.org/officeDocument/2006/relationships/hyperlink" Target="https://sealeddeck.tech/mwC1xhtYmn" TargetMode="External"/><Relationship Id="rId1280" Type="http://schemas.openxmlformats.org/officeDocument/2006/relationships/hyperlink" Target="https://sealeddeck.tech/SWXmzUzCCf" TargetMode="External"/><Relationship Id="rId1281" Type="http://schemas.openxmlformats.org/officeDocument/2006/relationships/hyperlink" Target="https://sealeddeck.tech/CTXzXCD6mN" TargetMode="External"/><Relationship Id="rId451" Type="http://schemas.openxmlformats.org/officeDocument/2006/relationships/hyperlink" Target="https://sealeddeck.tech/qpC2WzJnhj" TargetMode="External"/><Relationship Id="rId1282" Type="http://schemas.openxmlformats.org/officeDocument/2006/relationships/hyperlink" Target="https://sealeddeck.tech/8t8dLqDzwi" TargetMode="External"/><Relationship Id="rId450" Type="http://schemas.openxmlformats.org/officeDocument/2006/relationships/hyperlink" Target="https://sealeddeck.tech/Mk1ieiRj4E" TargetMode="External"/><Relationship Id="rId1283" Type="http://schemas.openxmlformats.org/officeDocument/2006/relationships/hyperlink" Target="https://sealeddeck.tech/AMTSPdFuSm" TargetMode="External"/><Relationship Id="rId1284" Type="http://schemas.openxmlformats.org/officeDocument/2006/relationships/hyperlink" Target="https://sealeddeck.tech/aZqpA9z1wJ" TargetMode="External"/><Relationship Id="rId1285" Type="http://schemas.openxmlformats.org/officeDocument/2006/relationships/hyperlink" Target="https://sealeddeck.tech/uzb5EJcu1G" TargetMode="External"/><Relationship Id="rId455" Type="http://schemas.openxmlformats.org/officeDocument/2006/relationships/hyperlink" Target="https://sealeddeck.tech/KH6R6CxyvC" TargetMode="External"/><Relationship Id="rId1286" Type="http://schemas.openxmlformats.org/officeDocument/2006/relationships/hyperlink" Target="https://sealeddeck.tech/WKBLfEhQEJ" TargetMode="External"/><Relationship Id="rId454" Type="http://schemas.openxmlformats.org/officeDocument/2006/relationships/hyperlink" Target="https://sealeddeck.tech/nFqDgDVLGK" TargetMode="External"/><Relationship Id="rId1287" Type="http://schemas.openxmlformats.org/officeDocument/2006/relationships/hyperlink" Target="https://sealeddeck.tech/mNZyUPYGC6" TargetMode="External"/><Relationship Id="rId453" Type="http://schemas.openxmlformats.org/officeDocument/2006/relationships/hyperlink" Target="https://sealeddeck.tech/RiUK5KA9FP" TargetMode="External"/><Relationship Id="rId1288" Type="http://schemas.openxmlformats.org/officeDocument/2006/relationships/hyperlink" Target="https://sealeddeck.tech/a3ksfCRgEc" TargetMode="External"/><Relationship Id="rId452" Type="http://schemas.openxmlformats.org/officeDocument/2006/relationships/hyperlink" Target="https://sealeddeck.tech/G1nhwTdsjx" TargetMode="External"/><Relationship Id="rId1289" Type="http://schemas.openxmlformats.org/officeDocument/2006/relationships/hyperlink" Target="https://sealeddeck.tech/7rrvxmR8RX" TargetMode="External"/><Relationship Id="rId491" Type="http://schemas.openxmlformats.org/officeDocument/2006/relationships/hyperlink" Target="https://sealeddeck.tech/ZvQWe9F3nZ" TargetMode="External"/><Relationship Id="rId490" Type="http://schemas.openxmlformats.org/officeDocument/2006/relationships/hyperlink" Target="https://sealeddeck.tech/x1v3NozLKi" TargetMode="External"/><Relationship Id="rId489" Type="http://schemas.openxmlformats.org/officeDocument/2006/relationships/hyperlink" Target="https://sealeddeck.tech/gF1WtXTuQC" TargetMode="External"/><Relationship Id="rId484" Type="http://schemas.openxmlformats.org/officeDocument/2006/relationships/hyperlink" Target="https://sealeddeck.tech/CmuvQVR5HT" TargetMode="External"/><Relationship Id="rId483" Type="http://schemas.openxmlformats.org/officeDocument/2006/relationships/hyperlink" Target="https://sealeddeck.tech/j7oQqW22bb" TargetMode="External"/><Relationship Id="rId482" Type="http://schemas.openxmlformats.org/officeDocument/2006/relationships/hyperlink" Target="https://sealeddeck.tech/PFs1Q5AyNc" TargetMode="External"/><Relationship Id="rId481" Type="http://schemas.openxmlformats.org/officeDocument/2006/relationships/hyperlink" Target="https://sealeddeck.tech/nP5DFmuy9P" TargetMode="External"/><Relationship Id="rId488" Type="http://schemas.openxmlformats.org/officeDocument/2006/relationships/hyperlink" Target="https://sealeddeck.tech/vpDnFRLAVh" TargetMode="External"/><Relationship Id="rId487" Type="http://schemas.openxmlformats.org/officeDocument/2006/relationships/hyperlink" Target="https://sealeddeck.tech/F5wQj5HL3q" TargetMode="External"/><Relationship Id="rId486" Type="http://schemas.openxmlformats.org/officeDocument/2006/relationships/hyperlink" Target="https://sealeddeck.tech/3XagRSXkhw" TargetMode="External"/><Relationship Id="rId485" Type="http://schemas.openxmlformats.org/officeDocument/2006/relationships/hyperlink" Target="https://sealeddeck.tech/mjehaT6qKL" TargetMode="External"/><Relationship Id="rId480" Type="http://schemas.openxmlformats.org/officeDocument/2006/relationships/hyperlink" Target="https://sealeddeck.tech/Y17ymU62gj" TargetMode="External"/><Relationship Id="rId479" Type="http://schemas.openxmlformats.org/officeDocument/2006/relationships/hyperlink" Target="https://sealeddeck.tech/gVmnzVr5US" TargetMode="External"/><Relationship Id="rId478" Type="http://schemas.openxmlformats.org/officeDocument/2006/relationships/hyperlink" Target="https://sealeddeck.tech/539CvYL6ye" TargetMode="External"/><Relationship Id="rId473" Type="http://schemas.openxmlformats.org/officeDocument/2006/relationships/hyperlink" Target="https://sealeddeck.tech/BiAwe38gTR" TargetMode="External"/><Relationship Id="rId472" Type="http://schemas.openxmlformats.org/officeDocument/2006/relationships/hyperlink" Target="https://sealeddeck.tech/8gtue9VNPp" TargetMode="External"/><Relationship Id="rId471" Type="http://schemas.openxmlformats.org/officeDocument/2006/relationships/hyperlink" Target="https://sealeddeck.tech/jwgiR4AYdi" TargetMode="External"/><Relationship Id="rId470" Type="http://schemas.openxmlformats.org/officeDocument/2006/relationships/hyperlink" Target="https://sealeddeck.tech/XQvVFjkVtU" TargetMode="External"/><Relationship Id="rId477" Type="http://schemas.openxmlformats.org/officeDocument/2006/relationships/hyperlink" Target="https://sealeddeck.tech/sfPsNDi96i" TargetMode="External"/><Relationship Id="rId476" Type="http://schemas.openxmlformats.org/officeDocument/2006/relationships/hyperlink" Target="https://sealeddeck.tech/K38GFAXR5t" TargetMode="External"/><Relationship Id="rId475" Type="http://schemas.openxmlformats.org/officeDocument/2006/relationships/hyperlink" Target="https://sealeddeck.tech/q3W1A5pqS2" TargetMode="External"/><Relationship Id="rId474" Type="http://schemas.openxmlformats.org/officeDocument/2006/relationships/hyperlink" Target="https://sealeddeck.tech/2aAk3J1nmx" TargetMode="External"/><Relationship Id="rId1257" Type="http://schemas.openxmlformats.org/officeDocument/2006/relationships/hyperlink" Target="https://sealeddeck.tech/eShmfkA2DS" TargetMode="External"/><Relationship Id="rId1258" Type="http://schemas.openxmlformats.org/officeDocument/2006/relationships/hyperlink" Target="https://sealeddeck.tech/zkJ5yVMgUt" TargetMode="External"/><Relationship Id="rId1259" Type="http://schemas.openxmlformats.org/officeDocument/2006/relationships/hyperlink" Target="https://sealeddeck.tech/k5thZWcBVN" TargetMode="External"/><Relationship Id="rId426" Type="http://schemas.openxmlformats.org/officeDocument/2006/relationships/hyperlink" Target="https://sealeddeck.tech/4rSAfy7UWk" TargetMode="External"/><Relationship Id="rId425" Type="http://schemas.openxmlformats.org/officeDocument/2006/relationships/hyperlink" Target="https://sealeddeck.tech/DWWLc5Vyvp" TargetMode="External"/><Relationship Id="rId424" Type="http://schemas.openxmlformats.org/officeDocument/2006/relationships/hyperlink" Target="https://sealeddeck.tech/1fWWuXQtrt" TargetMode="External"/><Relationship Id="rId423" Type="http://schemas.openxmlformats.org/officeDocument/2006/relationships/hyperlink" Target="https://sealeddeck.tech/9A5GnBrtkc" TargetMode="External"/><Relationship Id="rId429" Type="http://schemas.openxmlformats.org/officeDocument/2006/relationships/hyperlink" Target="https://sealeddeck.tech/QDQTHDXBv5" TargetMode="External"/><Relationship Id="rId428" Type="http://schemas.openxmlformats.org/officeDocument/2006/relationships/hyperlink" Target="https://sealeddeck.tech/PSfdhY54cT" TargetMode="External"/><Relationship Id="rId427" Type="http://schemas.openxmlformats.org/officeDocument/2006/relationships/hyperlink" Target="https://sealeddeck.tech/4ahRqhT1rJ" TargetMode="External"/><Relationship Id="rId1250" Type="http://schemas.openxmlformats.org/officeDocument/2006/relationships/hyperlink" Target="https://sealeddeck.tech/zKDj6EfAN2" TargetMode="External"/><Relationship Id="rId1251" Type="http://schemas.openxmlformats.org/officeDocument/2006/relationships/hyperlink" Target="https://sealeddeck.tech/4o3xXWtuWX" TargetMode="External"/><Relationship Id="rId1252" Type="http://schemas.openxmlformats.org/officeDocument/2006/relationships/hyperlink" Target="https://sealeddeck.tech/qBhc32Gm2i" TargetMode="External"/><Relationship Id="rId422" Type="http://schemas.openxmlformats.org/officeDocument/2006/relationships/hyperlink" Target="https://sealeddeck.tech/ktm2ycPA7K" TargetMode="External"/><Relationship Id="rId1253" Type="http://schemas.openxmlformats.org/officeDocument/2006/relationships/hyperlink" Target="https://sealeddeck.tech/D49YWVvSRv" TargetMode="External"/><Relationship Id="rId421" Type="http://schemas.openxmlformats.org/officeDocument/2006/relationships/hyperlink" Target="https://sealeddeck.tech/i8kG2MEZ16" TargetMode="External"/><Relationship Id="rId1254" Type="http://schemas.openxmlformats.org/officeDocument/2006/relationships/hyperlink" Target="https://sealeddeck.tech/srdeGu9DX6" TargetMode="External"/><Relationship Id="rId420" Type="http://schemas.openxmlformats.org/officeDocument/2006/relationships/hyperlink" Target="https://sealeddeck.tech/7hiA6VV2RL" TargetMode="External"/><Relationship Id="rId1255" Type="http://schemas.openxmlformats.org/officeDocument/2006/relationships/hyperlink" Target="https://sealeddeck.tech/KmXb9K2rXz" TargetMode="External"/><Relationship Id="rId1256" Type="http://schemas.openxmlformats.org/officeDocument/2006/relationships/hyperlink" Target="https://sealeddeck.tech/H6gfxKt8Lo" TargetMode="External"/><Relationship Id="rId1246" Type="http://schemas.openxmlformats.org/officeDocument/2006/relationships/hyperlink" Target="https://sealeddeck.tech/v3RyWt15gL" TargetMode="External"/><Relationship Id="rId1247" Type="http://schemas.openxmlformats.org/officeDocument/2006/relationships/hyperlink" Target="https://sealeddeck.tech/BAXKzSAYMf" TargetMode="External"/><Relationship Id="rId1248" Type="http://schemas.openxmlformats.org/officeDocument/2006/relationships/hyperlink" Target="https://sealeddeck.tech/63M6kr4g1x" TargetMode="External"/><Relationship Id="rId1249" Type="http://schemas.openxmlformats.org/officeDocument/2006/relationships/hyperlink" Target="https://sealeddeck.tech/DweydqZ8Lo" TargetMode="External"/><Relationship Id="rId415" Type="http://schemas.openxmlformats.org/officeDocument/2006/relationships/hyperlink" Target="https://sealeddeck.tech/pX1vrBw5E6" TargetMode="External"/><Relationship Id="rId899" Type="http://schemas.openxmlformats.org/officeDocument/2006/relationships/hyperlink" Target="https://sealeddeck.tech/pfE8WXFG75" TargetMode="External"/><Relationship Id="rId414" Type="http://schemas.openxmlformats.org/officeDocument/2006/relationships/hyperlink" Target="https://sealeddeck.tech/UzdakQ8GLP" TargetMode="External"/><Relationship Id="rId898" Type="http://schemas.openxmlformats.org/officeDocument/2006/relationships/hyperlink" Target="https://sealeddeck.tech/C6gNmLS7QA" TargetMode="External"/><Relationship Id="rId413" Type="http://schemas.openxmlformats.org/officeDocument/2006/relationships/hyperlink" Target="https://sealeddeck.tech/WBwJV8zrqd" TargetMode="External"/><Relationship Id="rId897" Type="http://schemas.openxmlformats.org/officeDocument/2006/relationships/hyperlink" Target="https://sealeddeck.tech/ezVRTMGqWR" TargetMode="External"/><Relationship Id="rId412" Type="http://schemas.openxmlformats.org/officeDocument/2006/relationships/hyperlink" Target="https://sealeddeck.tech/Q56GUsfuda" TargetMode="External"/><Relationship Id="rId896" Type="http://schemas.openxmlformats.org/officeDocument/2006/relationships/hyperlink" Target="https://sealeddeck.tech/xbnDYRjUd1" TargetMode="External"/><Relationship Id="rId419" Type="http://schemas.openxmlformats.org/officeDocument/2006/relationships/hyperlink" Target="https://sealeddeck.tech/C6r8B1KmSg" TargetMode="External"/><Relationship Id="rId418" Type="http://schemas.openxmlformats.org/officeDocument/2006/relationships/hyperlink" Target="https://sealeddeck.tech/VxamudezQW" TargetMode="External"/><Relationship Id="rId417" Type="http://schemas.openxmlformats.org/officeDocument/2006/relationships/hyperlink" Target="https://sealeddeck.tech/YmKCz55JjF" TargetMode="External"/><Relationship Id="rId416" Type="http://schemas.openxmlformats.org/officeDocument/2006/relationships/hyperlink" Target="https://sealeddeck.tech/LXxPsGyvxH" TargetMode="External"/><Relationship Id="rId891" Type="http://schemas.openxmlformats.org/officeDocument/2006/relationships/hyperlink" Target="https://sealeddeck.tech/1H2ZHQaPhz" TargetMode="External"/><Relationship Id="rId890" Type="http://schemas.openxmlformats.org/officeDocument/2006/relationships/hyperlink" Target="https://sealeddeck.tech/yNbZPhkHZ3" TargetMode="External"/><Relationship Id="rId1240" Type="http://schemas.openxmlformats.org/officeDocument/2006/relationships/hyperlink" Target="https://sealeddeck.tech/8KyC9RsP8j" TargetMode="External"/><Relationship Id="rId1241" Type="http://schemas.openxmlformats.org/officeDocument/2006/relationships/hyperlink" Target="https://sealeddeck.tech/n8qSUKg1UU" TargetMode="External"/><Relationship Id="rId411" Type="http://schemas.openxmlformats.org/officeDocument/2006/relationships/hyperlink" Target="https://sealeddeck.tech/xmBc8sDJLb" TargetMode="External"/><Relationship Id="rId895" Type="http://schemas.openxmlformats.org/officeDocument/2006/relationships/hyperlink" Target="https://sealeddeck.tech/4iFW8jytoC" TargetMode="External"/><Relationship Id="rId1242" Type="http://schemas.openxmlformats.org/officeDocument/2006/relationships/hyperlink" Target="https://sealeddeck.tech/1Cy57yizfC" TargetMode="External"/><Relationship Id="rId410" Type="http://schemas.openxmlformats.org/officeDocument/2006/relationships/hyperlink" Target="https://sealeddeck.tech/EHSDXeC96T" TargetMode="External"/><Relationship Id="rId894" Type="http://schemas.openxmlformats.org/officeDocument/2006/relationships/hyperlink" Target="https://sealeddeck.tech/kSdGRUDiAx" TargetMode="External"/><Relationship Id="rId1243" Type="http://schemas.openxmlformats.org/officeDocument/2006/relationships/hyperlink" Target="https://sealeddeck.tech/QJfxuTfLzw" TargetMode="External"/><Relationship Id="rId893" Type="http://schemas.openxmlformats.org/officeDocument/2006/relationships/hyperlink" Target="https://sealeddeck.tech/5HVa3gTvoa" TargetMode="External"/><Relationship Id="rId1244" Type="http://schemas.openxmlformats.org/officeDocument/2006/relationships/hyperlink" Target="https://sealeddeck.tech/QJfxuTfLzw" TargetMode="External"/><Relationship Id="rId892" Type="http://schemas.openxmlformats.org/officeDocument/2006/relationships/hyperlink" Target="https://sealeddeck.tech/PHV4tLXMRE" TargetMode="External"/><Relationship Id="rId1245" Type="http://schemas.openxmlformats.org/officeDocument/2006/relationships/hyperlink" Target="https://sealeddeck.tech/mSKJcuqbHi" TargetMode="External"/><Relationship Id="rId1279" Type="http://schemas.openxmlformats.org/officeDocument/2006/relationships/hyperlink" Target="https://sealeddeck.tech/GmKGMrgLau" TargetMode="External"/><Relationship Id="rId448" Type="http://schemas.openxmlformats.org/officeDocument/2006/relationships/hyperlink" Target="https://sealeddeck.tech/XVvhcv6MDZ" TargetMode="External"/><Relationship Id="rId447" Type="http://schemas.openxmlformats.org/officeDocument/2006/relationships/hyperlink" Target="https://sealeddeck.tech/sMPkQ9pGXu" TargetMode="External"/><Relationship Id="rId446" Type="http://schemas.openxmlformats.org/officeDocument/2006/relationships/hyperlink" Target="https://sealeddeck.tech/Q7fF1wbZkM" TargetMode="External"/><Relationship Id="rId445" Type="http://schemas.openxmlformats.org/officeDocument/2006/relationships/hyperlink" Target="https://sealeddeck.tech/fX2SErVunH" TargetMode="External"/><Relationship Id="rId449" Type="http://schemas.openxmlformats.org/officeDocument/2006/relationships/hyperlink" Target="https://sealeddeck.tech/mynmCGnnHB" TargetMode="External"/><Relationship Id="rId1270" Type="http://schemas.openxmlformats.org/officeDocument/2006/relationships/hyperlink" Target="https://sealeddeck.tech/6H38mSJANA" TargetMode="External"/><Relationship Id="rId440" Type="http://schemas.openxmlformats.org/officeDocument/2006/relationships/hyperlink" Target="https://sealeddeck.tech/k1MMCbVRLk" TargetMode="External"/><Relationship Id="rId1271" Type="http://schemas.openxmlformats.org/officeDocument/2006/relationships/hyperlink" Target="https://sealeddeck.tech/YNkYVL8dms" TargetMode="External"/><Relationship Id="rId1272" Type="http://schemas.openxmlformats.org/officeDocument/2006/relationships/hyperlink" Target="https://sealeddeck.tech/JMeQgsFsG8" TargetMode="External"/><Relationship Id="rId1273" Type="http://schemas.openxmlformats.org/officeDocument/2006/relationships/hyperlink" Target="https://sealeddeck.tech/UELMVf6fu3" TargetMode="External"/><Relationship Id="rId1274" Type="http://schemas.openxmlformats.org/officeDocument/2006/relationships/hyperlink" Target="https://sealeddeck.tech/XfNDTNHrj4" TargetMode="External"/><Relationship Id="rId444" Type="http://schemas.openxmlformats.org/officeDocument/2006/relationships/hyperlink" Target="https://sealeddeck.tech/oQbxVZaq1r" TargetMode="External"/><Relationship Id="rId1275" Type="http://schemas.openxmlformats.org/officeDocument/2006/relationships/hyperlink" Target="https://sealeddeck.tech/YsQkVqZ7La" TargetMode="External"/><Relationship Id="rId443" Type="http://schemas.openxmlformats.org/officeDocument/2006/relationships/hyperlink" Target="https://sealeddeck.tech/UkAMTNFdwv" TargetMode="External"/><Relationship Id="rId1276" Type="http://schemas.openxmlformats.org/officeDocument/2006/relationships/hyperlink" Target="https://sealeddeck.tech/nmCogD1CX7" TargetMode="External"/><Relationship Id="rId442" Type="http://schemas.openxmlformats.org/officeDocument/2006/relationships/hyperlink" Target="https://sealeddeck.tech/9QSgiR5X1k" TargetMode="External"/><Relationship Id="rId1277" Type="http://schemas.openxmlformats.org/officeDocument/2006/relationships/hyperlink" Target="https://sealeddeck.tech/p8MryJkDYR" TargetMode="External"/><Relationship Id="rId441" Type="http://schemas.openxmlformats.org/officeDocument/2006/relationships/hyperlink" Target="https://sealeddeck.tech/zrmPSpLqyv" TargetMode="External"/><Relationship Id="rId1278" Type="http://schemas.openxmlformats.org/officeDocument/2006/relationships/hyperlink" Target="https://sealeddeck.tech/nVLd9aHe1B" TargetMode="External"/><Relationship Id="rId1268" Type="http://schemas.openxmlformats.org/officeDocument/2006/relationships/hyperlink" Target="https://sealeddeck.tech/HjL9iPehjn" TargetMode="External"/><Relationship Id="rId1269" Type="http://schemas.openxmlformats.org/officeDocument/2006/relationships/hyperlink" Target="https://sealeddeck.tech/qEi7JNqGKY" TargetMode="External"/><Relationship Id="rId437" Type="http://schemas.openxmlformats.org/officeDocument/2006/relationships/hyperlink" Target="https://sealeddeck.tech/HDa9vv2v6r" TargetMode="External"/><Relationship Id="rId436" Type="http://schemas.openxmlformats.org/officeDocument/2006/relationships/hyperlink" Target="https://sealeddeck.tech/7kmwzDEv88" TargetMode="External"/><Relationship Id="rId435" Type="http://schemas.openxmlformats.org/officeDocument/2006/relationships/hyperlink" Target="https://sealeddeck.tech/iJTQkr7c8S" TargetMode="External"/><Relationship Id="rId434" Type="http://schemas.openxmlformats.org/officeDocument/2006/relationships/hyperlink" Target="https://sealeddeck.tech/C3Fu3PEnGA" TargetMode="External"/><Relationship Id="rId439" Type="http://schemas.openxmlformats.org/officeDocument/2006/relationships/hyperlink" Target="https://sealeddeck.tech/LC4v8hvKUA" TargetMode="External"/><Relationship Id="rId438" Type="http://schemas.openxmlformats.org/officeDocument/2006/relationships/hyperlink" Target="https://sealeddeck.tech/Qba4zSvdgP" TargetMode="External"/><Relationship Id="rId1260" Type="http://schemas.openxmlformats.org/officeDocument/2006/relationships/hyperlink" Target="https://sealeddeck.tech/tAKfaKenV1" TargetMode="External"/><Relationship Id="rId1261" Type="http://schemas.openxmlformats.org/officeDocument/2006/relationships/hyperlink" Target="https://sealeddeck.tech/kCU7mPoyZK" TargetMode="External"/><Relationship Id="rId1262" Type="http://schemas.openxmlformats.org/officeDocument/2006/relationships/hyperlink" Target="https://sealeddeck.tech/rLaL47wAEH" TargetMode="External"/><Relationship Id="rId1263" Type="http://schemas.openxmlformats.org/officeDocument/2006/relationships/hyperlink" Target="https://sealeddeck.tech/h5gwGELu2v" TargetMode="External"/><Relationship Id="rId433" Type="http://schemas.openxmlformats.org/officeDocument/2006/relationships/hyperlink" Target="https://sealeddeck.tech/qAaPPnYPng" TargetMode="External"/><Relationship Id="rId1264" Type="http://schemas.openxmlformats.org/officeDocument/2006/relationships/hyperlink" Target="https://sealeddeck.tech/TELx9MZDgD" TargetMode="External"/><Relationship Id="rId432" Type="http://schemas.openxmlformats.org/officeDocument/2006/relationships/hyperlink" Target="https://sealeddeck.tech/snFRZ8N5KE" TargetMode="External"/><Relationship Id="rId1265" Type="http://schemas.openxmlformats.org/officeDocument/2006/relationships/hyperlink" Target="https://sealeddeck.tech/kHPiYQwL8d" TargetMode="External"/><Relationship Id="rId431" Type="http://schemas.openxmlformats.org/officeDocument/2006/relationships/hyperlink" Target="https://sealeddeck.tech/bWbxCtJ1Yz" TargetMode="External"/><Relationship Id="rId1266" Type="http://schemas.openxmlformats.org/officeDocument/2006/relationships/hyperlink" Target="https://sealeddeck.tech/4QzTPWU66m" TargetMode="External"/><Relationship Id="rId430" Type="http://schemas.openxmlformats.org/officeDocument/2006/relationships/hyperlink" Target="https://sealeddeck.tech/CVMbUF8AWc" TargetMode="External"/><Relationship Id="rId1267" Type="http://schemas.openxmlformats.org/officeDocument/2006/relationships/hyperlink" Target="https://sealeddeck.tech/vHFyimyKhZ"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1"/>
      <c r="D1" s="1"/>
      <c r="E1" s="1"/>
      <c r="F1" s="1"/>
      <c r="G1" s="1"/>
      <c r="H1" s="1"/>
      <c r="I1" s="1"/>
      <c r="J1" s="1"/>
      <c r="K1" s="1"/>
      <c r="L1" s="1"/>
      <c r="M1" s="1"/>
      <c r="N1" s="1"/>
      <c r="O1" s="1"/>
      <c r="P1" s="1"/>
      <c r="Q1" s="1"/>
      <c r="R1" s="1"/>
      <c r="S1" s="1"/>
      <c r="T1" s="1"/>
      <c r="U1" s="1"/>
      <c r="V1" s="1"/>
      <c r="W1" s="1"/>
      <c r="X1" s="1"/>
      <c r="Y1" s="1"/>
      <c r="Z1" s="1" t="s">
        <v>6</v>
      </c>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3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63"/>
    <col customWidth="1" min="2" max="2" width="22.75"/>
    <col customWidth="1" min="3" max="3" width="12.13"/>
    <col customWidth="1" min="4" max="4" width="5.88"/>
    <col customWidth="1" hidden="1" min="5" max="5" width="22.75"/>
    <col customWidth="1" min="6" max="10" width="9.5"/>
    <col customWidth="1" min="11" max="12" width="10.75"/>
    <col customWidth="1" min="13" max="13" width="7.5"/>
    <col customWidth="1" min="14" max="14" width="20.5"/>
    <col customWidth="1" hidden="1" min="15" max="15" width="10.88"/>
    <col hidden="1" min="16" max="18" width="12.63"/>
  </cols>
  <sheetData>
    <row r="1">
      <c r="A1" s="2" t="s">
        <v>1</v>
      </c>
      <c r="B1" s="3"/>
      <c r="D1" s="3"/>
      <c r="E1" s="3"/>
      <c r="F1" s="5"/>
      <c r="G1" s="3"/>
      <c r="H1" s="3"/>
      <c r="I1" s="3"/>
      <c r="J1" s="3"/>
      <c r="K1" s="5"/>
      <c r="L1" s="5" t="s">
        <v>7</v>
      </c>
      <c r="M1" s="3"/>
      <c r="N1" s="3"/>
      <c r="O1" s="3"/>
      <c r="P1" s="3"/>
      <c r="Q1" s="3"/>
      <c r="R1" s="3"/>
    </row>
    <row r="2" ht="15.75" customHeight="1">
      <c r="A2" s="4" t="s">
        <v>5</v>
      </c>
      <c r="B2" s="6"/>
      <c r="C2" s="7">
        <f>Quotas!B2</f>
        <v>3</v>
      </c>
      <c r="D2" s="6"/>
      <c r="E2" s="6"/>
      <c r="F2" s="6"/>
      <c r="G2" s="6"/>
      <c r="H2" s="6"/>
      <c r="I2" s="6"/>
      <c r="J2" s="6"/>
      <c r="K2" s="6"/>
      <c r="L2" s="6"/>
      <c r="M2" s="6"/>
      <c r="N2" s="6"/>
      <c r="O2" s="3"/>
      <c r="P2" s="3"/>
      <c r="Q2" s="3"/>
      <c r="R2" s="3"/>
    </row>
    <row r="3">
      <c r="A3" s="8" t="s">
        <v>8</v>
      </c>
      <c r="B3" s="8" t="s">
        <v>9</v>
      </c>
      <c r="C3" s="8" t="s">
        <v>10</v>
      </c>
      <c r="D3" s="9" t="s">
        <v>11</v>
      </c>
      <c r="E3" s="10" t="s">
        <v>12</v>
      </c>
      <c r="F3" s="9" t="s">
        <v>13</v>
      </c>
      <c r="G3" s="9" t="s">
        <v>14</v>
      </c>
      <c r="H3" s="11" t="s">
        <v>15</v>
      </c>
      <c r="I3" s="11" t="s">
        <v>16</v>
      </c>
      <c r="J3" s="9" t="s">
        <v>17</v>
      </c>
      <c r="K3" s="9" t="s">
        <v>18</v>
      </c>
      <c r="L3" s="11" t="s">
        <v>19</v>
      </c>
      <c r="M3" s="12" t="s">
        <v>20</v>
      </c>
      <c r="N3" s="9" t="s">
        <v>21</v>
      </c>
      <c r="O3" s="13" t="s">
        <v>22</v>
      </c>
      <c r="P3" s="13" t="s">
        <v>23</v>
      </c>
      <c r="Q3" s="14" t="s">
        <v>24</v>
      </c>
      <c r="R3" s="14" t="s">
        <v>25</v>
      </c>
    </row>
    <row r="4">
      <c r="A4" s="15" t="str">
        <f t="array" ref="A4">XLOOKUP($E4,'Player Database'!$B$2:$B758,'Player Database'!$C$2:$C758)</f>
        <v>#N/A</v>
      </c>
      <c r="B4" s="15" t="str">
        <f t="array" ref="B4">XLOOKUP($E4,'Player Database'!$B$2:$B758,'Player Database'!$E$2:$E758)</f>
        <v>#N/A</v>
      </c>
      <c r="C4" s="15" t="str">
        <f t="array" ref="C4">XLOOKUP($E4,'Player Database'!$B$2:$B758,'Player Database'!$F$2:$F758)</f>
        <v>#N/A</v>
      </c>
      <c r="D4" s="25">
        <f>IFERROR(__xludf.DUMMYFUNCTION("QUERY('Player Database'!A2:B173,""SELECT A,B WHERE B != '  - ' ORDER BY A"")"),1.0)</f>
        <v>1</v>
      </c>
      <c r="E4" s="17" t="str">
        <f>IFERROR(__xludf.DUMMYFUNCTION("""COMPUTED_VALUE"""),"#REF!")</f>
        <v>#REF!</v>
      </c>
      <c r="F4" s="18" t="str">
        <f t="array" ref="F4">XLOOKUP($E4,'Player Database'!$B$2:$B758,'Player Database'!$K$2:$K758)</f>
        <v>#N/A</v>
      </c>
      <c r="G4" s="18" t="str">
        <f t="array" ref="G4">XLOOKUP($E4,'Player Database'!$B$2:$B758,'Player Database'!$H$2:$H758)</f>
        <v>#N/A</v>
      </c>
      <c r="H4" s="19" t="str">
        <f t="array" ref="H4">XLOOKUP($E4,'Player Database'!$B$2:$B758,'Player Database'!$O$2:$O758)</f>
        <v>#N/A</v>
      </c>
      <c r="I4" s="18" t="str">
        <f t="array" ref="I4">XLOOKUP($E4,'Player Database'!$B$2:$B758,'Player Database'!$P$2:$P758)</f>
        <v>#N/A</v>
      </c>
      <c r="J4" s="20" t="str">
        <f t="array" ref="J4">XLOOKUP($E4,'Player Database'!$B$2:$B758,'Player Database'!$U$2:$U758)</f>
        <v>#N/A</v>
      </c>
      <c r="K4" s="22" t="str">
        <f>VLOOKUP(E4, 'Player Database'!B:AE, 30, FALSE)</f>
        <v>#N/A</v>
      </c>
      <c r="L4" s="22" t="str">
        <f t="array" ref="L4">XLOOKUP($E4,'Player Database'!$B$2:$B758,'Player Database'!$W$2:$W758)</f>
        <v>#N/A</v>
      </c>
      <c r="M4" s="23" t="str">
        <f t="shared" ref="M4:M175" si="1">CONCATENATE(O4," - ",P4)</f>
        <v>0 - 0</v>
      </c>
      <c r="N4" s="24" t="str">
        <f t="array" ref="N4">IF(XLOOKUP($E4,'Player Database'!$B$2:$B758,'Player Database'!$AA$2:$AA758)="",XLOOKUP($E4,'Player Database'!$B$2:$B758,'Player Database'!$G$2:$G758),XLOOKUP($E4,'Player Database'!$B$2:$B758,'Player Database'!$AA$2:$AA758))</f>
        <v>#N/A</v>
      </c>
      <c r="O4" s="27">
        <f>COUNTIFs(Matches!$B:$B,E4,Matches!$A:$A,"&gt;"&amp;Q4,Matches!$A:$A,"&lt;"&amp;R4)</f>
        <v>0</v>
      </c>
      <c r="P4" s="27">
        <f>COUNTIFs(Matches!$C:$C,E4,Matches!$A:$A,"&gt;"&amp;Q4,Matches!$A:$A,"&lt;"&amp;R4)</f>
        <v>0</v>
      </c>
      <c r="Q4" s="28">
        <f>VLOOKUP($C$2,Quotas!$A$7:$E$14,2,FALSE)</f>
        <v>46213.70833</v>
      </c>
      <c r="R4" s="28">
        <f>VLOOKUP($C$2,Quotas!$A$7:$E$14,3,FALSE)</f>
        <v>46220.70833</v>
      </c>
    </row>
    <row r="5">
      <c r="A5" s="15" t="str">
        <f t="array" ref="A5">XLOOKUP($E5,'Player Database'!$B$2:$B758,'Player Database'!$C$2:$C758)</f>
        <v>#N/A</v>
      </c>
      <c r="B5" s="15" t="str">
        <f t="array" ref="B5">XLOOKUP($E5,'Player Database'!$B$2:$B758,'Player Database'!$E$2:$E758)</f>
        <v>#N/A</v>
      </c>
      <c r="C5" s="15" t="str">
        <f t="array" ref="C5">XLOOKUP($E5,'Player Database'!$B$2:$B758,'Player Database'!$F$2:$F758)</f>
        <v>#N/A</v>
      </c>
      <c r="D5" s="25">
        <f>IFERROR(__xludf.DUMMYFUNCTION("""COMPUTED_VALUE"""),1.0)</f>
        <v>1</v>
      </c>
      <c r="E5" s="17"/>
      <c r="F5" s="18" t="str">
        <f t="array" ref="F5">XLOOKUP($E5,'Player Database'!$B$2:$B758,'Player Database'!$K$2:$K758)</f>
        <v>#N/A</v>
      </c>
      <c r="G5" s="18" t="str">
        <f t="array" ref="G5">XLOOKUP($E5,'Player Database'!$B$2:$B758,'Player Database'!$H$2:$H758)</f>
        <v>#N/A</v>
      </c>
      <c r="H5" s="18" t="str">
        <f t="array" ref="H5">XLOOKUP($E5,'Player Database'!$B$2:$B758,'Player Database'!$O$2:$O758)</f>
        <v>#N/A</v>
      </c>
      <c r="I5" s="18" t="str">
        <f t="array" ref="I5">XLOOKUP($E5,'Player Database'!$B$2:$B758,'Player Database'!$P$2:$P758)</f>
        <v>#N/A</v>
      </c>
      <c r="J5" s="20" t="str">
        <f t="array" ref="J5">XLOOKUP($E5,'Player Database'!$B$2:$B758,'Player Database'!$U$2:$U758)</f>
        <v>#N/A</v>
      </c>
      <c r="K5" s="22" t="str">
        <f>VLOOKUP(E5, 'Player Database'!B:AE, 30, FALSE)</f>
        <v>#N/A</v>
      </c>
      <c r="L5" s="22" t="str">
        <f t="array" ref="L5">XLOOKUP($E5,'Player Database'!$B$2:$B758,'Player Database'!$W$2:$W758)</f>
        <v>#N/A</v>
      </c>
      <c r="M5" s="23" t="str">
        <f t="shared" si="1"/>
        <v>0 - 0</v>
      </c>
      <c r="N5" s="24" t="str">
        <f t="array" ref="N5">IF(XLOOKUP($E5,'Player Database'!$B$2:$B758,'Player Database'!$AA$2:$AA758)="",XLOOKUP($E5,'Player Database'!$B$2:$B758,'Player Database'!$G$2:$G758),XLOOKUP($E5,'Player Database'!$B$2:$B758,'Player Database'!$AA$2:$AA758))</f>
        <v>#N/A</v>
      </c>
      <c r="O5" s="27">
        <f>COUNTIFs(Matches!$B:$B,E5,Matches!$A:$A,"&gt;"&amp;Q5,Matches!$A:$A,"&lt;"&amp;R5)</f>
        <v>0</v>
      </c>
      <c r="P5" s="27">
        <f>COUNTIFs(Matches!$C:$C,E5,Matches!$A:$A,"&gt;"&amp;Q5,Matches!$A:$A,"&lt;"&amp;R5)</f>
        <v>0</v>
      </c>
      <c r="Q5" s="28">
        <f>VLOOKUP($C$2,Quotas!$A$7:$E$14,2,FALSE)</f>
        <v>46213.70833</v>
      </c>
      <c r="R5" s="28">
        <f>VLOOKUP($C$2,Quotas!$A$7:$E$14,3,FALSE)</f>
        <v>46220.70833</v>
      </c>
    </row>
    <row r="6">
      <c r="A6" s="15" t="str">
        <f t="array" ref="A6">XLOOKUP($E6,'Player Database'!$B$2:$B758,'Player Database'!$C$2:$C758)</f>
        <v>#N/A</v>
      </c>
      <c r="B6" s="15" t="str">
        <f t="array" ref="B6">XLOOKUP($E6,'Player Database'!$B$2:$B758,'Player Database'!$E$2:$E758)</f>
        <v>#N/A</v>
      </c>
      <c r="C6" s="15" t="str">
        <f t="array" ref="C6">XLOOKUP($E6,'Player Database'!$B$2:$B758,'Player Database'!$F$2:$F758)</f>
        <v>#N/A</v>
      </c>
      <c r="D6" s="25">
        <f>IFERROR(__xludf.DUMMYFUNCTION("""COMPUTED_VALUE"""),1.0)</f>
        <v>1</v>
      </c>
      <c r="E6" s="17"/>
      <c r="F6" s="18" t="str">
        <f t="array" ref="F6">XLOOKUP($E6,'Player Database'!$B$2:$B758,'Player Database'!$K$2:$K758)</f>
        <v>#N/A</v>
      </c>
      <c r="G6" s="18" t="str">
        <f t="array" ref="G6">XLOOKUP($E6,'Player Database'!$B$2:$B758,'Player Database'!$H$2:$H758)</f>
        <v>#N/A</v>
      </c>
      <c r="H6" s="18" t="str">
        <f t="array" ref="H6">XLOOKUP($E6,'Player Database'!$B$2:$B758,'Player Database'!$O$2:$O758)</f>
        <v>#N/A</v>
      </c>
      <c r="I6" s="18" t="str">
        <f t="array" ref="I6">XLOOKUP($E6,'Player Database'!$B$2:$B758,'Player Database'!$P$2:$P758)</f>
        <v>#N/A</v>
      </c>
      <c r="J6" s="20" t="str">
        <f t="array" ref="J6">XLOOKUP($E6,'Player Database'!$B$2:$B758,'Player Database'!$U$2:$U758)</f>
        <v>#N/A</v>
      </c>
      <c r="K6" s="22" t="str">
        <f>VLOOKUP(E6, 'Player Database'!B:AE, 30, FALSE)</f>
        <v>#N/A</v>
      </c>
      <c r="L6" s="22" t="str">
        <f t="array" ref="L6">XLOOKUP($E6,'Player Database'!$B$2:$B758,'Player Database'!$W$2:$W758)</f>
        <v>#N/A</v>
      </c>
      <c r="M6" s="23" t="str">
        <f t="shared" si="1"/>
        <v>0 - 0</v>
      </c>
      <c r="N6" s="24" t="str">
        <f t="array" ref="N6">IF(XLOOKUP($E6,'Player Database'!$B$2:$B758,'Player Database'!$AA$2:$AA758)="",XLOOKUP($E6,'Player Database'!$B$2:$B758,'Player Database'!$G$2:$G758),XLOOKUP($E6,'Player Database'!$B$2:$B758,'Player Database'!$AA$2:$AA758))</f>
        <v>#N/A</v>
      </c>
      <c r="O6" s="27">
        <f>COUNTIFs(Matches!$B:$B,E6,Matches!$A:$A,"&gt;"&amp;Q6,Matches!$A:$A,"&lt;"&amp;R6)</f>
        <v>0</v>
      </c>
      <c r="P6" s="27">
        <f>COUNTIFs(Matches!$C:$C,E6,Matches!$A:$A,"&gt;"&amp;Q6,Matches!$A:$A,"&lt;"&amp;R6)</f>
        <v>0</v>
      </c>
      <c r="Q6" s="28">
        <f>VLOOKUP($C$2,Quotas!$A$7:$E$14,2,FALSE)</f>
        <v>46213.70833</v>
      </c>
      <c r="R6" s="28">
        <f>VLOOKUP($C$2,Quotas!$A$7:$E$14,3,FALSE)</f>
        <v>46220.70833</v>
      </c>
    </row>
    <row r="7">
      <c r="A7" s="15" t="str">
        <f t="array" ref="A7">XLOOKUP($E7,'Player Database'!$B$2:$B758,'Player Database'!$C$2:$C758)</f>
        <v>#N/A</v>
      </c>
      <c r="B7" s="15" t="str">
        <f t="array" ref="B7">XLOOKUP($E7,'Player Database'!$B$2:$B758,'Player Database'!$E$2:$E758)</f>
        <v>#N/A</v>
      </c>
      <c r="C7" s="15" t="str">
        <f t="array" ref="C7">XLOOKUP($E7,'Player Database'!$B$2:$B758,'Player Database'!$F$2:$F758)</f>
        <v>#N/A</v>
      </c>
      <c r="D7" s="25">
        <f>IFERROR(__xludf.DUMMYFUNCTION("""COMPUTED_VALUE"""),1.0)</f>
        <v>1</v>
      </c>
      <c r="E7" s="17"/>
      <c r="F7" s="18" t="str">
        <f t="array" ref="F7">XLOOKUP($E7,'Player Database'!$B$2:$B758,'Player Database'!$K$2:$K758)</f>
        <v>#N/A</v>
      </c>
      <c r="G7" s="18" t="str">
        <f t="array" ref="G7">XLOOKUP($E7,'Player Database'!$B$2:$B758,'Player Database'!$H$2:$H758)</f>
        <v>#N/A</v>
      </c>
      <c r="H7" s="18" t="str">
        <f t="array" ref="H7">XLOOKUP($E7,'Player Database'!$B$2:$B758,'Player Database'!$O$2:$O758)</f>
        <v>#N/A</v>
      </c>
      <c r="I7" s="18" t="str">
        <f t="array" ref="I7">XLOOKUP($E7,'Player Database'!$B$2:$B758,'Player Database'!$P$2:$P758)</f>
        <v>#N/A</v>
      </c>
      <c r="J7" s="20" t="str">
        <f t="array" ref="J7">XLOOKUP($E7,'Player Database'!$B$2:$B758,'Player Database'!$U$2:$U758)</f>
        <v>#N/A</v>
      </c>
      <c r="K7" s="22" t="str">
        <f>VLOOKUP(E7, 'Player Database'!B:AE, 30, FALSE)</f>
        <v>#N/A</v>
      </c>
      <c r="L7" s="22" t="str">
        <f t="array" ref="L7">XLOOKUP($E7,'Player Database'!$B$2:$B758,'Player Database'!$W$2:$W758)</f>
        <v>#N/A</v>
      </c>
      <c r="M7" s="23" t="str">
        <f t="shared" si="1"/>
        <v>0 - 0</v>
      </c>
      <c r="N7" s="24" t="str">
        <f t="array" ref="N7">IF(XLOOKUP($E7,'Player Database'!$B$2:$B758,'Player Database'!$AA$2:$AA758)="",XLOOKUP($E7,'Player Database'!$B$2:$B758,'Player Database'!$G$2:$G758),XLOOKUP($E7,'Player Database'!$B$2:$B758,'Player Database'!$AA$2:$AA758))</f>
        <v>#N/A</v>
      </c>
      <c r="O7" s="27">
        <f>COUNTIFs(Matches!$B:$B,E7,Matches!$A:$A,"&gt;"&amp;Q7,Matches!$A:$A,"&lt;"&amp;R7)</f>
        <v>0</v>
      </c>
      <c r="P7" s="27">
        <f>COUNTIFs(Matches!$C:$C,E7,Matches!$A:$A,"&gt;"&amp;Q7,Matches!$A:$A,"&lt;"&amp;R7)</f>
        <v>0</v>
      </c>
      <c r="Q7" s="28">
        <f>VLOOKUP($C$2,Quotas!$A$7:$E$14,2,FALSE)</f>
        <v>46213.70833</v>
      </c>
      <c r="R7" s="28">
        <f>VLOOKUP($C$2,Quotas!$A$7:$E$14,3,FALSE)</f>
        <v>46220.70833</v>
      </c>
    </row>
    <row r="8">
      <c r="A8" s="15" t="str">
        <f t="array" ref="A8">XLOOKUP($E8,'Player Database'!$B$2:$B758,'Player Database'!$C$2:$C758)</f>
        <v>#N/A</v>
      </c>
      <c r="B8" s="15" t="str">
        <f t="array" ref="B8">XLOOKUP($E8,'Player Database'!$B$2:$B758,'Player Database'!$E$2:$E758)</f>
        <v>#N/A</v>
      </c>
      <c r="C8" s="15" t="str">
        <f t="array" ref="C8">XLOOKUP($E8,'Player Database'!$B$2:$B758,'Player Database'!$F$2:$F758)</f>
        <v>#N/A</v>
      </c>
      <c r="D8" s="25">
        <f>IFERROR(__xludf.DUMMYFUNCTION("""COMPUTED_VALUE"""),1.0)</f>
        <v>1</v>
      </c>
      <c r="E8" s="17"/>
      <c r="F8" s="18" t="str">
        <f t="array" ref="F8">XLOOKUP($E8,'Player Database'!$B$2:$B758,'Player Database'!$K$2:$K758)</f>
        <v>#N/A</v>
      </c>
      <c r="G8" s="18" t="str">
        <f t="array" ref="G8">XLOOKUP($E8,'Player Database'!$B$2:$B758,'Player Database'!$H$2:$H758)</f>
        <v>#N/A</v>
      </c>
      <c r="H8" s="18" t="str">
        <f t="array" ref="H8">XLOOKUP($E8,'Player Database'!$B$2:$B758,'Player Database'!$O$2:$O758)</f>
        <v>#N/A</v>
      </c>
      <c r="I8" s="18" t="str">
        <f t="array" ref="I8">XLOOKUP($E8,'Player Database'!$B$2:$B758,'Player Database'!$P$2:$P758)</f>
        <v>#N/A</v>
      </c>
      <c r="J8" s="20" t="str">
        <f t="array" ref="J8">XLOOKUP($E8,'Player Database'!$B$2:$B758,'Player Database'!$U$2:$U758)</f>
        <v>#N/A</v>
      </c>
      <c r="K8" s="22" t="str">
        <f>VLOOKUP(E8, 'Player Database'!B:AE, 30, FALSE)</f>
        <v>#N/A</v>
      </c>
      <c r="L8" s="22" t="str">
        <f t="array" ref="L8">XLOOKUP($E8,'Player Database'!$B$2:$B758,'Player Database'!$W$2:$W758)</f>
        <v>#N/A</v>
      </c>
      <c r="M8" s="23" t="str">
        <f t="shared" si="1"/>
        <v>0 - 0</v>
      </c>
      <c r="N8" s="24" t="str">
        <f t="array" ref="N8">IF(XLOOKUP($E8,'Player Database'!$B$2:$B758,'Player Database'!$AA$2:$AA758)="",XLOOKUP($E8,'Player Database'!$B$2:$B758,'Player Database'!$G$2:$G758),XLOOKUP($E8,'Player Database'!$B$2:$B758,'Player Database'!$AA$2:$AA758))</f>
        <v>#N/A</v>
      </c>
      <c r="O8" s="27">
        <f>COUNTIFs(Matches!$B:$B,E8,Matches!$A:$A,"&gt;"&amp;Q8,Matches!$A:$A,"&lt;"&amp;R8)</f>
        <v>0</v>
      </c>
      <c r="P8" s="27">
        <f>COUNTIFs(Matches!$C:$C,E8,Matches!$A:$A,"&gt;"&amp;Q8,Matches!$A:$A,"&lt;"&amp;R8)</f>
        <v>0</v>
      </c>
      <c r="Q8" s="28">
        <f>VLOOKUP($C$2,Quotas!$A$7:$E$14,2,FALSE)</f>
        <v>46213.70833</v>
      </c>
      <c r="R8" s="28">
        <f>VLOOKUP($C$2,Quotas!$A$7:$E$14,3,FALSE)</f>
        <v>46220.70833</v>
      </c>
    </row>
    <row r="9">
      <c r="A9" s="15" t="str">
        <f t="array" ref="A9">XLOOKUP($E9,'Player Database'!$B$2:$B758,'Player Database'!$C$2:$C758)</f>
        <v>#N/A</v>
      </c>
      <c r="B9" s="15" t="str">
        <f t="array" ref="B9">XLOOKUP($E9,'Player Database'!$B$2:$B758,'Player Database'!$E$2:$E758)</f>
        <v>#N/A</v>
      </c>
      <c r="C9" s="15" t="str">
        <f t="array" ref="C9">XLOOKUP($E9,'Player Database'!$B$2:$B758,'Player Database'!$F$2:$F758)</f>
        <v>#N/A</v>
      </c>
      <c r="D9" s="25">
        <f>IFERROR(__xludf.DUMMYFUNCTION("""COMPUTED_VALUE"""),1.0)</f>
        <v>1</v>
      </c>
      <c r="E9" s="17"/>
      <c r="F9" s="18" t="str">
        <f t="array" ref="F9">XLOOKUP($E9,'Player Database'!$B$2:$B758,'Player Database'!$K$2:$K758)</f>
        <v>#N/A</v>
      </c>
      <c r="G9" s="18" t="str">
        <f t="array" ref="G9">XLOOKUP($E9,'Player Database'!$B$2:$B758,'Player Database'!$H$2:$H758)</f>
        <v>#N/A</v>
      </c>
      <c r="H9" s="18" t="str">
        <f t="array" ref="H9">XLOOKUP($E9,'Player Database'!$B$2:$B758,'Player Database'!$O$2:$O758)</f>
        <v>#N/A</v>
      </c>
      <c r="I9" s="18" t="str">
        <f t="array" ref="I9">XLOOKUP($E9,'Player Database'!$B$2:$B758,'Player Database'!$P$2:$P758)</f>
        <v>#N/A</v>
      </c>
      <c r="J9" s="20" t="str">
        <f t="array" ref="J9">XLOOKUP($E9,'Player Database'!$B$2:$B758,'Player Database'!$U$2:$U758)</f>
        <v>#N/A</v>
      </c>
      <c r="K9" s="22" t="str">
        <f>VLOOKUP(E9, 'Player Database'!B:AE, 30, FALSE)</f>
        <v>#N/A</v>
      </c>
      <c r="L9" s="22" t="str">
        <f t="array" ref="L9">XLOOKUP($E9,'Player Database'!$B$2:$B758,'Player Database'!$W$2:$W758)</f>
        <v>#N/A</v>
      </c>
      <c r="M9" s="23" t="str">
        <f t="shared" si="1"/>
        <v>0 - 0</v>
      </c>
      <c r="N9" s="24" t="str">
        <f t="array" ref="N9">IF(XLOOKUP($E9,'Player Database'!$B$2:$B758,'Player Database'!$AA$2:$AA758)="",XLOOKUP($E9,'Player Database'!$B$2:$B758,'Player Database'!$G$2:$G758),XLOOKUP($E9,'Player Database'!$B$2:$B758,'Player Database'!$AA$2:$AA758))</f>
        <v>#N/A</v>
      </c>
      <c r="O9" s="27">
        <f>COUNTIFs(Matches!$B:$B,E9,Matches!$A:$A,"&gt;"&amp;Q9,Matches!$A:$A,"&lt;"&amp;R9)</f>
        <v>0</v>
      </c>
      <c r="P9" s="27">
        <f>COUNTIFs(Matches!$C:$C,E9,Matches!$A:$A,"&gt;"&amp;Q9,Matches!$A:$A,"&lt;"&amp;R9)</f>
        <v>0</v>
      </c>
      <c r="Q9" s="28">
        <f>VLOOKUP($C$2,Quotas!$A$7:$E$14,2,FALSE)</f>
        <v>46213.70833</v>
      </c>
      <c r="R9" s="28">
        <f>VLOOKUP($C$2,Quotas!$A$7:$E$14,3,FALSE)</f>
        <v>46220.70833</v>
      </c>
    </row>
    <row r="10">
      <c r="A10" s="15" t="str">
        <f t="array" ref="A10">XLOOKUP($E10,'Player Database'!$B$2:$B758,'Player Database'!$C$2:$C758)</f>
        <v>#N/A</v>
      </c>
      <c r="B10" s="15" t="str">
        <f t="array" ref="B10">XLOOKUP($E10,'Player Database'!$B$2:$B758,'Player Database'!$E$2:$E758)</f>
        <v>#N/A</v>
      </c>
      <c r="C10" s="15" t="str">
        <f t="array" ref="C10">XLOOKUP($E10,'Player Database'!$B$2:$B758,'Player Database'!$F$2:$F758)</f>
        <v>#N/A</v>
      </c>
      <c r="D10" s="25">
        <f>IFERROR(__xludf.DUMMYFUNCTION("""COMPUTED_VALUE"""),1.0)</f>
        <v>1</v>
      </c>
      <c r="E10" s="17"/>
      <c r="F10" s="18" t="str">
        <f t="array" ref="F10">XLOOKUP($E10,'Player Database'!$B$2:$B758,'Player Database'!$K$2:$K758)</f>
        <v>#N/A</v>
      </c>
      <c r="G10" s="18" t="str">
        <f t="array" ref="G10">XLOOKUP($E10,'Player Database'!$B$2:$B758,'Player Database'!$H$2:$H758)</f>
        <v>#N/A</v>
      </c>
      <c r="H10" s="18" t="str">
        <f t="array" ref="H10">XLOOKUP($E10,'Player Database'!$B$2:$B758,'Player Database'!$O$2:$O758)</f>
        <v>#N/A</v>
      </c>
      <c r="I10" s="18" t="str">
        <f t="array" ref="I10">XLOOKUP($E10,'Player Database'!$B$2:$B758,'Player Database'!$P$2:$P758)</f>
        <v>#N/A</v>
      </c>
      <c r="J10" s="20" t="str">
        <f t="array" ref="J10">XLOOKUP($E10,'Player Database'!$B$2:$B758,'Player Database'!$U$2:$U758)</f>
        <v>#N/A</v>
      </c>
      <c r="K10" s="22" t="str">
        <f>VLOOKUP(E10, 'Player Database'!B:AE, 30, FALSE)</f>
        <v>#N/A</v>
      </c>
      <c r="L10" s="22" t="str">
        <f t="array" ref="L10">XLOOKUP($E10,'Player Database'!$B$2:$B758,'Player Database'!$W$2:$W758)</f>
        <v>#N/A</v>
      </c>
      <c r="M10" s="23" t="str">
        <f t="shared" si="1"/>
        <v>0 - 0</v>
      </c>
      <c r="N10" s="24" t="str">
        <f t="array" ref="N10">IF(XLOOKUP($E10,'Player Database'!$B$2:$B758,'Player Database'!$AA$2:$AA758)="",XLOOKUP($E10,'Player Database'!$B$2:$B758,'Player Database'!$G$2:$G758),XLOOKUP($E10,'Player Database'!$B$2:$B758,'Player Database'!$AA$2:$AA758))</f>
        <v>#N/A</v>
      </c>
      <c r="O10" s="27">
        <f>COUNTIFs(Matches!$B:$B,E10,Matches!$A:$A,"&gt;"&amp;Q10,Matches!$A:$A,"&lt;"&amp;R10)</f>
        <v>0</v>
      </c>
      <c r="P10" s="27">
        <f>COUNTIFs(Matches!$C:$C,E10,Matches!$A:$A,"&gt;"&amp;Q10,Matches!$A:$A,"&lt;"&amp;R10)</f>
        <v>0</v>
      </c>
      <c r="Q10" s="28">
        <f>VLOOKUP($C$2,Quotas!$A$7:$E$14,2,FALSE)</f>
        <v>46213.70833</v>
      </c>
      <c r="R10" s="28">
        <f>VLOOKUP($C$2,Quotas!$A$7:$E$14,3,FALSE)</f>
        <v>46220.70833</v>
      </c>
    </row>
    <row r="11">
      <c r="A11" s="15" t="str">
        <f t="array" ref="A11">XLOOKUP($E11,'Player Database'!$B$2:$B758,'Player Database'!$C$2:$C758)</f>
        <v>#N/A</v>
      </c>
      <c r="B11" s="15" t="str">
        <f t="array" ref="B11">XLOOKUP($E11,'Player Database'!$B$2:$B758,'Player Database'!$E$2:$E758)</f>
        <v>#N/A</v>
      </c>
      <c r="C11" s="15" t="str">
        <f t="array" ref="C11">XLOOKUP($E11,'Player Database'!$B$2:$B758,'Player Database'!$F$2:$F758)</f>
        <v>#N/A</v>
      </c>
      <c r="D11" s="25">
        <f>IFERROR(__xludf.DUMMYFUNCTION("""COMPUTED_VALUE"""),1.0)</f>
        <v>1</v>
      </c>
      <c r="E11" s="17"/>
      <c r="F11" s="18" t="str">
        <f t="array" ref="F11">XLOOKUP($E11,'Player Database'!$B$2:$B758,'Player Database'!$K$2:$K758)</f>
        <v>#N/A</v>
      </c>
      <c r="G11" s="18" t="str">
        <f t="array" ref="G11">XLOOKUP($E11,'Player Database'!$B$2:$B758,'Player Database'!$H$2:$H758)</f>
        <v>#N/A</v>
      </c>
      <c r="H11" s="18" t="str">
        <f t="array" ref="H11">XLOOKUP($E11,'Player Database'!$B$2:$B758,'Player Database'!$O$2:$O758)</f>
        <v>#N/A</v>
      </c>
      <c r="I11" s="18" t="str">
        <f t="array" ref="I11">XLOOKUP($E11,'Player Database'!$B$2:$B758,'Player Database'!$P$2:$P758)</f>
        <v>#N/A</v>
      </c>
      <c r="J11" s="20" t="str">
        <f t="array" ref="J11">XLOOKUP($E11,'Player Database'!$B$2:$B758,'Player Database'!$U$2:$U758)</f>
        <v>#N/A</v>
      </c>
      <c r="K11" s="22" t="str">
        <f>VLOOKUP(E11, 'Player Database'!B:AE, 30, FALSE)</f>
        <v>#N/A</v>
      </c>
      <c r="L11" s="22" t="str">
        <f t="array" ref="L11">XLOOKUP($E11,'Player Database'!$B$2:$B758,'Player Database'!$W$2:$W758)</f>
        <v>#N/A</v>
      </c>
      <c r="M11" s="23" t="str">
        <f t="shared" si="1"/>
        <v>0 - 0</v>
      </c>
      <c r="N11" s="24" t="str">
        <f t="array" ref="N11">IF(XLOOKUP($E11,'Player Database'!$B$2:$B758,'Player Database'!$AA$2:$AA758)="",XLOOKUP($E11,'Player Database'!$B$2:$B758,'Player Database'!$G$2:$G758),XLOOKUP($E11,'Player Database'!$B$2:$B758,'Player Database'!$AA$2:$AA758))</f>
        <v>#N/A</v>
      </c>
      <c r="O11" s="27">
        <f>COUNTIFs(Matches!$B:$B,E11,Matches!$A:$A,"&gt;"&amp;Q11,Matches!$A:$A,"&lt;"&amp;R11)</f>
        <v>0</v>
      </c>
      <c r="P11" s="27">
        <f>COUNTIFs(Matches!$C:$C,E11,Matches!$A:$A,"&gt;"&amp;Q11,Matches!$A:$A,"&lt;"&amp;R11)</f>
        <v>0</v>
      </c>
      <c r="Q11" s="28">
        <f>VLOOKUP($C$2,Quotas!$A$7:$E$14,2,FALSE)</f>
        <v>46213.70833</v>
      </c>
      <c r="R11" s="28">
        <f>VLOOKUP($C$2,Quotas!$A$7:$E$14,3,FALSE)</f>
        <v>46220.70833</v>
      </c>
    </row>
    <row r="12">
      <c r="A12" s="15" t="str">
        <f t="array" ref="A12">XLOOKUP($E12,'Player Database'!$B$2:$B758,'Player Database'!$C$2:$C758)</f>
        <v>#N/A</v>
      </c>
      <c r="B12" s="15" t="str">
        <f t="array" ref="B12">XLOOKUP($E12,'Player Database'!$B$2:$B758,'Player Database'!$E$2:$E758)</f>
        <v>#N/A</v>
      </c>
      <c r="C12" s="15" t="str">
        <f t="array" ref="C12">XLOOKUP($E12,'Player Database'!$B$2:$B758,'Player Database'!$F$2:$F758)</f>
        <v>#N/A</v>
      </c>
      <c r="D12" s="25">
        <f>IFERROR(__xludf.DUMMYFUNCTION("""COMPUTED_VALUE"""),1.0)</f>
        <v>1</v>
      </c>
      <c r="E12" s="17"/>
      <c r="F12" s="18" t="str">
        <f t="array" ref="F12">XLOOKUP($E12,'Player Database'!$B$2:$B758,'Player Database'!$K$2:$K758)</f>
        <v>#N/A</v>
      </c>
      <c r="G12" s="18" t="str">
        <f t="array" ref="G12">XLOOKUP($E12,'Player Database'!$B$2:$B758,'Player Database'!$H$2:$H758)</f>
        <v>#N/A</v>
      </c>
      <c r="H12" s="18" t="str">
        <f t="array" ref="H12">XLOOKUP($E12,'Player Database'!$B$2:$B758,'Player Database'!$O$2:$O758)</f>
        <v>#N/A</v>
      </c>
      <c r="I12" s="18" t="str">
        <f t="array" ref="I12">XLOOKUP($E12,'Player Database'!$B$2:$B758,'Player Database'!$P$2:$P758)</f>
        <v>#N/A</v>
      </c>
      <c r="J12" s="20" t="str">
        <f t="array" ref="J12">XLOOKUP($E12,'Player Database'!$B$2:$B758,'Player Database'!$U$2:$U758)</f>
        <v>#N/A</v>
      </c>
      <c r="K12" s="22" t="str">
        <f>VLOOKUP(E12, 'Player Database'!B:AE, 30, FALSE)</f>
        <v>#N/A</v>
      </c>
      <c r="L12" s="22" t="str">
        <f t="array" ref="L12">XLOOKUP($E12,'Player Database'!$B$2:$B758,'Player Database'!$W$2:$W758)</f>
        <v>#N/A</v>
      </c>
      <c r="M12" s="23" t="str">
        <f t="shared" si="1"/>
        <v>0 - 0</v>
      </c>
      <c r="N12" s="24" t="str">
        <f t="array" ref="N12">IF(XLOOKUP($E12,'Player Database'!$B$2:$B758,'Player Database'!$AA$2:$AA758)="",XLOOKUP($E12,'Player Database'!$B$2:$B758,'Player Database'!$G$2:$G758),XLOOKUP($E12,'Player Database'!$B$2:$B758,'Player Database'!$AA$2:$AA758))</f>
        <v>#N/A</v>
      </c>
      <c r="O12" s="27">
        <f>COUNTIFs(Matches!$B:$B,E12,Matches!$A:$A,"&gt;"&amp;Q12,Matches!$A:$A,"&lt;"&amp;R12)</f>
        <v>0</v>
      </c>
      <c r="P12" s="27">
        <f>COUNTIFs(Matches!$C:$C,E12,Matches!$A:$A,"&gt;"&amp;Q12,Matches!$A:$A,"&lt;"&amp;R12)</f>
        <v>0</v>
      </c>
      <c r="Q12" s="28">
        <f>VLOOKUP($C$2,Quotas!$A$7:$E$14,2,FALSE)</f>
        <v>46213.70833</v>
      </c>
      <c r="R12" s="28">
        <f>VLOOKUP($C$2,Quotas!$A$7:$E$14,3,FALSE)</f>
        <v>46220.70833</v>
      </c>
    </row>
    <row r="13">
      <c r="A13" s="15" t="str">
        <f t="array" ref="A13">XLOOKUP($E13,'Player Database'!$B$2:$B758,'Player Database'!$C$2:$C758)</f>
        <v>#N/A</v>
      </c>
      <c r="B13" s="15" t="str">
        <f t="array" ref="B13">XLOOKUP($E13,'Player Database'!$B$2:$B758,'Player Database'!$E$2:$E758)</f>
        <v>#N/A</v>
      </c>
      <c r="C13" s="15" t="str">
        <f t="array" ref="C13">XLOOKUP($E13,'Player Database'!$B$2:$B758,'Player Database'!$F$2:$F758)</f>
        <v>#N/A</v>
      </c>
      <c r="D13" s="25">
        <f>IFERROR(__xludf.DUMMYFUNCTION("""COMPUTED_VALUE"""),1.0)</f>
        <v>1</v>
      </c>
      <c r="E13" s="17"/>
      <c r="F13" s="18" t="str">
        <f t="array" ref="F13">XLOOKUP($E13,'Player Database'!$B$2:$B758,'Player Database'!$K$2:$K758)</f>
        <v>#N/A</v>
      </c>
      <c r="G13" s="18" t="str">
        <f t="array" ref="G13">XLOOKUP($E13,'Player Database'!$B$2:$B758,'Player Database'!$H$2:$H758)</f>
        <v>#N/A</v>
      </c>
      <c r="H13" s="18" t="str">
        <f t="array" ref="H13">XLOOKUP($E13,'Player Database'!$B$2:$B758,'Player Database'!$O$2:$O758)</f>
        <v>#N/A</v>
      </c>
      <c r="I13" s="18" t="str">
        <f t="array" ref="I13">XLOOKUP($E13,'Player Database'!$B$2:$B758,'Player Database'!$P$2:$P758)</f>
        <v>#N/A</v>
      </c>
      <c r="J13" s="20" t="str">
        <f t="array" ref="J13">XLOOKUP($E13,'Player Database'!$B$2:$B758,'Player Database'!$U$2:$U758)</f>
        <v>#N/A</v>
      </c>
      <c r="K13" s="22" t="str">
        <f>VLOOKUP(E13, 'Player Database'!B:AE, 30, FALSE)</f>
        <v>#N/A</v>
      </c>
      <c r="L13" s="22" t="str">
        <f t="array" ref="L13">XLOOKUP($E13,'Player Database'!$B$2:$B758,'Player Database'!$W$2:$W758)</f>
        <v>#N/A</v>
      </c>
      <c r="M13" s="23" t="str">
        <f t="shared" si="1"/>
        <v>0 - 0</v>
      </c>
      <c r="N13" s="24" t="str">
        <f t="array" ref="N13">IF(XLOOKUP($E13,'Player Database'!$B$2:$B758,'Player Database'!$AA$2:$AA758)="",XLOOKUP($E13,'Player Database'!$B$2:$B758,'Player Database'!$G$2:$G758),XLOOKUP($E13,'Player Database'!$B$2:$B758,'Player Database'!$AA$2:$AA758))</f>
        <v>#N/A</v>
      </c>
      <c r="O13" s="27">
        <f>COUNTIFs(Matches!$B:$B,E13,Matches!$A:$A,"&gt;"&amp;Q13,Matches!$A:$A,"&lt;"&amp;R13)</f>
        <v>0</v>
      </c>
      <c r="P13" s="27">
        <f>COUNTIFs(Matches!$C:$C,E13,Matches!$A:$A,"&gt;"&amp;Q13,Matches!$A:$A,"&lt;"&amp;R13)</f>
        <v>0</v>
      </c>
      <c r="Q13" s="28">
        <f>VLOOKUP($C$2,Quotas!$A$7:$E$14,2,FALSE)</f>
        <v>46213.70833</v>
      </c>
      <c r="R13" s="28">
        <f>VLOOKUP($C$2,Quotas!$A$7:$E$14,3,FALSE)</f>
        <v>46220.70833</v>
      </c>
    </row>
    <row r="14">
      <c r="A14" s="15" t="str">
        <f t="array" ref="A14">XLOOKUP($E14,'Player Database'!$B$2:$B758,'Player Database'!$C$2:$C758)</f>
        <v>#N/A</v>
      </c>
      <c r="B14" s="15" t="str">
        <f t="array" ref="B14">XLOOKUP($E14,'Player Database'!$B$2:$B758,'Player Database'!$E$2:$E758)</f>
        <v>#N/A</v>
      </c>
      <c r="C14" s="15" t="str">
        <f t="array" ref="C14">XLOOKUP($E14,'Player Database'!$B$2:$B758,'Player Database'!$F$2:$F758)</f>
        <v>#N/A</v>
      </c>
      <c r="D14" s="25">
        <f>IFERROR(__xludf.DUMMYFUNCTION("""COMPUTED_VALUE"""),1.0)</f>
        <v>1</v>
      </c>
      <c r="E14" s="17"/>
      <c r="F14" s="18" t="str">
        <f t="array" ref="F14">XLOOKUP($E14,'Player Database'!$B$2:$B758,'Player Database'!$K$2:$K758)</f>
        <v>#N/A</v>
      </c>
      <c r="G14" s="18" t="str">
        <f t="array" ref="G14">XLOOKUP($E14,'Player Database'!$B$2:$B758,'Player Database'!$H$2:$H758)</f>
        <v>#N/A</v>
      </c>
      <c r="H14" s="18" t="str">
        <f t="array" ref="H14">XLOOKUP($E14,'Player Database'!$B$2:$B758,'Player Database'!$O$2:$O758)</f>
        <v>#N/A</v>
      </c>
      <c r="I14" s="18" t="str">
        <f t="array" ref="I14">XLOOKUP($E14,'Player Database'!$B$2:$B758,'Player Database'!$P$2:$P758)</f>
        <v>#N/A</v>
      </c>
      <c r="J14" s="20" t="str">
        <f t="array" ref="J14">XLOOKUP($E14,'Player Database'!$B$2:$B758,'Player Database'!$U$2:$U758)</f>
        <v>#N/A</v>
      </c>
      <c r="K14" s="22" t="str">
        <f>VLOOKUP(E14, 'Player Database'!B:AE, 30, FALSE)</f>
        <v>#N/A</v>
      </c>
      <c r="L14" s="22" t="str">
        <f t="array" ref="L14">XLOOKUP($E14,'Player Database'!$B$2:$B758,'Player Database'!$W$2:$W758)</f>
        <v>#N/A</v>
      </c>
      <c r="M14" s="23" t="str">
        <f t="shared" si="1"/>
        <v>0 - 0</v>
      </c>
      <c r="N14" s="24" t="str">
        <f t="array" ref="N14">IF(XLOOKUP($E14,'Player Database'!$B$2:$B758,'Player Database'!$AA$2:$AA758)="",XLOOKUP($E14,'Player Database'!$B$2:$B758,'Player Database'!$G$2:$G758),XLOOKUP($E14,'Player Database'!$B$2:$B758,'Player Database'!$AA$2:$AA758))</f>
        <v>#N/A</v>
      </c>
      <c r="O14" s="27">
        <f>COUNTIFs(Matches!$B:$B,E14,Matches!$A:$A,"&gt;"&amp;Q14,Matches!$A:$A,"&lt;"&amp;R14)</f>
        <v>0</v>
      </c>
      <c r="P14" s="27">
        <f>COUNTIFs(Matches!$C:$C,E14,Matches!$A:$A,"&gt;"&amp;Q14,Matches!$A:$A,"&lt;"&amp;R14)</f>
        <v>0</v>
      </c>
      <c r="Q14" s="28">
        <f>VLOOKUP($C$2,Quotas!$A$7:$E$14,2,FALSE)</f>
        <v>46213.70833</v>
      </c>
      <c r="R14" s="28">
        <f>VLOOKUP($C$2,Quotas!$A$7:$E$14,3,FALSE)</f>
        <v>46220.70833</v>
      </c>
    </row>
    <row r="15">
      <c r="A15" s="15" t="str">
        <f t="array" ref="A15">XLOOKUP($E15,'Player Database'!$B$2:$B758,'Player Database'!$C$2:$C758)</f>
        <v>#N/A</v>
      </c>
      <c r="B15" s="15" t="str">
        <f t="array" ref="B15">XLOOKUP($E15,'Player Database'!$B$2:$B758,'Player Database'!$E$2:$E758)</f>
        <v>#N/A</v>
      </c>
      <c r="C15" s="15" t="str">
        <f t="array" ref="C15">XLOOKUP($E15,'Player Database'!$B$2:$B758,'Player Database'!$F$2:$F758)</f>
        <v>#N/A</v>
      </c>
      <c r="D15" s="25">
        <f>IFERROR(__xludf.DUMMYFUNCTION("""COMPUTED_VALUE"""),1.0)</f>
        <v>1</v>
      </c>
      <c r="E15" s="17"/>
      <c r="F15" s="18" t="str">
        <f t="array" ref="F15">XLOOKUP($E15,'Player Database'!$B$2:$B758,'Player Database'!$K$2:$K758)</f>
        <v>#N/A</v>
      </c>
      <c r="G15" s="18" t="str">
        <f t="array" ref="G15">XLOOKUP($E15,'Player Database'!$B$2:$B758,'Player Database'!$H$2:$H758)</f>
        <v>#N/A</v>
      </c>
      <c r="H15" s="18" t="str">
        <f t="array" ref="H15">XLOOKUP($E15,'Player Database'!$B$2:$B758,'Player Database'!$O$2:$O758)</f>
        <v>#N/A</v>
      </c>
      <c r="I15" s="18" t="str">
        <f t="array" ref="I15">XLOOKUP($E15,'Player Database'!$B$2:$B758,'Player Database'!$P$2:$P758)</f>
        <v>#N/A</v>
      </c>
      <c r="J15" s="20" t="str">
        <f t="array" ref="J15">XLOOKUP($E15,'Player Database'!$B$2:$B758,'Player Database'!$U$2:$U758)</f>
        <v>#N/A</v>
      </c>
      <c r="K15" s="22" t="str">
        <f>VLOOKUP(E15, 'Player Database'!B:AE, 30, FALSE)</f>
        <v>#N/A</v>
      </c>
      <c r="L15" s="22" t="str">
        <f t="array" ref="L15">XLOOKUP($E15,'Player Database'!$B$2:$B758,'Player Database'!$W$2:$W758)</f>
        <v>#N/A</v>
      </c>
      <c r="M15" s="23" t="str">
        <f t="shared" si="1"/>
        <v>0 - 0</v>
      </c>
      <c r="N15" s="24" t="str">
        <f t="array" ref="N15">IF(XLOOKUP($E15,'Player Database'!$B$2:$B758,'Player Database'!$AA$2:$AA758)="",XLOOKUP($E15,'Player Database'!$B$2:$B758,'Player Database'!$G$2:$G758),XLOOKUP($E15,'Player Database'!$B$2:$B758,'Player Database'!$AA$2:$AA758))</f>
        <v>#N/A</v>
      </c>
      <c r="O15" s="27">
        <f>COUNTIFs(Matches!$B:$B,E15,Matches!$A:$A,"&gt;"&amp;Q15,Matches!$A:$A,"&lt;"&amp;R15)</f>
        <v>0</v>
      </c>
      <c r="P15" s="27">
        <f>COUNTIFs(Matches!$C:$C,E15,Matches!$A:$A,"&gt;"&amp;Q15,Matches!$A:$A,"&lt;"&amp;R15)</f>
        <v>0</v>
      </c>
      <c r="Q15" s="28">
        <f>VLOOKUP($C$2,Quotas!$A$7:$E$14,2,FALSE)</f>
        <v>46213.70833</v>
      </c>
      <c r="R15" s="28">
        <f>VLOOKUP($C$2,Quotas!$A$7:$E$14,3,FALSE)</f>
        <v>46220.70833</v>
      </c>
    </row>
    <row r="16">
      <c r="A16" s="15" t="str">
        <f t="array" ref="A16">XLOOKUP($E16,'Player Database'!$B$2:$B758,'Player Database'!$C$2:$C758)</f>
        <v>#N/A</v>
      </c>
      <c r="B16" s="15" t="str">
        <f t="array" ref="B16">XLOOKUP($E16,'Player Database'!$B$2:$B758,'Player Database'!$E$2:$E758)</f>
        <v>#N/A</v>
      </c>
      <c r="C16" s="15" t="str">
        <f t="array" ref="C16">XLOOKUP($E16,'Player Database'!$B$2:$B758,'Player Database'!$F$2:$F758)</f>
        <v>#N/A</v>
      </c>
      <c r="D16" s="25">
        <f>IFERROR(__xludf.DUMMYFUNCTION("""COMPUTED_VALUE"""),1.0)</f>
        <v>1</v>
      </c>
      <c r="E16" s="17"/>
      <c r="F16" s="18" t="str">
        <f t="array" ref="F16">XLOOKUP($E16,'Player Database'!$B$2:$B758,'Player Database'!$K$2:$K758)</f>
        <v>#N/A</v>
      </c>
      <c r="G16" s="18" t="str">
        <f t="array" ref="G16">XLOOKUP($E16,'Player Database'!$B$2:$B758,'Player Database'!$H$2:$H758)</f>
        <v>#N/A</v>
      </c>
      <c r="H16" s="18" t="str">
        <f t="array" ref="H16">XLOOKUP($E16,'Player Database'!$B$2:$B758,'Player Database'!$O$2:$O758)</f>
        <v>#N/A</v>
      </c>
      <c r="I16" s="18" t="str">
        <f t="array" ref="I16">XLOOKUP($E16,'Player Database'!$B$2:$B758,'Player Database'!$P$2:$P758)</f>
        <v>#N/A</v>
      </c>
      <c r="J16" s="20" t="str">
        <f t="array" ref="J16">XLOOKUP($E16,'Player Database'!$B$2:$B758,'Player Database'!$U$2:$U758)</f>
        <v>#N/A</v>
      </c>
      <c r="K16" s="22" t="str">
        <f>VLOOKUP(E16, 'Player Database'!B:AE, 30, FALSE)</f>
        <v>#N/A</v>
      </c>
      <c r="L16" s="22" t="str">
        <f t="array" ref="L16">XLOOKUP($E16,'Player Database'!$B$2:$B758,'Player Database'!$W$2:$W758)</f>
        <v>#N/A</v>
      </c>
      <c r="M16" s="23" t="str">
        <f t="shared" si="1"/>
        <v>0 - 0</v>
      </c>
      <c r="N16" s="24" t="str">
        <f t="array" ref="N16">IF(XLOOKUP($E16,'Player Database'!$B$2:$B758,'Player Database'!$AA$2:$AA758)="",XLOOKUP($E16,'Player Database'!$B$2:$B758,'Player Database'!$G$2:$G758),XLOOKUP($E16,'Player Database'!$B$2:$B758,'Player Database'!$AA$2:$AA758))</f>
        <v>#N/A</v>
      </c>
      <c r="O16" s="27">
        <f>COUNTIFs(Matches!$B:$B,E16,Matches!$A:$A,"&gt;"&amp;Q16,Matches!$A:$A,"&lt;"&amp;R16)</f>
        <v>0</v>
      </c>
      <c r="P16" s="27">
        <f>COUNTIFs(Matches!$C:$C,E16,Matches!$A:$A,"&gt;"&amp;Q16,Matches!$A:$A,"&lt;"&amp;R16)</f>
        <v>0</v>
      </c>
      <c r="Q16" s="28">
        <f>VLOOKUP($C$2,Quotas!$A$7:$E$14,2,FALSE)</f>
        <v>46213.70833</v>
      </c>
      <c r="R16" s="28">
        <f>VLOOKUP($C$2,Quotas!$A$7:$E$14,3,FALSE)</f>
        <v>46220.70833</v>
      </c>
    </row>
    <row r="17">
      <c r="A17" s="15" t="str">
        <f t="array" ref="A17">XLOOKUP($E17,'Player Database'!$B$2:$B758,'Player Database'!$C$2:$C758)</f>
        <v>#N/A</v>
      </c>
      <c r="B17" s="15" t="str">
        <f t="array" ref="B17">XLOOKUP($E17,'Player Database'!$B$2:$B758,'Player Database'!$E$2:$E758)</f>
        <v>#N/A</v>
      </c>
      <c r="C17" s="15" t="str">
        <f t="array" ref="C17">XLOOKUP($E17,'Player Database'!$B$2:$B758,'Player Database'!$F$2:$F758)</f>
        <v>#N/A</v>
      </c>
      <c r="D17" s="25">
        <f>IFERROR(__xludf.DUMMYFUNCTION("""COMPUTED_VALUE"""),1.0)</f>
        <v>1</v>
      </c>
      <c r="E17" s="17"/>
      <c r="F17" s="18" t="str">
        <f t="array" ref="F17">XLOOKUP($E17,'Player Database'!$B$2:$B758,'Player Database'!$K$2:$K758)</f>
        <v>#N/A</v>
      </c>
      <c r="G17" s="18" t="str">
        <f t="array" ref="G17">XLOOKUP($E17,'Player Database'!$B$2:$B758,'Player Database'!$H$2:$H758)</f>
        <v>#N/A</v>
      </c>
      <c r="H17" s="18" t="str">
        <f t="array" ref="H17">XLOOKUP($E17,'Player Database'!$B$2:$B758,'Player Database'!$O$2:$O758)</f>
        <v>#N/A</v>
      </c>
      <c r="I17" s="18" t="str">
        <f t="array" ref="I17">XLOOKUP($E17,'Player Database'!$B$2:$B758,'Player Database'!$P$2:$P758)</f>
        <v>#N/A</v>
      </c>
      <c r="J17" s="20" t="str">
        <f t="array" ref="J17">XLOOKUP($E17,'Player Database'!$B$2:$B758,'Player Database'!$U$2:$U758)</f>
        <v>#N/A</v>
      </c>
      <c r="K17" s="22" t="str">
        <f>VLOOKUP(E17, 'Player Database'!B:AE, 30, FALSE)</f>
        <v>#N/A</v>
      </c>
      <c r="L17" s="22" t="str">
        <f t="array" ref="L17">XLOOKUP($E17,'Player Database'!$B$2:$B758,'Player Database'!$W$2:$W758)</f>
        <v>#N/A</v>
      </c>
      <c r="M17" s="23" t="str">
        <f t="shared" si="1"/>
        <v>0 - 0</v>
      </c>
      <c r="N17" s="24" t="str">
        <f t="array" ref="N17">IF(XLOOKUP($E17,'Player Database'!$B$2:$B758,'Player Database'!$AA$2:$AA758)="",XLOOKUP($E17,'Player Database'!$B$2:$B758,'Player Database'!$G$2:$G758),XLOOKUP($E17,'Player Database'!$B$2:$B758,'Player Database'!$AA$2:$AA758))</f>
        <v>#N/A</v>
      </c>
      <c r="O17" s="27">
        <f>COUNTIFs(Matches!$B:$B,E17,Matches!$A:$A,"&gt;"&amp;Q17,Matches!$A:$A,"&lt;"&amp;R17)</f>
        <v>0</v>
      </c>
      <c r="P17" s="27">
        <f>COUNTIFs(Matches!$C:$C,E17,Matches!$A:$A,"&gt;"&amp;Q17,Matches!$A:$A,"&lt;"&amp;R17)</f>
        <v>0</v>
      </c>
      <c r="Q17" s="28">
        <f>VLOOKUP($C$2,Quotas!$A$7:$E$14,2,FALSE)</f>
        <v>46213.70833</v>
      </c>
      <c r="R17" s="28">
        <f>VLOOKUP($C$2,Quotas!$A$7:$E$14,3,FALSE)</f>
        <v>46220.70833</v>
      </c>
    </row>
    <row r="18">
      <c r="A18" s="15" t="str">
        <f t="array" ref="A18">XLOOKUP($E18,'Player Database'!$B$2:$B758,'Player Database'!$C$2:$C758)</f>
        <v>#N/A</v>
      </c>
      <c r="B18" s="15" t="str">
        <f t="array" ref="B18">XLOOKUP($E18,'Player Database'!$B$2:$B758,'Player Database'!$E$2:$E758)</f>
        <v>#N/A</v>
      </c>
      <c r="C18" s="15" t="str">
        <f t="array" ref="C18">XLOOKUP($E18,'Player Database'!$B$2:$B758,'Player Database'!$F$2:$F758)</f>
        <v>#N/A</v>
      </c>
      <c r="D18" s="25">
        <f>IFERROR(__xludf.DUMMYFUNCTION("""COMPUTED_VALUE"""),1.0)</f>
        <v>1</v>
      </c>
      <c r="E18" s="17"/>
      <c r="F18" s="18" t="str">
        <f t="array" ref="F18">XLOOKUP($E18,'Player Database'!$B$2:$B758,'Player Database'!$K$2:$K758)</f>
        <v>#N/A</v>
      </c>
      <c r="G18" s="18" t="str">
        <f t="array" ref="G18">XLOOKUP($E18,'Player Database'!$B$2:$B758,'Player Database'!$H$2:$H758)</f>
        <v>#N/A</v>
      </c>
      <c r="H18" s="18" t="str">
        <f t="array" ref="H18">XLOOKUP($E18,'Player Database'!$B$2:$B758,'Player Database'!$O$2:$O758)</f>
        <v>#N/A</v>
      </c>
      <c r="I18" s="18" t="str">
        <f t="array" ref="I18">XLOOKUP($E18,'Player Database'!$B$2:$B758,'Player Database'!$P$2:$P758)</f>
        <v>#N/A</v>
      </c>
      <c r="J18" s="20" t="str">
        <f t="array" ref="J18">XLOOKUP($E18,'Player Database'!$B$2:$B758,'Player Database'!$U$2:$U758)</f>
        <v>#N/A</v>
      </c>
      <c r="K18" s="22" t="str">
        <f>VLOOKUP(E18, 'Player Database'!B:AE, 30, FALSE)</f>
        <v>#N/A</v>
      </c>
      <c r="L18" s="22" t="str">
        <f t="array" ref="L18">XLOOKUP($E18,'Player Database'!$B$2:$B758,'Player Database'!$W$2:$W758)</f>
        <v>#N/A</v>
      </c>
      <c r="M18" s="23" t="str">
        <f t="shared" si="1"/>
        <v>0 - 0</v>
      </c>
      <c r="N18" s="24" t="str">
        <f t="array" ref="N18">IF(XLOOKUP($E18,'Player Database'!$B$2:$B758,'Player Database'!$AA$2:$AA758)="",XLOOKUP($E18,'Player Database'!$B$2:$B758,'Player Database'!$G$2:$G758),XLOOKUP($E18,'Player Database'!$B$2:$B758,'Player Database'!$AA$2:$AA758))</f>
        <v>#N/A</v>
      </c>
      <c r="O18" s="27">
        <f>COUNTIFs(Matches!$B:$B,E18,Matches!$A:$A,"&gt;"&amp;Q18,Matches!$A:$A,"&lt;"&amp;R18)</f>
        <v>0</v>
      </c>
      <c r="P18" s="27">
        <f>COUNTIFs(Matches!$C:$C,E18,Matches!$A:$A,"&gt;"&amp;Q18,Matches!$A:$A,"&lt;"&amp;R18)</f>
        <v>0</v>
      </c>
      <c r="Q18" s="28">
        <f>VLOOKUP($C$2,Quotas!$A$7:$E$14,2,FALSE)</f>
        <v>46213.70833</v>
      </c>
      <c r="R18" s="28">
        <f>VLOOKUP($C$2,Quotas!$A$7:$E$14,3,FALSE)</f>
        <v>46220.70833</v>
      </c>
    </row>
    <row r="19">
      <c r="A19" s="15" t="str">
        <f t="array" ref="A19">XLOOKUP($E19,'Player Database'!$B$2:$B758,'Player Database'!$C$2:$C758)</f>
        <v>#N/A</v>
      </c>
      <c r="B19" s="15" t="str">
        <f t="array" ref="B19">XLOOKUP($E19,'Player Database'!$B$2:$B758,'Player Database'!$E$2:$E758)</f>
        <v>#N/A</v>
      </c>
      <c r="C19" s="15" t="str">
        <f t="array" ref="C19">XLOOKUP($E19,'Player Database'!$B$2:$B758,'Player Database'!$F$2:$F758)</f>
        <v>#N/A</v>
      </c>
      <c r="D19" s="25">
        <f>IFERROR(__xludf.DUMMYFUNCTION("""COMPUTED_VALUE"""),1.0)</f>
        <v>1</v>
      </c>
      <c r="E19" s="17"/>
      <c r="F19" s="18" t="str">
        <f t="array" ref="F19">XLOOKUP($E19,'Player Database'!$B$2:$B758,'Player Database'!$K$2:$K758)</f>
        <v>#N/A</v>
      </c>
      <c r="G19" s="18" t="str">
        <f t="array" ref="G19">XLOOKUP($E19,'Player Database'!$B$2:$B758,'Player Database'!$H$2:$H758)</f>
        <v>#N/A</v>
      </c>
      <c r="H19" s="18" t="str">
        <f t="array" ref="H19">XLOOKUP($E19,'Player Database'!$B$2:$B758,'Player Database'!$O$2:$O758)</f>
        <v>#N/A</v>
      </c>
      <c r="I19" s="18" t="str">
        <f t="array" ref="I19">XLOOKUP($E19,'Player Database'!$B$2:$B758,'Player Database'!$P$2:$P758)</f>
        <v>#N/A</v>
      </c>
      <c r="J19" s="20" t="str">
        <f t="array" ref="J19">XLOOKUP($E19,'Player Database'!$B$2:$B758,'Player Database'!$U$2:$U758)</f>
        <v>#N/A</v>
      </c>
      <c r="K19" s="22" t="str">
        <f>VLOOKUP(E19, 'Player Database'!B:AE, 30, FALSE)</f>
        <v>#N/A</v>
      </c>
      <c r="L19" s="22" t="str">
        <f t="array" ref="L19">XLOOKUP($E19,'Player Database'!$B$2:$B758,'Player Database'!$W$2:$W758)</f>
        <v>#N/A</v>
      </c>
      <c r="M19" s="23" t="str">
        <f t="shared" si="1"/>
        <v>0 - 0</v>
      </c>
      <c r="N19" s="24" t="str">
        <f t="array" ref="N19">IF(XLOOKUP($E19,'Player Database'!$B$2:$B758,'Player Database'!$AA$2:$AA758)="",XLOOKUP($E19,'Player Database'!$B$2:$B758,'Player Database'!$G$2:$G758),XLOOKUP($E19,'Player Database'!$B$2:$B758,'Player Database'!$AA$2:$AA758))</f>
        <v>#N/A</v>
      </c>
      <c r="O19" s="27">
        <f>COUNTIFs(Matches!$B:$B,E19,Matches!$A:$A,"&gt;"&amp;Q19,Matches!$A:$A,"&lt;"&amp;R19)</f>
        <v>0</v>
      </c>
      <c r="P19" s="27">
        <f>COUNTIFs(Matches!$C:$C,E19,Matches!$A:$A,"&gt;"&amp;Q19,Matches!$A:$A,"&lt;"&amp;R19)</f>
        <v>0</v>
      </c>
      <c r="Q19" s="28">
        <f>VLOOKUP($C$2,Quotas!$A$7:$E$14,2,FALSE)</f>
        <v>46213.70833</v>
      </c>
      <c r="R19" s="28">
        <f>VLOOKUP($C$2,Quotas!$A$7:$E$14,3,FALSE)</f>
        <v>46220.70833</v>
      </c>
    </row>
    <row r="20">
      <c r="A20" s="15" t="str">
        <f t="array" ref="A20">XLOOKUP($E20,'Player Database'!$B$2:$B758,'Player Database'!$C$2:$C758)</f>
        <v>#N/A</v>
      </c>
      <c r="B20" s="15" t="str">
        <f t="array" ref="B20">XLOOKUP($E20,'Player Database'!$B$2:$B758,'Player Database'!$E$2:$E758)</f>
        <v>#N/A</v>
      </c>
      <c r="C20" s="15" t="str">
        <f t="array" ref="C20">XLOOKUP($E20,'Player Database'!$B$2:$B758,'Player Database'!$F$2:$F758)</f>
        <v>#N/A</v>
      </c>
      <c r="D20" s="25">
        <f>IFERROR(__xludf.DUMMYFUNCTION("""COMPUTED_VALUE"""),1.0)</f>
        <v>1</v>
      </c>
      <c r="E20" s="17"/>
      <c r="F20" s="18" t="str">
        <f t="array" ref="F20">XLOOKUP($E20,'Player Database'!$B$2:$B758,'Player Database'!$K$2:$K758)</f>
        <v>#N/A</v>
      </c>
      <c r="G20" s="18" t="str">
        <f t="array" ref="G20">XLOOKUP($E20,'Player Database'!$B$2:$B758,'Player Database'!$H$2:$H758)</f>
        <v>#N/A</v>
      </c>
      <c r="H20" s="18" t="str">
        <f t="array" ref="H20">XLOOKUP($E20,'Player Database'!$B$2:$B758,'Player Database'!$O$2:$O758)</f>
        <v>#N/A</v>
      </c>
      <c r="I20" s="18" t="str">
        <f t="array" ref="I20">XLOOKUP($E20,'Player Database'!$B$2:$B758,'Player Database'!$P$2:$P758)</f>
        <v>#N/A</v>
      </c>
      <c r="J20" s="20" t="str">
        <f t="array" ref="J20">XLOOKUP($E20,'Player Database'!$B$2:$B758,'Player Database'!$U$2:$U758)</f>
        <v>#N/A</v>
      </c>
      <c r="K20" s="22" t="str">
        <f>VLOOKUP(E20, 'Player Database'!B:AE, 30, FALSE)</f>
        <v>#N/A</v>
      </c>
      <c r="L20" s="22" t="str">
        <f t="array" ref="L20">XLOOKUP($E20,'Player Database'!$B$2:$B758,'Player Database'!$W$2:$W758)</f>
        <v>#N/A</v>
      </c>
      <c r="M20" s="23" t="str">
        <f t="shared" si="1"/>
        <v>0 - 0</v>
      </c>
      <c r="N20" s="24" t="str">
        <f t="array" ref="N20">IF(XLOOKUP($E20,'Player Database'!$B$2:$B758,'Player Database'!$AA$2:$AA758)="",XLOOKUP($E20,'Player Database'!$B$2:$B758,'Player Database'!$G$2:$G758),XLOOKUP($E20,'Player Database'!$B$2:$B758,'Player Database'!$AA$2:$AA758))</f>
        <v>#N/A</v>
      </c>
      <c r="O20" s="27">
        <f>COUNTIFs(Matches!$B:$B,E20,Matches!$A:$A,"&gt;"&amp;Q20,Matches!$A:$A,"&lt;"&amp;R20)</f>
        <v>0</v>
      </c>
      <c r="P20" s="27">
        <f>COUNTIFs(Matches!$C:$C,E20,Matches!$A:$A,"&gt;"&amp;Q20,Matches!$A:$A,"&lt;"&amp;R20)</f>
        <v>0</v>
      </c>
      <c r="Q20" s="28">
        <f>VLOOKUP($C$2,Quotas!$A$7:$E$14,2,FALSE)</f>
        <v>46213.70833</v>
      </c>
      <c r="R20" s="28">
        <f>VLOOKUP($C$2,Quotas!$A$7:$E$14,3,FALSE)</f>
        <v>46220.70833</v>
      </c>
    </row>
    <row r="21">
      <c r="A21" s="15" t="str">
        <f t="array" ref="A21">XLOOKUP($E21,'Player Database'!$B$2:$B758,'Player Database'!$C$2:$C758)</f>
        <v>#N/A</v>
      </c>
      <c r="B21" s="15" t="str">
        <f t="array" ref="B21">XLOOKUP($E21,'Player Database'!$B$2:$B758,'Player Database'!$E$2:$E758)</f>
        <v>#N/A</v>
      </c>
      <c r="C21" s="15" t="str">
        <f t="array" ref="C21">XLOOKUP($E21,'Player Database'!$B$2:$B758,'Player Database'!$F$2:$F758)</f>
        <v>#N/A</v>
      </c>
      <c r="D21" s="25">
        <f>IFERROR(__xludf.DUMMYFUNCTION("""COMPUTED_VALUE"""),1.0)</f>
        <v>1</v>
      </c>
      <c r="E21" s="17"/>
      <c r="F21" s="18" t="str">
        <f t="array" ref="F21">XLOOKUP($E21,'Player Database'!$B$2:$B758,'Player Database'!$K$2:$K758)</f>
        <v>#N/A</v>
      </c>
      <c r="G21" s="18" t="str">
        <f t="array" ref="G21">XLOOKUP($E21,'Player Database'!$B$2:$B758,'Player Database'!$H$2:$H758)</f>
        <v>#N/A</v>
      </c>
      <c r="H21" s="18" t="str">
        <f t="array" ref="H21">XLOOKUP($E21,'Player Database'!$B$2:$B758,'Player Database'!$O$2:$O758)</f>
        <v>#N/A</v>
      </c>
      <c r="I21" s="18" t="str">
        <f t="array" ref="I21">XLOOKUP($E21,'Player Database'!$B$2:$B758,'Player Database'!$P$2:$P758)</f>
        <v>#N/A</v>
      </c>
      <c r="J21" s="20" t="str">
        <f t="array" ref="J21">XLOOKUP($E21,'Player Database'!$B$2:$B758,'Player Database'!$U$2:$U758)</f>
        <v>#N/A</v>
      </c>
      <c r="K21" s="22" t="str">
        <f>VLOOKUP(E21, 'Player Database'!B:AE, 30, FALSE)</f>
        <v>#N/A</v>
      </c>
      <c r="L21" s="22" t="str">
        <f t="array" ref="L21">XLOOKUP($E21,'Player Database'!$B$2:$B758,'Player Database'!$W$2:$W758)</f>
        <v>#N/A</v>
      </c>
      <c r="M21" s="23" t="str">
        <f t="shared" si="1"/>
        <v>0 - 0</v>
      </c>
      <c r="N21" s="24" t="str">
        <f t="array" ref="N21">IF(XLOOKUP($E21,'Player Database'!$B$2:$B758,'Player Database'!$AA$2:$AA758)="",XLOOKUP($E21,'Player Database'!$B$2:$B758,'Player Database'!$G$2:$G758),XLOOKUP($E21,'Player Database'!$B$2:$B758,'Player Database'!$AA$2:$AA758))</f>
        <v>#N/A</v>
      </c>
      <c r="O21" s="27">
        <f>COUNTIFs(Matches!$B:$B,E21,Matches!$A:$A,"&gt;"&amp;Q21,Matches!$A:$A,"&lt;"&amp;R21)</f>
        <v>0</v>
      </c>
      <c r="P21" s="27">
        <f>COUNTIFs(Matches!$C:$C,E21,Matches!$A:$A,"&gt;"&amp;Q21,Matches!$A:$A,"&lt;"&amp;R21)</f>
        <v>0</v>
      </c>
      <c r="Q21" s="28">
        <f>VLOOKUP($C$2,Quotas!$A$7:$E$14,2,FALSE)</f>
        <v>46213.70833</v>
      </c>
      <c r="R21" s="28">
        <f>VLOOKUP($C$2,Quotas!$A$7:$E$14,3,FALSE)</f>
        <v>46220.70833</v>
      </c>
    </row>
    <row r="22">
      <c r="A22" s="15" t="str">
        <f t="array" ref="A22">XLOOKUP($E22,'Player Database'!$B$2:$B758,'Player Database'!$C$2:$C758)</f>
        <v>#N/A</v>
      </c>
      <c r="B22" s="15" t="str">
        <f t="array" ref="B22">XLOOKUP($E22,'Player Database'!$B$2:$B758,'Player Database'!$E$2:$E758)</f>
        <v>#N/A</v>
      </c>
      <c r="C22" s="15" t="str">
        <f t="array" ref="C22">XLOOKUP($E22,'Player Database'!$B$2:$B758,'Player Database'!$F$2:$F758)</f>
        <v>#N/A</v>
      </c>
      <c r="D22" s="25">
        <f>IFERROR(__xludf.DUMMYFUNCTION("""COMPUTED_VALUE"""),1.0)</f>
        <v>1</v>
      </c>
      <c r="E22" s="17"/>
      <c r="F22" s="18" t="str">
        <f t="array" ref="F22">XLOOKUP($E22,'Player Database'!$B$2:$B758,'Player Database'!$K$2:$K758)</f>
        <v>#N/A</v>
      </c>
      <c r="G22" s="18" t="str">
        <f t="array" ref="G22">XLOOKUP($E22,'Player Database'!$B$2:$B758,'Player Database'!$H$2:$H758)</f>
        <v>#N/A</v>
      </c>
      <c r="H22" s="18" t="str">
        <f t="array" ref="H22">XLOOKUP($E22,'Player Database'!$B$2:$B758,'Player Database'!$O$2:$O758)</f>
        <v>#N/A</v>
      </c>
      <c r="I22" s="18" t="str">
        <f t="array" ref="I22">XLOOKUP($E22,'Player Database'!$B$2:$B758,'Player Database'!$P$2:$P758)</f>
        <v>#N/A</v>
      </c>
      <c r="J22" s="20" t="str">
        <f t="array" ref="J22">XLOOKUP($E22,'Player Database'!$B$2:$B758,'Player Database'!$U$2:$U758)</f>
        <v>#N/A</v>
      </c>
      <c r="K22" s="22" t="str">
        <f>VLOOKUP(E22, 'Player Database'!B:AE, 30, FALSE)</f>
        <v>#N/A</v>
      </c>
      <c r="L22" s="22" t="str">
        <f t="array" ref="L22">XLOOKUP($E22,'Player Database'!$B$2:$B758,'Player Database'!$W$2:$W758)</f>
        <v>#N/A</v>
      </c>
      <c r="M22" s="23" t="str">
        <f t="shared" si="1"/>
        <v>0 - 0</v>
      </c>
      <c r="N22" s="24" t="str">
        <f t="array" ref="N22">IF(XLOOKUP($E22,'Player Database'!$B$2:$B758,'Player Database'!$AA$2:$AA758)="",XLOOKUP($E22,'Player Database'!$B$2:$B758,'Player Database'!$G$2:$G758),XLOOKUP($E22,'Player Database'!$B$2:$B758,'Player Database'!$AA$2:$AA758))</f>
        <v>#N/A</v>
      </c>
      <c r="O22" s="27">
        <f>COUNTIFs(Matches!$B:$B,E22,Matches!$A:$A,"&gt;"&amp;Q22,Matches!$A:$A,"&lt;"&amp;R22)</f>
        <v>0</v>
      </c>
      <c r="P22" s="27">
        <f>COUNTIFs(Matches!$C:$C,E22,Matches!$A:$A,"&gt;"&amp;Q22,Matches!$A:$A,"&lt;"&amp;R22)</f>
        <v>0</v>
      </c>
      <c r="Q22" s="28">
        <f>VLOOKUP($C$2,Quotas!$A$7:$E$14,2,FALSE)</f>
        <v>46213.70833</v>
      </c>
      <c r="R22" s="28">
        <f>VLOOKUP($C$2,Quotas!$A$7:$E$14,3,FALSE)</f>
        <v>46220.70833</v>
      </c>
    </row>
    <row r="23">
      <c r="A23" s="15" t="str">
        <f t="array" ref="A23">XLOOKUP($E23,'Player Database'!$B$2:$B758,'Player Database'!$C$2:$C758)</f>
        <v>#N/A</v>
      </c>
      <c r="B23" s="15" t="str">
        <f t="array" ref="B23">XLOOKUP($E23,'Player Database'!$B$2:$B758,'Player Database'!$E$2:$E758)</f>
        <v>#N/A</v>
      </c>
      <c r="C23" s="15" t="str">
        <f t="array" ref="C23">XLOOKUP($E23,'Player Database'!$B$2:$B758,'Player Database'!$F$2:$F758)</f>
        <v>#N/A</v>
      </c>
      <c r="D23" s="25">
        <f>IFERROR(__xludf.DUMMYFUNCTION("""COMPUTED_VALUE"""),1.0)</f>
        <v>1</v>
      </c>
      <c r="E23" s="17"/>
      <c r="F23" s="18" t="str">
        <f t="array" ref="F23">XLOOKUP($E23,'Player Database'!$B$2:$B758,'Player Database'!$K$2:$K758)</f>
        <v>#N/A</v>
      </c>
      <c r="G23" s="18" t="str">
        <f t="array" ref="G23">XLOOKUP($E23,'Player Database'!$B$2:$B758,'Player Database'!$H$2:$H758)</f>
        <v>#N/A</v>
      </c>
      <c r="H23" s="18" t="str">
        <f t="array" ref="H23">XLOOKUP($E23,'Player Database'!$B$2:$B758,'Player Database'!$O$2:$O758)</f>
        <v>#N/A</v>
      </c>
      <c r="I23" s="18" t="str">
        <f t="array" ref="I23">XLOOKUP($E23,'Player Database'!$B$2:$B758,'Player Database'!$P$2:$P758)</f>
        <v>#N/A</v>
      </c>
      <c r="J23" s="20" t="str">
        <f t="array" ref="J23">XLOOKUP($E23,'Player Database'!$B$2:$B758,'Player Database'!$U$2:$U758)</f>
        <v>#N/A</v>
      </c>
      <c r="K23" s="22" t="str">
        <f>VLOOKUP(E23, 'Player Database'!B:AE, 30, FALSE)</f>
        <v>#N/A</v>
      </c>
      <c r="L23" s="22" t="str">
        <f t="array" ref="L23">XLOOKUP($E23,'Player Database'!$B$2:$B758,'Player Database'!$W$2:$W758)</f>
        <v>#N/A</v>
      </c>
      <c r="M23" s="23" t="str">
        <f t="shared" si="1"/>
        <v>0 - 0</v>
      </c>
      <c r="N23" s="24" t="str">
        <f t="array" ref="N23">IF(XLOOKUP($E23,'Player Database'!$B$2:$B758,'Player Database'!$AA$2:$AA758)="",XLOOKUP($E23,'Player Database'!$B$2:$B758,'Player Database'!$G$2:$G758),XLOOKUP($E23,'Player Database'!$B$2:$B758,'Player Database'!$AA$2:$AA758))</f>
        <v>#N/A</v>
      </c>
      <c r="O23" s="27">
        <f>COUNTIFs(Matches!$B:$B,E23,Matches!$A:$A,"&gt;"&amp;Q23,Matches!$A:$A,"&lt;"&amp;R23)</f>
        <v>0</v>
      </c>
      <c r="P23" s="27">
        <f>COUNTIFs(Matches!$C:$C,E23,Matches!$A:$A,"&gt;"&amp;Q23,Matches!$A:$A,"&lt;"&amp;R23)</f>
        <v>0</v>
      </c>
      <c r="Q23" s="28">
        <f>VLOOKUP($C$2,Quotas!$A$7:$E$14,2,FALSE)</f>
        <v>46213.70833</v>
      </c>
      <c r="R23" s="28">
        <f>VLOOKUP($C$2,Quotas!$A$7:$E$14,3,FALSE)</f>
        <v>46220.70833</v>
      </c>
    </row>
    <row r="24">
      <c r="A24" s="15" t="str">
        <f t="array" ref="A24">XLOOKUP($E24,'Player Database'!$B$2:$B758,'Player Database'!$C$2:$C758)</f>
        <v>#N/A</v>
      </c>
      <c r="B24" s="15" t="str">
        <f t="array" ref="B24">XLOOKUP($E24,'Player Database'!$B$2:$B758,'Player Database'!$E$2:$E758)</f>
        <v>#N/A</v>
      </c>
      <c r="C24" s="15" t="str">
        <f t="array" ref="C24">XLOOKUP($E24,'Player Database'!$B$2:$B758,'Player Database'!$F$2:$F758)</f>
        <v>#N/A</v>
      </c>
      <c r="D24" s="25">
        <f>IFERROR(__xludf.DUMMYFUNCTION("""COMPUTED_VALUE"""),1.0)</f>
        <v>1</v>
      </c>
      <c r="E24" s="17"/>
      <c r="F24" s="18" t="str">
        <f t="array" ref="F24">XLOOKUP($E24,'Player Database'!$B$2:$B758,'Player Database'!$K$2:$K758)</f>
        <v>#N/A</v>
      </c>
      <c r="G24" s="18" t="str">
        <f t="array" ref="G24">XLOOKUP($E24,'Player Database'!$B$2:$B758,'Player Database'!$H$2:$H758)</f>
        <v>#N/A</v>
      </c>
      <c r="H24" s="18" t="str">
        <f t="array" ref="H24">XLOOKUP($E24,'Player Database'!$B$2:$B758,'Player Database'!$O$2:$O758)</f>
        <v>#N/A</v>
      </c>
      <c r="I24" s="18" t="str">
        <f t="array" ref="I24">XLOOKUP($E24,'Player Database'!$B$2:$B758,'Player Database'!$P$2:$P758)</f>
        <v>#N/A</v>
      </c>
      <c r="J24" s="20" t="str">
        <f t="array" ref="J24">XLOOKUP($E24,'Player Database'!$B$2:$B758,'Player Database'!$U$2:$U758)</f>
        <v>#N/A</v>
      </c>
      <c r="K24" s="22" t="str">
        <f>VLOOKUP(E24, 'Player Database'!B:AE, 30, FALSE)</f>
        <v>#N/A</v>
      </c>
      <c r="L24" s="22" t="str">
        <f t="array" ref="L24">XLOOKUP($E24,'Player Database'!$B$2:$B758,'Player Database'!$W$2:$W758)</f>
        <v>#N/A</v>
      </c>
      <c r="M24" s="23" t="str">
        <f t="shared" si="1"/>
        <v>0 - 0</v>
      </c>
      <c r="N24" s="24" t="str">
        <f t="array" ref="N24">IF(XLOOKUP($E24,'Player Database'!$B$2:$B758,'Player Database'!$AA$2:$AA758)="",XLOOKUP($E24,'Player Database'!$B$2:$B758,'Player Database'!$G$2:$G758),XLOOKUP($E24,'Player Database'!$B$2:$B758,'Player Database'!$AA$2:$AA758))</f>
        <v>#N/A</v>
      </c>
      <c r="O24" s="27">
        <f>COUNTIFs(Matches!$B:$B,E24,Matches!$A:$A,"&gt;"&amp;Q24,Matches!$A:$A,"&lt;"&amp;R24)</f>
        <v>0</v>
      </c>
      <c r="P24" s="27">
        <f>COUNTIFs(Matches!$C:$C,E24,Matches!$A:$A,"&gt;"&amp;Q24,Matches!$A:$A,"&lt;"&amp;R24)</f>
        <v>0</v>
      </c>
      <c r="Q24" s="28">
        <f>VLOOKUP($C$2,Quotas!$A$7:$E$14,2,FALSE)</f>
        <v>46213.70833</v>
      </c>
      <c r="R24" s="28">
        <f>VLOOKUP($C$2,Quotas!$A$7:$E$14,3,FALSE)</f>
        <v>46220.70833</v>
      </c>
    </row>
    <row r="25">
      <c r="A25" s="15" t="str">
        <f t="array" ref="A25">XLOOKUP($E25,'Player Database'!$B$2:$B758,'Player Database'!$C$2:$C758)</f>
        <v>#N/A</v>
      </c>
      <c r="B25" s="15" t="str">
        <f t="array" ref="B25">XLOOKUP($E25,'Player Database'!$B$2:$B758,'Player Database'!$E$2:$E758)</f>
        <v>#N/A</v>
      </c>
      <c r="C25" s="15" t="str">
        <f t="array" ref="C25">XLOOKUP($E25,'Player Database'!$B$2:$B758,'Player Database'!$F$2:$F758)</f>
        <v>#N/A</v>
      </c>
      <c r="D25" s="25">
        <f>IFERROR(__xludf.DUMMYFUNCTION("""COMPUTED_VALUE"""),1.0)</f>
        <v>1</v>
      </c>
      <c r="E25" s="17"/>
      <c r="F25" s="18" t="str">
        <f t="array" ref="F25">XLOOKUP($E25,'Player Database'!$B$2:$B758,'Player Database'!$K$2:$K758)</f>
        <v>#N/A</v>
      </c>
      <c r="G25" s="18" t="str">
        <f t="array" ref="G25">XLOOKUP($E25,'Player Database'!$B$2:$B758,'Player Database'!$H$2:$H758)</f>
        <v>#N/A</v>
      </c>
      <c r="H25" s="18" t="str">
        <f t="array" ref="H25">XLOOKUP($E25,'Player Database'!$B$2:$B758,'Player Database'!$O$2:$O758)</f>
        <v>#N/A</v>
      </c>
      <c r="I25" s="18" t="str">
        <f t="array" ref="I25">XLOOKUP($E25,'Player Database'!$B$2:$B758,'Player Database'!$P$2:$P758)</f>
        <v>#N/A</v>
      </c>
      <c r="J25" s="20" t="str">
        <f t="array" ref="J25">XLOOKUP($E25,'Player Database'!$B$2:$B758,'Player Database'!$U$2:$U758)</f>
        <v>#N/A</v>
      </c>
      <c r="K25" s="22" t="str">
        <f>VLOOKUP(E25, 'Player Database'!B:AE, 30, FALSE)</f>
        <v>#N/A</v>
      </c>
      <c r="L25" s="22" t="str">
        <f t="array" ref="L25">XLOOKUP($E25,'Player Database'!$B$2:$B758,'Player Database'!$W$2:$W758)</f>
        <v>#N/A</v>
      </c>
      <c r="M25" s="23" t="str">
        <f t="shared" si="1"/>
        <v>0 - 0</v>
      </c>
      <c r="N25" s="24" t="str">
        <f t="array" ref="N25">IF(XLOOKUP($E25,'Player Database'!$B$2:$B758,'Player Database'!$AA$2:$AA758)="",XLOOKUP($E25,'Player Database'!$B$2:$B758,'Player Database'!$G$2:$G758),XLOOKUP($E25,'Player Database'!$B$2:$B758,'Player Database'!$AA$2:$AA758))</f>
        <v>#N/A</v>
      </c>
      <c r="O25" s="27">
        <f>COUNTIFs(Matches!$B:$B,E25,Matches!$A:$A,"&gt;"&amp;Q25,Matches!$A:$A,"&lt;"&amp;R25)</f>
        <v>0</v>
      </c>
      <c r="P25" s="27">
        <f>COUNTIFs(Matches!$C:$C,E25,Matches!$A:$A,"&gt;"&amp;Q25,Matches!$A:$A,"&lt;"&amp;R25)</f>
        <v>0</v>
      </c>
      <c r="Q25" s="28">
        <f>VLOOKUP($C$2,Quotas!$A$7:$E$14,2,FALSE)</f>
        <v>46213.70833</v>
      </c>
      <c r="R25" s="28">
        <f>VLOOKUP($C$2,Quotas!$A$7:$E$14,3,FALSE)</f>
        <v>46220.70833</v>
      </c>
    </row>
    <row r="26">
      <c r="A26" s="15" t="str">
        <f t="array" ref="A26">XLOOKUP($E26,'Player Database'!$B$2:$B758,'Player Database'!$C$2:$C758)</f>
        <v>#N/A</v>
      </c>
      <c r="B26" s="15" t="str">
        <f t="array" ref="B26">XLOOKUP($E26,'Player Database'!$B$2:$B758,'Player Database'!$E$2:$E758)</f>
        <v>#N/A</v>
      </c>
      <c r="C26" s="15" t="str">
        <f t="array" ref="C26">XLOOKUP($E26,'Player Database'!$B$2:$B758,'Player Database'!$F$2:$F758)</f>
        <v>#N/A</v>
      </c>
      <c r="D26" s="25">
        <f>IFERROR(__xludf.DUMMYFUNCTION("""COMPUTED_VALUE"""),1.0)</f>
        <v>1</v>
      </c>
      <c r="E26" s="17"/>
      <c r="F26" s="18" t="str">
        <f t="array" ref="F26">XLOOKUP($E26,'Player Database'!$B$2:$B758,'Player Database'!$K$2:$K758)</f>
        <v>#N/A</v>
      </c>
      <c r="G26" s="18" t="str">
        <f t="array" ref="G26">XLOOKUP($E26,'Player Database'!$B$2:$B758,'Player Database'!$H$2:$H758)</f>
        <v>#N/A</v>
      </c>
      <c r="H26" s="18" t="str">
        <f t="array" ref="H26">XLOOKUP($E26,'Player Database'!$B$2:$B758,'Player Database'!$O$2:$O758)</f>
        <v>#N/A</v>
      </c>
      <c r="I26" s="18" t="str">
        <f t="array" ref="I26">XLOOKUP($E26,'Player Database'!$B$2:$B758,'Player Database'!$P$2:$P758)</f>
        <v>#N/A</v>
      </c>
      <c r="J26" s="20" t="str">
        <f t="array" ref="J26">XLOOKUP($E26,'Player Database'!$B$2:$B758,'Player Database'!$U$2:$U758)</f>
        <v>#N/A</v>
      </c>
      <c r="K26" s="22" t="str">
        <f>VLOOKUP(E26, 'Player Database'!B:AE, 30, FALSE)</f>
        <v>#N/A</v>
      </c>
      <c r="L26" s="22" t="str">
        <f t="array" ref="L26">XLOOKUP($E26,'Player Database'!$B$2:$B758,'Player Database'!$W$2:$W758)</f>
        <v>#N/A</v>
      </c>
      <c r="M26" s="23" t="str">
        <f t="shared" si="1"/>
        <v>0 - 0</v>
      </c>
      <c r="N26" s="24" t="str">
        <f t="array" ref="N26">IF(XLOOKUP($E26,'Player Database'!$B$2:$B758,'Player Database'!$AA$2:$AA758)="",XLOOKUP($E26,'Player Database'!$B$2:$B758,'Player Database'!$G$2:$G758),XLOOKUP($E26,'Player Database'!$B$2:$B758,'Player Database'!$AA$2:$AA758))</f>
        <v>#N/A</v>
      </c>
      <c r="O26" s="27">
        <f>COUNTIFs(Matches!$B:$B,E26,Matches!$A:$A,"&gt;"&amp;Q26,Matches!$A:$A,"&lt;"&amp;R26)</f>
        <v>0</v>
      </c>
      <c r="P26" s="27">
        <f>COUNTIFs(Matches!$C:$C,E26,Matches!$A:$A,"&gt;"&amp;Q26,Matches!$A:$A,"&lt;"&amp;R26)</f>
        <v>0</v>
      </c>
      <c r="Q26" s="28">
        <f>VLOOKUP($C$2,Quotas!$A$7:$E$14,2,FALSE)</f>
        <v>46213.70833</v>
      </c>
      <c r="R26" s="28">
        <f>VLOOKUP($C$2,Quotas!$A$7:$E$14,3,FALSE)</f>
        <v>46220.70833</v>
      </c>
    </row>
    <row r="27">
      <c r="A27" s="15" t="str">
        <f t="array" ref="A27">XLOOKUP($E27,'Player Database'!$B$2:$B758,'Player Database'!$C$2:$C758)</f>
        <v>#N/A</v>
      </c>
      <c r="B27" s="15" t="str">
        <f t="array" ref="B27">XLOOKUP($E27,'Player Database'!$B$2:$B758,'Player Database'!$E$2:$E758)</f>
        <v>#N/A</v>
      </c>
      <c r="C27" s="15" t="str">
        <f t="array" ref="C27">XLOOKUP($E27,'Player Database'!$B$2:$B758,'Player Database'!$F$2:$F758)</f>
        <v>#N/A</v>
      </c>
      <c r="D27" s="25">
        <f>IFERROR(__xludf.DUMMYFUNCTION("""COMPUTED_VALUE"""),1.0)</f>
        <v>1</v>
      </c>
      <c r="E27" s="17"/>
      <c r="F27" s="18" t="str">
        <f t="array" ref="F27">XLOOKUP($E27,'Player Database'!$B$2:$B758,'Player Database'!$K$2:$K758)</f>
        <v>#N/A</v>
      </c>
      <c r="G27" s="18" t="str">
        <f t="array" ref="G27">XLOOKUP($E27,'Player Database'!$B$2:$B758,'Player Database'!$H$2:$H758)</f>
        <v>#N/A</v>
      </c>
      <c r="H27" s="18" t="str">
        <f t="array" ref="H27">XLOOKUP($E27,'Player Database'!$B$2:$B758,'Player Database'!$O$2:$O758)</f>
        <v>#N/A</v>
      </c>
      <c r="I27" s="18" t="str">
        <f t="array" ref="I27">XLOOKUP($E27,'Player Database'!$B$2:$B758,'Player Database'!$P$2:$P758)</f>
        <v>#N/A</v>
      </c>
      <c r="J27" s="20" t="str">
        <f t="array" ref="J27">XLOOKUP($E27,'Player Database'!$B$2:$B758,'Player Database'!$U$2:$U758)</f>
        <v>#N/A</v>
      </c>
      <c r="K27" s="22" t="str">
        <f>VLOOKUP(E27, 'Player Database'!B:AE, 30, FALSE)</f>
        <v>#N/A</v>
      </c>
      <c r="L27" s="22" t="str">
        <f t="array" ref="L27">XLOOKUP($E27,'Player Database'!$B$2:$B758,'Player Database'!$W$2:$W758)</f>
        <v>#N/A</v>
      </c>
      <c r="M27" s="23" t="str">
        <f t="shared" si="1"/>
        <v>0 - 0</v>
      </c>
      <c r="N27" s="24" t="str">
        <f t="array" ref="N27">IF(XLOOKUP($E27,'Player Database'!$B$2:$B758,'Player Database'!$AA$2:$AA758)="",XLOOKUP($E27,'Player Database'!$B$2:$B758,'Player Database'!$G$2:$G758),XLOOKUP($E27,'Player Database'!$B$2:$B758,'Player Database'!$AA$2:$AA758))</f>
        <v>#N/A</v>
      </c>
      <c r="O27" s="27">
        <f>COUNTIFs(Matches!$B:$B,E27,Matches!$A:$A,"&gt;"&amp;Q27,Matches!$A:$A,"&lt;"&amp;R27)</f>
        <v>0</v>
      </c>
      <c r="P27" s="27">
        <f>COUNTIFs(Matches!$C:$C,E27,Matches!$A:$A,"&gt;"&amp;Q27,Matches!$A:$A,"&lt;"&amp;R27)</f>
        <v>0</v>
      </c>
      <c r="Q27" s="28">
        <f>VLOOKUP($C$2,Quotas!$A$7:$E$14,2,FALSE)</f>
        <v>46213.70833</v>
      </c>
      <c r="R27" s="28">
        <f>VLOOKUP($C$2,Quotas!$A$7:$E$14,3,FALSE)</f>
        <v>46220.70833</v>
      </c>
    </row>
    <row r="28">
      <c r="A28" s="15" t="str">
        <f t="array" ref="A28">XLOOKUP($E28,'Player Database'!$B$2:$B758,'Player Database'!$C$2:$C758)</f>
        <v>#N/A</v>
      </c>
      <c r="B28" s="15" t="str">
        <f t="array" ref="B28">XLOOKUP($E28,'Player Database'!$B$2:$B758,'Player Database'!$E$2:$E758)</f>
        <v>#N/A</v>
      </c>
      <c r="C28" s="15" t="str">
        <f t="array" ref="C28">XLOOKUP($E28,'Player Database'!$B$2:$B758,'Player Database'!$F$2:$F758)</f>
        <v>#N/A</v>
      </c>
      <c r="D28" s="25">
        <f>IFERROR(__xludf.DUMMYFUNCTION("""COMPUTED_VALUE"""),1.0)</f>
        <v>1</v>
      </c>
      <c r="E28" s="17"/>
      <c r="F28" s="18" t="str">
        <f t="array" ref="F28">XLOOKUP($E28,'Player Database'!$B$2:$B758,'Player Database'!$K$2:$K758)</f>
        <v>#N/A</v>
      </c>
      <c r="G28" s="18" t="str">
        <f t="array" ref="G28">XLOOKUP($E28,'Player Database'!$B$2:$B758,'Player Database'!$H$2:$H758)</f>
        <v>#N/A</v>
      </c>
      <c r="H28" s="18" t="str">
        <f t="array" ref="H28">XLOOKUP($E28,'Player Database'!$B$2:$B758,'Player Database'!$O$2:$O758)</f>
        <v>#N/A</v>
      </c>
      <c r="I28" s="18" t="str">
        <f t="array" ref="I28">XLOOKUP($E28,'Player Database'!$B$2:$B758,'Player Database'!$P$2:$P758)</f>
        <v>#N/A</v>
      </c>
      <c r="J28" s="20" t="str">
        <f t="array" ref="J28">XLOOKUP($E28,'Player Database'!$B$2:$B758,'Player Database'!$U$2:$U758)</f>
        <v>#N/A</v>
      </c>
      <c r="K28" s="22" t="str">
        <f>VLOOKUP(E28, 'Player Database'!B:AE, 30, FALSE)</f>
        <v>#N/A</v>
      </c>
      <c r="L28" s="22" t="str">
        <f t="array" ref="L28">XLOOKUP($E28,'Player Database'!$B$2:$B758,'Player Database'!$W$2:$W758)</f>
        <v>#N/A</v>
      </c>
      <c r="M28" s="23" t="str">
        <f t="shared" si="1"/>
        <v>0 - 0</v>
      </c>
      <c r="N28" s="24" t="str">
        <f t="array" ref="N28">IF(XLOOKUP($E28,'Player Database'!$B$2:$B758,'Player Database'!$AA$2:$AA758)="",XLOOKUP($E28,'Player Database'!$B$2:$B758,'Player Database'!$G$2:$G758),XLOOKUP($E28,'Player Database'!$B$2:$B758,'Player Database'!$AA$2:$AA758))</f>
        <v>#N/A</v>
      </c>
      <c r="O28" s="27">
        <f>COUNTIFs(Matches!$B:$B,E28,Matches!$A:$A,"&gt;"&amp;Q28,Matches!$A:$A,"&lt;"&amp;R28)</f>
        <v>0</v>
      </c>
      <c r="P28" s="27">
        <f>COUNTIFs(Matches!$C:$C,E28,Matches!$A:$A,"&gt;"&amp;Q28,Matches!$A:$A,"&lt;"&amp;R28)</f>
        <v>0</v>
      </c>
      <c r="Q28" s="28">
        <f>VLOOKUP($C$2,Quotas!$A$7:$E$14,2,FALSE)</f>
        <v>46213.70833</v>
      </c>
      <c r="R28" s="28">
        <f>VLOOKUP($C$2,Quotas!$A$7:$E$14,3,FALSE)</f>
        <v>46220.70833</v>
      </c>
    </row>
    <row r="29">
      <c r="A29" s="15" t="str">
        <f t="array" ref="A29">XLOOKUP($E29,'Player Database'!$B$2:$B758,'Player Database'!$C$2:$C758)</f>
        <v>#N/A</v>
      </c>
      <c r="B29" s="15" t="str">
        <f t="array" ref="B29">XLOOKUP($E29,'Player Database'!$B$2:$B758,'Player Database'!$E$2:$E758)</f>
        <v>#N/A</v>
      </c>
      <c r="C29" s="15" t="str">
        <f t="array" ref="C29">XLOOKUP($E29,'Player Database'!$B$2:$B758,'Player Database'!$F$2:$F758)</f>
        <v>#N/A</v>
      </c>
      <c r="D29" s="25">
        <f>IFERROR(__xludf.DUMMYFUNCTION("""COMPUTED_VALUE"""),1.0)</f>
        <v>1</v>
      </c>
      <c r="E29" s="17"/>
      <c r="F29" s="18" t="str">
        <f t="array" ref="F29">XLOOKUP($E29,'Player Database'!$B$2:$B758,'Player Database'!$K$2:$K758)</f>
        <v>#N/A</v>
      </c>
      <c r="G29" s="18" t="str">
        <f t="array" ref="G29">XLOOKUP($E29,'Player Database'!$B$2:$B758,'Player Database'!$H$2:$H758)</f>
        <v>#N/A</v>
      </c>
      <c r="H29" s="18" t="str">
        <f t="array" ref="H29">XLOOKUP($E29,'Player Database'!$B$2:$B758,'Player Database'!$O$2:$O758)</f>
        <v>#N/A</v>
      </c>
      <c r="I29" s="18" t="str">
        <f t="array" ref="I29">XLOOKUP($E29,'Player Database'!$B$2:$B758,'Player Database'!$P$2:$P758)</f>
        <v>#N/A</v>
      </c>
      <c r="J29" s="20" t="str">
        <f t="array" ref="J29">XLOOKUP($E29,'Player Database'!$B$2:$B758,'Player Database'!$U$2:$U758)</f>
        <v>#N/A</v>
      </c>
      <c r="K29" s="22" t="str">
        <f>VLOOKUP(E29, 'Player Database'!B:AE, 30, FALSE)</f>
        <v>#N/A</v>
      </c>
      <c r="L29" s="22" t="str">
        <f t="array" ref="L29">XLOOKUP($E29,'Player Database'!$B$2:$B758,'Player Database'!$W$2:$W758)</f>
        <v>#N/A</v>
      </c>
      <c r="M29" s="23" t="str">
        <f t="shared" si="1"/>
        <v>0 - 0</v>
      </c>
      <c r="N29" s="24" t="str">
        <f t="array" ref="N29">IF(XLOOKUP($E29,'Player Database'!$B$2:$B758,'Player Database'!$AA$2:$AA758)="",XLOOKUP($E29,'Player Database'!$B$2:$B758,'Player Database'!$G$2:$G758),XLOOKUP($E29,'Player Database'!$B$2:$B758,'Player Database'!$AA$2:$AA758))</f>
        <v>#N/A</v>
      </c>
      <c r="O29" s="27">
        <f>COUNTIFs(Matches!$B:$B,E29,Matches!$A:$A,"&gt;"&amp;Q29,Matches!$A:$A,"&lt;"&amp;R29)</f>
        <v>0</v>
      </c>
      <c r="P29" s="27">
        <f>COUNTIFs(Matches!$C:$C,E29,Matches!$A:$A,"&gt;"&amp;Q29,Matches!$A:$A,"&lt;"&amp;R29)</f>
        <v>0</v>
      </c>
      <c r="Q29" s="28">
        <f>VLOOKUP($C$2,Quotas!$A$7:$E$14,2,FALSE)</f>
        <v>46213.70833</v>
      </c>
      <c r="R29" s="28">
        <f>VLOOKUP($C$2,Quotas!$A$7:$E$14,3,FALSE)</f>
        <v>46220.70833</v>
      </c>
    </row>
    <row r="30">
      <c r="A30" s="15" t="str">
        <f t="array" ref="A30">XLOOKUP($E30,'Player Database'!$B$2:$B758,'Player Database'!$C$2:$C758)</f>
        <v>#N/A</v>
      </c>
      <c r="B30" s="15" t="str">
        <f t="array" ref="B30">XLOOKUP($E30,'Player Database'!$B$2:$B758,'Player Database'!$E$2:$E758)</f>
        <v>#N/A</v>
      </c>
      <c r="C30" s="15" t="str">
        <f t="array" ref="C30">XLOOKUP($E30,'Player Database'!$B$2:$B758,'Player Database'!$F$2:$F758)</f>
        <v>#N/A</v>
      </c>
      <c r="D30" s="25">
        <f>IFERROR(__xludf.DUMMYFUNCTION("""COMPUTED_VALUE"""),1.0)</f>
        <v>1</v>
      </c>
      <c r="E30" s="17"/>
      <c r="F30" s="18" t="str">
        <f t="array" ref="F30">XLOOKUP($E30,'Player Database'!$B$2:$B758,'Player Database'!$K$2:$K758)</f>
        <v>#N/A</v>
      </c>
      <c r="G30" s="18" t="str">
        <f t="array" ref="G30">XLOOKUP($E30,'Player Database'!$B$2:$B758,'Player Database'!$H$2:$H758)</f>
        <v>#N/A</v>
      </c>
      <c r="H30" s="18" t="str">
        <f t="array" ref="H30">XLOOKUP($E30,'Player Database'!$B$2:$B758,'Player Database'!$O$2:$O758)</f>
        <v>#N/A</v>
      </c>
      <c r="I30" s="18" t="str">
        <f t="array" ref="I30">XLOOKUP($E30,'Player Database'!$B$2:$B758,'Player Database'!$P$2:$P758)</f>
        <v>#N/A</v>
      </c>
      <c r="J30" s="20" t="str">
        <f t="array" ref="J30">XLOOKUP($E30,'Player Database'!$B$2:$B758,'Player Database'!$U$2:$U758)</f>
        <v>#N/A</v>
      </c>
      <c r="K30" s="22" t="str">
        <f>VLOOKUP(E30, 'Player Database'!B:AE, 30, FALSE)</f>
        <v>#N/A</v>
      </c>
      <c r="L30" s="22" t="str">
        <f t="array" ref="L30">XLOOKUP($E30,'Player Database'!$B$2:$B758,'Player Database'!$W$2:$W758)</f>
        <v>#N/A</v>
      </c>
      <c r="M30" s="23" t="str">
        <f t="shared" si="1"/>
        <v>0 - 0</v>
      </c>
      <c r="N30" s="24" t="str">
        <f t="array" ref="N30">IF(XLOOKUP($E30,'Player Database'!$B$2:$B758,'Player Database'!$AA$2:$AA758)="",XLOOKUP($E30,'Player Database'!$B$2:$B758,'Player Database'!$G$2:$G758),XLOOKUP($E30,'Player Database'!$B$2:$B758,'Player Database'!$AA$2:$AA758))</f>
        <v>#N/A</v>
      </c>
      <c r="O30" s="27">
        <f>COUNTIFs(Matches!$B:$B,E30,Matches!$A:$A,"&gt;"&amp;Q30,Matches!$A:$A,"&lt;"&amp;R30)</f>
        <v>0</v>
      </c>
      <c r="P30" s="27">
        <f>COUNTIFs(Matches!$C:$C,E30,Matches!$A:$A,"&gt;"&amp;Q30,Matches!$A:$A,"&lt;"&amp;R30)</f>
        <v>0</v>
      </c>
      <c r="Q30" s="28">
        <f>VLOOKUP($C$2,Quotas!$A$7:$E$14,2,FALSE)</f>
        <v>46213.70833</v>
      </c>
      <c r="R30" s="28">
        <f>VLOOKUP($C$2,Quotas!$A$7:$E$14,3,FALSE)</f>
        <v>46220.70833</v>
      </c>
    </row>
    <row r="31">
      <c r="A31" s="15" t="str">
        <f t="array" ref="A31">XLOOKUP($E31,'Player Database'!$B$2:$B758,'Player Database'!$C$2:$C758)</f>
        <v>#N/A</v>
      </c>
      <c r="B31" s="15" t="str">
        <f t="array" ref="B31">XLOOKUP($E31,'Player Database'!$B$2:$B758,'Player Database'!$E$2:$E758)</f>
        <v>#N/A</v>
      </c>
      <c r="C31" s="15" t="str">
        <f t="array" ref="C31">XLOOKUP($E31,'Player Database'!$B$2:$B758,'Player Database'!$F$2:$F758)</f>
        <v>#N/A</v>
      </c>
      <c r="D31" s="25">
        <f>IFERROR(__xludf.DUMMYFUNCTION("""COMPUTED_VALUE"""),1.0)</f>
        <v>1</v>
      </c>
      <c r="E31" s="17"/>
      <c r="F31" s="18" t="str">
        <f t="array" ref="F31">XLOOKUP($E31,'Player Database'!$B$2:$B758,'Player Database'!$K$2:$K758)</f>
        <v>#N/A</v>
      </c>
      <c r="G31" s="18" t="str">
        <f t="array" ref="G31">XLOOKUP($E31,'Player Database'!$B$2:$B758,'Player Database'!$H$2:$H758)</f>
        <v>#N/A</v>
      </c>
      <c r="H31" s="18" t="str">
        <f t="array" ref="H31">XLOOKUP($E31,'Player Database'!$B$2:$B758,'Player Database'!$O$2:$O758)</f>
        <v>#N/A</v>
      </c>
      <c r="I31" s="18" t="str">
        <f t="array" ref="I31">XLOOKUP($E31,'Player Database'!$B$2:$B758,'Player Database'!$P$2:$P758)</f>
        <v>#N/A</v>
      </c>
      <c r="J31" s="20" t="str">
        <f t="array" ref="J31">XLOOKUP($E31,'Player Database'!$B$2:$B758,'Player Database'!$U$2:$U758)</f>
        <v>#N/A</v>
      </c>
      <c r="K31" s="22" t="str">
        <f>VLOOKUP(E31, 'Player Database'!B:AE, 30, FALSE)</f>
        <v>#N/A</v>
      </c>
      <c r="L31" s="22" t="str">
        <f t="array" ref="L31">XLOOKUP($E31,'Player Database'!$B$2:$B758,'Player Database'!$W$2:$W758)</f>
        <v>#N/A</v>
      </c>
      <c r="M31" s="23" t="str">
        <f t="shared" si="1"/>
        <v>0 - 0</v>
      </c>
      <c r="N31" s="24" t="str">
        <f t="array" ref="N31">IF(XLOOKUP($E31,'Player Database'!$B$2:$B758,'Player Database'!$AA$2:$AA758)="",XLOOKUP($E31,'Player Database'!$B$2:$B758,'Player Database'!$G$2:$G758),XLOOKUP($E31,'Player Database'!$B$2:$B758,'Player Database'!$AA$2:$AA758))</f>
        <v>#N/A</v>
      </c>
      <c r="O31" s="27">
        <f>COUNTIFs(Matches!$B:$B,E31,Matches!$A:$A,"&gt;"&amp;Q31,Matches!$A:$A,"&lt;"&amp;R31)</f>
        <v>0</v>
      </c>
      <c r="P31" s="27">
        <f>COUNTIFs(Matches!$C:$C,E31,Matches!$A:$A,"&gt;"&amp;Q31,Matches!$A:$A,"&lt;"&amp;R31)</f>
        <v>0</v>
      </c>
      <c r="Q31" s="28">
        <f>VLOOKUP($C$2,Quotas!$A$7:$E$14,2,FALSE)</f>
        <v>46213.70833</v>
      </c>
      <c r="R31" s="28">
        <f>VLOOKUP($C$2,Quotas!$A$7:$E$14,3,FALSE)</f>
        <v>46220.70833</v>
      </c>
    </row>
    <row r="32">
      <c r="A32" s="15" t="str">
        <f t="array" ref="A32">XLOOKUP($E32,'Player Database'!$B$2:$B758,'Player Database'!$C$2:$C758)</f>
        <v>#N/A</v>
      </c>
      <c r="B32" s="15" t="str">
        <f t="array" ref="B32">XLOOKUP($E32,'Player Database'!$B$2:$B758,'Player Database'!$E$2:$E758)</f>
        <v>#N/A</v>
      </c>
      <c r="C32" s="15" t="str">
        <f t="array" ref="C32">XLOOKUP($E32,'Player Database'!$B$2:$B758,'Player Database'!$F$2:$F758)</f>
        <v>#N/A</v>
      </c>
      <c r="D32" s="25">
        <f>IFERROR(__xludf.DUMMYFUNCTION("""COMPUTED_VALUE"""),1.0)</f>
        <v>1</v>
      </c>
      <c r="E32" s="17"/>
      <c r="F32" s="18" t="str">
        <f t="array" ref="F32">XLOOKUP($E32,'Player Database'!$B$2:$B758,'Player Database'!$K$2:$K758)</f>
        <v>#N/A</v>
      </c>
      <c r="G32" s="18" t="str">
        <f t="array" ref="G32">XLOOKUP($E32,'Player Database'!$B$2:$B758,'Player Database'!$H$2:$H758)</f>
        <v>#N/A</v>
      </c>
      <c r="H32" s="18" t="str">
        <f t="array" ref="H32">XLOOKUP($E32,'Player Database'!$B$2:$B758,'Player Database'!$O$2:$O758)</f>
        <v>#N/A</v>
      </c>
      <c r="I32" s="18" t="str">
        <f t="array" ref="I32">XLOOKUP($E32,'Player Database'!$B$2:$B758,'Player Database'!$P$2:$P758)</f>
        <v>#N/A</v>
      </c>
      <c r="J32" s="20" t="str">
        <f t="array" ref="J32">XLOOKUP($E32,'Player Database'!$B$2:$B758,'Player Database'!$U$2:$U758)</f>
        <v>#N/A</v>
      </c>
      <c r="K32" s="22" t="str">
        <f>VLOOKUP(E32, 'Player Database'!B:AE, 30, FALSE)</f>
        <v>#N/A</v>
      </c>
      <c r="L32" s="22" t="str">
        <f t="array" ref="L32">XLOOKUP($E32,'Player Database'!$B$2:$B758,'Player Database'!$W$2:$W758)</f>
        <v>#N/A</v>
      </c>
      <c r="M32" s="23" t="str">
        <f t="shared" si="1"/>
        <v>0 - 0</v>
      </c>
      <c r="N32" s="24" t="str">
        <f t="array" ref="N32">IF(XLOOKUP($E32,'Player Database'!$B$2:$B758,'Player Database'!$AA$2:$AA758)="",XLOOKUP($E32,'Player Database'!$B$2:$B758,'Player Database'!$G$2:$G758),XLOOKUP($E32,'Player Database'!$B$2:$B758,'Player Database'!$AA$2:$AA758))</f>
        <v>#N/A</v>
      </c>
      <c r="O32" s="27">
        <f>COUNTIFs(Matches!$B:$B,E32,Matches!$A:$A,"&gt;"&amp;Q32,Matches!$A:$A,"&lt;"&amp;R32)</f>
        <v>0</v>
      </c>
      <c r="P32" s="27">
        <f>COUNTIFs(Matches!$C:$C,E32,Matches!$A:$A,"&gt;"&amp;Q32,Matches!$A:$A,"&lt;"&amp;R32)</f>
        <v>0</v>
      </c>
      <c r="Q32" s="28">
        <f>VLOOKUP($C$2,Quotas!$A$7:$E$14,2,FALSE)</f>
        <v>46213.70833</v>
      </c>
      <c r="R32" s="28">
        <f>VLOOKUP($C$2,Quotas!$A$7:$E$14,3,FALSE)</f>
        <v>46220.70833</v>
      </c>
    </row>
    <row r="33">
      <c r="A33" s="15" t="str">
        <f t="array" ref="A33">XLOOKUP($E33,'Player Database'!$B$2:$B758,'Player Database'!$C$2:$C758)</f>
        <v>#N/A</v>
      </c>
      <c r="B33" s="15" t="str">
        <f t="array" ref="B33">XLOOKUP($E33,'Player Database'!$B$2:$B758,'Player Database'!$E$2:$E758)</f>
        <v>#N/A</v>
      </c>
      <c r="C33" s="15" t="str">
        <f t="array" ref="C33">XLOOKUP($E33,'Player Database'!$B$2:$B758,'Player Database'!$F$2:$F758)</f>
        <v>#N/A</v>
      </c>
      <c r="D33" s="25">
        <f>IFERROR(__xludf.DUMMYFUNCTION("""COMPUTED_VALUE"""),1.0)</f>
        <v>1</v>
      </c>
      <c r="E33" s="17"/>
      <c r="F33" s="18" t="str">
        <f t="array" ref="F33">XLOOKUP($E33,'Player Database'!$B$2:$B758,'Player Database'!$K$2:$K758)</f>
        <v>#N/A</v>
      </c>
      <c r="G33" s="18" t="str">
        <f t="array" ref="G33">XLOOKUP($E33,'Player Database'!$B$2:$B758,'Player Database'!$H$2:$H758)</f>
        <v>#N/A</v>
      </c>
      <c r="H33" s="18" t="str">
        <f t="array" ref="H33">XLOOKUP($E33,'Player Database'!$B$2:$B758,'Player Database'!$O$2:$O758)</f>
        <v>#N/A</v>
      </c>
      <c r="I33" s="18" t="str">
        <f t="array" ref="I33">XLOOKUP($E33,'Player Database'!$B$2:$B758,'Player Database'!$P$2:$P758)</f>
        <v>#N/A</v>
      </c>
      <c r="J33" s="20" t="str">
        <f t="array" ref="J33">XLOOKUP($E33,'Player Database'!$B$2:$B758,'Player Database'!$U$2:$U758)</f>
        <v>#N/A</v>
      </c>
      <c r="K33" s="22" t="str">
        <f>VLOOKUP(E33, 'Player Database'!B:AE, 30, FALSE)</f>
        <v>#N/A</v>
      </c>
      <c r="L33" s="22" t="str">
        <f t="array" ref="L33">XLOOKUP($E33,'Player Database'!$B$2:$B758,'Player Database'!$W$2:$W758)</f>
        <v>#N/A</v>
      </c>
      <c r="M33" s="23" t="str">
        <f t="shared" si="1"/>
        <v>0 - 0</v>
      </c>
      <c r="N33" s="24" t="str">
        <f t="array" ref="N33">IF(XLOOKUP($E33,'Player Database'!$B$2:$B758,'Player Database'!$AA$2:$AA758)="",XLOOKUP($E33,'Player Database'!$B$2:$B758,'Player Database'!$G$2:$G758),XLOOKUP($E33,'Player Database'!$B$2:$B758,'Player Database'!$AA$2:$AA758))</f>
        <v>#N/A</v>
      </c>
      <c r="O33" s="27">
        <f>COUNTIFs(Matches!$B:$B,E33,Matches!$A:$A,"&gt;"&amp;Q33,Matches!$A:$A,"&lt;"&amp;R33)</f>
        <v>0</v>
      </c>
      <c r="P33" s="27">
        <f>COUNTIFs(Matches!$C:$C,E33,Matches!$A:$A,"&gt;"&amp;Q33,Matches!$A:$A,"&lt;"&amp;R33)</f>
        <v>0</v>
      </c>
      <c r="Q33" s="28">
        <f>VLOOKUP($C$2,Quotas!$A$7:$E$14,2,FALSE)</f>
        <v>46213.70833</v>
      </c>
      <c r="R33" s="28">
        <f>VLOOKUP($C$2,Quotas!$A$7:$E$14,3,FALSE)</f>
        <v>46220.70833</v>
      </c>
    </row>
    <row r="34">
      <c r="A34" s="15" t="str">
        <f t="array" ref="A34">XLOOKUP($E34,'Player Database'!$B$2:$B758,'Player Database'!$C$2:$C758)</f>
        <v>#N/A</v>
      </c>
      <c r="B34" s="15" t="str">
        <f t="array" ref="B34">XLOOKUP($E34,'Player Database'!$B$2:$B758,'Player Database'!$E$2:$E758)</f>
        <v>#N/A</v>
      </c>
      <c r="C34" s="15" t="str">
        <f t="array" ref="C34">XLOOKUP($E34,'Player Database'!$B$2:$B758,'Player Database'!$F$2:$F758)</f>
        <v>#N/A</v>
      </c>
      <c r="D34" s="25">
        <f>IFERROR(__xludf.DUMMYFUNCTION("""COMPUTED_VALUE"""),1.0)</f>
        <v>1</v>
      </c>
      <c r="E34" s="17"/>
      <c r="F34" s="18" t="str">
        <f t="array" ref="F34">XLOOKUP($E34,'Player Database'!$B$2:$B758,'Player Database'!$K$2:$K758)</f>
        <v>#N/A</v>
      </c>
      <c r="G34" s="18" t="str">
        <f t="array" ref="G34">XLOOKUP($E34,'Player Database'!$B$2:$B758,'Player Database'!$H$2:$H758)</f>
        <v>#N/A</v>
      </c>
      <c r="H34" s="18" t="str">
        <f t="array" ref="H34">XLOOKUP($E34,'Player Database'!$B$2:$B758,'Player Database'!$O$2:$O758)</f>
        <v>#N/A</v>
      </c>
      <c r="I34" s="18" t="str">
        <f t="array" ref="I34">XLOOKUP($E34,'Player Database'!$B$2:$B758,'Player Database'!$P$2:$P758)</f>
        <v>#N/A</v>
      </c>
      <c r="J34" s="20" t="str">
        <f t="array" ref="J34">XLOOKUP($E34,'Player Database'!$B$2:$B758,'Player Database'!$U$2:$U758)</f>
        <v>#N/A</v>
      </c>
      <c r="K34" s="22" t="str">
        <f>VLOOKUP(E34, 'Player Database'!B:AE, 30, FALSE)</f>
        <v>#N/A</v>
      </c>
      <c r="L34" s="22" t="str">
        <f t="array" ref="L34">XLOOKUP($E34,'Player Database'!$B$2:$B758,'Player Database'!$W$2:$W758)</f>
        <v>#N/A</v>
      </c>
      <c r="M34" s="23" t="str">
        <f t="shared" si="1"/>
        <v>0 - 0</v>
      </c>
      <c r="N34" s="24" t="str">
        <f t="array" ref="N34">IF(XLOOKUP($E34,'Player Database'!$B$2:$B758,'Player Database'!$AA$2:$AA758)="",XLOOKUP($E34,'Player Database'!$B$2:$B758,'Player Database'!$G$2:$G758),XLOOKUP($E34,'Player Database'!$B$2:$B758,'Player Database'!$AA$2:$AA758))</f>
        <v>#N/A</v>
      </c>
      <c r="O34" s="27">
        <f>COUNTIFs(Matches!$B:$B,E34,Matches!$A:$A,"&gt;"&amp;Q34,Matches!$A:$A,"&lt;"&amp;R34)</f>
        <v>0</v>
      </c>
      <c r="P34" s="27">
        <f>COUNTIFs(Matches!$C:$C,E34,Matches!$A:$A,"&gt;"&amp;Q34,Matches!$A:$A,"&lt;"&amp;R34)</f>
        <v>0</v>
      </c>
      <c r="Q34" s="28">
        <f>VLOOKUP($C$2,Quotas!$A$7:$E$14,2,FALSE)</f>
        <v>46213.70833</v>
      </c>
      <c r="R34" s="28">
        <f>VLOOKUP($C$2,Quotas!$A$7:$E$14,3,FALSE)</f>
        <v>46220.70833</v>
      </c>
    </row>
    <row r="35">
      <c r="A35" s="15" t="str">
        <f t="array" ref="A35">XLOOKUP($E35,'Player Database'!$B$2:$B758,'Player Database'!$C$2:$C758)</f>
        <v>#N/A</v>
      </c>
      <c r="B35" s="15" t="str">
        <f t="array" ref="B35">XLOOKUP($E35,'Player Database'!$B$2:$B758,'Player Database'!$E$2:$E758)</f>
        <v>#N/A</v>
      </c>
      <c r="C35" s="15" t="str">
        <f t="array" ref="C35">XLOOKUP($E35,'Player Database'!$B$2:$B758,'Player Database'!$F$2:$F758)</f>
        <v>#N/A</v>
      </c>
      <c r="D35" s="25">
        <f>IFERROR(__xludf.DUMMYFUNCTION("""COMPUTED_VALUE"""),1.0)</f>
        <v>1</v>
      </c>
      <c r="E35" s="17"/>
      <c r="F35" s="18" t="str">
        <f t="array" ref="F35">XLOOKUP($E35,'Player Database'!$B$2:$B758,'Player Database'!$K$2:$K758)</f>
        <v>#N/A</v>
      </c>
      <c r="G35" s="18" t="str">
        <f t="array" ref="G35">XLOOKUP($E35,'Player Database'!$B$2:$B758,'Player Database'!$H$2:$H758)</f>
        <v>#N/A</v>
      </c>
      <c r="H35" s="18" t="str">
        <f t="array" ref="H35">XLOOKUP($E35,'Player Database'!$B$2:$B758,'Player Database'!$O$2:$O758)</f>
        <v>#N/A</v>
      </c>
      <c r="I35" s="18" t="str">
        <f t="array" ref="I35">XLOOKUP($E35,'Player Database'!$B$2:$B758,'Player Database'!$P$2:$P758)</f>
        <v>#N/A</v>
      </c>
      <c r="J35" s="20" t="str">
        <f t="array" ref="J35">XLOOKUP($E35,'Player Database'!$B$2:$B758,'Player Database'!$U$2:$U758)</f>
        <v>#N/A</v>
      </c>
      <c r="K35" s="22" t="str">
        <f>VLOOKUP(E35, 'Player Database'!B:AE, 30, FALSE)</f>
        <v>#N/A</v>
      </c>
      <c r="L35" s="22" t="str">
        <f t="array" ref="L35">XLOOKUP($E35,'Player Database'!$B$2:$B758,'Player Database'!$W$2:$W758)</f>
        <v>#N/A</v>
      </c>
      <c r="M35" s="23" t="str">
        <f t="shared" si="1"/>
        <v>0 - 0</v>
      </c>
      <c r="N35" s="24" t="str">
        <f t="array" ref="N35">IF(XLOOKUP($E35,'Player Database'!$B$2:$B758,'Player Database'!$AA$2:$AA758)="",XLOOKUP($E35,'Player Database'!$B$2:$B758,'Player Database'!$G$2:$G758),XLOOKUP($E35,'Player Database'!$B$2:$B758,'Player Database'!$AA$2:$AA758))</f>
        <v>#N/A</v>
      </c>
      <c r="O35" s="27">
        <f>COUNTIFs(Matches!$B:$B,E35,Matches!$A:$A,"&gt;"&amp;Q35,Matches!$A:$A,"&lt;"&amp;R35)</f>
        <v>0</v>
      </c>
      <c r="P35" s="27">
        <f>COUNTIFs(Matches!$C:$C,E35,Matches!$A:$A,"&gt;"&amp;Q35,Matches!$A:$A,"&lt;"&amp;R35)</f>
        <v>0</v>
      </c>
      <c r="Q35" s="28">
        <f>VLOOKUP($C$2,Quotas!$A$7:$E$14,2,FALSE)</f>
        <v>46213.70833</v>
      </c>
      <c r="R35" s="28">
        <f>VLOOKUP($C$2,Quotas!$A$7:$E$14,3,FALSE)</f>
        <v>46220.70833</v>
      </c>
    </row>
    <row r="36">
      <c r="A36" s="29" t="str">
        <f t="array" ref="A36">XLOOKUP($E36,'Player Database'!$B$2:$B758,'Player Database'!$C$2:$C758)</f>
        <v>#N/A</v>
      </c>
      <c r="B36" s="29" t="str">
        <f t="array" ref="B36">XLOOKUP($E36,'Player Database'!$B$2:$B758,'Player Database'!$E$2:$E758)</f>
        <v>#N/A</v>
      </c>
      <c r="C36" s="29" t="str">
        <f t="array" ref="C36">XLOOKUP($E36,'Player Database'!$B$2:$B758,'Player Database'!$F$2:$F758)</f>
        <v>#N/A</v>
      </c>
      <c r="D36" s="106">
        <f>IFERROR(__xludf.DUMMYFUNCTION("""COMPUTED_VALUE"""),1.0)</f>
        <v>1</v>
      </c>
      <c r="E36" s="17"/>
      <c r="F36" s="18" t="str">
        <f t="array" ref="F36">XLOOKUP($E36,'Player Database'!$B$2:$B758,'Player Database'!$K$2:$K758)</f>
        <v>#N/A</v>
      </c>
      <c r="G36" s="18" t="str">
        <f t="array" ref="G36">XLOOKUP($E36,'Player Database'!$B$2:$B758,'Player Database'!$H$2:$H758)</f>
        <v>#N/A</v>
      </c>
      <c r="H36" s="18" t="str">
        <f t="array" ref="H36">XLOOKUP($E36,'Player Database'!$B$2:$B758,'Player Database'!$O$2:$O758)</f>
        <v>#N/A</v>
      </c>
      <c r="I36" s="18" t="str">
        <f t="array" ref="I36">XLOOKUP($E36,'Player Database'!$B$2:$B758,'Player Database'!$P$2:$P758)</f>
        <v>#N/A</v>
      </c>
      <c r="J36" s="20" t="str">
        <f t="array" ref="J36">XLOOKUP($E36,'Player Database'!$B$2:$B758,'Player Database'!$U$2:$U758)</f>
        <v>#N/A</v>
      </c>
      <c r="K36" s="22" t="str">
        <f>VLOOKUP(E36, 'Player Database'!B:AE, 30, FALSE)</f>
        <v>#N/A</v>
      </c>
      <c r="L36" s="22" t="str">
        <f t="array" ref="L36">XLOOKUP($E36,'Player Database'!$B$2:$B758,'Player Database'!$W$2:$W758)</f>
        <v>#N/A</v>
      </c>
      <c r="M36" s="23" t="str">
        <f t="shared" si="1"/>
        <v>0 - 0</v>
      </c>
      <c r="N36" s="24" t="str">
        <f t="array" ref="N36">IF(XLOOKUP($E36,'Player Database'!$B$2:$B758,'Player Database'!$AA$2:$AA758)="",XLOOKUP($E36,'Player Database'!$B$2:$B758,'Player Database'!$G$2:$G758),XLOOKUP($E36,'Player Database'!$B$2:$B758,'Player Database'!$AA$2:$AA758))</f>
        <v>#N/A</v>
      </c>
      <c r="O36" s="27">
        <f>COUNTIFs(Matches!$B:$B,E36,Matches!$A:$A,"&gt;"&amp;Q36,Matches!$A:$A,"&lt;"&amp;R36)</f>
        <v>0</v>
      </c>
      <c r="P36" s="27">
        <f>COUNTIFs(Matches!$C:$C,E36,Matches!$A:$A,"&gt;"&amp;Q36,Matches!$A:$A,"&lt;"&amp;R36)</f>
        <v>0</v>
      </c>
      <c r="Q36" s="28">
        <f>VLOOKUP($C$2,Quotas!$A$7:$E$14,2,FALSE)</f>
        <v>46213.70833</v>
      </c>
      <c r="R36" s="28">
        <f>VLOOKUP($C$2,Quotas!$A$7:$E$14,3,FALSE)</f>
        <v>46220.70833</v>
      </c>
    </row>
    <row r="37">
      <c r="A37" s="29" t="str">
        <f t="array" ref="A37">XLOOKUP($E37,'Player Database'!$B$2:$B758,'Player Database'!$C$2:$C758)</f>
        <v>#N/A</v>
      </c>
      <c r="B37" s="29" t="str">
        <f t="array" ref="B37">XLOOKUP($E37,'Player Database'!$B$2:$B758,'Player Database'!$E$2:$E758)</f>
        <v>#N/A</v>
      </c>
      <c r="C37" s="29" t="str">
        <f t="array" ref="C37">XLOOKUP($E37,'Player Database'!$B$2:$B758,'Player Database'!$F$2:$F758)</f>
        <v>#N/A</v>
      </c>
      <c r="D37" s="106">
        <f>IFERROR(__xludf.DUMMYFUNCTION("""COMPUTED_VALUE"""),1.0)</f>
        <v>1</v>
      </c>
      <c r="E37" s="17"/>
      <c r="F37" s="18" t="str">
        <f t="array" ref="F37">XLOOKUP($E37,'Player Database'!$B$2:$B758,'Player Database'!$K$2:$K758)</f>
        <v>#N/A</v>
      </c>
      <c r="G37" s="18" t="str">
        <f t="array" ref="G37">XLOOKUP($E37,'Player Database'!$B$2:$B758,'Player Database'!$H$2:$H758)</f>
        <v>#N/A</v>
      </c>
      <c r="H37" s="18" t="str">
        <f t="array" ref="H37">XLOOKUP($E37,'Player Database'!$B$2:$B758,'Player Database'!$O$2:$O758)</f>
        <v>#N/A</v>
      </c>
      <c r="I37" s="18" t="str">
        <f t="array" ref="I37">XLOOKUP($E37,'Player Database'!$B$2:$B758,'Player Database'!$P$2:$P758)</f>
        <v>#N/A</v>
      </c>
      <c r="J37" s="20" t="str">
        <f t="array" ref="J37">XLOOKUP($E37,'Player Database'!$B$2:$B758,'Player Database'!$U$2:$U758)</f>
        <v>#N/A</v>
      </c>
      <c r="K37" s="22" t="str">
        <f>VLOOKUP(E37, 'Player Database'!B:AE, 30, FALSE)</f>
        <v>#N/A</v>
      </c>
      <c r="L37" s="22" t="str">
        <f t="array" ref="L37">XLOOKUP($E37,'Player Database'!$B$2:$B758,'Player Database'!$W$2:$W758)</f>
        <v>#N/A</v>
      </c>
      <c r="M37" s="23" t="str">
        <f t="shared" si="1"/>
        <v>0 - 0</v>
      </c>
      <c r="N37" s="24" t="str">
        <f t="array" ref="N37">IF(XLOOKUP($E37,'Player Database'!$B$2:$B758,'Player Database'!$AA$2:$AA758)="",XLOOKUP($E37,'Player Database'!$B$2:$B758,'Player Database'!$G$2:$G758),XLOOKUP($E37,'Player Database'!$B$2:$B758,'Player Database'!$AA$2:$AA758))</f>
        <v>#N/A</v>
      </c>
      <c r="O37" s="27">
        <f>COUNTIFs(Matches!$B:$B,E37,Matches!$A:$A,"&gt;"&amp;Q37,Matches!$A:$A,"&lt;"&amp;R37)</f>
        <v>0</v>
      </c>
      <c r="P37" s="27">
        <f>COUNTIFs(Matches!$C:$C,E37,Matches!$A:$A,"&gt;"&amp;Q37,Matches!$A:$A,"&lt;"&amp;R37)</f>
        <v>0</v>
      </c>
      <c r="Q37" s="28">
        <f>VLOOKUP($C$2,Quotas!$A$7:$E$14,2,FALSE)</f>
        <v>46213.70833</v>
      </c>
      <c r="R37" s="28">
        <f>VLOOKUP($C$2,Quotas!$A$7:$E$14,3,FALSE)</f>
        <v>46220.70833</v>
      </c>
    </row>
    <row r="38">
      <c r="A38" s="29" t="str">
        <f t="array" ref="A38">XLOOKUP($E38,'Player Database'!$B$2:$B758,'Player Database'!$C$2:$C758)</f>
        <v>#N/A</v>
      </c>
      <c r="B38" s="29" t="str">
        <f t="array" ref="B38">XLOOKUP($E38,'Player Database'!$B$2:$B758,'Player Database'!$E$2:$E758)</f>
        <v>#N/A</v>
      </c>
      <c r="C38" s="29" t="str">
        <f t="array" ref="C38">XLOOKUP($E38,'Player Database'!$B$2:$B758,'Player Database'!$F$2:$F758)</f>
        <v>#N/A</v>
      </c>
      <c r="D38" s="106">
        <f>IFERROR(__xludf.DUMMYFUNCTION("""COMPUTED_VALUE"""),1.0)</f>
        <v>1</v>
      </c>
      <c r="E38" s="17"/>
      <c r="F38" s="18" t="str">
        <f t="array" ref="F38">XLOOKUP($E38,'Player Database'!$B$2:$B758,'Player Database'!$K$2:$K758)</f>
        <v>#N/A</v>
      </c>
      <c r="G38" s="18" t="str">
        <f t="array" ref="G38">XLOOKUP($E38,'Player Database'!$B$2:$B758,'Player Database'!$H$2:$H758)</f>
        <v>#N/A</v>
      </c>
      <c r="H38" s="18" t="str">
        <f t="array" ref="H38">XLOOKUP($E38,'Player Database'!$B$2:$B758,'Player Database'!$O$2:$O758)</f>
        <v>#N/A</v>
      </c>
      <c r="I38" s="18" t="str">
        <f t="array" ref="I38">XLOOKUP($E38,'Player Database'!$B$2:$B758,'Player Database'!$P$2:$P758)</f>
        <v>#N/A</v>
      </c>
      <c r="J38" s="20" t="str">
        <f t="array" ref="J38">XLOOKUP($E38,'Player Database'!$B$2:$B758,'Player Database'!$U$2:$U758)</f>
        <v>#N/A</v>
      </c>
      <c r="K38" s="22" t="str">
        <f>VLOOKUP(E38, 'Player Database'!B:AE, 30, FALSE)</f>
        <v>#N/A</v>
      </c>
      <c r="L38" s="22" t="str">
        <f t="array" ref="L38">XLOOKUP($E38,'Player Database'!$B$2:$B758,'Player Database'!$W$2:$W758)</f>
        <v>#N/A</v>
      </c>
      <c r="M38" s="23" t="str">
        <f t="shared" si="1"/>
        <v>0 - 0</v>
      </c>
      <c r="N38" s="24" t="str">
        <f t="array" ref="N38">IF(XLOOKUP($E38,'Player Database'!$B$2:$B758,'Player Database'!$AA$2:$AA758)="",XLOOKUP($E38,'Player Database'!$B$2:$B758,'Player Database'!$G$2:$G758),XLOOKUP($E38,'Player Database'!$B$2:$B758,'Player Database'!$AA$2:$AA758))</f>
        <v>#N/A</v>
      </c>
      <c r="O38" s="27">
        <f>COUNTIFs(Matches!$B:$B,E38,Matches!$A:$A,"&gt;"&amp;Q38,Matches!$A:$A,"&lt;"&amp;R38)</f>
        <v>0</v>
      </c>
      <c r="P38" s="27">
        <f>COUNTIFs(Matches!$C:$C,E38,Matches!$A:$A,"&gt;"&amp;Q38,Matches!$A:$A,"&lt;"&amp;R38)</f>
        <v>0</v>
      </c>
      <c r="Q38" s="28">
        <f>VLOOKUP($C$2,Quotas!$A$7:$E$14,2,FALSE)</f>
        <v>46213.70833</v>
      </c>
      <c r="R38" s="28">
        <f>VLOOKUP($C$2,Quotas!$A$7:$E$14,3,FALSE)</f>
        <v>46220.70833</v>
      </c>
    </row>
    <row r="39">
      <c r="A39" s="29" t="str">
        <f t="array" ref="A39">XLOOKUP($E39,'Player Database'!$B$2:$B758,'Player Database'!$C$2:$C758)</f>
        <v>#N/A</v>
      </c>
      <c r="B39" s="29" t="str">
        <f t="array" ref="B39">XLOOKUP($E39,'Player Database'!$B$2:$B758,'Player Database'!$E$2:$E758)</f>
        <v>#N/A</v>
      </c>
      <c r="C39" s="29" t="str">
        <f t="array" ref="C39">XLOOKUP($E39,'Player Database'!$B$2:$B758,'Player Database'!$F$2:$F758)</f>
        <v>#N/A</v>
      </c>
      <c r="D39" s="106">
        <f>IFERROR(__xludf.DUMMYFUNCTION("""COMPUTED_VALUE"""),1.0)</f>
        <v>1</v>
      </c>
      <c r="E39" s="17"/>
      <c r="F39" s="18" t="str">
        <f t="array" ref="F39">XLOOKUP($E39,'Player Database'!$B$2:$B758,'Player Database'!$K$2:$K758)</f>
        <v>#N/A</v>
      </c>
      <c r="G39" s="18" t="str">
        <f t="array" ref="G39">XLOOKUP($E39,'Player Database'!$B$2:$B758,'Player Database'!$H$2:$H758)</f>
        <v>#N/A</v>
      </c>
      <c r="H39" s="18" t="str">
        <f t="array" ref="H39">XLOOKUP($E39,'Player Database'!$B$2:$B758,'Player Database'!$O$2:$O758)</f>
        <v>#N/A</v>
      </c>
      <c r="I39" s="18" t="str">
        <f t="array" ref="I39">XLOOKUP($E39,'Player Database'!$B$2:$B758,'Player Database'!$P$2:$P758)</f>
        <v>#N/A</v>
      </c>
      <c r="J39" s="20" t="str">
        <f t="array" ref="J39">XLOOKUP($E39,'Player Database'!$B$2:$B758,'Player Database'!$U$2:$U758)</f>
        <v>#N/A</v>
      </c>
      <c r="K39" s="22" t="str">
        <f>VLOOKUP(E39, 'Player Database'!B:AE, 30, FALSE)</f>
        <v>#N/A</v>
      </c>
      <c r="L39" s="22" t="str">
        <f t="array" ref="L39">XLOOKUP($E39,'Player Database'!$B$2:$B758,'Player Database'!$W$2:$W758)</f>
        <v>#N/A</v>
      </c>
      <c r="M39" s="23" t="str">
        <f t="shared" si="1"/>
        <v>0 - 0</v>
      </c>
      <c r="N39" s="24" t="str">
        <f t="array" ref="N39">IF(XLOOKUP($E39,'Player Database'!$B$2:$B758,'Player Database'!$AA$2:$AA758)="",XLOOKUP($E39,'Player Database'!$B$2:$B758,'Player Database'!$G$2:$G758),XLOOKUP($E39,'Player Database'!$B$2:$B758,'Player Database'!$AA$2:$AA758))</f>
        <v>#N/A</v>
      </c>
      <c r="O39" s="27">
        <f>COUNTIFs(Matches!$B:$B,E39,Matches!$A:$A,"&gt;"&amp;Q39,Matches!$A:$A,"&lt;"&amp;R39)</f>
        <v>0</v>
      </c>
      <c r="P39" s="27">
        <f>COUNTIFs(Matches!$C:$C,E39,Matches!$A:$A,"&gt;"&amp;Q39,Matches!$A:$A,"&lt;"&amp;R39)</f>
        <v>0</v>
      </c>
      <c r="Q39" s="28">
        <f>VLOOKUP($C$2,Quotas!$A$7:$E$14,2,FALSE)</f>
        <v>46213.70833</v>
      </c>
      <c r="R39" s="28">
        <f>VLOOKUP($C$2,Quotas!$A$7:$E$14,3,FALSE)</f>
        <v>46220.70833</v>
      </c>
    </row>
    <row r="40">
      <c r="A40" s="29" t="str">
        <f t="array" ref="A40">XLOOKUP($E40,'Player Database'!$B$2:$B758,'Player Database'!$C$2:$C758)</f>
        <v>#N/A</v>
      </c>
      <c r="B40" s="29" t="str">
        <f t="array" ref="B40">XLOOKUP($E40,'Player Database'!$B$2:$B758,'Player Database'!$E$2:$E758)</f>
        <v>#N/A</v>
      </c>
      <c r="C40" s="29" t="str">
        <f t="array" ref="C40">XLOOKUP($E40,'Player Database'!$B$2:$B758,'Player Database'!$F$2:$F758)</f>
        <v>#N/A</v>
      </c>
      <c r="D40" s="106">
        <f>IFERROR(__xludf.DUMMYFUNCTION("""COMPUTED_VALUE"""),1.0)</f>
        <v>1</v>
      </c>
      <c r="E40" s="17"/>
      <c r="F40" s="18" t="str">
        <f t="array" ref="F40">XLOOKUP($E40,'Player Database'!$B$2:$B758,'Player Database'!$K$2:$K758)</f>
        <v>#N/A</v>
      </c>
      <c r="G40" s="18" t="str">
        <f t="array" ref="G40">XLOOKUP($E40,'Player Database'!$B$2:$B758,'Player Database'!$H$2:$H758)</f>
        <v>#N/A</v>
      </c>
      <c r="H40" s="18" t="str">
        <f t="array" ref="H40">XLOOKUP($E40,'Player Database'!$B$2:$B758,'Player Database'!$O$2:$O758)</f>
        <v>#N/A</v>
      </c>
      <c r="I40" s="18" t="str">
        <f t="array" ref="I40">XLOOKUP($E40,'Player Database'!$B$2:$B758,'Player Database'!$P$2:$P758)</f>
        <v>#N/A</v>
      </c>
      <c r="J40" s="20" t="str">
        <f t="array" ref="J40">XLOOKUP($E40,'Player Database'!$B$2:$B758,'Player Database'!$U$2:$U758)</f>
        <v>#N/A</v>
      </c>
      <c r="K40" s="22" t="str">
        <f>VLOOKUP(E40, 'Player Database'!B:AE, 30, FALSE)</f>
        <v>#N/A</v>
      </c>
      <c r="L40" s="22" t="str">
        <f t="array" ref="L40">XLOOKUP($E40,'Player Database'!$B$2:$B758,'Player Database'!$W$2:$W758)</f>
        <v>#N/A</v>
      </c>
      <c r="M40" s="23" t="str">
        <f t="shared" si="1"/>
        <v>0 - 0</v>
      </c>
      <c r="N40" s="24" t="str">
        <f t="array" ref="N40">IF(XLOOKUP($E40,'Player Database'!$B$2:$B758,'Player Database'!$AA$2:$AA758)="",XLOOKUP($E40,'Player Database'!$B$2:$B758,'Player Database'!$G$2:$G758),XLOOKUP($E40,'Player Database'!$B$2:$B758,'Player Database'!$AA$2:$AA758))</f>
        <v>#N/A</v>
      </c>
      <c r="O40" s="27">
        <f>COUNTIFs(Matches!$B:$B,E40,Matches!$A:$A,"&gt;"&amp;Q40,Matches!$A:$A,"&lt;"&amp;R40)</f>
        <v>0</v>
      </c>
      <c r="P40" s="27">
        <f>COUNTIFs(Matches!$C:$C,E40,Matches!$A:$A,"&gt;"&amp;Q40,Matches!$A:$A,"&lt;"&amp;R40)</f>
        <v>0</v>
      </c>
      <c r="Q40" s="28">
        <f>VLOOKUP($C$2,Quotas!$A$7:$E$14,2,FALSE)</f>
        <v>46213.70833</v>
      </c>
      <c r="R40" s="28">
        <f>VLOOKUP($C$2,Quotas!$A$7:$E$14,3,FALSE)</f>
        <v>46220.70833</v>
      </c>
    </row>
    <row r="41">
      <c r="A41" s="29" t="str">
        <f t="array" ref="A41">XLOOKUP($E41,'Player Database'!$B$2:$B758,'Player Database'!$C$2:$C758)</f>
        <v>#N/A</v>
      </c>
      <c r="B41" s="29" t="str">
        <f t="array" ref="B41">XLOOKUP($E41,'Player Database'!$B$2:$B758,'Player Database'!$E$2:$E758)</f>
        <v>#N/A</v>
      </c>
      <c r="C41" s="29" t="str">
        <f t="array" ref="C41">XLOOKUP($E41,'Player Database'!$B$2:$B758,'Player Database'!$F$2:$F758)</f>
        <v>#N/A</v>
      </c>
      <c r="D41" s="106">
        <f>IFERROR(__xludf.DUMMYFUNCTION("""COMPUTED_VALUE"""),1.0)</f>
        <v>1</v>
      </c>
      <c r="E41" s="17"/>
      <c r="F41" s="18" t="str">
        <f t="array" ref="F41">XLOOKUP($E41,'Player Database'!$B$2:$B758,'Player Database'!$K$2:$K758)</f>
        <v>#N/A</v>
      </c>
      <c r="G41" s="18" t="str">
        <f t="array" ref="G41">XLOOKUP($E41,'Player Database'!$B$2:$B758,'Player Database'!$H$2:$H758)</f>
        <v>#N/A</v>
      </c>
      <c r="H41" s="18" t="str">
        <f t="array" ref="H41">XLOOKUP($E41,'Player Database'!$B$2:$B758,'Player Database'!$O$2:$O758)</f>
        <v>#N/A</v>
      </c>
      <c r="I41" s="18" t="str">
        <f t="array" ref="I41">XLOOKUP($E41,'Player Database'!$B$2:$B758,'Player Database'!$P$2:$P758)</f>
        <v>#N/A</v>
      </c>
      <c r="J41" s="20" t="str">
        <f t="array" ref="J41">XLOOKUP($E41,'Player Database'!$B$2:$B758,'Player Database'!$U$2:$U758)</f>
        <v>#N/A</v>
      </c>
      <c r="K41" s="22" t="str">
        <f>VLOOKUP(E41, 'Player Database'!B:AE, 30, FALSE)</f>
        <v>#N/A</v>
      </c>
      <c r="L41" s="22" t="str">
        <f t="array" ref="L41">XLOOKUP($E41,'Player Database'!$B$2:$B758,'Player Database'!$W$2:$W758)</f>
        <v>#N/A</v>
      </c>
      <c r="M41" s="23" t="str">
        <f t="shared" si="1"/>
        <v>0 - 0</v>
      </c>
      <c r="N41" s="24" t="str">
        <f t="array" ref="N41">IF(XLOOKUP($E41,'Player Database'!$B$2:$B758,'Player Database'!$AA$2:$AA758)="",XLOOKUP($E41,'Player Database'!$B$2:$B758,'Player Database'!$G$2:$G758),XLOOKUP($E41,'Player Database'!$B$2:$B758,'Player Database'!$AA$2:$AA758))</f>
        <v>#N/A</v>
      </c>
      <c r="O41" s="27">
        <f>COUNTIFs(Matches!$B:$B,E41,Matches!$A:$A,"&gt;"&amp;Q41,Matches!$A:$A,"&lt;"&amp;R41)</f>
        <v>0</v>
      </c>
      <c r="P41" s="27">
        <f>COUNTIFs(Matches!$C:$C,E41,Matches!$A:$A,"&gt;"&amp;Q41,Matches!$A:$A,"&lt;"&amp;R41)</f>
        <v>0</v>
      </c>
      <c r="Q41" s="28">
        <f>VLOOKUP($C$2,Quotas!$A$7:$E$14,2,FALSE)</f>
        <v>46213.70833</v>
      </c>
      <c r="R41" s="28">
        <f>VLOOKUP($C$2,Quotas!$A$7:$E$14,3,FALSE)</f>
        <v>46220.70833</v>
      </c>
    </row>
    <row r="42">
      <c r="A42" s="29" t="str">
        <f t="array" ref="A42">XLOOKUP($E42,'Player Database'!$B$2:$B758,'Player Database'!$C$2:$C758)</f>
        <v>#N/A</v>
      </c>
      <c r="B42" s="29" t="str">
        <f t="array" ref="B42">XLOOKUP($E42,'Player Database'!$B$2:$B758,'Player Database'!$E$2:$E758)</f>
        <v>#N/A</v>
      </c>
      <c r="C42" s="29" t="str">
        <f t="array" ref="C42">XLOOKUP($E42,'Player Database'!$B$2:$B758,'Player Database'!$F$2:$F758)</f>
        <v>#N/A</v>
      </c>
      <c r="D42" s="106">
        <f>IFERROR(__xludf.DUMMYFUNCTION("""COMPUTED_VALUE"""),1.0)</f>
        <v>1</v>
      </c>
      <c r="E42" s="17"/>
      <c r="F42" s="18" t="str">
        <f t="array" ref="F42">XLOOKUP($E42,'Player Database'!$B$2:$B758,'Player Database'!$K$2:$K758)</f>
        <v>#N/A</v>
      </c>
      <c r="G42" s="18" t="str">
        <f t="array" ref="G42">XLOOKUP($E42,'Player Database'!$B$2:$B758,'Player Database'!$H$2:$H758)</f>
        <v>#N/A</v>
      </c>
      <c r="H42" s="18" t="str">
        <f t="array" ref="H42">XLOOKUP($E42,'Player Database'!$B$2:$B758,'Player Database'!$O$2:$O758)</f>
        <v>#N/A</v>
      </c>
      <c r="I42" s="18" t="str">
        <f t="array" ref="I42">XLOOKUP($E42,'Player Database'!$B$2:$B758,'Player Database'!$P$2:$P758)</f>
        <v>#N/A</v>
      </c>
      <c r="J42" s="20" t="str">
        <f t="array" ref="J42">XLOOKUP($E42,'Player Database'!$B$2:$B758,'Player Database'!$U$2:$U758)</f>
        <v>#N/A</v>
      </c>
      <c r="K42" s="22" t="str">
        <f>VLOOKUP(E42, 'Player Database'!B:AE, 30, FALSE)</f>
        <v>#N/A</v>
      </c>
      <c r="L42" s="22" t="str">
        <f t="array" ref="L42">XLOOKUP($E42,'Player Database'!$B$2:$B758,'Player Database'!$W$2:$W758)</f>
        <v>#N/A</v>
      </c>
      <c r="M42" s="23" t="str">
        <f t="shared" si="1"/>
        <v>0 - 0</v>
      </c>
      <c r="N42" s="24" t="str">
        <f t="array" ref="N42">IF(XLOOKUP($E42,'Player Database'!$B$2:$B758,'Player Database'!$AA$2:$AA758)="",XLOOKUP($E42,'Player Database'!$B$2:$B758,'Player Database'!$G$2:$G758),XLOOKUP($E42,'Player Database'!$B$2:$B758,'Player Database'!$AA$2:$AA758))</f>
        <v>#N/A</v>
      </c>
      <c r="O42" s="27">
        <f>COUNTIFs(Matches!$B:$B,E42,Matches!$A:$A,"&gt;"&amp;Q42,Matches!$A:$A,"&lt;"&amp;R42)</f>
        <v>0</v>
      </c>
      <c r="P42" s="27">
        <f>COUNTIFs(Matches!$C:$C,E42,Matches!$A:$A,"&gt;"&amp;Q42,Matches!$A:$A,"&lt;"&amp;R42)</f>
        <v>0</v>
      </c>
      <c r="Q42" s="28">
        <f>VLOOKUP($C$2,Quotas!$A$7:$E$14,2,FALSE)</f>
        <v>46213.70833</v>
      </c>
      <c r="R42" s="28">
        <f>VLOOKUP($C$2,Quotas!$A$7:$E$14,3,FALSE)</f>
        <v>46220.70833</v>
      </c>
    </row>
    <row r="43">
      <c r="A43" s="29" t="str">
        <f t="array" ref="A43">XLOOKUP($E43,'Player Database'!$B$2:$B758,'Player Database'!$C$2:$C758)</f>
        <v>#N/A</v>
      </c>
      <c r="B43" s="29" t="str">
        <f t="array" ref="B43">XLOOKUP($E43,'Player Database'!$B$2:$B758,'Player Database'!$E$2:$E758)</f>
        <v>#N/A</v>
      </c>
      <c r="C43" s="29" t="str">
        <f t="array" ref="C43">XLOOKUP($E43,'Player Database'!$B$2:$B758,'Player Database'!$F$2:$F758)</f>
        <v>#N/A</v>
      </c>
      <c r="D43" s="106">
        <f>IFERROR(__xludf.DUMMYFUNCTION("""COMPUTED_VALUE"""),1.0)</f>
        <v>1</v>
      </c>
      <c r="E43" s="17"/>
      <c r="F43" s="18" t="str">
        <f t="array" ref="F43">XLOOKUP($E43,'Player Database'!$B$2:$B758,'Player Database'!$K$2:$K758)</f>
        <v>#N/A</v>
      </c>
      <c r="G43" s="18" t="str">
        <f t="array" ref="G43">XLOOKUP($E43,'Player Database'!$B$2:$B758,'Player Database'!$H$2:$H758)</f>
        <v>#N/A</v>
      </c>
      <c r="H43" s="18" t="str">
        <f t="array" ref="H43">XLOOKUP($E43,'Player Database'!$B$2:$B758,'Player Database'!$O$2:$O758)</f>
        <v>#N/A</v>
      </c>
      <c r="I43" s="18" t="str">
        <f t="array" ref="I43">XLOOKUP($E43,'Player Database'!$B$2:$B758,'Player Database'!$P$2:$P758)</f>
        <v>#N/A</v>
      </c>
      <c r="J43" s="20" t="str">
        <f t="array" ref="J43">XLOOKUP($E43,'Player Database'!$B$2:$B758,'Player Database'!$U$2:$U758)</f>
        <v>#N/A</v>
      </c>
      <c r="K43" s="22" t="str">
        <f>VLOOKUP(E43, 'Player Database'!B:AE, 30, FALSE)</f>
        <v>#N/A</v>
      </c>
      <c r="L43" s="22" t="str">
        <f t="array" ref="L43">XLOOKUP($E43,'Player Database'!$B$2:$B758,'Player Database'!$W$2:$W758)</f>
        <v>#N/A</v>
      </c>
      <c r="M43" s="23" t="str">
        <f t="shared" si="1"/>
        <v>0 - 0</v>
      </c>
      <c r="N43" s="24" t="str">
        <f t="array" ref="N43">IF(XLOOKUP($E43,'Player Database'!$B$2:$B758,'Player Database'!$AA$2:$AA758)="",XLOOKUP($E43,'Player Database'!$B$2:$B758,'Player Database'!$G$2:$G758),XLOOKUP($E43,'Player Database'!$B$2:$B758,'Player Database'!$AA$2:$AA758))</f>
        <v>#N/A</v>
      </c>
      <c r="O43" s="27">
        <f>COUNTIFs(Matches!$B:$B,E43,Matches!$A:$A,"&gt;"&amp;Q43,Matches!$A:$A,"&lt;"&amp;R43)</f>
        <v>0</v>
      </c>
      <c r="P43" s="27">
        <f>COUNTIFs(Matches!$C:$C,E43,Matches!$A:$A,"&gt;"&amp;Q43,Matches!$A:$A,"&lt;"&amp;R43)</f>
        <v>0</v>
      </c>
      <c r="Q43" s="28">
        <f>VLOOKUP($C$2,Quotas!$A$7:$E$14,2,FALSE)</f>
        <v>46213.70833</v>
      </c>
      <c r="R43" s="28">
        <f>VLOOKUP($C$2,Quotas!$A$7:$E$14,3,FALSE)</f>
        <v>46220.70833</v>
      </c>
    </row>
    <row r="44">
      <c r="A44" s="29" t="str">
        <f t="array" ref="A44">XLOOKUP($E44,'Player Database'!$B$2:$B758,'Player Database'!$C$2:$C758)</f>
        <v>#N/A</v>
      </c>
      <c r="B44" s="29" t="str">
        <f t="array" ref="B44">XLOOKUP($E44,'Player Database'!$B$2:$B758,'Player Database'!$E$2:$E758)</f>
        <v>#N/A</v>
      </c>
      <c r="C44" s="29" t="str">
        <f t="array" ref="C44">XLOOKUP($E44,'Player Database'!$B$2:$B758,'Player Database'!$F$2:$F758)</f>
        <v>#N/A</v>
      </c>
      <c r="D44" s="106">
        <f>IFERROR(__xludf.DUMMYFUNCTION("""COMPUTED_VALUE"""),1.0)</f>
        <v>1</v>
      </c>
      <c r="E44" s="17"/>
      <c r="F44" s="18" t="str">
        <f t="array" ref="F44">XLOOKUP($E44,'Player Database'!$B$2:$B758,'Player Database'!$K$2:$K758)</f>
        <v>#N/A</v>
      </c>
      <c r="G44" s="18" t="str">
        <f t="array" ref="G44">XLOOKUP($E44,'Player Database'!$B$2:$B758,'Player Database'!$H$2:$H758)</f>
        <v>#N/A</v>
      </c>
      <c r="H44" s="18" t="str">
        <f t="array" ref="H44">XLOOKUP($E44,'Player Database'!$B$2:$B758,'Player Database'!$O$2:$O758)</f>
        <v>#N/A</v>
      </c>
      <c r="I44" s="18" t="str">
        <f t="array" ref="I44">XLOOKUP($E44,'Player Database'!$B$2:$B758,'Player Database'!$P$2:$P758)</f>
        <v>#N/A</v>
      </c>
      <c r="J44" s="20" t="str">
        <f t="array" ref="J44">XLOOKUP($E44,'Player Database'!$B$2:$B758,'Player Database'!$U$2:$U758)</f>
        <v>#N/A</v>
      </c>
      <c r="K44" s="22" t="str">
        <f>VLOOKUP(E44, 'Player Database'!B:AE, 30, FALSE)</f>
        <v>#N/A</v>
      </c>
      <c r="L44" s="22" t="str">
        <f t="array" ref="L44">XLOOKUP($E44,'Player Database'!$B$2:$B758,'Player Database'!$W$2:$W758)</f>
        <v>#N/A</v>
      </c>
      <c r="M44" s="23" t="str">
        <f t="shared" si="1"/>
        <v>0 - 0</v>
      </c>
      <c r="N44" s="24" t="str">
        <f t="array" ref="N44">IF(XLOOKUP($E44,'Player Database'!$B$2:$B758,'Player Database'!$AA$2:$AA758)="",XLOOKUP($E44,'Player Database'!$B$2:$B758,'Player Database'!$G$2:$G758),XLOOKUP($E44,'Player Database'!$B$2:$B758,'Player Database'!$AA$2:$AA758))</f>
        <v>#N/A</v>
      </c>
      <c r="O44" s="27">
        <f>COUNTIFs(Matches!$B:$B,E44,Matches!$A:$A,"&gt;"&amp;Q44,Matches!$A:$A,"&lt;"&amp;R44)</f>
        <v>0</v>
      </c>
      <c r="P44" s="27">
        <f>COUNTIFs(Matches!$C:$C,E44,Matches!$A:$A,"&gt;"&amp;Q44,Matches!$A:$A,"&lt;"&amp;R44)</f>
        <v>0</v>
      </c>
      <c r="Q44" s="28">
        <f>VLOOKUP($C$2,Quotas!$A$7:$E$14,2,FALSE)</f>
        <v>46213.70833</v>
      </c>
      <c r="R44" s="28">
        <f>VLOOKUP($C$2,Quotas!$A$7:$E$14,3,FALSE)</f>
        <v>46220.70833</v>
      </c>
    </row>
    <row r="45">
      <c r="A45" s="29" t="str">
        <f t="array" ref="A45">XLOOKUP($E45,'Player Database'!$B$2:$B758,'Player Database'!$C$2:$C758)</f>
        <v>#N/A</v>
      </c>
      <c r="B45" s="29" t="str">
        <f t="array" ref="B45">XLOOKUP($E45,'Player Database'!$B$2:$B758,'Player Database'!$E$2:$E758)</f>
        <v>#N/A</v>
      </c>
      <c r="C45" s="29" t="str">
        <f t="array" ref="C45">XLOOKUP($E45,'Player Database'!$B$2:$B758,'Player Database'!$F$2:$F758)</f>
        <v>#N/A</v>
      </c>
      <c r="D45" s="106">
        <f>IFERROR(__xludf.DUMMYFUNCTION("""COMPUTED_VALUE"""),1.0)</f>
        <v>1</v>
      </c>
      <c r="E45" s="17"/>
      <c r="F45" s="18" t="str">
        <f t="array" ref="F45">XLOOKUP($E45,'Player Database'!$B$2:$B758,'Player Database'!$K$2:$K758)</f>
        <v>#N/A</v>
      </c>
      <c r="G45" s="18" t="str">
        <f t="array" ref="G45">XLOOKUP($E45,'Player Database'!$B$2:$B758,'Player Database'!$H$2:$H758)</f>
        <v>#N/A</v>
      </c>
      <c r="H45" s="18" t="str">
        <f t="array" ref="H45">XLOOKUP($E45,'Player Database'!$B$2:$B758,'Player Database'!$O$2:$O758)</f>
        <v>#N/A</v>
      </c>
      <c r="I45" s="18" t="str">
        <f t="array" ref="I45">XLOOKUP($E45,'Player Database'!$B$2:$B758,'Player Database'!$P$2:$P758)</f>
        <v>#N/A</v>
      </c>
      <c r="J45" s="20" t="str">
        <f t="array" ref="J45">XLOOKUP($E45,'Player Database'!$B$2:$B758,'Player Database'!$U$2:$U758)</f>
        <v>#N/A</v>
      </c>
      <c r="K45" s="22" t="str">
        <f>VLOOKUP(E45, 'Player Database'!B:AE, 30, FALSE)</f>
        <v>#N/A</v>
      </c>
      <c r="L45" s="22" t="str">
        <f t="array" ref="L45">XLOOKUP($E45,'Player Database'!$B$2:$B758,'Player Database'!$W$2:$W758)</f>
        <v>#N/A</v>
      </c>
      <c r="M45" s="23" t="str">
        <f t="shared" si="1"/>
        <v>0 - 0</v>
      </c>
      <c r="N45" s="24" t="str">
        <f t="array" ref="N45">IF(XLOOKUP($E45,'Player Database'!$B$2:$B758,'Player Database'!$AA$2:$AA758)="",XLOOKUP($E45,'Player Database'!$B$2:$B758,'Player Database'!$G$2:$G758),XLOOKUP($E45,'Player Database'!$B$2:$B758,'Player Database'!$AA$2:$AA758))</f>
        <v>#N/A</v>
      </c>
      <c r="O45" s="27">
        <f>COUNTIFs(Matches!$B:$B,E45,Matches!$A:$A,"&gt;"&amp;Q45,Matches!$A:$A,"&lt;"&amp;R45)</f>
        <v>0</v>
      </c>
      <c r="P45" s="27">
        <f>COUNTIFs(Matches!$C:$C,E45,Matches!$A:$A,"&gt;"&amp;Q45,Matches!$A:$A,"&lt;"&amp;R45)</f>
        <v>0</v>
      </c>
      <c r="Q45" s="28">
        <f>VLOOKUP($C$2,Quotas!$A$7:$E$14,2,FALSE)</f>
        <v>46213.70833</v>
      </c>
      <c r="R45" s="28">
        <f>VLOOKUP($C$2,Quotas!$A$7:$E$14,3,FALSE)</f>
        <v>46220.70833</v>
      </c>
    </row>
    <row r="46">
      <c r="A46" s="29" t="str">
        <f t="array" ref="A46">XLOOKUP($E46,'Player Database'!$B$2:$B758,'Player Database'!$C$2:$C758)</f>
        <v>#N/A</v>
      </c>
      <c r="B46" s="29" t="str">
        <f t="array" ref="B46">XLOOKUP($E46,'Player Database'!$B$2:$B758,'Player Database'!$E$2:$E758)</f>
        <v>#N/A</v>
      </c>
      <c r="C46" s="29" t="str">
        <f t="array" ref="C46">XLOOKUP($E46,'Player Database'!$B$2:$B758,'Player Database'!$F$2:$F758)</f>
        <v>#N/A</v>
      </c>
      <c r="D46" s="106">
        <f>IFERROR(__xludf.DUMMYFUNCTION("""COMPUTED_VALUE"""),1.0)</f>
        <v>1</v>
      </c>
      <c r="E46" s="17"/>
      <c r="F46" s="18" t="str">
        <f t="array" ref="F46">XLOOKUP($E46,'Player Database'!$B$2:$B758,'Player Database'!$K$2:$K758)</f>
        <v>#N/A</v>
      </c>
      <c r="G46" s="18" t="str">
        <f t="array" ref="G46">XLOOKUP($E46,'Player Database'!$B$2:$B758,'Player Database'!$H$2:$H758)</f>
        <v>#N/A</v>
      </c>
      <c r="H46" s="18" t="str">
        <f t="array" ref="H46">XLOOKUP($E46,'Player Database'!$B$2:$B758,'Player Database'!$O$2:$O758)</f>
        <v>#N/A</v>
      </c>
      <c r="I46" s="18" t="str">
        <f t="array" ref="I46">XLOOKUP($E46,'Player Database'!$B$2:$B758,'Player Database'!$P$2:$P758)</f>
        <v>#N/A</v>
      </c>
      <c r="J46" s="20" t="str">
        <f t="array" ref="J46">XLOOKUP($E46,'Player Database'!$B$2:$B758,'Player Database'!$U$2:$U758)</f>
        <v>#N/A</v>
      </c>
      <c r="K46" s="22" t="str">
        <f>VLOOKUP(E46, 'Player Database'!B:AE, 30, FALSE)</f>
        <v>#N/A</v>
      </c>
      <c r="L46" s="22" t="str">
        <f t="array" ref="L46">XLOOKUP($E46,'Player Database'!$B$2:$B758,'Player Database'!$W$2:$W758)</f>
        <v>#N/A</v>
      </c>
      <c r="M46" s="23" t="str">
        <f t="shared" si="1"/>
        <v>0 - 0</v>
      </c>
      <c r="N46" s="24" t="str">
        <f t="array" ref="N46">IF(XLOOKUP($E46,'Player Database'!$B$2:$B758,'Player Database'!$AA$2:$AA758)="",XLOOKUP($E46,'Player Database'!$B$2:$B758,'Player Database'!$G$2:$G758),XLOOKUP($E46,'Player Database'!$B$2:$B758,'Player Database'!$AA$2:$AA758))</f>
        <v>#N/A</v>
      </c>
      <c r="O46" s="27">
        <f>COUNTIFs(Matches!$B:$B,E46,Matches!$A:$A,"&gt;"&amp;Q46,Matches!$A:$A,"&lt;"&amp;R46)</f>
        <v>0</v>
      </c>
      <c r="P46" s="27">
        <f>COUNTIFs(Matches!$C:$C,E46,Matches!$A:$A,"&gt;"&amp;Q46,Matches!$A:$A,"&lt;"&amp;R46)</f>
        <v>0</v>
      </c>
      <c r="Q46" s="28">
        <f>VLOOKUP($C$2,Quotas!$A$7:$E$14,2,FALSE)</f>
        <v>46213.70833</v>
      </c>
      <c r="R46" s="28">
        <f>VLOOKUP($C$2,Quotas!$A$7:$E$14,3,FALSE)</f>
        <v>46220.70833</v>
      </c>
    </row>
    <row r="47">
      <c r="A47" s="29" t="str">
        <f t="array" ref="A47">XLOOKUP($E47,'Player Database'!$B$2:$B758,'Player Database'!$C$2:$C758)</f>
        <v>#N/A</v>
      </c>
      <c r="B47" s="29" t="str">
        <f t="array" ref="B47">XLOOKUP($E47,'Player Database'!$B$2:$B758,'Player Database'!$E$2:$E758)</f>
        <v>#N/A</v>
      </c>
      <c r="C47" s="29" t="str">
        <f t="array" ref="C47">XLOOKUP($E47,'Player Database'!$B$2:$B758,'Player Database'!$F$2:$F758)</f>
        <v>#N/A</v>
      </c>
      <c r="D47" s="106">
        <f>IFERROR(__xludf.DUMMYFUNCTION("""COMPUTED_VALUE"""),1.0)</f>
        <v>1</v>
      </c>
      <c r="E47" s="17"/>
      <c r="F47" s="18" t="str">
        <f t="array" ref="F47">XLOOKUP($E47,'Player Database'!$B$2:$B758,'Player Database'!$K$2:$K758)</f>
        <v>#N/A</v>
      </c>
      <c r="G47" s="18" t="str">
        <f t="array" ref="G47">XLOOKUP($E47,'Player Database'!$B$2:$B758,'Player Database'!$H$2:$H758)</f>
        <v>#N/A</v>
      </c>
      <c r="H47" s="18" t="str">
        <f t="array" ref="H47">XLOOKUP($E47,'Player Database'!$B$2:$B758,'Player Database'!$O$2:$O758)</f>
        <v>#N/A</v>
      </c>
      <c r="I47" s="18" t="str">
        <f t="array" ref="I47">XLOOKUP($E47,'Player Database'!$B$2:$B758,'Player Database'!$P$2:$P758)</f>
        <v>#N/A</v>
      </c>
      <c r="J47" s="20" t="str">
        <f t="array" ref="J47">XLOOKUP($E47,'Player Database'!$B$2:$B758,'Player Database'!$U$2:$U758)</f>
        <v>#N/A</v>
      </c>
      <c r="K47" s="22" t="str">
        <f>VLOOKUP(E47, 'Player Database'!B:AE, 30, FALSE)</f>
        <v>#N/A</v>
      </c>
      <c r="L47" s="22" t="str">
        <f t="array" ref="L47">XLOOKUP($E47,'Player Database'!$B$2:$B758,'Player Database'!$W$2:$W758)</f>
        <v>#N/A</v>
      </c>
      <c r="M47" s="23" t="str">
        <f t="shared" si="1"/>
        <v>0 - 0</v>
      </c>
      <c r="N47" s="24" t="str">
        <f t="array" ref="N47">IF(XLOOKUP($E47,'Player Database'!$B$2:$B758,'Player Database'!$AA$2:$AA758)="",XLOOKUP($E47,'Player Database'!$B$2:$B758,'Player Database'!$G$2:$G758),XLOOKUP($E47,'Player Database'!$B$2:$B758,'Player Database'!$AA$2:$AA758))</f>
        <v>#N/A</v>
      </c>
      <c r="O47" s="27">
        <f>COUNTIFs(Matches!$B:$B,E47,Matches!$A:$A,"&gt;"&amp;Q47,Matches!$A:$A,"&lt;"&amp;R47)</f>
        <v>0</v>
      </c>
      <c r="P47" s="27">
        <f>COUNTIFs(Matches!$C:$C,E47,Matches!$A:$A,"&gt;"&amp;Q47,Matches!$A:$A,"&lt;"&amp;R47)</f>
        <v>0</v>
      </c>
      <c r="Q47" s="28">
        <f>VLOOKUP($C$2,Quotas!$A$7:$E$14,2,FALSE)</f>
        <v>46213.70833</v>
      </c>
      <c r="R47" s="28">
        <f>VLOOKUP($C$2,Quotas!$A$7:$E$14,3,FALSE)</f>
        <v>46220.70833</v>
      </c>
    </row>
    <row r="48">
      <c r="A48" s="29" t="str">
        <f t="array" ref="A48">XLOOKUP($E48,'Player Database'!$B$2:$B758,'Player Database'!$C$2:$C758)</f>
        <v>#N/A</v>
      </c>
      <c r="B48" s="29" t="str">
        <f t="array" ref="B48">XLOOKUP($E48,'Player Database'!$B$2:$B758,'Player Database'!$E$2:$E758)</f>
        <v>#N/A</v>
      </c>
      <c r="C48" s="29" t="str">
        <f t="array" ref="C48">XLOOKUP($E48,'Player Database'!$B$2:$B758,'Player Database'!$F$2:$F758)</f>
        <v>#N/A</v>
      </c>
      <c r="D48" s="106">
        <f>IFERROR(__xludf.DUMMYFUNCTION("""COMPUTED_VALUE"""),1.0)</f>
        <v>1</v>
      </c>
      <c r="E48" s="17"/>
      <c r="F48" s="18" t="str">
        <f t="array" ref="F48">XLOOKUP($E48,'Player Database'!$B$2:$B758,'Player Database'!$K$2:$K758)</f>
        <v>#N/A</v>
      </c>
      <c r="G48" s="18" t="str">
        <f t="array" ref="G48">XLOOKUP($E48,'Player Database'!$B$2:$B758,'Player Database'!$H$2:$H758)</f>
        <v>#N/A</v>
      </c>
      <c r="H48" s="18" t="str">
        <f t="array" ref="H48">XLOOKUP($E48,'Player Database'!$B$2:$B758,'Player Database'!$O$2:$O758)</f>
        <v>#N/A</v>
      </c>
      <c r="I48" s="18" t="str">
        <f t="array" ref="I48">XLOOKUP($E48,'Player Database'!$B$2:$B758,'Player Database'!$P$2:$P758)</f>
        <v>#N/A</v>
      </c>
      <c r="J48" s="20" t="str">
        <f t="array" ref="J48">XLOOKUP($E48,'Player Database'!$B$2:$B758,'Player Database'!$U$2:$U758)</f>
        <v>#N/A</v>
      </c>
      <c r="K48" s="22" t="str">
        <f>VLOOKUP(E48, 'Player Database'!B:AE, 30, FALSE)</f>
        <v>#N/A</v>
      </c>
      <c r="L48" s="22" t="str">
        <f t="array" ref="L48">XLOOKUP($E48,'Player Database'!$B$2:$B758,'Player Database'!$W$2:$W758)</f>
        <v>#N/A</v>
      </c>
      <c r="M48" s="23" t="str">
        <f t="shared" si="1"/>
        <v>0 - 0</v>
      </c>
      <c r="N48" s="24" t="str">
        <f t="array" ref="N48">IF(XLOOKUP($E48,'Player Database'!$B$2:$B758,'Player Database'!$AA$2:$AA758)="",XLOOKUP($E48,'Player Database'!$B$2:$B758,'Player Database'!$G$2:$G758),XLOOKUP($E48,'Player Database'!$B$2:$B758,'Player Database'!$AA$2:$AA758))</f>
        <v>#N/A</v>
      </c>
      <c r="O48" s="27">
        <f>COUNTIFs(Matches!$B:$B,E48,Matches!$A:$A,"&gt;"&amp;Q48,Matches!$A:$A,"&lt;"&amp;R48)</f>
        <v>0</v>
      </c>
      <c r="P48" s="27">
        <f>COUNTIFs(Matches!$C:$C,E48,Matches!$A:$A,"&gt;"&amp;Q48,Matches!$A:$A,"&lt;"&amp;R48)</f>
        <v>0</v>
      </c>
      <c r="Q48" s="28">
        <f>VLOOKUP($C$2,Quotas!$A$7:$E$14,2,FALSE)</f>
        <v>46213.70833</v>
      </c>
      <c r="R48" s="28">
        <f>VLOOKUP($C$2,Quotas!$A$7:$E$14,3,FALSE)</f>
        <v>46220.70833</v>
      </c>
    </row>
    <row r="49">
      <c r="A49" s="29" t="str">
        <f t="array" ref="A49">XLOOKUP($E49,'Player Database'!$B$2:$B758,'Player Database'!$C$2:$C758)</f>
        <v>#N/A</v>
      </c>
      <c r="B49" s="29" t="str">
        <f t="array" ref="B49">XLOOKUP($E49,'Player Database'!$B$2:$B758,'Player Database'!$E$2:$E758)</f>
        <v>#N/A</v>
      </c>
      <c r="C49" s="29" t="str">
        <f t="array" ref="C49">XLOOKUP($E49,'Player Database'!$B$2:$B758,'Player Database'!$F$2:$F758)</f>
        <v>#N/A</v>
      </c>
      <c r="D49" s="106">
        <f>IFERROR(__xludf.DUMMYFUNCTION("""COMPUTED_VALUE"""),1.0)</f>
        <v>1</v>
      </c>
      <c r="E49" s="17"/>
      <c r="F49" s="18" t="str">
        <f t="array" ref="F49">XLOOKUP($E49,'Player Database'!$B$2:$B758,'Player Database'!$K$2:$K758)</f>
        <v>#N/A</v>
      </c>
      <c r="G49" s="18" t="str">
        <f t="array" ref="G49">XLOOKUP($E49,'Player Database'!$B$2:$B758,'Player Database'!$H$2:$H758)</f>
        <v>#N/A</v>
      </c>
      <c r="H49" s="18" t="str">
        <f t="array" ref="H49">XLOOKUP($E49,'Player Database'!$B$2:$B758,'Player Database'!$O$2:$O758)</f>
        <v>#N/A</v>
      </c>
      <c r="I49" s="18" t="str">
        <f t="array" ref="I49">XLOOKUP($E49,'Player Database'!$B$2:$B758,'Player Database'!$P$2:$P758)</f>
        <v>#N/A</v>
      </c>
      <c r="J49" s="20" t="str">
        <f t="array" ref="J49">XLOOKUP($E49,'Player Database'!$B$2:$B758,'Player Database'!$U$2:$U758)</f>
        <v>#N/A</v>
      </c>
      <c r="K49" s="22" t="str">
        <f>VLOOKUP(E49, 'Player Database'!B:AE, 30, FALSE)</f>
        <v>#N/A</v>
      </c>
      <c r="L49" s="22" t="str">
        <f t="array" ref="L49">XLOOKUP($E49,'Player Database'!$B$2:$B758,'Player Database'!$W$2:$W758)</f>
        <v>#N/A</v>
      </c>
      <c r="M49" s="23" t="str">
        <f t="shared" si="1"/>
        <v>0 - 0</v>
      </c>
      <c r="N49" s="24" t="str">
        <f t="array" ref="N49">IF(XLOOKUP($E49,'Player Database'!$B$2:$B758,'Player Database'!$AA$2:$AA758)="",XLOOKUP($E49,'Player Database'!$B$2:$B758,'Player Database'!$G$2:$G758),XLOOKUP($E49,'Player Database'!$B$2:$B758,'Player Database'!$AA$2:$AA758))</f>
        <v>#N/A</v>
      </c>
      <c r="O49" s="27">
        <f>COUNTIFs(Matches!$B:$B,E49,Matches!$A:$A,"&gt;"&amp;Q49,Matches!$A:$A,"&lt;"&amp;R49)</f>
        <v>0</v>
      </c>
      <c r="P49" s="27">
        <f>COUNTIFs(Matches!$C:$C,E49,Matches!$A:$A,"&gt;"&amp;Q49,Matches!$A:$A,"&lt;"&amp;R49)</f>
        <v>0</v>
      </c>
      <c r="Q49" s="28">
        <f>VLOOKUP($C$2,Quotas!$A$7:$E$14,2,FALSE)</f>
        <v>46213.70833</v>
      </c>
      <c r="R49" s="28">
        <f>VLOOKUP($C$2,Quotas!$A$7:$E$14,3,FALSE)</f>
        <v>46220.70833</v>
      </c>
    </row>
    <row r="50">
      <c r="A50" s="29" t="str">
        <f t="array" ref="A50">XLOOKUP($E50,'Player Database'!$B$2:$B758,'Player Database'!$C$2:$C758)</f>
        <v>#N/A</v>
      </c>
      <c r="B50" s="29" t="str">
        <f t="array" ref="B50">XLOOKUP($E50,'Player Database'!$B$2:$B758,'Player Database'!$E$2:$E758)</f>
        <v>#N/A</v>
      </c>
      <c r="C50" s="29" t="str">
        <f t="array" ref="C50">XLOOKUP($E50,'Player Database'!$B$2:$B758,'Player Database'!$F$2:$F758)</f>
        <v>#N/A</v>
      </c>
      <c r="D50" s="106">
        <f>IFERROR(__xludf.DUMMYFUNCTION("""COMPUTED_VALUE"""),1.0)</f>
        <v>1</v>
      </c>
      <c r="E50" s="17"/>
      <c r="F50" s="18" t="str">
        <f t="array" ref="F50">XLOOKUP($E50,'Player Database'!$B$2:$B758,'Player Database'!$K$2:$K758)</f>
        <v>#N/A</v>
      </c>
      <c r="G50" s="18" t="str">
        <f t="array" ref="G50">XLOOKUP($E50,'Player Database'!$B$2:$B758,'Player Database'!$H$2:$H758)</f>
        <v>#N/A</v>
      </c>
      <c r="H50" s="18" t="str">
        <f t="array" ref="H50">XLOOKUP($E50,'Player Database'!$B$2:$B758,'Player Database'!$O$2:$O758)</f>
        <v>#N/A</v>
      </c>
      <c r="I50" s="18" t="str">
        <f t="array" ref="I50">XLOOKUP($E50,'Player Database'!$B$2:$B758,'Player Database'!$P$2:$P758)</f>
        <v>#N/A</v>
      </c>
      <c r="J50" s="20" t="str">
        <f t="array" ref="J50">XLOOKUP($E50,'Player Database'!$B$2:$B758,'Player Database'!$U$2:$U758)</f>
        <v>#N/A</v>
      </c>
      <c r="K50" s="22" t="str">
        <f>VLOOKUP(E50, 'Player Database'!B:AE, 30, FALSE)</f>
        <v>#N/A</v>
      </c>
      <c r="L50" s="22" t="str">
        <f t="array" ref="L50">XLOOKUP($E50,'Player Database'!$B$2:$B758,'Player Database'!$W$2:$W758)</f>
        <v>#N/A</v>
      </c>
      <c r="M50" s="23" t="str">
        <f t="shared" si="1"/>
        <v>0 - 0</v>
      </c>
      <c r="N50" s="24" t="str">
        <f t="array" ref="N50">IF(XLOOKUP($E50,'Player Database'!$B$2:$B758,'Player Database'!$AA$2:$AA758)="",XLOOKUP($E50,'Player Database'!$B$2:$B758,'Player Database'!$G$2:$G758),XLOOKUP($E50,'Player Database'!$B$2:$B758,'Player Database'!$AA$2:$AA758))</f>
        <v>#N/A</v>
      </c>
      <c r="O50" s="27">
        <f>COUNTIFs(Matches!$B:$B,E50,Matches!$A:$A,"&gt;"&amp;Q50,Matches!$A:$A,"&lt;"&amp;R50)</f>
        <v>0</v>
      </c>
      <c r="P50" s="27">
        <f>COUNTIFs(Matches!$C:$C,E50,Matches!$A:$A,"&gt;"&amp;Q50,Matches!$A:$A,"&lt;"&amp;R50)</f>
        <v>0</v>
      </c>
      <c r="Q50" s="28">
        <f>VLOOKUP($C$2,Quotas!$A$7:$E$14,2,FALSE)</f>
        <v>46213.70833</v>
      </c>
      <c r="R50" s="28">
        <f>VLOOKUP($C$2,Quotas!$A$7:$E$14,3,FALSE)</f>
        <v>46220.70833</v>
      </c>
    </row>
    <row r="51">
      <c r="A51" s="29" t="str">
        <f t="array" ref="A51">XLOOKUP($E51,'Player Database'!$B$2:$B758,'Player Database'!$C$2:$C758)</f>
        <v>#N/A</v>
      </c>
      <c r="B51" s="29" t="str">
        <f t="array" ref="B51">XLOOKUP($E51,'Player Database'!$B$2:$B758,'Player Database'!$E$2:$E758)</f>
        <v>#N/A</v>
      </c>
      <c r="C51" s="29" t="str">
        <f t="array" ref="C51">XLOOKUP($E51,'Player Database'!$B$2:$B758,'Player Database'!$F$2:$F758)</f>
        <v>#N/A</v>
      </c>
      <c r="D51" s="106">
        <f>IFERROR(__xludf.DUMMYFUNCTION("""COMPUTED_VALUE"""),1.0)</f>
        <v>1</v>
      </c>
      <c r="E51" s="17"/>
      <c r="F51" s="18" t="str">
        <f t="array" ref="F51">XLOOKUP($E51,'Player Database'!$B$2:$B758,'Player Database'!$K$2:$K758)</f>
        <v>#N/A</v>
      </c>
      <c r="G51" s="18" t="str">
        <f t="array" ref="G51">XLOOKUP($E51,'Player Database'!$B$2:$B758,'Player Database'!$H$2:$H758)</f>
        <v>#N/A</v>
      </c>
      <c r="H51" s="18" t="str">
        <f t="array" ref="H51">XLOOKUP($E51,'Player Database'!$B$2:$B758,'Player Database'!$O$2:$O758)</f>
        <v>#N/A</v>
      </c>
      <c r="I51" s="18" t="str">
        <f t="array" ref="I51">XLOOKUP($E51,'Player Database'!$B$2:$B758,'Player Database'!$P$2:$P758)</f>
        <v>#N/A</v>
      </c>
      <c r="J51" s="20" t="str">
        <f t="array" ref="J51">XLOOKUP($E51,'Player Database'!$B$2:$B758,'Player Database'!$U$2:$U758)</f>
        <v>#N/A</v>
      </c>
      <c r="K51" s="22" t="str">
        <f>VLOOKUP(E51, 'Player Database'!B:AE, 30, FALSE)</f>
        <v>#N/A</v>
      </c>
      <c r="L51" s="22" t="str">
        <f t="array" ref="L51">XLOOKUP($E51,'Player Database'!$B$2:$B758,'Player Database'!$W$2:$W758)</f>
        <v>#N/A</v>
      </c>
      <c r="M51" s="23" t="str">
        <f t="shared" si="1"/>
        <v>0 - 0</v>
      </c>
      <c r="N51" s="24" t="str">
        <f t="array" ref="N51">IF(XLOOKUP($E51,'Player Database'!$B$2:$B758,'Player Database'!$AA$2:$AA758)="",XLOOKUP($E51,'Player Database'!$B$2:$B758,'Player Database'!$G$2:$G758),XLOOKUP($E51,'Player Database'!$B$2:$B758,'Player Database'!$AA$2:$AA758))</f>
        <v>#N/A</v>
      </c>
      <c r="O51" s="27">
        <f>COUNTIFs(Matches!$B:$B,E51,Matches!$A:$A,"&gt;"&amp;Q51,Matches!$A:$A,"&lt;"&amp;R51)</f>
        <v>0</v>
      </c>
      <c r="P51" s="27">
        <f>COUNTIFs(Matches!$C:$C,E51,Matches!$A:$A,"&gt;"&amp;Q51,Matches!$A:$A,"&lt;"&amp;R51)</f>
        <v>0</v>
      </c>
      <c r="Q51" s="28">
        <f>VLOOKUP($C$2,Quotas!$A$7:$E$14,2,FALSE)</f>
        <v>46213.70833</v>
      </c>
      <c r="R51" s="28">
        <f>VLOOKUP($C$2,Quotas!$A$7:$E$14,3,FALSE)</f>
        <v>46220.70833</v>
      </c>
    </row>
    <row r="52">
      <c r="A52" s="29" t="str">
        <f t="array" ref="A52">XLOOKUP($E52,'Player Database'!$B$2:$B758,'Player Database'!$C$2:$C758)</f>
        <v>#N/A</v>
      </c>
      <c r="B52" s="29" t="str">
        <f t="array" ref="B52">XLOOKUP($E52,'Player Database'!$B$2:$B758,'Player Database'!$E$2:$E758)</f>
        <v>#N/A</v>
      </c>
      <c r="C52" s="29" t="str">
        <f t="array" ref="C52">XLOOKUP($E52,'Player Database'!$B$2:$B758,'Player Database'!$F$2:$F758)</f>
        <v>#N/A</v>
      </c>
      <c r="D52" s="106">
        <f>IFERROR(__xludf.DUMMYFUNCTION("""COMPUTED_VALUE"""),1.0)</f>
        <v>1</v>
      </c>
      <c r="E52" s="17"/>
      <c r="F52" s="18" t="str">
        <f t="array" ref="F52">XLOOKUP($E52,'Player Database'!$B$2:$B758,'Player Database'!$K$2:$K758)</f>
        <v>#N/A</v>
      </c>
      <c r="G52" s="18" t="str">
        <f t="array" ref="G52">XLOOKUP($E52,'Player Database'!$B$2:$B758,'Player Database'!$H$2:$H758)</f>
        <v>#N/A</v>
      </c>
      <c r="H52" s="18" t="str">
        <f t="array" ref="H52">XLOOKUP($E52,'Player Database'!$B$2:$B758,'Player Database'!$O$2:$O758)</f>
        <v>#N/A</v>
      </c>
      <c r="I52" s="18" t="str">
        <f t="array" ref="I52">XLOOKUP($E52,'Player Database'!$B$2:$B758,'Player Database'!$P$2:$P758)</f>
        <v>#N/A</v>
      </c>
      <c r="J52" s="20" t="str">
        <f t="array" ref="J52">XLOOKUP($E52,'Player Database'!$B$2:$B758,'Player Database'!$U$2:$U758)</f>
        <v>#N/A</v>
      </c>
      <c r="K52" s="22" t="str">
        <f>VLOOKUP(E52, 'Player Database'!B:AE, 30, FALSE)</f>
        <v>#N/A</v>
      </c>
      <c r="L52" s="22" t="str">
        <f t="array" ref="L52">XLOOKUP($E52,'Player Database'!$B$2:$B758,'Player Database'!$W$2:$W758)</f>
        <v>#N/A</v>
      </c>
      <c r="M52" s="23" t="str">
        <f t="shared" si="1"/>
        <v>0 - 0</v>
      </c>
      <c r="N52" s="24" t="str">
        <f t="array" ref="N52">IF(XLOOKUP($E52,'Player Database'!$B$2:$B758,'Player Database'!$AA$2:$AA758)="",XLOOKUP($E52,'Player Database'!$B$2:$B758,'Player Database'!$G$2:$G758),XLOOKUP($E52,'Player Database'!$B$2:$B758,'Player Database'!$AA$2:$AA758))</f>
        <v>#N/A</v>
      </c>
      <c r="O52" s="27">
        <f>COUNTIFs(Matches!$B:$B,E52,Matches!$A:$A,"&gt;"&amp;Q52,Matches!$A:$A,"&lt;"&amp;R52)</f>
        <v>0</v>
      </c>
      <c r="P52" s="27">
        <f>COUNTIFs(Matches!$C:$C,E52,Matches!$A:$A,"&gt;"&amp;Q52,Matches!$A:$A,"&lt;"&amp;R52)</f>
        <v>0</v>
      </c>
      <c r="Q52" s="28">
        <f>VLOOKUP($C$2,Quotas!$A$7:$E$14,2,FALSE)</f>
        <v>46213.70833</v>
      </c>
      <c r="R52" s="28">
        <f>VLOOKUP($C$2,Quotas!$A$7:$E$14,3,FALSE)</f>
        <v>46220.70833</v>
      </c>
    </row>
    <row r="53">
      <c r="A53" s="29" t="str">
        <f t="array" ref="A53">XLOOKUP($E53,'Player Database'!$B$2:$B758,'Player Database'!$C$2:$C758)</f>
        <v>#N/A</v>
      </c>
      <c r="B53" s="29" t="str">
        <f t="array" ref="B53">XLOOKUP($E53,'Player Database'!$B$2:$B758,'Player Database'!$E$2:$E758)</f>
        <v>#N/A</v>
      </c>
      <c r="C53" s="29" t="str">
        <f t="array" ref="C53">XLOOKUP($E53,'Player Database'!$B$2:$B758,'Player Database'!$F$2:$F758)</f>
        <v>#N/A</v>
      </c>
      <c r="D53" s="106">
        <f>IFERROR(__xludf.DUMMYFUNCTION("""COMPUTED_VALUE"""),1.0)</f>
        <v>1</v>
      </c>
      <c r="E53" s="17"/>
      <c r="F53" s="18" t="str">
        <f t="array" ref="F53">XLOOKUP($E53,'Player Database'!$B$2:$B758,'Player Database'!$K$2:$K758)</f>
        <v>#N/A</v>
      </c>
      <c r="G53" s="18" t="str">
        <f t="array" ref="G53">XLOOKUP($E53,'Player Database'!$B$2:$B758,'Player Database'!$H$2:$H758)</f>
        <v>#N/A</v>
      </c>
      <c r="H53" s="18" t="str">
        <f t="array" ref="H53">XLOOKUP($E53,'Player Database'!$B$2:$B758,'Player Database'!$O$2:$O758)</f>
        <v>#N/A</v>
      </c>
      <c r="I53" s="18" t="str">
        <f t="array" ref="I53">XLOOKUP($E53,'Player Database'!$B$2:$B758,'Player Database'!$P$2:$P758)</f>
        <v>#N/A</v>
      </c>
      <c r="J53" s="20" t="str">
        <f t="array" ref="J53">XLOOKUP($E53,'Player Database'!$B$2:$B758,'Player Database'!$U$2:$U758)</f>
        <v>#N/A</v>
      </c>
      <c r="K53" s="22" t="str">
        <f>VLOOKUP(E53, 'Player Database'!B:AE, 30, FALSE)</f>
        <v>#N/A</v>
      </c>
      <c r="L53" s="22" t="str">
        <f t="array" ref="L53">XLOOKUP($E53,'Player Database'!$B$2:$B758,'Player Database'!$W$2:$W758)</f>
        <v>#N/A</v>
      </c>
      <c r="M53" s="23" t="str">
        <f t="shared" si="1"/>
        <v>0 - 0</v>
      </c>
      <c r="N53" s="24" t="str">
        <f t="array" ref="N53">IF(XLOOKUP($E53,'Player Database'!$B$2:$B758,'Player Database'!$AA$2:$AA758)="",XLOOKUP($E53,'Player Database'!$B$2:$B758,'Player Database'!$G$2:$G758),XLOOKUP($E53,'Player Database'!$B$2:$B758,'Player Database'!$AA$2:$AA758))</f>
        <v>#N/A</v>
      </c>
      <c r="O53" s="27">
        <f>COUNTIFs(Matches!$B:$B,E53,Matches!$A:$A,"&gt;"&amp;Q53,Matches!$A:$A,"&lt;"&amp;R53)</f>
        <v>0</v>
      </c>
      <c r="P53" s="27">
        <f>COUNTIFs(Matches!$C:$C,E53,Matches!$A:$A,"&gt;"&amp;Q53,Matches!$A:$A,"&lt;"&amp;R53)</f>
        <v>0</v>
      </c>
      <c r="Q53" s="28">
        <f>VLOOKUP($C$2,Quotas!$A$7:$E$14,2,FALSE)</f>
        <v>46213.70833</v>
      </c>
      <c r="R53" s="28">
        <f>VLOOKUP($C$2,Quotas!$A$7:$E$14,3,FALSE)</f>
        <v>46220.70833</v>
      </c>
    </row>
    <row r="54">
      <c r="A54" s="29" t="str">
        <f t="array" ref="A54">XLOOKUP($E54,'Player Database'!$B$2:$B758,'Player Database'!$C$2:$C758)</f>
        <v>#N/A</v>
      </c>
      <c r="B54" s="29" t="str">
        <f t="array" ref="B54">XLOOKUP($E54,'Player Database'!$B$2:$B758,'Player Database'!$E$2:$E758)</f>
        <v>#N/A</v>
      </c>
      <c r="C54" s="29" t="str">
        <f t="array" ref="C54">XLOOKUP($E54,'Player Database'!$B$2:$B758,'Player Database'!$F$2:$F758)</f>
        <v>#N/A</v>
      </c>
      <c r="D54" s="106">
        <f>IFERROR(__xludf.DUMMYFUNCTION("""COMPUTED_VALUE"""),1.0)</f>
        <v>1</v>
      </c>
      <c r="E54" s="17"/>
      <c r="F54" s="18" t="str">
        <f t="array" ref="F54">XLOOKUP($E54,'Player Database'!$B$2:$B758,'Player Database'!$K$2:$K758)</f>
        <v>#N/A</v>
      </c>
      <c r="G54" s="18" t="str">
        <f t="array" ref="G54">XLOOKUP($E54,'Player Database'!$B$2:$B758,'Player Database'!$H$2:$H758)</f>
        <v>#N/A</v>
      </c>
      <c r="H54" s="18" t="str">
        <f t="array" ref="H54">XLOOKUP($E54,'Player Database'!$B$2:$B758,'Player Database'!$O$2:$O758)</f>
        <v>#N/A</v>
      </c>
      <c r="I54" s="18" t="str">
        <f t="array" ref="I54">XLOOKUP($E54,'Player Database'!$B$2:$B758,'Player Database'!$P$2:$P758)</f>
        <v>#N/A</v>
      </c>
      <c r="J54" s="20" t="str">
        <f t="array" ref="J54">XLOOKUP($E54,'Player Database'!$B$2:$B758,'Player Database'!$U$2:$U758)</f>
        <v>#N/A</v>
      </c>
      <c r="K54" s="22" t="str">
        <f>VLOOKUP(E54, 'Player Database'!B:AE, 30, FALSE)</f>
        <v>#N/A</v>
      </c>
      <c r="L54" s="22" t="str">
        <f t="array" ref="L54">XLOOKUP($E54,'Player Database'!$B$2:$B758,'Player Database'!$W$2:$W758)</f>
        <v>#N/A</v>
      </c>
      <c r="M54" s="23" t="str">
        <f t="shared" si="1"/>
        <v>0 - 0</v>
      </c>
      <c r="N54" s="24" t="str">
        <f t="array" ref="N54">IF(XLOOKUP($E54,'Player Database'!$B$2:$B758,'Player Database'!$AA$2:$AA758)="",XLOOKUP($E54,'Player Database'!$B$2:$B758,'Player Database'!$G$2:$G758),XLOOKUP($E54,'Player Database'!$B$2:$B758,'Player Database'!$AA$2:$AA758))</f>
        <v>#N/A</v>
      </c>
      <c r="O54" s="27">
        <f>COUNTIFs(Matches!$B:$B,E54,Matches!$A:$A,"&gt;"&amp;Q54,Matches!$A:$A,"&lt;"&amp;R54)</f>
        <v>0</v>
      </c>
      <c r="P54" s="27">
        <f>COUNTIFs(Matches!$C:$C,E54,Matches!$A:$A,"&gt;"&amp;Q54,Matches!$A:$A,"&lt;"&amp;R54)</f>
        <v>0</v>
      </c>
      <c r="Q54" s="28">
        <f>VLOOKUP($C$2,Quotas!$A$7:$E$14,2,FALSE)</f>
        <v>46213.70833</v>
      </c>
      <c r="R54" s="28">
        <f>VLOOKUP($C$2,Quotas!$A$7:$E$14,3,FALSE)</f>
        <v>46220.70833</v>
      </c>
    </row>
    <row r="55">
      <c r="A55" s="29" t="str">
        <f t="array" ref="A55">XLOOKUP($E55,'Player Database'!$B$2:$B758,'Player Database'!$C$2:$C758)</f>
        <v>#N/A</v>
      </c>
      <c r="B55" s="29" t="str">
        <f t="array" ref="B55">XLOOKUP($E55,'Player Database'!$B$2:$B758,'Player Database'!$E$2:$E758)</f>
        <v>#N/A</v>
      </c>
      <c r="C55" s="29" t="str">
        <f t="array" ref="C55">XLOOKUP($E55,'Player Database'!$B$2:$B758,'Player Database'!$F$2:$F758)</f>
        <v>#N/A</v>
      </c>
      <c r="D55" s="106">
        <f>IFERROR(__xludf.DUMMYFUNCTION("""COMPUTED_VALUE"""),1.0)</f>
        <v>1</v>
      </c>
      <c r="E55" s="17"/>
      <c r="F55" s="18" t="str">
        <f t="array" ref="F55">XLOOKUP($E55,'Player Database'!$B$2:$B758,'Player Database'!$K$2:$K758)</f>
        <v>#N/A</v>
      </c>
      <c r="G55" s="18" t="str">
        <f t="array" ref="G55">XLOOKUP($E55,'Player Database'!$B$2:$B758,'Player Database'!$H$2:$H758)</f>
        <v>#N/A</v>
      </c>
      <c r="H55" s="18" t="str">
        <f t="array" ref="H55">XLOOKUP($E55,'Player Database'!$B$2:$B758,'Player Database'!$O$2:$O758)</f>
        <v>#N/A</v>
      </c>
      <c r="I55" s="18" t="str">
        <f t="array" ref="I55">XLOOKUP($E55,'Player Database'!$B$2:$B758,'Player Database'!$P$2:$P758)</f>
        <v>#N/A</v>
      </c>
      <c r="J55" s="20" t="str">
        <f t="array" ref="J55">XLOOKUP($E55,'Player Database'!$B$2:$B758,'Player Database'!$U$2:$U758)</f>
        <v>#N/A</v>
      </c>
      <c r="K55" s="22" t="str">
        <f>VLOOKUP(E55, 'Player Database'!B:AE, 30, FALSE)</f>
        <v>#N/A</v>
      </c>
      <c r="L55" s="22" t="str">
        <f t="array" ref="L55">XLOOKUP($E55,'Player Database'!$B$2:$B758,'Player Database'!$W$2:$W758)</f>
        <v>#N/A</v>
      </c>
      <c r="M55" s="23" t="str">
        <f t="shared" si="1"/>
        <v>0 - 0</v>
      </c>
      <c r="N55" s="24" t="str">
        <f t="array" ref="N55">IF(XLOOKUP($E55,'Player Database'!$B$2:$B758,'Player Database'!$AA$2:$AA758)="",XLOOKUP($E55,'Player Database'!$B$2:$B758,'Player Database'!$G$2:$G758),XLOOKUP($E55,'Player Database'!$B$2:$B758,'Player Database'!$AA$2:$AA758))</f>
        <v>#N/A</v>
      </c>
      <c r="O55" s="27">
        <f>COUNTIFs(Matches!$B:$B,E55,Matches!$A:$A,"&gt;"&amp;Q55,Matches!$A:$A,"&lt;"&amp;R55)</f>
        <v>0</v>
      </c>
      <c r="P55" s="27">
        <f>COUNTIFs(Matches!$C:$C,E55,Matches!$A:$A,"&gt;"&amp;Q55,Matches!$A:$A,"&lt;"&amp;R55)</f>
        <v>0</v>
      </c>
      <c r="Q55" s="28">
        <f>VLOOKUP($C$2,Quotas!$A$7:$E$14,2,FALSE)</f>
        <v>46213.70833</v>
      </c>
      <c r="R55" s="28">
        <f>VLOOKUP($C$2,Quotas!$A$7:$E$14,3,FALSE)</f>
        <v>46220.70833</v>
      </c>
    </row>
    <row r="56">
      <c r="A56" s="29" t="str">
        <f t="array" ref="A56">XLOOKUP($E56,'Player Database'!$B$2:$B758,'Player Database'!$C$2:$C758)</f>
        <v>#N/A</v>
      </c>
      <c r="B56" s="29" t="str">
        <f t="array" ref="B56">XLOOKUP($E56,'Player Database'!$B$2:$B758,'Player Database'!$E$2:$E758)</f>
        <v>#N/A</v>
      </c>
      <c r="C56" s="29" t="str">
        <f t="array" ref="C56">XLOOKUP($E56,'Player Database'!$B$2:$B758,'Player Database'!$F$2:$F758)</f>
        <v>#N/A</v>
      </c>
      <c r="D56" s="106">
        <f>IFERROR(__xludf.DUMMYFUNCTION("""COMPUTED_VALUE"""),1.0)</f>
        <v>1</v>
      </c>
      <c r="E56" s="17"/>
      <c r="F56" s="18" t="str">
        <f t="array" ref="F56">XLOOKUP($E56,'Player Database'!$B$2:$B758,'Player Database'!$K$2:$K758)</f>
        <v>#N/A</v>
      </c>
      <c r="G56" s="18" t="str">
        <f t="array" ref="G56">XLOOKUP($E56,'Player Database'!$B$2:$B758,'Player Database'!$H$2:$H758)</f>
        <v>#N/A</v>
      </c>
      <c r="H56" s="18" t="str">
        <f t="array" ref="H56">XLOOKUP($E56,'Player Database'!$B$2:$B758,'Player Database'!$O$2:$O758)</f>
        <v>#N/A</v>
      </c>
      <c r="I56" s="18" t="str">
        <f t="array" ref="I56">XLOOKUP($E56,'Player Database'!$B$2:$B758,'Player Database'!$P$2:$P758)</f>
        <v>#N/A</v>
      </c>
      <c r="J56" s="20" t="str">
        <f t="array" ref="J56">XLOOKUP($E56,'Player Database'!$B$2:$B758,'Player Database'!$U$2:$U758)</f>
        <v>#N/A</v>
      </c>
      <c r="K56" s="22" t="str">
        <f>VLOOKUP(E56, 'Player Database'!B:AE, 30, FALSE)</f>
        <v>#N/A</v>
      </c>
      <c r="L56" s="22" t="str">
        <f t="array" ref="L56">XLOOKUP($E56,'Player Database'!$B$2:$B758,'Player Database'!$W$2:$W758)</f>
        <v>#N/A</v>
      </c>
      <c r="M56" s="23" t="str">
        <f t="shared" si="1"/>
        <v>0 - 0</v>
      </c>
      <c r="N56" s="24" t="str">
        <f t="array" ref="N56">IF(XLOOKUP($E56,'Player Database'!$B$2:$B758,'Player Database'!$AA$2:$AA758)="",XLOOKUP($E56,'Player Database'!$B$2:$B758,'Player Database'!$G$2:$G758),XLOOKUP($E56,'Player Database'!$B$2:$B758,'Player Database'!$AA$2:$AA758))</f>
        <v>#N/A</v>
      </c>
      <c r="O56" s="27">
        <f>COUNTIFs(Matches!$B:$B,E56,Matches!$A:$A,"&gt;"&amp;Q56,Matches!$A:$A,"&lt;"&amp;R56)</f>
        <v>0</v>
      </c>
      <c r="P56" s="27">
        <f>COUNTIFs(Matches!$C:$C,E56,Matches!$A:$A,"&gt;"&amp;Q56,Matches!$A:$A,"&lt;"&amp;R56)</f>
        <v>0</v>
      </c>
      <c r="Q56" s="28">
        <f>VLOOKUP($C$2,Quotas!$A$7:$E$14,2,FALSE)</f>
        <v>46213.70833</v>
      </c>
      <c r="R56" s="28">
        <f>VLOOKUP($C$2,Quotas!$A$7:$E$14,3,FALSE)</f>
        <v>46220.70833</v>
      </c>
    </row>
    <row r="57">
      <c r="A57" s="29" t="str">
        <f t="array" ref="A57">XLOOKUP($E57,'Player Database'!$B$2:$B758,'Player Database'!$C$2:$C758)</f>
        <v>#N/A</v>
      </c>
      <c r="B57" s="29" t="str">
        <f t="array" ref="B57">XLOOKUP($E57,'Player Database'!$B$2:$B758,'Player Database'!$E$2:$E758)</f>
        <v>#N/A</v>
      </c>
      <c r="C57" s="29" t="str">
        <f t="array" ref="C57">XLOOKUP($E57,'Player Database'!$B$2:$B758,'Player Database'!$F$2:$F758)</f>
        <v>#N/A</v>
      </c>
      <c r="D57" s="106">
        <f>IFERROR(__xludf.DUMMYFUNCTION("""COMPUTED_VALUE"""),1.0)</f>
        <v>1</v>
      </c>
      <c r="E57" s="17"/>
      <c r="F57" s="18" t="str">
        <f t="array" ref="F57">XLOOKUP($E57,'Player Database'!$B$2:$B758,'Player Database'!$K$2:$K758)</f>
        <v>#N/A</v>
      </c>
      <c r="G57" s="18" t="str">
        <f t="array" ref="G57">XLOOKUP($E57,'Player Database'!$B$2:$B758,'Player Database'!$H$2:$H758)</f>
        <v>#N/A</v>
      </c>
      <c r="H57" s="18" t="str">
        <f t="array" ref="H57">XLOOKUP($E57,'Player Database'!$B$2:$B758,'Player Database'!$O$2:$O758)</f>
        <v>#N/A</v>
      </c>
      <c r="I57" s="18" t="str">
        <f t="array" ref="I57">XLOOKUP($E57,'Player Database'!$B$2:$B758,'Player Database'!$P$2:$P758)</f>
        <v>#N/A</v>
      </c>
      <c r="J57" s="20" t="str">
        <f t="array" ref="J57">XLOOKUP($E57,'Player Database'!$B$2:$B758,'Player Database'!$U$2:$U758)</f>
        <v>#N/A</v>
      </c>
      <c r="K57" s="22" t="str">
        <f>VLOOKUP(E57, 'Player Database'!B:AE, 30, FALSE)</f>
        <v>#N/A</v>
      </c>
      <c r="L57" s="22" t="str">
        <f t="array" ref="L57">XLOOKUP($E57,'Player Database'!$B$2:$B758,'Player Database'!$W$2:$W758)</f>
        <v>#N/A</v>
      </c>
      <c r="M57" s="23" t="str">
        <f t="shared" si="1"/>
        <v>0 - 0</v>
      </c>
      <c r="N57" s="24" t="str">
        <f t="array" ref="N57">IF(XLOOKUP($E57,'Player Database'!$B$2:$B758,'Player Database'!$AA$2:$AA758)="",XLOOKUP($E57,'Player Database'!$B$2:$B758,'Player Database'!$G$2:$G758),XLOOKUP($E57,'Player Database'!$B$2:$B758,'Player Database'!$AA$2:$AA758))</f>
        <v>#N/A</v>
      </c>
      <c r="O57" s="27">
        <f>COUNTIFs(Matches!$B:$B,E57,Matches!$A:$A,"&gt;"&amp;Q57,Matches!$A:$A,"&lt;"&amp;R57)</f>
        <v>0</v>
      </c>
      <c r="P57" s="27">
        <f>COUNTIFs(Matches!$C:$C,E57,Matches!$A:$A,"&gt;"&amp;Q57,Matches!$A:$A,"&lt;"&amp;R57)</f>
        <v>0</v>
      </c>
      <c r="Q57" s="28">
        <f>VLOOKUP($C$2,Quotas!$A$7:$E$14,2,FALSE)</f>
        <v>46213.70833</v>
      </c>
      <c r="R57" s="28">
        <f>VLOOKUP($C$2,Quotas!$A$7:$E$14,3,FALSE)</f>
        <v>46220.70833</v>
      </c>
    </row>
    <row r="58">
      <c r="A58" s="29" t="str">
        <f t="array" ref="A58">XLOOKUP($E58,'Player Database'!$B$2:$B758,'Player Database'!$C$2:$C758)</f>
        <v>#N/A</v>
      </c>
      <c r="B58" s="29" t="str">
        <f t="array" ref="B58">XLOOKUP($E58,'Player Database'!$B$2:$B758,'Player Database'!$E$2:$E758)</f>
        <v>#N/A</v>
      </c>
      <c r="C58" s="29" t="str">
        <f t="array" ref="C58">XLOOKUP($E58,'Player Database'!$B$2:$B758,'Player Database'!$F$2:$F758)</f>
        <v>#N/A</v>
      </c>
      <c r="D58" s="106">
        <f>IFERROR(__xludf.DUMMYFUNCTION("""COMPUTED_VALUE"""),1.0)</f>
        <v>1</v>
      </c>
      <c r="E58" s="17"/>
      <c r="F58" s="18" t="str">
        <f t="array" ref="F58">XLOOKUP($E58,'Player Database'!$B$2:$B758,'Player Database'!$K$2:$K758)</f>
        <v>#N/A</v>
      </c>
      <c r="G58" s="18" t="str">
        <f t="array" ref="G58">XLOOKUP($E58,'Player Database'!$B$2:$B758,'Player Database'!$H$2:$H758)</f>
        <v>#N/A</v>
      </c>
      <c r="H58" s="18" t="str">
        <f t="array" ref="H58">XLOOKUP($E58,'Player Database'!$B$2:$B758,'Player Database'!$O$2:$O758)</f>
        <v>#N/A</v>
      </c>
      <c r="I58" s="18" t="str">
        <f t="array" ref="I58">XLOOKUP($E58,'Player Database'!$B$2:$B758,'Player Database'!$P$2:$P758)</f>
        <v>#N/A</v>
      </c>
      <c r="J58" s="20" t="str">
        <f t="array" ref="J58">XLOOKUP($E58,'Player Database'!$B$2:$B758,'Player Database'!$U$2:$U758)</f>
        <v>#N/A</v>
      </c>
      <c r="K58" s="22" t="str">
        <f>VLOOKUP(E58, 'Player Database'!B:AE, 30, FALSE)</f>
        <v>#N/A</v>
      </c>
      <c r="L58" s="22" t="str">
        <f t="array" ref="L58">XLOOKUP($E58,'Player Database'!$B$2:$B758,'Player Database'!$W$2:$W758)</f>
        <v>#N/A</v>
      </c>
      <c r="M58" s="23" t="str">
        <f t="shared" si="1"/>
        <v>0 - 0</v>
      </c>
      <c r="N58" s="24" t="str">
        <f t="array" ref="N58">IF(XLOOKUP($E58,'Player Database'!$B$2:$B758,'Player Database'!$AA$2:$AA758)="",XLOOKUP($E58,'Player Database'!$B$2:$B758,'Player Database'!$G$2:$G758),XLOOKUP($E58,'Player Database'!$B$2:$B758,'Player Database'!$AA$2:$AA758))</f>
        <v>#N/A</v>
      </c>
      <c r="O58" s="27">
        <f>COUNTIFs(Matches!$B:$B,E58,Matches!$A:$A,"&gt;"&amp;Q58,Matches!$A:$A,"&lt;"&amp;R58)</f>
        <v>0</v>
      </c>
      <c r="P58" s="27">
        <f>COUNTIFs(Matches!$C:$C,E58,Matches!$A:$A,"&gt;"&amp;Q58,Matches!$A:$A,"&lt;"&amp;R58)</f>
        <v>0</v>
      </c>
      <c r="Q58" s="28">
        <f>VLOOKUP($C$2,Quotas!$A$7:$E$14,2,FALSE)</f>
        <v>46213.70833</v>
      </c>
      <c r="R58" s="28">
        <f>VLOOKUP($C$2,Quotas!$A$7:$E$14,3,FALSE)</f>
        <v>46220.70833</v>
      </c>
    </row>
    <row r="59">
      <c r="A59" s="29" t="str">
        <f t="array" ref="A59">XLOOKUP($E59,'Player Database'!$B$2:$B758,'Player Database'!$C$2:$C758)</f>
        <v>#N/A</v>
      </c>
      <c r="B59" s="29" t="str">
        <f t="array" ref="B59">XLOOKUP($E59,'Player Database'!$B$2:$B758,'Player Database'!$E$2:$E758)</f>
        <v>#N/A</v>
      </c>
      <c r="C59" s="29" t="str">
        <f t="array" ref="C59">XLOOKUP($E59,'Player Database'!$B$2:$B758,'Player Database'!$F$2:$F758)</f>
        <v>#N/A</v>
      </c>
      <c r="D59" s="106">
        <f>IFERROR(__xludf.DUMMYFUNCTION("""COMPUTED_VALUE"""),1.0)</f>
        <v>1</v>
      </c>
      <c r="E59" s="17"/>
      <c r="F59" s="18" t="str">
        <f t="array" ref="F59">XLOOKUP($E59,'Player Database'!$B$2:$B758,'Player Database'!$K$2:$K758)</f>
        <v>#N/A</v>
      </c>
      <c r="G59" s="18" t="str">
        <f t="array" ref="G59">XLOOKUP($E59,'Player Database'!$B$2:$B758,'Player Database'!$H$2:$H758)</f>
        <v>#N/A</v>
      </c>
      <c r="H59" s="18" t="str">
        <f t="array" ref="H59">XLOOKUP($E59,'Player Database'!$B$2:$B758,'Player Database'!$O$2:$O758)</f>
        <v>#N/A</v>
      </c>
      <c r="I59" s="18" t="str">
        <f t="array" ref="I59">XLOOKUP($E59,'Player Database'!$B$2:$B758,'Player Database'!$P$2:$P758)</f>
        <v>#N/A</v>
      </c>
      <c r="J59" s="20" t="str">
        <f t="array" ref="J59">XLOOKUP($E59,'Player Database'!$B$2:$B758,'Player Database'!$U$2:$U758)</f>
        <v>#N/A</v>
      </c>
      <c r="K59" s="22" t="str">
        <f>VLOOKUP(E59, 'Player Database'!B:AE, 30, FALSE)</f>
        <v>#N/A</v>
      </c>
      <c r="L59" s="22" t="str">
        <f t="array" ref="L59">XLOOKUP($E59,'Player Database'!$B$2:$B758,'Player Database'!$W$2:$W758)</f>
        <v>#N/A</v>
      </c>
      <c r="M59" s="23" t="str">
        <f t="shared" si="1"/>
        <v>0 - 0</v>
      </c>
      <c r="N59" s="24" t="str">
        <f t="array" ref="N59">IF(XLOOKUP($E59,'Player Database'!$B$2:$B758,'Player Database'!$AA$2:$AA758)="",XLOOKUP($E59,'Player Database'!$B$2:$B758,'Player Database'!$G$2:$G758),XLOOKUP($E59,'Player Database'!$B$2:$B758,'Player Database'!$AA$2:$AA758))</f>
        <v>#N/A</v>
      </c>
      <c r="O59" s="27">
        <f>COUNTIFs(Matches!$B:$B,E59,Matches!$A:$A,"&gt;"&amp;Q59,Matches!$A:$A,"&lt;"&amp;R59)</f>
        <v>0</v>
      </c>
      <c r="P59" s="27">
        <f>COUNTIFs(Matches!$C:$C,E59,Matches!$A:$A,"&gt;"&amp;Q59,Matches!$A:$A,"&lt;"&amp;R59)</f>
        <v>0</v>
      </c>
      <c r="Q59" s="28">
        <f>VLOOKUP($C$2,Quotas!$A$7:$E$14,2,FALSE)</f>
        <v>46213.70833</v>
      </c>
      <c r="R59" s="28">
        <f>VLOOKUP($C$2,Quotas!$A$7:$E$14,3,FALSE)</f>
        <v>46220.70833</v>
      </c>
    </row>
    <row r="60">
      <c r="A60" s="29" t="str">
        <f t="array" ref="A60">XLOOKUP($E60,'Player Database'!$B$2:$B758,'Player Database'!$C$2:$C758)</f>
        <v>#N/A</v>
      </c>
      <c r="B60" s="29" t="str">
        <f t="array" ref="B60">XLOOKUP($E60,'Player Database'!$B$2:$B758,'Player Database'!$E$2:$E758)</f>
        <v>#N/A</v>
      </c>
      <c r="C60" s="29" t="str">
        <f t="array" ref="C60">XLOOKUP($E60,'Player Database'!$B$2:$B758,'Player Database'!$F$2:$F758)</f>
        <v>#N/A</v>
      </c>
      <c r="D60" s="106">
        <f>IFERROR(__xludf.DUMMYFUNCTION("""COMPUTED_VALUE"""),1.0)</f>
        <v>1</v>
      </c>
      <c r="E60" s="17"/>
      <c r="F60" s="18" t="str">
        <f t="array" ref="F60">XLOOKUP($E60,'Player Database'!$B$2:$B758,'Player Database'!$K$2:$K758)</f>
        <v>#N/A</v>
      </c>
      <c r="G60" s="18" t="str">
        <f t="array" ref="G60">XLOOKUP($E60,'Player Database'!$B$2:$B758,'Player Database'!$H$2:$H758)</f>
        <v>#N/A</v>
      </c>
      <c r="H60" s="18" t="str">
        <f t="array" ref="H60">XLOOKUP($E60,'Player Database'!$B$2:$B758,'Player Database'!$O$2:$O758)</f>
        <v>#N/A</v>
      </c>
      <c r="I60" s="18" t="str">
        <f t="array" ref="I60">XLOOKUP($E60,'Player Database'!$B$2:$B758,'Player Database'!$P$2:$P758)</f>
        <v>#N/A</v>
      </c>
      <c r="J60" s="20" t="str">
        <f t="array" ref="J60">XLOOKUP($E60,'Player Database'!$B$2:$B758,'Player Database'!$U$2:$U758)</f>
        <v>#N/A</v>
      </c>
      <c r="K60" s="22" t="str">
        <f>VLOOKUP(E60, 'Player Database'!B:AE, 30, FALSE)</f>
        <v>#N/A</v>
      </c>
      <c r="L60" s="22" t="str">
        <f t="array" ref="L60">XLOOKUP($E60,'Player Database'!$B$2:$B758,'Player Database'!$W$2:$W758)</f>
        <v>#N/A</v>
      </c>
      <c r="M60" s="23" t="str">
        <f t="shared" si="1"/>
        <v>0 - 0</v>
      </c>
      <c r="N60" s="24" t="str">
        <f t="array" ref="N60">IF(XLOOKUP($E60,'Player Database'!$B$2:$B758,'Player Database'!$AA$2:$AA758)="",XLOOKUP($E60,'Player Database'!$B$2:$B758,'Player Database'!$G$2:$G758),XLOOKUP($E60,'Player Database'!$B$2:$B758,'Player Database'!$AA$2:$AA758))</f>
        <v>#N/A</v>
      </c>
      <c r="O60" s="27">
        <f>COUNTIFs(Matches!$B:$B,E60,Matches!$A:$A,"&gt;"&amp;Q60,Matches!$A:$A,"&lt;"&amp;R60)</f>
        <v>0</v>
      </c>
      <c r="P60" s="27">
        <f>COUNTIFs(Matches!$C:$C,E60,Matches!$A:$A,"&gt;"&amp;Q60,Matches!$A:$A,"&lt;"&amp;R60)</f>
        <v>0</v>
      </c>
      <c r="Q60" s="28">
        <f>VLOOKUP($C$2,Quotas!$A$7:$E$14,2,FALSE)</f>
        <v>46213.70833</v>
      </c>
      <c r="R60" s="28">
        <f>VLOOKUP($C$2,Quotas!$A$7:$E$14,3,FALSE)</f>
        <v>46220.70833</v>
      </c>
    </row>
    <row r="61">
      <c r="A61" s="29" t="str">
        <f t="array" ref="A61">XLOOKUP($E61,'Player Database'!$B$2:$B758,'Player Database'!$C$2:$C758)</f>
        <v>#N/A</v>
      </c>
      <c r="B61" s="29" t="str">
        <f t="array" ref="B61">XLOOKUP($E61,'Player Database'!$B$2:$B758,'Player Database'!$E$2:$E758)</f>
        <v>#N/A</v>
      </c>
      <c r="C61" s="29" t="str">
        <f t="array" ref="C61">XLOOKUP($E61,'Player Database'!$B$2:$B758,'Player Database'!$F$2:$F758)</f>
        <v>#N/A</v>
      </c>
      <c r="D61" s="106">
        <f>IFERROR(__xludf.DUMMYFUNCTION("""COMPUTED_VALUE"""),1.0)</f>
        <v>1</v>
      </c>
      <c r="E61" s="17"/>
      <c r="F61" s="18" t="str">
        <f t="array" ref="F61">XLOOKUP($E61,'Player Database'!$B$2:$B758,'Player Database'!$K$2:$K758)</f>
        <v>#N/A</v>
      </c>
      <c r="G61" s="18" t="str">
        <f t="array" ref="G61">XLOOKUP($E61,'Player Database'!$B$2:$B758,'Player Database'!$H$2:$H758)</f>
        <v>#N/A</v>
      </c>
      <c r="H61" s="18" t="str">
        <f t="array" ref="H61">XLOOKUP($E61,'Player Database'!$B$2:$B758,'Player Database'!$O$2:$O758)</f>
        <v>#N/A</v>
      </c>
      <c r="I61" s="18" t="str">
        <f t="array" ref="I61">XLOOKUP($E61,'Player Database'!$B$2:$B758,'Player Database'!$P$2:$P758)</f>
        <v>#N/A</v>
      </c>
      <c r="J61" s="20" t="str">
        <f t="array" ref="J61">XLOOKUP($E61,'Player Database'!$B$2:$B758,'Player Database'!$U$2:$U758)</f>
        <v>#N/A</v>
      </c>
      <c r="K61" s="22" t="str">
        <f>VLOOKUP(E61, 'Player Database'!B:AE, 30, FALSE)</f>
        <v>#N/A</v>
      </c>
      <c r="L61" s="22" t="str">
        <f t="array" ref="L61">XLOOKUP($E61,'Player Database'!$B$2:$B758,'Player Database'!$W$2:$W758)</f>
        <v>#N/A</v>
      </c>
      <c r="M61" s="23" t="str">
        <f t="shared" si="1"/>
        <v>0 - 0</v>
      </c>
      <c r="N61" s="24" t="str">
        <f t="array" ref="N61">IF(XLOOKUP($E61,'Player Database'!$B$2:$B758,'Player Database'!$AA$2:$AA758)="",XLOOKUP($E61,'Player Database'!$B$2:$B758,'Player Database'!$G$2:$G758),XLOOKUP($E61,'Player Database'!$B$2:$B758,'Player Database'!$AA$2:$AA758))</f>
        <v>#N/A</v>
      </c>
      <c r="O61" s="27">
        <f>COUNTIFs(Matches!$B:$B,E61,Matches!$A:$A,"&gt;"&amp;Q61,Matches!$A:$A,"&lt;"&amp;R61)</f>
        <v>0</v>
      </c>
      <c r="P61" s="27">
        <f>COUNTIFs(Matches!$C:$C,E61,Matches!$A:$A,"&gt;"&amp;Q61,Matches!$A:$A,"&lt;"&amp;R61)</f>
        <v>0</v>
      </c>
      <c r="Q61" s="28">
        <f>VLOOKUP($C$2,Quotas!$A$7:$E$14,2,FALSE)</f>
        <v>46213.70833</v>
      </c>
      <c r="R61" s="28">
        <f>VLOOKUP($C$2,Quotas!$A$7:$E$14,3,FALSE)</f>
        <v>46220.70833</v>
      </c>
    </row>
    <row r="62">
      <c r="A62" s="29" t="str">
        <f t="array" ref="A62">XLOOKUP($E62,'Player Database'!$B$2:$B758,'Player Database'!$C$2:$C758)</f>
        <v>#N/A</v>
      </c>
      <c r="B62" s="29" t="str">
        <f t="array" ref="B62">XLOOKUP($E62,'Player Database'!$B$2:$B758,'Player Database'!$E$2:$E758)</f>
        <v>#N/A</v>
      </c>
      <c r="C62" s="29" t="str">
        <f t="array" ref="C62">XLOOKUP($E62,'Player Database'!$B$2:$B758,'Player Database'!$F$2:$F758)</f>
        <v>#N/A</v>
      </c>
      <c r="D62" s="106">
        <f>IFERROR(__xludf.DUMMYFUNCTION("""COMPUTED_VALUE"""),1.0)</f>
        <v>1</v>
      </c>
      <c r="E62" s="17"/>
      <c r="F62" s="18" t="str">
        <f t="array" ref="F62">XLOOKUP($E62,'Player Database'!$B$2:$B758,'Player Database'!$K$2:$K758)</f>
        <v>#N/A</v>
      </c>
      <c r="G62" s="18" t="str">
        <f t="array" ref="G62">XLOOKUP($E62,'Player Database'!$B$2:$B758,'Player Database'!$H$2:$H758)</f>
        <v>#N/A</v>
      </c>
      <c r="H62" s="18" t="str">
        <f t="array" ref="H62">XLOOKUP($E62,'Player Database'!$B$2:$B758,'Player Database'!$O$2:$O758)</f>
        <v>#N/A</v>
      </c>
      <c r="I62" s="18" t="str">
        <f t="array" ref="I62">XLOOKUP($E62,'Player Database'!$B$2:$B758,'Player Database'!$P$2:$P758)</f>
        <v>#N/A</v>
      </c>
      <c r="J62" s="20" t="str">
        <f t="array" ref="J62">XLOOKUP($E62,'Player Database'!$B$2:$B758,'Player Database'!$U$2:$U758)</f>
        <v>#N/A</v>
      </c>
      <c r="K62" s="22" t="str">
        <f>VLOOKUP(E62, 'Player Database'!B:AE, 30, FALSE)</f>
        <v>#N/A</v>
      </c>
      <c r="L62" s="22" t="str">
        <f t="array" ref="L62">XLOOKUP($E62,'Player Database'!$B$2:$B758,'Player Database'!$W$2:$W758)</f>
        <v>#N/A</v>
      </c>
      <c r="M62" s="23" t="str">
        <f t="shared" si="1"/>
        <v>0 - 0</v>
      </c>
      <c r="N62" s="24" t="str">
        <f t="array" ref="N62">IF(XLOOKUP($E62,'Player Database'!$B$2:$B758,'Player Database'!$AA$2:$AA758)="",XLOOKUP($E62,'Player Database'!$B$2:$B758,'Player Database'!$G$2:$G758),XLOOKUP($E62,'Player Database'!$B$2:$B758,'Player Database'!$AA$2:$AA758))</f>
        <v>#N/A</v>
      </c>
      <c r="O62" s="27">
        <f>COUNTIFs(Matches!$B:$B,E62,Matches!$A:$A,"&gt;"&amp;Q62,Matches!$A:$A,"&lt;"&amp;R62)</f>
        <v>0</v>
      </c>
      <c r="P62" s="27">
        <f>COUNTIFs(Matches!$C:$C,E62,Matches!$A:$A,"&gt;"&amp;Q62,Matches!$A:$A,"&lt;"&amp;R62)</f>
        <v>0</v>
      </c>
      <c r="Q62" s="28">
        <f>VLOOKUP($C$2,Quotas!$A$7:$E$14,2,FALSE)</f>
        <v>46213.70833</v>
      </c>
      <c r="R62" s="28">
        <f>VLOOKUP($C$2,Quotas!$A$7:$E$14,3,FALSE)</f>
        <v>46220.70833</v>
      </c>
    </row>
    <row r="63">
      <c r="A63" s="29" t="str">
        <f t="array" ref="A63">XLOOKUP($E63,'Player Database'!$B$2:$B758,'Player Database'!$C$2:$C758)</f>
        <v>#N/A</v>
      </c>
      <c r="B63" s="29" t="str">
        <f t="array" ref="B63">XLOOKUP($E63,'Player Database'!$B$2:$B758,'Player Database'!$E$2:$E758)</f>
        <v>#N/A</v>
      </c>
      <c r="C63" s="29" t="str">
        <f t="array" ref="C63">XLOOKUP($E63,'Player Database'!$B$2:$B758,'Player Database'!$F$2:$F758)</f>
        <v>#N/A</v>
      </c>
      <c r="D63" s="106">
        <f>IFERROR(__xludf.DUMMYFUNCTION("""COMPUTED_VALUE"""),1.0)</f>
        <v>1</v>
      </c>
      <c r="E63" s="17"/>
      <c r="F63" s="18" t="str">
        <f t="array" ref="F63">XLOOKUP($E63,'Player Database'!$B$2:$B758,'Player Database'!$K$2:$K758)</f>
        <v>#N/A</v>
      </c>
      <c r="G63" s="18" t="str">
        <f t="array" ref="G63">XLOOKUP($E63,'Player Database'!$B$2:$B758,'Player Database'!$H$2:$H758)</f>
        <v>#N/A</v>
      </c>
      <c r="H63" s="18" t="str">
        <f t="array" ref="H63">XLOOKUP($E63,'Player Database'!$B$2:$B758,'Player Database'!$O$2:$O758)</f>
        <v>#N/A</v>
      </c>
      <c r="I63" s="18" t="str">
        <f t="array" ref="I63">XLOOKUP($E63,'Player Database'!$B$2:$B758,'Player Database'!$P$2:$P758)</f>
        <v>#N/A</v>
      </c>
      <c r="J63" s="20" t="str">
        <f t="array" ref="J63">XLOOKUP($E63,'Player Database'!$B$2:$B758,'Player Database'!$U$2:$U758)</f>
        <v>#N/A</v>
      </c>
      <c r="K63" s="22" t="str">
        <f>VLOOKUP(E63, 'Player Database'!B:AE, 30, FALSE)</f>
        <v>#N/A</v>
      </c>
      <c r="L63" s="22" t="str">
        <f t="array" ref="L63">XLOOKUP($E63,'Player Database'!$B$2:$B758,'Player Database'!$W$2:$W758)</f>
        <v>#N/A</v>
      </c>
      <c r="M63" s="23" t="str">
        <f t="shared" si="1"/>
        <v>0 - 0</v>
      </c>
      <c r="N63" s="24" t="str">
        <f t="array" ref="N63">IF(XLOOKUP($E63,'Player Database'!$B$2:$B758,'Player Database'!$AA$2:$AA758)="",XLOOKUP($E63,'Player Database'!$B$2:$B758,'Player Database'!$G$2:$G758),XLOOKUP($E63,'Player Database'!$B$2:$B758,'Player Database'!$AA$2:$AA758))</f>
        <v>#N/A</v>
      </c>
      <c r="O63" s="27">
        <f>COUNTIFs(Matches!$B:$B,E63,Matches!$A:$A,"&gt;"&amp;Q63,Matches!$A:$A,"&lt;"&amp;R63)</f>
        <v>0</v>
      </c>
      <c r="P63" s="27">
        <f>COUNTIFs(Matches!$C:$C,E63,Matches!$A:$A,"&gt;"&amp;Q63,Matches!$A:$A,"&lt;"&amp;R63)</f>
        <v>0</v>
      </c>
      <c r="Q63" s="28">
        <f>VLOOKUP($C$2,Quotas!$A$7:$E$14,2,FALSE)</f>
        <v>46213.70833</v>
      </c>
      <c r="R63" s="28">
        <f>VLOOKUP($C$2,Quotas!$A$7:$E$14,3,FALSE)</f>
        <v>46220.70833</v>
      </c>
    </row>
    <row r="64">
      <c r="A64" s="29" t="str">
        <f t="array" ref="A64">XLOOKUP($E64,'Player Database'!$B$2:$B758,'Player Database'!$C$2:$C758)</f>
        <v>#N/A</v>
      </c>
      <c r="B64" s="29" t="str">
        <f t="array" ref="B64">XLOOKUP($E64,'Player Database'!$B$2:$B758,'Player Database'!$E$2:$E758)</f>
        <v>#N/A</v>
      </c>
      <c r="C64" s="29" t="str">
        <f t="array" ref="C64">XLOOKUP($E64,'Player Database'!$B$2:$B758,'Player Database'!$F$2:$F758)</f>
        <v>#N/A</v>
      </c>
      <c r="D64" s="106">
        <f>IFERROR(__xludf.DUMMYFUNCTION("""COMPUTED_VALUE"""),1.0)</f>
        <v>1</v>
      </c>
      <c r="E64" s="17"/>
      <c r="F64" s="18" t="str">
        <f t="array" ref="F64">XLOOKUP($E64,'Player Database'!$B$2:$B758,'Player Database'!$K$2:$K758)</f>
        <v>#N/A</v>
      </c>
      <c r="G64" s="18" t="str">
        <f t="array" ref="G64">XLOOKUP($E64,'Player Database'!$B$2:$B758,'Player Database'!$H$2:$H758)</f>
        <v>#N/A</v>
      </c>
      <c r="H64" s="18" t="str">
        <f t="array" ref="H64">XLOOKUP($E64,'Player Database'!$B$2:$B758,'Player Database'!$O$2:$O758)</f>
        <v>#N/A</v>
      </c>
      <c r="I64" s="18" t="str">
        <f t="array" ref="I64">XLOOKUP($E64,'Player Database'!$B$2:$B758,'Player Database'!$P$2:$P758)</f>
        <v>#N/A</v>
      </c>
      <c r="J64" s="20" t="str">
        <f t="array" ref="J64">XLOOKUP($E64,'Player Database'!$B$2:$B758,'Player Database'!$U$2:$U758)</f>
        <v>#N/A</v>
      </c>
      <c r="K64" s="22" t="str">
        <f>VLOOKUP(E64, 'Player Database'!B:AE, 30, FALSE)</f>
        <v>#N/A</v>
      </c>
      <c r="L64" s="22" t="str">
        <f t="array" ref="L64">XLOOKUP($E64,'Player Database'!$B$2:$B758,'Player Database'!$W$2:$W758)</f>
        <v>#N/A</v>
      </c>
      <c r="M64" s="23" t="str">
        <f t="shared" si="1"/>
        <v>0 - 0</v>
      </c>
      <c r="N64" s="24" t="str">
        <f t="array" ref="N64">IF(XLOOKUP($E64,'Player Database'!$B$2:$B758,'Player Database'!$AA$2:$AA758)="",XLOOKUP($E64,'Player Database'!$B$2:$B758,'Player Database'!$G$2:$G758),XLOOKUP($E64,'Player Database'!$B$2:$B758,'Player Database'!$AA$2:$AA758))</f>
        <v>#N/A</v>
      </c>
      <c r="O64" s="27">
        <f>COUNTIFs(Matches!$B:$B,E64,Matches!$A:$A,"&gt;"&amp;Q64,Matches!$A:$A,"&lt;"&amp;R64)</f>
        <v>0</v>
      </c>
      <c r="P64" s="27">
        <f>COUNTIFs(Matches!$C:$C,E64,Matches!$A:$A,"&gt;"&amp;Q64,Matches!$A:$A,"&lt;"&amp;R64)</f>
        <v>0</v>
      </c>
      <c r="Q64" s="28">
        <f>VLOOKUP($C$2,Quotas!$A$7:$E$14,2,FALSE)</f>
        <v>46213.70833</v>
      </c>
      <c r="R64" s="28">
        <f>VLOOKUP($C$2,Quotas!$A$7:$E$14,3,FALSE)</f>
        <v>46220.70833</v>
      </c>
    </row>
    <row r="65">
      <c r="A65" s="29" t="str">
        <f t="array" ref="A65">XLOOKUP($E65,'Player Database'!$B$2:$B758,'Player Database'!$C$2:$C758)</f>
        <v>#N/A</v>
      </c>
      <c r="B65" s="29" t="str">
        <f t="array" ref="B65">XLOOKUP($E65,'Player Database'!$B$2:$B758,'Player Database'!$E$2:$E758)</f>
        <v>#N/A</v>
      </c>
      <c r="C65" s="29" t="str">
        <f t="array" ref="C65">XLOOKUP($E65,'Player Database'!$B$2:$B758,'Player Database'!$F$2:$F758)</f>
        <v>#N/A</v>
      </c>
      <c r="D65" s="106">
        <f>IFERROR(__xludf.DUMMYFUNCTION("""COMPUTED_VALUE"""),1.0)</f>
        <v>1</v>
      </c>
      <c r="E65" s="17"/>
      <c r="F65" s="18" t="str">
        <f t="array" ref="F65">XLOOKUP($E65,'Player Database'!$B$2:$B758,'Player Database'!$K$2:$K758)</f>
        <v>#N/A</v>
      </c>
      <c r="G65" s="18" t="str">
        <f t="array" ref="G65">XLOOKUP($E65,'Player Database'!$B$2:$B758,'Player Database'!$H$2:$H758)</f>
        <v>#N/A</v>
      </c>
      <c r="H65" s="18" t="str">
        <f t="array" ref="H65">XLOOKUP($E65,'Player Database'!$B$2:$B758,'Player Database'!$O$2:$O758)</f>
        <v>#N/A</v>
      </c>
      <c r="I65" s="18" t="str">
        <f t="array" ref="I65">XLOOKUP($E65,'Player Database'!$B$2:$B758,'Player Database'!$P$2:$P758)</f>
        <v>#N/A</v>
      </c>
      <c r="J65" s="20" t="str">
        <f t="array" ref="J65">XLOOKUP($E65,'Player Database'!$B$2:$B758,'Player Database'!$U$2:$U758)</f>
        <v>#N/A</v>
      </c>
      <c r="K65" s="22" t="str">
        <f>VLOOKUP(E65, 'Player Database'!B:AE, 30, FALSE)</f>
        <v>#N/A</v>
      </c>
      <c r="L65" s="22" t="str">
        <f t="array" ref="L65">XLOOKUP($E65,'Player Database'!$B$2:$B758,'Player Database'!$W$2:$W758)</f>
        <v>#N/A</v>
      </c>
      <c r="M65" s="23" t="str">
        <f t="shared" si="1"/>
        <v>0 - 0</v>
      </c>
      <c r="N65" s="24" t="str">
        <f t="array" ref="N65">IF(XLOOKUP($E65,'Player Database'!$B$2:$B758,'Player Database'!$AA$2:$AA758)="",XLOOKUP($E65,'Player Database'!$B$2:$B758,'Player Database'!$G$2:$G758),XLOOKUP($E65,'Player Database'!$B$2:$B758,'Player Database'!$AA$2:$AA758))</f>
        <v>#N/A</v>
      </c>
      <c r="O65" s="27">
        <f>COUNTIFs(Matches!$B:$B,E65,Matches!$A:$A,"&gt;"&amp;Q65,Matches!$A:$A,"&lt;"&amp;R65)</f>
        <v>0</v>
      </c>
      <c r="P65" s="27">
        <f>COUNTIFs(Matches!$C:$C,E65,Matches!$A:$A,"&gt;"&amp;Q65,Matches!$A:$A,"&lt;"&amp;R65)</f>
        <v>0</v>
      </c>
      <c r="Q65" s="28">
        <f>VLOOKUP($C$2,Quotas!$A$7:$E$14,2,FALSE)</f>
        <v>46213.70833</v>
      </c>
      <c r="R65" s="28">
        <f>VLOOKUP($C$2,Quotas!$A$7:$E$14,3,FALSE)</f>
        <v>46220.70833</v>
      </c>
    </row>
    <row r="66">
      <c r="A66" s="29" t="str">
        <f t="array" ref="A66">XLOOKUP($E66,'Player Database'!$B$2:$B758,'Player Database'!$C$2:$C758)</f>
        <v>#N/A</v>
      </c>
      <c r="B66" s="29" t="str">
        <f t="array" ref="B66">XLOOKUP($E66,'Player Database'!$B$2:$B758,'Player Database'!$E$2:$E758)</f>
        <v>#N/A</v>
      </c>
      <c r="C66" s="29" t="str">
        <f t="array" ref="C66">XLOOKUP($E66,'Player Database'!$B$2:$B758,'Player Database'!$F$2:$F758)</f>
        <v>#N/A</v>
      </c>
      <c r="D66" s="106">
        <f>IFERROR(__xludf.DUMMYFUNCTION("""COMPUTED_VALUE"""),1.0)</f>
        <v>1</v>
      </c>
      <c r="E66" s="17"/>
      <c r="F66" s="18" t="str">
        <f t="array" ref="F66">XLOOKUP($E66,'Player Database'!$B$2:$B758,'Player Database'!$K$2:$K758)</f>
        <v>#N/A</v>
      </c>
      <c r="G66" s="18" t="str">
        <f t="array" ref="G66">XLOOKUP($E66,'Player Database'!$B$2:$B758,'Player Database'!$H$2:$H758)</f>
        <v>#N/A</v>
      </c>
      <c r="H66" s="18" t="str">
        <f t="array" ref="H66">XLOOKUP($E66,'Player Database'!$B$2:$B758,'Player Database'!$O$2:$O758)</f>
        <v>#N/A</v>
      </c>
      <c r="I66" s="18" t="str">
        <f t="array" ref="I66">XLOOKUP($E66,'Player Database'!$B$2:$B758,'Player Database'!$P$2:$P758)</f>
        <v>#N/A</v>
      </c>
      <c r="J66" s="20" t="str">
        <f t="array" ref="J66">XLOOKUP($E66,'Player Database'!$B$2:$B758,'Player Database'!$U$2:$U758)</f>
        <v>#N/A</v>
      </c>
      <c r="K66" s="22" t="str">
        <f>VLOOKUP(E66, 'Player Database'!B:AE, 30, FALSE)</f>
        <v>#N/A</v>
      </c>
      <c r="L66" s="22" t="str">
        <f t="array" ref="L66">XLOOKUP($E66,'Player Database'!$B$2:$B758,'Player Database'!$W$2:$W758)</f>
        <v>#N/A</v>
      </c>
      <c r="M66" s="23" t="str">
        <f t="shared" si="1"/>
        <v>0 - 0</v>
      </c>
      <c r="N66" s="24" t="str">
        <f t="array" ref="N66">IF(XLOOKUP($E66,'Player Database'!$B$2:$B758,'Player Database'!$AA$2:$AA758)="",XLOOKUP($E66,'Player Database'!$B$2:$B758,'Player Database'!$G$2:$G758),XLOOKUP($E66,'Player Database'!$B$2:$B758,'Player Database'!$AA$2:$AA758))</f>
        <v>#N/A</v>
      </c>
      <c r="O66" s="27">
        <f>COUNTIFs(Matches!$B:$B,E66,Matches!$A:$A,"&gt;"&amp;Q66,Matches!$A:$A,"&lt;"&amp;R66)</f>
        <v>0</v>
      </c>
      <c r="P66" s="27">
        <f>COUNTIFs(Matches!$C:$C,E66,Matches!$A:$A,"&gt;"&amp;Q66,Matches!$A:$A,"&lt;"&amp;R66)</f>
        <v>0</v>
      </c>
      <c r="Q66" s="28">
        <f>VLOOKUP($C$2,Quotas!$A$7:$E$14,2,FALSE)</f>
        <v>46213.70833</v>
      </c>
      <c r="R66" s="28">
        <f>VLOOKUP($C$2,Quotas!$A$7:$E$14,3,FALSE)</f>
        <v>46220.70833</v>
      </c>
    </row>
    <row r="67">
      <c r="A67" s="29" t="str">
        <f t="array" ref="A67">XLOOKUP($E67,'Player Database'!$B$2:$B758,'Player Database'!$C$2:$C758)</f>
        <v>#N/A</v>
      </c>
      <c r="B67" s="29" t="str">
        <f t="array" ref="B67">XLOOKUP($E67,'Player Database'!$B$2:$B758,'Player Database'!$E$2:$E758)</f>
        <v>#N/A</v>
      </c>
      <c r="C67" s="29" t="str">
        <f t="array" ref="C67">XLOOKUP($E67,'Player Database'!$B$2:$B758,'Player Database'!$F$2:$F758)</f>
        <v>#N/A</v>
      </c>
      <c r="D67" s="106">
        <f>IFERROR(__xludf.DUMMYFUNCTION("""COMPUTED_VALUE"""),1.0)</f>
        <v>1</v>
      </c>
      <c r="E67" s="17"/>
      <c r="F67" s="18" t="str">
        <f t="array" ref="F67">XLOOKUP($E67,'Player Database'!$B$2:$B758,'Player Database'!$K$2:$K758)</f>
        <v>#N/A</v>
      </c>
      <c r="G67" s="18" t="str">
        <f t="array" ref="G67">XLOOKUP($E67,'Player Database'!$B$2:$B758,'Player Database'!$H$2:$H758)</f>
        <v>#N/A</v>
      </c>
      <c r="H67" s="18" t="str">
        <f t="array" ref="H67">XLOOKUP($E67,'Player Database'!$B$2:$B758,'Player Database'!$O$2:$O758)</f>
        <v>#N/A</v>
      </c>
      <c r="I67" s="18" t="str">
        <f t="array" ref="I67">XLOOKUP($E67,'Player Database'!$B$2:$B758,'Player Database'!$P$2:$P758)</f>
        <v>#N/A</v>
      </c>
      <c r="J67" s="20" t="str">
        <f t="array" ref="J67">XLOOKUP($E67,'Player Database'!$B$2:$B758,'Player Database'!$U$2:$U758)</f>
        <v>#N/A</v>
      </c>
      <c r="K67" s="22" t="str">
        <f>VLOOKUP(E67, 'Player Database'!B:AE, 30, FALSE)</f>
        <v>#N/A</v>
      </c>
      <c r="L67" s="22" t="str">
        <f t="array" ref="L67">XLOOKUP($E67,'Player Database'!$B$2:$B758,'Player Database'!$W$2:$W758)</f>
        <v>#N/A</v>
      </c>
      <c r="M67" s="23" t="str">
        <f t="shared" si="1"/>
        <v>0 - 0</v>
      </c>
      <c r="N67" s="24" t="str">
        <f t="array" ref="N67">IF(XLOOKUP($E67,'Player Database'!$B$2:$B758,'Player Database'!$AA$2:$AA758)="",XLOOKUP($E67,'Player Database'!$B$2:$B758,'Player Database'!$G$2:$G758),XLOOKUP($E67,'Player Database'!$B$2:$B758,'Player Database'!$AA$2:$AA758))</f>
        <v>#N/A</v>
      </c>
      <c r="O67" s="27">
        <f>COUNTIFs(Matches!$B:$B,E67,Matches!$A:$A,"&gt;"&amp;Q67,Matches!$A:$A,"&lt;"&amp;R67)</f>
        <v>0</v>
      </c>
      <c r="P67" s="27">
        <f>COUNTIFs(Matches!$C:$C,E67,Matches!$A:$A,"&gt;"&amp;Q67,Matches!$A:$A,"&lt;"&amp;R67)</f>
        <v>0</v>
      </c>
      <c r="Q67" s="28">
        <f>VLOOKUP($C$2,Quotas!$A$7:$E$14,2,FALSE)</f>
        <v>46213.70833</v>
      </c>
      <c r="R67" s="28">
        <f>VLOOKUP($C$2,Quotas!$A$7:$E$14,3,FALSE)</f>
        <v>46220.70833</v>
      </c>
    </row>
    <row r="68">
      <c r="A68" s="32" t="str">
        <f t="array" ref="A68">XLOOKUP($E68,'Player Database'!$B$2:$B758,'Player Database'!$C$2:$C758)</f>
        <v>#N/A</v>
      </c>
      <c r="B68" s="32" t="str">
        <f t="array" ref="B68">XLOOKUP($E68,'Player Database'!$B$2:$B758,'Player Database'!$E$2:$E758)</f>
        <v>#N/A</v>
      </c>
      <c r="C68" s="32" t="str">
        <f t="array" ref="C68">XLOOKUP($E68,'Player Database'!$B$2:$B758,'Player Database'!$F$2:$F758)</f>
        <v>#N/A</v>
      </c>
      <c r="D68" s="106">
        <f>IFERROR(__xludf.DUMMYFUNCTION("""COMPUTED_VALUE"""),1.0)</f>
        <v>1</v>
      </c>
      <c r="E68" s="17"/>
      <c r="F68" s="18" t="str">
        <f t="array" ref="F68">XLOOKUP($E68,'Player Database'!$B$2:$B758,'Player Database'!$K$2:$K758)</f>
        <v>#N/A</v>
      </c>
      <c r="G68" s="18" t="str">
        <f t="array" ref="G68">XLOOKUP($E68,'Player Database'!$B$2:$B758,'Player Database'!$H$2:$H758)</f>
        <v>#N/A</v>
      </c>
      <c r="H68" s="18" t="str">
        <f t="array" ref="H68">XLOOKUP($E68,'Player Database'!$B$2:$B758,'Player Database'!$O$2:$O758)</f>
        <v>#N/A</v>
      </c>
      <c r="I68" s="18" t="str">
        <f t="array" ref="I68">XLOOKUP($E68,'Player Database'!$B$2:$B758,'Player Database'!$P$2:$P758)</f>
        <v>#N/A</v>
      </c>
      <c r="J68" s="20" t="str">
        <f t="array" ref="J68">XLOOKUP($E68,'Player Database'!$B$2:$B758,'Player Database'!$U$2:$U758)</f>
        <v>#N/A</v>
      </c>
      <c r="K68" s="22" t="str">
        <f>VLOOKUP(E68, 'Player Database'!B:AE, 30, FALSE)</f>
        <v>#N/A</v>
      </c>
      <c r="L68" s="22" t="str">
        <f t="array" ref="L68">XLOOKUP($E68,'Player Database'!$B$2:$B758,'Player Database'!$W$2:$W758)</f>
        <v>#N/A</v>
      </c>
      <c r="M68" s="23" t="str">
        <f t="shared" si="1"/>
        <v>0 - 0</v>
      </c>
      <c r="N68" s="24" t="str">
        <f t="array" ref="N68">IF(XLOOKUP($E68,'Player Database'!$B$2:$B758,'Player Database'!$AA$2:$AA758)="",XLOOKUP($E68,'Player Database'!$B$2:$B758,'Player Database'!$G$2:$G758),XLOOKUP($E68,'Player Database'!$B$2:$B758,'Player Database'!$AA$2:$AA758))</f>
        <v>#N/A</v>
      </c>
      <c r="O68" s="27">
        <f>COUNTIFs(Matches!$B:$B,E68,Matches!$A:$A,"&gt;"&amp;Q68,Matches!$A:$A,"&lt;"&amp;R68)</f>
        <v>0</v>
      </c>
      <c r="P68" s="27">
        <f>COUNTIFs(Matches!$C:$C,E68,Matches!$A:$A,"&gt;"&amp;Q68,Matches!$A:$A,"&lt;"&amp;R68)</f>
        <v>0</v>
      </c>
      <c r="Q68" s="28">
        <f>VLOOKUP($C$2,Quotas!$A$7:$E$14,2,FALSE)</f>
        <v>46213.70833</v>
      </c>
      <c r="R68" s="28">
        <f>VLOOKUP($C$2,Quotas!$A$7:$E$14,3,FALSE)</f>
        <v>46220.70833</v>
      </c>
    </row>
    <row r="69">
      <c r="A69" s="32" t="str">
        <f t="array" ref="A69">XLOOKUP($E69,'Player Database'!$B$2:$B758,'Player Database'!$C$2:$C758)</f>
        <v>#N/A</v>
      </c>
      <c r="B69" s="32" t="str">
        <f t="array" ref="B69">XLOOKUP($E69,'Player Database'!$B$2:$B758,'Player Database'!$E$2:$E758)</f>
        <v>#N/A</v>
      </c>
      <c r="C69" s="32" t="str">
        <f t="array" ref="C69">XLOOKUP($E69,'Player Database'!$B$2:$B758,'Player Database'!$F$2:$F758)</f>
        <v>#N/A</v>
      </c>
      <c r="D69" s="106">
        <f>IFERROR(__xludf.DUMMYFUNCTION("""COMPUTED_VALUE"""),1.0)</f>
        <v>1</v>
      </c>
      <c r="E69" s="17"/>
      <c r="F69" s="18" t="str">
        <f t="array" ref="F69">XLOOKUP($E69,'Player Database'!$B$2:$B758,'Player Database'!$K$2:$K758)</f>
        <v>#N/A</v>
      </c>
      <c r="G69" s="18" t="str">
        <f t="array" ref="G69">XLOOKUP($E69,'Player Database'!$B$2:$B758,'Player Database'!$H$2:$H758)</f>
        <v>#N/A</v>
      </c>
      <c r="H69" s="18" t="str">
        <f t="array" ref="H69">XLOOKUP($E69,'Player Database'!$B$2:$B758,'Player Database'!$O$2:$O758)</f>
        <v>#N/A</v>
      </c>
      <c r="I69" s="18" t="str">
        <f t="array" ref="I69">XLOOKUP($E69,'Player Database'!$B$2:$B758,'Player Database'!$P$2:$P758)</f>
        <v>#N/A</v>
      </c>
      <c r="J69" s="20" t="str">
        <f t="array" ref="J69">XLOOKUP($E69,'Player Database'!$B$2:$B758,'Player Database'!$U$2:$U758)</f>
        <v>#N/A</v>
      </c>
      <c r="K69" s="22" t="str">
        <f>VLOOKUP(E69, 'Player Database'!B:AE, 30, FALSE)</f>
        <v>#N/A</v>
      </c>
      <c r="L69" s="22" t="str">
        <f t="array" ref="L69">XLOOKUP($E69,'Player Database'!$B$2:$B758,'Player Database'!$W$2:$W758)</f>
        <v>#N/A</v>
      </c>
      <c r="M69" s="23" t="str">
        <f t="shared" si="1"/>
        <v>0 - 0</v>
      </c>
      <c r="N69" s="24" t="str">
        <f t="array" ref="N69">IF(XLOOKUP($E69,'Player Database'!$B$2:$B758,'Player Database'!$AA$2:$AA758)="",XLOOKUP($E69,'Player Database'!$B$2:$B758,'Player Database'!$G$2:$G758),XLOOKUP($E69,'Player Database'!$B$2:$B758,'Player Database'!$AA$2:$AA758))</f>
        <v>#N/A</v>
      </c>
      <c r="O69" s="27">
        <f>COUNTIFs(Matches!$B:$B,E69,Matches!$A:$A,"&gt;"&amp;Q69,Matches!$A:$A,"&lt;"&amp;R69)</f>
        <v>0</v>
      </c>
      <c r="P69" s="27">
        <f>COUNTIFs(Matches!$C:$C,E69,Matches!$A:$A,"&gt;"&amp;Q69,Matches!$A:$A,"&lt;"&amp;R69)</f>
        <v>0</v>
      </c>
      <c r="Q69" s="28">
        <f>VLOOKUP($C$2,Quotas!$A$7:$E$14,2,FALSE)</f>
        <v>46213.70833</v>
      </c>
      <c r="R69" s="28">
        <f>VLOOKUP($C$2,Quotas!$A$7:$E$14,3,FALSE)</f>
        <v>46220.70833</v>
      </c>
    </row>
    <row r="70">
      <c r="A70" s="32" t="str">
        <f t="array" ref="A70">XLOOKUP($E70,'Player Database'!$B$2:$B758,'Player Database'!$C$2:$C758)</f>
        <v>#N/A</v>
      </c>
      <c r="B70" s="32" t="str">
        <f t="array" ref="B70">XLOOKUP($E70,'Player Database'!$B$2:$B758,'Player Database'!$E$2:$E758)</f>
        <v>#N/A</v>
      </c>
      <c r="C70" s="32" t="str">
        <f t="array" ref="C70">XLOOKUP($E70,'Player Database'!$B$2:$B758,'Player Database'!$F$2:$F758)</f>
        <v>#N/A</v>
      </c>
      <c r="D70" s="106">
        <f>IFERROR(__xludf.DUMMYFUNCTION("""COMPUTED_VALUE"""),1.0)</f>
        <v>1</v>
      </c>
      <c r="E70" s="17"/>
      <c r="F70" s="18" t="str">
        <f t="array" ref="F70">XLOOKUP($E70,'Player Database'!$B$2:$B758,'Player Database'!$K$2:$K758)</f>
        <v>#N/A</v>
      </c>
      <c r="G70" s="18" t="str">
        <f t="array" ref="G70">XLOOKUP($E70,'Player Database'!$B$2:$B758,'Player Database'!$H$2:$H758)</f>
        <v>#N/A</v>
      </c>
      <c r="H70" s="18" t="str">
        <f t="array" ref="H70">XLOOKUP($E70,'Player Database'!$B$2:$B758,'Player Database'!$O$2:$O758)</f>
        <v>#N/A</v>
      </c>
      <c r="I70" s="18" t="str">
        <f t="array" ref="I70">XLOOKUP($E70,'Player Database'!$B$2:$B758,'Player Database'!$P$2:$P758)</f>
        <v>#N/A</v>
      </c>
      <c r="J70" s="20" t="str">
        <f t="array" ref="J70">XLOOKUP($E70,'Player Database'!$B$2:$B758,'Player Database'!$U$2:$U758)</f>
        <v>#N/A</v>
      </c>
      <c r="K70" s="22" t="str">
        <f>VLOOKUP(E70, 'Player Database'!B:AE, 30, FALSE)</f>
        <v>#N/A</v>
      </c>
      <c r="L70" s="22" t="str">
        <f t="array" ref="L70">XLOOKUP($E70,'Player Database'!$B$2:$B758,'Player Database'!$W$2:$W758)</f>
        <v>#N/A</v>
      </c>
      <c r="M70" s="23" t="str">
        <f t="shared" si="1"/>
        <v>0 - 0</v>
      </c>
      <c r="N70" s="24" t="str">
        <f t="array" ref="N70">IF(XLOOKUP($E70,'Player Database'!$B$2:$B758,'Player Database'!$AA$2:$AA758)="",XLOOKUP($E70,'Player Database'!$B$2:$B758,'Player Database'!$G$2:$G758),XLOOKUP($E70,'Player Database'!$B$2:$B758,'Player Database'!$AA$2:$AA758))</f>
        <v>#N/A</v>
      </c>
      <c r="O70" s="27">
        <f>COUNTIFs(Matches!$B:$B,E70,Matches!$A:$A,"&gt;"&amp;Q70,Matches!$A:$A,"&lt;"&amp;R70)</f>
        <v>0</v>
      </c>
      <c r="P70" s="27">
        <f>COUNTIFs(Matches!$C:$C,E70,Matches!$A:$A,"&gt;"&amp;Q70,Matches!$A:$A,"&lt;"&amp;R70)</f>
        <v>0</v>
      </c>
      <c r="Q70" s="28">
        <f>VLOOKUP($C$2,Quotas!$A$7:$E$14,2,FALSE)</f>
        <v>46213.70833</v>
      </c>
      <c r="R70" s="28">
        <f>VLOOKUP($C$2,Quotas!$A$7:$E$14,3,FALSE)</f>
        <v>46220.70833</v>
      </c>
    </row>
    <row r="71">
      <c r="A71" s="32" t="str">
        <f t="array" ref="A71">XLOOKUP($E71,'Player Database'!$B$2:$B758,'Player Database'!$C$2:$C758)</f>
        <v>#N/A</v>
      </c>
      <c r="B71" s="32" t="str">
        <f t="array" ref="B71">XLOOKUP($E71,'Player Database'!$B$2:$B758,'Player Database'!$E$2:$E758)</f>
        <v>#N/A</v>
      </c>
      <c r="C71" s="32" t="str">
        <f t="array" ref="C71">XLOOKUP($E71,'Player Database'!$B$2:$B758,'Player Database'!$F$2:$F758)</f>
        <v>#N/A</v>
      </c>
      <c r="D71" s="106">
        <f>IFERROR(__xludf.DUMMYFUNCTION("""COMPUTED_VALUE"""),1.0)</f>
        <v>1</v>
      </c>
      <c r="E71" s="17"/>
      <c r="F71" s="18" t="str">
        <f t="array" ref="F71">XLOOKUP($E71,'Player Database'!$B$2:$B758,'Player Database'!$K$2:$K758)</f>
        <v>#N/A</v>
      </c>
      <c r="G71" s="18" t="str">
        <f t="array" ref="G71">XLOOKUP($E71,'Player Database'!$B$2:$B758,'Player Database'!$H$2:$H758)</f>
        <v>#N/A</v>
      </c>
      <c r="H71" s="18" t="str">
        <f t="array" ref="H71">XLOOKUP($E71,'Player Database'!$B$2:$B758,'Player Database'!$O$2:$O758)</f>
        <v>#N/A</v>
      </c>
      <c r="I71" s="18" t="str">
        <f t="array" ref="I71">XLOOKUP($E71,'Player Database'!$B$2:$B758,'Player Database'!$P$2:$P758)</f>
        <v>#N/A</v>
      </c>
      <c r="J71" s="20" t="str">
        <f t="array" ref="J71">XLOOKUP($E71,'Player Database'!$B$2:$B758,'Player Database'!$U$2:$U758)</f>
        <v>#N/A</v>
      </c>
      <c r="K71" s="22" t="str">
        <f>VLOOKUP(E71, 'Player Database'!B:AE, 30, FALSE)</f>
        <v>#N/A</v>
      </c>
      <c r="L71" s="22" t="str">
        <f t="array" ref="L71">XLOOKUP($E71,'Player Database'!$B$2:$B758,'Player Database'!$W$2:$W758)</f>
        <v>#N/A</v>
      </c>
      <c r="M71" s="23" t="str">
        <f t="shared" si="1"/>
        <v>0 - 0</v>
      </c>
      <c r="N71" s="24" t="str">
        <f t="array" ref="N71">IF(XLOOKUP($E71,'Player Database'!$B$2:$B758,'Player Database'!$AA$2:$AA758)="",XLOOKUP($E71,'Player Database'!$B$2:$B758,'Player Database'!$G$2:$G758),XLOOKUP($E71,'Player Database'!$B$2:$B758,'Player Database'!$AA$2:$AA758))</f>
        <v>#N/A</v>
      </c>
      <c r="O71" s="27">
        <f>COUNTIFs(Matches!$B:$B,E71,Matches!$A:$A,"&gt;"&amp;Q71,Matches!$A:$A,"&lt;"&amp;R71)</f>
        <v>0</v>
      </c>
      <c r="P71" s="27">
        <f>COUNTIFs(Matches!$C:$C,E71,Matches!$A:$A,"&gt;"&amp;Q71,Matches!$A:$A,"&lt;"&amp;R71)</f>
        <v>0</v>
      </c>
      <c r="Q71" s="28">
        <f>VLOOKUP($C$2,Quotas!$A$7:$E$14,2,FALSE)</f>
        <v>46213.70833</v>
      </c>
      <c r="R71" s="28">
        <f>VLOOKUP($C$2,Quotas!$A$7:$E$14,3,FALSE)</f>
        <v>46220.70833</v>
      </c>
    </row>
    <row r="72">
      <c r="A72" s="32" t="str">
        <f t="array" ref="A72">XLOOKUP($E72,'Player Database'!$B$2:$B758,'Player Database'!$C$2:$C758)</f>
        <v>#N/A</v>
      </c>
      <c r="B72" s="32" t="str">
        <f t="array" ref="B72">XLOOKUP($E72,'Player Database'!$B$2:$B758,'Player Database'!$E$2:$E758)</f>
        <v>#N/A</v>
      </c>
      <c r="C72" s="32" t="str">
        <f t="array" ref="C72">XLOOKUP($E72,'Player Database'!$B$2:$B758,'Player Database'!$F$2:$F758)</f>
        <v>#N/A</v>
      </c>
      <c r="D72" s="106">
        <f>IFERROR(__xludf.DUMMYFUNCTION("""COMPUTED_VALUE"""),1.0)</f>
        <v>1</v>
      </c>
      <c r="E72" s="17"/>
      <c r="F72" s="18" t="str">
        <f t="array" ref="F72">XLOOKUP($E72,'Player Database'!$B$2:$B758,'Player Database'!$K$2:$K758)</f>
        <v>#N/A</v>
      </c>
      <c r="G72" s="18" t="str">
        <f t="array" ref="G72">XLOOKUP($E72,'Player Database'!$B$2:$B758,'Player Database'!$H$2:$H758)</f>
        <v>#N/A</v>
      </c>
      <c r="H72" s="18" t="str">
        <f t="array" ref="H72">XLOOKUP($E72,'Player Database'!$B$2:$B758,'Player Database'!$O$2:$O758)</f>
        <v>#N/A</v>
      </c>
      <c r="I72" s="18" t="str">
        <f t="array" ref="I72">XLOOKUP($E72,'Player Database'!$B$2:$B758,'Player Database'!$P$2:$P758)</f>
        <v>#N/A</v>
      </c>
      <c r="J72" s="20" t="str">
        <f t="array" ref="J72">XLOOKUP($E72,'Player Database'!$B$2:$B758,'Player Database'!$U$2:$U758)</f>
        <v>#N/A</v>
      </c>
      <c r="K72" s="22" t="str">
        <f>VLOOKUP(E72, 'Player Database'!B:AE, 30, FALSE)</f>
        <v>#N/A</v>
      </c>
      <c r="L72" s="22" t="str">
        <f t="array" ref="L72">XLOOKUP($E72,'Player Database'!$B$2:$B758,'Player Database'!$W$2:$W758)</f>
        <v>#N/A</v>
      </c>
      <c r="M72" s="23" t="str">
        <f t="shared" si="1"/>
        <v>0 - 0</v>
      </c>
      <c r="N72" s="24" t="str">
        <f t="array" ref="N72">IF(XLOOKUP($E72,'Player Database'!$B$2:$B758,'Player Database'!$AA$2:$AA758)="",XLOOKUP($E72,'Player Database'!$B$2:$B758,'Player Database'!$G$2:$G758),XLOOKUP($E72,'Player Database'!$B$2:$B758,'Player Database'!$AA$2:$AA758))</f>
        <v>#N/A</v>
      </c>
      <c r="O72" s="27">
        <f>COUNTIFs(Matches!$B:$B,E72,Matches!$A:$A,"&gt;"&amp;Q72,Matches!$A:$A,"&lt;"&amp;R72)</f>
        <v>0</v>
      </c>
      <c r="P72" s="27">
        <f>COUNTIFs(Matches!$C:$C,E72,Matches!$A:$A,"&gt;"&amp;Q72,Matches!$A:$A,"&lt;"&amp;R72)</f>
        <v>0</v>
      </c>
      <c r="Q72" s="28">
        <f>VLOOKUP($C$2,Quotas!$A$7:$E$14,2,FALSE)</f>
        <v>46213.70833</v>
      </c>
      <c r="R72" s="28">
        <f>VLOOKUP($C$2,Quotas!$A$7:$E$14,3,FALSE)</f>
        <v>46220.70833</v>
      </c>
    </row>
    <row r="73">
      <c r="A73" s="32" t="str">
        <f t="array" ref="A73">XLOOKUP($E73,'Player Database'!$B$2:$B758,'Player Database'!$C$2:$C758)</f>
        <v>#N/A</v>
      </c>
      <c r="B73" s="32" t="str">
        <f t="array" ref="B73">XLOOKUP($E73,'Player Database'!$B$2:$B758,'Player Database'!$E$2:$E758)</f>
        <v>#N/A</v>
      </c>
      <c r="C73" s="32" t="str">
        <f t="array" ref="C73">XLOOKUP($E73,'Player Database'!$B$2:$B758,'Player Database'!$F$2:$F758)</f>
        <v>#N/A</v>
      </c>
      <c r="D73" s="106">
        <f>IFERROR(__xludf.DUMMYFUNCTION("""COMPUTED_VALUE"""),1.0)</f>
        <v>1</v>
      </c>
      <c r="E73" s="17"/>
      <c r="F73" s="18" t="str">
        <f t="array" ref="F73">XLOOKUP($E73,'Player Database'!$B$2:$B758,'Player Database'!$K$2:$K758)</f>
        <v>#N/A</v>
      </c>
      <c r="G73" s="18" t="str">
        <f t="array" ref="G73">XLOOKUP($E73,'Player Database'!$B$2:$B758,'Player Database'!$H$2:$H758)</f>
        <v>#N/A</v>
      </c>
      <c r="H73" s="18" t="str">
        <f t="array" ref="H73">XLOOKUP($E73,'Player Database'!$B$2:$B758,'Player Database'!$O$2:$O758)</f>
        <v>#N/A</v>
      </c>
      <c r="I73" s="18" t="str">
        <f t="array" ref="I73">XLOOKUP($E73,'Player Database'!$B$2:$B758,'Player Database'!$P$2:$P758)</f>
        <v>#N/A</v>
      </c>
      <c r="J73" s="20" t="str">
        <f t="array" ref="J73">XLOOKUP($E73,'Player Database'!$B$2:$B758,'Player Database'!$U$2:$U758)</f>
        <v>#N/A</v>
      </c>
      <c r="K73" s="22" t="str">
        <f>VLOOKUP(E73, 'Player Database'!B:AE, 30, FALSE)</f>
        <v>#N/A</v>
      </c>
      <c r="L73" s="22" t="str">
        <f t="array" ref="L73">XLOOKUP($E73,'Player Database'!$B$2:$B758,'Player Database'!$W$2:$W758)</f>
        <v>#N/A</v>
      </c>
      <c r="M73" s="23" t="str">
        <f t="shared" si="1"/>
        <v>0 - 0</v>
      </c>
      <c r="N73" s="24" t="str">
        <f t="array" ref="N73">IF(XLOOKUP($E73,'Player Database'!$B$2:$B758,'Player Database'!$AA$2:$AA758)="",XLOOKUP($E73,'Player Database'!$B$2:$B758,'Player Database'!$G$2:$G758),XLOOKUP($E73,'Player Database'!$B$2:$B758,'Player Database'!$AA$2:$AA758))</f>
        <v>#N/A</v>
      </c>
      <c r="O73" s="27">
        <f>COUNTIFs(Matches!$B:$B,E73,Matches!$A:$A,"&gt;"&amp;Q73,Matches!$A:$A,"&lt;"&amp;R73)</f>
        <v>0</v>
      </c>
      <c r="P73" s="27">
        <f>COUNTIFs(Matches!$C:$C,E73,Matches!$A:$A,"&gt;"&amp;Q73,Matches!$A:$A,"&lt;"&amp;R73)</f>
        <v>0</v>
      </c>
      <c r="Q73" s="28">
        <f>VLOOKUP($C$2,Quotas!$A$7:$E$14,2,FALSE)</f>
        <v>46213.70833</v>
      </c>
      <c r="R73" s="28">
        <f>VLOOKUP($C$2,Quotas!$A$7:$E$14,3,FALSE)</f>
        <v>46220.70833</v>
      </c>
    </row>
    <row r="74">
      <c r="A74" s="32" t="str">
        <f t="array" ref="A74">XLOOKUP($E74,'Player Database'!$B$2:$B758,'Player Database'!$C$2:$C758)</f>
        <v>#N/A</v>
      </c>
      <c r="B74" s="32" t="str">
        <f t="array" ref="B74">XLOOKUP($E74,'Player Database'!$B$2:$B758,'Player Database'!$E$2:$E758)</f>
        <v>#N/A</v>
      </c>
      <c r="C74" s="32" t="str">
        <f t="array" ref="C74">XLOOKUP($E74,'Player Database'!$B$2:$B758,'Player Database'!$F$2:$F758)</f>
        <v>#N/A</v>
      </c>
      <c r="D74" s="106">
        <f>IFERROR(__xludf.DUMMYFUNCTION("""COMPUTED_VALUE"""),1.0)</f>
        <v>1</v>
      </c>
      <c r="E74" s="17"/>
      <c r="F74" s="18" t="str">
        <f t="array" ref="F74">XLOOKUP($E74,'Player Database'!$B$2:$B758,'Player Database'!$K$2:$K758)</f>
        <v>#N/A</v>
      </c>
      <c r="G74" s="18" t="str">
        <f t="array" ref="G74">XLOOKUP($E74,'Player Database'!$B$2:$B758,'Player Database'!$H$2:$H758)</f>
        <v>#N/A</v>
      </c>
      <c r="H74" s="18" t="str">
        <f t="array" ref="H74">XLOOKUP($E74,'Player Database'!$B$2:$B758,'Player Database'!$O$2:$O758)</f>
        <v>#N/A</v>
      </c>
      <c r="I74" s="18" t="str">
        <f t="array" ref="I74">XLOOKUP($E74,'Player Database'!$B$2:$B758,'Player Database'!$P$2:$P758)</f>
        <v>#N/A</v>
      </c>
      <c r="J74" s="20" t="str">
        <f t="array" ref="J74">XLOOKUP($E74,'Player Database'!$B$2:$B758,'Player Database'!$U$2:$U758)</f>
        <v>#N/A</v>
      </c>
      <c r="K74" s="22" t="str">
        <f>VLOOKUP(E74, 'Player Database'!B:AE, 30, FALSE)</f>
        <v>#N/A</v>
      </c>
      <c r="L74" s="22" t="str">
        <f t="array" ref="L74">XLOOKUP($E74,'Player Database'!$B$2:$B758,'Player Database'!$W$2:$W758)</f>
        <v>#N/A</v>
      </c>
      <c r="M74" s="23" t="str">
        <f t="shared" si="1"/>
        <v>0 - 0</v>
      </c>
      <c r="N74" s="24" t="str">
        <f t="array" ref="N74">IF(XLOOKUP($E74,'Player Database'!$B$2:$B758,'Player Database'!$AA$2:$AA758)="",XLOOKUP($E74,'Player Database'!$B$2:$B758,'Player Database'!$G$2:$G758),XLOOKUP($E74,'Player Database'!$B$2:$B758,'Player Database'!$AA$2:$AA758))</f>
        <v>#N/A</v>
      </c>
      <c r="O74" s="27">
        <f>COUNTIFs(Matches!$B:$B,E74,Matches!$A:$A,"&gt;"&amp;Q74,Matches!$A:$A,"&lt;"&amp;R74)</f>
        <v>0</v>
      </c>
      <c r="P74" s="27">
        <f>COUNTIFs(Matches!$C:$C,E74,Matches!$A:$A,"&gt;"&amp;Q74,Matches!$A:$A,"&lt;"&amp;R74)</f>
        <v>0</v>
      </c>
      <c r="Q74" s="28">
        <f>VLOOKUP($C$2,Quotas!$A$7:$E$14,2,FALSE)</f>
        <v>46213.70833</v>
      </c>
      <c r="R74" s="28">
        <f>VLOOKUP($C$2,Quotas!$A$7:$E$14,3,FALSE)</f>
        <v>46220.70833</v>
      </c>
    </row>
    <row r="75">
      <c r="A75" s="32" t="str">
        <f t="array" ref="A75">XLOOKUP($E75,'Player Database'!$B$2:$B758,'Player Database'!$C$2:$C758)</f>
        <v>#N/A</v>
      </c>
      <c r="B75" s="32" t="str">
        <f t="array" ref="B75">XLOOKUP($E75,'Player Database'!$B$2:$B758,'Player Database'!$E$2:$E758)</f>
        <v>#N/A</v>
      </c>
      <c r="C75" s="32" t="str">
        <f t="array" ref="C75">XLOOKUP($E75,'Player Database'!$B$2:$B758,'Player Database'!$F$2:$F758)</f>
        <v>#N/A</v>
      </c>
      <c r="D75" s="106">
        <f>IFERROR(__xludf.DUMMYFUNCTION("""COMPUTED_VALUE"""),1.0)</f>
        <v>1</v>
      </c>
      <c r="E75" s="17"/>
      <c r="F75" s="18" t="str">
        <f t="array" ref="F75">XLOOKUP($E75,'Player Database'!$B$2:$B758,'Player Database'!$K$2:$K758)</f>
        <v>#N/A</v>
      </c>
      <c r="G75" s="18" t="str">
        <f t="array" ref="G75">XLOOKUP($E75,'Player Database'!$B$2:$B758,'Player Database'!$H$2:$H758)</f>
        <v>#N/A</v>
      </c>
      <c r="H75" s="18" t="str">
        <f t="array" ref="H75">XLOOKUP($E75,'Player Database'!$B$2:$B758,'Player Database'!$O$2:$O758)</f>
        <v>#N/A</v>
      </c>
      <c r="I75" s="18" t="str">
        <f t="array" ref="I75">XLOOKUP($E75,'Player Database'!$B$2:$B758,'Player Database'!$P$2:$P758)</f>
        <v>#N/A</v>
      </c>
      <c r="J75" s="20" t="str">
        <f t="array" ref="J75">XLOOKUP($E75,'Player Database'!$B$2:$B758,'Player Database'!$U$2:$U758)</f>
        <v>#N/A</v>
      </c>
      <c r="K75" s="22" t="str">
        <f>VLOOKUP(E75, 'Player Database'!B:AE, 30, FALSE)</f>
        <v>#N/A</v>
      </c>
      <c r="L75" s="22" t="str">
        <f t="array" ref="L75">XLOOKUP($E75,'Player Database'!$B$2:$B758,'Player Database'!$W$2:$W758)</f>
        <v>#N/A</v>
      </c>
      <c r="M75" s="23" t="str">
        <f t="shared" si="1"/>
        <v>0 - 0</v>
      </c>
      <c r="N75" s="24" t="str">
        <f t="array" ref="N75">IF(XLOOKUP($E75,'Player Database'!$B$2:$B758,'Player Database'!$AA$2:$AA758)="",XLOOKUP($E75,'Player Database'!$B$2:$B758,'Player Database'!$G$2:$G758),XLOOKUP($E75,'Player Database'!$B$2:$B758,'Player Database'!$AA$2:$AA758))</f>
        <v>#N/A</v>
      </c>
      <c r="O75" s="27">
        <f>COUNTIFs(Matches!$B:$B,E75,Matches!$A:$A,"&gt;"&amp;Q75,Matches!$A:$A,"&lt;"&amp;R75)</f>
        <v>0</v>
      </c>
      <c r="P75" s="27">
        <f>COUNTIFs(Matches!$C:$C,E75,Matches!$A:$A,"&gt;"&amp;Q75,Matches!$A:$A,"&lt;"&amp;R75)</f>
        <v>0</v>
      </c>
      <c r="Q75" s="28">
        <f>VLOOKUP($C$2,Quotas!$A$7:$E$14,2,FALSE)</f>
        <v>46213.70833</v>
      </c>
      <c r="R75" s="28">
        <f>VLOOKUP($C$2,Quotas!$A$7:$E$14,3,FALSE)</f>
        <v>46220.70833</v>
      </c>
    </row>
    <row r="76">
      <c r="A76" s="32" t="str">
        <f t="array" ref="A76">XLOOKUP($E76,'Player Database'!$B$2:$B758,'Player Database'!$C$2:$C758)</f>
        <v>#N/A</v>
      </c>
      <c r="B76" s="32" t="str">
        <f t="array" ref="B76">XLOOKUP($E76,'Player Database'!$B$2:$B758,'Player Database'!$E$2:$E758)</f>
        <v>#N/A</v>
      </c>
      <c r="C76" s="32" t="str">
        <f t="array" ref="C76">XLOOKUP($E76,'Player Database'!$B$2:$B758,'Player Database'!$F$2:$F758)</f>
        <v>#N/A</v>
      </c>
      <c r="D76" s="106">
        <f>IFERROR(__xludf.DUMMYFUNCTION("""COMPUTED_VALUE"""),1.0)</f>
        <v>1</v>
      </c>
      <c r="E76" s="17"/>
      <c r="F76" s="18" t="str">
        <f t="array" ref="F76">XLOOKUP($E76,'Player Database'!$B$2:$B758,'Player Database'!$K$2:$K758)</f>
        <v>#N/A</v>
      </c>
      <c r="G76" s="18" t="str">
        <f t="array" ref="G76">XLOOKUP($E76,'Player Database'!$B$2:$B758,'Player Database'!$H$2:$H758)</f>
        <v>#N/A</v>
      </c>
      <c r="H76" s="18" t="str">
        <f t="array" ref="H76">XLOOKUP($E76,'Player Database'!$B$2:$B758,'Player Database'!$O$2:$O758)</f>
        <v>#N/A</v>
      </c>
      <c r="I76" s="18" t="str">
        <f t="array" ref="I76">XLOOKUP($E76,'Player Database'!$B$2:$B758,'Player Database'!$P$2:$P758)</f>
        <v>#N/A</v>
      </c>
      <c r="J76" s="20" t="str">
        <f t="array" ref="J76">XLOOKUP($E76,'Player Database'!$B$2:$B758,'Player Database'!$U$2:$U758)</f>
        <v>#N/A</v>
      </c>
      <c r="K76" s="22" t="str">
        <f>VLOOKUP(E76, 'Player Database'!B:AE, 30, FALSE)</f>
        <v>#N/A</v>
      </c>
      <c r="L76" s="22" t="str">
        <f t="array" ref="L76">XLOOKUP($E76,'Player Database'!$B$2:$B758,'Player Database'!$W$2:$W758)</f>
        <v>#N/A</v>
      </c>
      <c r="M76" s="23" t="str">
        <f t="shared" si="1"/>
        <v>0 - 0</v>
      </c>
      <c r="N76" s="24" t="str">
        <f t="array" ref="N76">IF(XLOOKUP($E76,'Player Database'!$B$2:$B758,'Player Database'!$AA$2:$AA758)="",XLOOKUP($E76,'Player Database'!$B$2:$B758,'Player Database'!$G$2:$G758),XLOOKUP($E76,'Player Database'!$B$2:$B758,'Player Database'!$AA$2:$AA758))</f>
        <v>#N/A</v>
      </c>
      <c r="O76" s="27">
        <f>COUNTIFs(Matches!$B:$B,E76,Matches!$A:$A,"&gt;"&amp;Q76,Matches!$A:$A,"&lt;"&amp;R76)</f>
        <v>0</v>
      </c>
      <c r="P76" s="27">
        <f>COUNTIFs(Matches!$C:$C,E76,Matches!$A:$A,"&gt;"&amp;Q76,Matches!$A:$A,"&lt;"&amp;R76)</f>
        <v>0</v>
      </c>
      <c r="Q76" s="28">
        <f>VLOOKUP($C$2,Quotas!$A$7:$E$14,2,FALSE)</f>
        <v>46213.70833</v>
      </c>
      <c r="R76" s="28">
        <f>VLOOKUP($C$2,Quotas!$A$7:$E$14,3,FALSE)</f>
        <v>46220.70833</v>
      </c>
    </row>
    <row r="77">
      <c r="A77" s="32" t="str">
        <f t="array" ref="A77">XLOOKUP($E77,'Player Database'!$B$2:$B758,'Player Database'!$C$2:$C758)</f>
        <v>#N/A</v>
      </c>
      <c r="B77" s="32" t="str">
        <f t="array" ref="B77">XLOOKUP($E77,'Player Database'!$B$2:$B758,'Player Database'!$E$2:$E758)</f>
        <v>#N/A</v>
      </c>
      <c r="C77" s="32" t="str">
        <f t="array" ref="C77">XLOOKUP($E77,'Player Database'!$B$2:$B758,'Player Database'!$F$2:$F758)</f>
        <v>#N/A</v>
      </c>
      <c r="D77" s="106">
        <f>IFERROR(__xludf.DUMMYFUNCTION("""COMPUTED_VALUE"""),1.0)</f>
        <v>1</v>
      </c>
      <c r="E77" s="17"/>
      <c r="F77" s="18" t="str">
        <f t="array" ref="F77">XLOOKUP($E77,'Player Database'!$B$2:$B758,'Player Database'!$K$2:$K758)</f>
        <v>#N/A</v>
      </c>
      <c r="G77" s="18" t="str">
        <f t="array" ref="G77">XLOOKUP($E77,'Player Database'!$B$2:$B758,'Player Database'!$H$2:$H758)</f>
        <v>#N/A</v>
      </c>
      <c r="H77" s="18" t="str">
        <f t="array" ref="H77">XLOOKUP($E77,'Player Database'!$B$2:$B758,'Player Database'!$O$2:$O758)</f>
        <v>#N/A</v>
      </c>
      <c r="I77" s="18" t="str">
        <f t="array" ref="I77">XLOOKUP($E77,'Player Database'!$B$2:$B758,'Player Database'!$P$2:$P758)</f>
        <v>#N/A</v>
      </c>
      <c r="J77" s="20" t="str">
        <f t="array" ref="J77">XLOOKUP($E77,'Player Database'!$B$2:$B758,'Player Database'!$U$2:$U758)</f>
        <v>#N/A</v>
      </c>
      <c r="K77" s="22" t="str">
        <f>VLOOKUP(E77, 'Player Database'!B:AE, 30, FALSE)</f>
        <v>#N/A</v>
      </c>
      <c r="L77" s="22" t="str">
        <f t="array" ref="L77">XLOOKUP($E77,'Player Database'!$B$2:$B758,'Player Database'!$W$2:$W758)</f>
        <v>#N/A</v>
      </c>
      <c r="M77" s="23" t="str">
        <f t="shared" si="1"/>
        <v>0 - 0</v>
      </c>
      <c r="N77" s="24" t="str">
        <f t="array" ref="N77">IF(XLOOKUP($E77,'Player Database'!$B$2:$B758,'Player Database'!$AA$2:$AA758)="",XLOOKUP($E77,'Player Database'!$B$2:$B758,'Player Database'!$G$2:$G758),XLOOKUP($E77,'Player Database'!$B$2:$B758,'Player Database'!$AA$2:$AA758))</f>
        <v>#N/A</v>
      </c>
      <c r="O77" s="27">
        <f>COUNTIFs(Matches!$B:$B,E77,Matches!$A:$A,"&gt;"&amp;Q77,Matches!$A:$A,"&lt;"&amp;R77)</f>
        <v>0</v>
      </c>
      <c r="P77" s="27">
        <f>COUNTIFs(Matches!$C:$C,E77,Matches!$A:$A,"&gt;"&amp;Q77,Matches!$A:$A,"&lt;"&amp;R77)</f>
        <v>0</v>
      </c>
      <c r="Q77" s="28">
        <f>VLOOKUP($C$2,Quotas!$A$7:$E$14,2,FALSE)</f>
        <v>46213.70833</v>
      </c>
      <c r="R77" s="28">
        <f>VLOOKUP($C$2,Quotas!$A$7:$E$14,3,FALSE)</f>
        <v>46220.70833</v>
      </c>
    </row>
    <row r="78">
      <c r="A78" s="32" t="str">
        <f t="array" ref="A78">XLOOKUP($E78,'Player Database'!$B$2:$B758,'Player Database'!$C$2:$C758)</f>
        <v>#N/A</v>
      </c>
      <c r="B78" s="32" t="str">
        <f t="array" ref="B78">XLOOKUP($E78,'Player Database'!$B$2:$B758,'Player Database'!$E$2:$E758)</f>
        <v>#N/A</v>
      </c>
      <c r="C78" s="32" t="str">
        <f t="array" ref="C78">XLOOKUP($E78,'Player Database'!$B$2:$B758,'Player Database'!$F$2:$F758)</f>
        <v>#N/A</v>
      </c>
      <c r="D78" s="106">
        <f>IFERROR(__xludf.DUMMYFUNCTION("""COMPUTED_VALUE"""),1.0)</f>
        <v>1</v>
      </c>
      <c r="E78" s="17"/>
      <c r="F78" s="18" t="str">
        <f t="array" ref="F78">XLOOKUP($E78,'Player Database'!$B$2:$B758,'Player Database'!$K$2:$K758)</f>
        <v>#N/A</v>
      </c>
      <c r="G78" s="18" t="str">
        <f t="array" ref="G78">XLOOKUP($E78,'Player Database'!$B$2:$B758,'Player Database'!$H$2:$H758)</f>
        <v>#N/A</v>
      </c>
      <c r="H78" s="18" t="str">
        <f t="array" ref="H78">XLOOKUP($E78,'Player Database'!$B$2:$B758,'Player Database'!$O$2:$O758)</f>
        <v>#N/A</v>
      </c>
      <c r="I78" s="18" t="str">
        <f t="array" ref="I78">XLOOKUP($E78,'Player Database'!$B$2:$B758,'Player Database'!$P$2:$P758)</f>
        <v>#N/A</v>
      </c>
      <c r="J78" s="20" t="str">
        <f t="array" ref="J78">XLOOKUP($E78,'Player Database'!$B$2:$B758,'Player Database'!$U$2:$U758)</f>
        <v>#N/A</v>
      </c>
      <c r="K78" s="22" t="str">
        <f>VLOOKUP(E78, 'Player Database'!B:AE, 30, FALSE)</f>
        <v>#N/A</v>
      </c>
      <c r="L78" s="22" t="str">
        <f t="array" ref="L78">XLOOKUP($E78,'Player Database'!$B$2:$B758,'Player Database'!$W$2:$W758)</f>
        <v>#N/A</v>
      </c>
      <c r="M78" s="23" t="str">
        <f t="shared" si="1"/>
        <v>0 - 0</v>
      </c>
      <c r="N78" s="24" t="str">
        <f t="array" ref="N78">IF(XLOOKUP($E78,'Player Database'!$B$2:$B758,'Player Database'!$AA$2:$AA758)="",XLOOKUP($E78,'Player Database'!$B$2:$B758,'Player Database'!$G$2:$G758),XLOOKUP($E78,'Player Database'!$B$2:$B758,'Player Database'!$AA$2:$AA758))</f>
        <v>#N/A</v>
      </c>
      <c r="O78" s="27">
        <f>COUNTIFs(Matches!$B:$B,E78,Matches!$A:$A,"&gt;"&amp;Q78,Matches!$A:$A,"&lt;"&amp;R78)</f>
        <v>0</v>
      </c>
      <c r="P78" s="27">
        <f>COUNTIFs(Matches!$C:$C,E78,Matches!$A:$A,"&gt;"&amp;Q78,Matches!$A:$A,"&lt;"&amp;R78)</f>
        <v>0</v>
      </c>
      <c r="Q78" s="28">
        <f>VLOOKUP($C$2,Quotas!$A$7:$E$14,2,FALSE)</f>
        <v>46213.70833</v>
      </c>
      <c r="R78" s="28">
        <f>VLOOKUP($C$2,Quotas!$A$7:$E$14,3,FALSE)</f>
        <v>46220.70833</v>
      </c>
    </row>
    <row r="79">
      <c r="A79" s="32" t="str">
        <f t="array" ref="A79">XLOOKUP($E79,'Player Database'!$B$2:$B758,'Player Database'!$C$2:$C758)</f>
        <v>#N/A</v>
      </c>
      <c r="B79" s="32" t="str">
        <f t="array" ref="B79">XLOOKUP($E79,'Player Database'!$B$2:$B758,'Player Database'!$E$2:$E758)</f>
        <v>#N/A</v>
      </c>
      <c r="C79" s="32" t="str">
        <f t="array" ref="C79">XLOOKUP($E79,'Player Database'!$B$2:$B758,'Player Database'!$F$2:$F758)</f>
        <v>#N/A</v>
      </c>
      <c r="D79" s="106">
        <f>IFERROR(__xludf.DUMMYFUNCTION("""COMPUTED_VALUE"""),1.0)</f>
        <v>1</v>
      </c>
      <c r="E79" s="17"/>
      <c r="F79" s="18" t="str">
        <f t="array" ref="F79">XLOOKUP($E79,'Player Database'!$B$2:$B758,'Player Database'!$K$2:$K758)</f>
        <v>#N/A</v>
      </c>
      <c r="G79" s="18" t="str">
        <f t="array" ref="G79">XLOOKUP($E79,'Player Database'!$B$2:$B758,'Player Database'!$H$2:$H758)</f>
        <v>#N/A</v>
      </c>
      <c r="H79" s="18" t="str">
        <f t="array" ref="H79">XLOOKUP($E79,'Player Database'!$B$2:$B758,'Player Database'!$O$2:$O758)</f>
        <v>#N/A</v>
      </c>
      <c r="I79" s="18" t="str">
        <f t="array" ref="I79">XLOOKUP($E79,'Player Database'!$B$2:$B758,'Player Database'!$P$2:$P758)</f>
        <v>#N/A</v>
      </c>
      <c r="J79" s="20" t="str">
        <f t="array" ref="J79">XLOOKUP($E79,'Player Database'!$B$2:$B758,'Player Database'!$U$2:$U758)</f>
        <v>#N/A</v>
      </c>
      <c r="K79" s="22" t="str">
        <f>VLOOKUP(E79, 'Player Database'!B:AE, 30, FALSE)</f>
        <v>#N/A</v>
      </c>
      <c r="L79" s="22" t="str">
        <f t="array" ref="L79">XLOOKUP($E79,'Player Database'!$B$2:$B758,'Player Database'!$W$2:$W758)</f>
        <v>#N/A</v>
      </c>
      <c r="M79" s="23" t="str">
        <f t="shared" si="1"/>
        <v>0 - 0</v>
      </c>
      <c r="N79" s="24" t="str">
        <f t="array" ref="N79">IF(XLOOKUP($E79,'Player Database'!$B$2:$B758,'Player Database'!$AA$2:$AA758)="",XLOOKUP($E79,'Player Database'!$B$2:$B758,'Player Database'!$G$2:$G758),XLOOKUP($E79,'Player Database'!$B$2:$B758,'Player Database'!$AA$2:$AA758))</f>
        <v>#N/A</v>
      </c>
      <c r="O79" s="27">
        <f>COUNTIFs(Matches!$B:$B,E79,Matches!$A:$A,"&gt;"&amp;Q79,Matches!$A:$A,"&lt;"&amp;R79)</f>
        <v>0</v>
      </c>
      <c r="P79" s="27">
        <f>COUNTIFs(Matches!$C:$C,E79,Matches!$A:$A,"&gt;"&amp;Q79,Matches!$A:$A,"&lt;"&amp;R79)</f>
        <v>0</v>
      </c>
      <c r="Q79" s="28">
        <f>VLOOKUP($C$2,Quotas!$A$7:$E$14,2,FALSE)</f>
        <v>46213.70833</v>
      </c>
      <c r="R79" s="28">
        <f>VLOOKUP($C$2,Quotas!$A$7:$E$14,3,FALSE)</f>
        <v>46220.70833</v>
      </c>
    </row>
    <row r="80">
      <c r="A80" s="32" t="str">
        <f t="array" ref="A80">XLOOKUP($E80,'Player Database'!$B$2:$B758,'Player Database'!$C$2:$C758)</f>
        <v>#N/A</v>
      </c>
      <c r="B80" s="32" t="str">
        <f t="array" ref="B80">XLOOKUP($E80,'Player Database'!$B$2:$B758,'Player Database'!$E$2:$E758)</f>
        <v>#N/A</v>
      </c>
      <c r="C80" s="32" t="str">
        <f t="array" ref="C80">XLOOKUP($E80,'Player Database'!$B$2:$B758,'Player Database'!$F$2:$F758)</f>
        <v>#N/A</v>
      </c>
      <c r="D80" s="106">
        <f>IFERROR(__xludf.DUMMYFUNCTION("""COMPUTED_VALUE"""),1.0)</f>
        <v>1</v>
      </c>
      <c r="E80" s="17"/>
      <c r="F80" s="18" t="str">
        <f t="array" ref="F80">XLOOKUP($E80,'Player Database'!$B$2:$B758,'Player Database'!$K$2:$K758)</f>
        <v>#N/A</v>
      </c>
      <c r="G80" s="18" t="str">
        <f t="array" ref="G80">XLOOKUP($E80,'Player Database'!$B$2:$B758,'Player Database'!$H$2:$H758)</f>
        <v>#N/A</v>
      </c>
      <c r="H80" s="18" t="str">
        <f t="array" ref="H80">XLOOKUP($E80,'Player Database'!$B$2:$B758,'Player Database'!$O$2:$O758)</f>
        <v>#N/A</v>
      </c>
      <c r="I80" s="18" t="str">
        <f t="array" ref="I80">XLOOKUP($E80,'Player Database'!$B$2:$B758,'Player Database'!$P$2:$P758)</f>
        <v>#N/A</v>
      </c>
      <c r="J80" s="20" t="str">
        <f t="array" ref="J80">XLOOKUP($E80,'Player Database'!$B$2:$B758,'Player Database'!$U$2:$U758)</f>
        <v>#N/A</v>
      </c>
      <c r="K80" s="22" t="str">
        <f>VLOOKUP(E80, 'Player Database'!B:AE, 30, FALSE)</f>
        <v>#N/A</v>
      </c>
      <c r="L80" s="22" t="str">
        <f t="array" ref="L80">XLOOKUP($E80,'Player Database'!$B$2:$B758,'Player Database'!$W$2:$W758)</f>
        <v>#N/A</v>
      </c>
      <c r="M80" s="23" t="str">
        <f t="shared" si="1"/>
        <v>0 - 0</v>
      </c>
      <c r="N80" s="24" t="str">
        <f t="array" ref="N80">IF(XLOOKUP($E80,'Player Database'!$B$2:$B758,'Player Database'!$AA$2:$AA758)="",XLOOKUP($E80,'Player Database'!$B$2:$B758,'Player Database'!$G$2:$G758),XLOOKUP($E80,'Player Database'!$B$2:$B758,'Player Database'!$AA$2:$AA758))</f>
        <v>#N/A</v>
      </c>
      <c r="O80" s="27">
        <f>COUNTIFs(Matches!$B:$B,E80,Matches!$A:$A,"&gt;"&amp;Q80,Matches!$A:$A,"&lt;"&amp;R80)</f>
        <v>0</v>
      </c>
      <c r="P80" s="27">
        <f>COUNTIFs(Matches!$C:$C,E80,Matches!$A:$A,"&gt;"&amp;Q80,Matches!$A:$A,"&lt;"&amp;R80)</f>
        <v>0</v>
      </c>
      <c r="Q80" s="28">
        <f>VLOOKUP($C$2,Quotas!$A$7:$E$14,2,FALSE)</f>
        <v>46213.70833</v>
      </c>
      <c r="R80" s="28">
        <f>VLOOKUP($C$2,Quotas!$A$7:$E$14,3,FALSE)</f>
        <v>46220.70833</v>
      </c>
    </row>
    <row r="81">
      <c r="A81" s="32" t="str">
        <f t="array" ref="A81">XLOOKUP($E81,'Player Database'!$B$2:$B758,'Player Database'!$C$2:$C758)</f>
        <v>#N/A</v>
      </c>
      <c r="B81" s="32" t="str">
        <f t="array" ref="B81">XLOOKUP($E81,'Player Database'!$B$2:$B758,'Player Database'!$E$2:$E758)</f>
        <v>#N/A</v>
      </c>
      <c r="C81" s="32" t="str">
        <f t="array" ref="C81">XLOOKUP($E81,'Player Database'!$B$2:$B758,'Player Database'!$F$2:$F758)</f>
        <v>#N/A</v>
      </c>
      <c r="D81" s="106">
        <f>IFERROR(__xludf.DUMMYFUNCTION("""COMPUTED_VALUE"""),1.0)</f>
        <v>1</v>
      </c>
      <c r="E81" s="17"/>
      <c r="F81" s="18" t="str">
        <f t="array" ref="F81">XLOOKUP($E81,'Player Database'!$B$2:$B758,'Player Database'!$K$2:$K758)</f>
        <v>#N/A</v>
      </c>
      <c r="G81" s="18" t="str">
        <f t="array" ref="G81">XLOOKUP($E81,'Player Database'!$B$2:$B758,'Player Database'!$H$2:$H758)</f>
        <v>#N/A</v>
      </c>
      <c r="H81" s="18" t="str">
        <f t="array" ref="H81">XLOOKUP($E81,'Player Database'!$B$2:$B758,'Player Database'!$O$2:$O758)</f>
        <v>#N/A</v>
      </c>
      <c r="I81" s="18" t="str">
        <f t="array" ref="I81">XLOOKUP($E81,'Player Database'!$B$2:$B758,'Player Database'!$P$2:$P758)</f>
        <v>#N/A</v>
      </c>
      <c r="J81" s="20" t="str">
        <f t="array" ref="J81">XLOOKUP($E81,'Player Database'!$B$2:$B758,'Player Database'!$U$2:$U758)</f>
        <v>#N/A</v>
      </c>
      <c r="K81" s="22" t="str">
        <f>VLOOKUP(E81, 'Player Database'!B:AE, 30, FALSE)</f>
        <v>#N/A</v>
      </c>
      <c r="L81" s="22" t="str">
        <f t="array" ref="L81">XLOOKUP($E81,'Player Database'!$B$2:$B758,'Player Database'!$W$2:$W758)</f>
        <v>#N/A</v>
      </c>
      <c r="M81" s="23" t="str">
        <f t="shared" si="1"/>
        <v>0 - 0</v>
      </c>
      <c r="N81" s="24" t="str">
        <f t="array" ref="N81">IF(XLOOKUP($E81,'Player Database'!$B$2:$B758,'Player Database'!$AA$2:$AA758)="",XLOOKUP($E81,'Player Database'!$B$2:$B758,'Player Database'!$G$2:$G758),XLOOKUP($E81,'Player Database'!$B$2:$B758,'Player Database'!$AA$2:$AA758))</f>
        <v>#N/A</v>
      </c>
      <c r="O81" s="27">
        <f>COUNTIFs(Matches!$B:$B,E81,Matches!$A:$A,"&gt;"&amp;Q81,Matches!$A:$A,"&lt;"&amp;R81)</f>
        <v>0</v>
      </c>
      <c r="P81" s="27">
        <f>COUNTIFs(Matches!$C:$C,E81,Matches!$A:$A,"&gt;"&amp;Q81,Matches!$A:$A,"&lt;"&amp;R81)</f>
        <v>0</v>
      </c>
      <c r="Q81" s="28">
        <f>VLOOKUP($C$2,Quotas!$A$7:$E$14,2,FALSE)</f>
        <v>46213.70833</v>
      </c>
      <c r="R81" s="28">
        <f>VLOOKUP($C$2,Quotas!$A$7:$E$14,3,FALSE)</f>
        <v>46220.70833</v>
      </c>
    </row>
    <row r="82">
      <c r="A82" s="32" t="str">
        <f t="array" ref="A82">XLOOKUP($E82,'Player Database'!$B$2:$B758,'Player Database'!$C$2:$C758)</f>
        <v>#N/A</v>
      </c>
      <c r="B82" s="32" t="str">
        <f t="array" ref="B82">XLOOKUP($E82,'Player Database'!$B$2:$B758,'Player Database'!$E$2:$E758)</f>
        <v>#N/A</v>
      </c>
      <c r="C82" s="32" t="str">
        <f t="array" ref="C82">XLOOKUP($E82,'Player Database'!$B$2:$B758,'Player Database'!$F$2:$F758)</f>
        <v>#N/A</v>
      </c>
      <c r="D82" s="106">
        <f>IFERROR(__xludf.DUMMYFUNCTION("""COMPUTED_VALUE"""),1.0)</f>
        <v>1</v>
      </c>
      <c r="E82" s="17"/>
      <c r="F82" s="18" t="str">
        <f t="array" ref="F82">XLOOKUP($E82,'Player Database'!$B$2:$B758,'Player Database'!$K$2:$K758)</f>
        <v>#N/A</v>
      </c>
      <c r="G82" s="18" t="str">
        <f t="array" ref="G82">XLOOKUP($E82,'Player Database'!$B$2:$B758,'Player Database'!$H$2:$H758)</f>
        <v>#N/A</v>
      </c>
      <c r="H82" s="18" t="str">
        <f t="array" ref="H82">XLOOKUP($E82,'Player Database'!$B$2:$B758,'Player Database'!$O$2:$O758)</f>
        <v>#N/A</v>
      </c>
      <c r="I82" s="18" t="str">
        <f t="array" ref="I82">XLOOKUP($E82,'Player Database'!$B$2:$B758,'Player Database'!$P$2:$P758)</f>
        <v>#N/A</v>
      </c>
      <c r="J82" s="20" t="str">
        <f t="array" ref="J82">XLOOKUP($E82,'Player Database'!$B$2:$B758,'Player Database'!$U$2:$U758)</f>
        <v>#N/A</v>
      </c>
      <c r="K82" s="22" t="str">
        <f>VLOOKUP(E82, 'Player Database'!B:AE, 30, FALSE)</f>
        <v>#N/A</v>
      </c>
      <c r="L82" s="22" t="str">
        <f t="array" ref="L82">XLOOKUP($E82,'Player Database'!$B$2:$B758,'Player Database'!$W$2:$W758)</f>
        <v>#N/A</v>
      </c>
      <c r="M82" s="23" t="str">
        <f t="shared" si="1"/>
        <v>0 - 0</v>
      </c>
      <c r="N82" s="24" t="str">
        <f t="array" ref="N82">IF(XLOOKUP($E82,'Player Database'!$B$2:$B758,'Player Database'!$AA$2:$AA758)="",XLOOKUP($E82,'Player Database'!$B$2:$B758,'Player Database'!$G$2:$G758),XLOOKUP($E82,'Player Database'!$B$2:$B758,'Player Database'!$AA$2:$AA758))</f>
        <v>#N/A</v>
      </c>
      <c r="O82" s="27">
        <f>COUNTIFs(Matches!$B:$B,E82,Matches!$A:$A,"&gt;"&amp;Q82,Matches!$A:$A,"&lt;"&amp;R82)</f>
        <v>0</v>
      </c>
      <c r="P82" s="27">
        <f>COUNTIFs(Matches!$C:$C,E82,Matches!$A:$A,"&gt;"&amp;Q82,Matches!$A:$A,"&lt;"&amp;R82)</f>
        <v>0</v>
      </c>
      <c r="Q82" s="28">
        <f>VLOOKUP($C$2,Quotas!$A$7:$E$14,2,FALSE)</f>
        <v>46213.70833</v>
      </c>
      <c r="R82" s="28">
        <f>VLOOKUP($C$2,Quotas!$A$7:$E$14,3,FALSE)</f>
        <v>46220.70833</v>
      </c>
    </row>
    <row r="83">
      <c r="A83" s="32" t="str">
        <f t="array" ref="A83">XLOOKUP($E83,'Player Database'!$B$2:$B758,'Player Database'!$C$2:$C758)</f>
        <v>#N/A</v>
      </c>
      <c r="B83" s="32" t="str">
        <f t="array" ref="B83">XLOOKUP($E83,'Player Database'!$B$2:$B758,'Player Database'!$E$2:$E758)</f>
        <v>#N/A</v>
      </c>
      <c r="C83" s="32" t="str">
        <f t="array" ref="C83">XLOOKUP($E83,'Player Database'!$B$2:$B758,'Player Database'!$F$2:$F758)</f>
        <v>#N/A</v>
      </c>
      <c r="D83" s="106">
        <f>IFERROR(__xludf.DUMMYFUNCTION("""COMPUTED_VALUE"""),1.0)</f>
        <v>1</v>
      </c>
      <c r="E83" s="17"/>
      <c r="F83" s="18" t="str">
        <f t="array" ref="F83">XLOOKUP($E83,'Player Database'!$B$2:$B758,'Player Database'!$K$2:$K758)</f>
        <v>#N/A</v>
      </c>
      <c r="G83" s="18" t="str">
        <f t="array" ref="G83">XLOOKUP($E83,'Player Database'!$B$2:$B758,'Player Database'!$H$2:$H758)</f>
        <v>#N/A</v>
      </c>
      <c r="H83" s="18" t="str">
        <f t="array" ref="H83">XLOOKUP($E83,'Player Database'!$B$2:$B758,'Player Database'!$O$2:$O758)</f>
        <v>#N/A</v>
      </c>
      <c r="I83" s="18" t="str">
        <f t="array" ref="I83">XLOOKUP($E83,'Player Database'!$B$2:$B758,'Player Database'!$P$2:$P758)</f>
        <v>#N/A</v>
      </c>
      <c r="J83" s="20" t="str">
        <f t="array" ref="J83">XLOOKUP($E83,'Player Database'!$B$2:$B758,'Player Database'!$U$2:$U758)</f>
        <v>#N/A</v>
      </c>
      <c r="K83" s="22" t="str">
        <f>VLOOKUP(E83, 'Player Database'!B:AE, 30, FALSE)</f>
        <v>#N/A</v>
      </c>
      <c r="L83" s="22" t="str">
        <f t="array" ref="L83">XLOOKUP($E83,'Player Database'!$B$2:$B758,'Player Database'!$W$2:$W758)</f>
        <v>#N/A</v>
      </c>
      <c r="M83" s="23" t="str">
        <f t="shared" si="1"/>
        <v>0 - 0</v>
      </c>
      <c r="N83" s="24" t="str">
        <f t="array" ref="N83">IF(XLOOKUP($E83,'Player Database'!$B$2:$B758,'Player Database'!$AA$2:$AA758)="",XLOOKUP($E83,'Player Database'!$B$2:$B758,'Player Database'!$G$2:$G758),XLOOKUP($E83,'Player Database'!$B$2:$B758,'Player Database'!$AA$2:$AA758))</f>
        <v>#N/A</v>
      </c>
      <c r="O83" s="27">
        <f>COUNTIFs(Matches!$B:$B,E83,Matches!$A:$A,"&gt;"&amp;Q83,Matches!$A:$A,"&lt;"&amp;R83)</f>
        <v>0</v>
      </c>
      <c r="P83" s="27">
        <f>COUNTIFs(Matches!$C:$C,E83,Matches!$A:$A,"&gt;"&amp;Q83,Matches!$A:$A,"&lt;"&amp;R83)</f>
        <v>0</v>
      </c>
      <c r="Q83" s="28">
        <f>VLOOKUP($C$2,Quotas!$A$7:$E$14,2,FALSE)</f>
        <v>46213.70833</v>
      </c>
      <c r="R83" s="28">
        <f>VLOOKUP($C$2,Quotas!$A$7:$E$14,3,FALSE)</f>
        <v>46220.70833</v>
      </c>
    </row>
    <row r="84">
      <c r="A84" s="32" t="str">
        <f t="array" ref="A84">XLOOKUP($E84,'Player Database'!$B$2:$B758,'Player Database'!$C$2:$C758)</f>
        <v>#N/A</v>
      </c>
      <c r="B84" s="32" t="str">
        <f t="array" ref="B84">XLOOKUP($E84,'Player Database'!$B$2:$B758,'Player Database'!$E$2:$E758)</f>
        <v>#N/A</v>
      </c>
      <c r="C84" s="32" t="str">
        <f t="array" ref="C84">XLOOKUP($E84,'Player Database'!$B$2:$B758,'Player Database'!$F$2:$F758)</f>
        <v>#N/A</v>
      </c>
      <c r="D84" s="106">
        <f>IFERROR(__xludf.DUMMYFUNCTION("""COMPUTED_VALUE"""),1.0)</f>
        <v>1</v>
      </c>
      <c r="E84" s="17"/>
      <c r="F84" s="18" t="str">
        <f t="array" ref="F84">XLOOKUP($E84,'Player Database'!$B$2:$B758,'Player Database'!$K$2:$K758)</f>
        <v>#N/A</v>
      </c>
      <c r="G84" s="18" t="str">
        <f t="array" ref="G84">XLOOKUP($E84,'Player Database'!$B$2:$B758,'Player Database'!$H$2:$H758)</f>
        <v>#N/A</v>
      </c>
      <c r="H84" s="18" t="str">
        <f t="array" ref="H84">XLOOKUP($E84,'Player Database'!$B$2:$B758,'Player Database'!$O$2:$O758)</f>
        <v>#N/A</v>
      </c>
      <c r="I84" s="18" t="str">
        <f t="array" ref="I84">XLOOKUP($E84,'Player Database'!$B$2:$B758,'Player Database'!$P$2:$P758)</f>
        <v>#N/A</v>
      </c>
      <c r="J84" s="20" t="str">
        <f t="array" ref="J84">XLOOKUP($E84,'Player Database'!$B$2:$B758,'Player Database'!$U$2:$U758)</f>
        <v>#N/A</v>
      </c>
      <c r="K84" s="22" t="str">
        <f>VLOOKUP(E84, 'Player Database'!B:AE, 30, FALSE)</f>
        <v>#N/A</v>
      </c>
      <c r="L84" s="22" t="str">
        <f t="array" ref="L84">XLOOKUP($E84,'Player Database'!$B$2:$B758,'Player Database'!$W$2:$W758)</f>
        <v>#N/A</v>
      </c>
      <c r="M84" s="23" t="str">
        <f t="shared" si="1"/>
        <v>0 - 0</v>
      </c>
      <c r="N84" s="24" t="str">
        <f t="array" ref="N84">IF(XLOOKUP($E84,'Player Database'!$B$2:$B758,'Player Database'!$AA$2:$AA758)="",XLOOKUP($E84,'Player Database'!$B$2:$B758,'Player Database'!$G$2:$G758),XLOOKUP($E84,'Player Database'!$B$2:$B758,'Player Database'!$AA$2:$AA758))</f>
        <v>#N/A</v>
      </c>
      <c r="O84" s="27">
        <f>COUNTIFs(Matches!$B:$B,E84,Matches!$A:$A,"&gt;"&amp;Q84,Matches!$A:$A,"&lt;"&amp;R84)</f>
        <v>0</v>
      </c>
      <c r="P84" s="27">
        <f>COUNTIFs(Matches!$C:$C,E84,Matches!$A:$A,"&gt;"&amp;Q84,Matches!$A:$A,"&lt;"&amp;R84)</f>
        <v>0</v>
      </c>
      <c r="Q84" s="28">
        <f>VLOOKUP($C$2,Quotas!$A$7:$E$14,2,FALSE)</f>
        <v>46213.70833</v>
      </c>
      <c r="R84" s="28">
        <f>VLOOKUP($C$2,Quotas!$A$7:$E$14,3,FALSE)</f>
        <v>46220.70833</v>
      </c>
    </row>
    <row r="85">
      <c r="A85" s="32" t="str">
        <f t="array" ref="A85">XLOOKUP($E85,'Player Database'!$B$2:$B758,'Player Database'!$C$2:$C758)</f>
        <v>#N/A</v>
      </c>
      <c r="B85" s="32" t="str">
        <f t="array" ref="B85">XLOOKUP($E85,'Player Database'!$B$2:$B758,'Player Database'!$E$2:$E758)</f>
        <v>#N/A</v>
      </c>
      <c r="C85" s="32" t="str">
        <f t="array" ref="C85">XLOOKUP($E85,'Player Database'!$B$2:$B758,'Player Database'!$F$2:$F758)</f>
        <v>#N/A</v>
      </c>
      <c r="D85" s="106">
        <f>IFERROR(__xludf.DUMMYFUNCTION("""COMPUTED_VALUE"""),1.0)</f>
        <v>1</v>
      </c>
      <c r="E85" s="17"/>
      <c r="F85" s="18" t="str">
        <f t="array" ref="F85">XLOOKUP($E85,'Player Database'!$B$2:$B758,'Player Database'!$K$2:$K758)</f>
        <v>#N/A</v>
      </c>
      <c r="G85" s="18" t="str">
        <f t="array" ref="G85">XLOOKUP($E85,'Player Database'!$B$2:$B758,'Player Database'!$H$2:$H758)</f>
        <v>#N/A</v>
      </c>
      <c r="H85" s="18" t="str">
        <f t="array" ref="H85">XLOOKUP($E85,'Player Database'!$B$2:$B758,'Player Database'!$O$2:$O758)</f>
        <v>#N/A</v>
      </c>
      <c r="I85" s="18" t="str">
        <f t="array" ref="I85">XLOOKUP($E85,'Player Database'!$B$2:$B758,'Player Database'!$P$2:$P758)</f>
        <v>#N/A</v>
      </c>
      <c r="J85" s="20" t="str">
        <f t="array" ref="J85">XLOOKUP($E85,'Player Database'!$B$2:$B758,'Player Database'!$U$2:$U758)</f>
        <v>#N/A</v>
      </c>
      <c r="K85" s="22" t="str">
        <f>VLOOKUP(E85, 'Player Database'!B:AE, 30, FALSE)</f>
        <v>#N/A</v>
      </c>
      <c r="L85" s="22" t="str">
        <f t="array" ref="L85">XLOOKUP($E85,'Player Database'!$B$2:$B758,'Player Database'!$W$2:$W758)</f>
        <v>#N/A</v>
      </c>
      <c r="M85" s="23" t="str">
        <f t="shared" si="1"/>
        <v>0 - 0</v>
      </c>
      <c r="N85" s="24" t="str">
        <f t="array" ref="N85">IF(XLOOKUP($E85,'Player Database'!$B$2:$B758,'Player Database'!$AA$2:$AA758)="",XLOOKUP($E85,'Player Database'!$B$2:$B758,'Player Database'!$G$2:$G758),XLOOKUP($E85,'Player Database'!$B$2:$B758,'Player Database'!$AA$2:$AA758))</f>
        <v>#N/A</v>
      </c>
      <c r="O85" s="27">
        <f>COUNTIFs(Matches!$B:$B,E85,Matches!$A:$A,"&gt;"&amp;Q85,Matches!$A:$A,"&lt;"&amp;R85)</f>
        <v>0</v>
      </c>
      <c r="P85" s="27">
        <f>COUNTIFs(Matches!$C:$C,E85,Matches!$A:$A,"&gt;"&amp;Q85,Matches!$A:$A,"&lt;"&amp;R85)</f>
        <v>0</v>
      </c>
      <c r="Q85" s="28">
        <f>VLOOKUP($C$2,Quotas!$A$7:$E$14,2,FALSE)</f>
        <v>46213.70833</v>
      </c>
      <c r="R85" s="28">
        <f>VLOOKUP($C$2,Quotas!$A$7:$E$14,3,FALSE)</f>
        <v>46220.70833</v>
      </c>
    </row>
    <row r="86">
      <c r="A86" s="32" t="str">
        <f t="array" ref="A86">XLOOKUP($E86,'Player Database'!$B$2:$B758,'Player Database'!$C$2:$C758)</f>
        <v>#N/A</v>
      </c>
      <c r="B86" s="32" t="str">
        <f t="array" ref="B86">XLOOKUP($E86,'Player Database'!$B$2:$B758,'Player Database'!$E$2:$E758)</f>
        <v>#N/A</v>
      </c>
      <c r="C86" s="32" t="str">
        <f t="array" ref="C86">XLOOKUP($E86,'Player Database'!$B$2:$B758,'Player Database'!$F$2:$F758)</f>
        <v>#N/A</v>
      </c>
      <c r="D86" s="106">
        <f>IFERROR(__xludf.DUMMYFUNCTION("""COMPUTED_VALUE"""),1.0)</f>
        <v>1</v>
      </c>
      <c r="E86" s="17"/>
      <c r="F86" s="18" t="str">
        <f t="array" ref="F86">XLOOKUP($E86,'Player Database'!$B$2:$B758,'Player Database'!$K$2:$K758)</f>
        <v>#N/A</v>
      </c>
      <c r="G86" s="18" t="str">
        <f t="array" ref="G86">XLOOKUP($E86,'Player Database'!$B$2:$B758,'Player Database'!$H$2:$H758)</f>
        <v>#N/A</v>
      </c>
      <c r="H86" s="18" t="str">
        <f t="array" ref="H86">XLOOKUP($E86,'Player Database'!$B$2:$B758,'Player Database'!$O$2:$O758)</f>
        <v>#N/A</v>
      </c>
      <c r="I86" s="18" t="str">
        <f t="array" ref="I86">XLOOKUP($E86,'Player Database'!$B$2:$B758,'Player Database'!$P$2:$P758)</f>
        <v>#N/A</v>
      </c>
      <c r="J86" s="20" t="str">
        <f t="array" ref="J86">XLOOKUP($E86,'Player Database'!$B$2:$B758,'Player Database'!$U$2:$U758)</f>
        <v>#N/A</v>
      </c>
      <c r="K86" s="22" t="str">
        <f>VLOOKUP(E86, 'Player Database'!B:AE, 30, FALSE)</f>
        <v>#N/A</v>
      </c>
      <c r="L86" s="22" t="str">
        <f t="array" ref="L86">XLOOKUP($E86,'Player Database'!$B$2:$B758,'Player Database'!$W$2:$W758)</f>
        <v>#N/A</v>
      </c>
      <c r="M86" s="23" t="str">
        <f t="shared" si="1"/>
        <v>0 - 0</v>
      </c>
      <c r="N86" s="24" t="str">
        <f t="array" ref="N86">IF(XLOOKUP($E86,'Player Database'!$B$2:$B758,'Player Database'!$AA$2:$AA758)="",XLOOKUP($E86,'Player Database'!$B$2:$B758,'Player Database'!$G$2:$G758),XLOOKUP($E86,'Player Database'!$B$2:$B758,'Player Database'!$AA$2:$AA758))</f>
        <v>#N/A</v>
      </c>
      <c r="O86" s="27">
        <f>COUNTIFs(Matches!$B:$B,E86,Matches!$A:$A,"&gt;"&amp;Q86,Matches!$A:$A,"&lt;"&amp;R86)</f>
        <v>0</v>
      </c>
      <c r="P86" s="27">
        <f>COUNTIFs(Matches!$C:$C,E86,Matches!$A:$A,"&gt;"&amp;Q86,Matches!$A:$A,"&lt;"&amp;R86)</f>
        <v>0</v>
      </c>
      <c r="Q86" s="28">
        <f>VLOOKUP($C$2,Quotas!$A$7:$E$14,2,FALSE)</f>
        <v>46213.70833</v>
      </c>
      <c r="R86" s="28">
        <f>VLOOKUP($C$2,Quotas!$A$7:$E$14,3,FALSE)</f>
        <v>46220.70833</v>
      </c>
    </row>
    <row r="87">
      <c r="A87" s="32" t="str">
        <f t="array" ref="A87">XLOOKUP($E87,'Player Database'!$B$2:$B758,'Player Database'!$C$2:$C758)</f>
        <v>#N/A</v>
      </c>
      <c r="B87" s="32" t="str">
        <f t="array" ref="B87">XLOOKUP($E87,'Player Database'!$B$2:$B758,'Player Database'!$E$2:$E758)</f>
        <v>#N/A</v>
      </c>
      <c r="C87" s="32" t="str">
        <f t="array" ref="C87">XLOOKUP($E87,'Player Database'!$B$2:$B758,'Player Database'!$F$2:$F758)</f>
        <v>#N/A</v>
      </c>
      <c r="D87" s="106">
        <f>IFERROR(__xludf.DUMMYFUNCTION("""COMPUTED_VALUE"""),1.0)</f>
        <v>1</v>
      </c>
      <c r="E87" s="17"/>
      <c r="F87" s="18" t="str">
        <f t="array" ref="F87">XLOOKUP($E87,'Player Database'!$B$2:$B758,'Player Database'!$K$2:$K758)</f>
        <v>#N/A</v>
      </c>
      <c r="G87" s="18" t="str">
        <f t="array" ref="G87">XLOOKUP($E87,'Player Database'!$B$2:$B758,'Player Database'!$H$2:$H758)</f>
        <v>#N/A</v>
      </c>
      <c r="H87" s="18" t="str">
        <f t="array" ref="H87">XLOOKUP($E87,'Player Database'!$B$2:$B758,'Player Database'!$O$2:$O758)</f>
        <v>#N/A</v>
      </c>
      <c r="I87" s="18" t="str">
        <f t="array" ref="I87">XLOOKUP($E87,'Player Database'!$B$2:$B758,'Player Database'!$P$2:$P758)</f>
        <v>#N/A</v>
      </c>
      <c r="J87" s="20" t="str">
        <f t="array" ref="J87">XLOOKUP($E87,'Player Database'!$B$2:$B758,'Player Database'!$U$2:$U758)</f>
        <v>#N/A</v>
      </c>
      <c r="K87" s="22" t="str">
        <f>VLOOKUP(E87, 'Player Database'!B:AE, 30, FALSE)</f>
        <v>#N/A</v>
      </c>
      <c r="L87" s="22" t="str">
        <f t="array" ref="L87">XLOOKUP($E87,'Player Database'!$B$2:$B758,'Player Database'!$W$2:$W758)</f>
        <v>#N/A</v>
      </c>
      <c r="M87" s="23" t="str">
        <f t="shared" si="1"/>
        <v>0 - 0</v>
      </c>
      <c r="N87" s="24" t="str">
        <f t="array" ref="N87">IF(XLOOKUP($E87,'Player Database'!$B$2:$B758,'Player Database'!$AA$2:$AA758)="",XLOOKUP($E87,'Player Database'!$B$2:$B758,'Player Database'!$G$2:$G758),XLOOKUP($E87,'Player Database'!$B$2:$B758,'Player Database'!$AA$2:$AA758))</f>
        <v>#N/A</v>
      </c>
      <c r="O87" s="27">
        <f>COUNTIFs(Matches!$B:$B,E87,Matches!$A:$A,"&gt;"&amp;Q87,Matches!$A:$A,"&lt;"&amp;R87)</f>
        <v>0</v>
      </c>
      <c r="P87" s="27">
        <f>COUNTIFs(Matches!$C:$C,E87,Matches!$A:$A,"&gt;"&amp;Q87,Matches!$A:$A,"&lt;"&amp;R87)</f>
        <v>0</v>
      </c>
      <c r="Q87" s="28">
        <f>VLOOKUP($C$2,Quotas!$A$7:$E$14,2,FALSE)</f>
        <v>46213.70833</v>
      </c>
      <c r="R87" s="28">
        <f>VLOOKUP($C$2,Quotas!$A$7:$E$14,3,FALSE)</f>
        <v>46220.70833</v>
      </c>
    </row>
    <row r="88">
      <c r="A88" s="32" t="str">
        <f t="array" ref="A88">XLOOKUP($E88,'Player Database'!$B$2:$B758,'Player Database'!$C$2:$C758)</f>
        <v>#N/A</v>
      </c>
      <c r="B88" s="32" t="str">
        <f t="array" ref="B88">XLOOKUP($E88,'Player Database'!$B$2:$B758,'Player Database'!$E$2:$E758)</f>
        <v>#N/A</v>
      </c>
      <c r="C88" s="32" t="str">
        <f t="array" ref="C88">XLOOKUP($E88,'Player Database'!$B$2:$B758,'Player Database'!$F$2:$F758)</f>
        <v>#N/A</v>
      </c>
      <c r="D88" s="106">
        <f>IFERROR(__xludf.DUMMYFUNCTION("""COMPUTED_VALUE"""),1.0)</f>
        <v>1</v>
      </c>
      <c r="E88" s="17"/>
      <c r="F88" s="18" t="str">
        <f t="array" ref="F88">XLOOKUP($E88,'Player Database'!$B$2:$B758,'Player Database'!$K$2:$K758)</f>
        <v>#N/A</v>
      </c>
      <c r="G88" s="18" t="str">
        <f t="array" ref="G88">XLOOKUP($E88,'Player Database'!$B$2:$B758,'Player Database'!$H$2:$H758)</f>
        <v>#N/A</v>
      </c>
      <c r="H88" s="18" t="str">
        <f t="array" ref="H88">XLOOKUP($E88,'Player Database'!$B$2:$B758,'Player Database'!$O$2:$O758)</f>
        <v>#N/A</v>
      </c>
      <c r="I88" s="18" t="str">
        <f t="array" ref="I88">XLOOKUP($E88,'Player Database'!$B$2:$B758,'Player Database'!$P$2:$P758)</f>
        <v>#N/A</v>
      </c>
      <c r="J88" s="20" t="str">
        <f t="array" ref="J88">XLOOKUP($E88,'Player Database'!$B$2:$B758,'Player Database'!$U$2:$U758)</f>
        <v>#N/A</v>
      </c>
      <c r="K88" s="22" t="str">
        <f>VLOOKUP(E88, 'Player Database'!B:AE, 30, FALSE)</f>
        <v>#N/A</v>
      </c>
      <c r="L88" s="22" t="str">
        <f t="array" ref="L88">XLOOKUP($E88,'Player Database'!$B$2:$B758,'Player Database'!$W$2:$W758)</f>
        <v>#N/A</v>
      </c>
      <c r="M88" s="23" t="str">
        <f t="shared" si="1"/>
        <v>0 - 0</v>
      </c>
      <c r="N88" s="24" t="str">
        <f t="array" ref="N88">IF(XLOOKUP($E88,'Player Database'!$B$2:$B758,'Player Database'!$AA$2:$AA758)="",XLOOKUP($E88,'Player Database'!$B$2:$B758,'Player Database'!$G$2:$G758),XLOOKUP($E88,'Player Database'!$B$2:$B758,'Player Database'!$AA$2:$AA758))</f>
        <v>#N/A</v>
      </c>
      <c r="O88" s="27">
        <f>COUNTIFs(Matches!$B:$B,E88,Matches!$A:$A,"&gt;"&amp;Q88,Matches!$A:$A,"&lt;"&amp;R88)</f>
        <v>0</v>
      </c>
      <c r="P88" s="27">
        <f>COUNTIFs(Matches!$C:$C,E88,Matches!$A:$A,"&gt;"&amp;Q88,Matches!$A:$A,"&lt;"&amp;R88)</f>
        <v>0</v>
      </c>
      <c r="Q88" s="28">
        <f>VLOOKUP($C$2,Quotas!$A$7:$E$14,2,FALSE)</f>
        <v>46213.70833</v>
      </c>
      <c r="R88" s="28">
        <f>VLOOKUP($C$2,Quotas!$A$7:$E$14,3,FALSE)</f>
        <v>46220.70833</v>
      </c>
    </row>
    <row r="89">
      <c r="A89" s="32" t="str">
        <f t="array" ref="A89">XLOOKUP($E89,'Player Database'!$B$2:$B758,'Player Database'!$C$2:$C758)</f>
        <v>#N/A</v>
      </c>
      <c r="B89" s="32" t="str">
        <f t="array" ref="B89">XLOOKUP($E89,'Player Database'!$B$2:$B758,'Player Database'!$E$2:$E758)</f>
        <v>#N/A</v>
      </c>
      <c r="C89" s="32" t="str">
        <f t="array" ref="C89">XLOOKUP($E89,'Player Database'!$B$2:$B758,'Player Database'!$F$2:$F758)</f>
        <v>#N/A</v>
      </c>
      <c r="D89" s="106">
        <f>IFERROR(__xludf.DUMMYFUNCTION("""COMPUTED_VALUE"""),1.0)</f>
        <v>1</v>
      </c>
      <c r="E89" s="17"/>
      <c r="F89" s="18" t="str">
        <f t="array" ref="F89">XLOOKUP($E89,'Player Database'!$B$2:$B758,'Player Database'!$K$2:$K758)</f>
        <v>#N/A</v>
      </c>
      <c r="G89" s="18" t="str">
        <f t="array" ref="G89">XLOOKUP($E89,'Player Database'!$B$2:$B758,'Player Database'!$H$2:$H758)</f>
        <v>#N/A</v>
      </c>
      <c r="H89" s="18" t="str">
        <f t="array" ref="H89">XLOOKUP($E89,'Player Database'!$B$2:$B758,'Player Database'!$O$2:$O758)</f>
        <v>#N/A</v>
      </c>
      <c r="I89" s="18" t="str">
        <f t="array" ref="I89">XLOOKUP($E89,'Player Database'!$B$2:$B758,'Player Database'!$P$2:$P758)</f>
        <v>#N/A</v>
      </c>
      <c r="J89" s="20" t="str">
        <f t="array" ref="J89">XLOOKUP($E89,'Player Database'!$B$2:$B758,'Player Database'!$U$2:$U758)</f>
        <v>#N/A</v>
      </c>
      <c r="K89" s="22" t="str">
        <f>VLOOKUP(E89, 'Player Database'!B:AE, 30, FALSE)</f>
        <v>#N/A</v>
      </c>
      <c r="L89" s="22" t="str">
        <f t="array" ref="L89">XLOOKUP($E89,'Player Database'!$B$2:$B758,'Player Database'!$W$2:$W758)</f>
        <v>#N/A</v>
      </c>
      <c r="M89" s="23" t="str">
        <f t="shared" si="1"/>
        <v>0 - 0</v>
      </c>
      <c r="N89" s="24" t="str">
        <f t="array" ref="N89">IF(XLOOKUP($E89,'Player Database'!$B$2:$B758,'Player Database'!$AA$2:$AA758)="",XLOOKUP($E89,'Player Database'!$B$2:$B758,'Player Database'!$G$2:$G758),XLOOKUP($E89,'Player Database'!$B$2:$B758,'Player Database'!$AA$2:$AA758))</f>
        <v>#N/A</v>
      </c>
      <c r="O89" s="27">
        <f>COUNTIFs(Matches!$B:$B,E89,Matches!$A:$A,"&gt;"&amp;Q89,Matches!$A:$A,"&lt;"&amp;R89)</f>
        <v>0</v>
      </c>
      <c r="P89" s="27">
        <f>COUNTIFs(Matches!$C:$C,E89,Matches!$A:$A,"&gt;"&amp;Q89,Matches!$A:$A,"&lt;"&amp;R89)</f>
        <v>0</v>
      </c>
      <c r="Q89" s="28">
        <f>VLOOKUP($C$2,Quotas!$A$7:$E$14,2,FALSE)</f>
        <v>46213.70833</v>
      </c>
      <c r="R89" s="28">
        <f>VLOOKUP($C$2,Quotas!$A$7:$E$14,3,FALSE)</f>
        <v>46220.70833</v>
      </c>
    </row>
    <row r="90">
      <c r="A90" s="32" t="str">
        <f t="array" ref="A90">XLOOKUP($E90,'Player Database'!$B$2:$B758,'Player Database'!$C$2:$C758)</f>
        <v>#N/A</v>
      </c>
      <c r="B90" s="32" t="str">
        <f t="array" ref="B90">XLOOKUP($E90,'Player Database'!$B$2:$B758,'Player Database'!$E$2:$E758)</f>
        <v>#N/A</v>
      </c>
      <c r="C90" s="32" t="str">
        <f t="array" ref="C90">XLOOKUP($E90,'Player Database'!$B$2:$B758,'Player Database'!$F$2:$F758)</f>
        <v>#N/A</v>
      </c>
      <c r="D90" s="106">
        <f>IFERROR(__xludf.DUMMYFUNCTION("""COMPUTED_VALUE"""),1.0)</f>
        <v>1</v>
      </c>
      <c r="E90" s="17"/>
      <c r="F90" s="18" t="str">
        <f t="array" ref="F90">XLOOKUP($E90,'Player Database'!$B$2:$B758,'Player Database'!$K$2:$K758)</f>
        <v>#N/A</v>
      </c>
      <c r="G90" s="18" t="str">
        <f t="array" ref="G90">XLOOKUP($E90,'Player Database'!$B$2:$B758,'Player Database'!$H$2:$H758)</f>
        <v>#N/A</v>
      </c>
      <c r="H90" s="18" t="str">
        <f t="array" ref="H90">XLOOKUP($E90,'Player Database'!$B$2:$B758,'Player Database'!$O$2:$O758)</f>
        <v>#N/A</v>
      </c>
      <c r="I90" s="18" t="str">
        <f t="array" ref="I90">XLOOKUP($E90,'Player Database'!$B$2:$B758,'Player Database'!$P$2:$P758)</f>
        <v>#N/A</v>
      </c>
      <c r="J90" s="20" t="str">
        <f t="array" ref="J90">XLOOKUP($E90,'Player Database'!$B$2:$B758,'Player Database'!$U$2:$U758)</f>
        <v>#N/A</v>
      </c>
      <c r="K90" s="22" t="str">
        <f>VLOOKUP(E90, 'Player Database'!B:AE, 30, FALSE)</f>
        <v>#N/A</v>
      </c>
      <c r="L90" s="22" t="str">
        <f t="array" ref="L90">XLOOKUP($E90,'Player Database'!$B$2:$B758,'Player Database'!$W$2:$W758)</f>
        <v>#N/A</v>
      </c>
      <c r="M90" s="23" t="str">
        <f t="shared" si="1"/>
        <v>0 - 0</v>
      </c>
      <c r="N90" s="24" t="str">
        <f t="array" ref="N90">IF(XLOOKUP($E90,'Player Database'!$B$2:$B758,'Player Database'!$AA$2:$AA758)="",XLOOKUP($E90,'Player Database'!$B$2:$B758,'Player Database'!$G$2:$G758),XLOOKUP($E90,'Player Database'!$B$2:$B758,'Player Database'!$AA$2:$AA758))</f>
        <v>#N/A</v>
      </c>
      <c r="O90" s="27">
        <f>COUNTIFs(Matches!$B:$B,E90,Matches!$A:$A,"&gt;"&amp;Q90,Matches!$A:$A,"&lt;"&amp;R90)</f>
        <v>0</v>
      </c>
      <c r="P90" s="27">
        <f>COUNTIFs(Matches!$C:$C,E90,Matches!$A:$A,"&gt;"&amp;Q90,Matches!$A:$A,"&lt;"&amp;R90)</f>
        <v>0</v>
      </c>
      <c r="Q90" s="28">
        <f>VLOOKUP($C$2,Quotas!$A$7:$E$14,2,FALSE)</f>
        <v>46213.70833</v>
      </c>
      <c r="R90" s="28">
        <f>VLOOKUP($C$2,Quotas!$A$7:$E$14,3,FALSE)</f>
        <v>46220.70833</v>
      </c>
    </row>
    <row r="91">
      <c r="A91" s="32" t="str">
        <f t="array" ref="A91">XLOOKUP($E91,'Player Database'!$B$2:$B758,'Player Database'!$C$2:$C758)</f>
        <v>#N/A</v>
      </c>
      <c r="B91" s="32" t="str">
        <f t="array" ref="B91">XLOOKUP($E91,'Player Database'!$B$2:$B758,'Player Database'!$E$2:$E758)</f>
        <v>#N/A</v>
      </c>
      <c r="C91" s="32" t="str">
        <f t="array" ref="C91">XLOOKUP($E91,'Player Database'!$B$2:$B758,'Player Database'!$F$2:$F758)</f>
        <v>#N/A</v>
      </c>
      <c r="D91" s="106">
        <f>IFERROR(__xludf.DUMMYFUNCTION("""COMPUTED_VALUE"""),1.0)</f>
        <v>1</v>
      </c>
      <c r="E91" s="17"/>
      <c r="F91" s="18" t="str">
        <f t="array" ref="F91">XLOOKUP($E91,'Player Database'!$B$2:$B758,'Player Database'!$K$2:$K758)</f>
        <v>#N/A</v>
      </c>
      <c r="G91" s="18" t="str">
        <f t="array" ref="G91">XLOOKUP($E91,'Player Database'!$B$2:$B758,'Player Database'!$H$2:$H758)</f>
        <v>#N/A</v>
      </c>
      <c r="H91" s="18" t="str">
        <f t="array" ref="H91">XLOOKUP($E91,'Player Database'!$B$2:$B758,'Player Database'!$O$2:$O758)</f>
        <v>#N/A</v>
      </c>
      <c r="I91" s="18" t="str">
        <f t="array" ref="I91">XLOOKUP($E91,'Player Database'!$B$2:$B758,'Player Database'!$P$2:$P758)</f>
        <v>#N/A</v>
      </c>
      <c r="J91" s="20" t="str">
        <f t="array" ref="J91">XLOOKUP($E91,'Player Database'!$B$2:$B758,'Player Database'!$U$2:$U758)</f>
        <v>#N/A</v>
      </c>
      <c r="K91" s="22" t="str">
        <f>VLOOKUP(E91, 'Player Database'!B:AE, 30, FALSE)</f>
        <v>#N/A</v>
      </c>
      <c r="L91" s="22" t="str">
        <f t="array" ref="L91">XLOOKUP($E91,'Player Database'!$B$2:$B758,'Player Database'!$W$2:$W758)</f>
        <v>#N/A</v>
      </c>
      <c r="M91" s="23" t="str">
        <f t="shared" si="1"/>
        <v>0 - 0</v>
      </c>
      <c r="N91" s="24" t="str">
        <f t="array" ref="N91">IF(XLOOKUP($E91,'Player Database'!$B$2:$B758,'Player Database'!$AA$2:$AA758)="",XLOOKUP($E91,'Player Database'!$B$2:$B758,'Player Database'!$G$2:$G758),XLOOKUP($E91,'Player Database'!$B$2:$B758,'Player Database'!$AA$2:$AA758))</f>
        <v>#N/A</v>
      </c>
      <c r="O91" s="27">
        <f>COUNTIFs(Matches!$B:$B,E91,Matches!$A:$A,"&gt;"&amp;Q91,Matches!$A:$A,"&lt;"&amp;R91)</f>
        <v>0</v>
      </c>
      <c r="P91" s="27">
        <f>COUNTIFs(Matches!$C:$C,E91,Matches!$A:$A,"&gt;"&amp;Q91,Matches!$A:$A,"&lt;"&amp;R91)</f>
        <v>0</v>
      </c>
      <c r="Q91" s="28">
        <f>VLOOKUP($C$2,Quotas!$A$7:$E$14,2,FALSE)</f>
        <v>46213.70833</v>
      </c>
      <c r="R91" s="28">
        <f>VLOOKUP($C$2,Quotas!$A$7:$E$14,3,FALSE)</f>
        <v>46220.70833</v>
      </c>
    </row>
    <row r="92">
      <c r="A92" s="32" t="str">
        <f t="array" ref="A92">XLOOKUP($E92,'Player Database'!$B$2:$B758,'Player Database'!$C$2:$C758)</f>
        <v>#N/A</v>
      </c>
      <c r="B92" s="32" t="str">
        <f t="array" ref="B92">XLOOKUP($E92,'Player Database'!$B$2:$B758,'Player Database'!$E$2:$E758)</f>
        <v>#N/A</v>
      </c>
      <c r="C92" s="32" t="str">
        <f t="array" ref="C92">XLOOKUP($E92,'Player Database'!$B$2:$B758,'Player Database'!$F$2:$F758)</f>
        <v>#N/A</v>
      </c>
      <c r="D92" s="106">
        <f>IFERROR(__xludf.DUMMYFUNCTION("""COMPUTED_VALUE"""),1.0)</f>
        <v>1</v>
      </c>
      <c r="E92" s="17"/>
      <c r="F92" s="18" t="str">
        <f t="array" ref="F92">XLOOKUP($E92,'Player Database'!$B$2:$B758,'Player Database'!$K$2:$K758)</f>
        <v>#N/A</v>
      </c>
      <c r="G92" s="18" t="str">
        <f t="array" ref="G92">XLOOKUP($E92,'Player Database'!$B$2:$B758,'Player Database'!$H$2:$H758)</f>
        <v>#N/A</v>
      </c>
      <c r="H92" s="18" t="str">
        <f t="array" ref="H92">XLOOKUP($E92,'Player Database'!$B$2:$B758,'Player Database'!$O$2:$O758)</f>
        <v>#N/A</v>
      </c>
      <c r="I92" s="18" t="str">
        <f t="array" ref="I92">XLOOKUP($E92,'Player Database'!$B$2:$B758,'Player Database'!$P$2:$P758)</f>
        <v>#N/A</v>
      </c>
      <c r="J92" s="20" t="str">
        <f t="array" ref="J92">XLOOKUP($E92,'Player Database'!$B$2:$B758,'Player Database'!$U$2:$U758)</f>
        <v>#N/A</v>
      </c>
      <c r="K92" s="22" t="str">
        <f>VLOOKUP(E92, 'Player Database'!B:AE, 30, FALSE)</f>
        <v>#N/A</v>
      </c>
      <c r="L92" s="22" t="str">
        <f t="array" ref="L92">XLOOKUP($E92,'Player Database'!$B$2:$B758,'Player Database'!$W$2:$W758)</f>
        <v>#N/A</v>
      </c>
      <c r="M92" s="23" t="str">
        <f t="shared" si="1"/>
        <v>0 - 0</v>
      </c>
      <c r="N92" s="24" t="str">
        <f t="array" ref="N92">IF(XLOOKUP($E92,'Player Database'!$B$2:$B758,'Player Database'!$AA$2:$AA758)="",XLOOKUP($E92,'Player Database'!$B$2:$B758,'Player Database'!$G$2:$G758),XLOOKUP($E92,'Player Database'!$B$2:$B758,'Player Database'!$AA$2:$AA758))</f>
        <v>#N/A</v>
      </c>
      <c r="O92" s="27">
        <f>COUNTIFs(Matches!$B:$B,E92,Matches!$A:$A,"&gt;"&amp;Q92,Matches!$A:$A,"&lt;"&amp;R92)</f>
        <v>0</v>
      </c>
      <c r="P92" s="27">
        <f>COUNTIFs(Matches!$C:$C,E92,Matches!$A:$A,"&gt;"&amp;Q92,Matches!$A:$A,"&lt;"&amp;R92)</f>
        <v>0</v>
      </c>
      <c r="Q92" s="28">
        <f>VLOOKUP($C$2,Quotas!$A$7:$E$14,2,FALSE)</f>
        <v>46213.70833</v>
      </c>
      <c r="R92" s="28">
        <f>VLOOKUP($C$2,Quotas!$A$7:$E$14,3,FALSE)</f>
        <v>46220.70833</v>
      </c>
    </row>
    <row r="93">
      <c r="A93" s="32" t="str">
        <f t="array" ref="A93">XLOOKUP($E93,'Player Database'!$B$2:$B758,'Player Database'!$C$2:$C758)</f>
        <v>#N/A</v>
      </c>
      <c r="B93" s="32" t="str">
        <f t="array" ref="B93">XLOOKUP($E93,'Player Database'!$B$2:$B758,'Player Database'!$E$2:$E758)</f>
        <v>#N/A</v>
      </c>
      <c r="C93" s="32" t="str">
        <f t="array" ref="C93">XLOOKUP($E93,'Player Database'!$B$2:$B758,'Player Database'!$F$2:$F758)</f>
        <v>#N/A</v>
      </c>
      <c r="D93" s="106">
        <f>IFERROR(__xludf.DUMMYFUNCTION("""COMPUTED_VALUE"""),1.0)</f>
        <v>1</v>
      </c>
      <c r="E93" s="17"/>
      <c r="F93" s="18" t="str">
        <f t="array" ref="F93">XLOOKUP($E93,'Player Database'!$B$2:$B758,'Player Database'!$K$2:$K758)</f>
        <v>#N/A</v>
      </c>
      <c r="G93" s="18" t="str">
        <f t="array" ref="G93">XLOOKUP($E93,'Player Database'!$B$2:$B758,'Player Database'!$H$2:$H758)</f>
        <v>#N/A</v>
      </c>
      <c r="H93" s="18" t="str">
        <f t="array" ref="H93">XLOOKUP($E93,'Player Database'!$B$2:$B758,'Player Database'!$O$2:$O758)</f>
        <v>#N/A</v>
      </c>
      <c r="I93" s="18" t="str">
        <f t="array" ref="I93">XLOOKUP($E93,'Player Database'!$B$2:$B758,'Player Database'!$P$2:$P758)</f>
        <v>#N/A</v>
      </c>
      <c r="J93" s="20" t="str">
        <f t="array" ref="J93">XLOOKUP($E93,'Player Database'!$B$2:$B758,'Player Database'!$U$2:$U758)</f>
        <v>#N/A</v>
      </c>
      <c r="K93" s="22" t="str">
        <f>VLOOKUP(E93, 'Player Database'!B:AE, 30, FALSE)</f>
        <v>#N/A</v>
      </c>
      <c r="L93" s="22" t="str">
        <f t="array" ref="L93">XLOOKUP($E93,'Player Database'!$B$2:$B758,'Player Database'!$W$2:$W758)</f>
        <v>#N/A</v>
      </c>
      <c r="M93" s="23" t="str">
        <f t="shared" si="1"/>
        <v>0 - 0</v>
      </c>
      <c r="N93" s="24" t="str">
        <f t="array" ref="N93">IF(XLOOKUP($E93,'Player Database'!$B$2:$B758,'Player Database'!$AA$2:$AA758)="",XLOOKUP($E93,'Player Database'!$B$2:$B758,'Player Database'!$G$2:$G758),XLOOKUP($E93,'Player Database'!$B$2:$B758,'Player Database'!$AA$2:$AA758))</f>
        <v>#N/A</v>
      </c>
      <c r="O93" s="27">
        <f>COUNTIFs(Matches!$B:$B,E93,Matches!$A:$A,"&gt;"&amp;Q93,Matches!$A:$A,"&lt;"&amp;R93)</f>
        <v>0</v>
      </c>
      <c r="P93" s="27">
        <f>COUNTIFs(Matches!$C:$C,E93,Matches!$A:$A,"&gt;"&amp;Q93,Matches!$A:$A,"&lt;"&amp;R93)</f>
        <v>0</v>
      </c>
      <c r="Q93" s="28">
        <f>VLOOKUP($C$2,Quotas!$A$7:$E$14,2,FALSE)</f>
        <v>46213.70833</v>
      </c>
      <c r="R93" s="28">
        <f>VLOOKUP($C$2,Quotas!$A$7:$E$14,3,FALSE)</f>
        <v>46220.70833</v>
      </c>
    </row>
    <row r="94">
      <c r="A94" s="32" t="str">
        <f t="array" ref="A94">XLOOKUP($E94,'Player Database'!$B$2:$B758,'Player Database'!$C$2:$C758)</f>
        <v>#N/A</v>
      </c>
      <c r="B94" s="32" t="str">
        <f t="array" ref="B94">XLOOKUP($E94,'Player Database'!$B$2:$B758,'Player Database'!$E$2:$E758)</f>
        <v>#N/A</v>
      </c>
      <c r="C94" s="32" t="str">
        <f t="array" ref="C94">XLOOKUP($E94,'Player Database'!$B$2:$B758,'Player Database'!$F$2:$F758)</f>
        <v>#N/A</v>
      </c>
      <c r="D94" s="106">
        <f>IFERROR(__xludf.DUMMYFUNCTION("""COMPUTED_VALUE"""),1.0)</f>
        <v>1</v>
      </c>
      <c r="E94" s="17"/>
      <c r="F94" s="18" t="str">
        <f t="array" ref="F94">XLOOKUP($E94,'Player Database'!$B$2:$B758,'Player Database'!$K$2:$K758)</f>
        <v>#N/A</v>
      </c>
      <c r="G94" s="18" t="str">
        <f t="array" ref="G94">XLOOKUP($E94,'Player Database'!$B$2:$B758,'Player Database'!$H$2:$H758)</f>
        <v>#N/A</v>
      </c>
      <c r="H94" s="18" t="str">
        <f t="array" ref="H94">XLOOKUP($E94,'Player Database'!$B$2:$B758,'Player Database'!$O$2:$O758)</f>
        <v>#N/A</v>
      </c>
      <c r="I94" s="18" t="str">
        <f t="array" ref="I94">XLOOKUP($E94,'Player Database'!$B$2:$B758,'Player Database'!$P$2:$P758)</f>
        <v>#N/A</v>
      </c>
      <c r="J94" s="20" t="str">
        <f t="array" ref="J94">XLOOKUP($E94,'Player Database'!$B$2:$B758,'Player Database'!$U$2:$U758)</f>
        <v>#N/A</v>
      </c>
      <c r="K94" s="22" t="str">
        <f>VLOOKUP(E94, 'Player Database'!B:AE, 30, FALSE)</f>
        <v>#N/A</v>
      </c>
      <c r="L94" s="22" t="str">
        <f t="array" ref="L94">XLOOKUP($E94,'Player Database'!$B$2:$B758,'Player Database'!$W$2:$W758)</f>
        <v>#N/A</v>
      </c>
      <c r="M94" s="23" t="str">
        <f t="shared" si="1"/>
        <v>0 - 0</v>
      </c>
      <c r="N94" s="24" t="str">
        <f t="array" ref="N94">IF(XLOOKUP($E94,'Player Database'!$B$2:$B758,'Player Database'!$AA$2:$AA758)="",XLOOKUP($E94,'Player Database'!$B$2:$B758,'Player Database'!$G$2:$G758),XLOOKUP($E94,'Player Database'!$B$2:$B758,'Player Database'!$AA$2:$AA758))</f>
        <v>#N/A</v>
      </c>
      <c r="O94" s="27">
        <f>COUNTIFs(Matches!$B:$B,E94,Matches!$A:$A,"&gt;"&amp;Q94,Matches!$A:$A,"&lt;"&amp;R94)</f>
        <v>0</v>
      </c>
      <c r="P94" s="27">
        <f>COUNTIFs(Matches!$C:$C,E94,Matches!$A:$A,"&gt;"&amp;Q94,Matches!$A:$A,"&lt;"&amp;R94)</f>
        <v>0</v>
      </c>
      <c r="Q94" s="28">
        <f>VLOOKUP($C$2,Quotas!$A$7:$E$14,2,FALSE)</f>
        <v>46213.70833</v>
      </c>
      <c r="R94" s="28">
        <f>VLOOKUP($C$2,Quotas!$A$7:$E$14,3,FALSE)</f>
        <v>46220.70833</v>
      </c>
    </row>
    <row r="95">
      <c r="A95" s="32" t="str">
        <f t="array" ref="A95">XLOOKUP($E95,'Player Database'!$B$2:$B758,'Player Database'!$C$2:$C758)</f>
        <v>#N/A</v>
      </c>
      <c r="B95" s="32" t="str">
        <f t="array" ref="B95">XLOOKUP($E95,'Player Database'!$B$2:$B758,'Player Database'!$E$2:$E758)</f>
        <v>#N/A</v>
      </c>
      <c r="C95" s="32" t="str">
        <f t="array" ref="C95">XLOOKUP($E95,'Player Database'!$B$2:$B758,'Player Database'!$F$2:$F758)</f>
        <v>#N/A</v>
      </c>
      <c r="D95" s="106">
        <f>IFERROR(__xludf.DUMMYFUNCTION("""COMPUTED_VALUE"""),1.0)</f>
        <v>1</v>
      </c>
      <c r="E95" s="17"/>
      <c r="F95" s="18" t="str">
        <f t="array" ref="F95">XLOOKUP($E95,'Player Database'!$B$2:$B758,'Player Database'!$K$2:$K758)</f>
        <v>#N/A</v>
      </c>
      <c r="G95" s="18" t="str">
        <f t="array" ref="G95">XLOOKUP($E95,'Player Database'!$B$2:$B758,'Player Database'!$H$2:$H758)</f>
        <v>#N/A</v>
      </c>
      <c r="H95" s="18" t="str">
        <f t="array" ref="H95">XLOOKUP($E95,'Player Database'!$B$2:$B758,'Player Database'!$O$2:$O758)</f>
        <v>#N/A</v>
      </c>
      <c r="I95" s="18" t="str">
        <f t="array" ref="I95">XLOOKUP($E95,'Player Database'!$B$2:$B758,'Player Database'!$P$2:$P758)</f>
        <v>#N/A</v>
      </c>
      <c r="J95" s="20" t="str">
        <f t="array" ref="J95">XLOOKUP($E95,'Player Database'!$B$2:$B758,'Player Database'!$U$2:$U758)</f>
        <v>#N/A</v>
      </c>
      <c r="K95" s="22" t="str">
        <f>VLOOKUP(E95, 'Player Database'!B:AE, 30, FALSE)</f>
        <v>#N/A</v>
      </c>
      <c r="L95" s="22" t="str">
        <f t="array" ref="L95">XLOOKUP($E95,'Player Database'!$B$2:$B758,'Player Database'!$W$2:$W758)</f>
        <v>#N/A</v>
      </c>
      <c r="M95" s="23" t="str">
        <f t="shared" si="1"/>
        <v>0 - 0</v>
      </c>
      <c r="N95" s="24" t="str">
        <f t="array" ref="N95">IF(XLOOKUP($E95,'Player Database'!$B$2:$B758,'Player Database'!$AA$2:$AA758)="",XLOOKUP($E95,'Player Database'!$B$2:$B758,'Player Database'!$G$2:$G758),XLOOKUP($E95,'Player Database'!$B$2:$B758,'Player Database'!$AA$2:$AA758))</f>
        <v>#N/A</v>
      </c>
      <c r="O95" s="27">
        <f>COUNTIFs(Matches!$B:$B,E95,Matches!$A:$A,"&gt;"&amp;Q95,Matches!$A:$A,"&lt;"&amp;R95)</f>
        <v>0</v>
      </c>
      <c r="P95" s="27">
        <f>COUNTIFs(Matches!$C:$C,E95,Matches!$A:$A,"&gt;"&amp;Q95,Matches!$A:$A,"&lt;"&amp;R95)</f>
        <v>0</v>
      </c>
      <c r="Q95" s="28">
        <f>VLOOKUP($C$2,Quotas!$A$7:$E$14,2,FALSE)</f>
        <v>46213.70833</v>
      </c>
      <c r="R95" s="28">
        <f>VLOOKUP($C$2,Quotas!$A$7:$E$14,3,FALSE)</f>
        <v>46220.70833</v>
      </c>
    </row>
    <row r="96">
      <c r="A96" s="32" t="str">
        <f t="array" ref="A96">XLOOKUP($E96,'Player Database'!$B$2:$B758,'Player Database'!$C$2:$C758)</f>
        <v>#N/A</v>
      </c>
      <c r="B96" s="32" t="str">
        <f t="array" ref="B96">XLOOKUP($E96,'Player Database'!$B$2:$B758,'Player Database'!$E$2:$E758)</f>
        <v>#N/A</v>
      </c>
      <c r="C96" s="32" t="str">
        <f t="array" ref="C96">XLOOKUP($E96,'Player Database'!$B$2:$B758,'Player Database'!$F$2:$F758)</f>
        <v>#N/A</v>
      </c>
      <c r="D96" s="106">
        <f>IFERROR(__xludf.DUMMYFUNCTION("""COMPUTED_VALUE"""),1.0)</f>
        <v>1</v>
      </c>
      <c r="E96" s="17"/>
      <c r="F96" s="18" t="str">
        <f t="array" ref="F96">XLOOKUP($E96,'Player Database'!$B$2:$B758,'Player Database'!$K$2:$K758)</f>
        <v>#N/A</v>
      </c>
      <c r="G96" s="18" t="str">
        <f t="array" ref="G96">XLOOKUP($E96,'Player Database'!$B$2:$B758,'Player Database'!$H$2:$H758)</f>
        <v>#N/A</v>
      </c>
      <c r="H96" s="18" t="str">
        <f t="array" ref="H96">XLOOKUP($E96,'Player Database'!$B$2:$B758,'Player Database'!$O$2:$O758)</f>
        <v>#N/A</v>
      </c>
      <c r="I96" s="18" t="str">
        <f t="array" ref="I96">XLOOKUP($E96,'Player Database'!$B$2:$B758,'Player Database'!$P$2:$P758)</f>
        <v>#N/A</v>
      </c>
      <c r="J96" s="20" t="str">
        <f t="array" ref="J96">XLOOKUP($E96,'Player Database'!$B$2:$B758,'Player Database'!$U$2:$U758)</f>
        <v>#N/A</v>
      </c>
      <c r="K96" s="22" t="str">
        <f>VLOOKUP(E96, 'Player Database'!B:AE, 30, FALSE)</f>
        <v>#N/A</v>
      </c>
      <c r="L96" s="22" t="str">
        <f t="array" ref="L96">XLOOKUP($E96,'Player Database'!$B$2:$B758,'Player Database'!$W$2:$W758)</f>
        <v>#N/A</v>
      </c>
      <c r="M96" s="23" t="str">
        <f t="shared" si="1"/>
        <v>0 - 0</v>
      </c>
      <c r="N96" s="24" t="str">
        <f t="array" ref="N96">IF(XLOOKUP($E96,'Player Database'!$B$2:$B758,'Player Database'!$AA$2:$AA758)="",XLOOKUP($E96,'Player Database'!$B$2:$B758,'Player Database'!$G$2:$G758),XLOOKUP($E96,'Player Database'!$B$2:$B758,'Player Database'!$AA$2:$AA758))</f>
        <v>#N/A</v>
      </c>
      <c r="O96" s="27">
        <f>COUNTIFs(Matches!$B:$B,E96,Matches!$A:$A,"&gt;"&amp;Q96,Matches!$A:$A,"&lt;"&amp;R96)</f>
        <v>0</v>
      </c>
      <c r="P96" s="27">
        <f>COUNTIFs(Matches!$C:$C,E96,Matches!$A:$A,"&gt;"&amp;Q96,Matches!$A:$A,"&lt;"&amp;R96)</f>
        <v>0</v>
      </c>
      <c r="Q96" s="28">
        <f>VLOOKUP($C$2,Quotas!$A$7:$E$14,2,FALSE)</f>
        <v>46213.70833</v>
      </c>
      <c r="R96" s="28">
        <f>VLOOKUP($C$2,Quotas!$A$7:$E$14,3,FALSE)</f>
        <v>46220.70833</v>
      </c>
    </row>
    <row r="97">
      <c r="A97" s="32" t="str">
        <f t="array" ref="A97">XLOOKUP($E97,'Player Database'!$B$2:$B758,'Player Database'!$C$2:$C758)</f>
        <v>#N/A</v>
      </c>
      <c r="B97" s="32" t="str">
        <f t="array" ref="B97">XLOOKUP($E97,'Player Database'!$B$2:$B758,'Player Database'!$E$2:$E758)</f>
        <v>#N/A</v>
      </c>
      <c r="C97" s="32" t="str">
        <f t="array" ref="C97">XLOOKUP($E97,'Player Database'!$B$2:$B758,'Player Database'!$F$2:$F758)</f>
        <v>#N/A</v>
      </c>
      <c r="D97" s="106">
        <f>IFERROR(__xludf.DUMMYFUNCTION("""COMPUTED_VALUE"""),1.0)</f>
        <v>1</v>
      </c>
      <c r="E97" s="17"/>
      <c r="F97" s="18" t="str">
        <f t="array" ref="F97">XLOOKUP($E97,'Player Database'!$B$2:$B758,'Player Database'!$K$2:$K758)</f>
        <v>#N/A</v>
      </c>
      <c r="G97" s="18" t="str">
        <f t="array" ref="G97">XLOOKUP($E97,'Player Database'!$B$2:$B758,'Player Database'!$H$2:$H758)</f>
        <v>#N/A</v>
      </c>
      <c r="H97" s="18" t="str">
        <f t="array" ref="H97">XLOOKUP($E97,'Player Database'!$B$2:$B758,'Player Database'!$O$2:$O758)</f>
        <v>#N/A</v>
      </c>
      <c r="I97" s="18" t="str">
        <f t="array" ref="I97">XLOOKUP($E97,'Player Database'!$B$2:$B758,'Player Database'!$P$2:$P758)</f>
        <v>#N/A</v>
      </c>
      <c r="J97" s="20" t="str">
        <f t="array" ref="J97">XLOOKUP($E97,'Player Database'!$B$2:$B758,'Player Database'!$U$2:$U758)</f>
        <v>#N/A</v>
      </c>
      <c r="K97" s="22" t="str">
        <f>VLOOKUP(E97, 'Player Database'!B:AE, 30, FALSE)</f>
        <v>#N/A</v>
      </c>
      <c r="L97" s="22" t="str">
        <f t="array" ref="L97">XLOOKUP($E97,'Player Database'!$B$2:$B758,'Player Database'!$W$2:$W758)</f>
        <v>#N/A</v>
      </c>
      <c r="M97" s="23" t="str">
        <f t="shared" si="1"/>
        <v>0 - 0</v>
      </c>
      <c r="N97" s="24" t="str">
        <f t="array" ref="N97">IF(XLOOKUP($E97,'Player Database'!$B$2:$B758,'Player Database'!$AA$2:$AA758)="",XLOOKUP($E97,'Player Database'!$B$2:$B758,'Player Database'!$G$2:$G758),XLOOKUP($E97,'Player Database'!$B$2:$B758,'Player Database'!$AA$2:$AA758))</f>
        <v>#N/A</v>
      </c>
      <c r="O97" s="27">
        <f>COUNTIFs(Matches!$B:$B,E97,Matches!$A:$A,"&gt;"&amp;Q97,Matches!$A:$A,"&lt;"&amp;R97)</f>
        <v>0</v>
      </c>
      <c r="P97" s="27">
        <f>COUNTIFs(Matches!$C:$C,E97,Matches!$A:$A,"&gt;"&amp;Q97,Matches!$A:$A,"&lt;"&amp;R97)</f>
        <v>0</v>
      </c>
      <c r="Q97" s="28">
        <f>VLOOKUP($C$2,Quotas!$A$7:$E$14,2,FALSE)</f>
        <v>46213.70833</v>
      </c>
      <c r="R97" s="28">
        <f>VLOOKUP($C$2,Quotas!$A$7:$E$14,3,FALSE)</f>
        <v>46220.70833</v>
      </c>
    </row>
    <row r="98">
      <c r="A98" s="32" t="str">
        <f t="array" ref="A98">XLOOKUP($E98,'Player Database'!$B$2:$B758,'Player Database'!$C$2:$C758)</f>
        <v>#N/A</v>
      </c>
      <c r="B98" s="32" t="str">
        <f t="array" ref="B98">XLOOKUP($E98,'Player Database'!$B$2:$B758,'Player Database'!$E$2:$E758)</f>
        <v>#N/A</v>
      </c>
      <c r="C98" s="32" t="str">
        <f t="array" ref="C98">XLOOKUP($E98,'Player Database'!$B$2:$B758,'Player Database'!$F$2:$F758)</f>
        <v>#N/A</v>
      </c>
      <c r="D98" s="106">
        <f>IFERROR(__xludf.DUMMYFUNCTION("""COMPUTED_VALUE"""),1.0)</f>
        <v>1</v>
      </c>
      <c r="E98" s="17"/>
      <c r="F98" s="18" t="str">
        <f t="array" ref="F98">XLOOKUP($E98,'Player Database'!$B$2:$B758,'Player Database'!$K$2:$K758)</f>
        <v>#N/A</v>
      </c>
      <c r="G98" s="18" t="str">
        <f t="array" ref="G98">XLOOKUP($E98,'Player Database'!$B$2:$B758,'Player Database'!$H$2:$H758)</f>
        <v>#N/A</v>
      </c>
      <c r="H98" s="18" t="str">
        <f t="array" ref="H98">XLOOKUP($E98,'Player Database'!$B$2:$B758,'Player Database'!$O$2:$O758)</f>
        <v>#N/A</v>
      </c>
      <c r="I98" s="18" t="str">
        <f t="array" ref="I98">XLOOKUP($E98,'Player Database'!$B$2:$B758,'Player Database'!$P$2:$P758)</f>
        <v>#N/A</v>
      </c>
      <c r="J98" s="20" t="str">
        <f t="array" ref="J98">XLOOKUP($E98,'Player Database'!$B$2:$B758,'Player Database'!$U$2:$U758)</f>
        <v>#N/A</v>
      </c>
      <c r="K98" s="22" t="str">
        <f>VLOOKUP(E98, 'Player Database'!B:AE, 30, FALSE)</f>
        <v>#N/A</v>
      </c>
      <c r="L98" s="22" t="str">
        <f t="array" ref="L98">XLOOKUP($E98,'Player Database'!$B$2:$B758,'Player Database'!$W$2:$W758)</f>
        <v>#N/A</v>
      </c>
      <c r="M98" s="23" t="str">
        <f t="shared" si="1"/>
        <v>0 - 0</v>
      </c>
      <c r="N98" s="24" t="str">
        <f t="array" ref="N98">IF(XLOOKUP($E98,'Player Database'!$B$2:$B758,'Player Database'!$AA$2:$AA758)="",XLOOKUP($E98,'Player Database'!$B$2:$B758,'Player Database'!$G$2:$G758),XLOOKUP($E98,'Player Database'!$B$2:$B758,'Player Database'!$AA$2:$AA758))</f>
        <v>#N/A</v>
      </c>
      <c r="O98" s="27">
        <f>COUNTIFs(Matches!$B:$B,E98,Matches!$A:$A,"&gt;"&amp;Q98,Matches!$A:$A,"&lt;"&amp;R98)</f>
        <v>0</v>
      </c>
      <c r="P98" s="27">
        <f>COUNTIFs(Matches!$C:$C,E98,Matches!$A:$A,"&gt;"&amp;Q98,Matches!$A:$A,"&lt;"&amp;R98)</f>
        <v>0</v>
      </c>
      <c r="Q98" s="28">
        <f>VLOOKUP($C$2,Quotas!$A$7:$E$14,2,FALSE)</f>
        <v>46213.70833</v>
      </c>
      <c r="R98" s="28">
        <f>VLOOKUP($C$2,Quotas!$A$7:$E$14,3,FALSE)</f>
        <v>46220.70833</v>
      </c>
    </row>
    <row r="99">
      <c r="A99" s="32" t="str">
        <f t="array" ref="A99">XLOOKUP($E99,'Player Database'!$B$2:$B758,'Player Database'!$C$2:$C758)</f>
        <v>#N/A</v>
      </c>
      <c r="B99" s="32" t="str">
        <f t="array" ref="B99">XLOOKUP($E99,'Player Database'!$B$2:$B758,'Player Database'!$E$2:$E758)</f>
        <v>#N/A</v>
      </c>
      <c r="C99" s="32" t="str">
        <f t="array" ref="C99">XLOOKUP($E99,'Player Database'!$B$2:$B758,'Player Database'!$F$2:$F758)</f>
        <v>#N/A</v>
      </c>
      <c r="D99" s="106">
        <f>IFERROR(__xludf.DUMMYFUNCTION("""COMPUTED_VALUE"""),1.0)</f>
        <v>1</v>
      </c>
      <c r="E99" s="17"/>
      <c r="F99" s="18" t="str">
        <f t="array" ref="F99">XLOOKUP($E99,'Player Database'!$B$2:$B758,'Player Database'!$K$2:$K758)</f>
        <v>#N/A</v>
      </c>
      <c r="G99" s="18" t="str">
        <f t="array" ref="G99">XLOOKUP($E99,'Player Database'!$B$2:$B758,'Player Database'!$H$2:$H758)</f>
        <v>#N/A</v>
      </c>
      <c r="H99" s="18" t="str">
        <f t="array" ref="H99">XLOOKUP($E99,'Player Database'!$B$2:$B758,'Player Database'!$O$2:$O758)</f>
        <v>#N/A</v>
      </c>
      <c r="I99" s="18" t="str">
        <f t="array" ref="I99">XLOOKUP($E99,'Player Database'!$B$2:$B758,'Player Database'!$P$2:$P758)</f>
        <v>#N/A</v>
      </c>
      <c r="J99" s="20" t="str">
        <f t="array" ref="J99">XLOOKUP($E99,'Player Database'!$B$2:$B758,'Player Database'!$U$2:$U758)</f>
        <v>#N/A</v>
      </c>
      <c r="K99" s="22" t="str">
        <f>VLOOKUP(E99, 'Player Database'!B:AE, 30, FALSE)</f>
        <v>#N/A</v>
      </c>
      <c r="L99" s="22" t="str">
        <f t="array" ref="L99">XLOOKUP($E99,'Player Database'!$B$2:$B758,'Player Database'!$W$2:$W758)</f>
        <v>#N/A</v>
      </c>
      <c r="M99" s="23" t="str">
        <f t="shared" si="1"/>
        <v>0 - 0</v>
      </c>
      <c r="N99" s="24" t="str">
        <f t="array" ref="N99">IF(XLOOKUP($E99,'Player Database'!$B$2:$B758,'Player Database'!$AA$2:$AA758)="",XLOOKUP($E99,'Player Database'!$B$2:$B758,'Player Database'!$G$2:$G758),XLOOKUP($E99,'Player Database'!$B$2:$B758,'Player Database'!$AA$2:$AA758))</f>
        <v>#N/A</v>
      </c>
      <c r="O99" s="27">
        <f>COUNTIFs(Matches!$B:$B,E99,Matches!$A:$A,"&gt;"&amp;Q99,Matches!$A:$A,"&lt;"&amp;R99)</f>
        <v>0</v>
      </c>
      <c r="P99" s="27">
        <f>COUNTIFs(Matches!$C:$C,E99,Matches!$A:$A,"&gt;"&amp;Q99,Matches!$A:$A,"&lt;"&amp;R99)</f>
        <v>0</v>
      </c>
      <c r="Q99" s="28">
        <f>VLOOKUP($C$2,Quotas!$A$7:$E$14,2,FALSE)</f>
        <v>46213.70833</v>
      </c>
      <c r="R99" s="28">
        <f>VLOOKUP($C$2,Quotas!$A$7:$E$14,3,FALSE)</f>
        <v>46220.70833</v>
      </c>
    </row>
    <row r="100">
      <c r="A100" s="32" t="str">
        <f t="array" ref="A100">XLOOKUP($E100,'Player Database'!$B$2:$B758,'Player Database'!$C$2:$C758)</f>
        <v>#N/A</v>
      </c>
      <c r="B100" s="32" t="str">
        <f t="array" ref="B100">XLOOKUP($E100,'Player Database'!$B$2:$B758,'Player Database'!$E$2:$E758)</f>
        <v>#N/A</v>
      </c>
      <c r="C100" s="32" t="str">
        <f t="array" ref="C100">XLOOKUP($E100,'Player Database'!$B$2:$B758,'Player Database'!$F$2:$F758)</f>
        <v>#N/A</v>
      </c>
      <c r="D100" s="106">
        <f>IFERROR(__xludf.DUMMYFUNCTION("""COMPUTED_VALUE"""),1.0)</f>
        <v>1</v>
      </c>
      <c r="E100" s="17"/>
      <c r="F100" s="18" t="str">
        <f t="array" ref="F100">XLOOKUP($E100,'Player Database'!$B$2:$B758,'Player Database'!$K$2:$K758)</f>
        <v>#N/A</v>
      </c>
      <c r="G100" s="18" t="str">
        <f t="array" ref="G100">XLOOKUP($E100,'Player Database'!$B$2:$B758,'Player Database'!$H$2:$H758)</f>
        <v>#N/A</v>
      </c>
      <c r="H100" s="18" t="str">
        <f t="array" ref="H100">XLOOKUP($E100,'Player Database'!$B$2:$B758,'Player Database'!$O$2:$O758)</f>
        <v>#N/A</v>
      </c>
      <c r="I100" s="18" t="str">
        <f t="array" ref="I100">XLOOKUP($E100,'Player Database'!$B$2:$B758,'Player Database'!$P$2:$P758)</f>
        <v>#N/A</v>
      </c>
      <c r="J100" s="20" t="str">
        <f t="array" ref="J100">XLOOKUP($E100,'Player Database'!$B$2:$B758,'Player Database'!$U$2:$U758)</f>
        <v>#N/A</v>
      </c>
      <c r="K100" s="22" t="str">
        <f>VLOOKUP(E100, 'Player Database'!B:AE, 30, FALSE)</f>
        <v>#N/A</v>
      </c>
      <c r="L100" s="22" t="str">
        <f t="array" ref="L100">XLOOKUP($E100,'Player Database'!$B$2:$B758,'Player Database'!$W$2:$W758)</f>
        <v>#N/A</v>
      </c>
      <c r="M100" s="23" t="str">
        <f t="shared" si="1"/>
        <v>0 - 0</v>
      </c>
      <c r="N100" s="24" t="str">
        <f t="array" ref="N100">IF(XLOOKUP($E100,'Player Database'!$B$2:$B758,'Player Database'!$AA$2:$AA758)="",XLOOKUP($E100,'Player Database'!$B$2:$B758,'Player Database'!$G$2:$G758),XLOOKUP($E100,'Player Database'!$B$2:$B758,'Player Database'!$AA$2:$AA758))</f>
        <v>#N/A</v>
      </c>
      <c r="O100" s="27">
        <f>COUNTIFs(Matches!$B:$B,E100,Matches!$A:$A,"&gt;"&amp;Q100,Matches!$A:$A,"&lt;"&amp;R100)</f>
        <v>0</v>
      </c>
      <c r="P100" s="27">
        <f>COUNTIFs(Matches!$C:$C,E100,Matches!$A:$A,"&gt;"&amp;Q100,Matches!$A:$A,"&lt;"&amp;R100)</f>
        <v>0</v>
      </c>
      <c r="Q100" s="28">
        <f>VLOOKUP($C$2,Quotas!$A$7:$E$14,2,FALSE)</f>
        <v>46213.70833</v>
      </c>
      <c r="R100" s="28">
        <f>VLOOKUP($C$2,Quotas!$A$7:$E$14,3,FALSE)</f>
        <v>46220.70833</v>
      </c>
    </row>
    <row r="101">
      <c r="A101" s="32" t="str">
        <f t="array" ref="A101">XLOOKUP($E101,'Player Database'!$B$2:$B758,'Player Database'!$C$2:$C758)</f>
        <v>#N/A</v>
      </c>
      <c r="B101" s="32" t="str">
        <f t="array" ref="B101">XLOOKUP($E101,'Player Database'!$B$2:$B758,'Player Database'!$E$2:$E758)</f>
        <v>#N/A</v>
      </c>
      <c r="C101" s="32" t="str">
        <f t="array" ref="C101">XLOOKUP($E101,'Player Database'!$B$2:$B758,'Player Database'!$F$2:$F758)</f>
        <v>#N/A</v>
      </c>
      <c r="D101" s="106">
        <f>IFERROR(__xludf.DUMMYFUNCTION("""COMPUTED_VALUE"""),1.0)</f>
        <v>1</v>
      </c>
      <c r="E101" s="17"/>
      <c r="F101" s="18" t="str">
        <f t="array" ref="F101">XLOOKUP($E101,'Player Database'!$B$2:$B758,'Player Database'!$K$2:$K758)</f>
        <v>#N/A</v>
      </c>
      <c r="G101" s="18" t="str">
        <f t="array" ref="G101">XLOOKUP($E101,'Player Database'!$B$2:$B758,'Player Database'!$H$2:$H758)</f>
        <v>#N/A</v>
      </c>
      <c r="H101" s="18" t="str">
        <f t="array" ref="H101">XLOOKUP($E101,'Player Database'!$B$2:$B758,'Player Database'!$O$2:$O758)</f>
        <v>#N/A</v>
      </c>
      <c r="I101" s="18" t="str">
        <f t="array" ref="I101">XLOOKUP($E101,'Player Database'!$B$2:$B758,'Player Database'!$P$2:$P758)</f>
        <v>#N/A</v>
      </c>
      <c r="J101" s="20" t="str">
        <f t="array" ref="J101">XLOOKUP($E101,'Player Database'!$B$2:$B758,'Player Database'!$U$2:$U758)</f>
        <v>#N/A</v>
      </c>
      <c r="K101" s="22" t="str">
        <f>VLOOKUP(E101, 'Player Database'!B:AE, 30, FALSE)</f>
        <v>#N/A</v>
      </c>
      <c r="L101" s="22" t="str">
        <f t="array" ref="L101">XLOOKUP($E101,'Player Database'!$B$2:$B758,'Player Database'!$W$2:$W758)</f>
        <v>#N/A</v>
      </c>
      <c r="M101" s="23" t="str">
        <f t="shared" si="1"/>
        <v>0 - 0</v>
      </c>
      <c r="N101" s="24" t="str">
        <f t="array" ref="N101">IF(XLOOKUP($E101,'Player Database'!$B$2:$B758,'Player Database'!$AA$2:$AA758)="",XLOOKUP($E101,'Player Database'!$B$2:$B758,'Player Database'!$G$2:$G758),XLOOKUP($E101,'Player Database'!$B$2:$B758,'Player Database'!$AA$2:$AA758))</f>
        <v>#N/A</v>
      </c>
      <c r="O101" s="27">
        <f>COUNTIFs(Matches!$B:$B,E101,Matches!$A:$A,"&gt;"&amp;Q101,Matches!$A:$A,"&lt;"&amp;R101)</f>
        <v>0</v>
      </c>
      <c r="P101" s="27">
        <f>COUNTIFs(Matches!$C:$C,E101,Matches!$A:$A,"&gt;"&amp;Q101,Matches!$A:$A,"&lt;"&amp;R101)</f>
        <v>0</v>
      </c>
      <c r="Q101" s="28">
        <f>VLOOKUP($C$2,Quotas!$A$7:$E$14,2,FALSE)</f>
        <v>46213.70833</v>
      </c>
      <c r="R101" s="28">
        <f>VLOOKUP($C$2,Quotas!$A$7:$E$14,3,FALSE)</f>
        <v>46220.70833</v>
      </c>
    </row>
    <row r="102">
      <c r="A102" s="32" t="str">
        <f t="array" ref="A102">XLOOKUP($E102,'Player Database'!$B$2:$B758,'Player Database'!$C$2:$C758)</f>
        <v>#N/A</v>
      </c>
      <c r="B102" s="32" t="str">
        <f t="array" ref="B102">XLOOKUP($E102,'Player Database'!$B$2:$B758,'Player Database'!$E$2:$E758)</f>
        <v>#N/A</v>
      </c>
      <c r="C102" s="32" t="str">
        <f t="array" ref="C102">XLOOKUP($E102,'Player Database'!$B$2:$B758,'Player Database'!$F$2:$F758)</f>
        <v>#N/A</v>
      </c>
      <c r="D102" s="106">
        <f>IFERROR(__xludf.DUMMYFUNCTION("""COMPUTED_VALUE"""),1.0)</f>
        <v>1</v>
      </c>
      <c r="E102" s="17"/>
      <c r="F102" s="18" t="str">
        <f t="array" ref="F102">XLOOKUP($E102,'Player Database'!$B$2:$B758,'Player Database'!$K$2:$K758)</f>
        <v>#N/A</v>
      </c>
      <c r="G102" s="18" t="str">
        <f t="array" ref="G102">XLOOKUP($E102,'Player Database'!$B$2:$B758,'Player Database'!$H$2:$H758)</f>
        <v>#N/A</v>
      </c>
      <c r="H102" s="18" t="str">
        <f t="array" ref="H102">XLOOKUP($E102,'Player Database'!$B$2:$B758,'Player Database'!$O$2:$O758)</f>
        <v>#N/A</v>
      </c>
      <c r="I102" s="18" t="str">
        <f t="array" ref="I102">XLOOKUP($E102,'Player Database'!$B$2:$B758,'Player Database'!$P$2:$P758)</f>
        <v>#N/A</v>
      </c>
      <c r="J102" s="20" t="str">
        <f t="array" ref="J102">XLOOKUP($E102,'Player Database'!$B$2:$B758,'Player Database'!$U$2:$U758)</f>
        <v>#N/A</v>
      </c>
      <c r="K102" s="22" t="str">
        <f>VLOOKUP(E102, 'Player Database'!B:AE, 30, FALSE)</f>
        <v>#N/A</v>
      </c>
      <c r="L102" s="22" t="str">
        <f t="array" ref="L102">XLOOKUP($E102,'Player Database'!$B$2:$B758,'Player Database'!$W$2:$W758)</f>
        <v>#N/A</v>
      </c>
      <c r="M102" s="23" t="str">
        <f t="shared" si="1"/>
        <v>0 - 0</v>
      </c>
      <c r="N102" s="24" t="str">
        <f t="array" ref="N102">IF(XLOOKUP($E102,'Player Database'!$B$2:$B758,'Player Database'!$AA$2:$AA758)="",XLOOKUP($E102,'Player Database'!$B$2:$B758,'Player Database'!$G$2:$G758),XLOOKUP($E102,'Player Database'!$B$2:$B758,'Player Database'!$AA$2:$AA758))</f>
        <v>#N/A</v>
      </c>
      <c r="O102" s="27">
        <f>COUNTIFs(Matches!$B:$B,E102,Matches!$A:$A,"&gt;"&amp;Q102,Matches!$A:$A,"&lt;"&amp;R102)</f>
        <v>0</v>
      </c>
      <c r="P102" s="27">
        <f>COUNTIFs(Matches!$C:$C,E102,Matches!$A:$A,"&gt;"&amp;Q102,Matches!$A:$A,"&lt;"&amp;R102)</f>
        <v>0</v>
      </c>
      <c r="Q102" s="28">
        <f>VLOOKUP($C$2,Quotas!$A$7:$E$14,2,FALSE)</f>
        <v>46213.70833</v>
      </c>
      <c r="R102" s="28">
        <f>VLOOKUP($C$2,Quotas!$A$7:$E$14,3,FALSE)</f>
        <v>46220.70833</v>
      </c>
    </row>
    <row r="103">
      <c r="A103" s="32" t="str">
        <f t="array" ref="A103">XLOOKUP($E103,'Player Database'!$B$2:$B758,'Player Database'!$C$2:$C758)</f>
        <v>#N/A</v>
      </c>
      <c r="B103" s="32" t="str">
        <f t="array" ref="B103">XLOOKUP($E103,'Player Database'!$B$2:$B758,'Player Database'!$E$2:$E758)</f>
        <v>#N/A</v>
      </c>
      <c r="C103" s="32" t="str">
        <f t="array" ref="C103">XLOOKUP($E103,'Player Database'!$B$2:$B758,'Player Database'!$F$2:$F758)</f>
        <v>#N/A</v>
      </c>
      <c r="D103" s="106">
        <f>IFERROR(__xludf.DUMMYFUNCTION("""COMPUTED_VALUE"""),1.0)</f>
        <v>1</v>
      </c>
      <c r="E103" s="17"/>
      <c r="F103" s="18" t="str">
        <f t="array" ref="F103">XLOOKUP($E103,'Player Database'!$B$2:$B758,'Player Database'!$K$2:$K758)</f>
        <v>#N/A</v>
      </c>
      <c r="G103" s="18" t="str">
        <f t="array" ref="G103">XLOOKUP($E103,'Player Database'!$B$2:$B758,'Player Database'!$H$2:$H758)</f>
        <v>#N/A</v>
      </c>
      <c r="H103" s="18" t="str">
        <f t="array" ref="H103">XLOOKUP($E103,'Player Database'!$B$2:$B758,'Player Database'!$O$2:$O758)</f>
        <v>#N/A</v>
      </c>
      <c r="I103" s="18" t="str">
        <f t="array" ref="I103">XLOOKUP($E103,'Player Database'!$B$2:$B758,'Player Database'!$P$2:$P758)</f>
        <v>#N/A</v>
      </c>
      <c r="J103" s="20" t="str">
        <f t="array" ref="J103">XLOOKUP($E103,'Player Database'!$B$2:$B758,'Player Database'!$U$2:$U758)</f>
        <v>#N/A</v>
      </c>
      <c r="K103" s="22" t="str">
        <f>VLOOKUP(E103, 'Player Database'!B:AE, 30, FALSE)</f>
        <v>#N/A</v>
      </c>
      <c r="L103" s="22" t="str">
        <f t="array" ref="L103">XLOOKUP($E103,'Player Database'!$B$2:$B758,'Player Database'!$W$2:$W758)</f>
        <v>#N/A</v>
      </c>
      <c r="M103" s="23" t="str">
        <f t="shared" si="1"/>
        <v>0 - 0</v>
      </c>
      <c r="N103" s="24" t="str">
        <f t="array" ref="N103">IF(XLOOKUP($E103,'Player Database'!$B$2:$B758,'Player Database'!$AA$2:$AA758)="",XLOOKUP($E103,'Player Database'!$B$2:$B758,'Player Database'!$G$2:$G758),XLOOKUP($E103,'Player Database'!$B$2:$B758,'Player Database'!$AA$2:$AA758))</f>
        <v>#N/A</v>
      </c>
      <c r="O103" s="27">
        <f>COUNTIFs(Matches!$B:$B,E103,Matches!$A:$A,"&gt;"&amp;Q103,Matches!$A:$A,"&lt;"&amp;R103)</f>
        <v>0</v>
      </c>
      <c r="P103" s="27">
        <f>COUNTIFs(Matches!$C:$C,E103,Matches!$A:$A,"&gt;"&amp;Q103,Matches!$A:$A,"&lt;"&amp;R103)</f>
        <v>0</v>
      </c>
      <c r="Q103" s="28">
        <f>VLOOKUP($C$2,Quotas!$A$7:$E$14,2,FALSE)</f>
        <v>46213.70833</v>
      </c>
      <c r="R103" s="28">
        <f>VLOOKUP($C$2,Quotas!$A$7:$E$14,3,FALSE)</f>
        <v>46220.70833</v>
      </c>
    </row>
    <row r="104">
      <c r="A104" s="32" t="str">
        <f t="array" ref="A104">XLOOKUP($E104,'Player Database'!$B$2:$B758,'Player Database'!$C$2:$C758)</f>
        <v>#N/A</v>
      </c>
      <c r="B104" s="32" t="str">
        <f t="array" ref="B104">XLOOKUP($E104,'Player Database'!$B$2:$B758,'Player Database'!$E$2:$E758)</f>
        <v>#N/A</v>
      </c>
      <c r="C104" s="32" t="str">
        <f t="array" ref="C104">XLOOKUP($E104,'Player Database'!$B$2:$B758,'Player Database'!$F$2:$F758)</f>
        <v>#N/A</v>
      </c>
      <c r="D104" s="106">
        <f>IFERROR(__xludf.DUMMYFUNCTION("""COMPUTED_VALUE"""),1.0)</f>
        <v>1</v>
      </c>
      <c r="E104" s="17"/>
      <c r="F104" s="18" t="str">
        <f t="array" ref="F104">XLOOKUP($E104,'Player Database'!$B$2:$B758,'Player Database'!$K$2:$K758)</f>
        <v>#N/A</v>
      </c>
      <c r="G104" s="18" t="str">
        <f t="array" ref="G104">XLOOKUP($E104,'Player Database'!$B$2:$B758,'Player Database'!$H$2:$H758)</f>
        <v>#N/A</v>
      </c>
      <c r="H104" s="18" t="str">
        <f t="array" ref="H104">XLOOKUP($E104,'Player Database'!$B$2:$B758,'Player Database'!$O$2:$O758)</f>
        <v>#N/A</v>
      </c>
      <c r="I104" s="18" t="str">
        <f t="array" ref="I104">XLOOKUP($E104,'Player Database'!$B$2:$B758,'Player Database'!$P$2:$P758)</f>
        <v>#N/A</v>
      </c>
      <c r="J104" s="20" t="str">
        <f t="array" ref="J104">XLOOKUP($E104,'Player Database'!$B$2:$B758,'Player Database'!$U$2:$U758)</f>
        <v>#N/A</v>
      </c>
      <c r="K104" s="22" t="str">
        <f>VLOOKUP(E104, 'Player Database'!B:AE, 30, FALSE)</f>
        <v>#N/A</v>
      </c>
      <c r="L104" s="22" t="str">
        <f t="array" ref="L104">XLOOKUP($E104,'Player Database'!$B$2:$B758,'Player Database'!$W$2:$W758)</f>
        <v>#N/A</v>
      </c>
      <c r="M104" s="23" t="str">
        <f t="shared" si="1"/>
        <v>0 - 0</v>
      </c>
      <c r="N104" s="24" t="str">
        <f t="array" ref="N104">IF(XLOOKUP($E104,'Player Database'!$B$2:$B758,'Player Database'!$AA$2:$AA758)="",XLOOKUP($E104,'Player Database'!$B$2:$B758,'Player Database'!$G$2:$G758),XLOOKUP($E104,'Player Database'!$B$2:$B758,'Player Database'!$AA$2:$AA758))</f>
        <v>#N/A</v>
      </c>
      <c r="O104" s="27">
        <f>COUNTIFs(Matches!$B:$B,E104,Matches!$A:$A,"&gt;"&amp;Q104,Matches!$A:$A,"&lt;"&amp;R104)</f>
        <v>0</v>
      </c>
      <c r="P104" s="27">
        <f>COUNTIFs(Matches!$C:$C,E104,Matches!$A:$A,"&gt;"&amp;Q104,Matches!$A:$A,"&lt;"&amp;R104)</f>
        <v>0</v>
      </c>
      <c r="Q104" s="28">
        <f>VLOOKUP($C$2,Quotas!$A$7:$E$14,2,FALSE)</f>
        <v>46213.70833</v>
      </c>
      <c r="R104" s="28">
        <f>VLOOKUP($C$2,Quotas!$A$7:$E$14,3,FALSE)</f>
        <v>46220.70833</v>
      </c>
    </row>
    <row r="105">
      <c r="A105" s="32" t="str">
        <f t="array" ref="A105">XLOOKUP($E105,'Player Database'!$B$2:$B758,'Player Database'!$C$2:$C758)</f>
        <v>#N/A</v>
      </c>
      <c r="B105" s="32" t="str">
        <f t="array" ref="B105">XLOOKUP($E105,'Player Database'!$B$2:$B758,'Player Database'!$E$2:$E758)</f>
        <v>#N/A</v>
      </c>
      <c r="C105" s="32" t="str">
        <f t="array" ref="C105">XLOOKUP($E105,'Player Database'!$B$2:$B758,'Player Database'!$F$2:$F758)</f>
        <v>#N/A</v>
      </c>
      <c r="D105" s="106">
        <f>IFERROR(__xludf.DUMMYFUNCTION("""COMPUTED_VALUE"""),1.0)</f>
        <v>1</v>
      </c>
      <c r="E105" s="17"/>
      <c r="F105" s="18" t="str">
        <f t="array" ref="F105">XLOOKUP($E105,'Player Database'!$B$2:$B758,'Player Database'!$K$2:$K758)</f>
        <v>#N/A</v>
      </c>
      <c r="G105" s="18" t="str">
        <f t="array" ref="G105">XLOOKUP($E105,'Player Database'!$B$2:$B758,'Player Database'!$H$2:$H758)</f>
        <v>#N/A</v>
      </c>
      <c r="H105" s="18" t="str">
        <f t="array" ref="H105">XLOOKUP($E105,'Player Database'!$B$2:$B758,'Player Database'!$O$2:$O758)</f>
        <v>#N/A</v>
      </c>
      <c r="I105" s="18" t="str">
        <f t="array" ref="I105">XLOOKUP($E105,'Player Database'!$B$2:$B758,'Player Database'!$P$2:$P758)</f>
        <v>#N/A</v>
      </c>
      <c r="J105" s="20" t="str">
        <f t="array" ref="J105">XLOOKUP($E105,'Player Database'!$B$2:$B758,'Player Database'!$U$2:$U758)</f>
        <v>#N/A</v>
      </c>
      <c r="K105" s="22" t="str">
        <f>VLOOKUP(E105, 'Player Database'!B:AE, 30, FALSE)</f>
        <v>#N/A</v>
      </c>
      <c r="L105" s="22" t="str">
        <f t="array" ref="L105">XLOOKUP($E105,'Player Database'!$B$2:$B758,'Player Database'!$W$2:$W758)</f>
        <v>#N/A</v>
      </c>
      <c r="M105" s="23" t="str">
        <f t="shared" si="1"/>
        <v>0 - 0</v>
      </c>
      <c r="N105" s="24" t="str">
        <f t="array" ref="N105">IF(XLOOKUP($E105,'Player Database'!$B$2:$B758,'Player Database'!$AA$2:$AA758)="",XLOOKUP($E105,'Player Database'!$B$2:$B758,'Player Database'!$G$2:$G758),XLOOKUP($E105,'Player Database'!$B$2:$B758,'Player Database'!$AA$2:$AA758))</f>
        <v>#N/A</v>
      </c>
      <c r="O105" s="27">
        <f>COUNTIFs(Matches!$B:$B,E105,Matches!$A:$A,"&gt;"&amp;Q105,Matches!$A:$A,"&lt;"&amp;R105)</f>
        <v>0</v>
      </c>
      <c r="P105" s="27">
        <f>COUNTIFs(Matches!$C:$C,E105,Matches!$A:$A,"&gt;"&amp;Q105,Matches!$A:$A,"&lt;"&amp;R105)</f>
        <v>0</v>
      </c>
      <c r="Q105" s="28">
        <f>VLOOKUP($C$2,Quotas!$A$7:$E$14,2,FALSE)</f>
        <v>46213.70833</v>
      </c>
      <c r="R105" s="28">
        <f>VLOOKUP($C$2,Quotas!$A$7:$E$14,3,FALSE)</f>
        <v>46220.70833</v>
      </c>
    </row>
    <row r="106">
      <c r="A106" s="32" t="str">
        <f t="array" ref="A106">XLOOKUP($E106,'Player Database'!$B$2:$B758,'Player Database'!$C$2:$C758)</f>
        <v>#N/A</v>
      </c>
      <c r="B106" s="32" t="str">
        <f t="array" ref="B106">XLOOKUP($E106,'Player Database'!$B$2:$B758,'Player Database'!$E$2:$E758)</f>
        <v>#N/A</v>
      </c>
      <c r="C106" s="32" t="str">
        <f t="array" ref="C106">XLOOKUP($E106,'Player Database'!$B$2:$B758,'Player Database'!$F$2:$F758)</f>
        <v>#N/A</v>
      </c>
      <c r="D106" s="106">
        <f>IFERROR(__xludf.DUMMYFUNCTION("""COMPUTED_VALUE"""),1.0)</f>
        <v>1</v>
      </c>
      <c r="E106" s="17"/>
      <c r="F106" s="18" t="str">
        <f t="array" ref="F106">XLOOKUP($E106,'Player Database'!$B$2:$B758,'Player Database'!$K$2:$K758)</f>
        <v>#N/A</v>
      </c>
      <c r="G106" s="18" t="str">
        <f t="array" ref="G106">XLOOKUP($E106,'Player Database'!$B$2:$B758,'Player Database'!$H$2:$H758)</f>
        <v>#N/A</v>
      </c>
      <c r="H106" s="18" t="str">
        <f t="array" ref="H106">XLOOKUP($E106,'Player Database'!$B$2:$B758,'Player Database'!$O$2:$O758)</f>
        <v>#N/A</v>
      </c>
      <c r="I106" s="18" t="str">
        <f t="array" ref="I106">XLOOKUP($E106,'Player Database'!$B$2:$B758,'Player Database'!$P$2:$P758)</f>
        <v>#N/A</v>
      </c>
      <c r="J106" s="20" t="str">
        <f t="array" ref="J106">XLOOKUP($E106,'Player Database'!$B$2:$B758,'Player Database'!$U$2:$U758)</f>
        <v>#N/A</v>
      </c>
      <c r="K106" s="22" t="str">
        <f>VLOOKUP(E106, 'Player Database'!B:AE, 30, FALSE)</f>
        <v>#N/A</v>
      </c>
      <c r="L106" s="22" t="str">
        <f t="array" ref="L106">XLOOKUP($E106,'Player Database'!$B$2:$B758,'Player Database'!$W$2:$W758)</f>
        <v>#N/A</v>
      </c>
      <c r="M106" s="23" t="str">
        <f t="shared" si="1"/>
        <v>0 - 0</v>
      </c>
      <c r="N106" s="24" t="str">
        <f t="array" ref="N106">IF(XLOOKUP($E106,'Player Database'!$B$2:$B758,'Player Database'!$AA$2:$AA758)="",XLOOKUP($E106,'Player Database'!$B$2:$B758,'Player Database'!$G$2:$G758),XLOOKUP($E106,'Player Database'!$B$2:$B758,'Player Database'!$AA$2:$AA758))</f>
        <v>#N/A</v>
      </c>
      <c r="O106" s="27">
        <f>COUNTIFs(Matches!$B:$B,E106,Matches!$A:$A,"&gt;"&amp;Q106,Matches!$A:$A,"&lt;"&amp;R106)</f>
        <v>0</v>
      </c>
      <c r="P106" s="27">
        <f>COUNTIFs(Matches!$C:$C,E106,Matches!$A:$A,"&gt;"&amp;Q106,Matches!$A:$A,"&lt;"&amp;R106)</f>
        <v>0</v>
      </c>
      <c r="Q106" s="28">
        <f>VLOOKUP($C$2,Quotas!$A$7:$E$14,2,FALSE)</f>
        <v>46213.70833</v>
      </c>
      <c r="R106" s="28">
        <f>VLOOKUP($C$2,Quotas!$A$7:$E$14,3,FALSE)</f>
        <v>46220.70833</v>
      </c>
    </row>
    <row r="107">
      <c r="A107" s="32" t="str">
        <f t="array" ref="A107">XLOOKUP($E107,'Player Database'!$B$2:$B758,'Player Database'!$C$2:$C758)</f>
        <v>#N/A</v>
      </c>
      <c r="B107" s="32" t="str">
        <f t="array" ref="B107">XLOOKUP($E107,'Player Database'!$B$2:$B758,'Player Database'!$E$2:$E758)</f>
        <v>#N/A</v>
      </c>
      <c r="C107" s="32" t="str">
        <f t="array" ref="C107">XLOOKUP($E107,'Player Database'!$B$2:$B758,'Player Database'!$F$2:$F758)</f>
        <v>#N/A</v>
      </c>
      <c r="D107" s="106">
        <f>IFERROR(__xludf.DUMMYFUNCTION("""COMPUTED_VALUE"""),1.0)</f>
        <v>1</v>
      </c>
      <c r="E107" s="17"/>
      <c r="F107" s="18" t="str">
        <f t="array" ref="F107">XLOOKUP($E107,'Player Database'!$B$2:$B758,'Player Database'!$K$2:$K758)</f>
        <v>#N/A</v>
      </c>
      <c r="G107" s="18" t="str">
        <f t="array" ref="G107">XLOOKUP($E107,'Player Database'!$B$2:$B758,'Player Database'!$H$2:$H758)</f>
        <v>#N/A</v>
      </c>
      <c r="H107" s="18" t="str">
        <f t="array" ref="H107">XLOOKUP($E107,'Player Database'!$B$2:$B758,'Player Database'!$O$2:$O758)</f>
        <v>#N/A</v>
      </c>
      <c r="I107" s="18" t="str">
        <f t="array" ref="I107">XLOOKUP($E107,'Player Database'!$B$2:$B758,'Player Database'!$P$2:$P758)</f>
        <v>#N/A</v>
      </c>
      <c r="J107" s="20" t="str">
        <f t="array" ref="J107">XLOOKUP($E107,'Player Database'!$B$2:$B758,'Player Database'!$U$2:$U758)</f>
        <v>#N/A</v>
      </c>
      <c r="K107" s="22" t="str">
        <f>VLOOKUP(E107, 'Player Database'!B:AE, 30, FALSE)</f>
        <v>#N/A</v>
      </c>
      <c r="L107" s="22" t="str">
        <f t="array" ref="L107">XLOOKUP($E107,'Player Database'!$B$2:$B758,'Player Database'!$W$2:$W758)</f>
        <v>#N/A</v>
      </c>
      <c r="M107" s="23" t="str">
        <f t="shared" si="1"/>
        <v>0 - 0</v>
      </c>
      <c r="N107" s="24" t="str">
        <f t="array" ref="N107">IF(XLOOKUP($E107,'Player Database'!$B$2:$B758,'Player Database'!$AA$2:$AA758)="",XLOOKUP($E107,'Player Database'!$B$2:$B758,'Player Database'!$G$2:$G758),XLOOKUP($E107,'Player Database'!$B$2:$B758,'Player Database'!$AA$2:$AA758))</f>
        <v>#N/A</v>
      </c>
      <c r="O107" s="27">
        <f>COUNTIFs(Matches!$B:$B,E107,Matches!$A:$A,"&gt;"&amp;Q107,Matches!$A:$A,"&lt;"&amp;R107)</f>
        <v>0</v>
      </c>
      <c r="P107" s="27">
        <f>COUNTIFs(Matches!$C:$C,E107,Matches!$A:$A,"&gt;"&amp;Q107,Matches!$A:$A,"&lt;"&amp;R107)</f>
        <v>0</v>
      </c>
      <c r="Q107" s="28">
        <f>VLOOKUP($C$2,Quotas!$A$7:$E$14,2,FALSE)</f>
        <v>46213.70833</v>
      </c>
      <c r="R107" s="28">
        <f>VLOOKUP($C$2,Quotas!$A$7:$E$14,3,FALSE)</f>
        <v>46220.70833</v>
      </c>
    </row>
    <row r="108">
      <c r="A108" s="32" t="str">
        <f t="array" ref="A108">XLOOKUP($E108,'Player Database'!$B$2:$B758,'Player Database'!$C$2:$C758)</f>
        <v>#N/A</v>
      </c>
      <c r="B108" s="32" t="str">
        <f t="array" ref="B108">XLOOKUP($E108,'Player Database'!$B$2:$B758,'Player Database'!$E$2:$E758)</f>
        <v>#N/A</v>
      </c>
      <c r="C108" s="32" t="str">
        <f t="array" ref="C108">XLOOKUP($E108,'Player Database'!$B$2:$B758,'Player Database'!$F$2:$F758)</f>
        <v>#N/A</v>
      </c>
      <c r="D108" s="106">
        <f>IFERROR(__xludf.DUMMYFUNCTION("""COMPUTED_VALUE"""),1.0)</f>
        <v>1</v>
      </c>
      <c r="E108" s="17"/>
      <c r="F108" s="18" t="str">
        <f t="array" ref="F108">XLOOKUP($E108,'Player Database'!$B$2:$B758,'Player Database'!$K$2:$K758)</f>
        <v>#N/A</v>
      </c>
      <c r="G108" s="18" t="str">
        <f t="array" ref="G108">XLOOKUP($E108,'Player Database'!$B$2:$B758,'Player Database'!$H$2:$H758)</f>
        <v>#N/A</v>
      </c>
      <c r="H108" s="18" t="str">
        <f t="array" ref="H108">XLOOKUP($E108,'Player Database'!$B$2:$B758,'Player Database'!$O$2:$O758)</f>
        <v>#N/A</v>
      </c>
      <c r="I108" s="18" t="str">
        <f t="array" ref="I108">XLOOKUP($E108,'Player Database'!$B$2:$B758,'Player Database'!$P$2:$P758)</f>
        <v>#N/A</v>
      </c>
      <c r="J108" s="20" t="str">
        <f t="array" ref="J108">XLOOKUP($E108,'Player Database'!$B$2:$B758,'Player Database'!$U$2:$U758)</f>
        <v>#N/A</v>
      </c>
      <c r="K108" s="22" t="str">
        <f>VLOOKUP(E108, 'Player Database'!B:AE, 30, FALSE)</f>
        <v>#N/A</v>
      </c>
      <c r="L108" s="22" t="str">
        <f t="array" ref="L108">XLOOKUP($E108,'Player Database'!$B$2:$B758,'Player Database'!$W$2:$W758)</f>
        <v>#N/A</v>
      </c>
      <c r="M108" s="23" t="str">
        <f t="shared" si="1"/>
        <v>0 - 0</v>
      </c>
      <c r="N108" s="24" t="str">
        <f t="array" ref="N108">IF(XLOOKUP($E108,'Player Database'!$B$2:$B758,'Player Database'!$AA$2:$AA758)="",XLOOKUP($E108,'Player Database'!$B$2:$B758,'Player Database'!$G$2:$G758),XLOOKUP($E108,'Player Database'!$B$2:$B758,'Player Database'!$AA$2:$AA758))</f>
        <v>#N/A</v>
      </c>
      <c r="O108" s="27">
        <f>COUNTIFs(Matches!$B:$B,E108,Matches!$A:$A,"&gt;"&amp;Q108,Matches!$A:$A,"&lt;"&amp;R108)</f>
        <v>0</v>
      </c>
      <c r="P108" s="27">
        <f>COUNTIFs(Matches!$C:$C,E108,Matches!$A:$A,"&gt;"&amp;Q108,Matches!$A:$A,"&lt;"&amp;R108)</f>
        <v>0</v>
      </c>
      <c r="Q108" s="28">
        <f>VLOOKUP($C$2,Quotas!$A$7:$E$14,2,FALSE)</f>
        <v>46213.70833</v>
      </c>
      <c r="R108" s="28">
        <f>VLOOKUP($C$2,Quotas!$A$7:$E$14,3,FALSE)</f>
        <v>46220.70833</v>
      </c>
    </row>
    <row r="109">
      <c r="A109" s="32" t="str">
        <f t="array" ref="A109">XLOOKUP($E109,'Player Database'!$B$2:$B758,'Player Database'!$C$2:$C758)</f>
        <v>#N/A</v>
      </c>
      <c r="B109" s="32" t="str">
        <f t="array" ref="B109">XLOOKUP($E109,'Player Database'!$B$2:$B758,'Player Database'!$E$2:$E758)</f>
        <v>#N/A</v>
      </c>
      <c r="C109" s="32" t="str">
        <f t="array" ref="C109">XLOOKUP($E109,'Player Database'!$B$2:$B758,'Player Database'!$F$2:$F758)</f>
        <v>#N/A</v>
      </c>
      <c r="D109" s="106">
        <f>IFERROR(__xludf.DUMMYFUNCTION("""COMPUTED_VALUE"""),1.0)</f>
        <v>1</v>
      </c>
      <c r="E109" s="17"/>
      <c r="F109" s="18" t="str">
        <f t="array" ref="F109">XLOOKUP($E109,'Player Database'!$B$2:$B758,'Player Database'!$K$2:$K758)</f>
        <v>#N/A</v>
      </c>
      <c r="G109" s="18" t="str">
        <f t="array" ref="G109">XLOOKUP($E109,'Player Database'!$B$2:$B758,'Player Database'!$H$2:$H758)</f>
        <v>#N/A</v>
      </c>
      <c r="H109" s="18" t="str">
        <f t="array" ref="H109">XLOOKUP($E109,'Player Database'!$B$2:$B758,'Player Database'!$O$2:$O758)</f>
        <v>#N/A</v>
      </c>
      <c r="I109" s="18" t="str">
        <f t="array" ref="I109">XLOOKUP($E109,'Player Database'!$B$2:$B758,'Player Database'!$P$2:$P758)</f>
        <v>#N/A</v>
      </c>
      <c r="J109" s="20" t="str">
        <f t="array" ref="J109">XLOOKUP($E109,'Player Database'!$B$2:$B758,'Player Database'!$U$2:$U758)</f>
        <v>#N/A</v>
      </c>
      <c r="K109" s="22" t="str">
        <f>VLOOKUP(E109, 'Player Database'!B:AE, 30, FALSE)</f>
        <v>#N/A</v>
      </c>
      <c r="L109" s="22" t="str">
        <f t="array" ref="L109">XLOOKUP($E109,'Player Database'!$B$2:$B758,'Player Database'!$W$2:$W758)</f>
        <v>#N/A</v>
      </c>
      <c r="M109" s="23" t="str">
        <f t="shared" si="1"/>
        <v>0 - 0</v>
      </c>
      <c r="N109" s="24" t="str">
        <f t="array" ref="N109">IF(XLOOKUP($E109,'Player Database'!$B$2:$B758,'Player Database'!$AA$2:$AA758)="",XLOOKUP($E109,'Player Database'!$B$2:$B758,'Player Database'!$G$2:$G758),XLOOKUP($E109,'Player Database'!$B$2:$B758,'Player Database'!$AA$2:$AA758))</f>
        <v>#N/A</v>
      </c>
      <c r="O109" s="27">
        <f>COUNTIFs(Matches!$B:$B,E109,Matches!$A:$A,"&gt;"&amp;Q109,Matches!$A:$A,"&lt;"&amp;R109)</f>
        <v>0</v>
      </c>
      <c r="P109" s="27">
        <f>COUNTIFs(Matches!$C:$C,E109,Matches!$A:$A,"&gt;"&amp;Q109,Matches!$A:$A,"&lt;"&amp;R109)</f>
        <v>0</v>
      </c>
      <c r="Q109" s="28">
        <f>VLOOKUP($C$2,Quotas!$A$7:$E$14,2,FALSE)</f>
        <v>46213.70833</v>
      </c>
      <c r="R109" s="28">
        <f>VLOOKUP($C$2,Quotas!$A$7:$E$14,3,FALSE)</f>
        <v>46220.70833</v>
      </c>
    </row>
    <row r="110">
      <c r="A110" s="32" t="str">
        <f t="array" ref="A110">XLOOKUP($E110,'Player Database'!$B$2:$B758,'Player Database'!$C$2:$C758)</f>
        <v>#N/A</v>
      </c>
      <c r="B110" s="32" t="str">
        <f t="array" ref="B110">XLOOKUP($E110,'Player Database'!$B$2:$B758,'Player Database'!$E$2:$E758)</f>
        <v>#N/A</v>
      </c>
      <c r="C110" s="32" t="str">
        <f t="array" ref="C110">XLOOKUP($E110,'Player Database'!$B$2:$B758,'Player Database'!$F$2:$F758)</f>
        <v>#N/A</v>
      </c>
      <c r="D110" s="106">
        <f>IFERROR(__xludf.DUMMYFUNCTION("""COMPUTED_VALUE"""),1.0)</f>
        <v>1</v>
      </c>
      <c r="E110" s="17"/>
      <c r="F110" s="18" t="str">
        <f t="array" ref="F110">XLOOKUP($E110,'Player Database'!$B$2:$B758,'Player Database'!$K$2:$K758)</f>
        <v>#N/A</v>
      </c>
      <c r="G110" s="18" t="str">
        <f t="array" ref="G110">XLOOKUP($E110,'Player Database'!$B$2:$B758,'Player Database'!$H$2:$H758)</f>
        <v>#N/A</v>
      </c>
      <c r="H110" s="18" t="str">
        <f t="array" ref="H110">XLOOKUP($E110,'Player Database'!$B$2:$B758,'Player Database'!$O$2:$O758)</f>
        <v>#N/A</v>
      </c>
      <c r="I110" s="18" t="str">
        <f t="array" ref="I110">XLOOKUP($E110,'Player Database'!$B$2:$B758,'Player Database'!$P$2:$P758)</f>
        <v>#N/A</v>
      </c>
      <c r="J110" s="20" t="str">
        <f t="array" ref="J110">XLOOKUP($E110,'Player Database'!$B$2:$B758,'Player Database'!$U$2:$U758)</f>
        <v>#N/A</v>
      </c>
      <c r="K110" s="22" t="str">
        <f>VLOOKUP(E110, 'Player Database'!B:AE, 30, FALSE)</f>
        <v>#N/A</v>
      </c>
      <c r="L110" s="22" t="str">
        <f t="array" ref="L110">XLOOKUP($E110,'Player Database'!$B$2:$B758,'Player Database'!$W$2:$W758)</f>
        <v>#N/A</v>
      </c>
      <c r="M110" s="23" t="str">
        <f t="shared" si="1"/>
        <v>0 - 0</v>
      </c>
      <c r="N110" s="24" t="str">
        <f t="array" ref="N110">IF(XLOOKUP($E110,'Player Database'!$B$2:$B758,'Player Database'!$AA$2:$AA758)="",XLOOKUP($E110,'Player Database'!$B$2:$B758,'Player Database'!$G$2:$G758),XLOOKUP($E110,'Player Database'!$B$2:$B758,'Player Database'!$AA$2:$AA758))</f>
        <v>#N/A</v>
      </c>
      <c r="O110" s="27">
        <f>COUNTIFs(Matches!$B:$B,E110,Matches!$A:$A,"&gt;"&amp;Q110,Matches!$A:$A,"&lt;"&amp;R110)</f>
        <v>0</v>
      </c>
      <c r="P110" s="27">
        <f>COUNTIFs(Matches!$C:$C,E110,Matches!$A:$A,"&gt;"&amp;Q110,Matches!$A:$A,"&lt;"&amp;R110)</f>
        <v>0</v>
      </c>
      <c r="Q110" s="28">
        <f>VLOOKUP($C$2,Quotas!$A$7:$E$14,2,FALSE)</f>
        <v>46213.70833</v>
      </c>
      <c r="R110" s="28">
        <f>VLOOKUP($C$2,Quotas!$A$7:$E$14,3,FALSE)</f>
        <v>46220.70833</v>
      </c>
    </row>
    <row r="111">
      <c r="A111" s="32" t="str">
        <f t="array" ref="A111">XLOOKUP($E111,'Player Database'!$B$2:$B758,'Player Database'!$C$2:$C758)</f>
        <v>#N/A</v>
      </c>
      <c r="B111" s="32" t="str">
        <f t="array" ref="B111">XLOOKUP($E111,'Player Database'!$B$2:$B758,'Player Database'!$E$2:$E758)</f>
        <v>#N/A</v>
      </c>
      <c r="C111" s="32" t="str">
        <f t="array" ref="C111">XLOOKUP($E111,'Player Database'!$B$2:$B758,'Player Database'!$F$2:$F758)</f>
        <v>#N/A</v>
      </c>
      <c r="D111" s="106">
        <f>IFERROR(__xludf.DUMMYFUNCTION("""COMPUTED_VALUE"""),1.0)</f>
        <v>1</v>
      </c>
      <c r="E111" s="17"/>
      <c r="F111" s="18" t="str">
        <f t="array" ref="F111">XLOOKUP($E111,'Player Database'!$B$2:$B758,'Player Database'!$K$2:$K758)</f>
        <v>#N/A</v>
      </c>
      <c r="G111" s="18" t="str">
        <f t="array" ref="G111">XLOOKUP($E111,'Player Database'!$B$2:$B758,'Player Database'!$H$2:$H758)</f>
        <v>#N/A</v>
      </c>
      <c r="H111" s="18" t="str">
        <f t="array" ref="H111">XLOOKUP($E111,'Player Database'!$B$2:$B758,'Player Database'!$O$2:$O758)</f>
        <v>#N/A</v>
      </c>
      <c r="I111" s="18" t="str">
        <f t="array" ref="I111">XLOOKUP($E111,'Player Database'!$B$2:$B758,'Player Database'!$P$2:$P758)</f>
        <v>#N/A</v>
      </c>
      <c r="J111" s="20" t="str">
        <f t="array" ref="J111">XLOOKUP($E111,'Player Database'!$B$2:$B758,'Player Database'!$U$2:$U758)</f>
        <v>#N/A</v>
      </c>
      <c r="K111" s="22" t="str">
        <f>VLOOKUP(E111, 'Player Database'!B:AE, 30, FALSE)</f>
        <v>#N/A</v>
      </c>
      <c r="L111" s="22" t="str">
        <f t="array" ref="L111">XLOOKUP($E111,'Player Database'!$B$2:$B758,'Player Database'!$W$2:$W758)</f>
        <v>#N/A</v>
      </c>
      <c r="M111" s="23" t="str">
        <f t="shared" si="1"/>
        <v>0 - 0</v>
      </c>
      <c r="N111" s="24" t="str">
        <f t="array" ref="N111">IF(XLOOKUP($E111,'Player Database'!$B$2:$B758,'Player Database'!$AA$2:$AA758)="",XLOOKUP($E111,'Player Database'!$B$2:$B758,'Player Database'!$G$2:$G758),XLOOKUP($E111,'Player Database'!$B$2:$B758,'Player Database'!$AA$2:$AA758))</f>
        <v>#N/A</v>
      </c>
      <c r="O111" s="27">
        <f>COUNTIFs(Matches!$B:$B,E111,Matches!$A:$A,"&gt;"&amp;Q111,Matches!$A:$A,"&lt;"&amp;R111)</f>
        <v>0</v>
      </c>
      <c r="P111" s="27">
        <f>COUNTIFs(Matches!$C:$C,E111,Matches!$A:$A,"&gt;"&amp;Q111,Matches!$A:$A,"&lt;"&amp;R111)</f>
        <v>0</v>
      </c>
      <c r="Q111" s="28">
        <f>VLOOKUP($C$2,Quotas!$A$7:$E$14,2,FALSE)</f>
        <v>46213.70833</v>
      </c>
      <c r="R111" s="28">
        <f>VLOOKUP($C$2,Quotas!$A$7:$E$14,3,FALSE)</f>
        <v>46220.70833</v>
      </c>
    </row>
    <row r="112">
      <c r="A112" s="32" t="str">
        <f t="array" ref="A112">XLOOKUP($E112,'Player Database'!$B$2:$B758,'Player Database'!$C$2:$C758)</f>
        <v>#N/A</v>
      </c>
      <c r="B112" s="32" t="str">
        <f t="array" ref="B112">XLOOKUP($E112,'Player Database'!$B$2:$B758,'Player Database'!$E$2:$E758)</f>
        <v>#N/A</v>
      </c>
      <c r="C112" s="32" t="str">
        <f t="array" ref="C112">XLOOKUP($E112,'Player Database'!$B$2:$B758,'Player Database'!$F$2:$F758)</f>
        <v>#N/A</v>
      </c>
      <c r="D112" s="106">
        <f>IFERROR(__xludf.DUMMYFUNCTION("""COMPUTED_VALUE"""),1.0)</f>
        <v>1</v>
      </c>
      <c r="E112" s="17"/>
      <c r="F112" s="18" t="str">
        <f t="array" ref="F112">XLOOKUP($E112,'Player Database'!$B$2:$B758,'Player Database'!$K$2:$K758)</f>
        <v>#N/A</v>
      </c>
      <c r="G112" s="18" t="str">
        <f t="array" ref="G112">XLOOKUP($E112,'Player Database'!$B$2:$B758,'Player Database'!$H$2:$H758)</f>
        <v>#N/A</v>
      </c>
      <c r="H112" s="18" t="str">
        <f t="array" ref="H112">XLOOKUP($E112,'Player Database'!$B$2:$B758,'Player Database'!$O$2:$O758)</f>
        <v>#N/A</v>
      </c>
      <c r="I112" s="18" t="str">
        <f t="array" ref="I112">XLOOKUP($E112,'Player Database'!$B$2:$B758,'Player Database'!$P$2:$P758)</f>
        <v>#N/A</v>
      </c>
      <c r="J112" s="20" t="str">
        <f t="array" ref="J112">XLOOKUP($E112,'Player Database'!$B$2:$B758,'Player Database'!$U$2:$U758)</f>
        <v>#N/A</v>
      </c>
      <c r="K112" s="22" t="str">
        <f>VLOOKUP(E112, 'Player Database'!B:AE, 30, FALSE)</f>
        <v>#N/A</v>
      </c>
      <c r="L112" s="22" t="str">
        <f t="array" ref="L112">XLOOKUP($E112,'Player Database'!$B$2:$B758,'Player Database'!$W$2:$W758)</f>
        <v>#N/A</v>
      </c>
      <c r="M112" s="23" t="str">
        <f t="shared" si="1"/>
        <v>0 - 0</v>
      </c>
      <c r="N112" s="24" t="str">
        <f t="array" ref="N112">IF(XLOOKUP($E112,'Player Database'!$B$2:$B758,'Player Database'!$AA$2:$AA758)="",XLOOKUP($E112,'Player Database'!$B$2:$B758,'Player Database'!$G$2:$G758),XLOOKUP($E112,'Player Database'!$B$2:$B758,'Player Database'!$AA$2:$AA758))</f>
        <v>#N/A</v>
      </c>
      <c r="O112" s="27">
        <f>COUNTIFs(Matches!$B:$B,E112,Matches!$A:$A,"&gt;"&amp;Q112,Matches!$A:$A,"&lt;"&amp;R112)</f>
        <v>0</v>
      </c>
      <c r="P112" s="27">
        <f>COUNTIFs(Matches!$C:$C,E112,Matches!$A:$A,"&gt;"&amp;Q112,Matches!$A:$A,"&lt;"&amp;R112)</f>
        <v>0</v>
      </c>
      <c r="Q112" s="28">
        <f>VLOOKUP($C$2,Quotas!$A$7:$E$14,2,FALSE)</f>
        <v>46213.70833</v>
      </c>
      <c r="R112" s="28">
        <f>VLOOKUP($C$2,Quotas!$A$7:$E$14,3,FALSE)</f>
        <v>46220.70833</v>
      </c>
    </row>
    <row r="113">
      <c r="A113" s="32" t="str">
        <f t="array" ref="A113">XLOOKUP($E113,'Player Database'!$B$2:$B758,'Player Database'!$C$2:$C758)</f>
        <v>#N/A</v>
      </c>
      <c r="B113" s="32" t="str">
        <f t="array" ref="B113">XLOOKUP($E113,'Player Database'!$B$2:$B758,'Player Database'!$E$2:$E758)</f>
        <v>#N/A</v>
      </c>
      <c r="C113" s="32" t="str">
        <f t="array" ref="C113">XLOOKUP($E113,'Player Database'!$B$2:$B758,'Player Database'!$F$2:$F758)</f>
        <v>#N/A</v>
      </c>
      <c r="D113" s="106">
        <f>IFERROR(__xludf.DUMMYFUNCTION("""COMPUTED_VALUE"""),1.0)</f>
        <v>1</v>
      </c>
      <c r="E113" s="17"/>
      <c r="F113" s="18" t="str">
        <f t="array" ref="F113">XLOOKUP($E113,'Player Database'!$B$2:$B758,'Player Database'!$K$2:$K758)</f>
        <v>#N/A</v>
      </c>
      <c r="G113" s="18" t="str">
        <f t="array" ref="G113">XLOOKUP($E113,'Player Database'!$B$2:$B758,'Player Database'!$H$2:$H758)</f>
        <v>#N/A</v>
      </c>
      <c r="H113" s="18" t="str">
        <f t="array" ref="H113">XLOOKUP($E113,'Player Database'!$B$2:$B758,'Player Database'!$O$2:$O758)</f>
        <v>#N/A</v>
      </c>
      <c r="I113" s="18" t="str">
        <f t="array" ref="I113">XLOOKUP($E113,'Player Database'!$B$2:$B758,'Player Database'!$P$2:$P758)</f>
        <v>#N/A</v>
      </c>
      <c r="J113" s="20" t="str">
        <f t="array" ref="J113">XLOOKUP($E113,'Player Database'!$B$2:$B758,'Player Database'!$U$2:$U758)</f>
        <v>#N/A</v>
      </c>
      <c r="K113" s="22" t="str">
        <f>VLOOKUP(E113, 'Player Database'!B:AE, 30, FALSE)</f>
        <v>#N/A</v>
      </c>
      <c r="L113" s="22" t="str">
        <f t="array" ref="L113">XLOOKUP($E113,'Player Database'!$B$2:$B758,'Player Database'!$W$2:$W758)</f>
        <v>#N/A</v>
      </c>
      <c r="M113" s="23" t="str">
        <f t="shared" si="1"/>
        <v>0 - 0</v>
      </c>
      <c r="N113" s="24" t="str">
        <f t="array" ref="N113">IF(XLOOKUP($E113,'Player Database'!$B$2:$B758,'Player Database'!$AA$2:$AA758)="",XLOOKUP($E113,'Player Database'!$B$2:$B758,'Player Database'!$G$2:$G758),XLOOKUP($E113,'Player Database'!$B$2:$B758,'Player Database'!$AA$2:$AA758))</f>
        <v>#N/A</v>
      </c>
      <c r="O113" s="27">
        <f>COUNTIFs(Matches!$B:$B,E113,Matches!$A:$A,"&gt;"&amp;Q113,Matches!$A:$A,"&lt;"&amp;R113)</f>
        <v>0</v>
      </c>
      <c r="P113" s="27">
        <f>COUNTIFs(Matches!$C:$C,E113,Matches!$A:$A,"&gt;"&amp;Q113,Matches!$A:$A,"&lt;"&amp;R113)</f>
        <v>0</v>
      </c>
      <c r="Q113" s="28">
        <f>VLOOKUP($C$2,Quotas!$A$7:$E$14,2,FALSE)</f>
        <v>46213.70833</v>
      </c>
      <c r="R113" s="28">
        <f>VLOOKUP($C$2,Quotas!$A$7:$E$14,3,FALSE)</f>
        <v>46220.70833</v>
      </c>
    </row>
    <row r="114">
      <c r="A114" s="32" t="str">
        <f t="array" ref="A114">XLOOKUP($E114,'Player Database'!$B$2:$B758,'Player Database'!$C$2:$C758)</f>
        <v>#N/A</v>
      </c>
      <c r="B114" s="32" t="str">
        <f t="array" ref="B114">XLOOKUP($E114,'Player Database'!$B$2:$B758,'Player Database'!$E$2:$E758)</f>
        <v>#N/A</v>
      </c>
      <c r="C114" s="32" t="str">
        <f t="array" ref="C114">XLOOKUP($E114,'Player Database'!$B$2:$B758,'Player Database'!$F$2:$F758)</f>
        <v>#N/A</v>
      </c>
      <c r="D114" s="106">
        <f>IFERROR(__xludf.DUMMYFUNCTION("""COMPUTED_VALUE"""),1.0)</f>
        <v>1</v>
      </c>
      <c r="E114" s="17"/>
      <c r="F114" s="18" t="str">
        <f t="array" ref="F114">XLOOKUP($E114,'Player Database'!$B$2:$B758,'Player Database'!$K$2:$K758)</f>
        <v>#N/A</v>
      </c>
      <c r="G114" s="18" t="str">
        <f t="array" ref="G114">XLOOKUP($E114,'Player Database'!$B$2:$B758,'Player Database'!$H$2:$H758)</f>
        <v>#N/A</v>
      </c>
      <c r="H114" s="18" t="str">
        <f t="array" ref="H114">XLOOKUP($E114,'Player Database'!$B$2:$B758,'Player Database'!$O$2:$O758)</f>
        <v>#N/A</v>
      </c>
      <c r="I114" s="18" t="str">
        <f t="array" ref="I114">XLOOKUP($E114,'Player Database'!$B$2:$B758,'Player Database'!$P$2:$P758)</f>
        <v>#N/A</v>
      </c>
      <c r="J114" s="20" t="str">
        <f t="array" ref="J114">XLOOKUP($E114,'Player Database'!$B$2:$B758,'Player Database'!$U$2:$U758)</f>
        <v>#N/A</v>
      </c>
      <c r="K114" s="22" t="str">
        <f>VLOOKUP(E114, 'Player Database'!B:AE, 30, FALSE)</f>
        <v>#N/A</v>
      </c>
      <c r="L114" s="22" t="str">
        <f t="array" ref="L114">XLOOKUP($E114,'Player Database'!$B$2:$B758,'Player Database'!$W$2:$W758)</f>
        <v>#N/A</v>
      </c>
      <c r="M114" s="23" t="str">
        <f t="shared" si="1"/>
        <v>0 - 0</v>
      </c>
      <c r="N114" s="24" t="str">
        <f t="array" ref="N114">IF(XLOOKUP($E114,'Player Database'!$B$2:$B758,'Player Database'!$AA$2:$AA758)="",XLOOKUP($E114,'Player Database'!$B$2:$B758,'Player Database'!$G$2:$G758),XLOOKUP($E114,'Player Database'!$B$2:$B758,'Player Database'!$AA$2:$AA758))</f>
        <v>#N/A</v>
      </c>
      <c r="O114" s="27">
        <f>COUNTIFs(Matches!$B:$B,E114,Matches!$A:$A,"&gt;"&amp;Q114,Matches!$A:$A,"&lt;"&amp;R114)</f>
        <v>0</v>
      </c>
      <c r="P114" s="27">
        <f>COUNTIFs(Matches!$C:$C,E114,Matches!$A:$A,"&gt;"&amp;Q114,Matches!$A:$A,"&lt;"&amp;R114)</f>
        <v>0</v>
      </c>
      <c r="Q114" s="28">
        <f>VLOOKUP($C$2,Quotas!$A$7:$E$14,2,FALSE)</f>
        <v>46213.70833</v>
      </c>
      <c r="R114" s="28">
        <f>VLOOKUP($C$2,Quotas!$A$7:$E$14,3,FALSE)</f>
        <v>46220.70833</v>
      </c>
    </row>
    <row r="115">
      <c r="A115" s="32" t="str">
        <f t="array" ref="A115">XLOOKUP($E115,'Player Database'!$B$2:$B758,'Player Database'!$C$2:$C758)</f>
        <v>#N/A</v>
      </c>
      <c r="B115" s="32" t="str">
        <f t="array" ref="B115">XLOOKUP($E115,'Player Database'!$B$2:$B758,'Player Database'!$E$2:$E758)</f>
        <v>#N/A</v>
      </c>
      <c r="C115" s="32" t="str">
        <f t="array" ref="C115">XLOOKUP($E115,'Player Database'!$B$2:$B758,'Player Database'!$F$2:$F758)</f>
        <v>#N/A</v>
      </c>
      <c r="D115" s="106">
        <f>IFERROR(__xludf.DUMMYFUNCTION("""COMPUTED_VALUE"""),1.0)</f>
        <v>1</v>
      </c>
      <c r="E115" s="17"/>
      <c r="F115" s="18" t="str">
        <f t="array" ref="F115">XLOOKUP($E115,'Player Database'!$B$2:$B758,'Player Database'!$K$2:$K758)</f>
        <v>#N/A</v>
      </c>
      <c r="G115" s="18" t="str">
        <f t="array" ref="G115">XLOOKUP($E115,'Player Database'!$B$2:$B758,'Player Database'!$H$2:$H758)</f>
        <v>#N/A</v>
      </c>
      <c r="H115" s="18" t="str">
        <f t="array" ref="H115">XLOOKUP($E115,'Player Database'!$B$2:$B758,'Player Database'!$O$2:$O758)</f>
        <v>#N/A</v>
      </c>
      <c r="I115" s="18" t="str">
        <f t="array" ref="I115">XLOOKUP($E115,'Player Database'!$B$2:$B758,'Player Database'!$P$2:$P758)</f>
        <v>#N/A</v>
      </c>
      <c r="J115" s="20" t="str">
        <f t="array" ref="J115">XLOOKUP($E115,'Player Database'!$B$2:$B758,'Player Database'!$U$2:$U758)</f>
        <v>#N/A</v>
      </c>
      <c r="K115" s="22" t="str">
        <f>VLOOKUP(E115, 'Player Database'!B:AE, 30, FALSE)</f>
        <v>#N/A</v>
      </c>
      <c r="L115" s="22" t="str">
        <f t="array" ref="L115">XLOOKUP($E115,'Player Database'!$B$2:$B758,'Player Database'!$W$2:$W758)</f>
        <v>#N/A</v>
      </c>
      <c r="M115" s="23" t="str">
        <f t="shared" si="1"/>
        <v>0 - 0</v>
      </c>
      <c r="N115" s="24" t="str">
        <f t="array" ref="N115">IF(XLOOKUP($E115,'Player Database'!$B$2:$B758,'Player Database'!$AA$2:$AA758)="",XLOOKUP($E115,'Player Database'!$B$2:$B758,'Player Database'!$G$2:$G758),XLOOKUP($E115,'Player Database'!$B$2:$B758,'Player Database'!$AA$2:$AA758))</f>
        <v>#N/A</v>
      </c>
      <c r="O115" s="27">
        <f>COUNTIFs(Matches!$B:$B,E115,Matches!$A:$A,"&gt;"&amp;Q115,Matches!$A:$A,"&lt;"&amp;R115)</f>
        <v>0</v>
      </c>
      <c r="P115" s="27">
        <f>COUNTIFs(Matches!$C:$C,E115,Matches!$A:$A,"&gt;"&amp;Q115,Matches!$A:$A,"&lt;"&amp;R115)</f>
        <v>0</v>
      </c>
      <c r="Q115" s="28">
        <f>VLOOKUP($C$2,Quotas!$A$7:$E$14,2,FALSE)</f>
        <v>46213.70833</v>
      </c>
      <c r="R115" s="28">
        <f>VLOOKUP($C$2,Quotas!$A$7:$E$14,3,FALSE)</f>
        <v>46220.70833</v>
      </c>
    </row>
    <row r="116">
      <c r="A116" s="32" t="str">
        <f t="array" ref="A116">XLOOKUP($E116,'Player Database'!$B$2:$B758,'Player Database'!$C$2:$C758)</f>
        <v>#N/A</v>
      </c>
      <c r="B116" s="32" t="str">
        <f t="array" ref="B116">XLOOKUP($E116,'Player Database'!$B$2:$B758,'Player Database'!$E$2:$E758)</f>
        <v>#N/A</v>
      </c>
      <c r="C116" s="32" t="str">
        <f t="array" ref="C116">XLOOKUP($E116,'Player Database'!$B$2:$B758,'Player Database'!$F$2:$F758)</f>
        <v>#N/A</v>
      </c>
      <c r="D116" s="106">
        <f>IFERROR(__xludf.DUMMYFUNCTION("""COMPUTED_VALUE"""),1.0)</f>
        <v>1</v>
      </c>
      <c r="E116" s="17"/>
      <c r="F116" s="18" t="str">
        <f t="array" ref="F116">XLOOKUP($E116,'Player Database'!$B$2:$B758,'Player Database'!$K$2:$K758)</f>
        <v>#N/A</v>
      </c>
      <c r="G116" s="18" t="str">
        <f t="array" ref="G116">XLOOKUP($E116,'Player Database'!$B$2:$B758,'Player Database'!$H$2:$H758)</f>
        <v>#N/A</v>
      </c>
      <c r="H116" s="18" t="str">
        <f t="array" ref="H116">XLOOKUP($E116,'Player Database'!$B$2:$B758,'Player Database'!$O$2:$O758)</f>
        <v>#N/A</v>
      </c>
      <c r="I116" s="18" t="str">
        <f t="array" ref="I116">XLOOKUP($E116,'Player Database'!$B$2:$B758,'Player Database'!$P$2:$P758)</f>
        <v>#N/A</v>
      </c>
      <c r="J116" s="20" t="str">
        <f t="array" ref="J116">XLOOKUP($E116,'Player Database'!$B$2:$B758,'Player Database'!$U$2:$U758)</f>
        <v>#N/A</v>
      </c>
      <c r="K116" s="22" t="str">
        <f>VLOOKUP(E116, 'Player Database'!B:AE, 30, FALSE)</f>
        <v>#N/A</v>
      </c>
      <c r="L116" s="22" t="str">
        <f t="array" ref="L116">XLOOKUP($E116,'Player Database'!$B$2:$B758,'Player Database'!$W$2:$W758)</f>
        <v>#N/A</v>
      </c>
      <c r="M116" s="23" t="str">
        <f t="shared" si="1"/>
        <v>0 - 0</v>
      </c>
      <c r="N116" s="24" t="str">
        <f t="array" ref="N116">IF(XLOOKUP($E116,'Player Database'!$B$2:$B758,'Player Database'!$AA$2:$AA758)="",XLOOKUP($E116,'Player Database'!$B$2:$B758,'Player Database'!$G$2:$G758),XLOOKUP($E116,'Player Database'!$B$2:$B758,'Player Database'!$AA$2:$AA758))</f>
        <v>#N/A</v>
      </c>
      <c r="O116" s="27">
        <f>COUNTIFs(Matches!$B:$B,E116,Matches!$A:$A,"&gt;"&amp;Q116,Matches!$A:$A,"&lt;"&amp;R116)</f>
        <v>0</v>
      </c>
      <c r="P116" s="27">
        <f>COUNTIFs(Matches!$C:$C,E116,Matches!$A:$A,"&gt;"&amp;Q116,Matches!$A:$A,"&lt;"&amp;R116)</f>
        <v>0</v>
      </c>
      <c r="Q116" s="28">
        <f>VLOOKUP($C$2,Quotas!$A$7:$E$14,2,FALSE)</f>
        <v>46213.70833</v>
      </c>
      <c r="R116" s="28">
        <f>VLOOKUP($C$2,Quotas!$A$7:$E$14,3,FALSE)</f>
        <v>46220.70833</v>
      </c>
    </row>
    <row r="117">
      <c r="A117" s="32" t="str">
        <f t="array" ref="A117">XLOOKUP($E117,'Player Database'!$B$2:$B758,'Player Database'!$C$2:$C758)</f>
        <v>#N/A</v>
      </c>
      <c r="B117" s="32" t="str">
        <f t="array" ref="B117">XLOOKUP($E117,'Player Database'!$B$2:$B758,'Player Database'!$E$2:$E758)</f>
        <v>#N/A</v>
      </c>
      <c r="C117" s="32" t="str">
        <f t="array" ref="C117">XLOOKUP($E117,'Player Database'!$B$2:$B758,'Player Database'!$F$2:$F758)</f>
        <v>#N/A</v>
      </c>
      <c r="D117" s="106">
        <f>IFERROR(__xludf.DUMMYFUNCTION("""COMPUTED_VALUE"""),1.0)</f>
        <v>1</v>
      </c>
      <c r="E117" s="17"/>
      <c r="F117" s="18" t="str">
        <f t="array" ref="F117">XLOOKUP($E117,'Player Database'!$B$2:$B758,'Player Database'!$K$2:$K758)</f>
        <v>#N/A</v>
      </c>
      <c r="G117" s="18" t="str">
        <f t="array" ref="G117">XLOOKUP($E117,'Player Database'!$B$2:$B758,'Player Database'!$H$2:$H758)</f>
        <v>#N/A</v>
      </c>
      <c r="H117" s="18" t="str">
        <f t="array" ref="H117">XLOOKUP($E117,'Player Database'!$B$2:$B758,'Player Database'!$O$2:$O758)</f>
        <v>#N/A</v>
      </c>
      <c r="I117" s="18" t="str">
        <f t="array" ref="I117">XLOOKUP($E117,'Player Database'!$B$2:$B758,'Player Database'!$P$2:$P758)</f>
        <v>#N/A</v>
      </c>
      <c r="J117" s="20" t="str">
        <f t="array" ref="J117">XLOOKUP($E117,'Player Database'!$B$2:$B758,'Player Database'!$U$2:$U758)</f>
        <v>#N/A</v>
      </c>
      <c r="K117" s="22" t="str">
        <f>VLOOKUP(E117, 'Player Database'!B:AE, 30, FALSE)</f>
        <v>#N/A</v>
      </c>
      <c r="L117" s="22" t="str">
        <f t="array" ref="L117">XLOOKUP($E117,'Player Database'!$B$2:$B758,'Player Database'!$W$2:$W758)</f>
        <v>#N/A</v>
      </c>
      <c r="M117" s="23" t="str">
        <f t="shared" si="1"/>
        <v>0 - 0</v>
      </c>
      <c r="N117" s="24" t="str">
        <f t="array" ref="N117">IF(XLOOKUP($E117,'Player Database'!$B$2:$B758,'Player Database'!$AA$2:$AA758)="",XLOOKUP($E117,'Player Database'!$B$2:$B758,'Player Database'!$G$2:$G758),XLOOKUP($E117,'Player Database'!$B$2:$B758,'Player Database'!$AA$2:$AA758))</f>
        <v>#N/A</v>
      </c>
      <c r="O117" s="27">
        <f>COUNTIFs(Matches!$B:$B,E117,Matches!$A:$A,"&gt;"&amp;Q117,Matches!$A:$A,"&lt;"&amp;R117)</f>
        <v>0</v>
      </c>
      <c r="P117" s="27">
        <f>COUNTIFs(Matches!$C:$C,E117,Matches!$A:$A,"&gt;"&amp;Q117,Matches!$A:$A,"&lt;"&amp;R117)</f>
        <v>0</v>
      </c>
      <c r="Q117" s="28">
        <f>VLOOKUP($C$2,Quotas!$A$7:$E$14,2,FALSE)</f>
        <v>46213.70833</v>
      </c>
      <c r="R117" s="28">
        <f>VLOOKUP($C$2,Quotas!$A$7:$E$14,3,FALSE)</f>
        <v>46220.70833</v>
      </c>
    </row>
    <row r="118">
      <c r="A118" s="32" t="str">
        <f t="array" ref="A118">XLOOKUP($E118,'Player Database'!$B$2:$B758,'Player Database'!$C$2:$C758)</f>
        <v>#N/A</v>
      </c>
      <c r="B118" s="32" t="str">
        <f t="array" ref="B118">XLOOKUP($E118,'Player Database'!$B$2:$B758,'Player Database'!$E$2:$E758)</f>
        <v>#N/A</v>
      </c>
      <c r="C118" s="32" t="str">
        <f t="array" ref="C118">XLOOKUP($E118,'Player Database'!$B$2:$B758,'Player Database'!$F$2:$F758)</f>
        <v>#N/A</v>
      </c>
      <c r="D118" s="106">
        <f>IFERROR(__xludf.DUMMYFUNCTION("""COMPUTED_VALUE"""),1.0)</f>
        <v>1</v>
      </c>
      <c r="E118" s="17"/>
      <c r="F118" s="18" t="str">
        <f t="array" ref="F118">XLOOKUP($E118,'Player Database'!$B$2:$B758,'Player Database'!$K$2:$K758)</f>
        <v>#N/A</v>
      </c>
      <c r="G118" s="18" t="str">
        <f t="array" ref="G118">XLOOKUP($E118,'Player Database'!$B$2:$B758,'Player Database'!$H$2:$H758)</f>
        <v>#N/A</v>
      </c>
      <c r="H118" s="18" t="str">
        <f t="array" ref="H118">XLOOKUP($E118,'Player Database'!$B$2:$B758,'Player Database'!$O$2:$O758)</f>
        <v>#N/A</v>
      </c>
      <c r="I118" s="18" t="str">
        <f t="array" ref="I118">XLOOKUP($E118,'Player Database'!$B$2:$B758,'Player Database'!$P$2:$P758)</f>
        <v>#N/A</v>
      </c>
      <c r="J118" s="20" t="str">
        <f t="array" ref="J118">XLOOKUP($E118,'Player Database'!$B$2:$B758,'Player Database'!$U$2:$U758)</f>
        <v>#N/A</v>
      </c>
      <c r="K118" s="22" t="str">
        <f>VLOOKUP(E118, 'Player Database'!B:AE, 30, FALSE)</f>
        <v>#N/A</v>
      </c>
      <c r="L118" s="22" t="str">
        <f t="array" ref="L118">XLOOKUP($E118,'Player Database'!$B$2:$B758,'Player Database'!$W$2:$W758)</f>
        <v>#N/A</v>
      </c>
      <c r="M118" s="23" t="str">
        <f t="shared" si="1"/>
        <v>0 - 0</v>
      </c>
      <c r="N118" s="24" t="str">
        <f t="array" ref="N118">IF(XLOOKUP($E118,'Player Database'!$B$2:$B758,'Player Database'!$AA$2:$AA758)="",XLOOKUP($E118,'Player Database'!$B$2:$B758,'Player Database'!$G$2:$G758),XLOOKUP($E118,'Player Database'!$B$2:$B758,'Player Database'!$AA$2:$AA758))</f>
        <v>#N/A</v>
      </c>
      <c r="O118" s="27">
        <f>COUNTIFs(Matches!$B:$B,E118,Matches!$A:$A,"&gt;"&amp;Q118,Matches!$A:$A,"&lt;"&amp;R118)</f>
        <v>0</v>
      </c>
      <c r="P118" s="27">
        <f>COUNTIFs(Matches!$C:$C,E118,Matches!$A:$A,"&gt;"&amp;Q118,Matches!$A:$A,"&lt;"&amp;R118)</f>
        <v>0</v>
      </c>
      <c r="Q118" s="28">
        <f>VLOOKUP($C$2,Quotas!$A$7:$E$14,2,FALSE)</f>
        <v>46213.70833</v>
      </c>
      <c r="R118" s="28">
        <f>VLOOKUP($C$2,Quotas!$A$7:$E$14,3,FALSE)</f>
        <v>46220.70833</v>
      </c>
    </row>
    <row r="119">
      <c r="A119" s="32" t="str">
        <f t="array" ref="A119">XLOOKUP($E119,'Player Database'!$B$2:$B758,'Player Database'!$C$2:$C758)</f>
        <v>#N/A</v>
      </c>
      <c r="B119" s="32" t="str">
        <f t="array" ref="B119">XLOOKUP($E119,'Player Database'!$B$2:$B758,'Player Database'!$E$2:$E758)</f>
        <v>#N/A</v>
      </c>
      <c r="C119" s="32" t="str">
        <f t="array" ref="C119">XLOOKUP($E119,'Player Database'!$B$2:$B758,'Player Database'!$F$2:$F758)</f>
        <v>#N/A</v>
      </c>
      <c r="D119" s="106">
        <f>IFERROR(__xludf.DUMMYFUNCTION("""COMPUTED_VALUE"""),1.0)</f>
        <v>1</v>
      </c>
      <c r="E119" s="17"/>
      <c r="F119" s="18" t="str">
        <f t="array" ref="F119">XLOOKUP($E119,'Player Database'!$B$2:$B758,'Player Database'!$K$2:$K758)</f>
        <v>#N/A</v>
      </c>
      <c r="G119" s="18" t="str">
        <f t="array" ref="G119">XLOOKUP($E119,'Player Database'!$B$2:$B758,'Player Database'!$H$2:$H758)</f>
        <v>#N/A</v>
      </c>
      <c r="H119" s="18" t="str">
        <f t="array" ref="H119">XLOOKUP($E119,'Player Database'!$B$2:$B758,'Player Database'!$O$2:$O758)</f>
        <v>#N/A</v>
      </c>
      <c r="I119" s="18" t="str">
        <f t="array" ref="I119">XLOOKUP($E119,'Player Database'!$B$2:$B758,'Player Database'!$P$2:$P758)</f>
        <v>#N/A</v>
      </c>
      <c r="J119" s="20" t="str">
        <f t="array" ref="J119">XLOOKUP($E119,'Player Database'!$B$2:$B758,'Player Database'!$U$2:$U758)</f>
        <v>#N/A</v>
      </c>
      <c r="K119" s="22" t="str">
        <f>VLOOKUP(E119, 'Player Database'!B:AE, 30, FALSE)</f>
        <v>#N/A</v>
      </c>
      <c r="L119" s="22" t="str">
        <f t="array" ref="L119">XLOOKUP($E119,'Player Database'!$B$2:$B758,'Player Database'!$W$2:$W758)</f>
        <v>#N/A</v>
      </c>
      <c r="M119" s="23" t="str">
        <f t="shared" si="1"/>
        <v>0 - 0</v>
      </c>
      <c r="N119" s="24" t="str">
        <f t="array" ref="N119">IF(XLOOKUP($E119,'Player Database'!$B$2:$B758,'Player Database'!$AA$2:$AA758)="",XLOOKUP($E119,'Player Database'!$B$2:$B758,'Player Database'!$G$2:$G758),XLOOKUP($E119,'Player Database'!$B$2:$B758,'Player Database'!$AA$2:$AA758))</f>
        <v>#N/A</v>
      </c>
      <c r="O119" s="27">
        <f>COUNTIFs(Matches!$B:$B,E119,Matches!$A:$A,"&gt;"&amp;Q119,Matches!$A:$A,"&lt;"&amp;R119)</f>
        <v>0</v>
      </c>
      <c r="P119" s="27">
        <f>COUNTIFs(Matches!$C:$C,E119,Matches!$A:$A,"&gt;"&amp;Q119,Matches!$A:$A,"&lt;"&amp;R119)</f>
        <v>0</v>
      </c>
      <c r="Q119" s="28">
        <f>VLOOKUP($C$2,Quotas!$A$7:$E$14,2,FALSE)</f>
        <v>46213.70833</v>
      </c>
      <c r="R119" s="28">
        <f>VLOOKUP($C$2,Quotas!$A$7:$E$14,3,FALSE)</f>
        <v>46220.70833</v>
      </c>
    </row>
    <row r="120">
      <c r="A120" s="32" t="str">
        <f t="array" ref="A120">XLOOKUP($E120,'Player Database'!$B$2:$B758,'Player Database'!$C$2:$C758)</f>
        <v>#N/A</v>
      </c>
      <c r="B120" s="32" t="str">
        <f t="array" ref="B120">XLOOKUP($E120,'Player Database'!$B$2:$B758,'Player Database'!$E$2:$E758)</f>
        <v>#N/A</v>
      </c>
      <c r="C120" s="32" t="str">
        <f t="array" ref="C120">XLOOKUP($E120,'Player Database'!$B$2:$B758,'Player Database'!$F$2:$F758)</f>
        <v>#N/A</v>
      </c>
      <c r="D120" s="106">
        <f>IFERROR(__xludf.DUMMYFUNCTION("""COMPUTED_VALUE"""),1.0)</f>
        <v>1</v>
      </c>
      <c r="E120" s="17"/>
      <c r="F120" s="18" t="str">
        <f t="array" ref="F120">XLOOKUP($E120,'Player Database'!$B$2:$B758,'Player Database'!$K$2:$K758)</f>
        <v>#N/A</v>
      </c>
      <c r="G120" s="18" t="str">
        <f t="array" ref="G120">XLOOKUP($E120,'Player Database'!$B$2:$B758,'Player Database'!$H$2:$H758)</f>
        <v>#N/A</v>
      </c>
      <c r="H120" s="18" t="str">
        <f t="array" ref="H120">XLOOKUP($E120,'Player Database'!$B$2:$B758,'Player Database'!$O$2:$O758)</f>
        <v>#N/A</v>
      </c>
      <c r="I120" s="18" t="str">
        <f t="array" ref="I120">XLOOKUP($E120,'Player Database'!$B$2:$B758,'Player Database'!$P$2:$P758)</f>
        <v>#N/A</v>
      </c>
      <c r="J120" s="20" t="str">
        <f t="array" ref="J120">XLOOKUP($E120,'Player Database'!$B$2:$B758,'Player Database'!$U$2:$U758)</f>
        <v>#N/A</v>
      </c>
      <c r="K120" s="22" t="str">
        <f>VLOOKUP(E120, 'Player Database'!B:AE, 30, FALSE)</f>
        <v>#N/A</v>
      </c>
      <c r="L120" s="22" t="str">
        <f t="array" ref="L120">XLOOKUP($E120,'Player Database'!$B$2:$B758,'Player Database'!$W$2:$W758)</f>
        <v>#N/A</v>
      </c>
      <c r="M120" s="23" t="str">
        <f t="shared" si="1"/>
        <v>0 - 0</v>
      </c>
      <c r="N120" s="24" t="str">
        <f t="array" ref="N120">IF(XLOOKUP($E120,'Player Database'!$B$2:$B758,'Player Database'!$AA$2:$AA758)="",XLOOKUP($E120,'Player Database'!$B$2:$B758,'Player Database'!$G$2:$G758),XLOOKUP($E120,'Player Database'!$B$2:$B758,'Player Database'!$AA$2:$AA758))</f>
        <v>#N/A</v>
      </c>
      <c r="O120" s="27">
        <f>COUNTIFs(Matches!$B:$B,E120,Matches!$A:$A,"&gt;"&amp;Q120,Matches!$A:$A,"&lt;"&amp;R120)</f>
        <v>0</v>
      </c>
      <c r="P120" s="27">
        <f>COUNTIFs(Matches!$C:$C,E120,Matches!$A:$A,"&gt;"&amp;Q120,Matches!$A:$A,"&lt;"&amp;R120)</f>
        <v>0</v>
      </c>
      <c r="Q120" s="28">
        <f>VLOOKUP($C$2,Quotas!$A$7:$E$14,2,FALSE)</f>
        <v>46213.70833</v>
      </c>
      <c r="R120" s="28">
        <f>VLOOKUP($C$2,Quotas!$A$7:$E$14,3,FALSE)</f>
        <v>46220.70833</v>
      </c>
    </row>
    <row r="121">
      <c r="A121" s="32" t="str">
        <f t="array" ref="A121">XLOOKUP($E121,'Player Database'!$B$2:$B758,'Player Database'!$C$2:$C758)</f>
        <v>#N/A</v>
      </c>
      <c r="B121" s="32" t="str">
        <f t="array" ref="B121">XLOOKUP($E121,'Player Database'!$B$2:$B758,'Player Database'!$E$2:$E758)</f>
        <v>#N/A</v>
      </c>
      <c r="C121" s="32" t="str">
        <f t="array" ref="C121">XLOOKUP($E121,'Player Database'!$B$2:$B758,'Player Database'!$F$2:$F758)</f>
        <v>#N/A</v>
      </c>
      <c r="D121" s="106">
        <f>IFERROR(__xludf.DUMMYFUNCTION("""COMPUTED_VALUE"""),1.0)</f>
        <v>1</v>
      </c>
      <c r="E121" s="17"/>
      <c r="F121" s="18" t="str">
        <f t="array" ref="F121">XLOOKUP($E121,'Player Database'!$B$2:$B758,'Player Database'!$K$2:$K758)</f>
        <v>#N/A</v>
      </c>
      <c r="G121" s="18" t="str">
        <f t="array" ref="G121">XLOOKUP($E121,'Player Database'!$B$2:$B758,'Player Database'!$H$2:$H758)</f>
        <v>#N/A</v>
      </c>
      <c r="H121" s="18" t="str">
        <f t="array" ref="H121">XLOOKUP($E121,'Player Database'!$B$2:$B758,'Player Database'!$O$2:$O758)</f>
        <v>#N/A</v>
      </c>
      <c r="I121" s="18" t="str">
        <f t="array" ref="I121">XLOOKUP($E121,'Player Database'!$B$2:$B758,'Player Database'!$P$2:$P758)</f>
        <v>#N/A</v>
      </c>
      <c r="J121" s="20" t="str">
        <f t="array" ref="J121">XLOOKUP($E121,'Player Database'!$B$2:$B758,'Player Database'!$U$2:$U758)</f>
        <v>#N/A</v>
      </c>
      <c r="K121" s="22" t="str">
        <f>VLOOKUP(E121, 'Player Database'!B:AE, 30, FALSE)</f>
        <v>#N/A</v>
      </c>
      <c r="L121" s="22" t="str">
        <f t="array" ref="L121">XLOOKUP($E121,'Player Database'!$B$2:$B758,'Player Database'!$W$2:$W758)</f>
        <v>#N/A</v>
      </c>
      <c r="M121" s="23" t="str">
        <f t="shared" si="1"/>
        <v>0 - 0</v>
      </c>
      <c r="N121" s="24" t="str">
        <f t="array" ref="N121">IF(XLOOKUP($E121,'Player Database'!$B$2:$B758,'Player Database'!$AA$2:$AA758)="",XLOOKUP($E121,'Player Database'!$B$2:$B758,'Player Database'!$G$2:$G758),XLOOKUP($E121,'Player Database'!$B$2:$B758,'Player Database'!$AA$2:$AA758))</f>
        <v>#N/A</v>
      </c>
      <c r="O121" s="27">
        <f>COUNTIFs(Matches!$B:$B,E121,Matches!$A:$A,"&gt;"&amp;Q121,Matches!$A:$A,"&lt;"&amp;R121)</f>
        <v>0</v>
      </c>
      <c r="P121" s="27">
        <f>COUNTIFs(Matches!$C:$C,E121,Matches!$A:$A,"&gt;"&amp;Q121,Matches!$A:$A,"&lt;"&amp;R121)</f>
        <v>0</v>
      </c>
      <c r="Q121" s="28">
        <f>VLOOKUP($C$2,Quotas!$A$7:$E$14,2,FALSE)</f>
        <v>46213.70833</v>
      </c>
      <c r="R121" s="28">
        <f>VLOOKUP($C$2,Quotas!$A$7:$E$14,3,FALSE)</f>
        <v>46220.70833</v>
      </c>
    </row>
    <row r="122">
      <c r="A122" s="32" t="str">
        <f t="array" ref="A122">XLOOKUP($E122,'Player Database'!$B$2:$B758,'Player Database'!$C$2:$C758)</f>
        <v>#N/A</v>
      </c>
      <c r="B122" s="32" t="str">
        <f t="array" ref="B122">XLOOKUP($E122,'Player Database'!$B$2:$B758,'Player Database'!$E$2:$E758)</f>
        <v>#N/A</v>
      </c>
      <c r="C122" s="32" t="str">
        <f t="array" ref="C122">XLOOKUP($E122,'Player Database'!$B$2:$B758,'Player Database'!$F$2:$F758)</f>
        <v>#N/A</v>
      </c>
      <c r="D122" s="106">
        <f>IFERROR(__xludf.DUMMYFUNCTION("""COMPUTED_VALUE"""),1.0)</f>
        <v>1</v>
      </c>
      <c r="E122" s="17"/>
      <c r="F122" s="18" t="str">
        <f t="array" ref="F122">XLOOKUP($E122,'Player Database'!$B$2:$B758,'Player Database'!$K$2:$K758)</f>
        <v>#N/A</v>
      </c>
      <c r="G122" s="18" t="str">
        <f t="array" ref="G122">XLOOKUP($E122,'Player Database'!$B$2:$B758,'Player Database'!$H$2:$H758)</f>
        <v>#N/A</v>
      </c>
      <c r="H122" s="18" t="str">
        <f t="array" ref="H122">XLOOKUP($E122,'Player Database'!$B$2:$B758,'Player Database'!$O$2:$O758)</f>
        <v>#N/A</v>
      </c>
      <c r="I122" s="18" t="str">
        <f t="array" ref="I122">XLOOKUP($E122,'Player Database'!$B$2:$B758,'Player Database'!$P$2:$P758)</f>
        <v>#N/A</v>
      </c>
      <c r="J122" s="20" t="str">
        <f t="array" ref="J122">XLOOKUP($E122,'Player Database'!$B$2:$B758,'Player Database'!$U$2:$U758)</f>
        <v>#N/A</v>
      </c>
      <c r="K122" s="22" t="str">
        <f>VLOOKUP(E122, 'Player Database'!B:AE, 30, FALSE)</f>
        <v>#N/A</v>
      </c>
      <c r="L122" s="22" t="str">
        <f t="array" ref="L122">XLOOKUP($E122,'Player Database'!$B$2:$B758,'Player Database'!$W$2:$W758)</f>
        <v>#N/A</v>
      </c>
      <c r="M122" s="23" t="str">
        <f t="shared" si="1"/>
        <v>0 - 0</v>
      </c>
      <c r="N122" s="24" t="str">
        <f t="array" ref="N122">IF(XLOOKUP($E122,'Player Database'!$B$2:$B758,'Player Database'!$AA$2:$AA758)="",XLOOKUP($E122,'Player Database'!$B$2:$B758,'Player Database'!$G$2:$G758),XLOOKUP($E122,'Player Database'!$B$2:$B758,'Player Database'!$AA$2:$AA758))</f>
        <v>#N/A</v>
      </c>
      <c r="O122" s="27">
        <f>COUNTIFs(Matches!$B:$B,E122,Matches!$A:$A,"&gt;"&amp;Q122,Matches!$A:$A,"&lt;"&amp;R122)</f>
        <v>0</v>
      </c>
      <c r="P122" s="27">
        <f>COUNTIFs(Matches!$C:$C,E122,Matches!$A:$A,"&gt;"&amp;Q122,Matches!$A:$A,"&lt;"&amp;R122)</f>
        <v>0</v>
      </c>
      <c r="Q122" s="28">
        <f>VLOOKUP($C$2,Quotas!$A$7:$E$14,2,FALSE)</f>
        <v>46213.70833</v>
      </c>
      <c r="R122" s="28">
        <f>VLOOKUP($C$2,Quotas!$A$7:$E$14,3,FALSE)</f>
        <v>46220.70833</v>
      </c>
    </row>
    <row r="123">
      <c r="A123" s="32" t="str">
        <f t="array" ref="A123">XLOOKUP($E123,'Player Database'!$B$2:$B758,'Player Database'!$C$2:$C758)</f>
        <v>#N/A</v>
      </c>
      <c r="B123" s="32" t="str">
        <f t="array" ref="B123">XLOOKUP($E123,'Player Database'!$B$2:$B758,'Player Database'!$E$2:$E758)</f>
        <v>#N/A</v>
      </c>
      <c r="C123" s="32" t="str">
        <f t="array" ref="C123">XLOOKUP($E123,'Player Database'!$B$2:$B758,'Player Database'!$F$2:$F758)</f>
        <v>#N/A</v>
      </c>
      <c r="D123" s="106">
        <f>IFERROR(__xludf.DUMMYFUNCTION("""COMPUTED_VALUE"""),1.0)</f>
        <v>1</v>
      </c>
      <c r="E123" s="17"/>
      <c r="F123" s="18" t="str">
        <f t="array" ref="F123">XLOOKUP($E123,'Player Database'!$B$2:$B758,'Player Database'!$K$2:$K758)</f>
        <v>#N/A</v>
      </c>
      <c r="G123" s="18" t="str">
        <f t="array" ref="G123">XLOOKUP($E123,'Player Database'!$B$2:$B758,'Player Database'!$H$2:$H758)</f>
        <v>#N/A</v>
      </c>
      <c r="H123" s="18" t="str">
        <f t="array" ref="H123">XLOOKUP($E123,'Player Database'!$B$2:$B758,'Player Database'!$O$2:$O758)</f>
        <v>#N/A</v>
      </c>
      <c r="I123" s="18" t="str">
        <f t="array" ref="I123">XLOOKUP($E123,'Player Database'!$B$2:$B758,'Player Database'!$P$2:$P758)</f>
        <v>#N/A</v>
      </c>
      <c r="J123" s="20" t="str">
        <f t="array" ref="J123">XLOOKUP($E123,'Player Database'!$B$2:$B758,'Player Database'!$U$2:$U758)</f>
        <v>#N/A</v>
      </c>
      <c r="K123" s="22" t="str">
        <f>VLOOKUP(E123, 'Player Database'!B:AE, 30, FALSE)</f>
        <v>#N/A</v>
      </c>
      <c r="L123" s="22" t="str">
        <f t="array" ref="L123">XLOOKUP($E123,'Player Database'!$B$2:$B758,'Player Database'!$W$2:$W758)</f>
        <v>#N/A</v>
      </c>
      <c r="M123" s="23" t="str">
        <f t="shared" si="1"/>
        <v>0 - 0</v>
      </c>
      <c r="N123" s="24" t="str">
        <f t="array" ref="N123">IF(XLOOKUP($E123,'Player Database'!$B$2:$B758,'Player Database'!$AA$2:$AA758)="",XLOOKUP($E123,'Player Database'!$B$2:$B758,'Player Database'!$G$2:$G758),XLOOKUP($E123,'Player Database'!$B$2:$B758,'Player Database'!$AA$2:$AA758))</f>
        <v>#N/A</v>
      </c>
      <c r="O123" s="27">
        <f>COUNTIFs(Matches!$B:$B,E123,Matches!$A:$A,"&gt;"&amp;Q123,Matches!$A:$A,"&lt;"&amp;R123)</f>
        <v>0</v>
      </c>
      <c r="P123" s="27">
        <f>COUNTIFs(Matches!$C:$C,E123,Matches!$A:$A,"&gt;"&amp;Q123,Matches!$A:$A,"&lt;"&amp;R123)</f>
        <v>0</v>
      </c>
      <c r="Q123" s="28">
        <f>VLOOKUP($C$2,Quotas!$A$7:$E$14,2,FALSE)</f>
        <v>46213.70833</v>
      </c>
      <c r="R123" s="28">
        <f>VLOOKUP($C$2,Quotas!$A$7:$E$14,3,FALSE)</f>
        <v>46220.70833</v>
      </c>
    </row>
    <row r="124">
      <c r="A124" s="32" t="str">
        <f t="array" ref="A124">XLOOKUP($E124,'Player Database'!$B$2:$B758,'Player Database'!$C$2:$C758)</f>
        <v>#N/A</v>
      </c>
      <c r="B124" s="32" t="str">
        <f t="array" ref="B124">XLOOKUP($E124,'Player Database'!$B$2:$B758,'Player Database'!$E$2:$E758)</f>
        <v>#N/A</v>
      </c>
      <c r="C124" s="32" t="str">
        <f t="array" ref="C124">XLOOKUP($E124,'Player Database'!$B$2:$B758,'Player Database'!$F$2:$F758)</f>
        <v>#N/A</v>
      </c>
      <c r="D124" s="106">
        <f>IFERROR(__xludf.DUMMYFUNCTION("""COMPUTED_VALUE"""),1.0)</f>
        <v>1</v>
      </c>
      <c r="E124" s="17"/>
      <c r="F124" s="18" t="str">
        <f t="array" ref="F124">XLOOKUP($E124,'Player Database'!$B$2:$B758,'Player Database'!$K$2:$K758)</f>
        <v>#N/A</v>
      </c>
      <c r="G124" s="18" t="str">
        <f t="array" ref="G124">XLOOKUP($E124,'Player Database'!$B$2:$B758,'Player Database'!$H$2:$H758)</f>
        <v>#N/A</v>
      </c>
      <c r="H124" s="18" t="str">
        <f t="array" ref="H124">XLOOKUP($E124,'Player Database'!$B$2:$B758,'Player Database'!$O$2:$O758)</f>
        <v>#N/A</v>
      </c>
      <c r="I124" s="18" t="str">
        <f t="array" ref="I124">XLOOKUP($E124,'Player Database'!$B$2:$B758,'Player Database'!$P$2:$P758)</f>
        <v>#N/A</v>
      </c>
      <c r="J124" s="20" t="str">
        <f t="array" ref="J124">XLOOKUP($E124,'Player Database'!$B$2:$B758,'Player Database'!$U$2:$U758)</f>
        <v>#N/A</v>
      </c>
      <c r="K124" s="22" t="str">
        <f>VLOOKUP(E124, 'Player Database'!B:AE, 30, FALSE)</f>
        <v>#N/A</v>
      </c>
      <c r="L124" s="22" t="str">
        <f t="array" ref="L124">XLOOKUP($E124,'Player Database'!$B$2:$B758,'Player Database'!$W$2:$W758)</f>
        <v>#N/A</v>
      </c>
      <c r="M124" s="23" t="str">
        <f t="shared" si="1"/>
        <v>0 - 0</v>
      </c>
      <c r="N124" s="24" t="str">
        <f t="array" ref="N124">IF(XLOOKUP($E124,'Player Database'!$B$2:$B758,'Player Database'!$AA$2:$AA758)="",XLOOKUP($E124,'Player Database'!$B$2:$B758,'Player Database'!$G$2:$G758),XLOOKUP($E124,'Player Database'!$B$2:$B758,'Player Database'!$AA$2:$AA758))</f>
        <v>#N/A</v>
      </c>
      <c r="O124" s="27">
        <f>COUNTIFs(Matches!$B:$B,E124,Matches!$A:$A,"&gt;"&amp;Q124,Matches!$A:$A,"&lt;"&amp;R124)</f>
        <v>0</v>
      </c>
      <c r="P124" s="27">
        <f>COUNTIFs(Matches!$C:$C,E124,Matches!$A:$A,"&gt;"&amp;Q124,Matches!$A:$A,"&lt;"&amp;R124)</f>
        <v>0</v>
      </c>
      <c r="Q124" s="28">
        <f>VLOOKUP($C$2,Quotas!$A$7:$E$14,2,FALSE)</f>
        <v>46213.70833</v>
      </c>
      <c r="R124" s="28">
        <f>VLOOKUP($C$2,Quotas!$A$7:$E$14,3,FALSE)</f>
        <v>46220.70833</v>
      </c>
    </row>
    <row r="125">
      <c r="A125" s="32" t="str">
        <f t="array" ref="A125">XLOOKUP($E125,'Player Database'!$B$2:$B758,'Player Database'!$C$2:$C758)</f>
        <v>#N/A</v>
      </c>
      <c r="B125" s="32" t="str">
        <f t="array" ref="B125">XLOOKUP($E125,'Player Database'!$B$2:$B758,'Player Database'!$E$2:$E758)</f>
        <v>#N/A</v>
      </c>
      <c r="C125" s="32" t="str">
        <f t="array" ref="C125">XLOOKUP($E125,'Player Database'!$B$2:$B758,'Player Database'!$F$2:$F758)</f>
        <v>#N/A</v>
      </c>
      <c r="D125" s="106">
        <f>IFERROR(__xludf.DUMMYFUNCTION("""COMPUTED_VALUE"""),1.0)</f>
        <v>1</v>
      </c>
      <c r="E125" s="17"/>
      <c r="F125" s="18" t="str">
        <f t="array" ref="F125">XLOOKUP($E125,'Player Database'!$B$2:$B758,'Player Database'!$K$2:$K758)</f>
        <v>#N/A</v>
      </c>
      <c r="G125" s="18" t="str">
        <f t="array" ref="G125">XLOOKUP($E125,'Player Database'!$B$2:$B758,'Player Database'!$H$2:$H758)</f>
        <v>#N/A</v>
      </c>
      <c r="H125" s="18" t="str">
        <f t="array" ref="H125">XLOOKUP($E125,'Player Database'!$B$2:$B758,'Player Database'!$O$2:$O758)</f>
        <v>#N/A</v>
      </c>
      <c r="I125" s="18" t="str">
        <f t="array" ref="I125">XLOOKUP($E125,'Player Database'!$B$2:$B758,'Player Database'!$P$2:$P758)</f>
        <v>#N/A</v>
      </c>
      <c r="J125" s="20" t="str">
        <f t="array" ref="J125">XLOOKUP($E125,'Player Database'!$B$2:$B758,'Player Database'!$U$2:$U758)</f>
        <v>#N/A</v>
      </c>
      <c r="K125" s="22" t="str">
        <f>VLOOKUP(E125, 'Player Database'!B:AE, 30, FALSE)</f>
        <v>#N/A</v>
      </c>
      <c r="L125" s="22" t="str">
        <f t="array" ref="L125">XLOOKUP($E125,'Player Database'!$B$2:$B758,'Player Database'!$W$2:$W758)</f>
        <v>#N/A</v>
      </c>
      <c r="M125" s="23" t="str">
        <f t="shared" si="1"/>
        <v>0 - 0</v>
      </c>
      <c r="N125" s="24" t="str">
        <f t="array" ref="N125">IF(XLOOKUP($E125,'Player Database'!$B$2:$B758,'Player Database'!$AA$2:$AA758)="",XLOOKUP($E125,'Player Database'!$B$2:$B758,'Player Database'!$G$2:$G758),XLOOKUP($E125,'Player Database'!$B$2:$B758,'Player Database'!$AA$2:$AA758))</f>
        <v>#N/A</v>
      </c>
      <c r="O125" s="27">
        <f>COUNTIFs(Matches!$B:$B,E125,Matches!$A:$A,"&gt;"&amp;Q125,Matches!$A:$A,"&lt;"&amp;R125)</f>
        <v>0</v>
      </c>
      <c r="P125" s="27">
        <f>COUNTIFs(Matches!$C:$C,E125,Matches!$A:$A,"&gt;"&amp;Q125,Matches!$A:$A,"&lt;"&amp;R125)</f>
        <v>0</v>
      </c>
      <c r="Q125" s="28">
        <f>VLOOKUP($C$2,Quotas!$A$7:$E$14,2,FALSE)</f>
        <v>46213.70833</v>
      </c>
      <c r="R125" s="28">
        <f>VLOOKUP($C$2,Quotas!$A$7:$E$14,3,FALSE)</f>
        <v>46220.70833</v>
      </c>
    </row>
    <row r="126">
      <c r="A126" s="32" t="str">
        <f t="array" ref="A126">XLOOKUP($E126,'Player Database'!$B$2:$B758,'Player Database'!$C$2:$C758)</f>
        <v>#N/A</v>
      </c>
      <c r="B126" s="32" t="str">
        <f t="array" ref="B126">XLOOKUP($E126,'Player Database'!$B$2:$B758,'Player Database'!$E$2:$E758)</f>
        <v>#N/A</v>
      </c>
      <c r="C126" s="32" t="str">
        <f t="array" ref="C126">XLOOKUP($E126,'Player Database'!$B$2:$B758,'Player Database'!$F$2:$F758)</f>
        <v>#N/A</v>
      </c>
      <c r="D126" s="106">
        <f>IFERROR(__xludf.DUMMYFUNCTION("""COMPUTED_VALUE"""),1.0)</f>
        <v>1</v>
      </c>
      <c r="E126" s="17"/>
      <c r="F126" s="18" t="str">
        <f t="array" ref="F126">XLOOKUP($E126,'Player Database'!$B$2:$B758,'Player Database'!$K$2:$K758)</f>
        <v>#N/A</v>
      </c>
      <c r="G126" s="18" t="str">
        <f t="array" ref="G126">XLOOKUP($E126,'Player Database'!$B$2:$B758,'Player Database'!$H$2:$H758)</f>
        <v>#N/A</v>
      </c>
      <c r="H126" s="18" t="str">
        <f t="array" ref="H126">XLOOKUP($E126,'Player Database'!$B$2:$B758,'Player Database'!$O$2:$O758)</f>
        <v>#N/A</v>
      </c>
      <c r="I126" s="18" t="str">
        <f t="array" ref="I126">XLOOKUP($E126,'Player Database'!$B$2:$B758,'Player Database'!$P$2:$P758)</f>
        <v>#N/A</v>
      </c>
      <c r="J126" s="20" t="str">
        <f t="array" ref="J126">XLOOKUP($E126,'Player Database'!$B$2:$B758,'Player Database'!$U$2:$U758)</f>
        <v>#N/A</v>
      </c>
      <c r="K126" s="22" t="str">
        <f>VLOOKUP(E126, 'Player Database'!B:AE, 30, FALSE)</f>
        <v>#N/A</v>
      </c>
      <c r="L126" s="22" t="str">
        <f t="array" ref="L126">XLOOKUP($E126,'Player Database'!$B$2:$B758,'Player Database'!$W$2:$W758)</f>
        <v>#N/A</v>
      </c>
      <c r="M126" s="23" t="str">
        <f t="shared" si="1"/>
        <v>0 - 0</v>
      </c>
      <c r="N126" s="24" t="str">
        <f t="array" ref="N126">IF(XLOOKUP($E126,'Player Database'!$B$2:$B758,'Player Database'!$AA$2:$AA758)="",XLOOKUP($E126,'Player Database'!$B$2:$B758,'Player Database'!$G$2:$G758),XLOOKUP($E126,'Player Database'!$B$2:$B758,'Player Database'!$AA$2:$AA758))</f>
        <v>#N/A</v>
      </c>
      <c r="O126" s="27">
        <f>COUNTIFs(Matches!$B:$B,E126,Matches!$A:$A,"&gt;"&amp;Q126,Matches!$A:$A,"&lt;"&amp;R126)</f>
        <v>0</v>
      </c>
      <c r="P126" s="27">
        <f>COUNTIFs(Matches!$C:$C,E126,Matches!$A:$A,"&gt;"&amp;Q126,Matches!$A:$A,"&lt;"&amp;R126)</f>
        <v>0</v>
      </c>
      <c r="Q126" s="28">
        <f>VLOOKUP($C$2,Quotas!$A$7:$E$14,2,FALSE)</f>
        <v>46213.70833</v>
      </c>
      <c r="R126" s="28">
        <f>VLOOKUP($C$2,Quotas!$A$7:$E$14,3,FALSE)</f>
        <v>46220.70833</v>
      </c>
    </row>
    <row r="127">
      <c r="A127" s="32" t="str">
        <f t="array" ref="A127">XLOOKUP($E127,'Player Database'!$B$2:$B758,'Player Database'!$C$2:$C758)</f>
        <v>#N/A</v>
      </c>
      <c r="B127" s="32" t="str">
        <f t="array" ref="B127">XLOOKUP($E127,'Player Database'!$B$2:$B758,'Player Database'!$E$2:$E758)</f>
        <v>#N/A</v>
      </c>
      <c r="C127" s="32" t="str">
        <f t="array" ref="C127">XLOOKUP($E127,'Player Database'!$B$2:$B758,'Player Database'!$F$2:$F758)</f>
        <v>#N/A</v>
      </c>
      <c r="D127" s="106">
        <f>IFERROR(__xludf.DUMMYFUNCTION("""COMPUTED_VALUE"""),1.0)</f>
        <v>1</v>
      </c>
      <c r="E127" s="17"/>
      <c r="F127" s="18" t="str">
        <f t="array" ref="F127">XLOOKUP($E127,'Player Database'!$B$2:$B758,'Player Database'!$K$2:$K758)</f>
        <v>#N/A</v>
      </c>
      <c r="G127" s="18" t="str">
        <f t="array" ref="G127">XLOOKUP($E127,'Player Database'!$B$2:$B758,'Player Database'!$H$2:$H758)</f>
        <v>#N/A</v>
      </c>
      <c r="H127" s="18" t="str">
        <f t="array" ref="H127">XLOOKUP($E127,'Player Database'!$B$2:$B758,'Player Database'!$O$2:$O758)</f>
        <v>#N/A</v>
      </c>
      <c r="I127" s="18" t="str">
        <f t="array" ref="I127">XLOOKUP($E127,'Player Database'!$B$2:$B758,'Player Database'!$P$2:$P758)</f>
        <v>#N/A</v>
      </c>
      <c r="J127" s="20" t="str">
        <f t="array" ref="J127">XLOOKUP($E127,'Player Database'!$B$2:$B758,'Player Database'!$U$2:$U758)</f>
        <v>#N/A</v>
      </c>
      <c r="K127" s="22" t="str">
        <f>VLOOKUP(E127, 'Player Database'!B:AE, 30, FALSE)</f>
        <v>#N/A</v>
      </c>
      <c r="L127" s="22" t="str">
        <f t="array" ref="L127">XLOOKUP($E127,'Player Database'!$B$2:$B758,'Player Database'!$W$2:$W758)</f>
        <v>#N/A</v>
      </c>
      <c r="M127" s="23" t="str">
        <f t="shared" si="1"/>
        <v>0 - 0</v>
      </c>
      <c r="N127" s="24" t="str">
        <f t="array" ref="N127">IF(XLOOKUP($E127,'Player Database'!$B$2:$B758,'Player Database'!$AA$2:$AA758)="",XLOOKUP($E127,'Player Database'!$B$2:$B758,'Player Database'!$G$2:$G758),XLOOKUP($E127,'Player Database'!$B$2:$B758,'Player Database'!$AA$2:$AA758))</f>
        <v>#N/A</v>
      </c>
      <c r="O127" s="27">
        <f>COUNTIFs(Matches!$B:$B,E127,Matches!$A:$A,"&gt;"&amp;Q127,Matches!$A:$A,"&lt;"&amp;R127)</f>
        <v>0</v>
      </c>
      <c r="P127" s="27">
        <f>COUNTIFs(Matches!$C:$C,E127,Matches!$A:$A,"&gt;"&amp;Q127,Matches!$A:$A,"&lt;"&amp;R127)</f>
        <v>0</v>
      </c>
      <c r="Q127" s="28">
        <f>VLOOKUP($C$2,Quotas!$A$7:$E$14,2,FALSE)</f>
        <v>46213.70833</v>
      </c>
      <c r="R127" s="28">
        <f>VLOOKUP($C$2,Quotas!$A$7:$E$14,3,FALSE)</f>
        <v>46220.70833</v>
      </c>
    </row>
    <row r="128">
      <c r="A128" s="32" t="str">
        <f t="array" ref="A128">XLOOKUP($E128,'Player Database'!$B$2:$B758,'Player Database'!$C$2:$C758)</f>
        <v>#N/A</v>
      </c>
      <c r="B128" s="32" t="str">
        <f t="array" ref="B128">XLOOKUP($E128,'Player Database'!$B$2:$B758,'Player Database'!$E$2:$E758)</f>
        <v>#N/A</v>
      </c>
      <c r="C128" s="32" t="str">
        <f t="array" ref="C128">XLOOKUP($E128,'Player Database'!$B$2:$B758,'Player Database'!$F$2:$F758)</f>
        <v>#N/A</v>
      </c>
      <c r="D128" s="106">
        <f>IFERROR(__xludf.DUMMYFUNCTION("""COMPUTED_VALUE"""),1.0)</f>
        <v>1</v>
      </c>
      <c r="E128" s="17"/>
      <c r="F128" s="18" t="str">
        <f t="array" ref="F128">XLOOKUP($E128,'Player Database'!$B$2:$B758,'Player Database'!$K$2:$K758)</f>
        <v>#N/A</v>
      </c>
      <c r="G128" s="18" t="str">
        <f t="array" ref="G128">XLOOKUP($E128,'Player Database'!$B$2:$B758,'Player Database'!$H$2:$H758)</f>
        <v>#N/A</v>
      </c>
      <c r="H128" s="18" t="str">
        <f t="array" ref="H128">XLOOKUP($E128,'Player Database'!$B$2:$B758,'Player Database'!$O$2:$O758)</f>
        <v>#N/A</v>
      </c>
      <c r="I128" s="18" t="str">
        <f t="array" ref="I128">XLOOKUP($E128,'Player Database'!$B$2:$B758,'Player Database'!$P$2:$P758)</f>
        <v>#N/A</v>
      </c>
      <c r="J128" s="20" t="str">
        <f t="array" ref="J128">XLOOKUP($E128,'Player Database'!$B$2:$B758,'Player Database'!$U$2:$U758)</f>
        <v>#N/A</v>
      </c>
      <c r="K128" s="22" t="str">
        <f>VLOOKUP(E128, 'Player Database'!B:AE, 30, FALSE)</f>
        <v>#N/A</v>
      </c>
      <c r="L128" s="22" t="str">
        <f t="array" ref="L128">XLOOKUP($E128,'Player Database'!$B$2:$B758,'Player Database'!$W$2:$W758)</f>
        <v>#N/A</v>
      </c>
      <c r="M128" s="23" t="str">
        <f t="shared" si="1"/>
        <v>0 - 0</v>
      </c>
      <c r="N128" s="24" t="str">
        <f t="array" ref="N128">IF(XLOOKUP($E128,'Player Database'!$B$2:$B758,'Player Database'!$AA$2:$AA758)="",XLOOKUP($E128,'Player Database'!$B$2:$B758,'Player Database'!$G$2:$G758),XLOOKUP($E128,'Player Database'!$B$2:$B758,'Player Database'!$AA$2:$AA758))</f>
        <v>#N/A</v>
      </c>
      <c r="O128" s="27">
        <f>COUNTIFs(Matches!$B:$B,E128,Matches!$A:$A,"&gt;"&amp;Q128,Matches!$A:$A,"&lt;"&amp;R128)</f>
        <v>0</v>
      </c>
      <c r="P128" s="27">
        <f>COUNTIFs(Matches!$C:$C,E128,Matches!$A:$A,"&gt;"&amp;Q128,Matches!$A:$A,"&lt;"&amp;R128)</f>
        <v>0</v>
      </c>
      <c r="Q128" s="28">
        <f>VLOOKUP($C$2,Quotas!$A$7:$E$14,2,FALSE)</f>
        <v>46213.70833</v>
      </c>
      <c r="R128" s="28">
        <f>VLOOKUP($C$2,Quotas!$A$7:$E$14,3,FALSE)</f>
        <v>46220.70833</v>
      </c>
    </row>
    <row r="129">
      <c r="A129" s="32" t="str">
        <f t="array" ref="A129">XLOOKUP($E129,'Player Database'!$B$2:$B758,'Player Database'!$C$2:$C758)</f>
        <v>#N/A</v>
      </c>
      <c r="B129" s="32" t="str">
        <f t="array" ref="B129">XLOOKUP($E129,'Player Database'!$B$2:$B758,'Player Database'!$E$2:$E758)</f>
        <v>#N/A</v>
      </c>
      <c r="C129" s="32" t="str">
        <f t="array" ref="C129">XLOOKUP($E129,'Player Database'!$B$2:$B758,'Player Database'!$F$2:$F758)</f>
        <v>#N/A</v>
      </c>
      <c r="D129" s="106">
        <f>IFERROR(__xludf.DUMMYFUNCTION("""COMPUTED_VALUE"""),1.0)</f>
        <v>1</v>
      </c>
      <c r="E129" s="17"/>
      <c r="F129" s="18" t="str">
        <f t="array" ref="F129">XLOOKUP($E129,'Player Database'!$B$2:$B758,'Player Database'!$K$2:$K758)</f>
        <v>#N/A</v>
      </c>
      <c r="G129" s="18" t="str">
        <f t="array" ref="G129">XLOOKUP($E129,'Player Database'!$B$2:$B758,'Player Database'!$H$2:$H758)</f>
        <v>#N/A</v>
      </c>
      <c r="H129" s="18" t="str">
        <f t="array" ref="H129">XLOOKUP($E129,'Player Database'!$B$2:$B758,'Player Database'!$O$2:$O758)</f>
        <v>#N/A</v>
      </c>
      <c r="I129" s="18" t="str">
        <f t="array" ref="I129">XLOOKUP($E129,'Player Database'!$B$2:$B758,'Player Database'!$P$2:$P758)</f>
        <v>#N/A</v>
      </c>
      <c r="J129" s="20" t="str">
        <f t="array" ref="J129">XLOOKUP($E129,'Player Database'!$B$2:$B758,'Player Database'!$U$2:$U758)</f>
        <v>#N/A</v>
      </c>
      <c r="K129" s="22" t="str">
        <f>VLOOKUP(E129, 'Player Database'!B:AE, 30, FALSE)</f>
        <v>#N/A</v>
      </c>
      <c r="L129" s="22" t="str">
        <f t="array" ref="L129">XLOOKUP($E129,'Player Database'!$B$2:$B758,'Player Database'!$W$2:$W758)</f>
        <v>#N/A</v>
      </c>
      <c r="M129" s="23" t="str">
        <f t="shared" si="1"/>
        <v>0 - 0</v>
      </c>
      <c r="N129" s="24" t="str">
        <f t="array" ref="N129">IF(XLOOKUP($E129,'Player Database'!$B$2:$B758,'Player Database'!$AA$2:$AA758)="",XLOOKUP($E129,'Player Database'!$B$2:$B758,'Player Database'!$G$2:$G758),XLOOKUP($E129,'Player Database'!$B$2:$B758,'Player Database'!$AA$2:$AA758))</f>
        <v>#N/A</v>
      </c>
      <c r="O129" s="27">
        <f>COUNTIFs(Matches!$B:$B,E129,Matches!$A:$A,"&gt;"&amp;Q129,Matches!$A:$A,"&lt;"&amp;R129)</f>
        <v>0</v>
      </c>
      <c r="P129" s="27">
        <f>COUNTIFs(Matches!$C:$C,E129,Matches!$A:$A,"&gt;"&amp;Q129,Matches!$A:$A,"&lt;"&amp;R129)</f>
        <v>0</v>
      </c>
      <c r="Q129" s="28">
        <f>VLOOKUP($C$2,Quotas!$A$7:$E$14,2,FALSE)</f>
        <v>46213.70833</v>
      </c>
      <c r="R129" s="28">
        <f>VLOOKUP($C$2,Quotas!$A$7:$E$14,3,FALSE)</f>
        <v>46220.70833</v>
      </c>
    </row>
    <row r="130">
      <c r="A130" s="32" t="str">
        <f t="array" ref="A130">XLOOKUP($E130,'Player Database'!$B$2:$B758,'Player Database'!$C$2:$C758)</f>
        <v>#N/A</v>
      </c>
      <c r="B130" s="32" t="str">
        <f t="array" ref="B130">XLOOKUP($E130,'Player Database'!$B$2:$B758,'Player Database'!$E$2:$E758)</f>
        <v>#N/A</v>
      </c>
      <c r="C130" s="32" t="str">
        <f t="array" ref="C130">XLOOKUP($E130,'Player Database'!$B$2:$B758,'Player Database'!$F$2:$F758)</f>
        <v>#N/A</v>
      </c>
      <c r="D130" s="106">
        <f>IFERROR(__xludf.DUMMYFUNCTION("""COMPUTED_VALUE"""),1.0)</f>
        <v>1</v>
      </c>
      <c r="E130" s="17"/>
      <c r="F130" s="18" t="str">
        <f t="array" ref="F130">XLOOKUP($E130,'Player Database'!$B$2:$B758,'Player Database'!$K$2:$K758)</f>
        <v>#N/A</v>
      </c>
      <c r="G130" s="18" t="str">
        <f t="array" ref="G130">XLOOKUP($E130,'Player Database'!$B$2:$B758,'Player Database'!$H$2:$H758)</f>
        <v>#N/A</v>
      </c>
      <c r="H130" s="18" t="str">
        <f t="array" ref="H130">XLOOKUP($E130,'Player Database'!$B$2:$B758,'Player Database'!$O$2:$O758)</f>
        <v>#N/A</v>
      </c>
      <c r="I130" s="18" t="str">
        <f t="array" ref="I130">XLOOKUP($E130,'Player Database'!$B$2:$B758,'Player Database'!$P$2:$P758)</f>
        <v>#N/A</v>
      </c>
      <c r="J130" s="20" t="str">
        <f t="array" ref="J130">XLOOKUP($E130,'Player Database'!$B$2:$B758,'Player Database'!$U$2:$U758)</f>
        <v>#N/A</v>
      </c>
      <c r="K130" s="22" t="str">
        <f>VLOOKUP(E130, 'Player Database'!B:AE, 30, FALSE)</f>
        <v>#N/A</v>
      </c>
      <c r="L130" s="22" t="str">
        <f t="array" ref="L130">XLOOKUP($E130,'Player Database'!$B$2:$B758,'Player Database'!$W$2:$W758)</f>
        <v>#N/A</v>
      </c>
      <c r="M130" s="23" t="str">
        <f t="shared" si="1"/>
        <v>0 - 0</v>
      </c>
      <c r="N130" s="24" t="str">
        <f t="array" ref="N130">IF(XLOOKUP($E130,'Player Database'!$B$2:$B758,'Player Database'!$AA$2:$AA758)="",XLOOKUP($E130,'Player Database'!$B$2:$B758,'Player Database'!$G$2:$G758),XLOOKUP($E130,'Player Database'!$B$2:$B758,'Player Database'!$AA$2:$AA758))</f>
        <v>#N/A</v>
      </c>
      <c r="O130" s="27">
        <f>COUNTIFs(Matches!$B:$B,E130,Matches!$A:$A,"&gt;"&amp;Q130,Matches!$A:$A,"&lt;"&amp;R130)</f>
        <v>0</v>
      </c>
      <c r="P130" s="27">
        <f>COUNTIFs(Matches!$C:$C,E130,Matches!$A:$A,"&gt;"&amp;Q130,Matches!$A:$A,"&lt;"&amp;R130)</f>
        <v>0</v>
      </c>
      <c r="Q130" s="28">
        <f>VLOOKUP($C$2,Quotas!$A$7:$E$14,2,FALSE)</f>
        <v>46213.70833</v>
      </c>
      <c r="R130" s="28">
        <f>VLOOKUP($C$2,Quotas!$A$7:$E$14,3,FALSE)</f>
        <v>46220.70833</v>
      </c>
    </row>
    <row r="131">
      <c r="A131" s="32" t="str">
        <f t="array" ref="A131">XLOOKUP($E131,'Player Database'!$B$2:$B758,'Player Database'!$C$2:$C758)</f>
        <v>#N/A</v>
      </c>
      <c r="B131" s="32" t="str">
        <f t="array" ref="B131">XLOOKUP($E131,'Player Database'!$B$2:$B758,'Player Database'!$E$2:$E758)</f>
        <v>#N/A</v>
      </c>
      <c r="C131" s="32" t="str">
        <f t="array" ref="C131">XLOOKUP($E131,'Player Database'!$B$2:$B758,'Player Database'!$F$2:$F758)</f>
        <v>#N/A</v>
      </c>
      <c r="D131" s="106">
        <f>IFERROR(__xludf.DUMMYFUNCTION("""COMPUTED_VALUE"""),1.0)</f>
        <v>1</v>
      </c>
      <c r="E131" s="17"/>
      <c r="F131" s="18" t="str">
        <f t="array" ref="F131">XLOOKUP($E131,'Player Database'!$B$2:$B758,'Player Database'!$K$2:$K758)</f>
        <v>#N/A</v>
      </c>
      <c r="G131" s="18" t="str">
        <f t="array" ref="G131">XLOOKUP($E131,'Player Database'!$B$2:$B758,'Player Database'!$H$2:$H758)</f>
        <v>#N/A</v>
      </c>
      <c r="H131" s="18" t="str">
        <f t="array" ref="H131">XLOOKUP($E131,'Player Database'!$B$2:$B758,'Player Database'!$O$2:$O758)</f>
        <v>#N/A</v>
      </c>
      <c r="I131" s="18" t="str">
        <f t="array" ref="I131">XLOOKUP($E131,'Player Database'!$B$2:$B758,'Player Database'!$P$2:$P758)</f>
        <v>#N/A</v>
      </c>
      <c r="J131" s="20" t="str">
        <f t="array" ref="J131">XLOOKUP($E131,'Player Database'!$B$2:$B758,'Player Database'!$U$2:$U758)</f>
        <v>#N/A</v>
      </c>
      <c r="K131" s="22" t="str">
        <f>VLOOKUP(E131, 'Player Database'!B:AE, 30, FALSE)</f>
        <v>#N/A</v>
      </c>
      <c r="L131" s="22" t="str">
        <f t="array" ref="L131">XLOOKUP($E131,'Player Database'!$B$2:$B758,'Player Database'!$W$2:$W758)</f>
        <v>#N/A</v>
      </c>
      <c r="M131" s="23" t="str">
        <f t="shared" si="1"/>
        <v>0 - 0</v>
      </c>
      <c r="N131" s="24" t="str">
        <f t="array" ref="N131">IF(XLOOKUP($E131,'Player Database'!$B$2:$B758,'Player Database'!$AA$2:$AA758)="",XLOOKUP($E131,'Player Database'!$B$2:$B758,'Player Database'!$G$2:$G758),XLOOKUP($E131,'Player Database'!$B$2:$B758,'Player Database'!$AA$2:$AA758))</f>
        <v>#N/A</v>
      </c>
      <c r="O131" s="27">
        <f>COUNTIFs(Matches!$B:$B,E131,Matches!$A:$A,"&gt;"&amp;Q131,Matches!$A:$A,"&lt;"&amp;R131)</f>
        <v>0</v>
      </c>
      <c r="P131" s="27">
        <f>COUNTIFs(Matches!$C:$C,E131,Matches!$A:$A,"&gt;"&amp;Q131,Matches!$A:$A,"&lt;"&amp;R131)</f>
        <v>0</v>
      </c>
      <c r="Q131" s="28">
        <f>VLOOKUP($C$2,Quotas!$A$7:$E$14,2,FALSE)</f>
        <v>46213.70833</v>
      </c>
      <c r="R131" s="28">
        <f>VLOOKUP($C$2,Quotas!$A$7:$E$14,3,FALSE)</f>
        <v>46220.70833</v>
      </c>
    </row>
    <row r="132">
      <c r="A132" s="32" t="str">
        <f t="array" ref="A132">XLOOKUP($E132,'Player Database'!$B$2:$B758,'Player Database'!$C$2:$C758)</f>
        <v>#N/A</v>
      </c>
      <c r="B132" s="32" t="str">
        <f t="array" ref="B132">XLOOKUP($E132,'Player Database'!$B$2:$B758,'Player Database'!$E$2:$E758)</f>
        <v>#N/A</v>
      </c>
      <c r="C132" s="32" t="str">
        <f t="array" ref="C132">XLOOKUP($E132,'Player Database'!$B$2:$B758,'Player Database'!$F$2:$F758)</f>
        <v>#N/A</v>
      </c>
      <c r="D132" s="106">
        <f>IFERROR(__xludf.DUMMYFUNCTION("""COMPUTED_VALUE"""),1.0)</f>
        <v>1</v>
      </c>
      <c r="E132" s="17"/>
      <c r="F132" s="18" t="str">
        <f t="array" ref="F132">XLOOKUP($E132,'Player Database'!$B$2:$B758,'Player Database'!$K$2:$K758)</f>
        <v>#N/A</v>
      </c>
      <c r="G132" s="18" t="str">
        <f t="array" ref="G132">XLOOKUP($E132,'Player Database'!$B$2:$B758,'Player Database'!$H$2:$H758)</f>
        <v>#N/A</v>
      </c>
      <c r="H132" s="18" t="str">
        <f t="array" ref="H132">XLOOKUP($E132,'Player Database'!$B$2:$B758,'Player Database'!$O$2:$O758)</f>
        <v>#N/A</v>
      </c>
      <c r="I132" s="18" t="str">
        <f t="array" ref="I132">XLOOKUP($E132,'Player Database'!$B$2:$B758,'Player Database'!$P$2:$P758)</f>
        <v>#N/A</v>
      </c>
      <c r="J132" s="20" t="str">
        <f t="array" ref="J132">XLOOKUP($E132,'Player Database'!$B$2:$B758,'Player Database'!$U$2:$U758)</f>
        <v>#N/A</v>
      </c>
      <c r="K132" s="22" t="str">
        <f>VLOOKUP(E132, 'Player Database'!B:AE, 30, FALSE)</f>
        <v>#N/A</v>
      </c>
      <c r="L132" s="22" t="str">
        <f t="array" ref="L132">XLOOKUP($E132,'Player Database'!$B$2:$B758,'Player Database'!$W$2:$W758)</f>
        <v>#N/A</v>
      </c>
      <c r="M132" s="23" t="str">
        <f t="shared" si="1"/>
        <v>0 - 0</v>
      </c>
      <c r="N132" s="24" t="str">
        <f t="array" ref="N132">IF(XLOOKUP($E132,'Player Database'!$B$2:$B758,'Player Database'!$AA$2:$AA758)="",XLOOKUP($E132,'Player Database'!$B$2:$B758,'Player Database'!$G$2:$G758),XLOOKUP($E132,'Player Database'!$B$2:$B758,'Player Database'!$AA$2:$AA758))</f>
        <v>#N/A</v>
      </c>
      <c r="O132" s="27">
        <f>COUNTIFs(Matches!$B:$B,E132,Matches!$A:$A,"&gt;"&amp;Q132,Matches!$A:$A,"&lt;"&amp;R132)</f>
        <v>0</v>
      </c>
      <c r="P132" s="27">
        <f>COUNTIFs(Matches!$C:$C,E132,Matches!$A:$A,"&gt;"&amp;Q132,Matches!$A:$A,"&lt;"&amp;R132)</f>
        <v>0</v>
      </c>
      <c r="Q132" s="28">
        <f>VLOOKUP($C$2,Quotas!$A$7:$E$14,2,FALSE)</f>
        <v>46213.70833</v>
      </c>
      <c r="R132" s="28">
        <f>VLOOKUP($C$2,Quotas!$A$7:$E$14,3,FALSE)</f>
        <v>46220.70833</v>
      </c>
    </row>
    <row r="133">
      <c r="A133" s="32" t="str">
        <f t="array" ref="A133">XLOOKUP($E133,'Player Database'!$B$2:$B758,'Player Database'!$C$2:$C758)</f>
        <v>#N/A</v>
      </c>
      <c r="B133" s="32" t="str">
        <f t="array" ref="B133">XLOOKUP($E133,'Player Database'!$B$2:$B758,'Player Database'!$E$2:$E758)</f>
        <v>#N/A</v>
      </c>
      <c r="C133" s="32" t="str">
        <f t="array" ref="C133">XLOOKUP($E133,'Player Database'!$B$2:$B758,'Player Database'!$F$2:$F758)</f>
        <v>#N/A</v>
      </c>
      <c r="D133" s="106">
        <f>IFERROR(__xludf.DUMMYFUNCTION("""COMPUTED_VALUE"""),1.0)</f>
        <v>1</v>
      </c>
      <c r="E133" s="17"/>
      <c r="F133" s="18" t="str">
        <f t="array" ref="F133">XLOOKUP($E133,'Player Database'!$B$2:$B758,'Player Database'!$K$2:$K758)</f>
        <v>#N/A</v>
      </c>
      <c r="G133" s="18" t="str">
        <f t="array" ref="G133">XLOOKUP($E133,'Player Database'!$B$2:$B758,'Player Database'!$H$2:$H758)</f>
        <v>#N/A</v>
      </c>
      <c r="H133" s="18" t="str">
        <f t="array" ref="H133">XLOOKUP($E133,'Player Database'!$B$2:$B758,'Player Database'!$O$2:$O758)</f>
        <v>#N/A</v>
      </c>
      <c r="I133" s="18" t="str">
        <f t="array" ref="I133">XLOOKUP($E133,'Player Database'!$B$2:$B758,'Player Database'!$P$2:$P758)</f>
        <v>#N/A</v>
      </c>
      <c r="J133" s="20" t="str">
        <f t="array" ref="J133">XLOOKUP($E133,'Player Database'!$B$2:$B758,'Player Database'!$U$2:$U758)</f>
        <v>#N/A</v>
      </c>
      <c r="K133" s="22" t="str">
        <f>VLOOKUP(E133, 'Player Database'!B:AE, 30, FALSE)</f>
        <v>#N/A</v>
      </c>
      <c r="L133" s="22" t="str">
        <f t="array" ref="L133">XLOOKUP($E133,'Player Database'!$B$2:$B758,'Player Database'!$W$2:$W758)</f>
        <v>#N/A</v>
      </c>
      <c r="M133" s="23" t="str">
        <f t="shared" si="1"/>
        <v>0 - 0</v>
      </c>
      <c r="N133" s="24" t="str">
        <f t="array" ref="N133">IF(XLOOKUP($E133,'Player Database'!$B$2:$B758,'Player Database'!$AA$2:$AA758)="",XLOOKUP($E133,'Player Database'!$B$2:$B758,'Player Database'!$G$2:$G758),XLOOKUP($E133,'Player Database'!$B$2:$B758,'Player Database'!$AA$2:$AA758))</f>
        <v>#N/A</v>
      </c>
      <c r="O133" s="27">
        <f>COUNTIFs(Matches!$B:$B,E133,Matches!$A:$A,"&gt;"&amp;Q133,Matches!$A:$A,"&lt;"&amp;R133)</f>
        <v>0</v>
      </c>
      <c r="P133" s="27">
        <f>COUNTIFs(Matches!$C:$C,E133,Matches!$A:$A,"&gt;"&amp;Q133,Matches!$A:$A,"&lt;"&amp;R133)</f>
        <v>0</v>
      </c>
      <c r="Q133" s="28">
        <f>VLOOKUP($C$2,Quotas!$A$7:$E$14,2,FALSE)</f>
        <v>46213.70833</v>
      </c>
      <c r="R133" s="28">
        <f>VLOOKUP($C$2,Quotas!$A$7:$E$14,3,FALSE)</f>
        <v>46220.70833</v>
      </c>
    </row>
    <row r="134">
      <c r="A134" s="32" t="str">
        <f t="array" ref="A134">XLOOKUP($E134,'Player Database'!$B$2:$B758,'Player Database'!$C$2:$C758)</f>
        <v>#N/A</v>
      </c>
      <c r="B134" s="32" t="str">
        <f t="array" ref="B134">XLOOKUP($E134,'Player Database'!$B$2:$B758,'Player Database'!$E$2:$E758)</f>
        <v>#N/A</v>
      </c>
      <c r="C134" s="32" t="str">
        <f t="array" ref="C134">XLOOKUP($E134,'Player Database'!$B$2:$B758,'Player Database'!$F$2:$F758)</f>
        <v>#N/A</v>
      </c>
      <c r="D134" s="106">
        <f>IFERROR(__xludf.DUMMYFUNCTION("""COMPUTED_VALUE"""),1.0)</f>
        <v>1</v>
      </c>
      <c r="E134" s="17"/>
      <c r="F134" s="18" t="str">
        <f t="array" ref="F134">XLOOKUP($E134,'Player Database'!$B$2:$B758,'Player Database'!$K$2:$K758)</f>
        <v>#N/A</v>
      </c>
      <c r="G134" s="18" t="str">
        <f t="array" ref="G134">XLOOKUP($E134,'Player Database'!$B$2:$B758,'Player Database'!$H$2:$H758)</f>
        <v>#N/A</v>
      </c>
      <c r="H134" s="18" t="str">
        <f t="array" ref="H134">XLOOKUP($E134,'Player Database'!$B$2:$B758,'Player Database'!$O$2:$O758)</f>
        <v>#N/A</v>
      </c>
      <c r="I134" s="18" t="str">
        <f t="array" ref="I134">XLOOKUP($E134,'Player Database'!$B$2:$B758,'Player Database'!$P$2:$P758)</f>
        <v>#N/A</v>
      </c>
      <c r="J134" s="20" t="str">
        <f t="array" ref="J134">XLOOKUP($E134,'Player Database'!$B$2:$B758,'Player Database'!$U$2:$U758)</f>
        <v>#N/A</v>
      </c>
      <c r="K134" s="22" t="str">
        <f>VLOOKUP(E134, 'Player Database'!B:AE, 30, FALSE)</f>
        <v>#N/A</v>
      </c>
      <c r="L134" s="22" t="str">
        <f t="array" ref="L134">XLOOKUP($E134,'Player Database'!$B$2:$B758,'Player Database'!$W$2:$W758)</f>
        <v>#N/A</v>
      </c>
      <c r="M134" s="23" t="str">
        <f t="shared" si="1"/>
        <v>0 - 0</v>
      </c>
      <c r="N134" s="24" t="str">
        <f t="array" ref="N134">IF(XLOOKUP($E134,'Player Database'!$B$2:$B758,'Player Database'!$AA$2:$AA758)="",XLOOKUP($E134,'Player Database'!$B$2:$B758,'Player Database'!$G$2:$G758),XLOOKUP($E134,'Player Database'!$B$2:$B758,'Player Database'!$AA$2:$AA758))</f>
        <v>#N/A</v>
      </c>
      <c r="O134" s="27">
        <f>COUNTIFs(Matches!$B:$B,E134,Matches!$A:$A,"&gt;"&amp;Q134,Matches!$A:$A,"&lt;"&amp;R134)</f>
        <v>0</v>
      </c>
      <c r="P134" s="27">
        <f>COUNTIFs(Matches!$C:$C,E134,Matches!$A:$A,"&gt;"&amp;Q134,Matches!$A:$A,"&lt;"&amp;R134)</f>
        <v>0</v>
      </c>
      <c r="Q134" s="28">
        <f>VLOOKUP($C$2,Quotas!$A$7:$E$14,2,FALSE)</f>
        <v>46213.70833</v>
      </c>
      <c r="R134" s="28">
        <f>VLOOKUP($C$2,Quotas!$A$7:$E$14,3,FALSE)</f>
        <v>46220.70833</v>
      </c>
    </row>
    <row r="135">
      <c r="A135" s="32" t="str">
        <f t="array" ref="A135">XLOOKUP($E135,'Player Database'!$B$2:$B758,'Player Database'!$C$2:$C758)</f>
        <v>#N/A</v>
      </c>
      <c r="B135" s="32" t="str">
        <f t="array" ref="B135">XLOOKUP($E135,'Player Database'!$B$2:$B758,'Player Database'!$E$2:$E758)</f>
        <v>#N/A</v>
      </c>
      <c r="C135" s="32" t="str">
        <f t="array" ref="C135">XLOOKUP($E135,'Player Database'!$B$2:$B758,'Player Database'!$F$2:$F758)</f>
        <v>#N/A</v>
      </c>
      <c r="D135" s="106">
        <f>IFERROR(__xludf.DUMMYFUNCTION("""COMPUTED_VALUE"""),1.0)</f>
        <v>1</v>
      </c>
      <c r="E135" s="17"/>
      <c r="F135" s="18" t="str">
        <f t="array" ref="F135">XLOOKUP($E135,'Player Database'!$B$2:$B758,'Player Database'!$K$2:$K758)</f>
        <v>#N/A</v>
      </c>
      <c r="G135" s="18" t="str">
        <f t="array" ref="G135">XLOOKUP($E135,'Player Database'!$B$2:$B758,'Player Database'!$H$2:$H758)</f>
        <v>#N/A</v>
      </c>
      <c r="H135" s="18" t="str">
        <f t="array" ref="H135">XLOOKUP($E135,'Player Database'!$B$2:$B758,'Player Database'!$O$2:$O758)</f>
        <v>#N/A</v>
      </c>
      <c r="I135" s="18" t="str">
        <f t="array" ref="I135">XLOOKUP($E135,'Player Database'!$B$2:$B758,'Player Database'!$P$2:$P758)</f>
        <v>#N/A</v>
      </c>
      <c r="J135" s="20" t="str">
        <f t="array" ref="J135">XLOOKUP($E135,'Player Database'!$B$2:$B758,'Player Database'!$U$2:$U758)</f>
        <v>#N/A</v>
      </c>
      <c r="K135" s="22" t="str">
        <f>VLOOKUP(E135, 'Player Database'!B:AE, 30, FALSE)</f>
        <v>#N/A</v>
      </c>
      <c r="L135" s="22" t="str">
        <f t="array" ref="L135">XLOOKUP($E135,'Player Database'!$B$2:$B758,'Player Database'!$W$2:$W758)</f>
        <v>#N/A</v>
      </c>
      <c r="M135" s="23" t="str">
        <f t="shared" si="1"/>
        <v>0 - 0</v>
      </c>
      <c r="N135" s="24" t="str">
        <f t="array" ref="N135">IF(XLOOKUP($E135,'Player Database'!$B$2:$B758,'Player Database'!$AA$2:$AA758)="",XLOOKUP($E135,'Player Database'!$B$2:$B758,'Player Database'!$G$2:$G758),XLOOKUP($E135,'Player Database'!$B$2:$B758,'Player Database'!$AA$2:$AA758))</f>
        <v>#N/A</v>
      </c>
      <c r="O135" s="27">
        <f>COUNTIFs(Matches!$B:$B,E135,Matches!$A:$A,"&gt;"&amp;Q135,Matches!$A:$A,"&lt;"&amp;R135)</f>
        <v>0</v>
      </c>
      <c r="P135" s="27">
        <f>COUNTIFs(Matches!$C:$C,E135,Matches!$A:$A,"&gt;"&amp;Q135,Matches!$A:$A,"&lt;"&amp;R135)</f>
        <v>0</v>
      </c>
      <c r="Q135" s="28">
        <f>VLOOKUP($C$2,Quotas!$A$7:$E$14,2,FALSE)</f>
        <v>46213.70833</v>
      </c>
      <c r="R135" s="28">
        <f>VLOOKUP($C$2,Quotas!$A$7:$E$14,3,FALSE)</f>
        <v>46220.70833</v>
      </c>
    </row>
    <row r="136">
      <c r="A136" s="32" t="str">
        <f t="array" ref="A136">XLOOKUP($E136,'Player Database'!$B$2:$B758,'Player Database'!$C$2:$C758)</f>
        <v>#N/A</v>
      </c>
      <c r="B136" s="32" t="str">
        <f t="array" ref="B136">XLOOKUP($E136,'Player Database'!$B$2:$B758,'Player Database'!$E$2:$E758)</f>
        <v>#N/A</v>
      </c>
      <c r="C136" s="32" t="str">
        <f t="array" ref="C136">XLOOKUP($E136,'Player Database'!$B$2:$B758,'Player Database'!$F$2:$F758)</f>
        <v>#N/A</v>
      </c>
      <c r="D136" s="106">
        <f>IFERROR(__xludf.DUMMYFUNCTION("""COMPUTED_VALUE"""),1.0)</f>
        <v>1</v>
      </c>
      <c r="E136" s="17"/>
      <c r="F136" s="18" t="str">
        <f t="array" ref="F136">XLOOKUP($E136,'Player Database'!$B$2:$B758,'Player Database'!$K$2:$K758)</f>
        <v>#N/A</v>
      </c>
      <c r="G136" s="18" t="str">
        <f t="array" ref="G136">XLOOKUP($E136,'Player Database'!$B$2:$B758,'Player Database'!$H$2:$H758)</f>
        <v>#N/A</v>
      </c>
      <c r="H136" s="18" t="str">
        <f t="array" ref="H136">XLOOKUP($E136,'Player Database'!$B$2:$B758,'Player Database'!$O$2:$O758)</f>
        <v>#N/A</v>
      </c>
      <c r="I136" s="18" t="str">
        <f t="array" ref="I136">XLOOKUP($E136,'Player Database'!$B$2:$B758,'Player Database'!$P$2:$P758)</f>
        <v>#N/A</v>
      </c>
      <c r="J136" s="20" t="str">
        <f t="array" ref="J136">XLOOKUP($E136,'Player Database'!$B$2:$B758,'Player Database'!$U$2:$U758)</f>
        <v>#N/A</v>
      </c>
      <c r="K136" s="22" t="str">
        <f>VLOOKUP(E136, 'Player Database'!B:AE, 30, FALSE)</f>
        <v>#N/A</v>
      </c>
      <c r="L136" s="22" t="str">
        <f t="array" ref="L136">XLOOKUP($E136,'Player Database'!$B$2:$B758,'Player Database'!$W$2:$W758)</f>
        <v>#N/A</v>
      </c>
      <c r="M136" s="23" t="str">
        <f t="shared" si="1"/>
        <v>0 - 0</v>
      </c>
      <c r="N136" s="24" t="str">
        <f t="array" ref="N136">IF(XLOOKUP($E136,'Player Database'!$B$2:$B758,'Player Database'!$AA$2:$AA758)="",XLOOKUP($E136,'Player Database'!$B$2:$B758,'Player Database'!$G$2:$G758),XLOOKUP($E136,'Player Database'!$B$2:$B758,'Player Database'!$AA$2:$AA758))</f>
        <v>#N/A</v>
      </c>
      <c r="O136" s="27">
        <f>COUNTIFs(Matches!$B:$B,E136,Matches!$A:$A,"&gt;"&amp;Q136,Matches!$A:$A,"&lt;"&amp;R136)</f>
        <v>0</v>
      </c>
      <c r="P136" s="27">
        <f>COUNTIFs(Matches!$C:$C,E136,Matches!$A:$A,"&gt;"&amp;Q136,Matches!$A:$A,"&lt;"&amp;R136)</f>
        <v>0</v>
      </c>
      <c r="Q136" s="28">
        <f>VLOOKUP($C$2,Quotas!$A$7:$E$14,2,FALSE)</f>
        <v>46213.70833</v>
      </c>
      <c r="R136" s="28">
        <f>VLOOKUP($C$2,Quotas!$A$7:$E$14,3,FALSE)</f>
        <v>46220.70833</v>
      </c>
    </row>
    <row r="137">
      <c r="A137" s="32" t="str">
        <f t="array" ref="A137">XLOOKUP($E137,'Player Database'!$B$2:$B758,'Player Database'!$C$2:$C758)</f>
        <v>#N/A</v>
      </c>
      <c r="B137" s="32" t="str">
        <f t="array" ref="B137">XLOOKUP($E137,'Player Database'!$B$2:$B758,'Player Database'!$E$2:$E758)</f>
        <v>#N/A</v>
      </c>
      <c r="C137" s="32" t="str">
        <f t="array" ref="C137">XLOOKUP($E137,'Player Database'!$B$2:$B758,'Player Database'!$F$2:$F758)</f>
        <v>#N/A</v>
      </c>
      <c r="D137" s="106">
        <f>IFERROR(__xludf.DUMMYFUNCTION("""COMPUTED_VALUE"""),1.0)</f>
        <v>1</v>
      </c>
      <c r="E137" s="17"/>
      <c r="F137" s="18" t="str">
        <f t="array" ref="F137">XLOOKUP($E137,'Player Database'!$B$2:$B758,'Player Database'!$K$2:$K758)</f>
        <v>#N/A</v>
      </c>
      <c r="G137" s="18" t="str">
        <f t="array" ref="G137">XLOOKUP($E137,'Player Database'!$B$2:$B758,'Player Database'!$H$2:$H758)</f>
        <v>#N/A</v>
      </c>
      <c r="H137" s="18" t="str">
        <f t="array" ref="H137">XLOOKUP($E137,'Player Database'!$B$2:$B758,'Player Database'!$O$2:$O758)</f>
        <v>#N/A</v>
      </c>
      <c r="I137" s="18" t="str">
        <f t="array" ref="I137">XLOOKUP($E137,'Player Database'!$B$2:$B758,'Player Database'!$P$2:$P758)</f>
        <v>#N/A</v>
      </c>
      <c r="J137" s="20" t="str">
        <f t="array" ref="J137">XLOOKUP($E137,'Player Database'!$B$2:$B758,'Player Database'!$U$2:$U758)</f>
        <v>#N/A</v>
      </c>
      <c r="K137" s="22" t="str">
        <f>VLOOKUP(E137, 'Player Database'!B:AE, 30, FALSE)</f>
        <v>#N/A</v>
      </c>
      <c r="L137" s="22" t="str">
        <f t="array" ref="L137">XLOOKUP($E137,'Player Database'!$B$2:$B758,'Player Database'!$W$2:$W758)</f>
        <v>#N/A</v>
      </c>
      <c r="M137" s="23" t="str">
        <f t="shared" si="1"/>
        <v>0 - 0</v>
      </c>
      <c r="N137" s="24" t="str">
        <f t="array" ref="N137">IF(XLOOKUP($E137,'Player Database'!$B$2:$B758,'Player Database'!$AA$2:$AA758)="",XLOOKUP($E137,'Player Database'!$B$2:$B758,'Player Database'!$G$2:$G758),XLOOKUP($E137,'Player Database'!$B$2:$B758,'Player Database'!$AA$2:$AA758))</f>
        <v>#N/A</v>
      </c>
      <c r="O137" s="27">
        <f>COUNTIFs(Matches!$B:$B,E137,Matches!$A:$A,"&gt;"&amp;Q137,Matches!$A:$A,"&lt;"&amp;R137)</f>
        <v>0</v>
      </c>
      <c r="P137" s="27">
        <f>COUNTIFs(Matches!$C:$C,E137,Matches!$A:$A,"&gt;"&amp;Q137,Matches!$A:$A,"&lt;"&amp;R137)</f>
        <v>0</v>
      </c>
      <c r="Q137" s="28">
        <f>VLOOKUP($C$2,Quotas!$A$7:$E$14,2,FALSE)</f>
        <v>46213.70833</v>
      </c>
      <c r="R137" s="28">
        <f>VLOOKUP($C$2,Quotas!$A$7:$E$14,3,FALSE)</f>
        <v>46220.70833</v>
      </c>
    </row>
    <row r="138">
      <c r="A138" s="32" t="str">
        <f t="array" ref="A138">XLOOKUP($E138,'Player Database'!$B$2:$B758,'Player Database'!$C$2:$C758)</f>
        <v>#N/A</v>
      </c>
      <c r="B138" s="32" t="str">
        <f t="array" ref="B138">XLOOKUP($E138,'Player Database'!$B$2:$B758,'Player Database'!$E$2:$E758)</f>
        <v>#N/A</v>
      </c>
      <c r="C138" s="32" t="str">
        <f t="array" ref="C138">XLOOKUP($E138,'Player Database'!$B$2:$B758,'Player Database'!$F$2:$F758)</f>
        <v>#N/A</v>
      </c>
      <c r="D138" s="106">
        <f>IFERROR(__xludf.DUMMYFUNCTION("""COMPUTED_VALUE"""),1.0)</f>
        <v>1</v>
      </c>
      <c r="E138" s="17"/>
      <c r="F138" s="18" t="str">
        <f t="array" ref="F138">XLOOKUP($E138,'Player Database'!$B$2:$B758,'Player Database'!$K$2:$K758)</f>
        <v>#N/A</v>
      </c>
      <c r="G138" s="18" t="str">
        <f t="array" ref="G138">XLOOKUP($E138,'Player Database'!$B$2:$B758,'Player Database'!$H$2:$H758)</f>
        <v>#N/A</v>
      </c>
      <c r="H138" s="18" t="str">
        <f t="array" ref="H138">XLOOKUP($E138,'Player Database'!$B$2:$B758,'Player Database'!$O$2:$O758)</f>
        <v>#N/A</v>
      </c>
      <c r="I138" s="18" t="str">
        <f t="array" ref="I138">XLOOKUP($E138,'Player Database'!$B$2:$B758,'Player Database'!$P$2:$P758)</f>
        <v>#N/A</v>
      </c>
      <c r="J138" s="20" t="str">
        <f t="array" ref="J138">XLOOKUP($E138,'Player Database'!$B$2:$B758,'Player Database'!$U$2:$U758)</f>
        <v>#N/A</v>
      </c>
      <c r="K138" s="22" t="str">
        <f>VLOOKUP(E138, 'Player Database'!B:AE, 30, FALSE)</f>
        <v>#N/A</v>
      </c>
      <c r="L138" s="22" t="str">
        <f t="array" ref="L138">XLOOKUP($E138,'Player Database'!$B$2:$B758,'Player Database'!$W$2:$W758)</f>
        <v>#N/A</v>
      </c>
      <c r="M138" s="23" t="str">
        <f t="shared" si="1"/>
        <v>0 - 0</v>
      </c>
      <c r="N138" s="24" t="str">
        <f t="array" ref="N138">IF(XLOOKUP($E138,'Player Database'!$B$2:$B758,'Player Database'!$AA$2:$AA758)="",XLOOKUP($E138,'Player Database'!$B$2:$B758,'Player Database'!$G$2:$G758),XLOOKUP($E138,'Player Database'!$B$2:$B758,'Player Database'!$AA$2:$AA758))</f>
        <v>#N/A</v>
      </c>
      <c r="O138" s="27">
        <f>COUNTIFs(Matches!$B:$B,E138,Matches!$A:$A,"&gt;"&amp;Q138,Matches!$A:$A,"&lt;"&amp;R138)</f>
        <v>0</v>
      </c>
      <c r="P138" s="27">
        <f>COUNTIFs(Matches!$C:$C,E138,Matches!$A:$A,"&gt;"&amp;Q138,Matches!$A:$A,"&lt;"&amp;R138)</f>
        <v>0</v>
      </c>
      <c r="Q138" s="28">
        <f>VLOOKUP($C$2,Quotas!$A$7:$E$14,2,FALSE)</f>
        <v>46213.70833</v>
      </c>
      <c r="R138" s="28">
        <f>VLOOKUP($C$2,Quotas!$A$7:$E$14,3,FALSE)</f>
        <v>46220.70833</v>
      </c>
    </row>
    <row r="139">
      <c r="A139" s="32" t="str">
        <f t="array" ref="A139">XLOOKUP($E139,'Player Database'!$B$2:$B758,'Player Database'!$C$2:$C758)</f>
        <v>#N/A</v>
      </c>
      <c r="B139" s="32" t="str">
        <f t="array" ref="B139">XLOOKUP($E139,'Player Database'!$B$2:$B758,'Player Database'!$E$2:$E758)</f>
        <v>#N/A</v>
      </c>
      <c r="C139" s="32" t="str">
        <f t="array" ref="C139">XLOOKUP($E139,'Player Database'!$B$2:$B758,'Player Database'!$F$2:$F758)</f>
        <v>#N/A</v>
      </c>
      <c r="D139" s="106">
        <f>IFERROR(__xludf.DUMMYFUNCTION("""COMPUTED_VALUE"""),1.0)</f>
        <v>1</v>
      </c>
      <c r="E139" s="17"/>
      <c r="F139" s="18" t="str">
        <f t="array" ref="F139">XLOOKUP($E139,'Player Database'!$B$2:$B758,'Player Database'!$K$2:$K758)</f>
        <v>#N/A</v>
      </c>
      <c r="G139" s="18" t="str">
        <f t="array" ref="G139">XLOOKUP($E139,'Player Database'!$B$2:$B758,'Player Database'!$H$2:$H758)</f>
        <v>#N/A</v>
      </c>
      <c r="H139" s="18" t="str">
        <f t="array" ref="H139">XLOOKUP($E139,'Player Database'!$B$2:$B758,'Player Database'!$O$2:$O758)</f>
        <v>#N/A</v>
      </c>
      <c r="I139" s="18" t="str">
        <f t="array" ref="I139">XLOOKUP($E139,'Player Database'!$B$2:$B758,'Player Database'!$P$2:$P758)</f>
        <v>#N/A</v>
      </c>
      <c r="J139" s="20" t="str">
        <f t="array" ref="J139">XLOOKUP($E139,'Player Database'!$B$2:$B758,'Player Database'!$U$2:$U758)</f>
        <v>#N/A</v>
      </c>
      <c r="K139" s="22" t="str">
        <f>VLOOKUP(E139, 'Player Database'!B:AE, 30, FALSE)</f>
        <v>#N/A</v>
      </c>
      <c r="L139" s="22" t="str">
        <f t="array" ref="L139">XLOOKUP($E139,'Player Database'!$B$2:$B758,'Player Database'!$W$2:$W758)</f>
        <v>#N/A</v>
      </c>
      <c r="M139" s="23" t="str">
        <f t="shared" si="1"/>
        <v>0 - 0</v>
      </c>
      <c r="N139" s="24" t="str">
        <f t="array" ref="N139">IF(XLOOKUP($E139,'Player Database'!$B$2:$B758,'Player Database'!$AA$2:$AA758)="",XLOOKUP($E139,'Player Database'!$B$2:$B758,'Player Database'!$G$2:$G758),XLOOKUP($E139,'Player Database'!$B$2:$B758,'Player Database'!$AA$2:$AA758))</f>
        <v>#N/A</v>
      </c>
      <c r="O139" s="27">
        <f>COUNTIFs(Matches!$B:$B,E139,Matches!$A:$A,"&gt;"&amp;Q139,Matches!$A:$A,"&lt;"&amp;R139)</f>
        <v>0</v>
      </c>
      <c r="P139" s="27">
        <f>COUNTIFs(Matches!$C:$C,E139,Matches!$A:$A,"&gt;"&amp;Q139,Matches!$A:$A,"&lt;"&amp;R139)</f>
        <v>0</v>
      </c>
      <c r="Q139" s="28">
        <f>VLOOKUP($C$2,Quotas!$A$7:$E$14,2,FALSE)</f>
        <v>46213.70833</v>
      </c>
      <c r="R139" s="28">
        <f>VLOOKUP($C$2,Quotas!$A$7:$E$14,3,FALSE)</f>
        <v>46220.70833</v>
      </c>
    </row>
    <row r="140">
      <c r="A140" s="32" t="str">
        <f t="array" ref="A140">XLOOKUP($E140,'Player Database'!$B$2:$B758,'Player Database'!$C$2:$C758)</f>
        <v>#N/A</v>
      </c>
      <c r="B140" s="32" t="str">
        <f t="array" ref="B140">XLOOKUP($E140,'Player Database'!$B$2:$B758,'Player Database'!$E$2:$E758)</f>
        <v>#N/A</v>
      </c>
      <c r="C140" s="32" t="str">
        <f t="array" ref="C140">XLOOKUP($E140,'Player Database'!$B$2:$B758,'Player Database'!$F$2:$F758)</f>
        <v>#N/A</v>
      </c>
      <c r="D140" s="106">
        <f>IFERROR(__xludf.DUMMYFUNCTION("""COMPUTED_VALUE"""),1.0)</f>
        <v>1</v>
      </c>
      <c r="E140" s="17"/>
      <c r="F140" s="18" t="str">
        <f t="array" ref="F140">XLOOKUP($E140,'Player Database'!$B$2:$B758,'Player Database'!$K$2:$K758)</f>
        <v>#N/A</v>
      </c>
      <c r="G140" s="18" t="str">
        <f t="array" ref="G140">XLOOKUP($E140,'Player Database'!$B$2:$B758,'Player Database'!$H$2:$H758)</f>
        <v>#N/A</v>
      </c>
      <c r="H140" s="18" t="str">
        <f t="array" ref="H140">XLOOKUP($E140,'Player Database'!$B$2:$B758,'Player Database'!$O$2:$O758)</f>
        <v>#N/A</v>
      </c>
      <c r="I140" s="18" t="str">
        <f t="array" ref="I140">XLOOKUP($E140,'Player Database'!$B$2:$B758,'Player Database'!$P$2:$P758)</f>
        <v>#N/A</v>
      </c>
      <c r="J140" s="20" t="str">
        <f t="array" ref="J140">XLOOKUP($E140,'Player Database'!$B$2:$B758,'Player Database'!$U$2:$U758)</f>
        <v>#N/A</v>
      </c>
      <c r="K140" s="22" t="str">
        <f>VLOOKUP(E140, 'Player Database'!B:AE, 30, FALSE)</f>
        <v>#N/A</v>
      </c>
      <c r="L140" s="22" t="str">
        <f t="array" ref="L140">XLOOKUP($E140,'Player Database'!$B$2:$B758,'Player Database'!$W$2:$W758)</f>
        <v>#N/A</v>
      </c>
      <c r="M140" s="23" t="str">
        <f t="shared" si="1"/>
        <v>0 - 0</v>
      </c>
      <c r="N140" s="24" t="str">
        <f t="array" ref="N140">IF(XLOOKUP($E140,'Player Database'!$B$2:$B758,'Player Database'!$AA$2:$AA758)="",XLOOKUP($E140,'Player Database'!$B$2:$B758,'Player Database'!$G$2:$G758),XLOOKUP($E140,'Player Database'!$B$2:$B758,'Player Database'!$AA$2:$AA758))</f>
        <v>#N/A</v>
      </c>
      <c r="O140" s="27">
        <f>COUNTIFs(Matches!$B:$B,E140,Matches!$A:$A,"&gt;"&amp;Q140,Matches!$A:$A,"&lt;"&amp;R140)</f>
        <v>0</v>
      </c>
      <c r="P140" s="27">
        <f>COUNTIFs(Matches!$C:$C,E140,Matches!$A:$A,"&gt;"&amp;Q140,Matches!$A:$A,"&lt;"&amp;R140)</f>
        <v>0</v>
      </c>
      <c r="Q140" s="28">
        <f>VLOOKUP($C$2,Quotas!$A$7:$E$14,2,FALSE)</f>
        <v>46213.70833</v>
      </c>
      <c r="R140" s="28">
        <f>VLOOKUP($C$2,Quotas!$A$7:$E$14,3,FALSE)</f>
        <v>46220.70833</v>
      </c>
    </row>
    <row r="141">
      <c r="A141" s="32" t="str">
        <f t="array" ref="A141">XLOOKUP($E141,'Player Database'!$B$2:$B758,'Player Database'!$C$2:$C758)</f>
        <v>#N/A</v>
      </c>
      <c r="B141" s="32" t="str">
        <f t="array" ref="B141">XLOOKUP($E141,'Player Database'!$B$2:$B758,'Player Database'!$E$2:$E758)</f>
        <v>#N/A</v>
      </c>
      <c r="C141" s="32" t="str">
        <f t="array" ref="C141">XLOOKUP($E141,'Player Database'!$B$2:$B758,'Player Database'!$F$2:$F758)</f>
        <v>#N/A</v>
      </c>
      <c r="D141" s="106">
        <f>IFERROR(__xludf.DUMMYFUNCTION("""COMPUTED_VALUE"""),1.0)</f>
        <v>1</v>
      </c>
      <c r="E141" s="17"/>
      <c r="F141" s="18" t="str">
        <f t="array" ref="F141">XLOOKUP($E141,'Player Database'!$B$2:$B758,'Player Database'!$K$2:$K758)</f>
        <v>#N/A</v>
      </c>
      <c r="G141" s="18" t="str">
        <f t="array" ref="G141">XLOOKUP($E141,'Player Database'!$B$2:$B758,'Player Database'!$H$2:$H758)</f>
        <v>#N/A</v>
      </c>
      <c r="H141" s="18" t="str">
        <f t="array" ref="H141">XLOOKUP($E141,'Player Database'!$B$2:$B758,'Player Database'!$O$2:$O758)</f>
        <v>#N/A</v>
      </c>
      <c r="I141" s="18" t="str">
        <f t="array" ref="I141">XLOOKUP($E141,'Player Database'!$B$2:$B758,'Player Database'!$P$2:$P758)</f>
        <v>#N/A</v>
      </c>
      <c r="J141" s="20" t="str">
        <f t="array" ref="J141">XLOOKUP($E141,'Player Database'!$B$2:$B758,'Player Database'!$U$2:$U758)</f>
        <v>#N/A</v>
      </c>
      <c r="K141" s="22" t="str">
        <f>VLOOKUP(E141, 'Player Database'!B:AE, 30, FALSE)</f>
        <v>#N/A</v>
      </c>
      <c r="L141" s="22" t="str">
        <f t="array" ref="L141">XLOOKUP($E141,'Player Database'!$B$2:$B758,'Player Database'!$W$2:$W758)</f>
        <v>#N/A</v>
      </c>
      <c r="M141" s="23" t="str">
        <f t="shared" si="1"/>
        <v>0 - 0</v>
      </c>
      <c r="N141" s="24" t="str">
        <f t="array" ref="N141">IF(XLOOKUP($E141,'Player Database'!$B$2:$B758,'Player Database'!$AA$2:$AA758)="",XLOOKUP($E141,'Player Database'!$B$2:$B758,'Player Database'!$G$2:$G758),XLOOKUP($E141,'Player Database'!$B$2:$B758,'Player Database'!$AA$2:$AA758))</f>
        <v>#N/A</v>
      </c>
      <c r="O141" s="27">
        <f>COUNTIFs(Matches!$B:$B,E141,Matches!$A:$A,"&gt;"&amp;Q141,Matches!$A:$A,"&lt;"&amp;R141)</f>
        <v>0</v>
      </c>
      <c r="P141" s="27">
        <f>COUNTIFs(Matches!$C:$C,E141,Matches!$A:$A,"&gt;"&amp;Q141,Matches!$A:$A,"&lt;"&amp;R141)</f>
        <v>0</v>
      </c>
      <c r="Q141" s="28">
        <f>VLOOKUP($C$2,Quotas!$A$7:$E$14,2,FALSE)</f>
        <v>46213.70833</v>
      </c>
      <c r="R141" s="28">
        <f>VLOOKUP($C$2,Quotas!$A$7:$E$14,3,FALSE)</f>
        <v>46220.70833</v>
      </c>
    </row>
    <row r="142">
      <c r="A142" s="32" t="str">
        <f t="array" ref="A142">XLOOKUP($E142,'Player Database'!$B$2:$B758,'Player Database'!$C$2:$C758)</f>
        <v>#N/A</v>
      </c>
      <c r="B142" s="32" t="str">
        <f t="array" ref="B142">XLOOKUP($E142,'Player Database'!$B$2:$B758,'Player Database'!$E$2:$E758)</f>
        <v>#N/A</v>
      </c>
      <c r="C142" s="32" t="str">
        <f t="array" ref="C142">XLOOKUP($E142,'Player Database'!$B$2:$B758,'Player Database'!$F$2:$F758)</f>
        <v>#N/A</v>
      </c>
      <c r="D142" s="106">
        <f>IFERROR(__xludf.DUMMYFUNCTION("""COMPUTED_VALUE"""),1.0)</f>
        <v>1</v>
      </c>
      <c r="E142" s="17"/>
      <c r="F142" s="18" t="str">
        <f t="array" ref="F142">XLOOKUP($E142,'Player Database'!$B$2:$B758,'Player Database'!$K$2:$K758)</f>
        <v>#N/A</v>
      </c>
      <c r="G142" s="18" t="str">
        <f t="array" ref="G142">XLOOKUP($E142,'Player Database'!$B$2:$B758,'Player Database'!$H$2:$H758)</f>
        <v>#N/A</v>
      </c>
      <c r="H142" s="18" t="str">
        <f t="array" ref="H142">XLOOKUP($E142,'Player Database'!$B$2:$B758,'Player Database'!$O$2:$O758)</f>
        <v>#N/A</v>
      </c>
      <c r="I142" s="18" t="str">
        <f t="array" ref="I142">XLOOKUP($E142,'Player Database'!$B$2:$B758,'Player Database'!$P$2:$P758)</f>
        <v>#N/A</v>
      </c>
      <c r="J142" s="20" t="str">
        <f t="array" ref="J142">XLOOKUP($E142,'Player Database'!$B$2:$B758,'Player Database'!$U$2:$U758)</f>
        <v>#N/A</v>
      </c>
      <c r="K142" s="22" t="str">
        <f>VLOOKUP(E142, 'Player Database'!B:AE, 30, FALSE)</f>
        <v>#N/A</v>
      </c>
      <c r="L142" s="22" t="str">
        <f t="array" ref="L142">XLOOKUP($E142,'Player Database'!$B$2:$B758,'Player Database'!$W$2:$W758)</f>
        <v>#N/A</v>
      </c>
      <c r="M142" s="23" t="str">
        <f t="shared" si="1"/>
        <v>0 - 0</v>
      </c>
      <c r="N142" s="24" t="str">
        <f t="array" ref="N142">IF(XLOOKUP($E142,'Player Database'!$B$2:$B758,'Player Database'!$AA$2:$AA758)="",XLOOKUP($E142,'Player Database'!$B$2:$B758,'Player Database'!$G$2:$G758),XLOOKUP($E142,'Player Database'!$B$2:$B758,'Player Database'!$AA$2:$AA758))</f>
        <v>#N/A</v>
      </c>
      <c r="O142" s="27">
        <f>COUNTIFs(Matches!$B:$B,E142,Matches!$A:$A,"&gt;"&amp;Q142,Matches!$A:$A,"&lt;"&amp;R142)</f>
        <v>0</v>
      </c>
      <c r="P142" s="27">
        <f>COUNTIFs(Matches!$C:$C,E142,Matches!$A:$A,"&gt;"&amp;Q142,Matches!$A:$A,"&lt;"&amp;R142)</f>
        <v>0</v>
      </c>
      <c r="Q142" s="28">
        <f>VLOOKUP($C$2,Quotas!$A$7:$E$14,2,FALSE)</f>
        <v>46213.70833</v>
      </c>
      <c r="R142" s="28">
        <f>VLOOKUP($C$2,Quotas!$A$7:$E$14,3,FALSE)</f>
        <v>46220.70833</v>
      </c>
    </row>
    <row r="143">
      <c r="A143" s="32" t="str">
        <f t="array" ref="A143">XLOOKUP($E143,'Player Database'!$B$2:$B758,'Player Database'!$C$2:$C758)</f>
        <v>#N/A</v>
      </c>
      <c r="B143" s="32" t="str">
        <f t="array" ref="B143">XLOOKUP($E143,'Player Database'!$B$2:$B758,'Player Database'!$E$2:$E758)</f>
        <v>#N/A</v>
      </c>
      <c r="C143" s="32" t="str">
        <f t="array" ref="C143">XLOOKUP($E143,'Player Database'!$B$2:$B758,'Player Database'!$F$2:$F758)</f>
        <v>#N/A</v>
      </c>
      <c r="D143" s="106">
        <f>IFERROR(__xludf.DUMMYFUNCTION("""COMPUTED_VALUE"""),1.0)</f>
        <v>1</v>
      </c>
      <c r="E143" s="17"/>
      <c r="F143" s="18" t="str">
        <f t="array" ref="F143">XLOOKUP($E143,'Player Database'!$B$2:$B758,'Player Database'!$K$2:$K758)</f>
        <v>#N/A</v>
      </c>
      <c r="G143" s="18" t="str">
        <f t="array" ref="G143">XLOOKUP($E143,'Player Database'!$B$2:$B758,'Player Database'!$H$2:$H758)</f>
        <v>#N/A</v>
      </c>
      <c r="H143" s="18" t="str">
        <f t="array" ref="H143">XLOOKUP($E143,'Player Database'!$B$2:$B758,'Player Database'!$O$2:$O758)</f>
        <v>#N/A</v>
      </c>
      <c r="I143" s="18" t="str">
        <f t="array" ref="I143">XLOOKUP($E143,'Player Database'!$B$2:$B758,'Player Database'!$P$2:$P758)</f>
        <v>#N/A</v>
      </c>
      <c r="J143" s="20" t="str">
        <f t="array" ref="J143">XLOOKUP($E143,'Player Database'!$B$2:$B758,'Player Database'!$U$2:$U758)</f>
        <v>#N/A</v>
      </c>
      <c r="K143" s="22" t="str">
        <f>VLOOKUP(E143, 'Player Database'!B:AE, 30, FALSE)</f>
        <v>#N/A</v>
      </c>
      <c r="L143" s="22" t="str">
        <f t="array" ref="L143">XLOOKUP($E143,'Player Database'!$B$2:$B758,'Player Database'!$W$2:$W758)</f>
        <v>#N/A</v>
      </c>
      <c r="M143" s="23" t="str">
        <f t="shared" si="1"/>
        <v>0 - 0</v>
      </c>
      <c r="N143" s="24" t="str">
        <f t="array" ref="N143">IF(XLOOKUP($E143,'Player Database'!$B$2:$B758,'Player Database'!$AA$2:$AA758)="",XLOOKUP($E143,'Player Database'!$B$2:$B758,'Player Database'!$G$2:$G758),XLOOKUP($E143,'Player Database'!$B$2:$B758,'Player Database'!$AA$2:$AA758))</f>
        <v>#N/A</v>
      </c>
      <c r="O143" s="27">
        <f>COUNTIFs(Matches!$B:$B,E143,Matches!$A:$A,"&gt;"&amp;Q143,Matches!$A:$A,"&lt;"&amp;R143)</f>
        <v>0</v>
      </c>
      <c r="P143" s="27">
        <f>COUNTIFs(Matches!$C:$C,E143,Matches!$A:$A,"&gt;"&amp;Q143,Matches!$A:$A,"&lt;"&amp;R143)</f>
        <v>0</v>
      </c>
      <c r="Q143" s="28">
        <f>VLOOKUP($C$2,Quotas!$A$7:$E$14,2,FALSE)</f>
        <v>46213.70833</v>
      </c>
      <c r="R143" s="28">
        <f>VLOOKUP($C$2,Quotas!$A$7:$E$14,3,FALSE)</f>
        <v>46220.70833</v>
      </c>
    </row>
    <row r="144">
      <c r="A144" s="32" t="str">
        <f t="array" ref="A144">XLOOKUP($E144,'Player Database'!$B$2:$B758,'Player Database'!$C$2:$C758)</f>
        <v>#N/A</v>
      </c>
      <c r="B144" s="32" t="str">
        <f t="array" ref="B144">XLOOKUP($E144,'Player Database'!$B$2:$B758,'Player Database'!$E$2:$E758)</f>
        <v>#N/A</v>
      </c>
      <c r="C144" s="32" t="str">
        <f t="array" ref="C144">XLOOKUP($E144,'Player Database'!$B$2:$B758,'Player Database'!$F$2:$F758)</f>
        <v>#N/A</v>
      </c>
      <c r="D144" s="106">
        <f>IFERROR(__xludf.DUMMYFUNCTION("""COMPUTED_VALUE"""),1.0)</f>
        <v>1</v>
      </c>
      <c r="E144" s="17"/>
      <c r="F144" s="18" t="str">
        <f t="array" ref="F144">XLOOKUP($E144,'Player Database'!$B$2:$B758,'Player Database'!$K$2:$K758)</f>
        <v>#N/A</v>
      </c>
      <c r="G144" s="18" t="str">
        <f t="array" ref="G144">XLOOKUP($E144,'Player Database'!$B$2:$B758,'Player Database'!$H$2:$H758)</f>
        <v>#N/A</v>
      </c>
      <c r="H144" s="18" t="str">
        <f t="array" ref="H144">XLOOKUP($E144,'Player Database'!$B$2:$B758,'Player Database'!$O$2:$O758)</f>
        <v>#N/A</v>
      </c>
      <c r="I144" s="18" t="str">
        <f t="array" ref="I144">XLOOKUP($E144,'Player Database'!$B$2:$B758,'Player Database'!$P$2:$P758)</f>
        <v>#N/A</v>
      </c>
      <c r="J144" s="20" t="str">
        <f t="array" ref="J144">XLOOKUP($E144,'Player Database'!$B$2:$B758,'Player Database'!$U$2:$U758)</f>
        <v>#N/A</v>
      </c>
      <c r="K144" s="22" t="str">
        <f>VLOOKUP(E144, 'Player Database'!B:AE, 30, FALSE)</f>
        <v>#N/A</v>
      </c>
      <c r="L144" s="22" t="str">
        <f t="array" ref="L144">XLOOKUP($E144,'Player Database'!$B$2:$B758,'Player Database'!$W$2:$W758)</f>
        <v>#N/A</v>
      </c>
      <c r="M144" s="23" t="str">
        <f t="shared" si="1"/>
        <v>0 - 0</v>
      </c>
      <c r="N144" s="24" t="str">
        <f t="array" ref="N144">IF(XLOOKUP($E144,'Player Database'!$B$2:$B758,'Player Database'!$AA$2:$AA758)="",XLOOKUP($E144,'Player Database'!$B$2:$B758,'Player Database'!$G$2:$G758),XLOOKUP($E144,'Player Database'!$B$2:$B758,'Player Database'!$AA$2:$AA758))</f>
        <v>#N/A</v>
      </c>
      <c r="O144" s="27">
        <f>COUNTIFs(Matches!$B:$B,E144,Matches!$A:$A,"&gt;"&amp;Q144,Matches!$A:$A,"&lt;"&amp;R144)</f>
        <v>0</v>
      </c>
      <c r="P144" s="27">
        <f>COUNTIFs(Matches!$C:$C,E144,Matches!$A:$A,"&gt;"&amp;Q144,Matches!$A:$A,"&lt;"&amp;R144)</f>
        <v>0</v>
      </c>
      <c r="Q144" s="28">
        <f>VLOOKUP($C$2,Quotas!$A$7:$E$14,2,FALSE)</f>
        <v>46213.70833</v>
      </c>
      <c r="R144" s="28">
        <f>VLOOKUP($C$2,Quotas!$A$7:$E$14,3,FALSE)</f>
        <v>46220.70833</v>
      </c>
    </row>
    <row r="145">
      <c r="A145" s="32" t="str">
        <f t="array" ref="A145">XLOOKUP($E145,'Player Database'!$B$2:$B758,'Player Database'!$C$2:$C758)</f>
        <v>#N/A</v>
      </c>
      <c r="B145" s="32" t="str">
        <f t="array" ref="B145">XLOOKUP($E145,'Player Database'!$B$2:$B758,'Player Database'!$E$2:$E758)</f>
        <v>#N/A</v>
      </c>
      <c r="C145" s="32" t="str">
        <f t="array" ref="C145">XLOOKUP($E145,'Player Database'!$B$2:$B758,'Player Database'!$F$2:$F758)</f>
        <v>#N/A</v>
      </c>
      <c r="D145" s="106">
        <f>IFERROR(__xludf.DUMMYFUNCTION("""COMPUTED_VALUE"""),1.0)</f>
        <v>1</v>
      </c>
      <c r="E145" s="17"/>
      <c r="F145" s="18" t="str">
        <f t="array" ref="F145">XLOOKUP($E145,'Player Database'!$B$2:$B758,'Player Database'!$K$2:$K758)</f>
        <v>#N/A</v>
      </c>
      <c r="G145" s="18" t="str">
        <f t="array" ref="G145">XLOOKUP($E145,'Player Database'!$B$2:$B758,'Player Database'!$H$2:$H758)</f>
        <v>#N/A</v>
      </c>
      <c r="H145" s="18" t="str">
        <f t="array" ref="H145">XLOOKUP($E145,'Player Database'!$B$2:$B758,'Player Database'!$O$2:$O758)</f>
        <v>#N/A</v>
      </c>
      <c r="I145" s="18" t="str">
        <f t="array" ref="I145">XLOOKUP($E145,'Player Database'!$B$2:$B758,'Player Database'!$P$2:$P758)</f>
        <v>#N/A</v>
      </c>
      <c r="J145" s="20" t="str">
        <f t="array" ref="J145">XLOOKUP($E145,'Player Database'!$B$2:$B758,'Player Database'!$U$2:$U758)</f>
        <v>#N/A</v>
      </c>
      <c r="K145" s="22" t="str">
        <f>VLOOKUP(E145, 'Player Database'!B:AE, 30, FALSE)</f>
        <v>#N/A</v>
      </c>
      <c r="L145" s="22" t="str">
        <f t="array" ref="L145">XLOOKUP($E145,'Player Database'!$B$2:$B758,'Player Database'!$W$2:$W758)</f>
        <v>#N/A</v>
      </c>
      <c r="M145" s="23" t="str">
        <f t="shared" si="1"/>
        <v>0 - 0</v>
      </c>
      <c r="N145" s="24" t="str">
        <f t="array" ref="N145">IF(XLOOKUP($E145,'Player Database'!$B$2:$B758,'Player Database'!$AA$2:$AA758)="",XLOOKUP($E145,'Player Database'!$B$2:$B758,'Player Database'!$G$2:$G758),XLOOKUP($E145,'Player Database'!$B$2:$B758,'Player Database'!$AA$2:$AA758))</f>
        <v>#N/A</v>
      </c>
      <c r="O145" s="27">
        <f>COUNTIFs(Matches!$B:$B,E145,Matches!$A:$A,"&gt;"&amp;Q145,Matches!$A:$A,"&lt;"&amp;R145)</f>
        <v>0</v>
      </c>
      <c r="P145" s="27">
        <f>COUNTIFs(Matches!$C:$C,E145,Matches!$A:$A,"&gt;"&amp;Q145,Matches!$A:$A,"&lt;"&amp;R145)</f>
        <v>0</v>
      </c>
      <c r="Q145" s="28">
        <f>VLOOKUP($C$2,Quotas!$A$7:$E$14,2,FALSE)</f>
        <v>46213.70833</v>
      </c>
      <c r="R145" s="28">
        <f>VLOOKUP($C$2,Quotas!$A$7:$E$14,3,FALSE)</f>
        <v>46220.70833</v>
      </c>
    </row>
    <row r="146">
      <c r="A146" s="32" t="str">
        <f t="array" ref="A146">XLOOKUP($E146,'Player Database'!$B$2:$B758,'Player Database'!$C$2:$C758)</f>
        <v>#N/A</v>
      </c>
      <c r="B146" s="32" t="str">
        <f t="array" ref="B146">XLOOKUP($E146,'Player Database'!$B$2:$B758,'Player Database'!$E$2:$E758)</f>
        <v>#N/A</v>
      </c>
      <c r="C146" s="32" t="str">
        <f t="array" ref="C146">XLOOKUP($E146,'Player Database'!$B$2:$B758,'Player Database'!$F$2:$F758)</f>
        <v>#N/A</v>
      </c>
      <c r="D146" s="106">
        <f>IFERROR(__xludf.DUMMYFUNCTION("""COMPUTED_VALUE"""),1.0)</f>
        <v>1</v>
      </c>
      <c r="E146" s="17"/>
      <c r="F146" s="18" t="str">
        <f t="array" ref="F146">XLOOKUP($E146,'Player Database'!$B$2:$B758,'Player Database'!$K$2:$K758)</f>
        <v>#N/A</v>
      </c>
      <c r="G146" s="18" t="str">
        <f t="array" ref="G146">XLOOKUP($E146,'Player Database'!$B$2:$B758,'Player Database'!$H$2:$H758)</f>
        <v>#N/A</v>
      </c>
      <c r="H146" s="18" t="str">
        <f t="array" ref="H146">XLOOKUP($E146,'Player Database'!$B$2:$B758,'Player Database'!$O$2:$O758)</f>
        <v>#N/A</v>
      </c>
      <c r="I146" s="18" t="str">
        <f t="array" ref="I146">XLOOKUP($E146,'Player Database'!$B$2:$B758,'Player Database'!$P$2:$P758)</f>
        <v>#N/A</v>
      </c>
      <c r="J146" s="20" t="str">
        <f t="array" ref="J146">XLOOKUP($E146,'Player Database'!$B$2:$B758,'Player Database'!$U$2:$U758)</f>
        <v>#N/A</v>
      </c>
      <c r="K146" s="22" t="str">
        <f>VLOOKUP(E146, 'Player Database'!B:AE, 30, FALSE)</f>
        <v>#N/A</v>
      </c>
      <c r="L146" s="22" t="str">
        <f t="array" ref="L146">XLOOKUP($E146,'Player Database'!$B$2:$B758,'Player Database'!$W$2:$W758)</f>
        <v>#N/A</v>
      </c>
      <c r="M146" s="23" t="str">
        <f t="shared" si="1"/>
        <v>0 - 0</v>
      </c>
      <c r="N146" s="24" t="str">
        <f t="array" ref="N146">IF(XLOOKUP($E146,'Player Database'!$B$2:$B758,'Player Database'!$AA$2:$AA758)="",XLOOKUP($E146,'Player Database'!$B$2:$B758,'Player Database'!$G$2:$G758),XLOOKUP($E146,'Player Database'!$B$2:$B758,'Player Database'!$AA$2:$AA758))</f>
        <v>#N/A</v>
      </c>
      <c r="O146" s="27">
        <f>COUNTIFs(Matches!$B:$B,E146,Matches!$A:$A,"&gt;"&amp;Q146,Matches!$A:$A,"&lt;"&amp;R146)</f>
        <v>0</v>
      </c>
      <c r="P146" s="27">
        <f>COUNTIFs(Matches!$C:$C,E146,Matches!$A:$A,"&gt;"&amp;Q146,Matches!$A:$A,"&lt;"&amp;R146)</f>
        <v>0</v>
      </c>
      <c r="Q146" s="28">
        <f>VLOOKUP($C$2,Quotas!$A$7:$E$14,2,FALSE)</f>
        <v>46213.70833</v>
      </c>
      <c r="R146" s="28">
        <f>VLOOKUP($C$2,Quotas!$A$7:$E$14,3,FALSE)</f>
        <v>46220.70833</v>
      </c>
    </row>
    <row r="147">
      <c r="A147" s="32" t="str">
        <f t="array" ref="A147">XLOOKUP($E147,'Player Database'!$B$2:$B758,'Player Database'!$C$2:$C758)</f>
        <v>#N/A</v>
      </c>
      <c r="B147" s="32" t="str">
        <f t="array" ref="B147">XLOOKUP($E147,'Player Database'!$B$2:$B758,'Player Database'!$E$2:$E758)</f>
        <v>#N/A</v>
      </c>
      <c r="C147" s="32" t="str">
        <f t="array" ref="C147">XLOOKUP($E147,'Player Database'!$B$2:$B758,'Player Database'!$F$2:$F758)</f>
        <v>#N/A</v>
      </c>
      <c r="D147" s="106">
        <f>IFERROR(__xludf.DUMMYFUNCTION("""COMPUTED_VALUE"""),1.0)</f>
        <v>1</v>
      </c>
      <c r="E147" s="17"/>
      <c r="F147" s="18" t="str">
        <f t="array" ref="F147">XLOOKUP($E147,'Player Database'!$B$2:$B758,'Player Database'!$K$2:$K758)</f>
        <v>#N/A</v>
      </c>
      <c r="G147" s="18" t="str">
        <f t="array" ref="G147">XLOOKUP($E147,'Player Database'!$B$2:$B758,'Player Database'!$H$2:$H758)</f>
        <v>#N/A</v>
      </c>
      <c r="H147" s="18" t="str">
        <f t="array" ref="H147">XLOOKUP($E147,'Player Database'!$B$2:$B758,'Player Database'!$O$2:$O758)</f>
        <v>#N/A</v>
      </c>
      <c r="I147" s="18" t="str">
        <f t="array" ref="I147">XLOOKUP($E147,'Player Database'!$B$2:$B758,'Player Database'!$P$2:$P758)</f>
        <v>#N/A</v>
      </c>
      <c r="J147" s="20" t="str">
        <f t="array" ref="J147">XLOOKUP($E147,'Player Database'!$B$2:$B758,'Player Database'!$U$2:$U758)</f>
        <v>#N/A</v>
      </c>
      <c r="K147" s="22" t="str">
        <f>VLOOKUP(E147, 'Player Database'!B:AE, 30, FALSE)</f>
        <v>#N/A</v>
      </c>
      <c r="L147" s="22" t="str">
        <f t="array" ref="L147">XLOOKUP($E147,'Player Database'!$B$2:$B758,'Player Database'!$W$2:$W758)</f>
        <v>#N/A</v>
      </c>
      <c r="M147" s="23" t="str">
        <f t="shared" si="1"/>
        <v>0 - 0</v>
      </c>
      <c r="N147" s="24" t="str">
        <f t="array" ref="N147">IF(XLOOKUP($E147,'Player Database'!$B$2:$B758,'Player Database'!$AA$2:$AA758)="",XLOOKUP($E147,'Player Database'!$B$2:$B758,'Player Database'!$G$2:$G758),XLOOKUP($E147,'Player Database'!$B$2:$B758,'Player Database'!$AA$2:$AA758))</f>
        <v>#N/A</v>
      </c>
      <c r="O147" s="27">
        <f>COUNTIFs(Matches!$B:$B,E147,Matches!$A:$A,"&gt;"&amp;Q147,Matches!$A:$A,"&lt;"&amp;R147)</f>
        <v>0</v>
      </c>
      <c r="P147" s="27">
        <f>COUNTIFs(Matches!$C:$C,E147,Matches!$A:$A,"&gt;"&amp;Q147,Matches!$A:$A,"&lt;"&amp;R147)</f>
        <v>0</v>
      </c>
      <c r="Q147" s="28">
        <f>VLOOKUP($C$2,Quotas!$A$7:$E$14,2,FALSE)</f>
        <v>46213.70833</v>
      </c>
      <c r="R147" s="28">
        <f>VLOOKUP($C$2,Quotas!$A$7:$E$14,3,FALSE)</f>
        <v>46220.70833</v>
      </c>
    </row>
    <row r="148">
      <c r="A148" s="32" t="str">
        <f t="array" ref="A148">XLOOKUP($E148,'Player Database'!$B$2:$B758,'Player Database'!$C$2:$C758)</f>
        <v>#N/A</v>
      </c>
      <c r="B148" s="32" t="str">
        <f t="array" ref="B148">XLOOKUP($E148,'Player Database'!$B$2:$B758,'Player Database'!$E$2:$E758)</f>
        <v>#N/A</v>
      </c>
      <c r="C148" s="32" t="str">
        <f t="array" ref="C148">XLOOKUP($E148,'Player Database'!$B$2:$B758,'Player Database'!$F$2:$F758)</f>
        <v>#N/A</v>
      </c>
      <c r="D148" s="106">
        <f>IFERROR(__xludf.DUMMYFUNCTION("""COMPUTED_VALUE"""),1.0)</f>
        <v>1</v>
      </c>
      <c r="E148" s="17"/>
      <c r="F148" s="18" t="str">
        <f t="array" ref="F148">XLOOKUP($E148,'Player Database'!$B$2:$B758,'Player Database'!$K$2:$K758)</f>
        <v>#N/A</v>
      </c>
      <c r="G148" s="18" t="str">
        <f t="array" ref="G148">XLOOKUP($E148,'Player Database'!$B$2:$B758,'Player Database'!$H$2:$H758)</f>
        <v>#N/A</v>
      </c>
      <c r="H148" s="18" t="str">
        <f t="array" ref="H148">XLOOKUP($E148,'Player Database'!$B$2:$B758,'Player Database'!$O$2:$O758)</f>
        <v>#N/A</v>
      </c>
      <c r="I148" s="18" t="str">
        <f t="array" ref="I148">XLOOKUP($E148,'Player Database'!$B$2:$B758,'Player Database'!$P$2:$P758)</f>
        <v>#N/A</v>
      </c>
      <c r="J148" s="20" t="str">
        <f t="array" ref="J148">XLOOKUP($E148,'Player Database'!$B$2:$B758,'Player Database'!$U$2:$U758)</f>
        <v>#N/A</v>
      </c>
      <c r="K148" s="22" t="str">
        <f>VLOOKUP(E148, 'Player Database'!B:AE, 30, FALSE)</f>
        <v>#N/A</v>
      </c>
      <c r="L148" s="22" t="str">
        <f t="array" ref="L148">XLOOKUP($E148,'Player Database'!$B$2:$B758,'Player Database'!$W$2:$W758)</f>
        <v>#N/A</v>
      </c>
      <c r="M148" s="23" t="str">
        <f t="shared" si="1"/>
        <v>0 - 0</v>
      </c>
      <c r="N148" s="24" t="str">
        <f t="array" ref="N148">IF(XLOOKUP($E148,'Player Database'!$B$2:$B758,'Player Database'!$AA$2:$AA758)="",XLOOKUP($E148,'Player Database'!$B$2:$B758,'Player Database'!$G$2:$G758),XLOOKUP($E148,'Player Database'!$B$2:$B758,'Player Database'!$AA$2:$AA758))</f>
        <v>#N/A</v>
      </c>
      <c r="O148" s="27">
        <f>COUNTIFs(Matches!$B:$B,E148,Matches!$A:$A,"&gt;"&amp;Q148,Matches!$A:$A,"&lt;"&amp;R148)</f>
        <v>0</v>
      </c>
      <c r="P148" s="27">
        <f>COUNTIFs(Matches!$C:$C,E148,Matches!$A:$A,"&gt;"&amp;Q148,Matches!$A:$A,"&lt;"&amp;R148)</f>
        <v>0</v>
      </c>
      <c r="Q148" s="28">
        <f>VLOOKUP($C$2,Quotas!$A$7:$E$14,2,FALSE)</f>
        <v>46213.70833</v>
      </c>
      <c r="R148" s="28">
        <f>VLOOKUP($C$2,Quotas!$A$7:$E$14,3,FALSE)</f>
        <v>46220.70833</v>
      </c>
    </row>
    <row r="149">
      <c r="A149" s="32" t="str">
        <f t="array" ref="A149">XLOOKUP($E149,'Player Database'!$B$2:$B758,'Player Database'!$C$2:$C758)</f>
        <v>#N/A</v>
      </c>
      <c r="B149" s="32" t="str">
        <f t="array" ref="B149">XLOOKUP($E149,'Player Database'!$B$2:$B758,'Player Database'!$E$2:$E758)</f>
        <v>#N/A</v>
      </c>
      <c r="C149" s="32" t="str">
        <f t="array" ref="C149">XLOOKUP($E149,'Player Database'!$B$2:$B758,'Player Database'!$F$2:$F758)</f>
        <v>#N/A</v>
      </c>
      <c r="D149" s="106">
        <f>IFERROR(__xludf.DUMMYFUNCTION("""COMPUTED_VALUE"""),1.0)</f>
        <v>1</v>
      </c>
      <c r="E149" s="17"/>
      <c r="F149" s="18" t="str">
        <f t="array" ref="F149">XLOOKUP($E149,'Player Database'!$B$2:$B758,'Player Database'!$K$2:$K758)</f>
        <v>#N/A</v>
      </c>
      <c r="G149" s="18" t="str">
        <f t="array" ref="G149">XLOOKUP($E149,'Player Database'!$B$2:$B758,'Player Database'!$H$2:$H758)</f>
        <v>#N/A</v>
      </c>
      <c r="H149" s="18" t="str">
        <f t="array" ref="H149">XLOOKUP($E149,'Player Database'!$B$2:$B758,'Player Database'!$O$2:$O758)</f>
        <v>#N/A</v>
      </c>
      <c r="I149" s="18" t="str">
        <f t="array" ref="I149">XLOOKUP($E149,'Player Database'!$B$2:$B758,'Player Database'!$P$2:$P758)</f>
        <v>#N/A</v>
      </c>
      <c r="J149" s="20" t="str">
        <f t="array" ref="J149">XLOOKUP($E149,'Player Database'!$B$2:$B758,'Player Database'!$U$2:$U758)</f>
        <v>#N/A</v>
      </c>
      <c r="K149" s="22" t="str">
        <f>VLOOKUP(E149, 'Player Database'!B:AE, 30, FALSE)</f>
        <v>#N/A</v>
      </c>
      <c r="L149" s="22" t="str">
        <f t="array" ref="L149">XLOOKUP($E149,'Player Database'!$B$2:$B758,'Player Database'!$W$2:$W758)</f>
        <v>#N/A</v>
      </c>
      <c r="M149" s="23" t="str">
        <f t="shared" si="1"/>
        <v>0 - 0</v>
      </c>
      <c r="N149" s="24" t="str">
        <f t="array" ref="N149">IF(XLOOKUP($E149,'Player Database'!$B$2:$B758,'Player Database'!$AA$2:$AA758)="",XLOOKUP($E149,'Player Database'!$B$2:$B758,'Player Database'!$G$2:$G758),XLOOKUP($E149,'Player Database'!$B$2:$B758,'Player Database'!$AA$2:$AA758))</f>
        <v>#N/A</v>
      </c>
      <c r="O149" s="27">
        <f>COUNTIFs(Matches!$B:$B,E149,Matches!$A:$A,"&gt;"&amp;Q149,Matches!$A:$A,"&lt;"&amp;R149)</f>
        <v>0</v>
      </c>
      <c r="P149" s="27">
        <f>COUNTIFs(Matches!$C:$C,E149,Matches!$A:$A,"&gt;"&amp;Q149,Matches!$A:$A,"&lt;"&amp;R149)</f>
        <v>0</v>
      </c>
      <c r="Q149" s="28">
        <f>VLOOKUP($C$2,Quotas!$A$7:$E$14,2,FALSE)</f>
        <v>46213.70833</v>
      </c>
      <c r="R149" s="28">
        <f>VLOOKUP($C$2,Quotas!$A$7:$E$14,3,FALSE)</f>
        <v>46220.70833</v>
      </c>
    </row>
    <row r="150">
      <c r="A150" s="32" t="str">
        <f t="array" ref="A150">XLOOKUP($E150,'Player Database'!$B$2:$B758,'Player Database'!$C$2:$C758)</f>
        <v>#N/A</v>
      </c>
      <c r="B150" s="32" t="str">
        <f t="array" ref="B150">XLOOKUP($E150,'Player Database'!$B$2:$B758,'Player Database'!$E$2:$E758)</f>
        <v>#N/A</v>
      </c>
      <c r="C150" s="32" t="str">
        <f t="array" ref="C150">XLOOKUP($E150,'Player Database'!$B$2:$B758,'Player Database'!$F$2:$F758)</f>
        <v>#N/A</v>
      </c>
      <c r="D150" s="106">
        <f>IFERROR(__xludf.DUMMYFUNCTION("""COMPUTED_VALUE"""),1.0)</f>
        <v>1</v>
      </c>
      <c r="E150" s="17"/>
      <c r="F150" s="18" t="str">
        <f t="array" ref="F150">XLOOKUP($E150,'Player Database'!$B$2:$B758,'Player Database'!$K$2:$K758)</f>
        <v>#N/A</v>
      </c>
      <c r="G150" s="18" t="str">
        <f t="array" ref="G150">XLOOKUP($E150,'Player Database'!$B$2:$B758,'Player Database'!$H$2:$H758)</f>
        <v>#N/A</v>
      </c>
      <c r="H150" s="18" t="str">
        <f t="array" ref="H150">XLOOKUP($E150,'Player Database'!$B$2:$B758,'Player Database'!$O$2:$O758)</f>
        <v>#N/A</v>
      </c>
      <c r="I150" s="18" t="str">
        <f t="array" ref="I150">XLOOKUP($E150,'Player Database'!$B$2:$B758,'Player Database'!$P$2:$P758)</f>
        <v>#N/A</v>
      </c>
      <c r="J150" s="20" t="str">
        <f t="array" ref="J150">XLOOKUP($E150,'Player Database'!$B$2:$B758,'Player Database'!$U$2:$U758)</f>
        <v>#N/A</v>
      </c>
      <c r="K150" s="22" t="str">
        <f>VLOOKUP(E150, 'Player Database'!B:AE, 30, FALSE)</f>
        <v>#N/A</v>
      </c>
      <c r="L150" s="22" t="str">
        <f t="array" ref="L150">XLOOKUP($E150,'Player Database'!$B$2:$B758,'Player Database'!$W$2:$W758)</f>
        <v>#N/A</v>
      </c>
      <c r="M150" s="23" t="str">
        <f t="shared" si="1"/>
        <v>0 - 0</v>
      </c>
      <c r="N150" s="24" t="str">
        <f t="array" ref="N150">IF(XLOOKUP($E150,'Player Database'!$B$2:$B758,'Player Database'!$AA$2:$AA758)="",XLOOKUP($E150,'Player Database'!$B$2:$B758,'Player Database'!$G$2:$G758),XLOOKUP($E150,'Player Database'!$B$2:$B758,'Player Database'!$AA$2:$AA758))</f>
        <v>#N/A</v>
      </c>
      <c r="O150" s="27">
        <f>COUNTIFs(Matches!$B:$B,E150,Matches!$A:$A,"&gt;"&amp;Q150,Matches!$A:$A,"&lt;"&amp;R150)</f>
        <v>0</v>
      </c>
      <c r="P150" s="27">
        <f>COUNTIFs(Matches!$C:$C,E150,Matches!$A:$A,"&gt;"&amp;Q150,Matches!$A:$A,"&lt;"&amp;R150)</f>
        <v>0</v>
      </c>
      <c r="Q150" s="28">
        <f>VLOOKUP($C$2,Quotas!$A$7:$E$14,2,FALSE)</f>
        <v>46213.70833</v>
      </c>
      <c r="R150" s="28">
        <f>VLOOKUP($C$2,Quotas!$A$7:$E$14,3,FALSE)</f>
        <v>46220.70833</v>
      </c>
    </row>
    <row r="151">
      <c r="A151" s="32" t="str">
        <f t="array" ref="A151">XLOOKUP($E151,'Player Database'!$B$2:$B758,'Player Database'!$C$2:$C758)</f>
        <v>#N/A</v>
      </c>
      <c r="B151" s="32" t="str">
        <f t="array" ref="B151">XLOOKUP($E151,'Player Database'!$B$2:$B758,'Player Database'!$E$2:$E758)</f>
        <v>#N/A</v>
      </c>
      <c r="C151" s="32" t="str">
        <f t="array" ref="C151">XLOOKUP($E151,'Player Database'!$B$2:$B758,'Player Database'!$F$2:$F758)</f>
        <v>#N/A</v>
      </c>
      <c r="D151" s="106">
        <f>IFERROR(__xludf.DUMMYFUNCTION("""COMPUTED_VALUE"""),1.0)</f>
        <v>1</v>
      </c>
      <c r="E151" s="17"/>
      <c r="F151" s="18" t="str">
        <f t="array" ref="F151">XLOOKUP($E151,'Player Database'!$B$2:$B758,'Player Database'!$K$2:$K758)</f>
        <v>#N/A</v>
      </c>
      <c r="G151" s="18" t="str">
        <f t="array" ref="G151">XLOOKUP($E151,'Player Database'!$B$2:$B758,'Player Database'!$H$2:$H758)</f>
        <v>#N/A</v>
      </c>
      <c r="H151" s="18" t="str">
        <f t="array" ref="H151">XLOOKUP($E151,'Player Database'!$B$2:$B758,'Player Database'!$O$2:$O758)</f>
        <v>#N/A</v>
      </c>
      <c r="I151" s="18" t="str">
        <f t="array" ref="I151">XLOOKUP($E151,'Player Database'!$B$2:$B758,'Player Database'!$P$2:$P758)</f>
        <v>#N/A</v>
      </c>
      <c r="J151" s="20" t="str">
        <f t="array" ref="J151">XLOOKUP($E151,'Player Database'!$B$2:$B758,'Player Database'!$U$2:$U758)</f>
        <v>#N/A</v>
      </c>
      <c r="K151" s="22" t="str">
        <f>VLOOKUP(E151, 'Player Database'!B:AE, 30, FALSE)</f>
        <v>#N/A</v>
      </c>
      <c r="L151" s="22" t="str">
        <f t="array" ref="L151">XLOOKUP($E151,'Player Database'!$B$2:$B758,'Player Database'!$W$2:$W758)</f>
        <v>#N/A</v>
      </c>
      <c r="M151" s="23" t="str">
        <f t="shared" si="1"/>
        <v>0 - 0</v>
      </c>
      <c r="N151" s="24" t="str">
        <f t="array" ref="N151">IF(XLOOKUP($E151,'Player Database'!$B$2:$B758,'Player Database'!$AA$2:$AA758)="",XLOOKUP($E151,'Player Database'!$B$2:$B758,'Player Database'!$G$2:$G758),XLOOKUP($E151,'Player Database'!$B$2:$B758,'Player Database'!$AA$2:$AA758))</f>
        <v>#N/A</v>
      </c>
      <c r="O151" s="27">
        <f>COUNTIFs(Matches!$B:$B,E151,Matches!$A:$A,"&gt;"&amp;Q151,Matches!$A:$A,"&lt;"&amp;R151)</f>
        <v>0</v>
      </c>
      <c r="P151" s="27">
        <f>COUNTIFs(Matches!$C:$C,E151,Matches!$A:$A,"&gt;"&amp;Q151,Matches!$A:$A,"&lt;"&amp;R151)</f>
        <v>0</v>
      </c>
      <c r="Q151" s="28">
        <f>VLOOKUP($C$2,Quotas!$A$7:$E$14,2,FALSE)</f>
        <v>46213.70833</v>
      </c>
      <c r="R151" s="28">
        <f>VLOOKUP($C$2,Quotas!$A$7:$E$14,3,FALSE)</f>
        <v>46220.70833</v>
      </c>
    </row>
    <row r="152">
      <c r="A152" s="32" t="str">
        <f t="array" ref="A152">XLOOKUP($E152,'Player Database'!$B$2:$B758,'Player Database'!$C$2:$C758)</f>
        <v>#N/A</v>
      </c>
      <c r="B152" s="32" t="str">
        <f t="array" ref="B152">XLOOKUP($E152,'Player Database'!$B$2:$B758,'Player Database'!$E$2:$E758)</f>
        <v>#N/A</v>
      </c>
      <c r="C152" s="32" t="str">
        <f t="array" ref="C152">XLOOKUP($E152,'Player Database'!$B$2:$B758,'Player Database'!$F$2:$F758)</f>
        <v>#N/A</v>
      </c>
      <c r="D152" s="106">
        <f>IFERROR(__xludf.DUMMYFUNCTION("""COMPUTED_VALUE"""),1.0)</f>
        <v>1</v>
      </c>
      <c r="E152" s="17"/>
      <c r="F152" s="18" t="str">
        <f t="array" ref="F152">XLOOKUP($E152,'Player Database'!$B$2:$B758,'Player Database'!$K$2:$K758)</f>
        <v>#N/A</v>
      </c>
      <c r="G152" s="18" t="str">
        <f t="array" ref="G152">XLOOKUP($E152,'Player Database'!$B$2:$B758,'Player Database'!$H$2:$H758)</f>
        <v>#N/A</v>
      </c>
      <c r="H152" s="18" t="str">
        <f t="array" ref="H152">XLOOKUP($E152,'Player Database'!$B$2:$B758,'Player Database'!$O$2:$O758)</f>
        <v>#N/A</v>
      </c>
      <c r="I152" s="18" t="str">
        <f t="array" ref="I152">XLOOKUP($E152,'Player Database'!$B$2:$B758,'Player Database'!$P$2:$P758)</f>
        <v>#N/A</v>
      </c>
      <c r="J152" s="20" t="str">
        <f t="array" ref="J152">XLOOKUP($E152,'Player Database'!$B$2:$B758,'Player Database'!$U$2:$U758)</f>
        <v>#N/A</v>
      </c>
      <c r="K152" s="22" t="str">
        <f>VLOOKUP(E152, 'Player Database'!B:AE, 30, FALSE)</f>
        <v>#N/A</v>
      </c>
      <c r="L152" s="22" t="str">
        <f t="array" ref="L152">XLOOKUP($E152,'Player Database'!$B$2:$B758,'Player Database'!$W$2:$W758)</f>
        <v>#N/A</v>
      </c>
      <c r="M152" s="23" t="str">
        <f t="shared" si="1"/>
        <v>0 - 0</v>
      </c>
      <c r="N152" s="24" t="str">
        <f t="array" ref="N152">IF(XLOOKUP($E152,'Player Database'!$B$2:$B758,'Player Database'!$AA$2:$AA758)="",XLOOKUP($E152,'Player Database'!$B$2:$B758,'Player Database'!$G$2:$G758),XLOOKUP($E152,'Player Database'!$B$2:$B758,'Player Database'!$AA$2:$AA758))</f>
        <v>#N/A</v>
      </c>
      <c r="O152" s="27">
        <f>COUNTIFs(Matches!$B:$B,E152,Matches!$A:$A,"&gt;"&amp;Q152,Matches!$A:$A,"&lt;"&amp;R152)</f>
        <v>0</v>
      </c>
      <c r="P152" s="27">
        <f>COUNTIFs(Matches!$C:$C,E152,Matches!$A:$A,"&gt;"&amp;Q152,Matches!$A:$A,"&lt;"&amp;R152)</f>
        <v>0</v>
      </c>
      <c r="Q152" s="28">
        <f>VLOOKUP($C$2,Quotas!$A$7:$E$14,2,FALSE)</f>
        <v>46213.70833</v>
      </c>
      <c r="R152" s="28">
        <f>VLOOKUP($C$2,Quotas!$A$7:$E$14,3,FALSE)</f>
        <v>46220.70833</v>
      </c>
    </row>
    <row r="153">
      <c r="A153" s="32" t="str">
        <f t="array" ref="A153">XLOOKUP($E153,'Player Database'!$B$2:$B758,'Player Database'!$C$2:$C758)</f>
        <v>#N/A</v>
      </c>
      <c r="B153" s="32" t="str">
        <f t="array" ref="B153">XLOOKUP($E153,'Player Database'!$B$2:$B758,'Player Database'!$E$2:$E758)</f>
        <v>#N/A</v>
      </c>
      <c r="C153" s="32" t="str">
        <f t="array" ref="C153">XLOOKUP($E153,'Player Database'!$B$2:$B758,'Player Database'!$F$2:$F758)</f>
        <v>#N/A</v>
      </c>
      <c r="D153" s="106">
        <f>IFERROR(__xludf.DUMMYFUNCTION("""COMPUTED_VALUE"""),1.0)</f>
        <v>1</v>
      </c>
      <c r="E153" s="17"/>
      <c r="F153" s="18" t="str">
        <f t="array" ref="F153">XLOOKUP($E153,'Player Database'!$B$2:$B758,'Player Database'!$K$2:$K758)</f>
        <v>#N/A</v>
      </c>
      <c r="G153" s="18" t="str">
        <f t="array" ref="G153">XLOOKUP($E153,'Player Database'!$B$2:$B758,'Player Database'!$H$2:$H758)</f>
        <v>#N/A</v>
      </c>
      <c r="H153" s="18" t="str">
        <f t="array" ref="H153">XLOOKUP($E153,'Player Database'!$B$2:$B758,'Player Database'!$O$2:$O758)</f>
        <v>#N/A</v>
      </c>
      <c r="I153" s="18" t="str">
        <f t="array" ref="I153">XLOOKUP($E153,'Player Database'!$B$2:$B758,'Player Database'!$P$2:$P758)</f>
        <v>#N/A</v>
      </c>
      <c r="J153" s="20" t="str">
        <f t="array" ref="J153">XLOOKUP($E153,'Player Database'!$B$2:$B758,'Player Database'!$U$2:$U758)</f>
        <v>#N/A</v>
      </c>
      <c r="K153" s="22" t="str">
        <f>VLOOKUP(E153, 'Player Database'!B:AE, 30, FALSE)</f>
        <v>#N/A</v>
      </c>
      <c r="L153" s="22" t="str">
        <f t="array" ref="L153">XLOOKUP($E153,'Player Database'!$B$2:$B758,'Player Database'!$W$2:$W758)</f>
        <v>#N/A</v>
      </c>
      <c r="M153" s="23" t="str">
        <f t="shared" si="1"/>
        <v>0 - 0</v>
      </c>
      <c r="N153" s="24" t="str">
        <f t="array" ref="N153">IF(XLOOKUP($E153,'Player Database'!$B$2:$B758,'Player Database'!$AA$2:$AA758)="",XLOOKUP($E153,'Player Database'!$B$2:$B758,'Player Database'!$G$2:$G758),XLOOKUP($E153,'Player Database'!$B$2:$B758,'Player Database'!$AA$2:$AA758))</f>
        <v>#N/A</v>
      </c>
      <c r="O153" s="27">
        <f>COUNTIFs(Matches!$B:$B,E153,Matches!$A:$A,"&gt;"&amp;Q153,Matches!$A:$A,"&lt;"&amp;R153)</f>
        <v>0</v>
      </c>
      <c r="P153" s="27">
        <f>COUNTIFs(Matches!$C:$C,E153,Matches!$A:$A,"&gt;"&amp;Q153,Matches!$A:$A,"&lt;"&amp;R153)</f>
        <v>0</v>
      </c>
      <c r="Q153" s="28">
        <f>VLOOKUP($C$2,Quotas!$A$7:$E$14,2,FALSE)</f>
        <v>46213.70833</v>
      </c>
      <c r="R153" s="28">
        <f>VLOOKUP($C$2,Quotas!$A$7:$E$14,3,FALSE)</f>
        <v>46220.70833</v>
      </c>
    </row>
    <row r="154">
      <c r="A154" s="32" t="str">
        <f t="array" ref="A154">XLOOKUP($E154,'Player Database'!$B$2:$B758,'Player Database'!$C$2:$C758)</f>
        <v>#N/A</v>
      </c>
      <c r="B154" s="32" t="str">
        <f t="array" ref="B154">XLOOKUP($E154,'Player Database'!$B$2:$B758,'Player Database'!$E$2:$E758)</f>
        <v>#N/A</v>
      </c>
      <c r="C154" s="32" t="str">
        <f t="array" ref="C154">XLOOKUP($E154,'Player Database'!$B$2:$B758,'Player Database'!$F$2:$F758)</f>
        <v>#N/A</v>
      </c>
      <c r="D154" s="106">
        <f>IFERROR(__xludf.DUMMYFUNCTION("""COMPUTED_VALUE"""),1.0)</f>
        <v>1</v>
      </c>
      <c r="E154" s="17"/>
      <c r="F154" s="18" t="str">
        <f t="array" ref="F154">XLOOKUP($E154,'Player Database'!$B$2:$B758,'Player Database'!$K$2:$K758)</f>
        <v>#N/A</v>
      </c>
      <c r="G154" s="18" t="str">
        <f t="array" ref="G154">XLOOKUP($E154,'Player Database'!$B$2:$B758,'Player Database'!$H$2:$H758)</f>
        <v>#N/A</v>
      </c>
      <c r="H154" s="18" t="str">
        <f t="array" ref="H154">XLOOKUP($E154,'Player Database'!$B$2:$B758,'Player Database'!$O$2:$O758)</f>
        <v>#N/A</v>
      </c>
      <c r="I154" s="18" t="str">
        <f t="array" ref="I154">XLOOKUP($E154,'Player Database'!$B$2:$B758,'Player Database'!$P$2:$P758)</f>
        <v>#N/A</v>
      </c>
      <c r="J154" s="20" t="str">
        <f t="array" ref="J154">XLOOKUP($E154,'Player Database'!$B$2:$B758,'Player Database'!$U$2:$U758)</f>
        <v>#N/A</v>
      </c>
      <c r="K154" s="22" t="str">
        <f>VLOOKUP(E154, 'Player Database'!B:AE, 30, FALSE)</f>
        <v>#N/A</v>
      </c>
      <c r="L154" s="22" t="str">
        <f t="array" ref="L154">XLOOKUP($E154,'Player Database'!$B$2:$B758,'Player Database'!$W$2:$W758)</f>
        <v>#N/A</v>
      </c>
      <c r="M154" s="23" t="str">
        <f t="shared" si="1"/>
        <v>0 - 0</v>
      </c>
      <c r="N154" s="24" t="str">
        <f t="array" ref="N154">IF(XLOOKUP($E154,'Player Database'!$B$2:$B758,'Player Database'!$AA$2:$AA758)="",XLOOKUP($E154,'Player Database'!$B$2:$B758,'Player Database'!$G$2:$G758),XLOOKUP($E154,'Player Database'!$B$2:$B758,'Player Database'!$AA$2:$AA758))</f>
        <v>#N/A</v>
      </c>
      <c r="O154" s="27">
        <f>COUNTIFs(Matches!$B:$B,E154,Matches!$A:$A,"&gt;"&amp;Q154,Matches!$A:$A,"&lt;"&amp;R154)</f>
        <v>0</v>
      </c>
      <c r="P154" s="27">
        <f>COUNTIFs(Matches!$C:$C,E154,Matches!$A:$A,"&gt;"&amp;Q154,Matches!$A:$A,"&lt;"&amp;R154)</f>
        <v>0</v>
      </c>
      <c r="Q154" s="28">
        <f>VLOOKUP($C$2,Quotas!$A$7:$E$14,2,FALSE)</f>
        <v>46213.70833</v>
      </c>
      <c r="R154" s="28">
        <f>VLOOKUP($C$2,Quotas!$A$7:$E$14,3,FALSE)</f>
        <v>46220.70833</v>
      </c>
    </row>
    <row r="155">
      <c r="A155" s="32" t="str">
        <f t="array" ref="A155">XLOOKUP($E155,'Player Database'!$B$2:$B758,'Player Database'!$C$2:$C758)</f>
        <v>#N/A</v>
      </c>
      <c r="B155" s="32" t="str">
        <f t="array" ref="B155">XLOOKUP($E155,'Player Database'!$B$2:$B758,'Player Database'!$E$2:$E758)</f>
        <v>#N/A</v>
      </c>
      <c r="C155" s="32" t="str">
        <f t="array" ref="C155">XLOOKUP($E155,'Player Database'!$B$2:$B758,'Player Database'!$F$2:$F758)</f>
        <v>#N/A</v>
      </c>
      <c r="D155" s="106">
        <f>IFERROR(__xludf.DUMMYFUNCTION("""COMPUTED_VALUE"""),1.0)</f>
        <v>1</v>
      </c>
      <c r="E155" s="17"/>
      <c r="F155" s="18" t="str">
        <f t="array" ref="F155">XLOOKUP($E155,'Player Database'!$B$2:$B758,'Player Database'!$K$2:$K758)</f>
        <v>#N/A</v>
      </c>
      <c r="G155" s="18" t="str">
        <f t="array" ref="G155">XLOOKUP($E155,'Player Database'!$B$2:$B758,'Player Database'!$H$2:$H758)</f>
        <v>#N/A</v>
      </c>
      <c r="H155" s="18" t="str">
        <f t="array" ref="H155">XLOOKUP($E155,'Player Database'!$B$2:$B758,'Player Database'!$O$2:$O758)</f>
        <v>#N/A</v>
      </c>
      <c r="I155" s="18" t="str">
        <f t="array" ref="I155">XLOOKUP($E155,'Player Database'!$B$2:$B758,'Player Database'!$P$2:$P758)</f>
        <v>#N/A</v>
      </c>
      <c r="J155" s="20" t="str">
        <f t="array" ref="J155">XLOOKUP($E155,'Player Database'!$B$2:$B758,'Player Database'!$U$2:$U758)</f>
        <v>#N/A</v>
      </c>
      <c r="K155" s="22" t="str">
        <f>VLOOKUP(E155, 'Player Database'!B:AE, 30, FALSE)</f>
        <v>#N/A</v>
      </c>
      <c r="L155" s="22" t="str">
        <f t="array" ref="L155">XLOOKUP($E155,'Player Database'!$B$2:$B758,'Player Database'!$W$2:$W758)</f>
        <v>#N/A</v>
      </c>
      <c r="M155" s="23" t="str">
        <f t="shared" si="1"/>
        <v>0 - 0</v>
      </c>
      <c r="N155" s="24" t="str">
        <f t="array" ref="N155">IF(XLOOKUP($E155,'Player Database'!$B$2:$B758,'Player Database'!$AA$2:$AA758)="",XLOOKUP($E155,'Player Database'!$B$2:$B758,'Player Database'!$G$2:$G758),XLOOKUP($E155,'Player Database'!$B$2:$B758,'Player Database'!$AA$2:$AA758))</f>
        <v>#N/A</v>
      </c>
      <c r="O155" s="27">
        <f>COUNTIFs(Matches!$B:$B,E155,Matches!$A:$A,"&gt;"&amp;Q155,Matches!$A:$A,"&lt;"&amp;R155)</f>
        <v>0</v>
      </c>
      <c r="P155" s="27">
        <f>COUNTIFs(Matches!$C:$C,E155,Matches!$A:$A,"&gt;"&amp;Q155,Matches!$A:$A,"&lt;"&amp;R155)</f>
        <v>0</v>
      </c>
      <c r="Q155" s="28">
        <f>VLOOKUP($C$2,Quotas!$A$7:$E$14,2,FALSE)</f>
        <v>46213.70833</v>
      </c>
      <c r="R155" s="28">
        <f>VLOOKUP($C$2,Quotas!$A$7:$E$14,3,FALSE)</f>
        <v>46220.70833</v>
      </c>
    </row>
    <row r="156">
      <c r="A156" s="32" t="str">
        <f t="array" ref="A156">XLOOKUP($E156,'Player Database'!$B$2:$B758,'Player Database'!$C$2:$C758)</f>
        <v>#N/A</v>
      </c>
      <c r="B156" s="32" t="str">
        <f t="array" ref="B156">XLOOKUP($E156,'Player Database'!$B$2:$B758,'Player Database'!$E$2:$E758)</f>
        <v>#N/A</v>
      </c>
      <c r="C156" s="32" t="str">
        <f t="array" ref="C156">XLOOKUP($E156,'Player Database'!$B$2:$B758,'Player Database'!$F$2:$F758)</f>
        <v>#N/A</v>
      </c>
      <c r="D156" s="106">
        <f>IFERROR(__xludf.DUMMYFUNCTION("""COMPUTED_VALUE"""),1.0)</f>
        <v>1</v>
      </c>
      <c r="E156" s="17"/>
      <c r="F156" s="18" t="str">
        <f t="array" ref="F156">XLOOKUP($E156,'Player Database'!$B$2:$B758,'Player Database'!$K$2:$K758)</f>
        <v>#N/A</v>
      </c>
      <c r="G156" s="18" t="str">
        <f t="array" ref="G156">XLOOKUP($E156,'Player Database'!$B$2:$B758,'Player Database'!$H$2:$H758)</f>
        <v>#N/A</v>
      </c>
      <c r="H156" s="18" t="str">
        <f t="array" ref="H156">XLOOKUP($E156,'Player Database'!$B$2:$B758,'Player Database'!$O$2:$O758)</f>
        <v>#N/A</v>
      </c>
      <c r="I156" s="18" t="str">
        <f t="array" ref="I156">XLOOKUP($E156,'Player Database'!$B$2:$B758,'Player Database'!$P$2:$P758)</f>
        <v>#N/A</v>
      </c>
      <c r="J156" s="20" t="str">
        <f t="array" ref="J156">XLOOKUP($E156,'Player Database'!$B$2:$B758,'Player Database'!$U$2:$U758)</f>
        <v>#N/A</v>
      </c>
      <c r="K156" s="22" t="str">
        <f>VLOOKUP(E156, 'Player Database'!B:AE, 30, FALSE)</f>
        <v>#N/A</v>
      </c>
      <c r="L156" s="22" t="str">
        <f t="array" ref="L156">XLOOKUP($E156,'Player Database'!$B$2:$B758,'Player Database'!$W$2:$W758)</f>
        <v>#N/A</v>
      </c>
      <c r="M156" s="23" t="str">
        <f t="shared" si="1"/>
        <v>0 - 0</v>
      </c>
      <c r="N156" s="24" t="str">
        <f t="array" ref="N156">IF(XLOOKUP($E156,'Player Database'!$B$2:$B758,'Player Database'!$AA$2:$AA758)="",XLOOKUP($E156,'Player Database'!$B$2:$B758,'Player Database'!$G$2:$G758),XLOOKUP($E156,'Player Database'!$B$2:$B758,'Player Database'!$AA$2:$AA758))</f>
        <v>#N/A</v>
      </c>
      <c r="O156" s="27">
        <f>COUNTIFs(Matches!$B:$B,E156,Matches!$A:$A,"&gt;"&amp;Q156,Matches!$A:$A,"&lt;"&amp;R156)</f>
        <v>0</v>
      </c>
      <c r="P156" s="27">
        <f>COUNTIFs(Matches!$C:$C,E156,Matches!$A:$A,"&gt;"&amp;Q156,Matches!$A:$A,"&lt;"&amp;R156)</f>
        <v>0</v>
      </c>
      <c r="Q156" s="28">
        <f>VLOOKUP($C$2,Quotas!$A$7:$E$14,2,FALSE)</f>
        <v>46213.70833</v>
      </c>
      <c r="R156" s="28">
        <f>VLOOKUP($C$2,Quotas!$A$7:$E$14,3,FALSE)</f>
        <v>46220.70833</v>
      </c>
    </row>
    <row r="157">
      <c r="A157" s="32" t="str">
        <f t="array" ref="A157">XLOOKUP($E157,'Player Database'!$B$2:$B758,'Player Database'!$C$2:$C758)</f>
        <v>#N/A</v>
      </c>
      <c r="B157" s="32" t="str">
        <f t="array" ref="B157">XLOOKUP($E157,'Player Database'!$B$2:$B758,'Player Database'!$E$2:$E758)</f>
        <v>#N/A</v>
      </c>
      <c r="C157" s="32" t="str">
        <f t="array" ref="C157">XLOOKUP($E157,'Player Database'!$B$2:$B758,'Player Database'!$F$2:$F758)</f>
        <v>#N/A</v>
      </c>
      <c r="D157" s="106">
        <f>IFERROR(__xludf.DUMMYFUNCTION("""COMPUTED_VALUE"""),1.0)</f>
        <v>1</v>
      </c>
      <c r="E157" s="17"/>
      <c r="F157" s="18" t="str">
        <f t="array" ref="F157">XLOOKUP($E157,'Player Database'!$B$2:$B758,'Player Database'!$K$2:$K758)</f>
        <v>#N/A</v>
      </c>
      <c r="G157" s="18" t="str">
        <f t="array" ref="G157">XLOOKUP($E157,'Player Database'!$B$2:$B758,'Player Database'!$H$2:$H758)</f>
        <v>#N/A</v>
      </c>
      <c r="H157" s="18" t="str">
        <f t="array" ref="H157">XLOOKUP($E157,'Player Database'!$B$2:$B758,'Player Database'!$O$2:$O758)</f>
        <v>#N/A</v>
      </c>
      <c r="I157" s="18" t="str">
        <f t="array" ref="I157">XLOOKUP($E157,'Player Database'!$B$2:$B758,'Player Database'!$P$2:$P758)</f>
        <v>#N/A</v>
      </c>
      <c r="J157" s="20" t="str">
        <f t="array" ref="J157">XLOOKUP($E157,'Player Database'!$B$2:$B758,'Player Database'!$U$2:$U758)</f>
        <v>#N/A</v>
      </c>
      <c r="K157" s="22" t="str">
        <f>VLOOKUP(E157, 'Player Database'!B:AE, 30, FALSE)</f>
        <v>#N/A</v>
      </c>
      <c r="L157" s="22" t="str">
        <f t="array" ref="L157">XLOOKUP($E157,'Player Database'!$B$2:$B758,'Player Database'!$W$2:$W758)</f>
        <v>#N/A</v>
      </c>
      <c r="M157" s="23" t="str">
        <f t="shared" si="1"/>
        <v>0 - 0</v>
      </c>
      <c r="N157" s="24" t="str">
        <f t="array" ref="N157">IF(XLOOKUP($E157,'Player Database'!$B$2:$B758,'Player Database'!$AA$2:$AA758)="",XLOOKUP($E157,'Player Database'!$B$2:$B758,'Player Database'!$G$2:$G758),XLOOKUP($E157,'Player Database'!$B$2:$B758,'Player Database'!$AA$2:$AA758))</f>
        <v>#N/A</v>
      </c>
      <c r="O157" s="27">
        <f>COUNTIFs(Matches!$B:$B,E157,Matches!$A:$A,"&gt;"&amp;Q157,Matches!$A:$A,"&lt;"&amp;R157)</f>
        <v>0</v>
      </c>
      <c r="P157" s="27">
        <f>COUNTIFs(Matches!$C:$C,E157,Matches!$A:$A,"&gt;"&amp;Q157,Matches!$A:$A,"&lt;"&amp;R157)</f>
        <v>0</v>
      </c>
      <c r="Q157" s="28">
        <f>VLOOKUP($C$2,Quotas!$A$7:$E$14,2,FALSE)</f>
        <v>46213.70833</v>
      </c>
      <c r="R157" s="28">
        <f>VLOOKUP($C$2,Quotas!$A$7:$E$14,3,FALSE)</f>
        <v>46220.70833</v>
      </c>
    </row>
    <row r="158">
      <c r="A158" s="32" t="str">
        <f t="array" ref="A158">XLOOKUP($E158,'Player Database'!$B$2:$B758,'Player Database'!$C$2:$C758)</f>
        <v>#N/A</v>
      </c>
      <c r="B158" s="32" t="str">
        <f t="array" ref="B158">XLOOKUP($E158,'Player Database'!$B$2:$B758,'Player Database'!$E$2:$E758)</f>
        <v>#N/A</v>
      </c>
      <c r="C158" s="32" t="str">
        <f t="array" ref="C158">XLOOKUP($E158,'Player Database'!$B$2:$B758,'Player Database'!$F$2:$F758)</f>
        <v>#N/A</v>
      </c>
      <c r="D158" s="106">
        <f>IFERROR(__xludf.DUMMYFUNCTION("""COMPUTED_VALUE"""),1.0)</f>
        <v>1</v>
      </c>
      <c r="E158" s="17"/>
      <c r="F158" s="18" t="str">
        <f t="array" ref="F158">XLOOKUP($E158,'Player Database'!$B$2:$B758,'Player Database'!$K$2:$K758)</f>
        <v>#N/A</v>
      </c>
      <c r="G158" s="18" t="str">
        <f t="array" ref="G158">XLOOKUP($E158,'Player Database'!$B$2:$B758,'Player Database'!$H$2:$H758)</f>
        <v>#N/A</v>
      </c>
      <c r="H158" s="18" t="str">
        <f t="array" ref="H158">XLOOKUP($E158,'Player Database'!$B$2:$B758,'Player Database'!$O$2:$O758)</f>
        <v>#N/A</v>
      </c>
      <c r="I158" s="18" t="str">
        <f t="array" ref="I158">XLOOKUP($E158,'Player Database'!$B$2:$B758,'Player Database'!$P$2:$P758)</f>
        <v>#N/A</v>
      </c>
      <c r="J158" s="20" t="str">
        <f t="array" ref="J158">XLOOKUP($E158,'Player Database'!$B$2:$B758,'Player Database'!$U$2:$U758)</f>
        <v>#N/A</v>
      </c>
      <c r="K158" s="22" t="str">
        <f>VLOOKUP(E158, 'Player Database'!B:AE, 30, FALSE)</f>
        <v>#N/A</v>
      </c>
      <c r="L158" s="22" t="str">
        <f t="array" ref="L158">XLOOKUP($E158,'Player Database'!$B$2:$B758,'Player Database'!$W$2:$W758)</f>
        <v>#N/A</v>
      </c>
      <c r="M158" s="23" t="str">
        <f t="shared" si="1"/>
        <v>0 - 0</v>
      </c>
      <c r="N158" s="24" t="str">
        <f t="array" ref="N158">IF(XLOOKUP($E158,'Player Database'!$B$2:$B758,'Player Database'!$AA$2:$AA758)="",XLOOKUP($E158,'Player Database'!$B$2:$B758,'Player Database'!$G$2:$G758),XLOOKUP($E158,'Player Database'!$B$2:$B758,'Player Database'!$AA$2:$AA758))</f>
        <v>#N/A</v>
      </c>
      <c r="O158" s="27">
        <f>COUNTIFs(Matches!$B:$B,E158,Matches!$A:$A,"&gt;"&amp;Q158,Matches!$A:$A,"&lt;"&amp;R158)</f>
        <v>0</v>
      </c>
      <c r="P158" s="27">
        <f>COUNTIFs(Matches!$C:$C,E158,Matches!$A:$A,"&gt;"&amp;Q158,Matches!$A:$A,"&lt;"&amp;R158)</f>
        <v>0</v>
      </c>
      <c r="Q158" s="28">
        <f>VLOOKUP($C$2,Quotas!$A$7:$E$14,2,FALSE)</f>
        <v>46213.70833</v>
      </c>
      <c r="R158" s="28">
        <f>VLOOKUP($C$2,Quotas!$A$7:$E$14,3,FALSE)</f>
        <v>46220.70833</v>
      </c>
    </row>
    <row r="159">
      <c r="A159" s="32" t="str">
        <f t="array" ref="A159">XLOOKUP($E159,'Player Database'!$B$2:$B758,'Player Database'!$C$2:$C758)</f>
        <v>#N/A</v>
      </c>
      <c r="B159" s="32" t="str">
        <f t="array" ref="B159">XLOOKUP($E159,'Player Database'!$B$2:$B758,'Player Database'!$E$2:$E758)</f>
        <v>#N/A</v>
      </c>
      <c r="C159" s="32" t="str">
        <f t="array" ref="C159">XLOOKUP($E159,'Player Database'!$B$2:$B758,'Player Database'!$F$2:$F758)</f>
        <v>#N/A</v>
      </c>
      <c r="D159" s="106">
        <f>IFERROR(__xludf.DUMMYFUNCTION("""COMPUTED_VALUE"""),1.0)</f>
        <v>1</v>
      </c>
      <c r="E159" s="17"/>
      <c r="F159" s="18" t="str">
        <f t="array" ref="F159">XLOOKUP($E159,'Player Database'!$B$2:$B758,'Player Database'!$K$2:$K758)</f>
        <v>#N/A</v>
      </c>
      <c r="G159" s="18" t="str">
        <f t="array" ref="G159">XLOOKUP($E159,'Player Database'!$B$2:$B758,'Player Database'!$H$2:$H758)</f>
        <v>#N/A</v>
      </c>
      <c r="H159" s="18" t="str">
        <f t="array" ref="H159">XLOOKUP($E159,'Player Database'!$B$2:$B758,'Player Database'!$O$2:$O758)</f>
        <v>#N/A</v>
      </c>
      <c r="I159" s="18" t="str">
        <f t="array" ref="I159">XLOOKUP($E159,'Player Database'!$B$2:$B758,'Player Database'!$P$2:$P758)</f>
        <v>#N/A</v>
      </c>
      <c r="J159" s="20" t="str">
        <f t="array" ref="J159">XLOOKUP($E159,'Player Database'!$B$2:$B758,'Player Database'!$U$2:$U758)</f>
        <v>#N/A</v>
      </c>
      <c r="K159" s="22" t="str">
        <f>VLOOKUP(E159, 'Player Database'!B:AE, 30, FALSE)</f>
        <v>#N/A</v>
      </c>
      <c r="L159" s="22" t="str">
        <f t="array" ref="L159">XLOOKUP($E159,'Player Database'!$B$2:$B758,'Player Database'!$W$2:$W758)</f>
        <v>#N/A</v>
      </c>
      <c r="M159" s="23" t="str">
        <f t="shared" si="1"/>
        <v>0 - 0</v>
      </c>
      <c r="N159" s="24" t="str">
        <f t="array" ref="N159">IF(XLOOKUP($E159,'Player Database'!$B$2:$B758,'Player Database'!$AA$2:$AA758)="",XLOOKUP($E159,'Player Database'!$B$2:$B758,'Player Database'!$G$2:$G758),XLOOKUP($E159,'Player Database'!$B$2:$B758,'Player Database'!$AA$2:$AA758))</f>
        <v>#N/A</v>
      </c>
      <c r="O159" s="27">
        <f>COUNTIFs(Matches!$B:$B,E159,Matches!$A:$A,"&gt;"&amp;Q159,Matches!$A:$A,"&lt;"&amp;R159)</f>
        <v>0</v>
      </c>
      <c r="P159" s="27">
        <f>COUNTIFs(Matches!$C:$C,E159,Matches!$A:$A,"&gt;"&amp;Q159,Matches!$A:$A,"&lt;"&amp;R159)</f>
        <v>0</v>
      </c>
      <c r="Q159" s="28">
        <f>VLOOKUP($C$2,Quotas!$A$7:$E$14,2,FALSE)</f>
        <v>46213.70833</v>
      </c>
      <c r="R159" s="28">
        <f>VLOOKUP($C$2,Quotas!$A$7:$E$14,3,FALSE)</f>
        <v>46220.70833</v>
      </c>
    </row>
    <row r="160">
      <c r="A160" s="32" t="str">
        <f t="array" ref="A160">XLOOKUP($E160,'Player Database'!$B$2:$B758,'Player Database'!$C$2:$C758)</f>
        <v>#N/A</v>
      </c>
      <c r="B160" s="32" t="str">
        <f t="array" ref="B160">XLOOKUP($E160,'Player Database'!$B$2:$B758,'Player Database'!$E$2:$E758)</f>
        <v>#N/A</v>
      </c>
      <c r="C160" s="32" t="str">
        <f t="array" ref="C160">XLOOKUP($E160,'Player Database'!$B$2:$B758,'Player Database'!$F$2:$F758)</f>
        <v>#N/A</v>
      </c>
      <c r="D160" s="106">
        <f>IFERROR(__xludf.DUMMYFUNCTION("""COMPUTED_VALUE"""),1.0)</f>
        <v>1</v>
      </c>
      <c r="E160" s="17"/>
      <c r="F160" s="18" t="str">
        <f t="array" ref="F160">XLOOKUP($E160,'Player Database'!$B$2:$B758,'Player Database'!$K$2:$K758)</f>
        <v>#N/A</v>
      </c>
      <c r="G160" s="18" t="str">
        <f t="array" ref="G160">XLOOKUP($E160,'Player Database'!$B$2:$B758,'Player Database'!$H$2:$H758)</f>
        <v>#N/A</v>
      </c>
      <c r="H160" s="18" t="str">
        <f t="array" ref="H160">XLOOKUP($E160,'Player Database'!$B$2:$B758,'Player Database'!$O$2:$O758)</f>
        <v>#N/A</v>
      </c>
      <c r="I160" s="18" t="str">
        <f t="array" ref="I160">XLOOKUP($E160,'Player Database'!$B$2:$B758,'Player Database'!$P$2:$P758)</f>
        <v>#N/A</v>
      </c>
      <c r="J160" s="20" t="str">
        <f t="array" ref="J160">XLOOKUP($E160,'Player Database'!$B$2:$B758,'Player Database'!$U$2:$U758)</f>
        <v>#N/A</v>
      </c>
      <c r="K160" s="22" t="str">
        <f>VLOOKUP(E160, 'Player Database'!B:AE, 30, FALSE)</f>
        <v>#N/A</v>
      </c>
      <c r="L160" s="22" t="str">
        <f t="array" ref="L160">XLOOKUP($E160,'Player Database'!$B$2:$B758,'Player Database'!$W$2:$W758)</f>
        <v>#N/A</v>
      </c>
      <c r="M160" s="23" t="str">
        <f t="shared" si="1"/>
        <v>0 - 0</v>
      </c>
      <c r="N160" s="24" t="str">
        <f t="array" ref="N160">IF(XLOOKUP($E160,'Player Database'!$B$2:$B758,'Player Database'!$AA$2:$AA758)="",XLOOKUP($E160,'Player Database'!$B$2:$B758,'Player Database'!$G$2:$G758),XLOOKUP($E160,'Player Database'!$B$2:$B758,'Player Database'!$AA$2:$AA758))</f>
        <v>#N/A</v>
      </c>
      <c r="O160" s="27">
        <f>COUNTIFs(Matches!$B:$B,E160,Matches!$A:$A,"&gt;"&amp;Q160,Matches!$A:$A,"&lt;"&amp;R160)</f>
        <v>0</v>
      </c>
      <c r="P160" s="27">
        <f>COUNTIFs(Matches!$C:$C,E160,Matches!$A:$A,"&gt;"&amp;Q160,Matches!$A:$A,"&lt;"&amp;R160)</f>
        <v>0</v>
      </c>
      <c r="Q160" s="28">
        <f>VLOOKUP($C$2,Quotas!$A$7:$E$14,2,FALSE)</f>
        <v>46213.70833</v>
      </c>
      <c r="R160" s="28">
        <f>VLOOKUP($C$2,Quotas!$A$7:$E$14,3,FALSE)</f>
        <v>46220.70833</v>
      </c>
    </row>
    <row r="161">
      <c r="A161" s="32" t="str">
        <f t="array" ref="A161">XLOOKUP($E161,'Player Database'!$B$2:$B758,'Player Database'!$C$2:$C758)</f>
        <v>#N/A</v>
      </c>
      <c r="B161" s="32" t="str">
        <f t="array" ref="B161">XLOOKUP($E161,'Player Database'!$B$2:$B758,'Player Database'!$E$2:$E758)</f>
        <v>#N/A</v>
      </c>
      <c r="C161" s="32" t="str">
        <f t="array" ref="C161">XLOOKUP($E161,'Player Database'!$B$2:$B758,'Player Database'!$F$2:$F758)</f>
        <v>#N/A</v>
      </c>
      <c r="D161" s="106">
        <f>IFERROR(__xludf.DUMMYFUNCTION("""COMPUTED_VALUE"""),1.0)</f>
        <v>1</v>
      </c>
      <c r="E161" s="17"/>
      <c r="F161" s="18" t="str">
        <f t="array" ref="F161">XLOOKUP($E161,'Player Database'!$B$2:$B758,'Player Database'!$K$2:$K758)</f>
        <v>#N/A</v>
      </c>
      <c r="G161" s="18" t="str">
        <f t="array" ref="G161">XLOOKUP($E161,'Player Database'!$B$2:$B758,'Player Database'!$H$2:$H758)</f>
        <v>#N/A</v>
      </c>
      <c r="H161" s="18" t="str">
        <f t="array" ref="H161">XLOOKUP($E161,'Player Database'!$B$2:$B758,'Player Database'!$O$2:$O758)</f>
        <v>#N/A</v>
      </c>
      <c r="I161" s="18" t="str">
        <f t="array" ref="I161">XLOOKUP($E161,'Player Database'!$B$2:$B758,'Player Database'!$P$2:$P758)</f>
        <v>#N/A</v>
      </c>
      <c r="J161" s="20" t="str">
        <f t="array" ref="J161">XLOOKUP($E161,'Player Database'!$B$2:$B758,'Player Database'!$U$2:$U758)</f>
        <v>#N/A</v>
      </c>
      <c r="K161" s="22" t="str">
        <f>VLOOKUP(E161, 'Player Database'!B:AE, 30, FALSE)</f>
        <v>#N/A</v>
      </c>
      <c r="L161" s="22" t="str">
        <f t="array" ref="L161">XLOOKUP($E161,'Player Database'!$B$2:$B758,'Player Database'!$W$2:$W758)</f>
        <v>#N/A</v>
      </c>
      <c r="M161" s="23" t="str">
        <f t="shared" si="1"/>
        <v>0 - 0</v>
      </c>
      <c r="N161" s="24" t="str">
        <f t="array" ref="N161">IF(XLOOKUP($E161,'Player Database'!$B$2:$B758,'Player Database'!$AA$2:$AA758)="",XLOOKUP($E161,'Player Database'!$B$2:$B758,'Player Database'!$G$2:$G758),XLOOKUP($E161,'Player Database'!$B$2:$B758,'Player Database'!$AA$2:$AA758))</f>
        <v>#N/A</v>
      </c>
      <c r="O161" s="27">
        <f>COUNTIFs(Matches!$B:$B,E161,Matches!$A:$A,"&gt;"&amp;Q161,Matches!$A:$A,"&lt;"&amp;R161)</f>
        <v>0</v>
      </c>
      <c r="P161" s="27">
        <f>COUNTIFs(Matches!$C:$C,E161,Matches!$A:$A,"&gt;"&amp;Q161,Matches!$A:$A,"&lt;"&amp;R161)</f>
        <v>0</v>
      </c>
      <c r="Q161" s="28">
        <f>VLOOKUP($C$2,Quotas!$A$7:$E$14,2,FALSE)</f>
        <v>46213.70833</v>
      </c>
      <c r="R161" s="28">
        <f>VLOOKUP($C$2,Quotas!$A$7:$E$14,3,FALSE)</f>
        <v>46220.70833</v>
      </c>
    </row>
    <row r="162">
      <c r="A162" s="32" t="str">
        <f t="array" ref="A162">XLOOKUP($E162,'Player Database'!$B$2:$B758,'Player Database'!$C$2:$C758)</f>
        <v>#N/A</v>
      </c>
      <c r="B162" s="32" t="str">
        <f t="array" ref="B162">XLOOKUP($E162,'Player Database'!$B$2:$B758,'Player Database'!$E$2:$E758)</f>
        <v>#N/A</v>
      </c>
      <c r="C162" s="32" t="str">
        <f t="array" ref="C162">XLOOKUP($E162,'Player Database'!$B$2:$B758,'Player Database'!$F$2:$F758)</f>
        <v>#N/A</v>
      </c>
      <c r="D162" s="106">
        <f>IFERROR(__xludf.DUMMYFUNCTION("""COMPUTED_VALUE"""),1.0)</f>
        <v>1</v>
      </c>
      <c r="E162" s="17"/>
      <c r="F162" s="18" t="str">
        <f t="array" ref="F162">XLOOKUP($E162,'Player Database'!$B$2:$B758,'Player Database'!$K$2:$K758)</f>
        <v>#N/A</v>
      </c>
      <c r="G162" s="18" t="str">
        <f t="array" ref="G162">XLOOKUP($E162,'Player Database'!$B$2:$B758,'Player Database'!$H$2:$H758)</f>
        <v>#N/A</v>
      </c>
      <c r="H162" s="18" t="str">
        <f t="array" ref="H162">XLOOKUP($E162,'Player Database'!$B$2:$B758,'Player Database'!$O$2:$O758)</f>
        <v>#N/A</v>
      </c>
      <c r="I162" s="18" t="str">
        <f t="array" ref="I162">XLOOKUP($E162,'Player Database'!$B$2:$B758,'Player Database'!$P$2:$P758)</f>
        <v>#N/A</v>
      </c>
      <c r="J162" s="20" t="str">
        <f t="array" ref="J162">XLOOKUP($E162,'Player Database'!$B$2:$B758,'Player Database'!$U$2:$U758)</f>
        <v>#N/A</v>
      </c>
      <c r="K162" s="22" t="str">
        <f>VLOOKUP(E162, 'Player Database'!B:AE, 30, FALSE)</f>
        <v>#N/A</v>
      </c>
      <c r="L162" s="22" t="str">
        <f t="array" ref="L162">XLOOKUP($E162,'Player Database'!$B$2:$B758,'Player Database'!$W$2:$W758)</f>
        <v>#N/A</v>
      </c>
      <c r="M162" s="23" t="str">
        <f t="shared" si="1"/>
        <v>0 - 0</v>
      </c>
      <c r="N162" s="24" t="str">
        <f t="array" ref="N162">IF(XLOOKUP($E162,'Player Database'!$B$2:$B758,'Player Database'!$AA$2:$AA758)="",XLOOKUP($E162,'Player Database'!$B$2:$B758,'Player Database'!$G$2:$G758),XLOOKUP($E162,'Player Database'!$B$2:$B758,'Player Database'!$AA$2:$AA758))</f>
        <v>#N/A</v>
      </c>
      <c r="O162" s="27">
        <f>COUNTIFs(Matches!$B:$B,E162,Matches!$A:$A,"&gt;"&amp;Q162,Matches!$A:$A,"&lt;"&amp;R162)</f>
        <v>0</v>
      </c>
      <c r="P162" s="27">
        <f>COUNTIFs(Matches!$C:$C,E162,Matches!$A:$A,"&gt;"&amp;Q162,Matches!$A:$A,"&lt;"&amp;R162)</f>
        <v>0</v>
      </c>
      <c r="Q162" s="28">
        <f>VLOOKUP($C$2,Quotas!$A$7:$E$14,2,FALSE)</f>
        <v>46213.70833</v>
      </c>
      <c r="R162" s="28">
        <f>VLOOKUP($C$2,Quotas!$A$7:$E$14,3,FALSE)</f>
        <v>46220.70833</v>
      </c>
    </row>
    <row r="163">
      <c r="A163" s="32" t="str">
        <f t="array" ref="A163">XLOOKUP($E163,'Player Database'!$B$2:$B758,'Player Database'!$C$2:$C758)</f>
        <v>#N/A</v>
      </c>
      <c r="B163" s="32" t="str">
        <f t="array" ref="B163">XLOOKUP($E163,'Player Database'!$B$2:$B758,'Player Database'!$E$2:$E758)</f>
        <v>#N/A</v>
      </c>
      <c r="C163" s="32" t="str">
        <f t="array" ref="C163">XLOOKUP($E163,'Player Database'!$B$2:$B758,'Player Database'!$F$2:$F758)</f>
        <v>#N/A</v>
      </c>
      <c r="D163" s="106">
        <f>IFERROR(__xludf.DUMMYFUNCTION("""COMPUTED_VALUE"""),1.0)</f>
        <v>1</v>
      </c>
      <c r="E163" s="17"/>
      <c r="F163" s="18" t="str">
        <f t="array" ref="F163">XLOOKUP($E163,'Player Database'!$B$2:$B758,'Player Database'!$K$2:$K758)</f>
        <v>#N/A</v>
      </c>
      <c r="G163" s="18" t="str">
        <f t="array" ref="G163">XLOOKUP($E163,'Player Database'!$B$2:$B758,'Player Database'!$H$2:$H758)</f>
        <v>#N/A</v>
      </c>
      <c r="H163" s="18" t="str">
        <f t="array" ref="H163">XLOOKUP($E163,'Player Database'!$B$2:$B758,'Player Database'!$O$2:$O758)</f>
        <v>#N/A</v>
      </c>
      <c r="I163" s="18" t="str">
        <f t="array" ref="I163">XLOOKUP($E163,'Player Database'!$B$2:$B758,'Player Database'!$P$2:$P758)</f>
        <v>#N/A</v>
      </c>
      <c r="J163" s="20" t="str">
        <f t="array" ref="J163">XLOOKUP($E163,'Player Database'!$B$2:$B758,'Player Database'!$U$2:$U758)</f>
        <v>#N/A</v>
      </c>
      <c r="K163" s="22" t="str">
        <f>VLOOKUP(E163, 'Player Database'!B:AE, 30, FALSE)</f>
        <v>#N/A</v>
      </c>
      <c r="L163" s="22" t="str">
        <f t="array" ref="L163">XLOOKUP($E163,'Player Database'!$B$2:$B758,'Player Database'!$W$2:$W758)</f>
        <v>#N/A</v>
      </c>
      <c r="M163" s="23" t="str">
        <f t="shared" si="1"/>
        <v>0 - 0</v>
      </c>
      <c r="N163" s="24" t="str">
        <f t="array" ref="N163">IF(XLOOKUP($E163,'Player Database'!$B$2:$B758,'Player Database'!$AA$2:$AA758)="",XLOOKUP($E163,'Player Database'!$B$2:$B758,'Player Database'!$G$2:$G758),XLOOKUP($E163,'Player Database'!$B$2:$B758,'Player Database'!$AA$2:$AA758))</f>
        <v>#N/A</v>
      </c>
      <c r="O163" s="27">
        <f>COUNTIFs(Matches!$B:$B,E163,Matches!$A:$A,"&gt;"&amp;Q163,Matches!$A:$A,"&lt;"&amp;R163)</f>
        <v>0</v>
      </c>
      <c r="P163" s="27">
        <f>COUNTIFs(Matches!$C:$C,E163,Matches!$A:$A,"&gt;"&amp;Q163,Matches!$A:$A,"&lt;"&amp;R163)</f>
        <v>0</v>
      </c>
      <c r="Q163" s="28">
        <f>VLOOKUP($C$2,Quotas!$A$7:$E$14,2,FALSE)</f>
        <v>46213.70833</v>
      </c>
      <c r="R163" s="28">
        <f>VLOOKUP($C$2,Quotas!$A$7:$E$14,3,FALSE)</f>
        <v>46220.70833</v>
      </c>
    </row>
    <row r="164">
      <c r="A164" s="32" t="str">
        <f t="array" ref="A164">XLOOKUP($E164,'Player Database'!$B$2:$B758,'Player Database'!$C$2:$C758)</f>
        <v>#N/A</v>
      </c>
      <c r="B164" s="32" t="str">
        <f t="array" ref="B164">XLOOKUP($E164,'Player Database'!$B$2:$B758,'Player Database'!$E$2:$E758)</f>
        <v>#N/A</v>
      </c>
      <c r="C164" s="32" t="str">
        <f t="array" ref="C164">XLOOKUP($E164,'Player Database'!$B$2:$B758,'Player Database'!$F$2:$F758)</f>
        <v>#N/A</v>
      </c>
      <c r="D164" s="106">
        <f>IFERROR(__xludf.DUMMYFUNCTION("""COMPUTED_VALUE"""),1.0)</f>
        <v>1</v>
      </c>
      <c r="E164" s="17"/>
      <c r="F164" s="18" t="str">
        <f t="array" ref="F164">XLOOKUP($E164,'Player Database'!$B$2:$B758,'Player Database'!$K$2:$K758)</f>
        <v>#N/A</v>
      </c>
      <c r="G164" s="18" t="str">
        <f t="array" ref="G164">XLOOKUP($E164,'Player Database'!$B$2:$B758,'Player Database'!$H$2:$H758)</f>
        <v>#N/A</v>
      </c>
      <c r="H164" s="18" t="str">
        <f t="array" ref="H164">XLOOKUP($E164,'Player Database'!$B$2:$B758,'Player Database'!$O$2:$O758)</f>
        <v>#N/A</v>
      </c>
      <c r="I164" s="18" t="str">
        <f t="array" ref="I164">XLOOKUP($E164,'Player Database'!$B$2:$B758,'Player Database'!$P$2:$P758)</f>
        <v>#N/A</v>
      </c>
      <c r="J164" s="20" t="str">
        <f t="array" ref="J164">XLOOKUP($E164,'Player Database'!$B$2:$B758,'Player Database'!$U$2:$U758)</f>
        <v>#N/A</v>
      </c>
      <c r="K164" s="22" t="str">
        <f>VLOOKUP(E164, 'Player Database'!B:AE, 30, FALSE)</f>
        <v>#N/A</v>
      </c>
      <c r="L164" s="22" t="str">
        <f t="array" ref="L164">XLOOKUP($E164,'Player Database'!$B$2:$B758,'Player Database'!$W$2:$W758)</f>
        <v>#N/A</v>
      </c>
      <c r="M164" s="23" t="str">
        <f t="shared" si="1"/>
        <v>0 - 0</v>
      </c>
      <c r="N164" s="24" t="str">
        <f t="array" ref="N164">IF(XLOOKUP($E164,'Player Database'!$B$2:$B758,'Player Database'!$AA$2:$AA758)="",XLOOKUP($E164,'Player Database'!$B$2:$B758,'Player Database'!$G$2:$G758),XLOOKUP($E164,'Player Database'!$B$2:$B758,'Player Database'!$AA$2:$AA758))</f>
        <v>#N/A</v>
      </c>
      <c r="O164" s="27">
        <f>COUNTIFs(Matches!$B:$B,E164,Matches!$A:$A,"&gt;"&amp;Q164,Matches!$A:$A,"&lt;"&amp;R164)</f>
        <v>0</v>
      </c>
      <c r="P164" s="27">
        <f>COUNTIFs(Matches!$C:$C,E164,Matches!$A:$A,"&gt;"&amp;Q164,Matches!$A:$A,"&lt;"&amp;R164)</f>
        <v>0</v>
      </c>
      <c r="Q164" s="28">
        <f>VLOOKUP($C$2,Quotas!$A$7:$E$14,2,FALSE)</f>
        <v>46213.70833</v>
      </c>
      <c r="R164" s="28">
        <f>VLOOKUP($C$2,Quotas!$A$7:$E$14,3,FALSE)</f>
        <v>46220.70833</v>
      </c>
    </row>
    <row r="165">
      <c r="A165" s="32" t="str">
        <f t="array" ref="A165">XLOOKUP($E165,'Player Database'!$B$2:$B758,'Player Database'!$C$2:$C758)</f>
        <v>#N/A</v>
      </c>
      <c r="B165" s="32" t="str">
        <f t="array" ref="B165">XLOOKUP($E165,'Player Database'!$B$2:$B758,'Player Database'!$E$2:$E758)</f>
        <v>#N/A</v>
      </c>
      <c r="C165" s="32" t="str">
        <f t="array" ref="C165">XLOOKUP($E165,'Player Database'!$B$2:$B758,'Player Database'!$F$2:$F758)</f>
        <v>#N/A</v>
      </c>
      <c r="D165" s="106">
        <f>IFERROR(__xludf.DUMMYFUNCTION("""COMPUTED_VALUE"""),1.0)</f>
        <v>1</v>
      </c>
      <c r="E165" s="17"/>
      <c r="F165" s="18" t="str">
        <f t="array" ref="F165">XLOOKUP($E165,'Player Database'!$B$2:$B758,'Player Database'!$K$2:$K758)</f>
        <v>#N/A</v>
      </c>
      <c r="G165" s="18" t="str">
        <f t="array" ref="G165">XLOOKUP($E165,'Player Database'!$B$2:$B758,'Player Database'!$H$2:$H758)</f>
        <v>#N/A</v>
      </c>
      <c r="H165" s="18" t="str">
        <f t="array" ref="H165">XLOOKUP($E165,'Player Database'!$B$2:$B758,'Player Database'!$O$2:$O758)</f>
        <v>#N/A</v>
      </c>
      <c r="I165" s="18" t="str">
        <f t="array" ref="I165">XLOOKUP($E165,'Player Database'!$B$2:$B758,'Player Database'!$P$2:$P758)</f>
        <v>#N/A</v>
      </c>
      <c r="J165" s="20" t="str">
        <f t="array" ref="J165">XLOOKUP($E165,'Player Database'!$B$2:$B758,'Player Database'!$U$2:$U758)</f>
        <v>#N/A</v>
      </c>
      <c r="K165" s="22" t="str">
        <f>VLOOKUP(E165, 'Player Database'!B:AE, 30, FALSE)</f>
        <v>#N/A</v>
      </c>
      <c r="L165" s="22" t="str">
        <f t="array" ref="L165">XLOOKUP($E165,'Player Database'!$B$2:$B758,'Player Database'!$W$2:$W758)</f>
        <v>#N/A</v>
      </c>
      <c r="M165" s="23" t="str">
        <f t="shared" si="1"/>
        <v>0 - 0</v>
      </c>
      <c r="N165" s="24" t="str">
        <f t="array" ref="N165">IF(XLOOKUP($E165,'Player Database'!$B$2:$B758,'Player Database'!$AA$2:$AA758)="",XLOOKUP($E165,'Player Database'!$B$2:$B758,'Player Database'!$G$2:$G758),XLOOKUP($E165,'Player Database'!$B$2:$B758,'Player Database'!$AA$2:$AA758))</f>
        <v>#N/A</v>
      </c>
      <c r="O165" s="27">
        <f>COUNTIFs(Matches!$B:$B,E165,Matches!$A:$A,"&gt;"&amp;Q165,Matches!$A:$A,"&lt;"&amp;R165)</f>
        <v>0</v>
      </c>
      <c r="P165" s="27">
        <f>COUNTIFs(Matches!$C:$C,E165,Matches!$A:$A,"&gt;"&amp;Q165,Matches!$A:$A,"&lt;"&amp;R165)</f>
        <v>0</v>
      </c>
      <c r="Q165" s="28">
        <f>VLOOKUP($C$2,Quotas!$A$7:$E$14,2,FALSE)</f>
        <v>46213.70833</v>
      </c>
      <c r="R165" s="28">
        <f>VLOOKUP($C$2,Quotas!$A$7:$E$14,3,FALSE)</f>
        <v>46220.70833</v>
      </c>
    </row>
    <row r="166">
      <c r="A166" s="32" t="str">
        <f t="array" ref="A166">XLOOKUP($E166,'Player Database'!$B$2:$B758,'Player Database'!$C$2:$C758)</f>
        <v>#N/A</v>
      </c>
      <c r="B166" s="32" t="str">
        <f t="array" ref="B166">XLOOKUP($E166,'Player Database'!$B$2:$B758,'Player Database'!$E$2:$E758)</f>
        <v>#N/A</v>
      </c>
      <c r="C166" s="32" t="str">
        <f t="array" ref="C166">XLOOKUP($E166,'Player Database'!$B$2:$B758,'Player Database'!$F$2:$F758)</f>
        <v>#N/A</v>
      </c>
      <c r="D166" s="106">
        <f>IFERROR(__xludf.DUMMYFUNCTION("""COMPUTED_VALUE"""),1.0)</f>
        <v>1</v>
      </c>
      <c r="E166" s="17"/>
      <c r="F166" s="18" t="str">
        <f t="array" ref="F166">XLOOKUP($E166,'Player Database'!$B$2:$B758,'Player Database'!$K$2:$K758)</f>
        <v>#N/A</v>
      </c>
      <c r="G166" s="18" t="str">
        <f t="array" ref="G166">XLOOKUP($E166,'Player Database'!$B$2:$B758,'Player Database'!$H$2:$H758)</f>
        <v>#N/A</v>
      </c>
      <c r="H166" s="18" t="str">
        <f t="array" ref="H166">XLOOKUP($E166,'Player Database'!$B$2:$B758,'Player Database'!$O$2:$O758)</f>
        <v>#N/A</v>
      </c>
      <c r="I166" s="18" t="str">
        <f t="array" ref="I166">XLOOKUP($E166,'Player Database'!$B$2:$B758,'Player Database'!$P$2:$P758)</f>
        <v>#N/A</v>
      </c>
      <c r="J166" s="20" t="str">
        <f t="array" ref="J166">XLOOKUP($E166,'Player Database'!$B$2:$B758,'Player Database'!$U$2:$U758)</f>
        <v>#N/A</v>
      </c>
      <c r="K166" s="22" t="str">
        <f>VLOOKUP(E166, 'Player Database'!B:AE, 30, FALSE)</f>
        <v>#N/A</v>
      </c>
      <c r="L166" s="22" t="str">
        <f t="array" ref="L166">XLOOKUP($E166,'Player Database'!$B$2:$B758,'Player Database'!$W$2:$W758)</f>
        <v>#N/A</v>
      </c>
      <c r="M166" s="23" t="str">
        <f t="shared" si="1"/>
        <v>0 - 0</v>
      </c>
      <c r="N166" s="24" t="str">
        <f t="array" ref="N166">IF(XLOOKUP($E166,'Player Database'!$B$2:$B758,'Player Database'!$AA$2:$AA758)="",XLOOKUP($E166,'Player Database'!$B$2:$B758,'Player Database'!$G$2:$G758),XLOOKUP($E166,'Player Database'!$B$2:$B758,'Player Database'!$AA$2:$AA758))</f>
        <v>#N/A</v>
      </c>
      <c r="O166" s="27">
        <f>COUNTIFs(Matches!$B:$B,E166,Matches!$A:$A,"&gt;"&amp;Q166,Matches!$A:$A,"&lt;"&amp;R166)</f>
        <v>0</v>
      </c>
      <c r="P166" s="27">
        <f>COUNTIFs(Matches!$C:$C,E166,Matches!$A:$A,"&gt;"&amp;Q166,Matches!$A:$A,"&lt;"&amp;R166)</f>
        <v>0</v>
      </c>
      <c r="Q166" s="28">
        <f>VLOOKUP($C$2,Quotas!$A$7:$E$14,2,FALSE)</f>
        <v>46213.70833</v>
      </c>
      <c r="R166" s="28">
        <f>VLOOKUP($C$2,Quotas!$A$7:$E$14,3,FALSE)</f>
        <v>46220.70833</v>
      </c>
    </row>
    <row r="167">
      <c r="A167" s="32" t="str">
        <f t="array" ref="A167">XLOOKUP($E167,'Player Database'!$B$2:$B758,'Player Database'!$C$2:$C758)</f>
        <v>#N/A</v>
      </c>
      <c r="B167" s="32" t="str">
        <f t="array" ref="B167">XLOOKUP($E167,'Player Database'!$B$2:$B758,'Player Database'!$E$2:$E758)</f>
        <v>#N/A</v>
      </c>
      <c r="C167" s="32" t="str">
        <f t="array" ref="C167">XLOOKUP($E167,'Player Database'!$B$2:$B758,'Player Database'!$F$2:$F758)</f>
        <v>#N/A</v>
      </c>
      <c r="D167" s="106">
        <f>IFERROR(__xludf.DUMMYFUNCTION("""COMPUTED_VALUE"""),1.0)</f>
        <v>1</v>
      </c>
      <c r="E167" s="17"/>
      <c r="F167" s="18" t="str">
        <f t="array" ref="F167">XLOOKUP($E167,'Player Database'!$B$2:$B758,'Player Database'!$K$2:$K758)</f>
        <v>#N/A</v>
      </c>
      <c r="G167" s="18" t="str">
        <f t="array" ref="G167">XLOOKUP($E167,'Player Database'!$B$2:$B758,'Player Database'!$H$2:$H758)</f>
        <v>#N/A</v>
      </c>
      <c r="H167" s="18" t="str">
        <f t="array" ref="H167">XLOOKUP($E167,'Player Database'!$B$2:$B758,'Player Database'!$O$2:$O758)</f>
        <v>#N/A</v>
      </c>
      <c r="I167" s="18" t="str">
        <f t="array" ref="I167">XLOOKUP($E167,'Player Database'!$B$2:$B758,'Player Database'!$P$2:$P758)</f>
        <v>#N/A</v>
      </c>
      <c r="J167" s="20" t="str">
        <f t="array" ref="J167">XLOOKUP($E167,'Player Database'!$B$2:$B758,'Player Database'!$U$2:$U758)</f>
        <v>#N/A</v>
      </c>
      <c r="K167" s="22" t="str">
        <f>VLOOKUP(E167, 'Player Database'!B:AE, 30, FALSE)</f>
        <v>#N/A</v>
      </c>
      <c r="L167" s="22" t="str">
        <f t="array" ref="L167">XLOOKUP($E167,'Player Database'!$B$2:$B758,'Player Database'!$W$2:$W758)</f>
        <v>#N/A</v>
      </c>
      <c r="M167" s="23" t="str">
        <f t="shared" si="1"/>
        <v>0 - 0</v>
      </c>
      <c r="N167" s="24" t="str">
        <f t="array" ref="N167">IF(XLOOKUP($E167,'Player Database'!$B$2:$B758,'Player Database'!$AA$2:$AA758)="",XLOOKUP($E167,'Player Database'!$B$2:$B758,'Player Database'!$G$2:$G758),XLOOKUP($E167,'Player Database'!$B$2:$B758,'Player Database'!$AA$2:$AA758))</f>
        <v>#N/A</v>
      </c>
      <c r="O167" s="27">
        <f>COUNTIFs(Matches!$B:$B,E167,Matches!$A:$A,"&gt;"&amp;Q167,Matches!$A:$A,"&lt;"&amp;R167)</f>
        <v>0</v>
      </c>
      <c r="P167" s="27">
        <f>COUNTIFs(Matches!$C:$C,E167,Matches!$A:$A,"&gt;"&amp;Q167,Matches!$A:$A,"&lt;"&amp;R167)</f>
        <v>0</v>
      </c>
      <c r="Q167" s="28">
        <f>VLOOKUP($C$2,Quotas!$A$7:$E$14,2,FALSE)</f>
        <v>46213.70833</v>
      </c>
      <c r="R167" s="28">
        <f>VLOOKUP($C$2,Quotas!$A$7:$E$14,3,FALSE)</f>
        <v>46220.70833</v>
      </c>
    </row>
    <row r="168">
      <c r="A168" s="32" t="str">
        <f t="array" ref="A168">XLOOKUP($E168,'Player Database'!$B$2:$B758,'Player Database'!$C$2:$C758)</f>
        <v>#N/A</v>
      </c>
      <c r="B168" s="32" t="str">
        <f t="array" ref="B168">XLOOKUP($E168,'Player Database'!$B$2:$B758,'Player Database'!$E$2:$E758)</f>
        <v>#N/A</v>
      </c>
      <c r="C168" s="32" t="str">
        <f t="array" ref="C168">XLOOKUP($E168,'Player Database'!$B$2:$B758,'Player Database'!$F$2:$F758)</f>
        <v>#N/A</v>
      </c>
      <c r="D168" s="106">
        <f>IFERROR(__xludf.DUMMYFUNCTION("""COMPUTED_VALUE"""),1.0)</f>
        <v>1</v>
      </c>
      <c r="E168" s="17"/>
      <c r="F168" s="18" t="str">
        <f t="array" ref="F168">XLOOKUP($E168,'Player Database'!$B$2:$B758,'Player Database'!$K$2:$K758)</f>
        <v>#N/A</v>
      </c>
      <c r="G168" s="18" t="str">
        <f t="array" ref="G168">XLOOKUP($E168,'Player Database'!$B$2:$B758,'Player Database'!$H$2:$H758)</f>
        <v>#N/A</v>
      </c>
      <c r="H168" s="18" t="str">
        <f t="array" ref="H168">XLOOKUP($E168,'Player Database'!$B$2:$B758,'Player Database'!$O$2:$O758)</f>
        <v>#N/A</v>
      </c>
      <c r="I168" s="18" t="str">
        <f t="array" ref="I168">XLOOKUP($E168,'Player Database'!$B$2:$B758,'Player Database'!$P$2:$P758)</f>
        <v>#N/A</v>
      </c>
      <c r="J168" s="20" t="str">
        <f t="array" ref="J168">XLOOKUP($E168,'Player Database'!$B$2:$B758,'Player Database'!$U$2:$U758)</f>
        <v>#N/A</v>
      </c>
      <c r="K168" s="22" t="str">
        <f>VLOOKUP(E168, 'Player Database'!B:AE, 30, FALSE)</f>
        <v>#N/A</v>
      </c>
      <c r="L168" s="22" t="str">
        <f t="array" ref="L168">XLOOKUP($E168,'Player Database'!$B$2:$B758,'Player Database'!$W$2:$W758)</f>
        <v>#N/A</v>
      </c>
      <c r="M168" s="23" t="str">
        <f t="shared" si="1"/>
        <v>0 - 0</v>
      </c>
      <c r="N168" s="24" t="str">
        <f t="array" ref="N168">IF(XLOOKUP($E168,'Player Database'!$B$2:$B758,'Player Database'!$AA$2:$AA758)="",XLOOKUP($E168,'Player Database'!$B$2:$B758,'Player Database'!$G$2:$G758),XLOOKUP($E168,'Player Database'!$B$2:$B758,'Player Database'!$AA$2:$AA758))</f>
        <v>#N/A</v>
      </c>
      <c r="O168" s="27">
        <f>COUNTIFs(Matches!$B:$B,E168,Matches!$A:$A,"&gt;"&amp;Q168,Matches!$A:$A,"&lt;"&amp;R168)</f>
        <v>0</v>
      </c>
      <c r="P168" s="27">
        <f>COUNTIFs(Matches!$C:$C,E168,Matches!$A:$A,"&gt;"&amp;Q168,Matches!$A:$A,"&lt;"&amp;R168)</f>
        <v>0</v>
      </c>
      <c r="Q168" s="28">
        <f>VLOOKUP($C$2,Quotas!$A$7:$E$14,2,FALSE)</f>
        <v>46213.70833</v>
      </c>
      <c r="R168" s="28">
        <f>VLOOKUP($C$2,Quotas!$A$7:$E$14,3,FALSE)</f>
        <v>46220.70833</v>
      </c>
    </row>
    <row r="169">
      <c r="A169" s="32" t="str">
        <f t="array" ref="A169">XLOOKUP($E169,'Player Database'!$B$2:$B758,'Player Database'!$C$2:$C758)</f>
        <v>#N/A</v>
      </c>
      <c r="B169" s="32" t="str">
        <f t="array" ref="B169">XLOOKUP($E169,'Player Database'!$B$2:$B758,'Player Database'!$E$2:$E758)</f>
        <v>#N/A</v>
      </c>
      <c r="C169" s="32" t="str">
        <f t="array" ref="C169">XLOOKUP($E169,'Player Database'!$B$2:$B758,'Player Database'!$F$2:$F758)</f>
        <v>#N/A</v>
      </c>
      <c r="D169" s="106">
        <f>IFERROR(__xludf.DUMMYFUNCTION("""COMPUTED_VALUE"""),1.0)</f>
        <v>1</v>
      </c>
      <c r="E169" s="17"/>
      <c r="F169" s="18" t="str">
        <f t="array" ref="F169">XLOOKUP($E169,'Player Database'!$B$2:$B758,'Player Database'!$K$2:$K758)</f>
        <v>#N/A</v>
      </c>
      <c r="G169" s="18" t="str">
        <f t="array" ref="G169">XLOOKUP($E169,'Player Database'!$B$2:$B758,'Player Database'!$H$2:$H758)</f>
        <v>#N/A</v>
      </c>
      <c r="H169" s="18" t="str">
        <f t="array" ref="H169">XLOOKUP($E169,'Player Database'!$B$2:$B758,'Player Database'!$O$2:$O758)</f>
        <v>#N/A</v>
      </c>
      <c r="I169" s="18" t="str">
        <f t="array" ref="I169">XLOOKUP($E169,'Player Database'!$B$2:$B758,'Player Database'!$P$2:$P758)</f>
        <v>#N/A</v>
      </c>
      <c r="J169" s="20" t="str">
        <f t="array" ref="J169">XLOOKUP($E169,'Player Database'!$B$2:$B758,'Player Database'!$U$2:$U758)</f>
        <v>#N/A</v>
      </c>
      <c r="K169" s="22" t="str">
        <f>VLOOKUP(E169, 'Player Database'!B:AE, 30, FALSE)</f>
        <v>#N/A</v>
      </c>
      <c r="L169" s="22" t="str">
        <f t="array" ref="L169">XLOOKUP($E169,'Player Database'!$B$2:$B758,'Player Database'!$W$2:$W758)</f>
        <v>#N/A</v>
      </c>
      <c r="M169" s="23" t="str">
        <f t="shared" si="1"/>
        <v>0 - 0</v>
      </c>
      <c r="N169" s="24" t="str">
        <f t="array" ref="N169">IF(XLOOKUP($E169,'Player Database'!$B$2:$B758,'Player Database'!$AA$2:$AA758)="",XLOOKUP($E169,'Player Database'!$B$2:$B758,'Player Database'!$G$2:$G758),XLOOKUP($E169,'Player Database'!$B$2:$B758,'Player Database'!$AA$2:$AA758))</f>
        <v>#N/A</v>
      </c>
      <c r="O169" s="27">
        <f>COUNTIFs(Matches!$B:$B,E169,Matches!$A:$A,"&gt;"&amp;Q169,Matches!$A:$A,"&lt;"&amp;R169)</f>
        <v>0</v>
      </c>
      <c r="P169" s="27">
        <f>COUNTIFs(Matches!$C:$C,E169,Matches!$A:$A,"&gt;"&amp;Q169,Matches!$A:$A,"&lt;"&amp;R169)</f>
        <v>0</v>
      </c>
      <c r="Q169" s="28">
        <f>VLOOKUP($C$2,Quotas!$A$7:$E$14,2,FALSE)</f>
        <v>46213.70833</v>
      </c>
      <c r="R169" s="28">
        <f>VLOOKUP($C$2,Quotas!$A$7:$E$14,3,FALSE)</f>
        <v>46220.70833</v>
      </c>
    </row>
    <row r="170">
      <c r="A170" s="32" t="str">
        <f t="array" ref="A170">XLOOKUP($E170,'Player Database'!$B$2:$B758,'Player Database'!$C$2:$C758)</f>
        <v>#N/A</v>
      </c>
      <c r="B170" s="32" t="str">
        <f t="array" ref="B170">XLOOKUP($E170,'Player Database'!$B$2:$B758,'Player Database'!$E$2:$E758)</f>
        <v>#N/A</v>
      </c>
      <c r="C170" s="32" t="str">
        <f t="array" ref="C170">XLOOKUP($E170,'Player Database'!$B$2:$B758,'Player Database'!$F$2:$F758)</f>
        <v>#N/A</v>
      </c>
      <c r="D170" s="106">
        <f>IFERROR(__xludf.DUMMYFUNCTION("""COMPUTED_VALUE"""),1.0)</f>
        <v>1</v>
      </c>
      <c r="E170" s="17"/>
      <c r="F170" s="18" t="str">
        <f t="array" ref="F170">XLOOKUP($E170,'Player Database'!$B$2:$B758,'Player Database'!$K$2:$K758)</f>
        <v>#N/A</v>
      </c>
      <c r="G170" s="18" t="str">
        <f t="array" ref="G170">XLOOKUP($E170,'Player Database'!$B$2:$B758,'Player Database'!$H$2:$H758)</f>
        <v>#N/A</v>
      </c>
      <c r="H170" s="18" t="str">
        <f t="array" ref="H170">XLOOKUP($E170,'Player Database'!$B$2:$B758,'Player Database'!$O$2:$O758)</f>
        <v>#N/A</v>
      </c>
      <c r="I170" s="18" t="str">
        <f t="array" ref="I170">XLOOKUP($E170,'Player Database'!$B$2:$B758,'Player Database'!$P$2:$P758)</f>
        <v>#N/A</v>
      </c>
      <c r="J170" s="20" t="str">
        <f t="array" ref="J170">XLOOKUP($E170,'Player Database'!$B$2:$B758,'Player Database'!$U$2:$U758)</f>
        <v>#N/A</v>
      </c>
      <c r="K170" s="22" t="str">
        <f>VLOOKUP(E170, 'Player Database'!B:AE, 30, FALSE)</f>
        <v>#N/A</v>
      </c>
      <c r="L170" s="22" t="str">
        <f t="array" ref="L170">XLOOKUP($E170,'Player Database'!$B$2:$B758,'Player Database'!$W$2:$W758)</f>
        <v>#N/A</v>
      </c>
      <c r="M170" s="23" t="str">
        <f t="shared" si="1"/>
        <v>0 - 0</v>
      </c>
      <c r="N170" s="24" t="str">
        <f t="array" ref="N170">IF(XLOOKUP($E170,'Player Database'!$B$2:$B758,'Player Database'!$AA$2:$AA758)="",XLOOKUP($E170,'Player Database'!$B$2:$B758,'Player Database'!$G$2:$G758),XLOOKUP($E170,'Player Database'!$B$2:$B758,'Player Database'!$AA$2:$AA758))</f>
        <v>#N/A</v>
      </c>
      <c r="O170" s="27">
        <f>COUNTIFs(Matches!$B:$B,E170,Matches!$A:$A,"&gt;"&amp;Q170,Matches!$A:$A,"&lt;"&amp;R170)</f>
        <v>0</v>
      </c>
      <c r="P170" s="27">
        <f>COUNTIFs(Matches!$C:$C,E170,Matches!$A:$A,"&gt;"&amp;Q170,Matches!$A:$A,"&lt;"&amp;R170)</f>
        <v>0</v>
      </c>
      <c r="Q170" s="28">
        <f>VLOOKUP($C$2,Quotas!$A$7:$E$14,2,FALSE)</f>
        <v>46213.70833</v>
      </c>
      <c r="R170" s="28">
        <f>VLOOKUP($C$2,Quotas!$A$7:$E$14,3,FALSE)</f>
        <v>46220.70833</v>
      </c>
    </row>
    <row r="171">
      <c r="A171" s="32" t="str">
        <f t="array" ref="A171">XLOOKUP($E171,'Player Database'!$B$2:$B758,'Player Database'!$C$2:$C758)</f>
        <v>#N/A</v>
      </c>
      <c r="B171" s="32" t="str">
        <f t="array" ref="B171">XLOOKUP($E171,'Player Database'!$B$2:$B758,'Player Database'!$E$2:$E758)</f>
        <v>#N/A</v>
      </c>
      <c r="C171" s="32" t="str">
        <f t="array" ref="C171">XLOOKUP($E171,'Player Database'!$B$2:$B758,'Player Database'!$F$2:$F758)</f>
        <v>#N/A</v>
      </c>
      <c r="D171" s="106">
        <f>IFERROR(__xludf.DUMMYFUNCTION("""COMPUTED_VALUE"""),1.0)</f>
        <v>1</v>
      </c>
      <c r="E171" s="17"/>
      <c r="F171" s="18" t="str">
        <f t="array" ref="F171">XLOOKUP($E171,'Player Database'!$B$2:$B758,'Player Database'!$K$2:$K758)</f>
        <v>#N/A</v>
      </c>
      <c r="G171" s="18" t="str">
        <f t="array" ref="G171">XLOOKUP($E171,'Player Database'!$B$2:$B758,'Player Database'!$H$2:$H758)</f>
        <v>#N/A</v>
      </c>
      <c r="H171" s="18" t="str">
        <f t="array" ref="H171">XLOOKUP($E171,'Player Database'!$B$2:$B758,'Player Database'!$O$2:$O758)</f>
        <v>#N/A</v>
      </c>
      <c r="I171" s="18" t="str">
        <f t="array" ref="I171">XLOOKUP($E171,'Player Database'!$B$2:$B758,'Player Database'!$P$2:$P758)</f>
        <v>#N/A</v>
      </c>
      <c r="J171" s="20" t="str">
        <f t="array" ref="J171">XLOOKUP($E171,'Player Database'!$B$2:$B758,'Player Database'!$U$2:$U758)</f>
        <v>#N/A</v>
      </c>
      <c r="K171" s="22" t="str">
        <f>VLOOKUP(E171, 'Player Database'!B:AE, 30, FALSE)</f>
        <v>#N/A</v>
      </c>
      <c r="L171" s="22" t="str">
        <f t="array" ref="L171">XLOOKUP($E171,'Player Database'!$B$2:$B758,'Player Database'!$W$2:$W758)</f>
        <v>#N/A</v>
      </c>
      <c r="M171" s="23" t="str">
        <f t="shared" si="1"/>
        <v>0 - 0</v>
      </c>
      <c r="N171" s="24" t="str">
        <f t="array" ref="N171">IF(XLOOKUP($E171,'Player Database'!$B$2:$B758,'Player Database'!$AA$2:$AA758)="",XLOOKUP($E171,'Player Database'!$B$2:$B758,'Player Database'!$G$2:$G758),XLOOKUP($E171,'Player Database'!$B$2:$B758,'Player Database'!$AA$2:$AA758))</f>
        <v>#N/A</v>
      </c>
      <c r="O171" s="27">
        <f>COUNTIFs(Matches!$B:$B,E171,Matches!$A:$A,"&gt;"&amp;Q171,Matches!$A:$A,"&lt;"&amp;R171)</f>
        <v>0</v>
      </c>
      <c r="P171" s="27">
        <f>COUNTIFs(Matches!$C:$C,E171,Matches!$A:$A,"&gt;"&amp;Q171,Matches!$A:$A,"&lt;"&amp;R171)</f>
        <v>0</v>
      </c>
      <c r="Q171" s="28">
        <f>VLOOKUP($C$2,Quotas!$A$7:$E$14,2,FALSE)</f>
        <v>46213.70833</v>
      </c>
      <c r="R171" s="28">
        <f>VLOOKUP($C$2,Quotas!$A$7:$E$14,3,FALSE)</f>
        <v>46220.70833</v>
      </c>
    </row>
    <row r="172">
      <c r="A172" s="32" t="str">
        <f t="array" ref="A172">XLOOKUP($E172,'Player Database'!$B$2:$B758,'Player Database'!$C$2:$C758)</f>
        <v>#N/A</v>
      </c>
      <c r="B172" s="32" t="str">
        <f t="array" ref="B172">XLOOKUP($E172,'Player Database'!$B$2:$B758,'Player Database'!$E$2:$E758)</f>
        <v>#N/A</v>
      </c>
      <c r="C172" s="32" t="str">
        <f t="array" ref="C172">XLOOKUP($E172,'Player Database'!$B$2:$B758,'Player Database'!$F$2:$F758)</f>
        <v>#N/A</v>
      </c>
      <c r="D172" s="106">
        <f>IFERROR(__xludf.DUMMYFUNCTION("""COMPUTED_VALUE"""),1.0)</f>
        <v>1</v>
      </c>
      <c r="E172" s="17"/>
      <c r="F172" s="18" t="str">
        <f t="array" ref="F172">XLOOKUP($E172,'Player Database'!$B$2:$B758,'Player Database'!$K$2:$K758)</f>
        <v>#N/A</v>
      </c>
      <c r="G172" s="18" t="str">
        <f t="array" ref="G172">XLOOKUP($E172,'Player Database'!$B$2:$B758,'Player Database'!$H$2:$H758)</f>
        <v>#N/A</v>
      </c>
      <c r="H172" s="18" t="str">
        <f t="array" ref="H172">XLOOKUP($E172,'Player Database'!$B$2:$B758,'Player Database'!$O$2:$O758)</f>
        <v>#N/A</v>
      </c>
      <c r="I172" s="18" t="str">
        <f t="array" ref="I172">XLOOKUP($E172,'Player Database'!$B$2:$B758,'Player Database'!$P$2:$P758)</f>
        <v>#N/A</v>
      </c>
      <c r="J172" s="20" t="str">
        <f t="array" ref="J172">XLOOKUP($E172,'Player Database'!$B$2:$B758,'Player Database'!$U$2:$U758)</f>
        <v>#N/A</v>
      </c>
      <c r="K172" s="22" t="str">
        <f>VLOOKUP(E172, 'Player Database'!B:AE, 30, FALSE)</f>
        <v>#N/A</v>
      </c>
      <c r="L172" s="22" t="str">
        <f t="array" ref="L172">XLOOKUP($E172,'Player Database'!$B$2:$B758,'Player Database'!$W$2:$W758)</f>
        <v>#N/A</v>
      </c>
      <c r="M172" s="23" t="str">
        <f t="shared" si="1"/>
        <v>0 - 0</v>
      </c>
      <c r="N172" s="24" t="str">
        <f t="array" ref="N172">IF(XLOOKUP($E172,'Player Database'!$B$2:$B758,'Player Database'!$AA$2:$AA758)="",XLOOKUP($E172,'Player Database'!$B$2:$B758,'Player Database'!$G$2:$G758),XLOOKUP($E172,'Player Database'!$B$2:$B758,'Player Database'!$AA$2:$AA758))</f>
        <v>#N/A</v>
      </c>
      <c r="O172" s="27">
        <f>COUNTIFs(Matches!$B:$B,E172,Matches!$A:$A,"&gt;"&amp;Q172,Matches!$A:$A,"&lt;"&amp;R172)</f>
        <v>0</v>
      </c>
      <c r="P172" s="27">
        <f>COUNTIFs(Matches!$C:$C,E172,Matches!$A:$A,"&gt;"&amp;Q172,Matches!$A:$A,"&lt;"&amp;R172)</f>
        <v>0</v>
      </c>
      <c r="Q172" s="28">
        <f>VLOOKUP($C$2,Quotas!$A$7:$E$14,2,FALSE)</f>
        <v>46213.70833</v>
      </c>
      <c r="R172" s="28">
        <f>VLOOKUP($C$2,Quotas!$A$7:$E$14,3,FALSE)</f>
        <v>46220.70833</v>
      </c>
    </row>
    <row r="173">
      <c r="A173" s="32" t="str">
        <f t="array" ref="A173">XLOOKUP($E173,'Player Database'!$B$2:$B758,'Player Database'!$C$2:$C758)</f>
        <v>#N/A</v>
      </c>
      <c r="B173" s="32" t="str">
        <f t="array" ref="B173">XLOOKUP($E173,'Player Database'!$B$2:$B758,'Player Database'!$E$2:$E758)</f>
        <v>#N/A</v>
      </c>
      <c r="C173" s="32" t="str">
        <f t="array" ref="C173">XLOOKUP($E173,'Player Database'!$B$2:$B758,'Player Database'!$F$2:$F758)</f>
        <v>#N/A</v>
      </c>
      <c r="D173" s="106">
        <f>IFERROR(__xludf.DUMMYFUNCTION("""COMPUTED_VALUE"""),1.0)</f>
        <v>1</v>
      </c>
      <c r="E173" s="17"/>
      <c r="F173" s="18" t="str">
        <f t="array" ref="F173">XLOOKUP($E173,'Player Database'!$B$2:$B758,'Player Database'!$K$2:$K758)</f>
        <v>#N/A</v>
      </c>
      <c r="G173" s="18" t="str">
        <f t="array" ref="G173">XLOOKUP($E173,'Player Database'!$B$2:$B758,'Player Database'!$H$2:$H758)</f>
        <v>#N/A</v>
      </c>
      <c r="H173" s="18" t="str">
        <f t="array" ref="H173">XLOOKUP($E173,'Player Database'!$B$2:$B758,'Player Database'!$O$2:$O758)</f>
        <v>#N/A</v>
      </c>
      <c r="I173" s="18" t="str">
        <f t="array" ref="I173">XLOOKUP($E173,'Player Database'!$B$2:$B758,'Player Database'!$P$2:$P758)</f>
        <v>#N/A</v>
      </c>
      <c r="J173" s="20" t="str">
        <f t="array" ref="J173">XLOOKUP($E173,'Player Database'!$B$2:$B758,'Player Database'!$U$2:$U758)</f>
        <v>#N/A</v>
      </c>
      <c r="K173" s="22" t="str">
        <f>VLOOKUP(E173, 'Player Database'!B:AE, 30, FALSE)</f>
        <v>#N/A</v>
      </c>
      <c r="L173" s="22" t="str">
        <f t="array" ref="L173">XLOOKUP($E173,'Player Database'!$B$2:$B758,'Player Database'!$W$2:$W758)</f>
        <v>#N/A</v>
      </c>
      <c r="M173" s="23" t="str">
        <f t="shared" si="1"/>
        <v>0 - 0</v>
      </c>
      <c r="N173" s="24" t="str">
        <f t="array" ref="N173">IF(XLOOKUP($E173,'Player Database'!$B$2:$B758,'Player Database'!$AA$2:$AA758)="",XLOOKUP($E173,'Player Database'!$B$2:$B758,'Player Database'!$G$2:$G758),XLOOKUP($E173,'Player Database'!$B$2:$B758,'Player Database'!$AA$2:$AA758))</f>
        <v>#N/A</v>
      </c>
      <c r="O173" s="27">
        <f>COUNTIFs(Matches!$B:$B,E173,Matches!$A:$A,"&gt;"&amp;Q173,Matches!$A:$A,"&lt;"&amp;R173)</f>
        <v>0</v>
      </c>
      <c r="P173" s="27">
        <f>COUNTIFs(Matches!$C:$C,E173,Matches!$A:$A,"&gt;"&amp;Q173,Matches!$A:$A,"&lt;"&amp;R173)</f>
        <v>0</v>
      </c>
      <c r="Q173" s="28">
        <f>VLOOKUP($C$2,Quotas!$A$7:$E$14,2,FALSE)</f>
        <v>46213.70833</v>
      </c>
      <c r="R173" s="28">
        <f>VLOOKUP($C$2,Quotas!$A$7:$E$14,3,FALSE)</f>
        <v>46220.70833</v>
      </c>
    </row>
    <row r="174">
      <c r="A174" s="32" t="str">
        <f t="array" ref="A174">XLOOKUP($E174,'Player Database'!$B$2:$B758,'Player Database'!$C$2:$C758)</f>
        <v>#N/A</v>
      </c>
      <c r="B174" s="32" t="str">
        <f t="array" ref="B174">XLOOKUP($E174,'Player Database'!$B$2:$B758,'Player Database'!$E$2:$E758)</f>
        <v>#N/A</v>
      </c>
      <c r="C174" s="32" t="str">
        <f t="array" ref="C174">XLOOKUP($E174,'Player Database'!$B$2:$B758,'Player Database'!$F$2:$F758)</f>
        <v>#N/A</v>
      </c>
      <c r="D174" s="106">
        <f>IFERROR(__xludf.DUMMYFUNCTION("""COMPUTED_VALUE"""),1.0)</f>
        <v>1</v>
      </c>
      <c r="E174" s="17"/>
      <c r="F174" s="18" t="str">
        <f t="array" ref="F174">XLOOKUP($E174,'Player Database'!$B$2:$B758,'Player Database'!$K$2:$K758)</f>
        <v>#N/A</v>
      </c>
      <c r="G174" s="18" t="str">
        <f t="array" ref="G174">XLOOKUP($E174,'Player Database'!$B$2:$B758,'Player Database'!$H$2:$H758)</f>
        <v>#N/A</v>
      </c>
      <c r="H174" s="18" t="str">
        <f t="array" ref="H174">XLOOKUP($E174,'Player Database'!$B$2:$B758,'Player Database'!$O$2:$O758)</f>
        <v>#N/A</v>
      </c>
      <c r="I174" s="18" t="str">
        <f t="array" ref="I174">XLOOKUP($E174,'Player Database'!$B$2:$B758,'Player Database'!$P$2:$P758)</f>
        <v>#N/A</v>
      </c>
      <c r="J174" s="20" t="str">
        <f t="array" ref="J174">XLOOKUP($E174,'Player Database'!$B$2:$B758,'Player Database'!$U$2:$U758)</f>
        <v>#N/A</v>
      </c>
      <c r="K174" s="22" t="str">
        <f>VLOOKUP(E174, 'Player Database'!B:AE, 30, FALSE)</f>
        <v>#N/A</v>
      </c>
      <c r="L174" s="22" t="str">
        <f t="array" ref="L174">XLOOKUP($E174,'Player Database'!$B$2:$B758,'Player Database'!$W$2:$W758)</f>
        <v>#N/A</v>
      </c>
      <c r="M174" s="23" t="str">
        <f t="shared" si="1"/>
        <v>0 - 0</v>
      </c>
      <c r="N174" s="24" t="str">
        <f t="array" ref="N174">IF(XLOOKUP($E174,'Player Database'!$B$2:$B758,'Player Database'!$AA$2:$AA758)="",XLOOKUP($E174,'Player Database'!$B$2:$B758,'Player Database'!$G$2:$G758),XLOOKUP($E174,'Player Database'!$B$2:$B758,'Player Database'!$AA$2:$AA758))</f>
        <v>#N/A</v>
      </c>
      <c r="O174" s="27">
        <f>COUNTIFs(Matches!$B:$B,E174,Matches!$A:$A,"&gt;"&amp;Q174,Matches!$A:$A,"&lt;"&amp;R174)</f>
        <v>0</v>
      </c>
      <c r="P174" s="27">
        <f>COUNTIFs(Matches!$C:$C,E174,Matches!$A:$A,"&gt;"&amp;Q174,Matches!$A:$A,"&lt;"&amp;R174)</f>
        <v>0</v>
      </c>
      <c r="Q174" s="28">
        <f>VLOOKUP($C$2,Quotas!$A$7:$E$14,2,FALSE)</f>
        <v>46213.70833</v>
      </c>
      <c r="R174" s="28">
        <f>VLOOKUP($C$2,Quotas!$A$7:$E$14,3,FALSE)</f>
        <v>46220.70833</v>
      </c>
    </row>
    <row r="175">
      <c r="A175" s="32" t="str">
        <f t="array" ref="A175">XLOOKUP($E175,'Player Database'!$B$2:$B758,'Player Database'!$C$2:$C758)</f>
        <v>#N/A</v>
      </c>
      <c r="B175" s="32" t="str">
        <f t="array" ref="B175">XLOOKUP($E175,'Player Database'!$B$2:$B758,'Player Database'!$E$2:$E758)</f>
        <v>#N/A</v>
      </c>
      <c r="C175" s="32" t="str">
        <f t="array" ref="C175">XLOOKUP($E175,'Player Database'!$B$2:$B758,'Player Database'!$F$2:$F758)</f>
        <v>#N/A</v>
      </c>
      <c r="D175" s="106">
        <f>IFERROR(__xludf.DUMMYFUNCTION("""COMPUTED_VALUE"""),1.0)</f>
        <v>1</v>
      </c>
      <c r="E175" s="17"/>
      <c r="F175" s="18" t="str">
        <f t="array" ref="F175">XLOOKUP($E175,'Player Database'!$B$2:$B758,'Player Database'!$K$2:$K758)</f>
        <v>#N/A</v>
      </c>
      <c r="G175" s="18" t="str">
        <f t="array" ref="G175">XLOOKUP($E175,'Player Database'!$B$2:$B758,'Player Database'!$H$2:$H758)</f>
        <v>#N/A</v>
      </c>
      <c r="H175" s="18" t="str">
        <f t="array" ref="H175">XLOOKUP($E175,'Player Database'!$B$2:$B758,'Player Database'!$O$2:$O758)</f>
        <v>#N/A</v>
      </c>
      <c r="I175" s="18" t="str">
        <f t="array" ref="I175">XLOOKUP($E175,'Player Database'!$B$2:$B758,'Player Database'!$P$2:$P758)</f>
        <v>#N/A</v>
      </c>
      <c r="J175" s="20" t="str">
        <f t="array" ref="J175">XLOOKUP($E175,'Player Database'!$B$2:$B758,'Player Database'!$U$2:$U758)</f>
        <v>#N/A</v>
      </c>
      <c r="K175" s="22" t="str">
        <f>VLOOKUP(E175, 'Player Database'!B:AE, 30, FALSE)</f>
        <v>#N/A</v>
      </c>
      <c r="L175" s="22" t="str">
        <f t="array" ref="L175">XLOOKUP($E175,'Player Database'!$B$2:$B758,'Player Database'!$W$2:$W758)</f>
        <v>#N/A</v>
      </c>
      <c r="M175" s="23" t="str">
        <f t="shared" si="1"/>
        <v>0 - 0</v>
      </c>
      <c r="N175" s="24" t="str">
        <f t="array" ref="N175">IF(XLOOKUP($E175,'Player Database'!$B$2:$B758,'Player Database'!$AA$2:$AA758)="",XLOOKUP($E175,'Player Database'!$B$2:$B758,'Player Database'!$G$2:$G758),XLOOKUP($E175,'Player Database'!$B$2:$B758,'Player Database'!$AA$2:$AA758))</f>
        <v>#N/A</v>
      </c>
      <c r="O175" s="27">
        <f>COUNTIFs(Matches!$B:$B,E175,Matches!$A:$A,"&gt;"&amp;Q175,Matches!$A:$A,"&lt;"&amp;R175)</f>
        <v>0</v>
      </c>
      <c r="P175" s="27">
        <f>COUNTIFs(Matches!$C:$C,E175,Matches!$A:$A,"&gt;"&amp;Q175,Matches!$A:$A,"&lt;"&amp;R175)</f>
        <v>0</v>
      </c>
      <c r="Q175" s="28">
        <f>VLOOKUP($C$2,Quotas!$A$7:$E$14,2,FALSE)</f>
        <v>46213.70833</v>
      </c>
      <c r="R175" s="28">
        <f>VLOOKUP($C$2,Quotas!$A$7:$E$14,3,FALSE)</f>
        <v>46220.70833</v>
      </c>
    </row>
    <row r="176">
      <c r="A176" s="33" t="s">
        <v>26</v>
      </c>
      <c r="B176" s="34"/>
      <c r="C176" s="34"/>
      <c r="D176" s="34"/>
      <c r="E176" s="34"/>
      <c r="F176" s="35" t="str">
        <f>IFERROR(__xludf.DUMMYFUNCTION("CONCATENATE(TO_TEXT(SUM('Player Database'!$K:$K)),"" - 0"")"),"0 - 0")</f>
        <v>0 - 0</v>
      </c>
      <c r="G176" s="36">
        <f>COUNTIF(Entropy!$C:$C,A176)</f>
        <v>98</v>
      </c>
      <c r="H176" s="37"/>
      <c r="I176" s="37"/>
      <c r="J176" s="37"/>
      <c r="K176" s="37"/>
      <c r="L176" s="37"/>
      <c r="M176" s="37"/>
      <c r="N176" s="37"/>
      <c r="O176" s="151">
        <f t="shared" ref="O176:P176" si="2">sum(O4:O134)</f>
        <v>0</v>
      </c>
      <c r="P176" s="151">
        <f t="shared" si="2"/>
        <v>0</v>
      </c>
      <c r="Q176" s="151"/>
      <c r="R176" s="151"/>
    </row>
    <row r="177">
      <c r="A177" s="38" t="s">
        <v>27</v>
      </c>
      <c r="B177" s="34"/>
      <c r="C177" s="34"/>
      <c r="D177" s="34"/>
      <c r="E177" s="34"/>
      <c r="F177" s="39" t="str">
        <f>IFERROR(__xludf.DUMMYFUNCTION("CONCATENATE(TO_TEXT(SUM('Player Database'!$I$2:$I758)),"" - "",TO_TEXT(SUM('Player Database'!$J$2:$J758)))"),"0 - 0")</f>
        <v>0 - 0</v>
      </c>
      <c r="G177" s="40" t="str">
        <f>SUM(G4:G176)</f>
        <v>#N/A</v>
      </c>
      <c r="H177" s="41">
        <f t="shared" ref="H177:I177" si="3">SUMif(H4:H134,"&gt;0")</f>
        <v>0</v>
      </c>
      <c r="I177" s="42">
        <f t="shared" si="3"/>
        <v>0</v>
      </c>
      <c r="J177" s="37"/>
      <c r="K177" s="37"/>
      <c r="L177" s="37"/>
      <c r="M177" s="43"/>
      <c r="N177" s="37"/>
      <c r="O177" s="152"/>
      <c r="P177" s="152"/>
      <c r="Q177" s="152"/>
      <c r="R177" s="152"/>
    </row>
    <row r="178">
      <c r="A178" s="38" t="s">
        <v>28</v>
      </c>
      <c r="B178" s="34"/>
      <c r="C178" s="34"/>
      <c r="D178" s="34"/>
      <c r="E178" s="34"/>
      <c r="F178" s="44" t="str">
        <f>IFERROR(__xludf.DUMMYFUNCTION("CONCATENATE(TO_TEXT(SUM('Player Database'!$I$2:$I758)),"" - "",TO_TEXT(SUM('Player Database'!$J$2:$J758)-SUM('Player Database'!$L$2:$L758)))"),"0 - 0")</f>
        <v>0 - 0</v>
      </c>
      <c r="G178" s="45" t="str">
        <f>G177-COUNTIF(#REF!,"TRUE")</f>
        <v>#N/A</v>
      </c>
      <c r="H178" s="37"/>
      <c r="I178" s="37"/>
      <c r="J178" s="37"/>
      <c r="K178" s="37"/>
      <c r="L178" s="37"/>
      <c r="M178" s="153" t="str">
        <f>CONCATENATE(O176," - ",P176)</f>
        <v>0 - 0</v>
      </c>
      <c r="N178" s="37"/>
      <c r="O178" s="154"/>
      <c r="P178" s="154"/>
      <c r="Q178" s="154"/>
      <c r="R178" s="154"/>
    </row>
    <row r="179">
      <c r="A179" s="47"/>
      <c r="B179" s="48"/>
      <c r="C179" s="49"/>
      <c r="D179" s="48"/>
      <c r="E179" s="48"/>
      <c r="F179" s="48"/>
      <c r="G179" s="48"/>
      <c r="H179" s="48"/>
      <c r="I179" s="48"/>
      <c r="J179" s="48"/>
      <c r="K179" s="48"/>
      <c r="L179" s="48"/>
      <c r="M179" s="48"/>
      <c r="N179" s="48"/>
      <c r="O179" s="1"/>
      <c r="P179" s="1"/>
      <c r="Q179" s="1"/>
      <c r="R179" s="1"/>
    </row>
    <row r="180">
      <c r="A180" s="155" t="s">
        <v>4251</v>
      </c>
      <c r="B180" s="51"/>
      <c r="C180" s="52">
        <f>COUNTA($A4:$A175)-$C181-COUNTIFS($G4:$G174,30,$L4:$L174,"Maxed out")</f>
        <v>172</v>
      </c>
      <c r="D180" s="53"/>
      <c r="E180" s="53"/>
      <c r="F180" s="53"/>
      <c r="G180" s="53"/>
      <c r="H180" s="53"/>
      <c r="I180" s="53"/>
      <c r="J180" s="53"/>
      <c r="K180" s="53"/>
      <c r="L180" s="53"/>
      <c r="M180" s="48"/>
      <c r="N180" s="48"/>
      <c r="O180" s="1"/>
      <c r="P180" s="1"/>
      <c r="Q180" s="1"/>
      <c r="R180" s="1"/>
    </row>
    <row r="181">
      <c r="A181" s="155" t="s">
        <v>4263</v>
      </c>
      <c r="B181" s="51"/>
      <c r="C181" s="52">
        <f>COUNTIF($L4:$L176,"Eliminated")</f>
        <v>0</v>
      </c>
      <c r="D181" s="53"/>
      <c r="E181" s="53"/>
      <c r="F181" s="156" t="s">
        <v>4268</v>
      </c>
      <c r="G181" s="157"/>
      <c r="H181" s="53"/>
      <c r="I181" s="158" t="s">
        <v>4272</v>
      </c>
      <c r="M181" s="48"/>
      <c r="N181" s="48"/>
      <c r="O181" s="1"/>
      <c r="P181" s="1"/>
      <c r="Q181" s="1"/>
      <c r="R181" s="1"/>
    </row>
    <row r="182">
      <c r="A182" s="155" t="s">
        <v>4290</v>
      </c>
      <c r="B182" s="51"/>
      <c r="C182" s="159" t="str">
        <f>$G178/2</f>
        <v>#N/A</v>
      </c>
      <c r="D182" s="53"/>
      <c r="E182" s="53"/>
      <c r="F182" s="160" t="s">
        <v>4298</v>
      </c>
      <c r="G182" s="161"/>
      <c r="H182" s="53"/>
      <c r="I182" s="56"/>
      <c r="J182" s="56"/>
      <c r="K182" s="56"/>
      <c r="L182" s="56"/>
      <c r="M182" s="48"/>
      <c r="N182" s="48"/>
      <c r="O182" s="1"/>
      <c r="P182" s="1"/>
      <c r="Q182" s="1"/>
      <c r="R182" s="1"/>
    </row>
    <row r="183">
      <c r="A183" s="155" t="s">
        <v>4304</v>
      </c>
      <c r="B183" s="51"/>
      <c r="C183" s="159">
        <f>SUM('Player Database'!$I$2:$I758)</f>
        <v>0</v>
      </c>
      <c r="D183" s="56"/>
      <c r="E183" s="57"/>
      <c r="F183" s="56"/>
      <c r="G183" s="56"/>
      <c r="H183" s="56"/>
      <c r="I183" s="58"/>
      <c r="J183" s="59"/>
      <c r="K183" s="59"/>
      <c r="L183" s="59"/>
      <c r="M183" s="60"/>
      <c r="N183" s="60"/>
      <c r="O183" s="3"/>
      <c r="P183" s="3"/>
      <c r="Q183" s="3"/>
      <c r="R183" s="3"/>
    </row>
    <row r="184">
      <c r="A184" s="155" t="s">
        <v>4315</v>
      </c>
      <c r="B184" s="51"/>
      <c r="C184" s="159">
        <f>SUM('Player Database'!$I$2:$I758)-SUM('Player Database'!$K$2:$K758)</f>
        <v>0</v>
      </c>
      <c r="D184" s="56"/>
      <c r="E184" s="57"/>
      <c r="F184" s="56"/>
      <c r="G184" s="56"/>
      <c r="H184" s="56"/>
      <c r="I184" s="162" t="s">
        <v>4324</v>
      </c>
      <c r="M184" s="60"/>
      <c r="N184" s="60"/>
      <c r="O184" s="3"/>
      <c r="P184" s="3"/>
      <c r="Q184" s="3"/>
      <c r="R184" s="3"/>
    </row>
    <row r="185">
      <c r="A185" s="50" t="s">
        <v>4337</v>
      </c>
      <c r="B185" s="163"/>
      <c r="C185" s="159">
        <f>SUMIF(#REF!,"&gt;0",'Player Database'!$P2:$P758)</f>
        <v>0</v>
      </c>
      <c r="D185" s="56"/>
      <c r="E185" s="57"/>
      <c r="F185" s="56"/>
      <c r="G185" s="56"/>
      <c r="H185" s="56"/>
      <c r="I185" s="62"/>
      <c r="J185" s="62"/>
      <c r="K185" s="62"/>
      <c r="L185" s="62"/>
      <c r="M185" s="60"/>
      <c r="N185" s="60"/>
      <c r="O185" s="3"/>
      <c r="P185" s="3"/>
      <c r="Q185" s="3"/>
      <c r="R185" s="3"/>
    </row>
    <row r="186">
      <c r="A186" s="164"/>
      <c r="B186" s="164"/>
      <c r="C186" s="165"/>
      <c r="D186" s="56"/>
      <c r="E186" s="57"/>
      <c r="F186" s="56"/>
      <c r="G186" s="56"/>
      <c r="H186" s="56"/>
      <c r="I186" s="62"/>
      <c r="J186" s="62"/>
      <c r="K186" s="62"/>
      <c r="L186" s="62"/>
      <c r="M186" s="60"/>
      <c r="N186" s="60"/>
      <c r="O186" s="3"/>
      <c r="P186" s="3"/>
      <c r="Q186" s="3"/>
      <c r="R186" s="3"/>
    </row>
    <row r="187">
      <c r="A187" s="164"/>
      <c r="B187" s="164"/>
      <c r="C187" s="165"/>
      <c r="D187" s="56"/>
      <c r="E187" s="57"/>
      <c r="F187" s="56"/>
      <c r="G187" s="56"/>
      <c r="H187" s="56"/>
      <c r="I187" s="62"/>
      <c r="J187" s="62"/>
      <c r="K187" s="62"/>
      <c r="L187" s="62"/>
      <c r="M187" s="60"/>
      <c r="N187" s="60"/>
      <c r="O187" s="3"/>
      <c r="P187" s="3"/>
      <c r="Q187" s="3"/>
      <c r="R187" s="3"/>
    </row>
    <row r="188">
      <c r="A188" s="164"/>
      <c r="B188" s="164"/>
      <c r="C188" s="165"/>
      <c r="D188" s="56"/>
      <c r="E188" s="57"/>
      <c r="F188" s="56"/>
      <c r="G188" s="56"/>
      <c r="H188" s="56"/>
      <c r="I188" s="62"/>
      <c r="J188" s="62"/>
      <c r="K188" s="62"/>
      <c r="L188" s="62"/>
      <c r="M188" s="60"/>
      <c r="N188" s="60"/>
      <c r="O188" s="3"/>
      <c r="P188" s="3"/>
      <c r="Q188" s="3"/>
      <c r="R188" s="3"/>
    </row>
    <row r="189">
      <c r="A189" s="164"/>
      <c r="B189" s="164"/>
      <c r="C189" s="165"/>
      <c r="D189" s="56"/>
      <c r="E189" s="57"/>
      <c r="F189" s="56"/>
      <c r="G189" s="56"/>
      <c r="H189" s="56"/>
      <c r="I189" s="62"/>
      <c r="J189" s="62"/>
      <c r="K189" s="62"/>
      <c r="L189" s="62"/>
      <c r="M189" s="60"/>
      <c r="N189" s="60"/>
      <c r="O189" s="3"/>
      <c r="P189" s="3"/>
      <c r="Q189" s="3"/>
      <c r="R189" s="3"/>
    </row>
    <row r="190">
      <c r="A190" s="164"/>
      <c r="B190" s="164"/>
      <c r="C190" s="165"/>
      <c r="D190" s="56"/>
      <c r="E190" s="57"/>
      <c r="F190" s="56"/>
      <c r="G190" s="56"/>
      <c r="H190" s="56"/>
      <c r="I190" s="62"/>
      <c r="J190" s="62"/>
      <c r="K190" s="62"/>
      <c r="L190" s="62"/>
      <c r="M190" s="60"/>
      <c r="N190" s="60"/>
      <c r="O190" s="3"/>
      <c r="P190" s="3"/>
      <c r="Q190" s="3"/>
      <c r="R190" s="3"/>
    </row>
    <row r="191">
      <c r="A191" s="164"/>
      <c r="B191" s="164"/>
      <c r="C191" s="165"/>
      <c r="D191" s="56"/>
      <c r="E191" s="57"/>
      <c r="F191" s="56"/>
      <c r="G191" s="56"/>
      <c r="H191" s="56"/>
      <c r="I191" s="62"/>
      <c r="J191" s="62"/>
      <c r="K191" s="62"/>
      <c r="L191" s="62"/>
      <c r="M191" s="60"/>
      <c r="N191" s="60"/>
      <c r="O191" s="3"/>
      <c r="P191" s="3"/>
      <c r="Q191" s="3"/>
      <c r="R191" s="3"/>
    </row>
    <row r="192">
      <c r="A192" s="164"/>
      <c r="B192" s="164"/>
      <c r="C192" s="165"/>
      <c r="D192" s="56"/>
      <c r="E192" s="57"/>
      <c r="F192" s="56"/>
      <c r="G192" s="56"/>
      <c r="H192" s="56"/>
      <c r="I192" s="62"/>
      <c r="J192" s="62"/>
      <c r="K192" s="62"/>
      <c r="L192" s="62"/>
      <c r="M192" s="60"/>
      <c r="N192" s="60"/>
      <c r="O192" s="3"/>
      <c r="P192" s="3"/>
      <c r="Q192" s="3"/>
      <c r="R192" s="3"/>
    </row>
    <row r="193">
      <c r="A193" s="164"/>
      <c r="B193" s="164"/>
      <c r="C193" s="165"/>
      <c r="D193" s="56"/>
      <c r="E193" s="57"/>
      <c r="F193" s="56"/>
      <c r="G193" s="56"/>
      <c r="H193" s="56"/>
      <c r="I193" s="62"/>
      <c r="J193" s="62"/>
      <c r="K193" s="62"/>
      <c r="L193" s="62"/>
      <c r="M193" s="60"/>
      <c r="N193" s="60"/>
      <c r="O193" s="3"/>
      <c r="P193" s="3"/>
      <c r="Q193" s="3"/>
      <c r="R193" s="3"/>
    </row>
    <row r="194">
      <c r="A194" s="164"/>
      <c r="B194" s="164"/>
      <c r="C194" s="165"/>
      <c r="D194" s="56"/>
      <c r="E194" s="57"/>
      <c r="F194" s="56"/>
      <c r="G194" s="56"/>
      <c r="H194" s="56"/>
      <c r="I194" s="62"/>
      <c r="J194" s="62"/>
      <c r="K194" s="62"/>
      <c r="L194" s="62"/>
      <c r="M194" s="60"/>
      <c r="N194" s="60"/>
      <c r="O194" s="3"/>
      <c r="P194" s="3"/>
      <c r="Q194" s="3"/>
      <c r="R194" s="3"/>
    </row>
    <row r="195">
      <c r="A195" s="164"/>
      <c r="B195" s="164"/>
      <c r="C195" s="165"/>
      <c r="D195" s="56"/>
      <c r="E195" s="57"/>
      <c r="F195" s="56"/>
      <c r="G195" s="56"/>
      <c r="H195" s="56"/>
      <c r="I195" s="62"/>
      <c r="J195" s="62"/>
      <c r="K195" s="62"/>
      <c r="L195" s="62"/>
      <c r="M195" s="60"/>
      <c r="N195" s="60"/>
      <c r="O195" s="3"/>
      <c r="P195" s="3"/>
      <c r="Q195" s="3"/>
      <c r="R195" s="3"/>
    </row>
    <row r="196">
      <c r="A196" s="164"/>
      <c r="B196" s="164"/>
      <c r="C196" s="165"/>
      <c r="D196" s="56"/>
      <c r="E196" s="57"/>
      <c r="F196" s="56"/>
      <c r="G196" s="56"/>
      <c r="H196" s="56"/>
      <c r="I196" s="62"/>
      <c r="J196" s="62"/>
      <c r="K196" s="62"/>
      <c r="L196" s="62"/>
      <c r="M196" s="60"/>
      <c r="N196" s="60"/>
      <c r="O196" s="3"/>
      <c r="P196" s="3"/>
      <c r="Q196" s="3"/>
      <c r="R196" s="3"/>
    </row>
    <row r="197">
      <c r="A197" s="164"/>
      <c r="B197" s="164"/>
      <c r="C197" s="165"/>
      <c r="D197" s="56"/>
      <c r="E197" s="57"/>
      <c r="F197" s="56"/>
      <c r="G197" s="56"/>
      <c r="H197" s="56"/>
      <c r="I197" s="62"/>
      <c r="J197" s="62"/>
      <c r="K197" s="62"/>
      <c r="L197" s="62"/>
      <c r="M197" s="60"/>
      <c r="N197" s="60"/>
      <c r="O197" s="3"/>
      <c r="P197" s="3"/>
      <c r="Q197" s="3"/>
      <c r="R197" s="3"/>
    </row>
    <row r="198">
      <c r="A198" s="164"/>
      <c r="B198" s="164"/>
      <c r="C198" s="165"/>
      <c r="D198" s="56"/>
      <c r="E198" s="57"/>
      <c r="F198" s="56"/>
      <c r="G198" s="56"/>
      <c r="H198" s="56"/>
      <c r="I198" s="62"/>
      <c r="J198" s="62"/>
      <c r="K198" s="62"/>
      <c r="L198" s="62"/>
      <c r="M198" s="60"/>
      <c r="N198" s="60"/>
      <c r="O198" s="3"/>
      <c r="P198" s="3"/>
      <c r="Q198" s="3"/>
      <c r="R198" s="3"/>
    </row>
    <row r="199">
      <c r="A199" s="164"/>
      <c r="B199" s="164"/>
      <c r="C199" s="165"/>
      <c r="D199" s="56"/>
      <c r="E199" s="57"/>
      <c r="F199" s="56"/>
      <c r="G199" s="56"/>
      <c r="H199" s="56"/>
      <c r="I199" s="62"/>
      <c r="J199" s="62"/>
      <c r="K199" s="62"/>
      <c r="L199" s="62"/>
      <c r="M199" s="60"/>
      <c r="N199" s="60"/>
      <c r="O199" s="3"/>
      <c r="P199" s="3"/>
      <c r="Q199" s="3"/>
      <c r="R199" s="3"/>
    </row>
    <row r="200">
      <c r="A200" s="164"/>
      <c r="B200" s="164"/>
      <c r="C200" s="165"/>
      <c r="D200" s="56"/>
      <c r="E200" s="57"/>
      <c r="F200" s="56"/>
      <c r="G200" s="56"/>
      <c r="H200" s="56"/>
      <c r="I200" s="62"/>
      <c r="J200" s="62"/>
      <c r="K200" s="62"/>
      <c r="L200" s="62"/>
      <c r="M200" s="60"/>
      <c r="N200" s="60"/>
      <c r="O200" s="3"/>
      <c r="P200" s="3"/>
      <c r="Q200" s="3"/>
      <c r="R200" s="3"/>
    </row>
    <row r="201">
      <c r="A201" s="164"/>
      <c r="B201" s="164"/>
      <c r="C201" s="165"/>
      <c r="D201" s="56"/>
      <c r="E201" s="57"/>
      <c r="F201" s="56"/>
      <c r="G201" s="56"/>
      <c r="H201" s="56"/>
      <c r="I201" s="62"/>
      <c r="J201" s="62"/>
      <c r="K201" s="62"/>
      <c r="L201" s="62"/>
      <c r="M201" s="60"/>
      <c r="N201" s="60"/>
      <c r="O201" s="3"/>
      <c r="P201" s="3"/>
      <c r="Q201" s="3"/>
      <c r="R201" s="3"/>
    </row>
    <row r="202">
      <c r="A202" s="164"/>
      <c r="B202" s="164"/>
      <c r="C202" s="165"/>
      <c r="D202" s="56"/>
      <c r="E202" s="57"/>
      <c r="F202" s="56"/>
      <c r="G202" s="56"/>
      <c r="H202" s="56"/>
      <c r="I202" s="62"/>
      <c r="J202" s="62"/>
      <c r="K202" s="62"/>
      <c r="L202" s="62"/>
      <c r="M202" s="60"/>
      <c r="N202" s="60"/>
      <c r="O202" s="3"/>
      <c r="P202" s="3"/>
      <c r="Q202" s="3"/>
      <c r="R202" s="3"/>
    </row>
    <row r="203">
      <c r="A203" s="164"/>
      <c r="B203" s="164"/>
      <c r="C203" s="165"/>
      <c r="D203" s="56"/>
      <c r="E203" s="57"/>
      <c r="F203" s="56"/>
      <c r="G203" s="56"/>
      <c r="H203" s="56"/>
      <c r="I203" s="62"/>
      <c r="J203" s="62"/>
      <c r="K203" s="62"/>
      <c r="L203" s="62"/>
      <c r="M203" s="60"/>
      <c r="N203" s="60"/>
      <c r="O203" s="3"/>
      <c r="P203" s="3"/>
      <c r="Q203" s="3"/>
      <c r="R203" s="3"/>
    </row>
    <row r="204">
      <c r="A204" s="164"/>
      <c r="B204" s="164"/>
      <c r="C204" s="165"/>
      <c r="D204" s="56"/>
      <c r="E204" s="57"/>
      <c r="F204" s="56"/>
      <c r="G204" s="56"/>
      <c r="H204" s="56"/>
      <c r="I204" s="62"/>
      <c r="J204" s="62"/>
      <c r="K204" s="62"/>
      <c r="L204" s="62"/>
      <c r="M204" s="60"/>
      <c r="N204" s="60"/>
      <c r="O204" s="3"/>
      <c r="P204" s="3"/>
      <c r="Q204" s="3"/>
      <c r="R204" s="3"/>
    </row>
    <row r="205">
      <c r="A205" s="164"/>
      <c r="B205" s="164"/>
      <c r="C205" s="165"/>
      <c r="D205" s="56"/>
      <c r="E205" s="57"/>
      <c r="F205" s="56"/>
      <c r="G205" s="56"/>
      <c r="H205" s="56"/>
      <c r="I205" s="62"/>
      <c r="J205" s="62"/>
      <c r="K205" s="62"/>
      <c r="L205" s="62"/>
      <c r="M205" s="60"/>
      <c r="N205" s="60"/>
      <c r="O205" s="3"/>
      <c r="P205" s="3"/>
      <c r="Q205" s="3"/>
      <c r="R205" s="3"/>
    </row>
    <row r="206">
      <c r="A206" s="164"/>
      <c r="B206" s="164"/>
      <c r="C206" s="165"/>
      <c r="D206" s="56"/>
      <c r="E206" s="57"/>
      <c r="F206" s="56"/>
      <c r="G206" s="56"/>
      <c r="H206" s="56"/>
      <c r="I206" s="62"/>
      <c r="J206" s="62"/>
      <c r="K206" s="62"/>
      <c r="L206" s="62"/>
      <c r="M206" s="60"/>
      <c r="N206" s="60"/>
      <c r="O206" s="3"/>
      <c r="P206" s="3"/>
      <c r="Q206" s="3"/>
      <c r="R206" s="3"/>
    </row>
    <row r="207">
      <c r="A207" s="164"/>
      <c r="B207" s="164"/>
      <c r="C207" s="165"/>
      <c r="D207" s="56"/>
      <c r="E207" s="57"/>
      <c r="F207" s="56"/>
      <c r="G207" s="56"/>
      <c r="H207" s="56"/>
      <c r="I207" s="62"/>
      <c r="J207" s="62"/>
      <c r="K207" s="62"/>
      <c r="L207" s="62"/>
      <c r="M207" s="60"/>
      <c r="N207" s="60"/>
      <c r="O207" s="3"/>
      <c r="P207" s="3"/>
      <c r="Q207" s="3"/>
      <c r="R207" s="3"/>
    </row>
    <row r="208">
      <c r="A208" s="164"/>
      <c r="B208" s="164"/>
      <c r="C208" s="165"/>
      <c r="D208" s="56"/>
      <c r="E208" s="57"/>
      <c r="F208" s="56"/>
      <c r="G208" s="56"/>
      <c r="H208" s="56"/>
      <c r="I208" s="62"/>
      <c r="J208" s="62"/>
      <c r="K208" s="62"/>
      <c r="L208" s="62"/>
      <c r="M208" s="60"/>
      <c r="N208" s="60"/>
      <c r="O208" s="3"/>
      <c r="P208" s="3"/>
      <c r="Q208" s="3"/>
      <c r="R208" s="3"/>
    </row>
    <row r="209">
      <c r="A209" s="164"/>
      <c r="B209" s="164"/>
      <c r="C209" s="165"/>
      <c r="D209" s="56"/>
      <c r="E209" s="57"/>
      <c r="F209" s="56"/>
      <c r="G209" s="56"/>
      <c r="H209" s="56"/>
      <c r="I209" s="62"/>
      <c r="J209" s="62"/>
      <c r="K209" s="62"/>
      <c r="L209" s="62"/>
      <c r="M209" s="60"/>
      <c r="N209" s="60"/>
      <c r="O209" s="3"/>
      <c r="P209" s="3"/>
      <c r="Q209" s="3"/>
      <c r="R209" s="3"/>
    </row>
    <row r="210">
      <c r="A210" s="164"/>
      <c r="B210" s="164"/>
      <c r="C210" s="165"/>
      <c r="D210" s="56"/>
      <c r="E210" s="57"/>
      <c r="F210" s="56"/>
      <c r="G210" s="56"/>
      <c r="H210" s="56"/>
      <c r="I210" s="62"/>
      <c r="J210" s="62"/>
      <c r="K210" s="62"/>
      <c r="L210" s="62"/>
      <c r="M210" s="60"/>
      <c r="N210" s="60"/>
      <c r="O210" s="3"/>
      <c r="P210" s="3"/>
      <c r="Q210" s="3"/>
      <c r="R210" s="3"/>
    </row>
    <row r="211">
      <c r="A211" s="164"/>
      <c r="B211" s="164"/>
      <c r="C211" s="165"/>
      <c r="D211" s="56"/>
      <c r="E211" s="57"/>
      <c r="F211" s="56"/>
      <c r="G211" s="56"/>
      <c r="H211" s="56"/>
      <c r="I211" s="62"/>
      <c r="J211" s="62"/>
      <c r="K211" s="62"/>
      <c r="L211" s="62"/>
      <c r="M211" s="60"/>
      <c r="N211" s="60"/>
      <c r="O211" s="3"/>
      <c r="P211" s="3"/>
      <c r="Q211" s="3"/>
      <c r="R211" s="3"/>
    </row>
    <row r="212">
      <c r="A212" s="164"/>
      <c r="B212" s="164"/>
      <c r="C212" s="165"/>
      <c r="D212" s="56"/>
      <c r="E212" s="57"/>
      <c r="F212" s="56"/>
      <c r="G212" s="56"/>
      <c r="H212" s="56"/>
      <c r="I212" s="62"/>
      <c r="J212" s="62"/>
      <c r="K212" s="62"/>
      <c r="L212" s="62"/>
      <c r="M212" s="60"/>
      <c r="N212" s="60"/>
      <c r="O212" s="3"/>
      <c r="P212" s="3"/>
      <c r="Q212" s="3"/>
      <c r="R212" s="3"/>
    </row>
    <row r="213">
      <c r="A213" s="164"/>
      <c r="B213" s="164"/>
      <c r="C213" s="165"/>
      <c r="D213" s="56"/>
      <c r="E213" s="57"/>
      <c r="F213" s="56"/>
      <c r="G213" s="56"/>
      <c r="H213" s="56"/>
      <c r="I213" s="62"/>
      <c r="J213" s="62"/>
      <c r="K213" s="62"/>
      <c r="L213" s="62"/>
      <c r="M213" s="60"/>
      <c r="N213" s="60"/>
      <c r="O213" s="3"/>
      <c r="P213" s="3"/>
      <c r="Q213" s="3"/>
      <c r="R213" s="3"/>
    </row>
    <row r="214">
      <c r="A214" s="164"/>
      <c r="B214" s="164"/>
      <c r="C214" s="165"/>
      <c r="D214" s="56"/>
      <c r="E214" s="57"/>
      <c r="F214" s="56"/>
      <c r="G214" s="56"/>
      <c r="H214" s="56"/>
      <c r="I214" s="62"/>
      <c r="J214" s="62"/>
      <c r="K214" s="62"/>
      <c r="L214" s="62"/>
      <c r="M214" s="60"/>
      <c r="N214" s="60"/>
      <c r="O214" s="3"/>
      <c r="P214" s="3"/>
      <c r="Q214" s="3"/>
      <c r="R214" s="3"/>
    </row>
    <row r="215">
      <c r="A215" s="164"/>
      <c r="B215" s="164"/>
      <c r="C215" s="165"/>
      <c r="D215" s="56"/>
      <c r="E215" s="57"/>
      <c r="F215" s="56"/>
      <c r="G215" s="56"/>
      <c r="H215" s="56"/>
      <c r="I215" s="62"/>
      <c r="J215" s="62"/>
      <c r="K215" s="62"/>
      <c r="L215" s="62"/>
      <c r="M215" s="60"/>
      <c r="N215" s="60"/>
      <c r="O215" s="3"/>
      <c r="P215" s="3"/>
      <c r="Q215" s="3"/>
      <c r="R215" s="3"/>
    </row>
    <row r="216">
      <c r="A216" s="164"/>
      <c r="B216" s="164"/>
      <c r="C216" s="165"/>
      <c r="D216" s="56"/>
      <c r="E216" s="57"/>
      <c r="F216" s="56"/>
      <c r="G216" s="56"/>
      <c r="H216" s="56"/>
      <c r="I216" s="62"/>
      <c r="J216" s="62"/>
      <c r="K216" s="62"/>
      <c r="L216" s="62"/>
      <c r="M216" s="60"/>
      <c r="N216" s="60"/>
      <c r="O216" s="3"/>
      <c r="P216" s="3"/>
      <c r="Q216" s="3"/>
      <c r="R216" s="3"/>
    </row>
    <row r="217">
      <c r="A217" s="164"/>
      <c r="B217" s="164"/>
      <c r="C217" s="165"/>
      <c r="D217" s="56"/>
      <c r="E217" s="57"/>
      <c r="F217" s="56"/>
      <c r="G217" s="56"/>
      <c r="H217" s="56"/>
      <c r="I217" s="62"/>
      <c r="J217" s="62"/>
      <c r="K217" s="62"/>
      <c r="L217" s="62"/>
      <c r="M217" s="60"/>
      <c r="N217" s="60"/>
      <c r="O217" s="3"/>
      <c r="P217" s="3"/>
      <c r="Q217" s="3"/>
      <c r="R217" s="3"/>
    </row>
    <row r="218">
      <c r="A218" s="164"/>
      <c r="B218" s="164"/>
      <c r="C218" s="165"/>
      <c r="D218" s="56"/>
      <c r="E218" s="57"/>
      <c r="F218" s="56"/>
      <c r="G218" s="56"/>
      <c r="H218" s="56"/>
      <c r="I218" s="62"/>
      <c r="J218" s="62"/>
      <c r="K218" s="62"/>
      <c r="L218" s="62"/>
      <c r="M218" s="60"/>
      <c r="N218" s="60"/>
      <c r="O218" s="3"/>
      <c r="P218" s="3"/>
      <c r="Q218" s="3"/>
      <c r="R218" s="3"/>
    </row>
    <row r="219">
      <c r="A219" s="164"/>
      <c r="B219" s="164"/>
      <c r="C219" s="165"/>
      <c r="D219" s="56"/>
      <c r="E219" s="57"/>
      <c r="F219" s="56"/>
      <c r="G219" s="56"/>
      <c r="H219" s="56"/>
      <c r="I219" s="62"/>
      <c r="J219" s="62"/>
      <c r="K219" s="62"/>
      <c r="L219" s="62"/>
      <c r="M219" s="60"/>
      <c r="N219" s="60"/>
      <c r="O219" s="3"/>
      <c r="P219" s="3"/>
      <c r="Q219" s="3"/>
      <c r="R219" s="3"/>
    </row>
    <row r="220">
      <c r="A220" s="164"/>
      <c r="B220" s="164"/>
      <c r="C220" s="165"/>
      <c r="D220" s="56"/>
      <c r="E220" s="57"/>
      <c r="F220" s="56"/>
      <c r="G220" s="56"/>
      <c r="H220" s="56"/>
      <c r="I220" s="62"/>
      <c r="J220" s="62"/>
      <c r="K220" s="62"/>
      <c r="L220" s="62"/>
      <c r="M220" s="60"/>
      <c r="N220" s="60"/>
      <c r="O220" s="3"/>
      <c r="P220" s="3"/>
      <c r="Q220" s="3"/>
      <c r="R220" s="3"/>
    </row>
    <row r="221">
      <c r="A221" s="164"/>
      <c r="B221" s="164"/>
      <c r="C221" s="165"/>
      <c r="D221" s="56"/>
      <c r="E221" s="57"/>
      <c r="F221" s="56"/>
      <c r="G221" s="56"/>
      <c r="H221" s="56"/>
      <c r="I221" s="62"/>
      <c r="J221" s="62"/>
      <c r="K221" s="62"/>
      <c r="L221" s="62"/>
      <c r="M221" s="60"/>
      <c r="N221" s="60"/>
      <c r="O221" s="3"/>
      <c r="P221" s="3"/>
      <c r="Q221" s="3"/>
      <c r="R221" s="3"/>
    </row>
    <row r="222">
      <c r="A222" s="164"/>
      <c r="B222" s="164"/>
      <c r="C222" s="165"/>
      <c r="D222" s="56"/>
      <c r="E222" s="57"/>
      <c r="F222" s="56"/>
      <c r="G222" s="56"/>
      <c r="H222" s="56"/>
      <c r="I222" s="62"/>
      <c r="J222" s="62"/>
      <c r="K222" s="62"/>
      <c r="L222" s="62"/>
      <c r="M222" s="60"/>
      <c r="N222" s="60"/>
      <c r="O222" s="3"/>
      <c r="P222" s="3"/>
      <c r="Q222" s="3"/>
      <c r="R222" s="3"/>
    </row>
    <row r="223">
      <c r="A223" s="164"/>
      <c r="B223" s="164"/>
      <c r="C223" s="165"/>
      <c r="D223" s="56"/>
      <c r="E223" s="57"/>
      <c r="F223" s="56"/>
      <c r="G223" s="56"/>
      <c r="H223" s="56"/>
      <c r="I223" s="62"/>
      <c r="J223" s="62"/>
      <c r="K223" s="62"/>
      <c r="L223" s="62"/>
      <c r="M223" s="60"/>
      <c r="N223" s="60"/>
      <c r="O223" s="3"/>
      <c r="P223" s="3"/>
      <c r="Q223" s="3"/>
      <c r="R223" s="3"/>
    </row>
    <row r="224">
      <c r="A224" s="164"/>
      <c r="B224" s="164"/>
      <c r="C224" s="165"/>
      <c r="D224" s="56"/>
      <c r="E224" s="57"/>
      <c r="F224" s="56"/>
      <c r="G224" s="56"/>
      <c r="H224" s="56"/>
      <c r="I224" s="62"/>
      <c r="J224" s="62"/>
      <c r="K224" s="62"/>
      <c r="L224" s="62"/>
      <c r="M224" s="60"/>
      <c r="N224" s="60"/>
      <c r="O224" s="3"/>
      <c r="P224" s="3"/>
      <c r="Q224" s="3"/>
      <c r="R224" s="3"/>
    </row>
    <row r="225">
      <c r="A225" s="164"/>
      <c r="B225" s="164"/>
      <c r="C225" s="165"/>
      <c r="D225" s="56"/>
      <c r="E225" s="57"/>
      <c r="F225" s="56"/>
      <c r="G225" s="56"/>
      <c r="H225" s="56"/>
      <c r="I225" s="62"/>
      <c r="J225" s="62"/>
      <c r="K225" s="62"/>
      <c r="L225" s="62"/>
      <c r="M225" s="60"/>
      <c r="N225" s="60"/>
      <c r="O225" s="3"/>
      <c r="P225" s="3"/>
      <c r="Q225" s="3"/>
      <c r="R225" s="3"/>
    </row>
    <row r="226">
      <c r="A226" s="164"/>
      <c r="B226" s="164"/>
      <c r="C226" s="165"/>
      <c r="D226" s="56"/>
      <c r="E226" s="57"/>
      <c r="F226" s="56"/>
      <c r="G226" s="56"/>
      <c r="H226" s="56"/>
      <c r="I226" s="62"/>
      <c r="J226" s="62"/>
      <c r="K226" s="62"/>
      <c r="L226" s="62"/>
      <c r="M226" s="60"/>
      <c r="N226" s="60"/>
      <c r="O226" s="3"/>
      <c r="P226" s="3"/>
      <c r="Q226" s="3"/>
      <c r="R226" s="3"/>
    </row>
    <row r="227">
      <c r="A227" s="164"/>
      <c r="B227" s="164"/>
      <c r="C227" s="165"/>
      <c r="D227" s="56"/>
      <c r="E227" s="57"/>
      <c r="F227" s="56"/>
      <c r="G227" s="56"/>
      <c r="H227" s="56"/>
      <c r="I227" s="62"/>
      <c r="J227" s="62"/>
      <c r="K227" s="62"/>
      <c r="L227" s="62"/>
      <c r="M227" s="60"/>
      <c r="N227" s="60"/>
      <c r="O227" s="3"/>
      <c r="P227" s="3"/>
      <c r="Q227" s="3"/>
      <c r="R227" s="3"/>
    </row>
    <row r="228">
      <c r="A228" s="164"/>
      <c r="B228" s="164"/>
      <c r="C228" s="165"/>
      <c r="D228" s="56"/>
      <c r="E228" s="57"/>
      <c r="F228" s="56"/>
      <c r="G228" s="56"/>
      <c r="H228" s="56"/>
      <c r="I228" s="62"/>
      <c r="J228" s="62"/>
      <c r="K228" s="62"/>
      <c r="L228" s="62"/>
      <c r="M228" s="60"/>
      <c r="N228" s="60"/>
      <c r="O228" s="3"/>
      <c r="P228" s="3"/>
      <c r="Q228" s="3"/>
      <c r="R228" s="3"/>
    </row>
    <row r="229">
      <c r="A229" s="164"/>
      <c r="B229" s="164"/>
      <c r="C229" s="165"/>
      <c r="D229" s="56"/>
      <c r="E229" s="57"/>
      <c r="F229" s="56"/>
      <c r="G229" s="56"/>
      <c r="H229" s="56"/>
      <c r="I229" s="62"/>
      <c r="J229" s="62"/>
      <c r="K229" s="62"/>
      <c r="L229" s="62"/>
      <c r="M229" s="60"/>
      <c r="N229" s="60"/>
      <c r="O229" s="3"/>
      <c r="P229" s="3"/>
      <c r="Q229" s="3"/>
      <c r="R229" s="3"/>
    </row>
    <row r="230">
      <c r="A230" s="164"/>
      <c r="B230" s="164"/>
      <c r="C230" s="165"/>
      <c r="D230" s="56"/>
      <c r="E230" s="57"/>
      <c r="F230" s="56"/>
      <c r="G230" s="56"/>
      <c r="H230" s="56"/>
      <c r="I230" s="62"/>
      <c r="J230" s="62"/>
      <c r="K230" s="62"/>
      <c r="L230" s="62"/>
      <c r="M230" s="60"/>
      <c r="N230" s="60"/>
      <c r="O230" s="3"/>
      <c r="P230" s="3"/>
      <c r="Q230" s="3"/>
      <c r="R230" s="3"/>
    </row>
    <row r="231">
      <c r="A231" s="164"/>
      <c r="B231" s="164"/>
      <c r="C231" s="165"/>
      <c r="D231" s="56"/>
      <c r="E231" s="57"/>
      <c r="F231" s="56"/>
      <c r="G231" s="56"/>
      <c r="H231" s="56"/>
      <c r="I231" s="62"/>
      <c r="J231" s="62"/>
      <c r="K231" s="62"/>
      <c r="L231" s="62"/>
      <c r="M231" s="60"/>
      <c r="N231" s="60"/>
      <c r="O231" s="3"/>
      <c r="P231" s="3"/>
      <c r="Q231" s="3"/>
      <c r="R231" s="3"/>
    </row>
    <row r="232">
      <c r="A232" s="164"/>
      <c r="B232" s="164"/>
      <c r="C232" s="165"/>
      <c r="D232" s="56"/>
      <c r="E232" s="57"/>
      <c r="F232" s="56"/>
      <c r="G232" s="56"/>
      <c r="H232" s="56"/>
      <c r="I232" s="62"/>
      <c r="J232" s="62"/>
      <c r="K232" s="62"/>
      <c r="L232" s="62"/>
      <c r="M232" s="60"/>
      <c r="N232" s="60"/>
      <c r="O232" s="3"/>
      <c r="P232" s="3"/>
      <c r="Q232" s="3"/>
      <c r="R232" s="3"/>
    </row>
    <row r="233">
      <c r="A233" s="164"/>
      <c r="B233" s="164"/>
      <c r="C233" s="165"/>
      <c r="D233" s="56"/>
      <c r="E233" s="57"/>
      <c r="F233" s="56"/>
      <c r="G233" s="56"/>
      <c r="H233" s="56"/>
      <c r="I233" s="62"/>
      <c r="J233" s="62"/>
      <c r="K233" s="62"/>
      <c r="L233" s="62"/>
      <c r="M233" s="60"/>
      <c r="N233" s="60"/>
      <c r="O233" s="3"/>
      <c r="P233" s="3"/>
      <c r="Q233" s="3"/>
      <c r="R233" s="3"/>
    </row>
    <row r="234">
      <c r="A234" s="164"/>
      <c r="B234" s="164"/>
      <c r="C234" s="165"/>
      <c r="D234" s="56"/>
      <c r="E234" s="57"/>
      <c r="F234" s="56"/>
      <c r="G234" s="56"/>
      <c r="H234" s="56"/>
      <c r="I234" s="62"/>
      <c r="J234" s="62"/>
      <c r="K234" s="62"/>
      <c r="L234" s="62"/>
      <c r="M234" s="60"/>
      <c r="N234" s="60"/>
      <c r="O234" s="3"/>
      <c r="P234" s="3"/>
      <c r="Q234" s="3"/>
      <c r="R234" s="3"/>
    </row>
    <row r="235">
      <c r="A235" s="164"/>
      <c r="B235" s="164"/>
      <c r="C235" s="165"/>
      <c r="D235" s="56"/>
      <c r="E235" s="57"/>
      <c r="F235" s="56"/>
      <c r="G235" s="56"/>
      <c r="H235" s="56"/>
      <c r="I235" s="62"/>
      <c r="J235" s="62"/>
      <c r="K235" s="62"/>
      <c r="L235" s="62"/>
      <c r="M235" s="60"/>
      <c r="N235" s="60"/>
      <c r="O235" s="3"/>
      <c r="P235" s="3"/>
      <c r="Q235" s="3"/>
      <c r="R235" s="3"/>
    </row>
    <row r="236">
      <c r="A236" s="164"/>
      <c r="B236" s="164"/>
      <c r="C236" s="165"/>
      <c r="D236" s="56"/>
      <c r="E236" s="57"/>
      <c r="F236" s="56"/>
      <c r="G236" s="56"/>
      <c r="H236" s="56"/>
      <c r="I236" s="62"/>
      <c r="J236" s="62"/>
      <c r="K236" s="62"/>
      <c r="L236" s="62"/>
      <c r="M236" s="60"/>
      <c r="N236" s="60"/>
      <c r="O236" s="3"/>
      <c r="P236" s="3"/>
      <c r="Q236" s="3"/>
      <c r="R236" s="3"/>
    </row>
    <row r="237">
      <c r="A237" s="164"/>
      <c r="B237" s="164"/>
      <c r="C237" s="165"/>
      <c r="D237" s="56"/>
      <c r="E237" s="57"/>
      <c r="F237" s="56"/>
      <c r="G237" s="56"/>
      <c r="H237" s="56"/>
      <c r="I237" s="62"/>
      <c r="J237" s="62"/>
      <c r="K237" s="62"/>
      <c r="L237" s="62"/>
      <c r="M237" s="60"/>
      <c r="N237" s="60"/>
      <c r="O237" s="3"/>
      <c r="P237" s="3"/>
      <c r="Q237" s="3"/>
      <c r="R237" s="3"/>
    </row>
    <row r="238">
      <c r="A238" s="164"/>
      <c r="B238" s="164"/>
      <c r="C238" s="165"/>
      <c r="D238" s="56"/>
      <c r="E238" s="57"/>
      <c r="F238" s="56"/>
      <c r="G238" s="56"/>
      <c r="H238" s="56"/>
      <c r="I238" s="62"/>
      <c r="J238" s="62"/>
      <c r="K238" s="62"/>
      <c r="L238" s="62"/>
      <c r="M238" s="60"/>
      <c r="N238" s="60"/>
      <c r="O238" s="3"/>
      <c r="P238" s="3"/>
      <c r="Q238" s="3"/>
      <c r="R238" s="3"/>
    </row>
    <row r="239">
      <c r="A239" s="164"/>
      <c r="B239" s="164"/>
      <c r="C239" s="165"/>
      <c r="D239" s="56"/>
      <c r="E239" s="57"/>
      <c r="F239" s="56"/>
      <c r="G239" s="56"/>
      <c r="H239" s="56"/>
      <c r="I239" s="62"/>
      <c r="J239" s="62"/>
      <c r="K239" s="62"/>
      <c r="L239" s="62"/>
      <c r="M239" s="60"/>
      <c r="N239" s="60"/>
      <c r="O239" s="3"/>
      <c r="P239" s="3"/>
      <c r="Q239" s="3"/>
      <c r="R239" s="3"/>
    </row>
    <row r="240">
      <c r="A240" s="164"/>
      <c r="B240" s="164"/>
      <c r="C240" s="165"/>
      <c r="D240" s="56"/>
      <c r="E240" s="57"/>
      <c r="F240" s="56"/>
      <c r="G240" s="56"/>
      <c r="H240" s="56"/>
      <c r="I240" s="62"/>
      <c r="J240" s="62"/>
      <c r="K240" s="62"/>
      <c r="L240" s="62"/>
      <c r="M240" s="60"/>
      <c r="N240" s="60"/>
      <c r="O240" s="3"/>
      <c r="P240" s="3"/>
      <c r="Q240" s="3"/>
      <c r="R240" s="3"/>
    </row>
    <row r="241">
      <c r="A241" s="164"/>
      <c r="B241" s="164"/>
      <c r="C241" s="165"/>
      <c r="D241" s="56"/>
      <c r="E241" s="57"/>
      <c r="F241" s="56"/>
      <c r="G241" s="56"/>
      <c r="H241" s="56"/>
      <c r="I241" s="62"/>
      <c r="J241" s="62"/>
      <c r="K241" s="62"/>
      <c r="L241" s="62"/>
      <c r="M241" s="60"/>
      <c r="N241" s="60"/>
      <c r="O241" s="3"/>
      <c r="P241" s="3"/>
      <c r="Q241" s="3"/>
      <c r="R241" s="3"/>
    </row>
    <row r="242">
      <c r="A242" s="164"/>
      <c r="B242" s="164"/>
      <c r="C242" s="165"/>
      <c r="D242" s="56"/>
      <c r="E242" s="57"/>
      <c r="F242" s="56"/>
      <c r="G242" s="56"/>
      <c r="H242" s="56"/>
      <c r="I242" s="62"/>
      <c r="J242" s="62"/>
      <c r="K242" s="62"/>
      <c r="L242" s="62"/>
      <c r="M242" s="60"/>
      <c r="N242" s="60"/>
      <c r="O242" s="3"/>
      <c r="P242" s="3"/>
      <c r="Q242" s="3"/>
      <c r="R242" s="3"/>
    </row>
    <row r="243">
      <c r="A243" s="164"/>
      <c r="B243" s="164"/>
      <c r="C243" s="165"/>
      <c r="D243" s="56"/>
      <c r="E243" s="57"/>
      <c r="F243" s="56"/>
      <c r="G243" s="56"/>
      <c r="H243" s="56"/>
      <c r="I243" s="62"/>
      <c r="J243" s="62"/>
      <c r="K243" s="62"/>
      <c r="L243" s="62"/>
      <c r="M243" s="60"/>
      <c r="N243" s="60"/>
      <c r="O243" s="3"/>
      <c r="P243" s="3"/>
      <c r="Q243" s="3"/>
      <c r="R243" s="3"/>
    </row>
    <row r="244">
      <c r="A244" s="164"/>
      <c r="B244" s="164"/>
      <c r="C244" s="165"/>
      <c r="D244" s="56"/>
      <c r="E244" s="57"/>
      <c r="F244" s="56"/>
      <c r="G244" s="56"/>
      <c r="H244" s="56"/>
      <c r="I244" s="62"/>
      <c r="J244" s="62"/>
      <c r="K244" s="62"/>
      <c r="L244" s="62"/>
      <c r="M244" s="60"/>
      <c r="N244" s="60"/>
      <c r="O244" s="3"/>
      <c r="P244" s="3"/>
      <c r="Q244" s="3"/>
      <c r="R244" s="3"/>
    </row>
    <row r="245">
      <c r="A245" s="164"/>
      <c r="B245" s="164"/>
      <c r="C245" s="165"/>
      <c r="D245" s="56"/>
      <c r="E245" s="57"/>
      <c r="F245" s="56"/>
      <c r="G245" s="56"/>
      <c r="H245" s="56"/>
      <c r="I245" s="62"/>
      <c r="J245" s="62"/>
      <c r="K245" s="62"/>
      <c r="L245" s="62"/>
      <c r="M245" s="60"/>
      <c r="N245" s="60"/>
      <c r="O245" s="3"/>
      <c r="P245" s="3"/>
      <c r="Q245" s="3"/>
      <c r="R245" s="3"/>
    </row>
    <row r="246">
      <c r="A246" s="164"/>
      <c r="B246" s="164"/>
      <c r="C246" s="165"/>
      <c r="D246" s="56"/>
      <c r="E246" s="57"/>
      <c r="F246" s="56"/>
      <c r="G246" s="56"/>
      <c r="H246" s="56"/>
      <c r="I246" s="62"/>
      <c r="J246" s="62"/>
      <c r="K246" s="62"/>
      <c r="L246" s="62"/>
      <c r="M246" s="60"/>
      <c r="N246" s="60"/>
      <c r="O246" s="3"/>
      <c r="P246" s="3"/>
      <c r="Q246" s="3"/>
      <c r="R246" s="3"/>
    </row>
    <row r="247">
      <c r="A247" s="164"/>
      <c r="B247" s="164"/>
      <c r="C247" s="165"/>
      <c r="D247" s="56"/>
      <c r="E247" s="57"/>
      <c r="F247" s="56"/>
      <c r="G247" s="56"/>
      <c r="H247" s="56"/>
      <c r="I247" s="62"/>
      <c r="J247" s="62"/>
      <c r="K247" s="62"/>
      <c r="L247" s="62"/>
      <c r="M247" s="60"/>
      <c r="N247" s="60"/>
      <c r="O247" s="3"/>
      <c r="P247" s="3"/>
      <c r="Q247" s="3"/>
      <c r="R247" s="3"/>
    </row>
    <row r="248">
      <c r="A248" s="164"/>
      <c r="B248" s="164"/>
      <c r="C248" s="165"/>
      <c r="D248" s="56"/>
      <c r="E248" s="57"/>
      <c r="F248" s="56"/>
      <c r="G248" s="56"/>
      <c r="H248" s="56"/>
      <c r="I248" s="62"/>
      <c r="J248" s="62"/>
      <c r="K248" s="62"/>
      <c r="L248" s="62"/>
      <c r="M248" s="60"/>
      <c r="N248" s="60"/>
      <c r="O248" s="3"/>
      <c r="P248" s="3"/>
      <c r="Q248" s="3"/>
      <c r="R248" s="3"/>
    </row>
    <row r="249">
      <c r="A249" s="164"/>
      <c r="B249" s="164"/>
      <c r="C249" s="165"/>
      <c r="D249" s="56"/>
      <c r="E249" s="57"/>
      <c r="F249" s="56"/>
      <c r="G249" s="56"/>
      <c r="H249" s="56"/>
      <c r="I249" s="62"/>
      <c r="J249" s="62"/>
      <c r="K249" s="62"/>
      <c r="L249" s="62"/>
      <c r="M249" s="60"/>
      <c r="N249" s="60"/>
      <c r="O249" s="3"/>
      <c r="P249" s="3"/>
      <c r="Q249" s="3"/>
      <c r="R249" s="3"/>
    </row>
    <row r="250">
      <c r="A250" s="164"/>
      <c r="B250" s="164"/>
      <c r="C250" s="165"/>
      <c r="D250" s="56"/>
      <c r="E250" s="57"/>
      <c r="F250" s="56"/>
      <c r="G250" s="56"/>
      <c r="H250" s="56"/>
      <c r="I250" s="62"/>
      <c r="J250" s="62"/>
      <c r="K250" s="62"/>
      <c r="L250" s="62"/>
      <c r="M250" s="60"/>
      <c r="N250" s="60"/>
      <c r="O250" s="3"/>
      <c r="P250" s="3"/>
      <c r="Q250" s="3"/>
      <c r="R250" s="3"/>
    </row>
    <row r="251">
      <c r="A251" s="164"/>
      <c r="B251" s="164"/>
      <c r="C251" s="165"/>
      <c r="D251" s="56"/>
      <c r="E251" s="57"/>
      <c r="F251" s="56"/>
      <c r="G251" s="56"/>
      <c r="H251" s="56"/>
      <c r="I251" s="62"/>
      <c r="J251" s="62"/>
      <c r="K251" s="62"/>
      <c r="L251" s="62"/>
      <c r="M251" s="60"/>
      <c r="N251" s="60"/>
      <c r="O251" s="3"/>
      <c r="P251" s="3"/>
      <c r="Q251" s="3"/>
      <c r="R251" s="3"/>
    </row>
    <row r="252">
      <c r="A252" s="164"/>
      <c r="B252" s="164"/>
      <c r="C252" s="165"/>
      <c r="D252" s="56"/>
      <c r="E252" s="57"/>
      <c r="F252" s="56"/>
      <c r="G252" s="56"/>
      <c r="H252" s="56"/>
      <c r="I252" s="62"/>
      <c r="J252" s="62"/>
      <c r="K252" s="62"/>
      <c r="L252" s="62"/>
      <c r="M252" s="60"/>
      <c r="N252" s="60"/>
      <c r="O252" s="3"/>
      <c r="P252" s="3"/>
      <c r="Q252" s="3"/>
      <c r="R252" s="3"/>
    </row>
    <row r="253">
      <c r="A253" s="164"/>
      <c r="B253" s="164"/>
      <c r="C253" s="165"/>
      <c r="D253" s="56"/>
      <c r="E253" s="57"/>
      <c r="F253" s="56"/>
      <c r="G253" s="56"/>
      <c r="H253" s="56"/>
      <c r="I253" s="62"/>
      <c r="J253" s="62"/>
      <c r="K253" s="62"/>
      <c r="L253" s="62"/>
      <c r="M253" s="60"/>
      <c r="N253" s="60"/>
      <c r="O253" s="3"/>
      <c r="P253" s="3"/>
      <c r="Q253" s="3"/>
      <c r="R253" s="3"/>
    </row>
    <row r="254">
      <c r="A254" s="164"/>
      <c r="B254" s="164"/>
      <c r="C254" s="165"/>
      <c r="D254" s="56"/>
      <c r="E254" s="57"/>
      <c r="F254" s="56"/>
      <c r="G254" s="56"/>
      <c r="H254" s="56"/>
      <c r="I254" s="62"/>
      <c r="J254" s="62"/>
      <c r="K254" s="62"/>
      <c r="L254" s="62"/>
      <c r="M254" s="60"/>
      <c r="N254" s="60"/>
      <c r="O254" s="3"/>
      <c r="P254" s="3"/>
      <c r="Q254" s="3"/>
      <c r="R254" s="3"/>
    </row>
    <row r="255">
      <c r="A255" s="164"/>
      <c r="B255" s="164"/>
      <c r="C255" s="165"/>
      <c r="D255" s="56"/>
      <c r="E255" s="57"/>
      <c r="F255" s="56"/>
      <c r="G255" s="56"/>
      <c r="H255" s="56"/>
      <c r="I255" s="62"/>
      <c r="J255" s="62"/>
      <c r="K255" s="62"/>
      <c r="L255" s="62"/>
      <c r="M255" s="60"/>
      <c r="N255" s="60"/>
      <c r="O255" s="3"/>
      <c r="P255" s="3"/>
      <c r="Q255" s="3"/>
      <c r="R255" s="3"/>
    </row>
    <row r="256">
      <c r="A256" s="164"/>
      <c r="B256" s="164"/>
      <c r="C256" s="165"/>
      <c r="D256" s="56"/>
      <c r="E256" s="57"/>
      <c r="F256" s="56"/>
      <c r="G256" s="56"/>
      <c r="H256" s="56"/>
      <c r="I256" s="62"/>
      <c r="J256" s="62"/>
      <c r="K256" s="62"/>
      <c r="L256" s="62"/>
      <c r="M256" s="60"/>
      <c r="N256" s="60"/>
      <c r="O256" s="3"/>
      <c r="P256" s="3"/>
      <c r="Q256" s="3"/>
      <c r="R256" s="3"/>
    </row>
    <row r="257">
      <c r="A257" s="164"/>
      <c r="B257" s="164"/>
      <c r="C257" s="165"/>
      <c r="D257" s="56"/>
      <c r="E257" s="57"/>
      <c r="F257" s="56"/>
      <c r="G257" s="56"/>
      <c r="H257" s="56"/>
      <c r="I257" s="62"/>
      <c r="J257" s="62"/>
      <c r="K257" s="62"/>
      <c r="L257" s="62"/>
      <c r="M257" s="60"/>
      <c r="N257" s="60"/>
      <c r="O257" s="3"/>
      <c r="P257" s="3"/>
      <c r="Q257" s="3"/>
      <c r="R257" s="3"/>
    </row>
    <row r="258">
      <c r="A258" s="164"/>
      <c r="B258" s="164"/>
      <c r="C258" s="165"/>
      <c r="D258" s="56"/>
      <c r="E258" s="57"/>
      <c r="F258" s="56"/>
      <c r="G258" s="56"/>
      <c r="H258" s="56"/>
      <c r="I258" s="62"/>
      <c r="J258" s="62"/>
      <c r="K258" s="62"/>
      <c r="L258" s="62"/>
      <c r="M258" s="60"/>
      <c r="N258" s="60"/>
      <c r="O258" s="3"/>
      <c r="P258" s="3"/>
      <c r="Q258" s="3"/>
      <c r="R258" s="3"/>
    </row>
    <row r="259">
      <c r="A259" s="164"/>
      <c r="B259" s="164"/>
      <c r="C259" s="165"/>
      <c r="D259" s="56"/>
      <c r="E259" s="57"/>
      <c r="F259" s="56"/>
      <c r="G259" s="56"/>
      <c r="H259" s="56"/>
      <c r="I259" s="62"/>
      <c r="J259" s="62"/>
      <c r="K259" s="62"/>
      <c r="L259" s="62"/>
      <c r="M259" s="60"/>
      <c r="N259" s="60"/>
      <c r="O259" s="3"/>
      <c r="P259" s="3"/>
      <c r="Q259" s="3"/>
      <c r="R259" s="3"/>
    </row>
    <row r="260">
      <c r="A260" s="164"/>
      <c r="B260" s="164"/>
      <c r="C260" s="165"/>
      <c r="D260" s="56"/>
      <c r="E260" s="57"/>
      <c r="F260" s="56"/>
      <c r="G260" s="56"/>
      <c r="H260" s="56"/>
      <c r="I260" s="62"/>
      <c r="J260" s="62"/>
      <c r="K260" s="62"/>
      <c r="L260" s="62"/>
      <c r="M260" s="60"/>
      <c r="N260" s="60"/>
      <c r="O260" s="3"/>
      <c r="P260" s="3"/>
      <c r="Q260" s="3"/>
      <c r="R260" s="3"/>
    </row>
    <row r="261">
      <c r="A261" s="164"/>
      <c r="B261" s="164"/>
      <c r="C261" s="165"/>
      <c r="D261" s="56"/>
      <c r="E261" s="57"/>
      <c r="F261" s="56"/>
      <c r="G261" s="56"/>
      <c r="H261" s="56"/>
      <c r="I261" s="62"/>
      <c r="J261" s="62"/>
      <c r="K261" s="62"/>
      <c r="L261" s="62"/>
      <c r="M261" s="60"/>
      <c r="N261" s="60"/>
      <c r="O261" s="3"/>
      <c r="P261" s="3"/>
      <c r="Q261" s="3"/>
      <c r="R261" s="3"/>
    </row>
    <row r="262">
      <c r="A262" s="164"/>
      <c r="B262" s="164"/>
      <c r="C262" s="165"/>
      <c r="D262" s="56"/>
      <c r="E262" s="57"/>
      <c r="F262" s="56"/>
      <c r="G262" s="56"/>
      <c r="H262" s="56"/>
      <c r="I262" s="62"/>
      <c r="J262" s="62"/>
      <c r="K262" s="62"/>
      <c r="L262" s="62"/>
      <c r="M262" s="60"/>
      <c r="N262" s="60"/>
      <c r="O262" s="3"/>
      <c r="P262" s="3"/>
      <c r="Q262" s="3"/>
      <c r="R262" s="3"/>
    </row>
    <row r="263">
      <c r="A263" s="164"/>
      <c r="B263" s="164"/>
      <c r="C263" s="165"/>
      <c r="D263" s="56"/>
      <c r="E263" s="57"/>
      <c r="F263" s="56"/>
      <c r="G263" s="56"/>
      <c r="H263" s="56"/>
      <c r="I263" s="62"/>
      <c r="J263" s="62"/>
      <c r="K263" s="62"/>
      <c r="L263" s="62"/>
      <c r="M263" s="60"/>
      <c r="N263" s="60"/>
      <c r="O263" s="3"/>
      <c r="P263" s="3"/>
      <c r="Q263" s="3"/>
      <c r="R263" s="3"/>
    </row>
    <row r="264">
      <c r="A264" s="164"/>
      <c r="B264" s="164"/>
      <c r="C264" s="165"/>
      <c r="D264" s="56"/>
      <c r="E264" s="57"/>
      <c r="F264" s="56"/>
      <c r="G264" s="56"/>
      <c r="H264" s="56"/>
      <c r="I264" s="62"/>
      <c r="J264" s="62"/>
      <c r="K264" s="62"/>
      <c r="L264" s="62"/>
      <c r="M264" s="60"/>
      <c r="N264" s="60"/>
      <c r="O264" s="3"/>
      <c r="P264" s="3"/>
      <c r="Q264" s="3"/>
      <c r="R264" s="3"/>
    </row>
    <row r="265">
      <c r="A265" s="164"/>
      <c r="B265" s="164"/>
      <c r="C265" s="165"/>
      <c r="D265" s="56"/>
      <c r="E265" s="57"/>
      <c r="F265" s="56"/>
      <c r="G265" s="56"/>
      <c r="H265" s="56"/>
      <c r="I265" s="62"/>
      <c r="J265" s="62"/>
      <c r="K265" s="62"/>
      <c r="L265" s="62"/>
      <c r="M265" s="60"/>
      <c r="N265" s="60"/>
      <c r="O265" s="3"/>
      <c r="P265" s="3"/>
      <c r="Q265" s="3"/>
      <c r="R265" s="3"/>
    </row>
    <row r="266">
      <c r="A266" s="164"/>
      <c r="B266" s="164"/>
      <c r="C266" s="165"/>
      <c r="D266" s="56"/>
      <c r="E266" s="57"/>
      <c r="F266" s="56"/>
      <c r="G266" s="56"/>
      <c r="H266" s="56"/>
      <c r="I266" s="62"/>
      <c r="J266" s="62"/>
      <c r="K266" s="62"/>
      <c r="L266" s="62"/>
      <c r="M266" s="60"/>
      <c r="N266" s="60"/>
      <c r="O266" s="3"/>
      <c r="P266" s="3"/>
      <c r="Q266" s="3"/>
      <c r="R266" s="3"/>
    </row>
    <row r="267">
      <c r="A267" s="164"/>
      <c r="B267" s="164"/>
      <c r="C267" s="165"/>
      <c r="D267" s="56"/>
      <c r="E267" s="57"/>
      <c r="F267" s="56"/>
      <c r="G267" s="56"/>
      <c r="H267" s="56"/>
      <c r="I267" s="62"/>
      <c r="J267" s="62"/>
      <c r="K267" s="62"/>
      <c r="L267" s="62"/>
      <c r="M267" s="60"/>
      <c r="N267" s="60"/>
      <c r="O267" s="3"/>
      <c r="P267" s="3"/>
      <c r="Q267" s="3"/>
      <c r="R267" s="3"/>
    </row>
    <row r="268">
      <c r="A268" s="164"/>
      <c r="B268" s="164"/>
      <c r="C268" s="165"/>
      <c r="D268" s="56"/>
      <c r="E268" s="57"/>
      <c r="F268" s="56"/>
      <c r="G268" s="56"/>
      <c r="H268" s="56"/>
      <c r="I268" s="62"/>
      <c r="J268" s="62"/>
      <c r="K268" s="62"/>
      <c r="L268" s="62"/>
      <c r="M268" s="60"/>
      <c r="N268" s="60"/>
      <c r="O268" s="3"/>
      <c r="P268" s="3"/>
      <c r="Q268" s="3"/>
      <c r="R268" s="3"/>
    </row>
    <row r="269">
      <c r="A269" s="164"/>
      <c r="B269" s="164"/>
      <c r="C269" s="165"/>
      <c r="D269" s="56"/>
      <c r="E269" s="57"/>
      <c r="F269" s="56"/>
      <c r="G269" s="56"/>
      <c r="H269" s="56"/>
      <c r="I269" s="62"/>
      <c r="J269" s="62"/>
      <c r="K269" s="62"/>
      <c r="L269" s="62"/>
      <c r="M269" s="60"/>
      <c r="N269" s="60"/>
      <c r="O269" s="3"/>
      <c r="P269" s="3"/>
      <c r="Q269" s="3"/>
      <c r="R269" s="3"/>
    </row>
    <row r="270">
      <c r="A270" s="164"/>
      <c r="B270" s="164"/>
      <c r="C270" s="165"/>
      <c r="D270" s="56"/>
      <c r="E270" s="57"/>
      <c r="F270" s="56"/>
      <c r="G270" s="56"/>
      <c r="H270" s="56"/>
      <c r="I270" s="62"/>
      <c r="J270" s="62"/>
      <c r="K270" s="62"/>
      <c r="L270" s="62"/>
      <c r="M270" s="60"/>
      <c r="N270" s="60"/>
      <c r="O270" s="3"/>
      <c r="P270" s="3"/>
      <c r="Q270" s="3"/>
      <c r="R270" s="3"/>
    </row>
    <row r="271">
      <c r="A271" s="164"/>
      <c r="B271" s="164"/>
      <c r="C271" s="165"/>
      <c r="D271" s="56"/>
      <c r="E271" s="57"/>
      <c r="F271" s="56"/>
      <c r="G271" s="56"/>
      <c r="H271" s="56"/>
      <c r="I271" s="62"/>
      <c r="J271" s="62"/>
      <c r="K271" s="62"/>
      <c r="L271" s="62"/>
      <c r="M271" s="60"/>
      <c r="N271" s="60"/>
      <c r="O271" s="3"/>
      <c r="P271" s="3"/>
      <c r="Q271" s="3"/>
      <c r="R271" s="3"/>
    </row>
    <row r="272">
      <c r="A272" s="164"/>
      <c r="B272" s="164"/>
      <c r="C272" s="165"/>
      <c r="D272" s="56"/>
      <c r="E272" s="57"/>
      <c r="F272" s="56"/>
      <c r="G272" s="56"/>
      <c r="H272" s="56"/>
      <c r="I272" s="62"/>
      <c r="J272" s="62"/>
      <c r="K272" s="62"/>
      <c r="L272" s="62"/>
      <c r="M272" s="60"/>
      <c r="N272" s="60"/>
      <c r="O272" s="3"/>
      <c r="P272" s="3"/>
      <c r="Q272" s="3"/>
      <c r="R272" s="3"/>
    </row>
    <row r="273">
      <c r="A273" s="164"/>
      <c r="B273" s="164"/>
      <c r="C273" s="165"/>
      <c r="D273" s="56"/>
      <c r="E273" s="57"/>
      <c r="F273" s="56"/>
      <c r="G273" s="56"/>
      <c r="H273" s="56"/>
      <c r="I273" s="62"/>
      <c r="J273" s="62"/>
      <c r="K273" s="62"/>
      <c r="L273" s="62"/>
      <c r="M273" s="60"/>
      <c r="N273" s="60"/>
      <c r="O273" s="3"/>
      <c r="P273" s="3"/>
      <c r="Q273" s="3"/>
      <c r="R273" s="3"/>
    </row>
    <row r="274">
      <c r="A274" s="164"/>
      <c r="B274" s="164"/>
      <c r="C274" s="165"/>
      <c r="D274" s="56"/>
      <c r="E274" s="57"/>
      <c r="F274" s="56"/>
      <c r="G274" s="56"/>
      <c r="H274" s="56"/>
      <c r="I274" s="62"/>
      <c r="J274" s="62"/>
      <c r="K274" s="62"/>
      <c r="L274" s="62"/>
      <c r="M274" s="60"/>
      <c r="N274" s="60"/>
      <c r="O274" s="3"/>
      <c r="P274" s="3"/>
      <c r="Q274" s="3"/>
      <c r="R274" s="3"/>
    </row>
    <row r="275">
      <c r="A275" s="164"/>
      <c r="B275" s="164"/>
      <c r="C275" s="165"/>
      <c r="D275" s="56"/>
      <c r="E275" s="57"/>
      <c r="F275" s="56"/>
      <c r="G275" s="56"/>
      <c r="H275" s="56"/>
      <c r="I275" s="62"/>
      <c r="J275" s="62"/>
      <c r="K275" s="62"/>
      <c r="L275" s="62"/>
      <c r="M275" s="60"/>
      <c r="N275" s="60"/>
      <c r="O275" s="3"/>
      <c r="P275" s="3"/>
      <c r="Q275" s="3"/>
      <c r="R275" s="3"/>
    </row>
    <row r="276">
      <c r="A276" s="164"/>
      <c r="B276" s="164"/>
      <c r="C276" s="165"/>
      <c r="D276" s="56"/>
      <c r="E276" s="57"/>
      <c r="F276" s="56"/>
      <c r="G276" s="56"/>
      <c r="H276" s="56"/>
      <c r="I276" s="62"/>
      <c r="J276" s="62"/>
      <c r="K276" s="62"/>
      <c r="L276" s="62"/>
      <c r="M276" s="60"/>
      <c r="N276" s="60"/>
      <c r="O276" s="3"/>
      <c r="P276" s="3"/>
      <c r="Q276" s="3"/>
      <c r="R276" s="3"/>
    </row>
    <row r="277">
      <c r="A277" s="164"/>
      <c r="B277" s="164"/>
      <c r="C277" s="165"/>
      <c r="D277" s="56"/>
      <c r="E277" s="57"/>
      <c r="F277" s="56"/>
      <c r="G277" s="56"/>
      <c r="H277" s="56"/>
      <c r="I277" s="62"/>
      <c r="J277" s="62"/>
      <c r="K277" s="62"/>
      <c r="L277" s="62"/>
      <c r="M277" s="60"/>
      <c r="N277" s="60"/>
      <c r="O277" s="3"/>
      <c r="P277" s="3"/>
      <c r="Q277" s="3"/>
      <c r="R277" s="3"/>
    </row>
    <row r="278">
      <c r="A278" s="164"/>
      <c r="B278" s="164"/>
      <c r="C278" s="165"/>
      <c r="D278" s="56"/>
      <c r="E278" s="57"/>
      <c r="F278" s="56"/>
      <c r="G278" s="56"/>
      <c r="H278" s="56"/>
      <c r="I278" s="62"/>
      <c r="J278" s="62"/>
      <c r="K278" s="62"/>
      <c r="L278" s="62"/>
      <c r="M278" s="60"/>
      <c r="N278" s="60"/>
      <c r="O278" s="3"/>
      <c r="P278" s="3"/>
      <c r="Q278" s="3"/>
      <c r="R278" s="3"/>
    </row>
    <row r="279">
      <c r="A279" s="164"/>
      <c r="B279" s="164"/>
      <c r="C279" s="165"/>
      <c r="D279" s="56"/>
      <c r="E279" s="57"/>
      <c r="F279" s="56"/>
      <c r="G279" s="56"/>
      <c r="H279" s="56"/>
      <c r="I279" s="62"/>
      <c r="J279" s="62"/>
      <c r="K279" s="62"/>
      <c r="L279" s="62"/>
      <c r="M279" s="60"/>
      <c r="N279" s="60"/>
      <c r="O279" s="3"/>
      <c r="P279" s="3"/>
      <c r="Q279" s="3"/>
      <c r="R279" s="3"/>
    </row>
    <row r="280">
      <c r="A280" s="164"/>
      <c r="B280" s="164"/>
      <c r="C280" s="165"/>
      <c r="D280" s="56"/>
      <c r="E280" s="57"/>
      <c r="F280" s="56"/>
      <c r="G280" s="56"/>
      <c r="H280" s="56"/>
      <c r="I280" s="62"/>
      <c r="J280" s="62"/>
      <c r="K280" s="62"/>
      <c r="L280" s="62"/>
      <c r="M280" s="60"/>
      <c r="N280" s="60"/>
      <c r="O280" s="3"/>
      <c r="P280" s="3"/>
      <c r="Q280" s="3"/>
      <c r="R280" s="3"/>
    </row>
    <row r="281">
      <c r="A281" s="164"/>
      <c r="B281" s="164"/>
      <c r="C281" s="165"/>
      <c r="D281" s="56"/>
      <c r="E281" s="57"/>
      <c r="F281" s="56"/>
      <c r="G281" s="56"/>
      <c r="H281" s="56"/>
      <c r="I281" s="62"/>
      <c r="J281" s="62"/>
      <c r="K281" s="62"/>
      <c r="L281" s="62"/>
      <c r="M281" s="60"/>
      <c r="N281" s="60"/>
      <c r="O281" s="3"/>
      <c r="P281" s="3"/>
      <c r="Q281" s="3"/>
      <c r="R281" s="3"/>
    </row>
    <row r="282">
      <c r="A282" s="164"/>
      <c r="B282" s="164"/>
      <c r="C282" s="165"/>
      <c r="D282" s="56"/>
      <c r="E282" s="57"/>
      <c r="F282" s="56"/>
      <c r="G282" s="56"/>
      <c r="H282" s="56"/>
      <c r="I282" s="62"/>
      <c r="J282" s="62"/>
      <c r="K282" s="62"/>
      <c r="L282" s="62"/>
      <c r="M282" s="60"/>
      <c r="N282" s="60"/>
      <c r="O282" s="3"/>
      <c r="P282" s="3"/>
      <c r="Q282" s="3"/>
      <c r="R282" s="3"/>
    </row>
    <row r="283">
      <c r="A283" s="164"/>
      <c r="B283" s="164"/>
      <c r="C283" s="165"/>
      <c r="D283" s="56"/>
      <c r="E283" s="57"/>
      <c r="F283" s="56"/>
      <c r="G283" s="56"/>
      <c r="H283" s="56"/>
      <c r="I283" s="62"/>
      <c r="J283" s="62"/>
      <c r="K283" s="62"/>
      <c r="L283" s="62"/>
      <c r="M283" s="60"/>
      <c r="N283" s="60"/>
      <c r="O283" s="3"/>
      <c r="P283" s="3"/>
      <c r="Q283" s="3"/>
      <c r="R283" s="3"/>
    </row>
    <row r="284">
      <c r="A284" s="164"/>
      <c r="B284" s="164"/>
      <c r="C284" s="165"/>
      <c r="D284" s="56"/>
      <c r="E284" s="57"/>
      <c r="F284" s="56"/>
      <c r="G284" s="56"/>
      <c r="H284" s="56"/>
      <c r="I284" s="62"/>
      <c r="J284" s="62"/>
      <c r="K284" s="62"/>
      <c r="L284" s="62"/>
      <c r="M284" s="60"/>
      <c r="N284" s="60"/>
      <c r="O284" s="3"/>
      <c r="P284" s="3"/>
      <c r="Q284" s="3"/>
      <c r="R284" s="3"/>
    </row>
    <row r="285">
      <c r="A285" s="164"/>
      <c r="B285" s="164"/>
      <c r="C285" s="165"/>
      <c r="D285" s="56"/>
      <c r="E285" s="57"/>
      <c r="F285" s="56"/>
      <c r="G285" s="56"/>
      <c r="H285" s="56"/>
      <c r="I285" s="62"/>
      <c r="J285" s="62"/>
      <c r="K285" s="62"/>
      <c r="L285" s="62"/>
      <c r="M285" s="60"/>
      <c r="N285" s="60"/>
      <c r="O285" s="3"/>
      <c r="P285" s="3"/>
      <c r="Q285" s="3"/>
      <c r="R285" s="3"/>
    </row>
    <row r="286">
      <c r="A286" s="164"/>
      <c r="B286" s="164"/>
      <c r="C286" s="165"/>
      <c r="D286" s="56"/>
      <c r="E286" s="57"/>
      <c r="F286" s="56"/>
      <c r="G286" s="56"/>
      <c r="H286" s="56"/>
      <c r="I286" s="62"/>
      <c r="J286" s="62"/>
      <c r="K286" s="62"/>
      <c r="L286" s="62"/>
      <c r="M286" s="60"/>
      <c r="N286" s="60"/>
      <c r="O286" s="3"/>
      <c r="P286" s="3"/>
      <c r="Q286" s="3"/>
      <c r="R286" s="3"/>
    </row>
    <row r="287">
      <c r="A287" s="164"/>
      <c r="B287" s="164"/>
      <c r="C287" s="165"/>
      <c r="D287" s="56"/>
      <c r="E287" s="57"/>
      <c r="F287" s="56"/>
      <c r="G287" s="56"/>
      <c r="H287" s="56"/>
      <c r="I287" s="62"/>
      <c r="J287" s="62"/>
      <c r="K287" s="62"/>
      <c r="L287" s="62"/>
      <c r="M287" s="60"/>
      <c r="N287" s="60"/>
      <c r="O287" s="3"/>
      <c r="P287" s="3"/>
      <c r="Q287" s="3"/>
      <c r="R287" s="3"/>
    </row>
    <row r="288">
      <c r="A288" s="164"/>
      <c r="B288" s="164"/>
      <c r="C288" s="165"/>
      <c r="D288" s="56"/>
      <c r="E288" s="57"/>
      <c r="F288" s="56"/>
      <c r="G288" s="56"/>
      <c r="H288" s="56"/>
      <c r="I288" s="62"/>
      <c r="J288" s="62"/>
      <c r="K288" s="62"/>
      <c r="L288" s="62"/>
      <c r="M288" s="60"/>
      <c r="N288" s="60"/>
      <c r="O288" s="3"/>
      <c r="P288" s="3"/>
      <c r="Q288" s="3"/>
      <c r="R288" s="3"/>
    </row>
    <row r="289">
      <c r="A289" s="164"/>
      <c r="B289" s="164"/>
      <c r="C289" s="165"/>
      <c r="D289" s="56"/>
      <c r="E289" s="57"/>
      <c r="F289" s="56"/>
      <c r="G289" s="56"/>
      <c r="H289" s="56"/>
      <c r="I289" s="62"/>
      <c r="J289" s="62"/>
      <c r="K289" s="62"/>
      <c r="L289" s="62"/>
      <c r="M289" s="60"/>
      <c r="N289" s="60"/>
      <c r="O289" s="3"/>
      <c r="P289" s="3"/>
      <c r="Q289" s="3"/>
      <c r="R289" s="3"/>
    </row>
    <row r="290">
      <c r="A290" s="164"/>
      <c r="B290" s="164"/>
      <c r="C290" s="165"/>
      <c r="D290" s="56"/>
      <c r="E290" s="57"/>
      <c r="F290" s="56"/>
      <c r="G290" s="56"/>
      <c r="H290" s="56"/>
      <c r="I290" s="62"/>
      <c r="J290" s="62"/>
      <c r="K290" s="62"/>
      <c r="L290" s="62"/>
      <c r="M290" s="60"/>
      <c r="N290" s="60"/>
      <c r="O290" s="3"/>
      <c r="P290" s="3"/>
      <c r="Q290" s="3"/>
      <c r="R290" s="3"/>
    </row>
    <row r="291">
      <c r="A291" s="164"/>
      <c r="B291" s="164"/>
      <c r="C291" s="165"/>
      <c r="D291" s="56"/>
      <c r="E291" s="57"/>
      <c r="F291" s="56"/>
      <c r="G291" s="56"/>
      <c r="H291" s="56"/>
      <c r="I291" s="62"/>
      <c r="J291" s="62"/>
      <c r="K291" s="62"/>
      <c r="L291" s="62"/>
      <c r="M291" s="60"/>
      <c r="N291" s="60"/>
      <c r="O291" s="3"/>
      <c r="P291" s="3"/>
      <c r="Q291" s="3"/>
      <c r="R291" s="3"/>
    </row>
    <row r="292">
      <c r="A292" s="164"/>
      <c r="B292" s="164"/>
      <c r="C292" s="165"/>
      <c r="D292" s="56"/>
      <c r="E292" s="57"/>
      <c r="F292" s="56"/>
      <c r="G292" s="56"/>
      <c r="H292" s="56"/>
      <c r="I292" s="62"/>
      <c r="J292" s="62"/>
      <c r="K292" s="62"/>
      <c r="L292" s="62"/>
      <c r="M292" s="60"/>
      <c r="N292" s="60"/>
      <c r="O292" s="3"/>
      <c r="P292" s="3"/>
      <c r="Q292" s="3"/>
      <c r="R292" s="3"/>
    </row>
    <row r="293">
      <c r="A293" s="164"/>
      <c r="B293" s="164"/>
      <c r="C293" s="165"/>
      <c r="D293" s="56"/>
      <c r="E293" s="57"/>
      <c r="F293" s="56"/>
      <c r="G293" s="56"/>
      <c r="H293" s="56"/>
      <c r="I293" s="62"/>
      <c r="J293" s="62"/>
      <c r="K293" s="62"/>
      <c r="L293" s="62"/>
      <c r="M293" s="60"/>
      <c r="N293" s="60"/>
      <c r="O293" s="3"/>
      <c r="P293" s="3"/>
      <c r="Q293" s="3"/>
      <c r="R293" s="3"/>
    </row>
    <row r="294">
      <c r="A294" s="164"/>
      <c r="B294" s="164"/>
      <c r="C294" s="165"/>
      <c r="D294" s="56"/>
      <c r="E294" s="57"/>
      <c r="F294" s="56"/>
      <c r="G294" s="56"/>
      <c r="H294" s="56"/>
      <c r="I294" s="62"/>
      <c r="J294" s="62"/>
      <c r="K294" s="62"/>
      <c r="L294" s="62"/>
      <c r="M294" s="60"/>
      <c r="N294" s="60"/>
      <c r="O294" s="3"/>
      <c r="P294" s="3"/>
      <c r="Q294" s="3"/>
      <c r="R294" s="3"/>
    </row>
    <row r="295">
      <c r="A295" s="164"/>
      <c r="B295" s="164"/>
      <c r="C295" s="165"/>
      <c r="D295" s="56"/>
      <c r="E295" s="57"/>
      <c r="F295" s="56"/>
      <c r="G295" s="56"/>
      <c r="H295" s="56"/>
      <c r="I295" s="62"/>
      <c r="J295" s="62"/>
      <c r="K295" s="62"/>
      <c r="L295" s="62"/>
      <c r="M295" s="60"/>
      <c r="N295" s="60"/>
      <c r="O295" s="3"/>
      <c r="P295" s="3"/>
      <c r="Q295" s="3"/>
      <c r="R295" s="3"/>
    </row>
    <row r="296">
      <c r="A296" s="164"/>
      <c r="B296" s="164"/>
      <c r="C296" s="165"/>
      <c r="D296" s="56"/>
      <c r="E296" s="57"/>
      <c r="F296" s="56"/>
      <c r="G296" s="56"/>
      <c r="H296" s="56"/>
      <c r="I296" s="62"/>
      <c r="J296" s="62"/>
      <c r="K296" s="62"/>
      <c r="L296" s="62"/>
      <c r="M296" s="60"/>
      <c r="N296" s="60"/>
      <c r="O296" s="3"/>
      <c r="P296" s="3"/>
      <c r="Q296" s="3"/>
      <c r="R296" s="3"/>
    </row>
    <row r="297">
      <c r="A297" s="164"/>
      <c r="B297" s="164"/>
      <c r="C297" s="165"/>
      <c r="D297" s="56"/>
      <c r="E297" s="57"/>
      <c r="F297" s="56"/>
      <c r="G297" s="56"/>
      <c r="H297" s="56"/>
      <c r="I297" s="62"/>
      <c r="J297" s="62"/>
      <c r="K297" s="62"/>
      <c r="L297" s="62"/>
      <c r="M297" s="60"/>
      <c r="N297" s="60"/>
      <c r="O297" s="3"/>
      <c r="P297" s="3"/>
      <c r="Q297" s="3"/>
      <c r="R297" s="3"/>
    </row>
    <row r="298">
      <c r="A298" s="164"/>
      <c r="B298" s="164"/>
      <c r="C298" s="165"/>
      <c r="D298" s="56"/>
      <c r="E298" s="57"/>
      <c r="F298" s="56"/>
      <c r="G298" s="56"/>
      <c r="H298" s="56"/>
      <c r="I298" s="62"/>
      <c r="J298" s="62"/>
      <c r="K298" s="62"/>
      <c r="L298" s="62"/>
      <c r="M298" s="60"/>
      <c r="N298" s="60"/>
      <c r="O298" s="3"/>
      <c r="P298" s="3"/>
      <c r="Q298" s="3"/>
      <c r="R298" s="3"/>
    </row>
    <row r="299">
      <c r="A299" s="164"/>
      <c r="B299" s="164"/>
      <c r="C299" s="165"/>
      <c r="D299" s="56"/>
      <c r="E299" s="57"/>
      <c r="F299" s="56"/>
      <c r="G299" s="56"/>
      <c r="H299" s="56"/>
      <c r="I299" s="62"/>
      <c r="J299" s="62"/>
      <c r="K299" s="62"/>
      <c r="L299" s="62"/>
      <c r="M299" s="60"/>
      <c r="N299" s="60"/>
      <c r="O299" s="3"/>
      <c r="P299" s="3"/>
      <c r="Q299" s="3"/>
      <c r="R299" s="3"/>
    </row>
    <row r="300">
      <c r="A300" s="164"/>
      <c r="B300" s="164"/>
      <c r="C300" s="165"/>
      <c r="D300" s="56"/>
      <c r="E300" s="57"/>
      <c r="F300" s="56"/>
      <c r="G300" s="56"/>
      <c r="H300" s="56"/>
      <c r="I300" s="62"/>
      <c r="J300" s="62"/>
      <c r="K300" s="62"/>
      <c r="L300" s="62"/>
      <c r="M300" s="60"/>
      <c r="N300" s="60"/>
      <c r="O300" s="3"/>
      <c r="P300" s="3"/>
      <c r="Q300" s="3"/>
      <c r="R300" s="3"/>
    </row>
    <row r="301">
      <c r="A301" s="164"/>
      <c r="B301" s="164"/>
      <c r="C301" s="165"/>
      <c r="D301" s="56"/>
      <c r="E301" s="57"/>
      <c r="F301" s="56"/>
      <c r="G301" s="56"/>
      <c r="H301" s="56"/>
      <c r="I301" s="62"/>
      <c r="J301" s="62"/>
      <c r="K301" s="62"/>
      <c r="L301" s="62"/>
      <c r="M301" s="60"/>
      <c r="N301" s="60"/>
      <c r="O301" s="3"/>
      <c r="P301" s="3"/>
      <c r="Q301" s="3"/>
      <c r="R301" s="3"/>
    </row>
    <row r="302">
      <c r="A302" s="164"/>
      <c r="B302" s="164"/>
      <c r="C302" s="165"/>
      <c r="D302" s="56"/>
      <c r="E302" s="57"/>
      <c r="F302" s="56"/>
      <c r="G302" s="56"/>
      <c r="H302" s="56"/>
      <c r="I302" s="62"/>
      <c r="J302" s="62"/>
      <c r="K302" s="62"/>
      <c r="L302" s="62"/>
      <c r="M302" s="60"/>
      <c r="N302" s="60"/>
      <c r="O302" s="3"/>
      <c r="P302" s="3"/>
      <c r="Q302" s="3"/>
      <c r="R302" s="3"/>
    </row>
    <row r="303">
      <c r="A303" s="164"/>
      <c r="B303" s="164"/>
      <c r="C303" s="165"/>
      <c r="D303" s="56"/>
      <c r="E303" s="57"/>
      <c r="F303" s="56"/>
      <c r="G303" s="56"/>
      <c r="H303" s="56"/>
      <c r="I303" s="62"/>
      <c r="J303" s="62"/>
      <c r="K303" s="62"/>
      <c r="L303" s="62"/>
      <c r="M303" s="60"/>
      <c r="N303" s="60"/>
      <c r="O303" s="3"/>
      <c r="P303" s="3"/>
      <c r="Q303" s="3"/>
      <c r="R303" s="3"/>
    </row>
    <row r="304">
      <c r="A304" s="164"/>
      <c r="B304" s="164"/>
      <c r="C304" s="165"/>
      <c r="D304" s="56"/>
      <c r="E304" s="57"/>
      <c r="F304" s="56"/>
      <c r="G304" s="56"/>
      <c r="H304" s="56"/>
      <c r="I304" s="62"/>
      <c r="J304" s="62"/>
      <c r="K304" s="62"/>
      <c r="L304" s="62"/>
      <c r="M304" s="60"/>
      <c r="N304" s="60"/>
      <c r="O304" s="3"/>
      <c r="P304" s="3"/>
      <c r="Q304" s="3"/>
      <c r="R304" s="3"/>
    </row>
    <row r="305">
      <c r="A305" s="164"/>
      <c r="B305" s="164"/>
      <c r="C305" s="165"/>
      <c r="D305" s="56"/>
      <c r="E305" s="57"/>
      <c r="F305" s="56"/>
      <c r="G305" s="56"/>
      <c r="H305" s="56"/>
      <c r="I305" s="62"/>
      <c r="J305" s="62"/>
      <c r="K305" s="62"/>
      <c r="L305" s="62"/>
      <c r="M305" s="60"/>
      <c r="N305" s="60"/>
      <c r="O305" s="3"/>
      <c r="P305" s="3"/>
      <c r="Q305" s="3"/>
      <c r="R305" s="3"/>
    </row>
    <row r="306">
      <c r="A306" s="164"/>
      <c r="B306" s="164"/>
      <c r="C306" s="165"/>
      <c r="D306" s="56"/>
      <c r="E306" s="57"/>
      <c r="F306" s="56"/>
      <c r="G306" s="56"/>
      <c r="H306" s="56"/>
      <c r="I306" s="62"/>
      <c r="J306" s="62"/>
      <c r="K306" s="62"/>
      <c r="L306" s="62"/>
      <c r="M306" s="60"/>
      <c r="N306" s="60"/>
      <c r="O306" s="3"/>
      <c r="P306" s="3"/>
      <c r="Q306" s="3"/>
      <c r="R306" s="3"/>
    </row>
    <row r="307">
      <c r="A307" s="164"/>
      <c r="B307" s="164"/>
      <c r="C307" s="165"/>
      <c r="D307" s="56"/>
      <c r="E307" s="57"/>
      <c r="F307" s="56"/>
      <c r="G307" s="56"/>
      <c r="H307" s="56"/>
      <c r="I307" s="62"/>
      <c r="J307" s="62"/>
      <c r="K307" s="62"/>
      <c r="L307" s="62"/>
      <c r="M307" s="60"/>
      <c r="N307" s="60"/>
      <c r="O307" s="3"/>
      <c r="P307" s="3"/>
      <c r="Q307" s="3"/>
      <c r="R307" s="3"/>
    </row>
    <row r="308">
      <c r="A308" s="164"/>
      <c r="B308" s="164"/>
      <c r="C308" s="165"/>
      <c r="D308" s="56"/>
      <c r="E308" s="57"/>
      <c r="F308" s="56"/>
      <c r="G308" s="56"/>
      <c r="H308" s="56"/>
      <c r="I308" s="62"/>
      <c r="J308" s="62"/>
      <c r="K308" s="62"/>
      <c r="L308" s="62"/>
      <c r="M308" s="60"/>
      <c r="N308" s="60"/>
      <c r="O308" s="3"/>
      <c r="P308" s="3"/>
      <c r="Q308" s="3"/>
      <c r="R308" s="3"/>
    </row>
    <row r="309">
      <c r="A309" s="164"/>
      <c r="B309" s="164"/>
      <c r="C309" s="165"/>
      <c r="D309" s="56"/>
      <c r="E309" s="57"/>
      <c r="F309" s="56"/>
      <c r="G309" s="56"/>
      <c r="H309" s="56"/>
      <c r="I309" s="62"/>
      <c r="J309" s="62"/>
      <c r="K309" s="62"/>
      <c r="L309" s="62"/>
      <c r="M309" s="60"/>
      <c r="N309" s="60"/>
      <c r="O309" s="3"/>
      <c r="P309" s="3"/>
      <c r="Q309" s="3"/>
      <c r="R309" s="3"/>
    </row>
    <row r="310">
      <c r="A310" s="164"/>
      <c r="B310" s="164"/>
      <c r="C310" s="165"/>
      <c r="D310" s="56"/>
      <c r="E310" s="57"/>
      <c r="F310" s="56"/>
      <c r="G310" s="56"/>
      <c r="H310" s="56"/>
      <c r="I310" s="62"/>
      <c r="J310" s="62"/>
      <c r="K310" s="62"/>
      <c r="L310" s="62"/>
      <c r="M310" s="60"/>
      <c r="N310" s="60"/>
      <c r="O310" s="3"/>
      <c r="P310" s="3"/>
      <c r="Q310" s="3"/>
      <c r="R310" s="3"/>
    </row>
    <row r="311">
      <c r="A311" s="164"/>
      <c r="B311" s="164"/>
      <c r="C311" s="165"/>
      <c r="D311" s="56"/>
      <c r="E311" s="57"/>
      <c r="F311" s="56"/>
      <c r="G311" s="56"/>
      <c r="H311" s="56"/>
      <c r="I311" s="62"/>
      <c r="J311" s="62"/>
      <c r="K311" s="62"/>
      <c r="L311" s="62"/>
      <c r="M311" s="60"/>
      <c r="N311" s="60"/>
      <c r="O311" s="3"/>
      <c r="P311" s="3"/>
      <c r="Q311" s="3"/>
      <c r="R311" s="3"/>
    </row>
    <row r="312">
      <c r="A312" s="164"/>
      <c r="B312" s="164"/>
      <c r="C312" s="165"/>
      <c r="D312" s="56"/>
      <c r="E312" s="57"/>
      <c r="F312" s="56"/>
      <c r="G312" s="56"/>
      <c r="H312" s="56"/>
      <c r="I312" s="62"/>
      <c r="J312" s="62"/>
      <c r="K312" s="62"/>
      <c r="L312" s="62"/>
      <c r="M312" s="60"/>
      <c r="N312" s="60"/>
      <c r="O312" s="3"/>
      <c r="P312" s="3"/>
      <c r="Q312" s="3"/>
      <c r="R312" s="3"/>
    </row>
    <row r="313">
      <c r="A313" s="164"/>
      <c r="B313" s="164"/>
      <c r="C313" s="165"/>
      <c r="D313" s="56"/>
      <c r="E313" s="57"/>
      <c r="F313" s="56"/>
      <c r="G313" s="56"/>
      <c r="H313" s="56"/>
      <c r="I313" s="62"/>
      <c r="J313" s="62"/>
      <c r="K313" s="62"/>
      <c r="L313" s="62"/>
      <c r="M313" s="60"/>
      <c r="N313" s="60"/>
      <c r="O313" s="3"/>
      <c r="P313" s="3"/>
      <c r="Q313" s="3"/>
      <c r="R313" s="3"/>
    </row>
    <row r="314">
      <c r="A314" s="164"/>
      <c r="B314" s="164"/>
      <c r="C314" s="165"/>
      <c r="D314" s="56"/>
      <c r="E314" s="57"/>
      <c r="F314" s="56"/>
      <c r="G314" s="56"/>
      <c r="H314" s="56"/>
      <c r="I314" s="62"/>
      <c r="J314" s="62"/>
      <c r="K314" s="62"/>
      <c r="L314" s="62"/>
      <c r="M314" s="60"/>
      <c r="N314" s="60"/>
      <c r="O314" s="3"/>
      <c r="P314" s="3"/>
      <c r="Q314" s="3"/>
      <c r="R314" s="3"/>
    </row>
    <row r="315">
      <c r="A315" s="164"/>
      <c r="B315" s="164"/>
      <c r="C315" s="165"/>
      <c r="D315" s="56"/>
      <c r="E315" s="57"/>
      <c r="F315" s="56"/>
      <c r="G315" s="56"/>
      <c r="H315" s="56"/>
      <c r="I315" s="62"/>
      <c r="J315" s="62"/>
      <c r="K315" s="62"/>
      <c r="L315" s="62"/>
      <c r="M315" s="60"/>
      <c r="N315" s="60"/>
      <c r="O315" s="3"/>
      <c r="P315" s="3"/>
      <c r="Q315" s="3"/>
      <c r="R315" s="3"/>
    </row>
    <row r="316">
      <c r="A316" s="164"/>
      <c r="B316" s="164"/>
      <c r="C316" s="165"/>
      <c r="D316" s="56"/>
      <c r="E316" s="57"/>
      <c r="F316" s="56"/>
      <c r="G316" s="56"/>
      <c r="H316" s="56"/>
      <c r="I316" s="62"/>
      <c r="J316" s="62"/>
      <c r="K316" s="62"/>
      <c r="L316" s="62"/>
      <c r="M316" s="60"/>
      <c r="N316" s="60"/>
      <c r="O316" s="3"/>
      <c r="P316" s="3"/>
      <c r="Q316" s="3"/>
      <c r="R316" s="3"/>
    </row>
    <row r="317">
      <c r="A317" s="164"/>
      <c r="B317" s="164"/>
      <c r="C317" s="165"/>
      <c r="D317" s="56"/>
      <c r="E317" s="57"/>
      <c r="F317" s="56"/>
      <c r="G317" s="56"/>
      <c r="H317" s="56"/>
      <c r="I317" s="62"/>
      <c r="J317" s="62"/>
      <c r="K317" s="62"/>
      <c r="L317" s="62"/>
      <c r="M317" s="60"/>
      <c r="N317" s="60"/>
      <c r="O317" s="3"/>
      <c r="P317" s="3"/>
      <c r="Q317" s="3"/>
      <c r="R317" s="3"/>
    </row>
    <row r="318">
      <c r="A318" s="164"/>
      <c r="B318" s="164"/>
      <c r="C318" s="165"/>
      <c r="D318" s="56"/>
      <c r="E318" s="57"/>
      <c r="F318" s="56"/>
      <c r="G318" s="56"/>
      <c r="H318" s="56"/>
      <c r="I318" s="62"/>
      <c r="J318" s="62"/>
      <c r="K318" s="62"/>
      <c r="L318" s="62"/>
      <c r="M318" s="60"/>
      <c r="N318" s="60"/>
      <c r="O318" s="3"/>
      <c r="P318" s="3"/>
      <c r="Q318" s="3"/>
      <c r="R318" s="3"/>
    </row>
    <row r="319">
      <c r="A319" s="164"/>
      <c r="B319" s="164"/>
      <c r="C319" s="165"/>
      <c r="D319" s="56"/>
      <c r="E319" s="57"/>
      <c r="F319" s="56"/>
      <c r="G319" s="56"/>
      <c r="H319" s="56"/>
      <c r="I319" s="62"/>
      <c r="J319" s="62"/>
      <c r="K319" s="62"/>
      <c r="L319" s="62"/>
      <c r="M319" s="60"/>
      <c r="N319" s="60"/>
      <c r="O319" s="3"/>
      <c r="P319" s="3"/>
      <c r="Q319" s="3"/>
      <c r="R319" s="3"/>
    </row>
    <row r="320">
      <c r="A320" s="164"/>
      <c r="B320" s="164"/>
      <c r="C320" s="165"/>
      <c r="D320" s="56"/>
      <c r="E320" s="57"/>
      <c r="F320" s="56"/>
      <c r="G320" s="56"/>
      <c r="H320" s="56"/>
      <c r="I320" s="62"/>
      <c r="J320" s="62"/>
      <c r="K320" s="62"/>
      <c r="L320" s="62"/>
      <c r="M320" s="60"/>
      <c r="N320" s="60"/>
      <c r="O320" s="3"/>
      <c r="P320" s="3"/>
      <c r="Q320" s="3"/>
      <c r="R320" s="3"/>
    </row>
    <row r="321">
      <c r="A321" s="164"/>
      <c r="B321" s="164"/>
      <c r="C321" s="165"/>
      <c r="D321" s="56"/>
      <c r="E321" s="57"/>
      <c r="F321" s="56"/>
      <c r="G321" s="56"/>
      <c r="H321" s="56"/>
      <c r="I321" s="62"/>
      <c r="J321" s="62"/>
      <c r="K321" s="62"/>
      <c r="L321" s="62"/>
      <c r="M321" s="60"/>
      <c r="N321" s="60"/>
      <c r="O321" s="3"/>
      <c r="P321" s="3"/>
      <c r="Q321" s="3"/>
      <c r="R321" s="3"/>
    </row>
    <row r="322">
      <c r="A322" s="164"/>
      <c r="B322" s="164"/>
      <c r="C322" s="165"/>
      <c r="D322" s="56"/>
      <c r="E322" s="57"/>
      <c r="F322" s="56"/>
      <c r="G322" s="56"/>
      <c r="H322" s="56"/>
      <c r="I322" s="62"/>
      <c r="J322" s="62"/>
      <c r="K322" s="62"/>
      <c r="L322" s="62"/>
      <c r="M322" s="60"/>
      <c r="N322" s="60"/>
      <c r="O322" s="3"/>
      <c r="P322" s="3"/>
      <c r="Q322" s="3"/>
      <c r="R322" s="3"/>
    </row>
    <row r="323">
      <c r="A323" s="164"/>
      <c r="B323" s="164"/>
      <c r="C323" s="165"/>
      <c r="D323" s="56"/>
      <c r="E323" s="57"/>
      <c r="F323" s="56"/>
      <c r="G323" s="56"/>
      <c r="H323" s="56"/>
      <c r="I323" s="62"/>
      <c r="J323" s="62"/>
      <c r="K323" s="62"/>
      <c r="L323" s="62"/>
      <c r="M323" s="60"/>
      <c r="N323" s="60"/>
      <c r="O323" s="3"/>
      <c r="P323" s="3"/>
      <c r="Q323" s="3"/>
      <c r="R323" s="3"/>
    </row>
    <row r="324">
      <c r="A324" s="164"/>
      <c r="B324" s="164"/>
      <c r="C324" s="165"/>
      <c r="D324" s="56"/>
      <c r="E324" s="57"/>
      <c r="F324" s="56"/>
      <c r="G324" s="56"/>
      <c r="H324" s="56"/>
      <c r="I324" s="62"/>
      <c r="J324" s="62"/>
      <c r="K324" s="62"/>
      <c r="L324" s="62"/>
      <c r="M324" s="60"/>
      <c r="N324" s="60"/>
      <c r="O324" s="3"/>
      <c r="P324" s="3"/>
      <c r="Q324" s="3"/>
      <c r="R324" s="3"/>
    </row>
    <row r="325">
      <c r="A325" s="164"/>
      <c r="B325" s="164"/>
      <c r="C325" s="165"/>
      <c r="D325" s="56"/>
      <c r="E325" s="57"/>
      <c r="F325" s="56"/>
      <c r="G325" s="56"/>
      <c r="H325" s="56"/>
      <c r="I325" s="62"/>
      <c r="J325" s="62"/>
      <c r="K325" s="62"/>
      <c r="L325" s="62"/>
      <c r="M325" s="60"/>
      <c r="N325" s="60"/>
      <c r="O325" s="3"/>
      <c r="P325" s="3"/>
      <c r="Q325" s="3"/>
      <c r="R325" s="3"/>
    </row>
    <row r="326">
      <c r="A326" s="164"/>
      <c r="B326" s="164"/>
      <c r="C326" s="165"/>
      <c r="D326" s="56"/>
      <c r="E326" s="57"/>
      <c r="F326" s="56"/>
      <c r="G326" s="56"/>
      <c r="H326" s="56"/>
      <c r="I326" s="62"/>
      <c r="J326" s="62"/>
      <c r="K326" s="62"/>
      <c r="L326" s="62"/>
      <c r="M326" s="60"/>
      <c r="N326" s="60"/>
      <c r="O326" s="3"/>
      <c r="P326" s="3"/>
      <c r="Q326" s="3"/>
      <c r="R326" s="3"/>
    </row>
    <row r="327">
      <c r="A327" s="164"/>
      <c r="B327" s="164"/>
      <c r="C327" s="165"/>
      <c r="D327" s="56"/>
      <c r="E327" s="57"/>
      <c r="F327" s="56"/>
      <c r="G327" s="56"/>
      <c r="H327" s="56"/>
      <c r="I327" s="62"/>
      <c r="J327" s="62"/>
      <c r="K327" s="62"/>
      <c r="L327" s="62"/>
      <c r="M327" s="60"/>
      <c r="N327" s="60"/>
      <c r="O327" s="3"/>
      <c r="P327" s="3"/>
      <c r="Q327" s="3"/>
      <c r="R327" s="3"/>
    </row>
    <row r="328">
      <c r="A328" s="164"/>
      <c r="B328" s="164"/>
      <c r="C328" s="165"/>
      <c r="D328" s="56"/>
      <c r="E328" s="57"/>
      <c r="F328" s="56"/>
      <c r="G328" s="56"/>
      <c r="H328" s="56"/>
      <c r="I328" s="62"/>
      <c r="J328" s="62"/>
      <c r="K328" s="62"/>
      <c r="L328" s="62"/>
      <c r="M328" s="60"/>
      <c r="N328" s="60"/>
      <c r="O328" s="3"/>
      <c r="P328" s="3"/>
      <c r="Q328" s="3"/>
      <c r="R328" s="3"/>
    </row>
    <row r="329">
      <c r="A329" s="164"/>
      <c r="B329" s="164"/>
      <c r="C329" s="165"/>
      <c r="D329" s="56"/>
      <c r="E329" s="57"/>
      <c r="F329" s="56"/>
      <c r="G329" s="56"/>
      <c r="H329" s="56"/>
      <c r="I329" s="62"/>
      <c r="J329" s="62"/>
      <c r="K329" s="62"/>
      <c r="L329" s="62"/>
      <c r="M329" s="60"/>
      <c r="N329" s="60"/>
      <c r="O329" s="3"/>
      <c r="P329" s="3"/>
      <c r="Q329" s="3"/>
      <c r="R329" s="3"/>
    </row>
    <row r="330">
      <c r="A330" s="164"/>
      <c r="B330" s="164"/>
      <c r="C330" s="165"/>
      <c r="D330" s="56"/>
      <c r="E330" s="57"/>
      <c r="F330" s="56"/>
      <c r="G330" s="56"/>
      <c r="H330" s="56"/>
      <c r="I330" s="62"/>
      <c r="J330" s="62"/>
      <c r="K330" s="62"/>
      <c r="L330" s="62"/>
      <c r="M330" s="60"/>
      <c r="N330" s="60"/>
      <c r="O330" s="3"/>
      <c r="P330" s="3"/>
      <c r="Q330" s="3"/>
      <c r="R330" s="3"/>
    </row>
    <row r="331">
      <c r="A331" s="164"/>
      <c r="B331" s="164"/>
      <c r="C331" s="165"/>
      <c r="D331" s="56"/>
      <c r="E331" s="57"/>
      <c r="F331" s="56"/>
      <c r="G331" s="56"/>
      <c r="H331" s="56"/>
      <c r="I331" s="62"/>
      <c r="J331" s="62"/>
      <c r="K331" s="62"/>
      <c r="L331" s="62"/>
      <c r="M331" s="60"/>
      <c r="N331" s="60"/>
      <c r="O331" s="3"/>
      <c r="P331" s="3"/>
      <c r="Q331" s="3"/>
      <c r="R331" s="3"/>
    </row>
    <row r="332">
      <c r="A332" s="164"/>
      <c r="B332" s="164"/>
      <c r="C332" s="165"/>
      <c r="D332" s="56"/>
      <c r="E332" s="57"/>
      <c r="F332" s="56"/>
      <c r="G332" s="56"/>
      <c r="H332" s="56"/>
      <c r="I332" s="62"/>
      <c r="J332" s="62"/>
      <c r="K332" s="62"/>
      <c r="L332" s="62"/>
      <c r="M332" s="60"/>
      <c r="N332" s="60"/>
      <c r="O332" s="3"/>
      <c r="P332" s="3"/>
      <c r="Q332" s="3"/>
      <c r="R332" s="3"/>
    </row>
    <row r="333">
      <c r="A333" s="164"/>
      <c r="B333" s="164"/>
      <c r="C333" s="165"/>
      <c r="D333" s="56"/>
      <c r="E333" s="57"/>
      <c r="F333" s="56"/>
      <c r="G333" s="56"/>
      <c r="H333" s="56"/>
      <c r="I333" s="62"/>
      <c r="J333" s="62"/>
      <c r="K333" s="62"/>
      <c r="L333" s="62"/>
      <c r="M333" s="60"/>
      <c r="N333" s="60"/>
      <c r="O333" s="3"/>
      <c r="P333" s="3"/>
      <c r="Q333" s="3"/>
      <c r="R333" s="3"/>
    </row>
    <row r="334">
      <c r="A334" s="164"/>
      <c r="B334" s="164"/>
      <c r="C334" s="165"/>
      <c r="D334" s="56"/>
      <c r="E334" s="57"/>
      <c r="F334" s="56"/>
      <c r="G334" s="56"/>
      <c r="H334" s="56"/>
      <c r="I334" s="62"/>
      <c r="J334" s="62"/>
      <c r="K334" s="62"/>
      <c r="L334" s="62"/>
      <c r="M334" s="60"/>
      <c r="N334" s="60"/>
      <c r="O334" s="3"/>
      <c r="P334" s="3"/>
      <c r="Q334" s="3"/>
      <c r="R334" s="3"/>
    </row>
    <row r="335">
      <c r="A335" s="164"/>
      <c r="B335" s="164"/>
      <c r="C335" s="165"/>
      <c r="D335" s="56"/>
      <c r="E335" s="57"/>
      <c r="F335" s="56"/>
      <c r="G335" s="56"/>
      <c r="H335" s="56"/>
      <c r="I335" s="62"/>
      <c r="J335" s="62"/>
      <c r="K335" s="62"/>
      <c r="L335" s="62"/>
      <c r="M335" s="60"/>
      <c r="N335" s="60"/>
      <c r="O335" s="3"/>
      <c r="P335" s="3"/>
      <c r="Q335" s="3"/>
      <c r="R335" s="3"/>
    </row>
    <row r="336">
      <c r="A336" s="164"/>
      <c r="B336" s="164"/>
      <c r="C336" s="165"/>
      <c r="D336" s="56"/>
      <c r="E336" s="57"/>
      <c r="F336" s="56"/>
      <c r="G336" s="56"/>
      <c r="H336" s="56"/>
      <c r="I336" s="62"/>
      <c r="J336" s="62"/>
      <c r="K336" s="62"/>
      <c r="L336" s="62"/>
      <c r="M336" s="60"/>
      <c r="N336" s="60"/>
      <c r="O336" s="3"/>
      <c r="P336" s="3"/>
      <c r="Q336" s="3"/>
      <c r="R336" s="3"/>
    </row>
    <row r="337">
      <c r="A337" s="164"/>
      <c r="B337" s="164"/>
      <c r="C337" s="165"/>
      <c r="D337" s="56"/>
      <c r="E337" s="57"/>
      <c r="F337" s="56"/>
      <c r="G337" s="56"/>
      <c r="H337" s="56"/>
      <c r="I337" s="62"/>
      <c r="J337" s="62"/>
      <c r="K337" s="62"/>
      <c r="L337" s="62"/>
      <c r="M337" s="60"/>
      <c r="N337" s="60"/>
      <c r="O337" s="3"/>
      <c r="P337" s="3"/>
      <c r="Q337" s="3"/>
      <c r="R337" s="3"/>
    </row>
    <row r="338">
      <c r="A338" s="164"/>
      <c r="B338" s="164"/>
      <c r="C338" s="165"/>
      <c r="D338" s="56"/>
      <c r="E338" s="57"/>
      <c r="F338" s="56"/>
      <c r="G338" s="56"/>
      <c r="H338" s="56"/>
      <c r="I338" s="62"/>
      <c r="J338" s="62"/>
      <c r="K338" s="62"/>
      <c r="L338" s="62"/>
      <c r="M338" s="60"/>
      <c r="N338" s="60"/>
      <c r="O338" s="3"/>
      <c r="P338" s="3"/>
      <c r="Q338" s="3"/>
      <c r="R338" s="3"/>
    </row>
    <row r="339">
      <c r="A339" s="164"/>
      <c r="B339" s="164"/>
      <c r="C339" s="165"/>
      <c r="D339" s="56"/>
      <c r="E339" s="57"/>
      <c r="F339" s="56"/>
      <c r="G339" s="56"/>
      <c r="H339" s="56"/>
      <c r="I339" s="62"/>
      <c r="J339" s="62"/>
      <c r="K339" s="62"/>
      <c r="L339" s="62"/>
      <c r="M339" s="60"/>
      <c r="N339" s="60"/>
      <c r="O339" s="3"/>
      <c r="P339" s="3"/>
      <c r="Q339" s="3"/>
      <c r="R339" s="3"/>
    </row>
    <row r="340">
      <c r="A340" s="164"/>
      <c r="B340" s="164"/>
      <c r="C340" s="165"/>
      <c r="D340" s="56"/>
      <c r="E340" s="57"/>
      <c r="F340" s="56"/>
      <c r="G340" s="56"/>
      <c r="H340" s="56"/>
      <c r="I340" s="62"/>
      <c r="J340" s="62"/>
      <c r="K340" s="62"/>
      <c r="L340" s="62"/>
      <c r="M340" s="60"/>
      <c r="N340" s="60"/>
      <c r="O340" s="3"/>
      <c r="P340" s="3"/>
      <c r="Q340" s="3"/>
      <c r="R340" s="3"/>
    </row>
    <row r="341">
      <c r="A341" s="164"/>
      <c r="B341" s="164"/>
      <c r="C341" s="165"/>
      <c r="D341" s="56"/>
      <c r="E341" s="57"/>
      <c r="F341" s="56"/>
      <c r="G341" s="56"/>
      <c r="H341" s="56"/>
      <c r="I341" s="62"/>
      <c r="J341" s="62"/>
      <c r="K341" s="62"/>
      <c r="L341" s="62"/>
      <c r="M341" s="60"/>
      <c r="N341" s="60"/>
      <c r="O341" s="3"/>
      <c r="P341" s="3"/>
      <c r="Q341" s="3"/>
      <c r="R341" s="3"/>
    </row>
    <row r="342">
      <c r="A342" s="164"/>
      <c r="B342" s="164"/>
      <c r="C342" s="165"/>
      <c r="D342" s="56"/>
      <c r="E342" s="57"/>
      <c r="F342" s="56"/>
      <c r="G342" s="56"/>
      <c r="H342" s="56"/>
      <c r="I342" s="62"/>
      <c r="J342" s="62"/>
      <c r="K342" s="62"/>
      <c r="L342" s="62"/>
      <c r="M342" s="60"/>
      <c r="N342" s="60"/>
      <c r="O342" s="3"/>
      <c r="P342" s="3"/>
      <c r="Q342" s="3"/>
      <c r="R342" s="3"/>
    </row>
    <row r="343">
      <c r="A343" s="164"/>
      <c r="B343" s="164"/>
      <c r="C343" s="165"/>
      <c r="D343" s="56"/>
      <c r="E343" s="57"/>
      <c r="F343" s="56"/>
      <c r="G343" s="56"/>
      <c r="H343" s="56"/>
      <c r="I343" s="62"/>
      <c r="J343" s="62"/>
      <c r="K343" s="62"/>
      <c r="L343" s="62"/>
      <c r="M343" s="60"/>
      <c r="N343" s="60"/>
      <c r="O343" s="3"/>
      <c r="P343" s="3"/>
      <c r="Q343" s="3"/>
      <c r="R343" s="3"/>
    </row>
    <row r="344">
      <c r="A344" s="164"/>
      <c r="B344" s="164"/>
      <c r="C344" s="165"/>
      <c r="D344" s="56"/>
      <c r="E344" s="57"/>
      <c r="F344" s="56"/>
      <c r="G344" s="56"/>
      <c r="H344" s="56"/>
      <c r="I344" s="62"/>
      <c r="J344" s="62"/>
      <c r="K344" s="62"/>
      <c r="L344" s="62"/>
      <c r="M344" s="60"/>
      <c r="N344" s="60"/>
      <c r="O344" s="3"/>
      <c r="P344" s="3"/>
      <c r="Q344" s="3"/>
      <c r="R344" s="3"/>
    </row>
    <row r="345">
      <c r="A345" s="164"/>
      <c r="B345" s="164"/>
      <c r="C345" s="165"/>
      <c r="D345" s="56"/>
      <c r="E345" s="57"/>
      <c r="F345" s="56"/>
      <c r="G345" s="56"/>
      <c r="H345" s="56"/>
      <c r="I345" s="62"/>
      <c r="J345" s="62"/>
      <c r="K345" s="62"/>
      <c r="L345" s="62"/>
      <c r="M345" s="60"/>
      <c r="N345" s="60"/>
      <c r="O345" s="3"/>
      <c r="P345" s="3"/>
      <c r="Q345" s="3"/>
      <c r="R345" s="3"/>
    </row>
    <row r="346">
      <c r="A346" s="164"/>
      <c r="B346" s="164"/>
      <c r="C346" s="165"/>
      <c r="D346" s="56"/>
      <c r="E346" s="57"/>
      <c r="F346" s="56"/>
      <c r="G346" s="56"/>
      <c r="H346" s="56"/>
      <c r="I346" s="62"/>
      <c r="J346" s="62"/>
      <c r="K346" s="62"/>
      <c r="L346" s="62"/>
      <c r="M346" s="60"/>
      <c r="N346" s="60"/>
      <c r="O346" s="3"/>
      <c r="P346" s="3"/>
      <c r="Q346" s="3"/>
      <c r="R346" s="3"/>
    </row>
    <row r="347">
      <c r="A347" s="164"/>
      <c r="B347" s="164"/>
      <c r="C347" s="165"/>
      <c r="D347" s="56"/>
      <c r="E347" s="57"/>
      <c r="F347" s="56"/>
      <c r="G347" s="56"/>
      <c r="H347" s="56"/>
      <c r="I347" s="62"/>
      <c r="J347" s="62"/>
      <c r="K347" s="62"/>
      <c r="L347" s="62"/>
      <c r="M347" s="60"/>
      <c r="N347" s="60"/>
      <c r="O347" s="3"/>
      <c r="P347" s="3"/>
      <c r="Q347" s="3"/>
      <c r="R347" s="3"/>
    </row>
    <row r="348">
      <c r="A348" s="164"/>
      <c r="B348" s="164"/>
      <c r="C348" s="165"/>
      <c r="D348" s="56"/>
      <c r="E348" s="57"/>
      <c r="F348" s="56"/>
      <c r="G348" s="56"/>
      <c r="H348" s="56"/>
      <c r="I348" s="62"/>
      <c r="J348" s="62"/>
      <c r="K348" s="62"/>
      <c r="L348" s="62"/>
      <c r="M348" s="60"/>
      <c r="N348" s="60"/>
      <c r="O348" s="3"/>
      <c r="P348" s="3"/>
      <c r="Q348" s="3"/>
      <c r="R348" s="3"/>
    </row>
    <row r="349">
      <c r="A349" s="164"/>
      <c r="B349" s="164"/>
      <c r="C349" s="165"/>
      <c r="D349" s="56"/>
      <c r="E349" s="57"/>
      <c r="F349" s="56"/>
      <c r="G349" s="56"/>
      <c r="H349" s="56"/>
      <c r="I349" s="62"/>
      <c r="J349" s="62"/>
      <c r="K349" s="62"/>
      <c r="L349" s="62"/>
      <c r="M349" s="60"/>
      <c r="N349" s="60"/>
      <c r="O349" s="3"/>
      <c r="P349" s="3"/>
      <c r="Q349" s="3"/>
      <c r="R349" s="3"/>
    </row>
    <row r="350">
      <c r="A350" s="164"/>
      <c r="B350" s="164"/>
      <c r="C350" s="165"/>
      <c r="D350" s="56"/>
      <c r="E350" s="57"/>
      <c r="F350" s="56"/>
      <c r="G350" s="56"/>
      <c r="H350" s="56"/>
      <c r="I350" s="62"/>
      <c r="J350" s="62"/>
      <c r="K350" s="62"/>
      <c r="L350" s="62"/>
      <c r="M350" s="60"/>
      <c r="N350" s="60"/>
      <c r="O350" s="3"/>
      <c r="P350" s="3"/>
      <c r="Q350" s="3"/>
      <c r="R350" s="3"/>
    </row>
    <row r="351">
      <c r="A351" s="164"/>
      <c r="B351" s="164"/>
      <c r="C351" s="165"/>
      <c r="D351" s="56"/>
      <c r="E351" s="57"/>
      <c r="F351" s="56"/>
      <c r="G351" s="56"/>
      <c r="H351" s="56"/>
      <c r="I351" s="62"/>
      <c r="J351" s="62"/>
      <c r="K351" s="62"/>
      <c r="L351" s="62"/>
      <c r="M351" s="60"/>
      <c r="N351" s="60"/>
      <c r="O351" s="3"/>
      <c r="P351" s="3"/>
      <c r="Q351" s="3"/>
      <c r="R351" s="3"/>
    </row>
    <row r="352">
      <c r="A352" s="164"/>
      <c r="B352" s="164"/>
      <c r="C352" s="165"/>
      <c r="D352" s="56"/>
      <c r="E352" s="57"/>
      <c r="F352" s="56"/>
      <c r="G352" s="56"/>
      <c r="H352" s="56"/>
      <c r="I352" s="62"/>
      <c r="J352" s="62"/>
      <c r="K352" s="62"/>
      <c r="L352" s="62"/>
      <c r="M352" s="60"/>
      <c r="N352" s="60"/>
      <c r="O352" s="3"/>
      <c r="P352" s="3"/>
      <c r="Q352" s="3"/>
      <c r="R352" s="3"/>
    </row>
    <row r="353">
      <c r="A353" s="164"/>
      <c r="B353" s="164"/>
      <c r="C353" s="165"/>
      <c r="D353" s="56"/>
      <c r="E353" s="57"/>
      <c r="F353" s="56"/>
      <c r="G353" s="56"/>
      <c r="H353" s="56"/>
      <c r="I353" s="62"/>
      <c r="J353" s="62"/>
      <c r="K353" s="62"/>
      <c r="L353" s="62"/>
      <c r="M353" s="60"/>
      <c r="N353" s="60"/>
      <c r="O353" s="3"/>
      <c r="P353" s="3"/>
      <c r="Q353" s="3"/>
      <c r="R353" s="3"/>
    </row>
    <row r="354">
      <c r="A354" s="164"/>
      <c r="B354" s="164"/>
      <c r="C354" s="165"/>
      <c r="D354" s="56"/>
      <c r="E354" s="57"/>
      <c r="F354" s="56"/>
      <c r="G354" s="56"/>
      <c r="H354" s="56"/>
      <c r="I354" s="62"/>
      <c r="J354" s="62"/>
      <c r="K354" s="62"/>
      <c r="L354" s="62"/>
      <c r="M354" s="60"/>
      <c r="N354" s="60"/>
      <c r="O354" s="3"/>
      <c r="P354" s="3"/>
      <c r="Q354" s="3"/>
      <c r="R354" s="3"/>
    </row>
    <row r="355">
      <c r="A355" s="164"/>
      <c r="B355" s="164"/>
      <c r="C355" s="165"/>
      <c r="D355" s="56"/>
      <c r="E355" s="57"/>
      <c r="F355" s="56"/>
      <c r="G355" s="56"/>
      <c r="H355" s="56"/>
      <c r="I355" s="62"/>
      <c r="J355" s="62"/>
      <c r="K355" s="62"/>
      <c r="L355" s="62"/>
      <c r="M355" s="60"/>
      <c r="N355" s="60"/>
      <c r="O355" s="3"/>
      <c r="P355" s="3"/>
      <c r="Q355" s="3"/>
      <c r="R355" s="3"/>
    </row>
    <row r="356">
      <c r="A356" s="164"/>
      <c r="B356" s="164"/>
      <c r="C356" s="165"/>
      <c r="D356" s="56"/>
      <c r="E356" s="57"/>
      <c r="F356" s="56"/>
      <c r="G356" s="56"/>
      <c r="H356" s="56"/>
      <c r="I356" s="62"/>
      <c r="J356" s="62"/>
      <c r="K356" s="62"/>
      <c r="L356" s="62"/>
      <c r="M356" s="60"/>
      <c r="N356" s="60"/>
      <c r="O356" s="3"/>
      <c r="P356" s="3"/>
      <c r="Q356" s="3"/>
      <c r="R356" s="3"/>
    </row>
    <row r="357">
      <c r="A357" s="164"/>
      <c r="B357" s="164"/>
      <c r="C357" s="165"/>
      <c r="D357" s="56"/>
      <c r="E357" s="57"/>
      <c r="F357" s="56"/>
      <c r="G357" s="56"/>
      <c r="H357" s="56"/>
      <c r="I357" s="62"/>
      <c r="J357" s="62"/>
      <c r="K357" s="62"/>
      <c r="L357" s="62"/>
      <c r="M357" s="60"/>
      <c r="N357" s="60"/>
      <c r="O357" s="3"/>
      <c r="P357" s="3"/>
      <c r="Q357" s="3"/>
      <c r="R357" s="3"/>
    </row>
    <row r="358">
      <c r="A358" s="164"/>
      <c r="B358" s="164"/>
      <c r="C358" s="165"/>
      <c r="D358" s="56"/>
      <c r="E358" s="57"/>
      <c r="F358" s="56"/>
      <c r="G358" s="56"/>
      <c r="H358" s="56"/>
      <c r="I358" s="62"/>
      <c r="J358" s="62"/>
      <c r="K358" s="62"/>
      <c r="L358" s="62"/>
      <c r="M358" s="60"/>
      <c r="N358" s="60"/>
      <c r="O358" s="3"/>
      <c r="P358" s="3"/>
      <c r="Q358" s="3"/>
      <c r="R358" s="3"/>
    </row>
    <row r="359">
      <c r="A359" s="164"/>
      <c r="B359" s="164"/>
      <c r="C359" s="165"/>
      <c r="D359" s="56"/>
      <c r="E359" s="57"/>
      <c r="F359" s="56"/>
      <c r="G359" s="56"/>
      <c r="H359" s="56"/>
      <c r="I359" s="62"/>
      <c r="J359" s="62"/>
      <c r="K359" s="62"/>
      <c r="L359" s="62"/>
      <c r="M359" s="60"/>
      <c r="N359" s="60"/>
      <c r="O359" s="3"/>
      <c r="P359" s="3"/>
      <c r="Q359" s="3"/>
      <c r="R359" s="3"/>
    </row>
    <row r="360">
      <c r="A360" s="164"/>
      <c r="B360" s="164"/>
      <c r="C360" s="165"/>
      <c r="D360" s="56"/>
      <c r="E360" s="57"/>
      <c r="F360" s="56"/>
      <c r="G360" s="56"/>
      <c r="H360" s="56"/>
      <c r="I360" s="62"/>
      <c r="J360" s="62"/>
      <c r="K360" s="62"/>
      <c r="L360" s="62"/>
      <c r="M360" s="60"/>
      <c r="N360" s="60"/>
      <c r="O360" s="3"/>
      <c r="P360" s="3"/>
      <c r="Q360" s="3"/>
      <c r="R360" s="3"/>
    </row>
    <row r="361">
      <c r="A361" s="164"/>
      <c r="B361" s="164"/>
      <c r="C361" s="165"/>
      <c r="D361" s="56"/>
      <c r="E361" s="57"/>
      <c r="F361" s="56"/>
      <c r="G361" s="56"/>
      <c r="H361" s="56"/>
      <c r="I361" s="62"/>
      <c r="J361" s="62"/>
      <c r="K361" s="62"/>
      <c r="L361" s="62"/>
      <c r="M361" s="60"/>
      <c r="N361" s="60"/>
      <c r="O361" s="3"/>
      <c r="P361" s="3"/>
      <c r="Q361" s="3"/>
      <c r="R361" s="3"/>
    </row>
    <row r="362">
      <c r="A362" s="164"/>
      <c r="B362" s="164"/>
      <c r="C362" s="165"/>
      <c r="D362" s="56"/>
      <c r="E362" s="57"/>
      <c r="F362" s="56"/>
      <c r="G362" s="56"/>
      <c r="H362" s="56"/>
      <c r="I362" s="62"/>
      <c r="J362" s="62"/>
      <c r="K362" s="62"/>
      <c r="L362" s="62"/>
      <c r="M362" s="60"/>
      <c r="N362" s="60"/>
      <c r="O362" s="3"/>
      <c r="P362" s="3"/>
      <c r="Q362" s="3"/>
      <c r="R362" s="3"/>
    </row>
    <row r="363">
      <c r="A363" s="164"/>
      <c r="B363" s="164"/>
      <c r="C363" s="165"/>
      <c r="D363" s="56"/>
      <c r="E363" s="57"/>
      <c r="F363" s="56"/>
      <c r="G363" s="56"/>
      <c r="H363" s="56"/>
      <c r="I363" s="62"/>
      <c r="J363" s="62"/>
      <c r="K363" s="62"/>
      <c r="L363" s="62"/>
      <c r="M363" s="60"/>
      <c r="N363" s="60"/>
      <c r="O363" s="3"/>
      <c r="P363" s="3"/>
      <c r="Q363" s="3"/>
      <c r="R363" s="3"/>
    </row>
    <row r="364">
      <c r="A364" s="164"/>
      <c r="B364" s="164"/>
      <c r="C364" s="165"/>
      <c r="D364" s="56"/>
      <c r="E364" s="57"/>
      <c r="F364" s="56"/>
      <c r="G364" s="56"/>
      <c r="H364" s="56"/>
      <c r="I364" s="62"/>
      <c r="J364" s="62"/>
      <c r="K364" s="62"/>
      <c r="L364" s="62"/>
      <c r="M364" s="60"/>
      <c r="N364" s="60"/>
      <c r="O364" s="3"/>
      <c r="P364" s="3"/>
      <c r="Q364" s="3"/>
      <c r="R364" s="3"/>
    </row>
    <row r="365">
      <c r="A365" s="164"/>
      <c r="B365" s="164"/>
      <c r="C365" s="165"/>
      <c r="D365" s="56"/>
      <c r="E365" s="57"/>
      <c r="F365" s="56"/>
      <c r="G365" s="56"/>
      <c r="H365" s="56"/>
      <c r="I365" s="62"/>
      <c r="J365" s="62"/>
      <c r="K365" s="62"/>
      <c r="L365" s="62"/>
      <c r="M365" s="60"/>
      <c r="N365" s="60"/>
      <c r="O365" s="3"/>
      <c r="P365" s="3"/>
      <c r="Q365" s="3"/>
      <c r="R365" s="3"/>
    </row>
    <row r="366">
      <c r="A366" s="164"/>
      <c r="B366" s="164"/>
      <c r="C366" s="165"/>
      <c r="D366" s="56"/>
      <c r="E366" s="57"/>
      <c r="F366" s="56"/>
      <c r="G366" s="56"/>
      <c r="H366" s="56"/>
      <c r="I366" s="62"/>
      <c r="J366" s="62"/>
      <c r="K366" s="62"/>
      <c r="L366" s="62"/>
      <c r="M366" s="60"/>
      <c r="N366" s="60"/>
      <c r="O366" s="3"/>
      <c r="P366" s="3"/>
      <c r="Q366" s="3"/>
      <c r="R366" s="3"/>
    </row>
    <row r="367">
      <c r="A367" s="164"/>
      <c r="B367" s="164"/>
      <c r="C367" s="165"/>
      <c r="D367" s="56"/>
      <c r="E367" s="57"/>
      <c r="F367" s="56"/>
      <c r="G367" s="56"/>
      <c r="H367" s="56"/>
      <c r="I367" s="62"/>
      <c r="J367" s="62"/>
      <c r="K367" s="62"/>
      <c r="L367" s="62"/>
      <c r="M367" s="60"/>
      <c r="N367" s="60"/>
      <c r="O367" s="3"/>
      <c r="P367" s="3"/>
      <c r="Q367" s="3"/>
      <c r="R367" s="3"/>
    </row>
    <row r="368">
      <c r="A368" s="164"/>
      <c r="B368" s="164"/>
      <c r="C368" s="165"/>
      <c r="D368" s="56"/>
      <c r="E368" s="57"/>
      <c r="F368" s="56"/>
      <c r="G368" s="56"/>
      <c r="H368" s="56"/>
      <c r="I368" s="62"/>
      <c r="J368" s="62"/>
      <c r="K368" s="62"/>
      <c r="L368" s="62"/>
      <c r="M368" s="60"/>
      <c r="N368" s="60"/>
      <c r="O368" s="3"/>
      <c r="P368" s="3"/>
      <c r="Q368" s="3"/>
      <c r="R368" s="3"/>
    </row>
    <row r="369">
      <c r="A369" s="164"/>
      <c r="B369" s="164"/>
      <c r="C369" s="165"/>
      <c r="D369" s="56"/>
      <c r="E369" s="57"/>
      <c r="F369" s="56"/>
      <c r="G369" s="56"/>
      <c r="H369" s="56"/>
      <c r="I369" s="62"/>
      <c r="J369" s="62"/>
      <c r="K369" s="62"/>
      <c r="L369" s="62"/>
      <c r="M369" s="60"/>
      <c r="N369" s="60"/>
      <c r="O369" s="3"/>
      <c r="P369" s="3"/>
      <c r="Q369" s="3"/>
      <c r="R369" s="3"/>
    </row>
    <row r="370">
      <c r="A370" s="164"/>
      <c r="B370" s="164"/>
      <c r="C370" s="165"/>
      <c r="D370" s="56"/>
      <c r="E370" s="57"/>
      <c r="F370" s="56"/>
      <c r="G370" s="56"/>
      <c r="H370" s="56"/>
      <c r="I370" s="62"/>
      <c r="J370" s="62"/>
      <c r="K370" s="62"/>
      <c r="L370" s="62"/>
      <c r="M370" s="60"/>
      <c r="N370" s="60"/>
      <c r="O370" s="3"/>
      <c r="P370" s="3"/>
      <c r="Q370" s="3"/>
      <c r="R370" s="3"/>
    </row>
    <row r="371">
      <c r="A371" s="164"/>
      <c r="B371" s="164"/>
      <c r="C371" s="165"/>
      <c r="D371" s="56"/>
      <c r="E371" s="57"/>
      <c r="F371" s="56"/>
      <c r="G371" s="56"/>
      <c r="H371" s="56"/>
      <c r="I371" s="62"/>
      <c r="J371" s="62"/>
      <c r="K371" s="62"/>
      <c r="L371" s="62"/>
      <c r="M371" s="60"/>
      <c r="N371" s="60"/>
      <c r="O371" s="3"/>
      <c r="P371" s="3"/>
      <c r="Q371" s="3"/>
      <c r="R371" s="3"/>
    </row>
    <row r="372">
      <c r="A372" s="164"/>
      <c r="B372" s="164"/>
      <c r="C372" s="165"/>
      <c r="D372" s="56"/>
      <c r="E372" s="57"/>
      <c r="F372" s="56"/>
      <c r="G372" s="56"/>
      <c r="H372" s="56"/>
      <c r="I372" s="62"/>
      <c r="J372" s="62"/>
      <c r="K372" s="62"/>
      <c r="L372" s="62"/>
      <c r="M372" s="60"/>
      <c r="N372" s="60"/>
      <c r="O372" s="3"/>
      <c r="P372" s="3"/>
      <c r="Q372" s="3"/>
      <c r="R372" s="3"/>
    </row>
    <row r="373">
      <c r="A373" s="164"/>
      <c r="B373" s="164"/>
      <c r="C373" s="165"/>
      <c r="D373" s="56"/>
      <c r="E373" s="57"/>
      <c r="F373" s="56"/>
      <c r="G373" s="56"/>
      <c r="H373" s="56"/>
      <c r="I373" s="62"/>
      <c r="J373" s="62"/>
      <c r="K373" s="62"/>
      <c r="L373" s="62"/>
      <c r="M373" s="60"/>
      <c r="N373" s="60"/>
      <c r="O373" s="3"/>
      <c r="P373" s="3"/>
      <c r="Q373" s="3"/>
      <c r="R373" s="3"/>
    </row>
    <row r="374">
      <c r="A374" s="164"/>
      <c r="B374" s="164"/>
      <c r="C374" s="165"/>
      <c r="D374" s="56"/>
      <c r="E374" s="57"/>
      <c r="F374" s="56"/>
      <c r="G374" s="56"/>
      <c r="H374" s="56"/>
      <c r="I374" s="62"/>
      <c r="J374" s="62"/>
      <c r="K374" s="62"/>
      <c r="L374" s="62"/>
      <c r="M374" s="60"/>
      <c r="N374" s="60"/>
      <c r="O374" s="3"/>
      <c r="P374" s="3"/>
      <c r="Q374" s="3"/>
      <c r="R374" s="3"/>
    </row>
    <row r="375">
      <c r="A375" s="164"/>
      <c r="B375" s="164"/>
      <c r="C375" s="165"/>
      <c r="D375" s="56"/>
      <c r="E375" s="57"/>
      <c r="F375" s="56"/>
      <c r="G375" s="56"/>
      <c r="H375" s="56"/>
      <c r="I375" s="62"/>
      <c r="J375" s="62"/>
      <c r="K375" s="62"/>
      <c r="L375" s="62"/>
      <c r="M375" s="60"/>
      <c r="N375" s="60"/>
      <c r="O375" s="3"/>
      <c r="P375" s="3"/>
      <c r="Q375" s="3"/>
      <c r="R375" s="3"/>
    </row>
    <row r="376">
      <c r="A376" s="164"/>
      <c r="B376" s="164"/>
      <c r="C376" s="165"/>
      <c r="D376" s="56"/>
      <c r="E376" s="57"/>
      <c r="F376" s="56"/>
      <c r="G376" s="56"/>
      <c r="H376" s="56"/>
      <c r="I376" s="62"/>
      <c r="J376" s="62"/>
      <c r="K376" s="62"/>
      <c r="L376" s="62"/>
      <c r="M376" s="60"/>
      <c r="N376" s="60"/>
      <c r="O376" s="3"/>
      <c r="P376" s="3"/>
      <c r="Q376" s="3"/>
      <c r="R376" s="3"/>
    </row>
    <row r="377">
      <c r="A377" s="164"/>
      <c r="B377" s="164"/>
      <c r="C377" s="165"/>
      <c r="D377" s="56"/>
      <c r="E377" s="57"/>
      <c r="F377" s="56"/>
      <c r="G377" s="56"/>
      <c r="H377" s="56"/>
      <c r="I377" s="62"/>
      <c r="J377" s="62"/>
      <c r="K377" s="62"/>
      <c r="L377" s="62"/>
      <c r="M377" s="60"/>
      <c r="N377" s="60"/>
      <c r="O377" s="3"/>
      <c r="P377" s="3"/>
      <c r="Q377" s="3"/>
      <c r="R377" s="3"/>
    </row>
    <row r="378">
      <c r="A378" s="164"/>
      <c r="B378" s="164"/>
      <c r="C378" s="165"/>
      <c r="D378" s="56"/>
      <c r="E378" s="57"/>
      <c r="F378" s="56"/>
      <c r="G378" s="56"/>
      <c r="H378" s="56"/>
      <c r="I378" s="62"/>
      <c r="J378" s="62"/>
      <c r="K378" s="62"/>
      <c r="L378" s="62"/>
      <c r="M378" s="60"/>
      <c r="N378" s="60"/>
      <c r="O378" s="3"/>
      <c r="P378" s="3"/>
      <c r="Q378" s="3"/>
      <c r="R378" s="3"/>
    </row>
    <row r="379">
      <c r="A379" s="164"/>
      <c r="B379" s="164"/>
      <c r="C379" s="165"/>
      <c r="D379" s="56"/>
      <c r="E379" s="57"/>
      <c r="F379" s="56"/>
      <c r="G379" s="56"/>
      <c r="H379" s="56"/>
      <c r="I379" s="62"/>
      <c r="J379" s="62"/>
      <c r="K379" s="62"/>
      <c r="L379" s="62"/>
      <c r="M379" s="60"/>
      <c r="N379" s="60"/>
      <c r="O379" s="3"/>
      <c r="P379" s="3"/>
      <c r="Q379" s="3"/>
      <c r="R379" s="3"/>
    </row>
    <row r="380">
      <c r="A380" s="164"/>
      <c r="B380" s="164"/>
      <c r="C380" s="165"/>
      <c r="D380" s="56"/>
      <c r="E380" s="57"/>
      <c r="F380" s="56"/>
      <c r="G380" s="56"/>
      <c r="H380" s="56"/>
      <c r="I380" s="62"/>
      <c r="J380" s="62"/>
      <c r="K380" s="62"/>
      <c r="L380" s="62"/>
      <c r="M380" s="60"/>
      <c r="N380" s="60"/>
      <c r="O380" s="3"/>
      <c r="P380" s="3"/>
      <c r="Q380" s="3"/>
      <c r="R380" s="3"/>
    </row>
    <row r="381">
      <c r="A381" s="164"/>
      <c r="B381" s="164"/>
      <c r="C381" s="165"/>
      <c r="D381" s="56"/>
      <c r="E381" s="57"/>
      <c r="F381" s="56"/>
      <c r="G381" s="56"/>
      <c r="H381" s="56"/>
      <c r="I381" s="62"/>
      <c r="J381" s="62"/>
      <c r="K381" s="62"/>
      <c r="L381" s="62"/>
      <c r="M381" s="60"/>
      <c r="N381" s="60"/>
      <c r="O381" s="3"/>
      <c r="P381" s="3"/>
      <c r="Q381" s="3"/>
      <c r="R381" s="3"/>
    </row>
    <row r="382">
      <c r="A382" s="164"/>
      <c r="B382" s="164"/>
      <c r="C382" s="165"/>
      <c r="D382" s="56"/>
      <c r="E382" s="57"/>
      <c r="F382" s="56"/>
      <c r="G382" s="56"/>
      <c r="H382" s="56"/>
      <c r="I382" s="62"/>
      <c r="J382" s="62"/>
      <c r="K382" s="62"/>
      <c r="L382" s="62"/>
      <c r="M382" s="60"/>
      <c r="N382" s="60"/>
      <c r="O382" s="3"/>
      <c r="P382" s="3"/>
      <c r="Q382" s="3"/>
      <c r="R382" s="3"/>
    </row>
    <row r="383">
      <c r="A383" s="164"/>
      <c r="B383" s="164"/>
      <c r="C383" s="165"/>
      <c r="D383" s="56"/>
      <c r="E383" s="57"/>
      <c r="F383" s="56"/>
      <c r="G383" s="56"/>
      <c r="H383" s="56"/>
      <c r="I383" s="62"/>
      <c r="J383" s="62"/>
      <c r="K383" s="62"/>
      <c r="L383" s="62"/>
      <c r="M383" s="60"/>
      <c r="N383" s="60"/>
      <c r="O383" s="3"/>
      <c r="P383" s="3"/>
      <c r="Q383" s="3"/>
      <c r="R383" s="3"/>
    </row>
    <row r="384">
      <c r="A384" s="164"/>
      <c r="B384" s="164"/>
      <c r="C384" s="165"/>
      <c r="D384" s="56"/>
      <c r="E384" s="57"/>
      <c r="F384" s="56"/>
      <c r="G384" s="56"/>
      <c r="H384" s="56"/>
      <c r="I384" s="62"/>
      <c r="J384" s="62"/>
      <c r="K384" s="62"/>
      <c r="L384" s="62"/>
      <c r="M384" s="60"/>
      <c r="N384" s="60"/>
      <c r="O384" s="3"/>
      <c r="P384" s="3"/>
      <c r="Q384" s="3"/>
      <c r="R384" s="3"/>
    </row>
    <row r="385">
      <c r="A385" s="164"/>
      <c r="B385" s="164"/>
      <c r="C385" s="165"/>
      <c r="D385" s="56"/>
      <c r="E385" s="57"/>
      <c r="F385" s="56"/>
      <c r="G385" s="56"/>
      <c r="H385" s="56"/>
      <c r="I385" s="62"/>
      <c r="J385" s="62"/>
      <c r="K385" s="62"/>
      <c r="L385" s="62"/>
      <c r="M385" s="60"/>
      <c r="N385" s="60"/>
      <c r="O385" s="3"/>
      <c r="P385" s="3"/>
      <c r="Q385" s="3"/>
      <c r="R385" s="3"/>
    </row>
    <row r="386">
      <c r="A386" s="164"/>
      <c r="B386" s="164"/>
      <c r="C386" s="165"/>
      <c r="D386" s="56"/>
      <c r="E386" s="57"/>
      <c r="F386" s="56"/>
      <c r="G386" s="56"/>
      <c r="H386" s="56"/>
      <c r="I386" s="62"/>
      <c r="J386" s="62"/>
      <c r="K386" s="62"/>
      <c r="L386" s="62"/>
      <c r="M386" s="60"/>
      <c r="N386" s="60"/>
      <c r="O386" s="3"/>
      <c r="P386" s="3"/>
      <c r="Q386" s="3"/>
      <c r="R386" s="3"/>
    </row>
    <row r="387">
      <c r="A387" s="164"/>
      <c r="B387" s="164"/>
      <c r="C387" s="165"/>
      <c r="D387" s="56"/>
      <c r="E387" s="57"/>
      <c r="F387" s="56"/>
      <c r="G387" s="56"/>
      <c r="H387" s="56"/>
      <c r="I387" s="62"/>
      <c r="J387" s="62"/>
      <c r="K387" s="62"/>
      <c r="L387" s="62"/>
      <c r="M387" s="60"/>
      <c r="N387" s="60"/>
      <c r="O387" s="3"/>
      <c r="P387" s="3"/>
      <c r="Q387" s="3"/>
      <c r="R387" s="3"/>
    </row>
    <row r="388">
      <c r="A388" s="164"/>
      <c r="B388" s="164"/>
      <c r="C388" s="165"/>
      <c r="D388" s="56"/>
      <c r="E388" s="57"/>
      <c r="F388" s="56"/>
      <c r="G388" s="56"/>
      <c r="H388" s="56"/>
      <c r="I388" s="62"/>
      <c r="J388" s="62"/>
      <c r="K388" s="62"/>
      <c r="L388" s="62"/>
      <c r="M388" s="60"/>
      <c r="N388" s="60"/>
      <c r="O388" s="3"/>
      <c r="P388" s="3"/>
      <c r="Q388" s="3"/>
      <c r="R388" s="3"/>
    </row>
    <row r="389">
      <c r="A389" s="164"/>
      <c r="B389" s="164"/>
      <c r="C389" s="165"/>
      <c r="D389" s="56"/>
      <c r="E389" s="57"/>
      <c r="F389" s="56"/>
      <c r="G389" s="56"/>
      <c r="H389" s="56"/>
      <c r="I389" s="62"/>
      <c r="J389" s="62"/>
      <c r="K389" s="62"/>
      <c r="L389" s="62"/>
      <c r="M389" s="60"/>
      <c r="N389" s="60"/>
      <c r="O389" s="3"/>
      <c r="P389" s="3"/>
      <c r="Q389" s="3"/>
      <c r="R389" s="3"/>
    </row>
    <row r="390">
      <c r="A390" s="164"/>
      <c r="B390" s="164"/>
      <c r="C390" s="165"/>
      <c r="D390" s="56"/>
      <c r="E390" s="57"/>
      <c r="F390" s="56"/>
      <c r="G390" s="56"/>
      <c r="H390" s="56"/>
      <c r="I390" s="62"/>
      <c r="J390" s="62"/>
      <c r="K390" s="62"/>
      <c r="L390" s="62"/>
      <c r="M390" s="60"/>
      <c r="N390" s="60"/>
      <c r="O390" s="3"/>
      <c r="P390" s="3"/>
      <c r="Q390" s="3"/>
      <c r="R390" s="3"/>
    </row>
    <row r="391">
      <c r="A391" s="164"/>
      <c r="B391" s="164"/>
      <c r="C391" s="165"/>
      <c r="D391" s="56"/>
      <c r="E391" s="57"/>
      <c r="F391" s="56"/>
      <c r="G391" s="56"/>
      <c r="H391" s="56"/>
      <c r="I391" s="62"/>
      <c r="J391" s="62"/>
      <c r="K391" s="62"/>
      <c r="L391" s="62"/>
      <c r="M391" s="60"/>
      <c r="N391" s="60"/>
      <c r="O391" s="3"/>
      <c r="P391" s="3"/>
      <c r="Q391" s="3"/>
      <c r="R391" s="3"/>
    </row>
    <row r="392">
      <c r="A392" s="164"/>
      <c r="B392" s="164"/>
      <c r="C392" s="165"/>
      <c r="D392" s="56"/>
      <c r="E392" s="57"/>
      <c r="F392" s="56"/>
      <c r="G392" s="56"/>
      <c r="H392" s="56"/>
      <c r="I392" s="62"/>
      <c r="J392" s="62"/>
      <c r="K392" s="62"/>
      <c r="L392" s="62"/>
      <c r="M392" s="60"/>
      <c r="N392" s="60"/>
      <c r="O392" s="3"/>
      <c r="P392" s="3"/>
      <c r="Q392" s="3"/>
      <c r="R392" s="3"/>
    </row>
    <row r="393">
      <c r="A393" s="164"/>
      <c r="B393" s="164"/>
      <c r="C393" s="165"/>
      <c r="D393" s="56"/>
      <c r="E393" s="57"/>
      <c r="F393" s="56"/>
      <c r="G393" s="56"/>
      <c r="H393" s="56"/>
      <c r="I393" s="62"/>
      <c r="J393" s="62"/>
      <c r="K393" s="62"/>
      <c r="L393" s="62"/>
      <c r="M393" s="60"/>
      <c r="N393" s="60"/>
      <c r="O393" s="3"/>
      <c r="P393" s="3"/>
      <c r="Q393" s="3"/>
      <c r="R393" s="3"/>
    </row>
    <row r="394">
      <c r="A394" s="164"/>
      <c r="B394" s="164"/>
      <c r="C394" s="165"/>
      <c r="D394" s="56"/>
      <c r="E394" s="57"/>
      <c r="F394" s="56"/>
      <c r="G394" s="56"/>
      <c r="H394" s="56"/>
      <c r="I394" s="62"/>
      <c r="J394" s="62"/>
      <c r="K394" s="62"/>
      <c r="L394" s="62"/>
      <c r="M394" s="60"/>
      <c r="N394" s="60"/>
      <c r="O394" s="3"/>
      <c r="P394" s="3"/>
      <c r="Q394" s="3"/>
      <c r="R394" s="3"/>
    </row>
    <row r="395">
      <c r="A395" s="164"/>
      <c r="B395" s="164"/>
      <c r="C395" s="165"/>
      <c r="D395" s="56"/>
      <c r="E395" s="57"/>
      <c r="F395" s="56"/>
      <c r="G395" s="56"/>
      <c r="H395" s="56"/>
      <c r="I395" s="62"/>
      <c r="J395" s="62"/>
      <c r="K395" s="62"/>
      <c r="L395" s="62"/>
      <c r="M395" s="60"/>
      <c r="N395" s="60"/>
      <c r="O395" s="3"/>
      <c r="P395" s="3"/>
      <c r="Q395" s="3"/>
      <c r="R395" s="3"/>
    </row>
    <row r="396">
      <c r="A396" s="164"/>
      <c r="B396" s="164"/>
      <c r="C396" s="165"/>
      <c r="D396" s="56"/>
      <c r="E396" s="57"/>
      <c r="F396" s="56"/>
      <c r="G396" s="56"/>
      <c r="H396" s="56"/>
      <c r="I396" s="62"/>
      <c r="J396" s="62"/>
      <c r="K396" s="62"/>
      <c r="L396" s="62"/>
      <c r="M396" s="60"/>
      <c r="N396" s="60"/>
      <c r="O396" s="3"/>
      <c r="P396" s="3"/>
      <c r="Q396" s="3"/>
      <c r="R396" s="3"/>
    </row>
    <row r="397">
      <c r="A397" s="164"/>
      <c r="B397" s="164"/>
      <c r="C397" s="165"/>
      <c r="D397" s="56"/>
      <c r="E397" s="57"/>
      <c r="F397" s="56"/>
      <c r="G397" s="56"/>
      <c r="H397" s="56"/>
      <c r="I397" s="62"/>
      <c r="J397" s="62"/>
      <c r="K397" s="62"/>
      <c r="L397" s="62"/>
      <c r="M397" s="60"/>
      <c r="N397" s="60"/>
      <c r="O397" s="3"/>
      <c r="P397" s="3"/>
      <c r="Q397" s="3"/>
      <c r="R397" s="3"/>
    </row>
    <row r="398">
      <c r="A398" s="164"/>
      <c r="B398" s="164"/>
      <c r="C398" s="165"/>
      <c r="D398" s="56"/>
      <c r="E398" s="57"/>
      <c r="F398" s="56"/>
      <c r="G398" s="56"/>
      <c r="H398" s="56"/>
      <c r="I398" s="62"/>
      <c r="J398" s="62"/>
      <c r="K398" s="62"/>
      <c r="L398" s="62"/>
      <c r="M398" s="60"/>
      <c r="N398" s="60"/>
      <c r="O398" s="3"/>
      <c r="P398" s="3"/>
      <c r="Q398" s="3"/>
      <c r="R398" s="3"/>
    </row>
    <row r="399">
      <c r="A399" s="164"/>
      <c r="B399" s="164"/>
      <c r="C399" s="165"/>
      <c r="D399" s="56"/>
      <c r="E399" s="57"/>
      <c r="F399" s="56"/>
      <c r="G399" s="56"/>
      <c r="H399" s="56"/>
      <c r="I399" s="62"/>
      <c r="J399" s="62"/>
      <c r="K399" s="62"/>
      <c r="L399" s="62"/>
      <c r="M399" s="60"/>
      <c r="N399" s="60"/>
      <c r="O399" s="3"/>
      <c r="P399" s="3"/>
      <c r="Q399" s="3"/>
      <c r="R399" s="3"/>
    </row>
    <row r="400">
      <c r="A400" s="164"/>
      <c r="B400" s="164"/>
      <c r="C400" s="165"/>
      <c r="D400" s="56"/>
      <c r="E400" s="57"/>
      <c r="F400" s="56"/>
      <c r="G400" s="56"/>
      <c r="H400" s="56"/>
      <c r="I400" s="62"/>
      <c r="J400" s="62"/>
      <c r="K400" s="62"/>
      <c r="L400" s="62"/>
      <c r="M400" s="60"/>
      <c r="N400" s="60"/>
      <c r="O400" s="3"/>
      <c r="P400" s="3"/>
      <c r="Q400" s="3"/>
      <c r="R400" s="3"/>
    </row>
    <row r="401">
      <c r="A401" s="164"/>
      <c r="B401" s="164"/>
      <c r="C401" s="165"/>
      <c r="D401" s="56"/>
      <c r="E401" s="57"/>
      <c r="F401" s="56"/>
      <c r="G401" s="56"/>
      <c r="H401" s="56"/>
      <c r="I401" s="62"/>
      <c r="J401" s="62"/>
      <c r="K401" s="62"/>
      <c r="L401" s="62"/>
      <c r="M401" s="60"/>
      <c r="N401" s="60"/>
      <c r="O401" s="3"/>
      <c r="P401" s="3"/>
      <c r="Q401" s="3"/>
      <c r="R401" s="3"/>
    </row>
    <row r="402">
      <c r="A402" s="164"/>
      <c r="B402" s="164"/>
      <c r="C402" s="165"/>
      <c r="D402" s="56"/>
      <c r="E402" s="57"/>
      <c r="F402" s="56"/>
      <c r="G402" s="56"/>
      <c r="H402" s="56"/>
      <c r="I402" s="62"/>
      <c r="J402" s="62"/>
      <c r="K402" s="62"/>
      <c r="L402" s="62"/>
      <c r="M402" s="60"/>
      <c r="N402" s="60"/>
      <c r="O402" s="3"/>
      <c r="P402" s="3"/>
      <c r="Q402" s="3"/>
      <c r="R402" s="3"/>
    </row>
    <row r="403">
      <c r="A403" s="164"/>
      <c r="B403" s="164"/>
      <c r="C403" s="165"/>
      <c r="D403" s="56"/>
      <c r="E403" s="57"/>
      <c r="F403" s="56"/>
      <c r="G403" s="56"/>
      <c r="H403" s="56"/>
      <c r="I403" s="62"/>
      <c r="J403" s="62"/>
      <c r="K403" s="62"/>
      <c r="L403" s="62"/>
      <c r="M403" s="60"/>
      <c r="N403" s="60"/>
      <c r="O403" s="3"/>
      <c r="P403" s="3"/>
      <c r="Q403" s="3"/>
      <c r="R403" s="3"/>
    </row>
    <row r="404">
      <c r="A404" s="164"/>
      <c r="B404" s="164"/>
      <c r="C404" s="165"/>
      <c r="D404" s="56"/>
      <c r="E404" s="57"/>
      <c r="F404" s="56"/>
      <c r="G404" s="56"/>
      <c r="H404" s="56"/>
      <c r="I404" s="62"/>
      <c r="J404" s="62"/>
      <c r="K404" s="62"/>
      <c r="L404" s="62"/>
      <c r="M404" s="60"/>
      <c r="N404" s="60"/>
      <c r="O404" s="3"/>
      <c r="P404" s="3"/>
      <c r="Q404" s="3"/>
      <c r="R404" s="3"/>
    </row>
    <row r="405">
      <c r="A405" s="164"/>
      <c r="B405" s="164"/>
      <c r="C405" s="165"/>
      <c r="D405" s="56"/>
      <c r="E405" s="57"/>
      <c r="F405" s="56"/>
      <c r="G405" s="56"/>
      <c r="H405" s="56"/>
      <c r="I405" s="62"/>
      <c r="J405" s="62"/>
      <c r="K405" s="62"/>
      <c r="L405" s="62"/>
      <c r="M405" s="60"/>
      <c r="N405" s="60"/>
      <c r="O405" s="3"/>
      <c r="P405" s="3"/>
      <c r="Q405" s="3"/>
      <c r="R405" s="3"/>
    </row>
    <row r="406">
      <c r="A406" s="164"/>
      <c r="B406" s="164"/>
      <c r="C406" s="165"/>
      <c r="D406" s="56"/>
      <c r="E406" s="57"/>
      <c r="F406" s="56"/>
      <c r="G406" s="56"/>
      <c r="H406" s="56"/>
      <c r="I406" s="62"/>
      <c r="J406" s="62"/>
      <c r="K406" s="62"/>
      <c r="L406" s="62"/>
      <c r="M406" s="60"/>
      <c r="N406" s="60"/>
      <c r="O406" s="3"/>
      <c r="P406" s="3"/>
      <c r="Q406" s="3"/>
      <c r="R406" s="3"/>
    </row>
    <row r="407">
      <c r="A407" s="164"/>
      <c r="B407" s="164"/>
      <c r="C407" s="165"/>
      <c r="D407" s="56"/>
      <c r="E407" s="57"/>
      <c r="F407" s="56"/>
      <c r="G407" s="56"/>
      <c r="H407" s="56"/>
      <c r="I407" s="62"/>
      <c r="J407" s="62"/>
      <c r="K407" s="62"/>
      <c r="L407" s="62"/>
      <c r="M407" s="60"/>
      <c r="N407" s="60"/>
      <c r="O407" s="3"/>
      <c r="P407" s="3"/>
      <c r="Q407" s="3"/>
      <c r="R407" s="3"/>
    </row>
    <row r="408">
      <c r="A408" s="164"/>
      <c r="B408" s="164"/>
      <c r="C408" s="165"/>
      <c r="D408" s="56"/>
      <c r="E408" s="57"/>
      <c r="F408" s="56"/>
      <c r="G408" s="56"/>
      <c r="H408" s="56"/>
      <c r="I408" s="62"/>
      <c r="J408" s="62"/>
      <c r="K408" s="62"/>
      <c r="L408" s="62"/>
      <c r="M408" s="60"/>
      <c r="N408" s="60"/>
      <c r="O408" s="3"/>
      <c r="P408" s="3"/>
      <c r="Q408" s="3"/>
      <c r="R408" s="3"/>
    </row>
    <row r="409">
      <c r="A409" s="164"/>
      <c r="B409" s="164"/>
      <c r="C409" s="165"/>
      <c r="D409" s="56"/>
      <c r="E409" s="57"/>
      <c r="F409" s="56"/>
      <c r="G409" s="56"/>
      <c r="H409" s="56"/>
      <c r="I409" s="62"/>
      <c r="J409" s="62"/>
      <c r="K409" s="62"/>
      <c r="L409" s="62"/>
      <c r="M409" s="60"/>
      <c r="N409" s="60"/>
      <c r="O409" s="3"/>
      <c r="P409" s="3"/>
      <c r="Q409" s="3"/>
      <c r="R409" s="3"/>
    </row>
    <row r="410">
      <c r="A410" s="164"/>
      <c r="B410" s="164"/>
      <c r="C410" s="165"/>
      <c r="D410" s="56"/>
      <c r="E410" s="57"/>
      <c r="F410" s="56"/>
      <c r="G410" s="56"/>
      <c r="H410" s="56"/>
      <c r="I410" s="62"/>
      <c r="J410" s="62"/>
      <c r="K410" s="62"/>
      <c r="L410" s="62"/>
      <c r="M410" s="60"/>
      <c r="N410" s="60"/>
      <c r="O410" s="3"/>
      <c r="P410" s="3"/>
      <c r="Q410" s="3"/>
      <c r="R410" s="3"/>
    </row>
    <row r="411">
      <c r="A411" s="164"/>
      <c r="B411" s="164"/>
      <c r="C411" s="165"/>
      <c r="D411" s="56"/>
      <c r="E411" s="57"/>
      <c r="F411" s="56"/>
      <c r="G411" s="56"/>
      <c r="H411" s="56"/>
      <c r="I411" s="62"/>
      <c r="J411" s="62"/>
      <c r="K411" s="62"/>
      <c r="L411" s="62"/>
      <c r="M411" s="60"/>
      <c r="N411" s="60"/>
      <c r="O411" s="3"/>
      <c r="P411" s="3"/>
      <c r="Q411" s="3"/>
      <c r="R411" s="3"/>
    </row>
    <row r="412">
      <c r="A412" s="164"/>
      <c r="B412" s="164"/>
      <c r="C412" s="165"/>
      <c r="D412" s="56"/>
      <c r="E412" s="57"/>
      <c r="F412" s="56"/>
      <c r="G412" s="56"/>
      <c r="H412" s="56"/>
      <c r="I412" s="62"/>
      <c r="J412" s="62"/>
      <c r="K412" s="62"/>
      <c r="L412" s="62"/>
      <c r="M412" s="60"/>
      <c r="N412" s="60"/>
      <c r="O412" s="3"/>
      <c r="P412" s="3"/>
      <c r="Q412" s="3"/>
      <c r="R412" s="3"/>
    </row>
    <row r="413">
      <c r="A413" s="164"/>
      <c r="B413" s="164"/>
      <c r="C413" s="165"/>
      <c r="D413" s="56"/>
      <c r="E413" s="57"/>
      <c r="F413" s="56"/>
      <c r="G413" s="56"/>
      <c r="H413" s="56"/>
      <c r="I413" s="62"/>
      <c r="J413" s="62"/>
      <c r="K413" s="62"/>
      <c r="L413" s="62"/>
      <c r="M413" s="60"/>
      <c r="N413" s="60"/>
      <c r="O413" s="3"/>
      <c r="P413" s="3"/>
      <c r="Q413" s="3"/>
      <c r="R413" s="3"/>
    </row>
    <row r="414">
      <c r="A414" s="164"/>
      <c r="B414" s="164"/>
      <c r="C414" s="165"/>
      <c r="D414" s="56"/>
      <c r="E414" s="57"/>
      <c r="F414" s="56"/>
      <c r="G414" s="56"/>
      <c r="H414" s="56"/>
      <c r="I414" s="62"/>
      <c r="J414" s="62"/>
      <c r="K414" s="62"/>
      <c r="L414" s="62"/>
      <c r="M414" s="60"/>
      <c r="N414" s="60"/>
      <c r="O414" s="3"/>
      <c r="P414" s="3"/>
      <c r="Q414" s="3"/>
      <c r="R414" s="3"/>
    </row>
    <row r="415">
      <c r="A415" s="164"/>
      <c r="B415" s="164"/>
      <c r="C415" s="165"/>
      <c r="D415" s="56"/>
      <c r="E415" s="57"/>
      <c r="F415" s="56"/>
      <c r="G415" s="56"/>
      <c r="H415" s="56"/>
      <c r="I415" s="62"/>
      <c r="J415" s="62"/>
      <c r="K415" s="62"/>
      <c r="L415" s="62"/>
      <c r="M415" s="60"/>
      <c r="N415" s="60"/>
      <c r="O415" s="3"/>
      <c r="P415" s="3"/>
      <c r="Q415" s="3"/>
      <c r="R415" s="3"/>
    </row>
    <row r="416">
      <c r="A416" s="164"/>
      <c r="B416" s="164"/>
      <c r="C416" s="165"/>
      <c r="D416" s="56"/>
      <c r="E416" s="57"/>
      <c r="F416" s="56"/>
      <c r="G416" s="56"/>
      <c r="H416" s="56"/>
      <c r="I416" s="62"/>
      <c r="J416" s="62"/>
      <c r="K416" s="62"/>
      <c r="L416" s="62"/>
      <c r="M416" s="60"/>
      <c r="N416" s="60"/>
      <c r="O416" s="3"/>
      <c r="P416" s="3"/>
      <c r="Q416" s="3"/>
      <c r="R416" s="3"/>
    </row>
    <row r="417">
      <c r="A417" s="164"/>
      <c r="B417" s="164"/>
      <c r="C417" s="165"/>
      <c r="D417" s="56"/>
      <c r="E417" s="57"/>
      <c r="F417" s="56"/>
      <c r="G417" s="56"/>
      <c r="H417" s="56"/>
      <c r="I417" s="62"/>
      <c r="J417" s="62"/>
      <c r="K417" s="62"/>
      <c r="L417" s="62"/>
      <c r="M417" s="60"/>
      <c r="N417" s="60"/>
      <c r="O417" s="3"/>
      <c r="P417" s="3"/>
      <c r="Q417" s="3"/>
      <c r="R417" s="3"/>
    </row>
    <row r="418">
      <c r="A418" s="164"/>
      <c r="B418" s="164"/>
      <c r="C418" s="165"/>
      <c r="D418" s="56"/>
      <c r="E418" s="57"/>
      <c r="F418" s="56"/>
      <c r="G418" s="56"/>
      <c r="H418" s="56"/>
      <c r="I418" s="62"/>
      <c r="J418" s="62"/>
      <c r="K418" s="62"/>
      <c r="L418" s="62"/>
      <c r="M418" s="60"/>
      <c r="N418" s="60"/>
      <c r="O418" s="3"/>
      <c r="P418" s="3"/>
      <c r="Q418" s="3"/>
      <c r="R418" s="3"/>
    </row>
    <row r="419">
      <c r="A419" s="164"/>
      <c r="B419" s="164"/>
      <c r="C419" s="165"/>
      <c r="D419" s="56"/>
      <c r="E419" s="57"/>
      <c r="F419" s="56"/>
      <c r="G419" s="56"/>
      <c r="H419" s="56"/>
      <c r="I419" s="62"/>
      <c r="J419" s="62"/>
      <c r="K419" s="62"/>
      <c r="L419" s="62"/>
      <c r="M419" s="60"/>
      <c r="N419" s="60"/>
      <c r="O419" s="3"/>
      <c r="P419" s="3"/>
      <c r="Q419" s="3"/>
      <c r="R419" s="3"/>
    </row>
    <row r="420">
      <c r="A420" s="164"/>
      <c r="B420" s="164"/>
      <c r="C420" s="165"/>
      <c r="D420" s="56"/>
      <c r="E420" s="57"/>
      <c r="F420" s="56"/>
      <c r="G420" s="56"/>
      <c r="H420" s="56"/>
      <c r="I420" s="62"/>
      <c r="J420" s="62"/>
      <c r="K420" s="62"/>
      <c r="L420" s="62"/>
      <c r="M420" s="60"/>
      <c r="N420" s="60"/>
      <c r="O420" s="3"/>
      <c r="P420" s="3"/>
      <c r="Q420" s="3"/>
      <c r="R420" s="3"/>
    </row>
    <row r="421">
      <c r="A421" s="164"/>
      <c r="B421" s="164"/>
      <c r="C421" s="165"/>
      <c r="D421" s="56"/>
      <c r="E421" s="57"/>
      <c r="F421" s="56"/>
      <c r="G421" s="56"/>
      <c r="H421" s="56"/>
      <c r="I421" s="62"/>
      <c r="J421" s="62"/>
      <c r="K421" s="62"/>
      <c r="L421" s="62"/>
      <c r="M421" s="60"/>
      <c r="N421" s="60"/>
      <c r="O421" s="3"/>
      <c r="P421" s="3"/>
      <c r="Q421" s="3"/>
      <c r="R421" s="3"/>
    </row>
    <row r="422">
      <c r="A422" s="164"/>
      <c r="B422" s="164"/>
      <c r="C422" s="165"/>
      <c r="D422" s="56"/>
      <c r="E422" s="57"/>
      <c r="F422" s="56"/>
      <c r="G422" s="56"/>
      <c r="H422" s="56"/>
      <c r="I422" s="62"/>
      <c r="J422" s="62"/>
      <c r="K422" s="62"/>
      <c r="L422" s="62"/>
      <c r="M422" s="60"/>
      <c r="N422" s="60"/>
      <c r="O422" s="3"/>
      <c r="P422" s="3"/>
      <c r="Q422" s="3"/>
      <c r="R422" s="3"/>
    </row>
    <row r="423">
      <c r="A423" s="164"/>
      <c r="B423" s="164"/>
      <c r="C423" s="165"/>
      <c r="D423" s="56"/>
      <c r="E423" s="57"/>
      <c r="F423" s="56"/>
      <c r="G423" s="56"/>
      <c r="H423" s="56"/>
      <c r="I423" s="62"/>
      <c r="J423" s="62"/>
      <c r="K423" s="62"/>
      <c r="L423" s="62"/>
      <c r="M423" s="60"/>
      <c r="N423" s="60"/>
      <c r="O423" s="3"/>
      <c r="P423" s="3"/>
      <c r="Q423" s="3"/>
      <c r="R423" s="3"/>
    </row>
    <row r="424">
      <c r="A424" s="164"/>
      <c r="B424" s="164"/>
      <c r="C424" s="165"/>
      <c r="D424" s="56"/>
      <c r="E424" s="57"/>
      <c r="F424" s="56"/>
      <c r="G424" s="56"/>
      <c r="H424" s="56"/>
      <c r="I424" s="62"/>
      <c r="J424" s="62"/>
      <c r="K424" s="62"/>
      <c r="L424" s="62"/>
      <c r="M424" s="60"/>
      <c r="N424" s="60"/>
      <c r="O424" s="3"/>
      <c r="P424" s="3"/>
      <c r="Q424" s="3"/>
      <c r="R424" s="3"/>
    </row>
    <row r="425">
      <c r="A425" s="164"/>
      <c r="B425" s="164"/>
      <c r="C425" s="165"/>
      <c r="D425" s="56"/>
      <c r="E425" s="57"/>
      <c r="F425" s="56"/>
      <c r="G425" s="56"/>
      <c r="H425" s="56"/>
      <c r="I425" s="62"/>
      <c r="J425" s="62"/>
      <c r="K425" s="62"/>
      <c r="L425" s="62"/>
      <c r="M425" s="60"/>
      <c r="N425" s="60"/>
      <c r="O425" s="3"/>
      <c r="P425" s="3"/>
      <c r="Q425" s="3"/>
      <c r="R425" s="3"/>
    </row>
    <row r="426">
      <c r="A426" s="164"/>
      <c r="B426" s="164"/>
      <c r="C426" s="165"/>
      <c r="D426" s="56"/>
      <c r="E426" s="57"/>
      <c r="F426" s="56"/>
      <c r="G426" s="56"/>
      <c r="H426" s="56"/>
      <c r="I426" s="62"/>
      <c r="J426" s="62"/>
      <c r="K426" s="62"/>
      <c r="L426" s="62"/>
      <c r="M426" s="60"/>
      <c r="N426" s="60"/>
      <c r="O426" s="3"/>
      <c r="P426" s="3"/>
      <c r="Q426" s="3"/>
      <c r="R426" s="3"/>
    </row>
    <row r="427">
      <c r="A427" s="164"/>
      <c r="B427" s="164"/>
      <c r="C427" s="165"/>
      <c r="D427" s="56"/>
      <c r="E427" s="57"/>
      <c r="F427" s="56"/>
      <c r="G427" s="56"/>
      <c r="H427" s="56"/>
      <c r="I427" s="62"/>
      <c r="J427" s="62"/>
      <c r="K427" s="62"/>
      <c r="L427" s="62"/>
      <c r="M427" s="60"/>
      <c r="N427" s="60"/>
      <c r="O427" s="3"/>
      <c r="P427" s="3"/>
      <c r="Q427" s="3"/>
      <c r="R427" s="3"/>
    </row>
    <row r="428">
      <c r="A428" s="164"/>
      <c r="B428" s="164"/>
      <c r="C428" s="165"/>
      <c r="D428" s="56"/>
      <c r="E428" s="57"/>
      <c r="F428" s="56"/>
      <c r="G428" s="56"/>
      <c r="H428" s="56"/>
      <c r="I428" s="62"/>
      <c r="J428" s="62"/>
      <c r="K428" s="62"/>
      <c r="L428" s="62"/>
      <c r="M428" s="60"/>
      <c r="N428" s="60"/>
      <c r="O428" s="3"/>
      <c r="P428" s="3"/>
      <c r="Q428" s="3"/>
      <c r="R428" s="3"/>
    </row>
    <row r="429">
      <c r="A429" s="164"/>
      <c r="B429" s="164"/>
      <c r="C429" s="165"/>
      <c r="D429" s="56"/>
      <c r="E429" s="57"/>
      <c r="F429" s="56"/>
      <c r="G429" s="56"/>
      <c r="H429" s="56"/>
      <c r="I429" s="62"/>
      <c r="J429" s="62"/>
      <c r="K429" s="62"/>
      <c r="L429" s="62"/>
      <c r="M429" s="60"/>
      <c r="N429" s="60"/>
      <c r="O429" s="3"/>
      <c r="P429" s="3"/>
      <c r="Q429" s="3"/>
      <c r="R429" s="3"/>
    </row>
    <row r="430">
      <c r="A430" s="164"/>
      <c r="B430" s="164"/>
      <c r="C430" s="165"/>
      <c r="D430" s="56"/>
      <c r="E430" s="57"/>
      <c r="F430" s="56"/>
      <c r="G430" s="56"/>
      <c r="H430" s="56"/>
      <c r="I430" s="62"/>
      <c r="J430" s="62"/>
      <c r="K430" s="62"/>
      <c r="L430" s="62"/>
      <c r="M430" s="60"/>
      <c r="N430" s="60"/>
      <c r="O430" s="3"/>
      <c r="P430" s="3"/>
      <c r="Q430" s="3"/>
      <c r="R430" s="3"/>
    </row>
    <row r="431">
      <c r="A431" s="164"/>
      <c r="B431" s="164"/>
      <c r="C431" s="165"/>
      <c r="D431" s="56"/>
      <c r="E431" s="57"/>
      <c r="F431" s="56"/>
      <c r="G431" s="56"/>
      <c r="H431" s="56"/>
      <c r="I431" s="62"/>
      <c r="J431" s="62"/>
      <c r="K431" s="62"/>
      <c r="L431" s="62"/>
      <c r="M431" s="60"/>
      <c r="N431" s="60"/>
      <c r="O431" s="3"/>
      <c r="P431" s="3"/>
      <c r="Q431" s="3"/>
      <c r="R431" s="3"/>
    </row>
    <row r="432">
      <c r="A432" s="164"/>
      <c r="B432" s="164"/>
      <c r="C432" s="165"/>
      <c r="D432" s="56"/>
      <c r="E432" s="57"/>
      <c r="F432" s="56"/>
      <c r="G432" s="56"/>
      <c r="H432" s="56"/>
      <c r="I432" s="62"/>
      <c r="J432" s="62"/>
      <c r="K432" s="62"/>
      <c r="L432" s="62"/>
      <c r="M432" s="60"/>
      <c r="N432" s="60"/>
      <c r="O432" s="3"/>
      <c r="P432" s="3"/>
      <c r="Q432" s="3"/>
      <c r="R432" s="3"/>
    </row>
    <row r="433">
      <c r="A433" s="164"/>
      <c r="B433" s="164"/>
      <c r="C433" s="165"/>
      <c r="D433" s="56"/>
      <c r="E433" s="57"/>
      <c r="F433" s="56"/>
      <c r="G433" s="56"/>
      <c r="H433" s="56"/>
      <c r="I433" s="62"/>
      <c r="J433" s="62"/>
      <c r="K433" s="62"/>
      <c r="L433" s="62"/>
      <c r="M433" s="60"/>
      <c r="N433" s="60"/>
      <c r="O433" s="3"/>
      <c r="P433" s="3"/>
      <c r="Q433" s="3"/>
      <c r="R433" s="3"/>
    </row>
    <row r="434">
      <c r="A434" s="164"/>
      <c r="B434" s="164"/>
      <c r="C434" s="165"/>
      <c r="D434" s="56"/>
      <c r="E434" s="57"/>
      <c r="F434" s="56"/>
      <c r="G434" s="56"/>
      <c r="H434" s="56"/>
      <c r="I434" s="62"/>
      <c r="J434" s="62"/>
      <c r="K434" s="62"/>
      <c r="L434" s="62"/>
      <c r="M434" s="60"/>
      <c r="N434" s="60"/>
      <c r="O434" s="3"/>
      <c r="P434" s="3"/>
      <c r="Q434" s="3"/>
      <c r="R434" s="3"/>
    </row>
    <row r="435">
      <c r="A435" s="164"/>
      <c r="B435" s="164"/>
      <c r="C435" s="165"/>
      <c r="D435" s="56"/>
      <c r="E435" s="57"/>
      <c r="F435" s="56"/>
      <c r="G435" s="56"/>
      <c r="H435" s="56"/>
      <c r="I435" s="62"/>
      <c r="J435" s="62"/>
      <c r="K435" s="62"/>
      <c r="L435" s="62"/>
      <c r="M435" s="60"/>
      <c r="N435" s="60"/>
      <c r="O435" s="3"/>
      <c r="P435" s="3"/>
      <c r="Q435" s="3"/>
      <c r="R435" s="3"/>
    </row>
    <row r="436">
      <c r="A436" s="164"/>
      <c r="B436" s="164"/>
      <c r="C436" s="165"/>
      <c r="D436" s="56"/>
      <c r="E436" s="57"/>
      <c r="F436" s="56"/>
      <c r="G436" s="56"/>
      <c r="H436" s="56"/>
      <c r="I436" s="62"/>
      <c r="J436" s="62"/>
      <c r="K436" s="62"/>
      <c r="L436" s="62"/>
      <c r="M436" s="60"/>
      <c r="N436" s="60"/>
      <c r="O436" s="3"/>
      <c r="P436" s="3"/>
      <c r="Q436" s="3"/>
      <c r="R436" s="3"/>
    </row>
    <row r="437">
      <c r="A437" s="164"/>
      <c r="B437" s="164"/>
      <c r="C437" s="165"/>
      <c r="D437" s="56"/>
      <c r="E437" s="57"/>
      <c r="F437" s="56"/>
      <c r="G437" s="56"/>
      <c r="H437" s="56"/>
      <c r="I437" s="62"/>
      <c r="J437" s="62"/>
      <c r="K437" s="62"/>
      <c r="L437" s="62"/>
      <c r="M437" s="60"/>
      <c r="N437" s="60"/>
      <c r="O437" s="3"/>
      <c r="P437" s="3"/>
      <c r="Q437" s="3"/>
      <c r="R437" s="3"/>
    </row>
    <row r="438">
      <c r="A438" s="164"/>
      <c r="B438" s="164"/>
      <c r="C438" s="165"/>
      <c r="D438" s="56"/>
      <c r="E438" s="57"/>
      <c r="F438" s="56"/>
      <c r="G438" s="56"/>
      <c r="H438" s="56"/>
      <c r="I438" s="62"/>
      <c r="J438" s="62"/>
      <c r="K438" s="62"/>
      <c r="L438" s="62"/>
      <c r="M438" s="60"/>
      <c r="N438" s="60"/>
      <c r="O438" s="3"/>
      <c r="P438" s="3"/>
      <c r="Q438" s="3"/>
      <c r="R438" s="3"/>
    </row>
    <row r="439">
      <c r="A439" s="164"/>
      <c r="B439" s="164"/>
      <c r="C439" s="165"/>
      <c r="D439" s="56"/>
      <c r="E439" s="57"/>
      <c r="F439" s="56"/>
      <c r="G439" s="56"/>
      <c r="H439" s="56"/>
      <c r="I439" s="62"/>
      <c r="J439" s="62"/>
      <c r="K439" s="62"/>
      <c r="L439" s="62"/>
      <c r="M439" s="60"/>
      <c r="N439" s="60"/>
      <c r="O439" s="3"/>
      <c r="P439" s="3"/>
      <c r="Q439" s="3"/>
      <c r="R439" s="3"/>
    </row>
    <row r="440">
      <c r="A440" s="164"/>
      <c r="B440" s="164"/>
      <c r="C440" s="165"/>
      <c r="D440" s="56"/>
      <c r="E440" s="57"/>
      <c r="F440" s="56"/>
      <c r="G440" s="56"/>
      <c r="H440" s="56"/>
      <c r="I440" s="62"/>
      <c r="J440" s="62"/>
      <c r="K440" s="62"/>
      <c r="L440" s="62"/>
      <c r="M440" s="60"/>
      <c r="N440" s="60"/>
      <c r="O440" s="3"/>
      <c r="P440" s="3"/>
      <c r="Q440" s="3"/>
      <c r="R440" s="3"/>
    </row>
    <row r="441">
      <c r="A441" s="164"/>
      <c r="B441" s="164"/>
      <c r="C441" s="165"/>
      <c r="D441" s="56"/>
      <c r="E441" s="57"/>
      <c r="F441" s="56"/>
      <c r="G441" s="56"/>
      <c r="H441" s="56"/>
      <c r="I441" s="62"/>
      <c r="J441" s="62"/>
      <c r="K441" s="62"/>
      <c r="L441" s="62"/>
      <c r="M441" s="60"/>
      <c r="N441" s="60"/>
      <c r="O441" s="3"/>
      <c r="P441" s="3"/>
      <c r="Q441" s="3"/>
      <c r="R441" s="3"/>
    </row>
    <row r="442">
      <c r="A442" s="164"/>
      <c r="B442" s="164"/>
      <c r="C442" s="165"/>
      <c r="D442" s="56"/>
      <c r="E442" s="57"/>
      <c r="F442" s="56"/>
      <c r="G442" s="56"/>
      <c r="H442" s="56"/>
      <c r="I442" s="62"/>
      <c r="J442" s="62"/>
      <c r="K442" s="62"/>
      <c r="L442" s="62"/>
      <c r="M442" s="60"/>
      <c r="N442" s="60"/>
      <c r="O442" s="3"/>
      <c r="P442" s="3"/>
      <c r="Q442" s="3"/>
      <c r="R442" s="3"/>
    </row>
    <row r="443">
      <c r="A443" s="164"/>
      <c r="B443" s="164"/>
      <c r="C443" s="165"/>
      <c r="D443" s="56"/>
      <c r="E443" s="57"/>
      <c r="F443" s="56"/>
      <c r="G443" s="56"/>
      <c r="H443" s="56"/>
      <c r="I443" s="62"/>
      <c r="J443" s="62"/>
      <c r="K443" s="62"/>
      <c r="L443" s="62"/>
      <c r="M443" s="60"/>
      <c r="N443" s="60"/>
      <c r="O443" s="3"/>
      <c r="P443" s="3"/>
      <c r="Q443" s="3"/>
      <c r="R443" s="3"/>
    </row>
    <row r="444">
      <c r="A444" s="164"/>
      <c r="B444" s="164"/>
      <c r="C444" s="165"/>
      <c r="D444" s="56"/>
      <c r="E444" s="57"/>
      <c r="F444" s="56"/>
      <c r="G444" s="56"/>
      <c r="H444" s="56"/>
      <c r="I444" s="62"/>
      <c r="J444" s="62"/>
      <c r="K444" s="62"/>
      <c r="L444" s="62"/>
      <c r="M444" s="60"/>
      <c r="N444" s="60"/>
      <c r="O444" s="3"/>
      <c r="P444" s="3"/>
      <c r="Q444" s="3"/>
      <c r="R444" s="3"/>
    </row>
    <row r="445">
      <c r="A445" s="164"/>
      <c r="B445" s="164"/>
      <c r="C445" s="165"/>
      <c r="D445" s="56"/>
      <c r="E445" s="57"/>
      <c r="F445" s="56"/>
      <c r="G445" s="56"/>
      <c r="H445" s="56"/>
      <c r="I445" s="62"/>
      <c r="J445" s="62"/>
      <c r="K445" s="62"/>
      <c r="L445" s="62"/>
      <c r="M445" s="60"/>
      <c r="N445" s="60"/>
      <c r="O445" s="3"/>
      <c r="P445" s="3"/>
      <c r="Q445" s="3"/>
      <c r="R445" s="3"/>
    </row>
    <row r="446">
      <c r="A446" s="164"/>
      <c r="B446" s="164"/>
      <c r="C446" s="165"/>
      <c r="D446" s="56"/>
      <c r="E446" s="57"/>
      <c r="F446" s="56"/>
      <c r="G446" s="56"/>
      <c r="H446" s="56"/>
      <c r="I446" s="62"/>
      <c r="J446" s="62"/>
      <c r="K446" s="62"/>
      <c r="L446" s="62"/>
      <c r="M446" s="60"/>
      <c r="N446" s="60"/>
      <c r="O446" s="3"/>
      <c r="P446" s="3"/>
      <c r="Q446" s="3"/>
      <c r="R446" s="3"/>
    </row>
    <row r="447">
      <c r="A447" s="164"/>
      <c r="B447" s="164"/>
      <c r="C447" s="165"/>
      <c r="D447" s="56"/>
      <c r="E447" s="57"/>
      <c r="F447" s="56"/>
      <c r="G447" s="56"/>
      <c r="H447" s="56"/>
      <c r="I447" s="62"/>
      <c r="J447" s="62"/>
      <c r="K447" s="62"/>
      <c r="L447" s="62"/>
      <c r="M447" s="60"/>
      <c r="N447" s="60"/>
      <c r="O447" s="3"/>
      <c r="P447" s="3"/>
      <c r="Q447" s="3"/>
      <c r="R447" s="3"/>
    </row>
    <row r="448">
      <c r="A448" s="164"/>
      <c r="B448" s="164"/>
      <c r="C448" s="165"/>
      <c r="D448" s="56"/>
      <c r="E448" s="57"/>
      <c r="F448" s="56"/>
      <c r="G448" s="56"/>
      <c r="H448" s="56"/>
      <c r="I448" s="62"/>
      <c r="J448" s="62"/>
      <c r="K448" s="62"/>
      <c r="L448" s="62"/>
      <c r="M448" s="60"/>
      <c r="N448" s="60"/>
      <c r="O448" s="3"/>
      <c r="P448" s="3"/>
      <c r="Q448" s="3"/>
      <c r="R448" s="3"/>
    </row>
    <row r="449">
      <c r="A449" s="164"/>
      <c r="B449" s="164"/>
      <c r="C449" s="165"/>
      <c r="D449" s="56"/>
      <c r="E449" s="57"/>
      <c r="F449" s="56"/>
      <c r="G449" s="56"/>
      <c r="H449" s="56"/>
      <c r="I449" s="62"/>
      <c r="J449" s="62"/>
      <c r="K449" s="62"/>
      <c r="L449" s="62"/>
      <c r="M449" s="60"/>
      <c r="N449" s="60"/>
      <c r="O449" s="3"/>
      <c r="P449" s="3"/>
      <c r="Q449" s="3"/>
      <c r="R449" s="3"/>
    </row>
    <row r="450">
      <c r="A450" s="164"/>
      <c r="B450" s="164"/>
      <c r="C450" s="165"/>
      <c r="D450" s="56"/>
      <c r="E450" s="57"/>
      <c r="F450" s="56"/>
      <c r="G450" s="56"/>
      <c r="H450" s="56"/>
      <c r="I450" s="62"/>
      <c r="J450" s="62"/>
      <c r="K450" s="62"/>
      <c r="L450" s="62"/>
      <c r="M450" s="60"/>
      <c r="N450" s="60"/>
      <c r="O450" s="3"/>
      <c r="P450" s="3"/>
      <c r="Q450" s="3"/>
      <c r="R450" s="3"/>
    </row>
    <row r="451">
      <c r="A451" s="164"/>
      <c r="B451" s="164"/>
      <c r="C451" s="165"/>
      <c r="D451" s="56"/>
      <c r="E451" s="57"/>
      <c r="F451" s="56"/>
      <c r="G451" s="56"/>
      <c r="H451" s="56"/>
      <c r="I451" s="62"/>
      <c r="J451" s="62"/>
      <c r="K451" s="62"/>
      <c r="L451" s="62"/>
      <c r="M451" s="60"/>
      <c r="N451" s="60"/>
      <c r="O451" s="3"/>
      <c r="P451" s="3"/>
      <c r="Q451" s="3"/>
      <c r="R451" s="3"/>
    </row>
    <row r="452">
      <c r="A452" s="164"/>
      <c r="B452" s="164"/>
      <c r="C452" s="165"/>
      <c r="D452" s="56"/>
      <c r="E452" s="57"/>
      <c r="F452" s="56"/>
      <c r="G452" s="56"/>
      <c r="H452" s="56"/>
      <c r="I452" s="62"/>
      <c r="J452" s="62"/>
      <c r="K452" s="62"/>
      <c r="L452" s="62"/>
      <c r="M452" s="60"/>
      <c r="N452" s="60"/>
      <c r="O452" s="3"/>
      <c r="P452" s="3"/>
      <c r="Q452" s="3"/>
      <c r="R452" s="3"/>
    </row>
    <row r="453">
      <c r="A453" s="164"/>
      <c r="B453" s="164"/>
      <c r="C453" s="165"/>
      <c r="D453" s="56"/>
      <c r="E453" s="57"/>
      <c r="F453" s="56"/>
      <c r="G453" s="56"/>
      <c r="H453" s="56"/>
      <c r="I453" s="62"/>
      <c r="J453" s="62"/>
      <c r="K453" s="62"/>
      <c r="L453" s="62"/>
      <c r="M453" s="60"/>
      <c r="N453" s="60"/>
      <c r="O453" s="3"/>
      <c r="P453" s="3"/>
      <c r="Q453" s="3"/>
      <c r="R453" s="3"/>
    </row>
    <row r="454">
      <c r="A454" s="164"/>
      <c r="B454" s="164"/>
      <c r="C454" s="165"/>
      <c r="D454" s="56"/>
      <c r="E454" s="57"/>
      <c r="F454" s="56"/>
      <c r="G454" s="56"/>
      <c r="H454" s="56"/>
      <c r="I454" s="62"/>
      <c r="J454" s="62"/>
      <c r="K454" s="62"/>
      <c r="L454" s="62"/>
      <c r="M454" s="60"/>
      <c r="N454" s="60"/>
      <c r="O454" s="3"/>
      <c r="P454" s="3"/>
      <c r="Q454" s="3"/>
      <c r="R454" s="3"/>
    </row>
    <row r="455">
      <c r="A455" s="164"/>
      <c r="B455" s="164"/>
      <c r="C455" s="165"/>
      <c r="D455" s="56"/>
      <c r="E455" s="57"/>
      <c r="F455" s="56"/>
      <c r="G455" s="56"/>
      <c r="H455" s="56"/>
      <c r="I455" s="62"/>
      <c r="J455" s="62"/>
      <c r="K455" s="62"/>
      <c r="L455" s="62"/>
      <c r="M455" s="60"/>
      <c r="N455" s="60"/>
      <c r="O455" s="3"/>
      <c r="P455" s="3"/>
      <c r="Q455" s="3"/>
      <c r="R455" s="3"/>
    </row>
    <row r="456">
      <c r="A456" s="164"/>
      <c r="B456" s="164"/>
      <c r="C456" s="165"/>
      <c r="D456" s="56"/>
      <c r="E456" s="57"/>
      <c r="F456" s="56"/>
      <c r="G456" s="56"/>
      <c r="H456" s="56"/>
      <c r="I456" s="62"/>
      <c r="J456" s="62"/>
      <c r="K456" s="62"/>
      <c r="L456" s="62"/>
      <c r="M456" s="60"/>
      <c r="N456" s="60"/>
      <c r="O456" s="3"/>
      <c r="P456" s="3"/>
      <c r="Q456" s="3"/>
      <c r="R456" s="3"/>
    </row>
    <row r="457">
      <c r="A457" s="164"/>
      <c r="B457" s="164"/>
      <c r="C457" s="165"/>
      <c r="D457" s="56"/>
      <c r="E457" s="57"/>
      <c r="F457" s="56"/>
      <c r="G457" s="56"/>
      <c r="H457" s="56"/>
      <c r="I457" s="62"/>
      <c r="J457" s="62"/>
      <c r="K457" s="62"/>
      <c r="L457" s="62"/>
      <c r="M457" s="60"/>
      <c r="N457" s="60"/>
      <c r="O457" s="3"/>
      <c r="P457" s="3"/>
      <c r="Q457" s="3"/>
      <c r="R457" s="3"/>
    </row>
    <row r="458">
      <c r="A458" s="164"/>
      <c r="B458" s="164"/>
      <c r="C458" s="165"/>
      <c r="D458" s="56"/>
      <c r="E458" s="57"/>
      <c r="F458" s="56"/>
      <c r="G458" s="56"/>
      <c r="H458" s="56"/>
      <c r="I458" s="62"/>
      <c r="J458" s="62"/>
      <c r="K458" s="62"/>
      <c r="L458" s="62"/>
      <c r="M458" s="60"/>
      <c r="N458" s="60"/>
      <c r="O458" s="3"/>
      <c r="P458" s="3"/>
      <c r="Q458" s="3"/>
      <c r="R458" s="3"/>
    </row>
    <row r="459">
      <c r="A459" s="164"/>
      <c r="B459" s="164"/>
      <c r="C459" s="165"/>
      <c r="D459" s="56"/>
      <c r="E459" s="57"/>
      <c r="F459" s="56"/>
      <c r="G459" s="56"/>
      <c r="H459" s="56"/>
      <c r="I459" s="62"/>
      <c r="J459" s="62"/>
      <c r="K459" s="62"/>
      <c r="L459" s="62"/>
      <c r="M459" s="60"/>
      <c r="N459" s="60"/>
      <c r="O459" s="3"/>
      <c r="P459" s="3"/>
      <c r="Q459" s="3"/>
      <c r="R459" s="3"/>
    </row>
    <row r="460">
      <c r="A460" s="164"/>
      <c r="B460" s="164"/>
      <c r="C460" s="165"/>
      <c r="D460" s="56"/>
      <c r="E460" s="57"/>
      <c r="F460" s="56"/>
      <c r="G460" s="56"/>
      <c r="H460" s="56"/>
      <c r="I460" s="62"/>
      <c r="J460" s="62"/>
      <c r="K460" s="62"/>
      <c r="L460" s="62"/>
      <c r="M460" s="60"/>
      <c r="N460" s="60"/>
      <c r="O460" s="3"/>
      <c r="P460" s="3"/>
      <c r="Q460" s="3"/>
      <c r="R460" s="3"/>
    </row>
    <row r="461">
      <c r="A461" s="164"/>
      <c r="B461" s="164"/>
      <c r="C461" s="165"/>
      <c r="D461" s="56"/>
      <c r="E461" s="57"/>
      <c r="F461" s="56"/>
      <c r="G461" s="56"/>
      <c r="H461" s="56"/>
      <c r="I461" s="62"/>
      <c r="J461" s="62"/>
      <c r="K461" s="62"/>
      <c r="L461" s="62"/>
      <c r="M461" s="60"/>
      <c r="N461" s="60"/>
      <c r="O461" s="3"/>
      <c r="P461" s="3"/>
      <c r="Q461" s="3"/>
      <c r="R461" s="3"/>
    </row>
    <row r="462">
      <c r="A462" s="164"/>
      <c r="B462" s="164"/>
      <c r="C462" s="165"/>
      <c r="D462" s="56"/>
      <c r="E462" s="57"/>
      <c r="F462" s="56"/>
      <c r="G462" s="56"/>
      <c r="H462" s="56"/>
      <c r="I462" s="62"/>
      <c r="J462" s="62"/>
      <c r="K462" s="62"/>
      <c r="L462" s="62"/>
      <c r="M462" s="60"/>
      <c r="N462" s="60"/>
      <c r="O462" s="3"/>
      <c r="P462" s="3"/>
      <c r="Q462" s="3"/>
      <c r="R462" s="3"/>
    </row>
    <row r="463">
      <c r="A463" s="164"/>
      <c r="B463" s="164"/>
      <c r="C463" s="165"/>
      <c r="D463" s="56"/>
      <c r="E463" s="57"/>
      <c r="F463" s="56"/>
      <c r="G463" s="56"/>
      <c r="H463" s="56"/>
      <c r="I463" s="62"/>
      <c r="J463" s="62"/>
      <c r="K463" s="62"/>
      <c r="L463" s="62"/>
      <c r="M463" s="60"/>
      <c r="N463" s="60"/>
      <c r="O463" s="3"/>
      <c r="P463" s="3"/>
      <c r="Q463" s="3"/>
      <c r="R463" s="3"/>
    </row>
    <row r="464">
      <c r="A464" s="164"/>
      <c r="B464" s="164"/>
      <c r="C464" s="165"/>
      <c r="D464" s="56"/>
      <c r="E464" s="57"/>
      <c r="F464" s="56"/>
      <c r="G464" s="56"/>
      <c r="H464" s="56"/>
      <c r="I464" s="62"/>
      <c r="J464" s="62"/>
      <c r="K464" s="62"/>
      <c r="L464" s="62"/>
      <c r="M464" s="60"/>
      <c r="N464" s="60"/>
      <c r="O464" s="3"/>
      <c r="P464" s="3"/>
      <c r="Q464" s="3"/>
      <c r="R464" s="3"/>
    </row>
    <row r="465">
      <c r="A465" s="164"/>
      <c r="B465" s="164"/>
      <c r="C465" s="165"/>
      <c r="D465" s="56"/>
      <c r="E465" s="57"/>
      <c r="F465" s="56"/>
      <c r="G465" s="56"/>
      <c r="H465" s="56"/>
      <c r="I465" s="62"/>
      <c r="J465" s="62"/>
      <c r="K465" s="62"/>
      <c r="L465" s="62"/>
      <c r="M465" s="60"/>
      <c r="N465" s="60"/>
      <c r="O465" s="3"/>
      <c r="P465" s="3"/>
      <c r="Q465" s="3"/>
      <c r="R465" s="3"/>
    </row>
    <row r="466">
      <c r="A466" s="164"/>
      <c r="B466" s="164"/>
      <c r="C466" s="165"/>
      <c r="D466" s="56"/>
      <c r="E466" s="57"/>
      <c r="F466" s="56"/>
      <c r="G466" s="56"/>
      <c r="H466" s="56"/>
      <c r="I466" s="62"/>
      <c r="J466" s="62"/>
      <c r="K466" s="62"/>
      <c r="L466" s="62"/>
      <c r="M466" s="60"/>
      <c r="N466" s="60"/>
      <c r="O466" s="3"/>
      <c r="P466" s="3"/>
      <c r="Q466" s="3"/>
      <c r="R466" s="3"/>
    </row>
    <row r="467">
      <c r="A467" s="164"/>
      <c r="B467" s="164"/>
      <c r="C467" s="165"/>
      <c r="D467" s="56"/>
      <c r="E467" s="57"/>
      <c r="F467" s="56"/>
      <c r="G467" s="56"/>
      <c r="H467" s="56"/>
      <c r="I467" s="62"/>
      <c r="J467" s="62"/>
      <c r="K467" s="62"/>
      <c r="L467" s="62"/>
      <c r="M467" s="60"/>
      <c r="N467" s="60"/>
      <c r="O467" s="3"/>
      <c r="P467" s="3"/>
      <c r="Q467" s="3"/>
      <c r="R467" s="3"/>
    </row>
    <row r="468">
      <c r="A468" s="164"/>
      <c r="B468" s="164"/>
      <c r="C468" s="165"/>
      <c r="D468" s="56"/>
      <c r="E468" s="57"/>
      <c r="F468" s="56"/>
      <c r="G468" s="56"/>
      <c r="H468" s="56"/>
      <c r="I468" s="62"/>
      <c r="J468" s="62"/>
      <c r="K468" s="62"/>
      <c r="L468" s="62"/>
      <c r="M468" s="60"/>
      <c r="N468" s="60"/>
      <c r="O468" s="3"/>
      <c r="P468" s="3"/>
      <c r="Q468" s="3"/>
      <c r="R468" s="3"/>
    </row>
    <row r="469">
      <c r="A469" s="164"/>
      <c r="B469" s="164"/>
      <c r="C469" s="165"/>
      <c r="D469" s="56"/>
      <c r="E469" s="57"/>
      <c r="F469" s="56"/>
      <c r="G469" s="56"/>
      <c r="H469" s="56"/>
      <c r="I469" s="62"/>
      <c r="J469" s="62"/>
      <c r="K469" s="62"/>
      <c r="L469" s="62"/>
      <c r="M469" s="60"/>
      <c r="N469" s="60"/>
      <c r="O469" s="3"/>
      <c r="P469" s="3"/>
      <c r="Q469" s="3"/>
      <c r="R469" s="3"/>
    </row>
    <row r="470">
      <c r="A470" s="164"/>
      <c r="B470" s="164"/>
      <c r="C470" s="165"/>
      <c r="D470" s="56"/>
      <c r="E470" s="57"/>
      <c r="F470" s="56"/>
      <c r="G470" s="56"/>
      <c r="H470" s="56"/>
      <c r="I470" s="62"/>
      <c r="J470" s="62"/>
      <c r="K470" s="62"/>
      <c r="L470" s="62"/>
      <c r="M470" s="60"/>
      <c r="N470" s="60"/>
      <c r="O470" s="3"/>
      <c r="P470" s="3"/>
      <c r="Q470" s="3"/>
      <c r="R470" s="3"/>
    </row>
    <row r="471">
      <c r="A471" s="164"/>
      <c r="B471" s="164"/>
      <c r="C471" s="165"/>
      <c r="D471" s="56"/>
      <c r="E471" s="57"/>
      <c r="F471" s="56"/>
      <c r="G471" s="56"/>
      <c r="H471" s="56"/>
      <c r="I471" s="62"/>
      <c r="J471" s="62"/>
      <c r="K471" s="62"/>
      <c r="L471" s="62"/>
      <c r="M471" s="60"/>
      <c r="N471" s="60"/>
      <c r="O471" s="3"/>
      <c r="P471" s="3"/>
      <c r="Q471" s="3"/>
      <c r="R471" s="3"/>
    </row>
    <row r="472">
      <c r="A472" s="164"/>
      <c r="B472" s="164"/>
      <c r="C472" s="165"/>
      <c r="D472" s="56"/>
      <c r="E472" s="57"/>
      <c r="F472" s="56"/>
      <c r="G472" s="56"/>
      <c r="H472" s="56"/>
      <c r="I472" s="62"/>
      <c r="J472" s="62"/>
      <c r="K472" s="62"/>
      <c r="L472" s="62"/>
      <c r="M472" s="60"/>
      <c r="N472" s="60"/>
      <c r="O472" s="3"/>
      <c r="P472" s="3"/>
      <c r="Q472" s="3"/>
      <c r="R472" s="3"/>
    </row>
    <row r="473">
      <c r="A473" s="164"/>
      <c r="B473" s="164"/>
      <c r="C473" s="165"/>
      <c r="D473" s="56"/>
      <c r="E473" s="57"/>
      <c r="F473" s="56"/>
      <c r="G473" s="56"/>
      <c r="H473" s="56"/>
      <c r="I473" s="62"/>
      <c r="J473" s="62"/>
      <c r="K473" s="62"/>
      <c r="L473" s="62"/>
      <c r="M473" s="60"/>
      <c r="N473" s="60"/>
      <c r="O473" s="3"/>
      <c r="P473" s="3"/>
      <c r="Q473" s="3"/>
      <c r="R473" s="3"/>
    </row>
    <row r="474">
      <c r="A474" s="164"/>
      <c r="B474" s="164"/>
      <c r="C474" s="165"/>
      <c r="D474" s="56"/>
      <c r="E474" s="57"/>
      <c r="F474" s="56"/>
      <c r="G474" s="56"/>
      <c r="H474" s="56"/>
      <c r="I474" s="62"/>
      <c r="J474" s="62"/>
      <c r="K474" s="62"/>
      <c r="L474" s="62"/>
      <c r="M474" s="60"/>
      <c r="N474" s="60"/>
      <c r="O474" s="3"/>
      <c r="P474" s="3"/>
      <c r="Q474" s="3"/>
      <c r="R474" s="3"/>
    </row>
    <row r="475">
      <c r="A475" s="164"/>
      <c r="B475" s="164"/>
      <c r="C475" s="165"/>
      <c r="D475" s="56"/>
      <c r="E475" s="57"/>
      <c r="F475" s="56"/>
      <c r="G475" s="56"/>
      <c r="H475" s="56"/>
      <c r="I475" s="62"/>
      <c r="J475" s="62"/>
      <c r="K475" s="62"/>
      <c r="L475" s="62"/>
      <c r="M475" s="60"/>
      <c r="N475" s="60"/>
      <c r="O475" s="3"/>
      <c r="P475" s="3"/>
      <c r="Q475" s="3"/>
      <c r="R475" s="3"/>
    </row>
    <row r="476">
      <c r="A476" s="164"/>
      <c r="B476" s="164"/>
      <c r="C476" s="165"/>
      <c r="D476" s="56"/>
      <c r="E476" s="57"/>
      <c r="F476" s="56"/>
      <c r="G476" s="56"/>
      <c r="H476" s="56"/>
      <c r="I476" s="62"/>
      <c r="J476" s="62"/>
      <c r="K476" s="62"/>
      <c r="L476" s="62"/>
      <c r="M476" s="60"/>
      <c r="N476" s="60"/>
      <c r="O476" s="3"/>
      <c r="P476" s="3"/>
      <c r="Q476" s="3"/>
      <c r="R476" s="3"/>
    </row>
    <row r="477">
      <c r="A477" s="164"/>
      <c r="B477" s="164"/>
      <c r="C477" s="165"/>
      <c r="D477" s="56"/>
      <c r="E477" s="57"/>
      <c r="F477" s="56"/>
      <c r="G477" s="56"/>
      <c r="H477" s="56"/>
      <c r="I477" s="62"/>
      <c r="J477" s="62"/>
      <c r="K477" s="62"/>
      <c r="L477" s="62"/>
      <c r="M477" s="60"/>
      <c r="N477" s="60"/>
      <c r="O477" s="3"/>
      <c r="P477" s="3"/>
      <c r="Q477" s="3"/>
      <c r="R477" s="3"/>
    </row>
    <row r="478">
      <c r="A478" s="164"/>
      <c r="B478" s="164"/>
      <c r="C478" s="165"/>
      <c r="D478" s="56"/>
      <c r="E478" s="57"/>
      <c r="F478" s="56"/>
      <c r="G478" s="56"/>
      <c r="H478" s="56"/>
      <c r="I478" s="62"/>
      <c r="J478" s="62"/>
      <c r="K478" s="62"/>
      <c r="L478" s="62"/>
      <c r="M478" s="60"/>
      <c r="N478" s="60"/>
      <c r="O478" s="3"/>
      <c r="P478" s="3"/>
      <c r="Q478" s="3"/>
      <c r="R478" s="3"/>
    </row>
    <row r="479">
      <c r="A479" s="164"/>
      <c r="B479" s="164"/>
      <c r="C479" s="165"/>
      <c r="D479" s="56"/>
      <c r="E479" s="57"/>
      <c r="F479" s="56"/>
      <c r="G479" s="56"/>
      <c r="H479" s="56"/>
      <c r="I479" s="62"/>
      <c r="J479" s="62"/>
      <c r="K479" s="62"/>
      <c r="L479" s="62"/>
      <c r="M479" s="60"/>
      <c r="N479" s="60"/>
      <c r="O479" s="3"/>
      <c r="P479" s="3"/>
      <c r="Q479" s="3"/>
      <c r="R479" s="3"/>
    </row>
    <row r="480">
      <c r="A480" s="164"/>
      <c r="B480" s="164"/>
      <c r="C480" s="165"/>
      <c r="D480" s="56"/>
      <c r="E480" s="57"/>
      <c r="F480" s="56"/>
      <c r="G480" s="56"/>
      <c r="H480" s="56"/>
      <c r="I480" s="62"/>
      <c r="J480" s="62"/>
      <c r="K480" s="62"/>
      <c r="L480" s="62"/>
      <c r="M480" s="60"/>
      <c r="N480" s="60"/>
      <c r="O480" s="3"/>
      <c r="P480" s="3"/>
      <c r="Q480" s="3"/>
      <c r="R480" s="3"/>
    </row>
    <row r="481">
      <c r="A481" s="164"/>
      <c r="B481" s="164"/>
      <c r="C481" s="165"/>
      <c r="D481" s="56"/>
      <c r="E481" s="57"/>
      <c r="F481" s="56"/>
      <c r="G481" s="56"/>
      <c r="H481" s="56"/>
      <c r="I481" s="62"/>
      <c r="J481" s="62"/>
      <c r="K481" s="62"/>
      <c r="L481" s="62"/>
      <c r="M481" s="60"/>
      <c r="N481" s="60"/>
      <c r="O481" s="3"/>
      <c r="P481" s="3"/>
      <c r="Q481" s="3"/>
      <c r="R481" s="3"/>
    </row>
    <row r="482">
      <c r="A482" s="164"/>
      <c r="B482" s="164"/>
      <c r="C482" s="165"/>
      <c r="D482" s="56"/>
      <c r="E482" s="57"/>
      <c r="F482" s="56"/>
      <c r="G482" s="56"/>
      <c r="H482" s="56"/>
      <c r="I482" s="62"/>
      <c r="J482" s="62"/>
      <c r="K482" s="62"/>
      <c r="L482" s="62"/>
      <c r="M482" s="60"/>
      <c r="N482" s="60"/>
      <c r="O482" s="3"/>
      <c r="P482" s="3"/>
      <c r="Q482" s="3"/>
      <c r="R482" s="3"/>
    </row>
    <row r="483">
      <c r="A483" s="164"/>
      <c r="B483" s="164"/>
      <c r="C483" s="165"/>
      <c r="D483" s="56"/>
      <c r="E483" s="57"/>
      <c r="F483" s="56"/>
      <c r="G483" s="56"/>
      <c r="H483" s="56"/>
      <c r="I483" s="62"/>
      <c r="J483" s="62"/>
      <c r="K483" s="62"/>
      <c r="L483" s="62"/>
      <c r="M483" s="60"/>
      <c r="N483" s="60"/>
      <c r="O483" s="3"/>
      <c r="P483" s="3"/>
      <c r="Q483" s="3"/>
      <c r="R483" s="3"/>
    </row>
    <row r="484">
      <c r="A484" s="164"/>
      <c r="B484" s="164"/>
      <c r="C484" s="165"/>
      <c r="D484" s="56"/>
      <c r="E484" s="57"/>
      <c r="F484" s="56"/>
      <c r="G484" s="56"/>
      <c r="H484" s="56"/>
      <c r="I484" s="62"/>
      <c r="J484" s="62"/>
      <c r="K484" s="62"/>
      <c r="L484" s="62"/>
      <c r="M484" s="60"/>
      <c r="N484" s="60"/>
      <c r="O484" s="3"/>
      <c r="P484" s="3"/>
      <c r="Q484" s="3"/>
      <c r="R484" s="3"/>
    </row>
    <row r="485">
      <c r="A485" s="164"/>
      <c r="B485" s="164"/>
      <c r="C485" s="165"/>
      <c r="D485" s="56"/>
      <c r="E485" s="57"/>
      <c r="F485" s="56"/>
      <c r="G485" s="56"/>
      <c r="H485" s="56"/>
      <c r="I485" s="62"/>
      <c r="J485" s="62"/>
      <c r="K485" s="62"/>
      <c r="L485" s="62"/>
      <c r="M485" s="60"/>
      <c r="N485" s="60"/>
      <c r="O485" s="3"/>
      <c r="P485" s="3"/>
      <c r="Q485" s="3"/>
      <c r="R485" s="3"/>
    </row>
    <row r="486">
      <c r="A486" s="164"/>
      <c r="B486" s="164"/>
      <c r="C486" s="165"/>
      <c r="D486" s="56"/>
      <c r="E486" s="57"/>
      <c r="F486" s="56"/>
      <c r="G486" s="56"/>
      <c r="H486" s="56"/>
      <c r="I486" s="62"/>
      <c r="J486" s="62"/>
      <c r="K486" s="62"/>
      <c r="L486" s="62"/>
      <c r="M486" s="60"/>
      <c r="N486" s="60"/>
      <c r="O486" s="3"/>
      <c r="P486" s="3"/>
      <c r="Q486" s="3"/>
      <c r="R486" s="3"/>
    </row>
    <row r="487">
      <c r="A487" s="164"/>
      <c r="B487" s="164"/>
      <c r="C487" s="165"/>
      <c r="D487" s="56"/>
      <c r="E487" s="57"/>
      <c r="F487" s="56"/>
      <c r="G487" s="56"/>
      <c r="H487" s="56"/>
      <c r="I487" s="62"/>
      <c r="J487" s="62"/>
      <c r="K487" s="62"/>
      <c r="L487" s="62"/>
      <c r="M487" s="60"/>
      <c r="N487" s="60"/>
      <c r="O487" s="3"/>
      <c r="P487" s="3"/>
      <c r="Q487" s="3"/>
      <c r="R487" s="3"/>
    </row>
    <row r="488">
      <c r="A488" s="164"/>
      <c r="B488" s="164"/>
      <c r="C488" s="165"/>
      <c r="D488" s="56"/>
      <c r="E488" s="57"/>
      <c r="F488" s="56"/>
      <c r="G488" s="56"/>
      <c r="H488" s="56"/>
      <c r="I488" s="62"/>
      <c r="J488" s="62"/>
      <c r="K488" s="62"/>
      <c r="L488" s="62"/>
      <c r="M488" s="60"/>
      <c r="N488" s="60"/>
      <c r="O488" s="3"/>
      <c r="P488" s="3"/>
      <c r="Q488" s="3"/>
      <c r="R488" s="3"/>
    </row>
    <row r="489">
      <c r="A489" s="164"/>
      <c r="B489" s="164"/>
      <c r="C489" s="165"/>
      <c r="D489" s="56"/>
      <c r="E489" s="57"/>
      <c r="F489" s="56"/>
      <c r="G489" s="56"/>
      <c r="H489" s="56"/>
      <c r="I489" s="62"/>
      <c r="J489" s="62"/>
      <c r="K489" s="62"/>
      <c r="L489" s="62"/>
      <c r="M489" s="60"/>
      <c r="N489" s="60"/>
      <c r="O489" s="3"/>
      <c r="P489" s="3"/>
      <c r="Q489" s="3"/>
      <c r="R489" s="3"/>
    </row>
    <row r="490">
      <c r="A490" s="164"/>
      <c r="B490" s="164"/>
      <c r="C490" s="165"/>
      <c r="D490" s="56"/>
      <c r="E490" s="57"/>
      <c r="F490" s="56"/>
      <c r="G490" s="56"/>
      <c r="H490" s="56"/>
      <c r="I490" s="62"/>
      <c r="J490" s="62"/>
      <c r="K490" s="62"/>
      <c r="L490" s="62"/>
      <c r="M490" s="60"/>
      <c r="N490" s="60"/>
      <c r="O490" s="3"/>
      <c r="P490" s="3"/>
      <c r="Q490" s="3"/>
      <c r="R490" s="3"/>
    </row>
    <row r="491">
      <c r="A491" s="164"/>
      <c r="B491" s="164"/>
      <c r="C491" s="165"/>
      <c r="D491" s="56"/>
      <c r="E491" s="57"/>
      <c r="F491" s="56"/>
      <c r="G491" s="56"/>
      <c r="H491" s="56"/>
      <c r="I491" s="62"/>
      <c r="J491" s="62"/>
      <c r="K491" s="62"/>
      <c r="L491" s="62"/>
      <c r="M491" s="60"/>
      <c r="N491" s="60"/>
      <c r="O491" s="3"/>
      <c r="P491" s="3"/>
      <c r="Q491" s="3"/>
      <c r="R491" s="3"/>
    </row>
    <row r="492">
      <c r="A492" s="164"/>
      <c r="B492" s="164"/>
      <c r="C492" s="165"/>
      <c r="D492" s="56"/>
      <c r="E492" s="57"/>
      <c r="F492" s="56"/>
      <c r="G492" s="56"/>
      <c r="H492" s="56"/>
      <c r="I492" s="62"/>
      <c r="J492" s="62"/>
      <c r="K492" s="62"/>
      <c r="L492" s="62"/>
      <c r="M492" s="60"/>
      <c r="N492" s="60"/>
      <c r="O492" s="3"/>
      <c r="P492" s="3"/>
      <c r="Q492" s="3"/>
      <c r="R492" s="3"/>
    </row>
    <row r="493">
      <c r="A493" s="164"/>
      <c r="B493" s="164"/>
      <c r="C493" s="165"/>
      <c r="D493" s="56"/>
      <c r="E493" s="57"/>
      <c r="F493" s="56"/>
      <c r="G493" s="56"/>
      <c r="H493" s="56"/>
      <c r="I493" s="62"/>
      <c r="J493" s="62"/>
      <c r="K493" s="62"/>
      <c r="L493" s="62"/>
      <c r="M493" s="60"/>
      <c r="N493" s="60"/>
      <c r="O493" s="3"/>
      <c r="P493" s="3"/>
      <c r="Q493" s="3"/>
      <c r="R493" s="3"/>
    </row>
    <row r="494">
      <c r="A494" s="164"/>
      <c r="B494" s="164"/>
      <c r="C494" s="165"/>
      <c r="D494" s="56"/>
      <c r="E494" s="57"/>
      <c r="F494" s="56"/>
      <c r="G494" s="56"/>
      <c r="H494" s="56"/>
      <c r="I494" s="62"/>
      <c r="J494" s="62"/>
      <c r="K494" s="62"/>
      <c r="L494" s="62"/>
      <c r="M494" s="60"/>
      <c r="N494" s="60"/>
      <c r="O494" s="3"/>
      <c r="P494" s="3"/>
      <c r="Q494" s="3"/>
      <c r="R494" s="3"/>
    </row>
    <row r="495">
      <c r="A495" s="164"/>
      <c r="B495" s="164"/>
      <c r="C495" s="165"/>
      <c r="D495" s="56"/>
      <c r="E495" s="57"/>
      <c r="F495" s="56"/>
      <c r="G495" s="56"/>
      <c r="H495" s="56"/>
      <c r="I495" s="62"/>
      <c r="J495" s="62"/>
      <c r="K495" s="62"/>
      <c r="L495" s="62"/>
      <c r="M495" s="60"/>
      <c r="N495" s="60"/>
      <c r="O495" s="3"/>
      <c r="P495" s="3"/>
      <c r="Q495" s="3"/>
      <c r="R495" s="3"/>
    </row>
    <row r="496">
      <c r="A496" s="164"/>
      <c r="B496" s="164"/>
      <c r="C496" s="165"/>
      <c r="D496" s="56"/>
      <c r="E496" s="57"/>
      <c r="F496" s="56"/>
      <c r="G496" s="56"/>
      <c r="H496" s="56"/>
      <c r="I496" s="62"/>
      <c r="J496" s="62"/>
      <c r="K496" s="62"/>
      <c r="L496" s="62"/>
      <c r="M496" s="60"/>
      <c r="N496" s="60"/>
      <c r="O496" s="3"/>
      <c r="P496" s="3"/>
      <c r="Q496" s="3"/>
      <c r="R496" s="3"/>
    </row>
    <row r="497">
      <c r="A497" s="164"/>
      <c r="B497" s="164"/>
      <c r="C497" s="165"/>
      <c r="D497" s="56"/>
      <c r="E497" s="57"/>
      <c r="F497" s="56"/>
      <c r="G497" s="56"/>
      <c r="H497" s="56"/>
      <c r="I497" s="62"/>
      <c r="J497" s="62"/>
      <c r="K497" s="62"/>
      <c r="L497" s="62"/>
      <c r="M497" s="60"/>
      <c r="N497" s="60"/>
      <c r="O497" s="3"/>
      <c r="P497" s="3"/>
      <c r="Q497" s="3"/>
      <c r="R497" s="3"/>
    </row>
    <row r="498">
      <c r="A498" s="164"/>
      <c r="B498" s="164"/>
      <c r="C498" s="165"/>
      <c r="D498" s="56"/>
      <c r="E498" s="57"/>
      <c r="F498" s="56"/>
      <c r="G498" s="56"/>
      <c r="H498" s="56"/>
      <c r="I498" s="62"/>
      <c r="J498" s="62"/>
      <c r="K498" s="62"/>
      <c r="L498" s="62"/>
      <c r="M498" s="60"/>
      <c r="N498" s="60"/>
      <c r="O498" s="3"/>
      <c r="P498" s="3"/>
      <c r="Q498" s="3"/>
      <c r="R498" s="3"/>
    </row>
    <row r="499">
      <c r="A499" s="164"/>
      <c r="B499" s="164"/>
      <c r="C499" s="165"/>
      <c r="D499" s="56"/>
      <c r="E499" s="57"/>
      <c r="F499" s="56"/>
      <c r="G499" s="56"/>
      <c r="H499" s="56"/>
      <c r="I499" s="62"/>
      <c r="J499" s="62"/>
      <c r="K499" s="62"/>
      <c r="L499" s="62"/>
      <c r="M499" s="60"/>
      <c r="N499" s="60"/>
      <c r="O499" s="3"/>
      <c r="P499" s="3"/>
      <c r="Q499" s="3"/>
      <c r="R499" s="3"/>
    </row>
    <row r="500">
      <c r="A500" s="164"/>
      <c r="B500" s="164"/>
      <c r="C500" s="165"/>
      <c r="D500" s="56"/>
      <c r="E500" s="57"/>
      <c r="F500" s="56"/>
      <c r="G500" s="56"/>
      <c r="H500" s="56"/>
      <c r="I500" s="62"/>
      <c r="J500" s="62"/>
      <c r="K500" s="62"/>
      <c r="L500" s="62"/>
      <c r="M500" s="60"/>
      <c r="N500" s="60"/>
      <c r="O500" s="3"/>
      <c r="P500" s="3"/>
      <c r="Q500" s="3"/>
      <c r="R500" s="3"/>
    </row>
    <row r="501">
      <c r="A501" s="164"/>
      <c r="B501" s="164"/>
      <c r="C501" s="165"/>
      <c r="D501" s="56"/>
      <c r="E501" s="57"/>
      <c r="F501" s="56"/>
      <c r="G501" s="56"/>
      <c r="H501" s="56"/>
      <c r="I501" s="62"/>
      <c r="J501" s="62"/>
      <c r="K501" s="62"/>
      <c r="L501" s="62"/>
      <c r="M501" s="60"/>
      <c r="N501" s="60"/>
      <c r="O501" s="3"/>
      <c r="P501" s="3"/>
      <c r="Q501" s="3"/>
      <c r="R501" s="3"/>
    </row>
    <row r="502">
      <c r="A502" s="164"/>
      <c r="B502" s="164"/>
      <c r="C502" s="165"/>
      <c r="D502" s="56"/>
      <c r="E502" s="57"/>
      <c r="F502" s="56"/>
      <c r="G502" s="56"/>
      <c r="H502" s="56"/>
      <c r="I502" s="62"/>
      <c r="J502" s="62"/>
      <c r="K502" s="62"/>
      <c r="L502" s="62"/>
      <c r="M502" s="60"/>
      <c r="N502" s="60"/>
      <c r="O502" s="3"/>
      <c r="P502" s="3"/>
      <c r="Q502" s="3"/>
      <c r="R502" s="3"/>
    </row>
    <row r="503">
      <c r="A503" s="164"/>
      <c r="B503" s="164"/>
      <c r="C503" s="165"/>
      <c r="D503" s="56"/>
      <c r="E503" s="57"/>
      <c r="F503" s="56"/>
      <c r="G503" s="56"/>
      <c r="H503" s="56"/>
      <c r="I503" s="62"/>
      <c r="J503" s="62"/>
      <c r="K503" s="62"/>
      <c r="L503" s="62"/>
      <c r="M503" s="60"/>
      <c r="N503" s="60"/>
      <c r="O503" s="3"/>
      <c r="P503" s="3"/>
      <c r="Q503" s="3"/>
      <c r="R503" s="3"/>
    </row>
    <row r="504">
      <c r="A504" s="164"/>
      <c r="B504" s="164"/>
      <c r="C504" s="165"/>
      <c r="D504" s="56"/>
      <c r="E504" s="57"/>
      <c r="F504" s="56"/>
      <c r="G504" s="56"/>
      <c r="H504" s="56"/>
      <c r="I504" s="62"/>
      <c r="J504" s="62"/>
      <c r="K504" s="62"/>
      <c r="L504" s="62"/>
      <c r="M504" s="60"/>
      <c r="N504" s="60"/>
      <c r="O504" s="3"/>
      <c r="P504" s="3"/>
      <c r="Q504" s="3"/>
      <c r="R504" s="3"/>
    </row>
    <row r="505">
      <c r="A505" s="164"/>
      <c r="B505" s="164"/>
      <c r="C505" s="165"/>
      <c r="D505" s="56"/>
      <c r="E505" s="57"/>
      <c r="F505" s="56"/>
      <c r="G505" s="56"/>
      <c r="H505" s="56"/>
      <c r="I505" s="62"/>
      <c r="J505" s="62"/>
      <c r="K505" s="62"/>
      <c r="L505" s="62"/>
      <c r="M505" s="60"/>
      <c r="N505" s="60"/>
      <c r="O505" s="3"/>
      <c r="P505" s="3"/>
      <c r="Q505" s="3"/>
      <c r="R505" s="3"/>
    </row>
    <row r="506">
      <c r="A506" s="164"/>
      <c r="B506" s="164"/>
      <c r="C506" s="165"/>
      <c r="D506" s="56"/>
      <c r="E506" s="57"/>
      <c r="F506" s="56"/>
      <c r="G506" s="56"/>
      <c r="H506" s="56"/>
      <c r="I506" s="62"/>
      <c r="J506" s="62"/>
      <c r="K506" s="62"/>
      <c r="L506" s="62"/>
      <c r="M506" s="60"/>
      <c r="N506" s="60"/>
      <c r="O506" s="3"/>
      <c r="P506" s="3"/>
      <c r="Q506" s="3"/>
      <c r="R506" s="3"/>
    </row>
    <row r="507">
      <c r="A507" s="164"/>
      <c r="B507" s="164"/>
      <c r="C507" s="165"/>
      <c r="D507" s="56"/>
      <c r="E507" s="57"/>
      <c r="F507" s="56"/>
      <c r="G507" s="56"/>
      <c r="H507" s="56"/>
      <c r="I507" s="62"/>
      <c r="J507" s="62"/>
      <c r="K507" s="62"/>
      <c r="L507" s="62"/>
      <c r="M507" s="60"/>
      <c r="N507" s="60"/>
      <c r="O507" s="3"/>
      <c r="P507" s="3"/>
      <c r="Q507" s="3"/>
      <c r="R507" s="3"/>
    </row>
    <row r="508">
      <c r="A508" s="164"/>
      <c r="B508" s="164"/>
      <c r="C508" s="165"/>
      <c r="D508" s="56"/>
      <c r="E508" s="57"/>
      <c r="F508" s="56"/>
      <c r="G508" s="56"/>
      <c r="H508" s="56"/>
      <c r="I508" s="62"/>
      <c r="J508" s="62"/>
      <c r="K508" s="62"/>
      <c r="L508" s="62"/>
      <c r="M508" s="60"/>
      <c r="N508" s="60"/>
      <c r="O508" s="3"/>
      <c r="P508" s="3"/>
      <c r="Q508" s="3"/>
      <c r="R508" s="3"/>
    </row>
    <row r="509">
      <c r="A509" s="164"/>
      <c r="B509" s="164"/>
      <c r="C509" s="165"/>
      <c r="D509" s="56"/>
      <c r="E509" s="57"/>
      <c r="F509" s="56"/>
      <c r="G509" s="56"/>
      <c r="H509" s="56"/>
      <c r="I509" s="62"/>
      <c r="J509" s="62"/>
      <c r="K509" s="62"/>
      <c r="L509" s="62"/>
      <c r="M509" s="60"/>
      <c r="N509" s="60"/>
      <c r="O509" s="3"/>
      <c r="P509" s="3"/>
      <c r="Q509" s="3"/>
      <c r="R509" s="3"/>
    </row>
    <row r="510">
      <c r="A510" s="164"/>
      <c r="B510" s="164"/>
      <c r="C510" s="165"/>
      <c r="D510" s="56"/>
      <c r="E510" s="57"/>
      <c r="F510" s="56"/>
      <c r="G510" s="56"/>
      <c r="H510" s="56"/>
      <c r="I510" s="62"/>
      <c r="J510" s="62"/>
      <c r="K510" s="62"/>
      <c r="L510" s="62"/>
      <c r="M510" s="60"/>
      <c r="N510" s="60"/>
      <c r="O510" s="3"/>
      <c r="P510" s="3"/>
      <c r="Q510" s="3"/>
      <c r="R510" s="3"/>
    </row>
    <row r="511">
      <c r="A511" s="164"/>
      <c r="B511" s="164"/>
      <c r="C511" s="165"/>
      <c r="D511" s="56"/>
      <c r="E511" s="57"/>
      <c r="F511" s="56"/>
      <c r="G511" s="56"/>
      <c r="H511" s="56"/>
      <c r="I511" s="62"/>
      <c r="J511" s="62"/>
      <c r="K511" s="62"/>
      <c r="L511" s="62"/>
      <c r="M511" s="60"/>
      <c r="N511" s="60"/>
      <c r="O511" s="3"/>
      <c r="P511" s="3"/>
      <c r="Q511" s="3"/>
      <c r="R511" s="3"/>
    </row>
    <row r="512">
      <c r="A512" s="164"/>
      <c r="B512" s="164"/>
      <c r="C512" s="165"/>
      <c r="D512" s="56"/>
      <c r="E512" s="57"/>
      <c r="F512" s="56"/>
      <c r="G512" s="56"/>
      <c r="H512" s="56"/>
      <c r="I512" s="62"/>
      <c r="J512" s="62"/>
      <c r="K512" s="62"/>
      <c r="L512" s="62"/>
      <c r="M512" s="60"/>
      <c r="N512" s="60"/>
      <c r="O512" s="3"/>
      <c r="P512" s="3"/>
      <c r="Q512" s="3"/>
      <c r="R512" s="3"/>
    </row>
    <row r="513">
      <c r="A513" s="164"/>
      <c r="B513" s="164"/>
      <c r="C513" s="165"/>
      <c r="D513" s="56"/>
      <c r="E513" s="57"/>
      <c r="F513" s="56"/>
      <c r="G513" s="56"/>
      <c r="H513" s="56"/>
      <c r="I513" s="62"/>
      <c r="J513" s="62"/>
      <c r="K513" s="62"/>
      <c r="L513" s="62"/>
      <c r="M513" s="60"/>
      <c r="N513" s="60"/>
      <c r="O513" s="3"/>
      <c r="P513" s="3"/>
      <c r="Q513" s="3"/>
      <c r="R513" s="3"/>
    </row>
    <row r="514">
      <c r="A514" s="164"/>
      <c r="B514" s="164"/>
      <c r="C514" s="165"/>
      <c r="D514" s="56"/>
      <c r="E514" s="57"/>
      <c r="F514" s="56"/>
      <c r="G514" s="56"/>
      <c r="H514" s="56"/>
      <c r="I514" s="62"/>
      <c r="J514" s="62"/>
      <c r="K514" s="62"/>
      <c r="L514" s="62"/>
      <c r="M514" s="60"/>
      <c r="N514" s="60"/>
      <c r="O514" s="3"/>
      <c r="P514" s="3"/>
      <c r="Q514" s="3"/>
      <c r="R514" s="3"/>
    </row>
    <row r="515">
      <c r="A515" s="164"/>
      <c r="B515" s="164"/>
      <c r="C515" s="165"/>
      <c r="D515" s="56"/>
      <c r="E515" s="57"/>
      <c r="F515" s="56"/>
      <c r="G515" s="56"/>
      <c r="H515" s="56"/>
      <c r="I515" s="62"/>
      <c r="J515" s="62"/>
      <c r="K515" s="62"/>
      <c r="L515" s="62"/>
      <c r="M515" s="60"/>
      <c r="N515" s="60"/>
      <c r="O515" s="3"/>
      <c r="P515" s="3"/>
      <c r="Q515" s="3"/>
      <c r="R515" s="3"/>
    </row>
    <row r="516">
      <c r="A516" s="164"/>
      <c r="B516" s="164"/>
      <c r="C516" s="165"/>
      <c r="D516" s="56"/>
      <c r="E516" s="57"/>
      <c r="F516" s="56"/>
      <c r="G516" s="56"/>
      <c r="H516" s="56"/>
      <c r="I516" s="62"/>
      <c r="J516" s="62"/>
      <c r="K516" s="62"/>
      <c r="L516" s="62"/>
      <c r="M516" s="60"/>
      <c r="N516" s="60"/>
      <c r="O516" s="3"/>
      <c r="P516" s="3"/>
      <c r="Q516" s="3"/>
      <c r="R516" s="3"/>
    </row>
    <row r="517">
      <c r="A517" s="164"/>
      <c r="B517" s="164"/>
      <c r="C517" s="165"/>
      <c r="D517" s="56"/>
      <c r="E517" s="57"/>
      <c r="F517" s="56"/>
      <c r="G517" s="56"/>
      <c r="H517" s="56"/>
      <c r="I517" s="62"/>
      <c r="J517" s="62"/>
      <c r="K517" s="62"/>
      <c r="L517" s="62"/>
      <c r="M517" s="60"/>
      <c r="N517" s="60"/>
      <c r="O517" s="3"/>
      <c r="P517" s="3"/>
      <c r="Q517" s="3"/>
      <c r="R517" s="3"/>
    </row>
    <row r="518">
      <c r="A518" s="164"/>
      <c r="B518" s="164"/>
      <c r="C518" s="165"/>
      <c r="D518" s="56"/>
      <c r="E518" s="57"/>
      <c r="F518" s="56"/>
      <c r="G518" s="56"/>
      <c r="H518" s="56"/>
      <c r="I518" s="62"/>
      <c r="J518" s="62"/>
      <c r="K518" s="62"/>
      <c r="L518" s="62"/>
      <c r="M518" s="60"/>
      <c r="N518" s="60"/>
      <c r="O518" s="3"/>
      <c r="P518" s="3"/>
      <c r="Q518" s="3"/>
      <c r="R518" s="3"/>
    </row>
    <row r="519">
      <c r="A519" s="164"/>
      <c r="B519" s="164"/>
      <c r="C519" s="165"/>
      <c r="D519" s="56"/>
      <c r="E519" s="57"/>
      <c r="F519" s="56"/>
      <c r="G519" s="56"/>
      <c r="H519" s="56"/>
      <c r="I519" s="62"/>
      <c r="J519" s="62"/>
      <c r="K519" s="62"/>
      <c r="L519" s="62"/>
      <c r="M519" s="60"/>
      <c r="N519" s="60"/>
      <c r="O519" s="3"/>
      <c r="P519" s="3"/>
      <c r="Q519" s="3"/>
      <c r="R519" s="3"/>
    </row>
    <row r="520">
      <c r="A520" s="164"/>
      <c r="B520" s="164"/>
      <c r="C520" s="165"/>
      <c r="D520" s="56"/>
      <c r="E520" s="57"/>
      <c r="F520" s="56"/>
      <c r="G520" s="56"/>
      <c r="H520" s="56"/>
      <c r="I520" s="62"/>
      <c r="J520" s="62"/>
      <c r="K520" s="62"/>
      <c r="L520" s="62"/>
      <c r="M520" s="60"/>
      <c r="N520" s="60"/>
      <c r="O520" s="3"/>
      <c r="P520" s="3"/>
      <c r="Q520" s="3"/>
      <c r="R520" s="3"/>
    </row>
    <row r="521">
      <c r="A521" s="164"/>
      <c r="B521" s="164"/>
      <c r="C521" s="165"/>
      <c r="D521" s="56"/>
      <c r="E521" s="57"/>
      <c r="F521" s="56"/>
      <c r="G521" s="56"/>
      <c r="H521" s="56"/>
      <c r="I521" s="62"/>
      <c r="J521" s="62"/>
      <c r="K521" s="62"/>
      <c r="L521" s="62"/>
      <c r="M521" s="60"/>
      <c r="N521" s="60"/>
      <c r="O521" s="3"/>
      <c r="P521" s="3"/>
      <c r="Q521" s="3"/>
      <c r="R521" s="3"/>
    </row>
    <row r="522">
      <c r="A522" s="164"/>
      <c r="B522" s="164"/>
      <c r="C522" s="165"/>
      <c r="D522" s="56"/>
      <c r="E522" s="57"/>
      <c r="F522" s="56"/>
      <c r="G522" s="56"/>
      <c r="H522" s="56"/>
      <c r="I522" s="62"/>
      <c r="J522" s="62"/>
      <c r="K522" s="62"/>
      <c r="L522" s="62"/>
      <c r="M522" s="60"/>
      <c r="N522" s="60"/>
      <c r="O522" s="3"/>
      <c r="P522" s="3"/>
      <c r="Q522" s="3"/>
      <c r="R522" s="3"/>
    </row>
    <row r="523">
      <c r="A523" s="164"/>
      <c r="B523" s="164"/>
      <c r="C523" s="165"/>
      <c r="D523" s="56"/>
      <c r="E523" s="57"/>
      <c r="F523" s="56"/>
      <c r="G523" s="56"/>
      <c r="H523" s="56"/>
      <c r="I523" s="62"/>
      <c r="J523" s="62"/>
      <c r="K523" s="62"/>
      <c r="L523" s="62"/>
      <c r="M523" s="60"/>
      <c r="N523" s="60"/>
      <c r="O523" s="3"/>
      <c r="P523" s="3"/>
      <c r="Q523" s="3"/>
      <c r="R523" s="3"/>
    </row>
    <row r="524">
      <c r="A524" s="164"/>
      <c r="B524" s="164"/>
      <c r="C524" s="165"/>
      <c r="D524" s="56"/>
      <c r="E524" s="57"/>
      <c r="F524" s="56"/>
      <c r="G524" s="56"/>
      <c r="H524" s="56"/>
      <c r="I524" s="62"/>
      <c r="J524" s="62"/>
      <c r="K524" s="62"/>
      <c r="L524" s="62"/>
      <c r="M524" s="60"/>
      <c r="N524" s="60"/>
      <c r="O524" s="3"/>
      <c r="P524" s="3"/>
      <c r="Q524" s="3"/>
      <c r="R524" s="3"/>
    </row>
    <row r="525">
      <c r="A525" s="164"/>
      <c r="B525" s="164"/>
      <c r="C525" s="165"/>
      <c r="D525" s="56"/>
      <c r="E525" s="57"/>
      <c r="F525" s="56"/>
      <c r="G525" s="56"/>
      <c r="H525" s="56"/>
      <c r="I525" s="62"/>
      <c r="J525" s="62"/>
      <c r="K525" s="62"/>
      <c r="L525" s="62"/>
      <c r="M525" s="60"/>
      <c r="N525" s="60"/>
      <c r="O525" s="3"/>
      <c r="P525" s="3"/>
      <c r="Q525" s="3"/>
      <c r="R525" s="3"/>
    </row>
    <row r="526">
      <c r="A526" s="164"/>
      <c r="B526" s="164"/>
      <c r="C526" s="165"/>
      <c r="D526" s="56"/>
      <c r="E526" s="57"/>
      <c r="F526" s="56"/>
      <c r="G526" s="56"/>
      <c r="H526" s="56"/>
      <c r="I526" s="62"/>
      <c r="J526" s="62"/>
      <c r="K526" s="62"/>
      <c r="L526" s="62"/>
      <c r="M526" s="60"/>
      <c r="N526" s="60"/>
      <c r="O526" s="3"/>
      <c r="P526" s="3"/>
      <c r="Q526" s="3"/>
      <c r="R526" s="3"/>
    </row>
    <row r="527">
      <c r="A527" s="164"/>
      <c r="B527" s="164"/>
      <c r="C527" s="165"/>
      <c r="D527" s="56"/>
      <c r="E527" s="57"/>
      <c r="F527" s="56"/>
      <c r="G527" s="56"/>
      <c r="H527" s="56"/>
      <c r="I527" s="62"/>
      <c r="J527" s="62"/>
      <c r="K527" s="62"/>
      <c r="L527" s="62"/>
      <c r="M527" s="60"/>
      <c r="N527" s="60"/>
      <c r="O527" s="3"/>
      <c r="P527" s="3"/>
      <c r="Q527" s="3"/>
      <c r="R527" s="3"/>
    </row>
    <row r="528">
      <c r="A528" s="164"/>
      <c r="B528" s="164"/>
      <c r="C528" s="165"/>
      <c r="D528" s="56"/>
      <c r="E528" s="57"/>
      <c r="F528" s="56"/>
      <c r="G528" s="56"/>
      <c r="H528" s="56"/>
      <c r="I528" s="62"/>
      <c r="J528" s="62"/>
      <c r="K528" s="62"/>
      <c r="L528" s="62"/>
      <c r="M528" s="60"/>
      <c r="N528" s="60"/>
      <c r="O528" s="3"/>
      <c r="P528" s="3"/>
      <c r="Q528" s="3"/>
      <c r="R528" s="3"/>
    </row>
    <row r="529">
      <c r="A529" s="164"/>
      <c r="B529" s="164"/>
      <c r="C529" s="165"/>
      <c r="D529" s="56"/>
      <c r="E529" s="57"/>
      <c r="F529" s="56"/>
      <c r="G529" s="56"/>
      <c r="H529" s="56"/>
      <c r="I529" s="62"/>
      <c r="J529" s="62"/>
      <c r="K529" s="62"/>
      <c r="L529" s="62"/>
      <c r="M529" s="60"/>
      <c r="N529" s="60"/>
      <c r="O529" s="3"/>
      <c r="P529" s="3"/>
      <c r="Q529" s="3"/>
      <c r="R529" s="3"/>
    </row>
    <row r="530">
      <c r="A530" s="164"/>
      <c r="B530" s="164"/>
      <c r="C530" s="165"/>
      <c r="D530" s="56"/>
      <c r="E530" s="57"/>
      <c r="F530" s="56"/>
      <c r="G530" s="56"/>
      <c r="H530" s="56"/>
      <c r="I530" s="62"/>
      <c r="J530" s="62"/>
      <c r="K530" s="62"/>
      <c r="L530" s="62"/>
      <c r="M530" s="60"/>
      <c r="N530" s="60"/>
      <c r="O530" s="3"/>
      <c r="P530" s="3"/>
      <c r="Q530" s="3"/>
      <c r="R530" s="3"/>
    </row>
    <row r="531">
      <c r="A531" s="164"/>
      <c r="B531" s="164"/>
      <c r="C531" s="165"/>
      <c r="D531" s="56"/>
      <c r="E531" s="57"/>
      <c r="F531" s="56"/>
      <c r="G531" s="56"/>
      <c r="H531" s="56"/>
      <c r="I531" s="62"/>
      <c r="J531" s="62"/>
      <c r="K531" s="62"/>
      <c r="L531" s="62"/>
      <c r="M531" s="60"/>
      <c r="N531" s="60"/>
      <c r="O531" s="3"/>
      <c r="P531" s="3"/>
      <c r="Q531" s="3"/>
      <c r="R531" s="3"/>
    </row>
    <row r="532">
      <c r="A532" s="164"/>
      <c r="B532" s="164"/>
      <c r="C532" s="165"/>
      <c r="D532" s="56"/>
      <c r="E532" s="57"/>
      <c r="F532" s="56"/>
      <c r="G532" s="56"/>
      <c r="H532" s="56"/>
      <c r="I532" s="62"/>
      <c r="J532" s="62"/>
      <c r="K532" s="62"/>
      <c r="L532" s="62"/>
      <c r="M532" s="60"/>
      <c r="N532" s="60"/>
      <c r="O532" s="3"/>
      <c r="P532" s="3"/>
      <c r="Q532" s="3"/>
      <c r="R532" s="3"/>
    </row>
    <row r="533">
      <c r="A533" s="164"/>
      <c r="B533" s="164"/>
      <c r="C533" s="165"/>
      <c r="D533" s="56"/>
      <c r="E533" s="57"/>
      <c r="F533" s="56"/>
      <c r="G533" s="56"/>
      <c r="H533" s="56"/>
      <c r="I533" s="62"/>
      <c r="J533" s="62"/>
      <c r="K533" s="62"/>
      <c r="L533" s="62"/>
      <c r="M533" s="60"/>
      <c r="N533" s="60"/>
      <c r="O533" s="3"/>
      <c r="P533" s="3"/>
      <c r="Q533" s="3"/>
      <c r="R533" s="3"/>
    </row>
    <row r="534">
      <c r="A534" s="164"/>
      <c r="B534" s="164"/>
      <c r="C534" s="165"/>
      <c r="D534" s="56"/>
      <c r="E534" s="57"/>
      <c r="F534" s="56"/>
      <c r="G534" s="56"/>
      <c r="H534" s="56"/>
      <c r="I534" s="62"/>
      <c r="J534" s="62"/>
      <c r="K534" s="62"/>
      <c r="L534" s="62"/>
      <c r="M534" s="60"/>
      <c r="N534" s="60"/>
      <c r="O534" s="3"/>
      <c r="P534" s="3"/>
      <c r="Q534" s="3"/>
      <c r="R534" s="3"/>
    </row>
    <row r="535">
      <c r="A535" s="164"/>
      <c r="B535" s="164"/>
      <c r="C535" s="165"/>
      <c r="D535" s="56"/>
      <c r="E535" s="57"/>
      <c r="F535" s="56"/>
      <c r="G535" s="56"/>
      <c r="H535" s="56"/>
      <c r="I535" s="62"/>
      <c r="J535" s="62"/>
      <c r="K535" s="62"/>
      <c r="L535" s="62"/>
      <c r="M535" s="60"/>
      <c r="N535" s="60"/>
      <c r="O535" s="3"/>
      <c r="P535" s="3"/>
      <c r="Q535" s="3"/>
      <c r="R535" s="3"/>
    </row>
    <row r="536">
      <c r="A536" s="164"/>
      <c r="B536" s="164"/>
      <c r="C536" s="165"/>
      <c r="D536" s="56"/>
      <c r="E536" s="57"/>
      <c r="F536" s="56"/>
      <c r="G536" s="56"/>
      <c r="H536" s="56"/>
      <c r="I536" s="62"/>
      <c r="J536" s="62"/>
      <c r="K536" s="62"/>
      <c r="L536" s="62"/>
      <c r="M536" s="60"/>
      <c r="N536" s="60"/>
      <c r="O536" s="3"/>
      <c r="P536" s="3"/>
      <c r="Q536" s="3"/>
      <c r="R536" s="3"/>
    </row>
    <row r="537">
      <c r="A537" s="164"/>
      <c r="B537" s="164"/>
      <c r="C537" s="165"/>
      <c r="D537" s="56"/>
      <c r="E537" s="57"/>
      <c r="F537" s="56"/>
      <c r="G537" s="56"/>
      <c r="H537" s="56"/>
      <c r="I537" s="62"/>
      <c r="J537" s="62"/>
      <c r="K537" s="62"/>
      <c r="L537" s="62"/>
      <c r="M537" s="60"/>
      <c r="N537" s="60"/>
      <c r="O537" s="3"/>
      <c r="P537" s="3"/>
      <c r="Q537" s="3"/>
      <c r="R537" s="3"/>
    </row>
    <row r="538">
      <c r="A538" s="164"/>
      <c r="B538" s="164"/>
      <c r="C538" s="165"/>
      <c r="D538" s="56"/>
      <c r="E538" s="57"/>
      <c r="F538" s="56"/>
      <c r="G538" s="56"/>
      <c r="H538" s="56"/>
      <c r="I538" s="62"/>
      <c r="J538" s="62"/>
      <c r="K538" s="62"/>
      <c r="L538" s="62"/>
      <c r="M538" s="60"/>
      <c r="N538" s="60"/>
      <c r="O538" s="3"/>
      <c r="P538" s="3"/>
      <c r="Q538" s="3"/>
      <c r="R538" s="3"/>
    </row>
    <row r="539">
      <c r="A539" s="164"/>
      <c r="B539" s="164"/>
      <c r="C539" s="165"/>
      <c r="D539" s="56"/>
      <c r="E539" s="57"/>
      <c r="F539" s="56"/>
      <c r="G539" s="56"/>
      <c r="H539" s="56"/>
      <c r="I539" s="62"/>
      <c r="J539" s="62"/>
      <c r="K539" s="62"/>
      <c r="L539" s="62"/>
      <c r="M539" s="60"/>
      <c r="N539" s="60"/>
      <c r="O539" s="3"/>
      <c r="P539" s="3"/>
      <c r="Q539" s="3"/>
      <c r="R539" s="3"/>
    </row>
    <row r="540">
      <c r="A540" s="164"/>
      <c r="B540" s="164"/>
      <c r="C540" s="165"/>
      <c r="D540" s="56"/>
      <c r="E540" s="57"/>
      <c r="F540" s="56"/>
      <c r="G540" s="56"/>
      <c r="H540" s="56"/>
      <c r="I540" s="62"/>
      <c r="J540" s="62"/>
      <c r="K540" s="62"/>
      <c r="L540" s="62"/>
      <c r="M540" s="60"/>
      <c r="N540" s="60"/>
      <c r="O540" s="3"/>
      <c r="P540" s="3"/>
      <c r="Q540" s="3"/>
      <c r="R540" s="3"/>
    </row>
    <row r="541">
      <c r="A541" s="164"/>
      <c r="B541" s="164"/>
      <c r="C541" s="165"/>
      <c r="D541" s="56"/>
      <c r="E541" s="57"/>
      <c r="F541" s="56"/>
      <c r="G541" s="56"/>
      <c r="H541" s="56"/>
      <c r="I541" s="62"/>
      <c r="J541" s="62"/>
      <c r="K541" s="62"/>
      <c r="L541" s="62"/>
      <c r="M541" s="60"/>
      <c r="N541" s="60"/>
      <c r="O541" s="3"/>
      <c r="P541" s="3"/>
      <c r="Q541" s="3"/>
      <c r="R541" s="3"/>
    </row>
    <row r="542">
      <c r="A542" s="164"/>
      <c r="B542" s="164"/>
      <c r="C542" s="165"/>
      <c r="D542" s="56"/>
      <c r="E542" s="57"/>
      <c r="F542" s="56"/>
      <c r="G542" s="56"/>
      <c r="H542" s="56"/>
      <c r="I542" s="62"/>
      <c r="J542" s="62"/>
      <c r="K542" s="62"/>
      <c r="L542" s="62"/>
      <c r="M542" s="60"/>
      <c r="N542" s="60"/>
      <c r="O542" s="3"/>
      <c r="P542" s="3"/>
      <c r="Q542" s="3"/>
      <c r="R542" s="3"/>
    </row>
    <row r="543">
      <c r="A543" s="164"/>
      <c r="B543" s="164"/>
      <c r="C543" s="165"/>
      <c r="D543" s="56"/>
      <c r="E543" s="57"/>
      <c r="F543" s="56"/>
      <c r="G543" s="56"/>
      <c r="H543" s="56"/>
      <c r="I543" s="62"/>
      <c r="J543" s="62"/>
      <c r="K543" s="62"/>
      <c r="L543" s="62"/>
      <c r="M543" s="60"/>
      <c r="N543" s="60"/>
      <c r="O543" s="3"/>
      <c r="P543" s="3"/>
      <c r="Q543" s="3"/>
      <c r="R543" s="3"/>
    </row>
    <row r="544">
      <c r="A544" s="164"/>
      <c r="B544" s="164"/>
      <c r="C544" s="165"/>
      <c r="D544" s="56"/>
      <c r="E544" s="57"/>
      <c r="F544" s="56"/>
      <c r="G544" s="56"/>
      <c r="H544" s="56"/>
      <c r="I544" s="62"/>
      <c r="J544" s="62"/>
      <c r="K544" s="62"/>
      <c r="L544" s="62"/>
      <c r="M544" s="60"/>
      <c r="N544" s="60"/>
      <c r="O544" s="3"/>
      <c r="P544" s="3"/>
      <c r="Q544" s="3"/>
      <c r="R544" s="3"/>
    </row>
    <row r="545">
      <c r="A545" s="164"/>
      <c r="B545" s="164"/>
      <c r="C545" s="165"/>
      <c r="D545" s="56"/>
      <c r="E545" s="57"/>
      <c r="F545" s="56"/>
      <c r="G545" s="56"/>
      <c r="H545" s="56"/>
      <c r="I545" s="62"/>
      <c r="J545" s="62"/>
      <c r="K545" s="62"/>
      <c r="L545" s="62"/>
      <c r="M545" s="60"/>
      <c r="N545" s="60"/>
      <c r="O545" s="3"/>
      <c r="P545" s="3"/>
      <c r="Q545" s="3"/>
      <c r="R545" s="3"/>
    </row>
    <row r="546">
      <c r="A546" s="164"/>
      <c r="B546" s="164"/>
      <c r="C546" s="165"/>
      <c r="D546" s="56"/>
      <c r="E546" s="57"/>
      <c r="F546" s="56"/>
      <c r="G546" s="56"/>
      <c r="H546" s="56"/>
      <c r="I546" s="62"/>
      <c r="J546" s="62"/>
      <c r="K546" s="62"/>
      <c r="L546" s="62"/>
      <c r="M546" s="60"/>
      <c r="N546" s="60"/>
      <c r="O546" s="3"/>
      <c r="P546" s="3"/>
      <c r="Q546" s="3"/>
      <c r="R546" s="3"/>
    </row>
    <row r="547">
      <c r="A547" s="164"/>
      <c r="B547" s="164"/>
      <c r="C547" s="165"/>
      <c r="D547" s="56"/>
      <c r="E547" s="57"/>
      <c r="F547" s="56"/>
      <c r="G547" s="56"/>
      <c r="H547" s="56"/>
      <c r="I547" s="62"/>
      <c r="J547" s="62"/>
      <c r="K547" s="62"/>
      <c r="L547" s="62"/>
      <c r="M547" s="60"/>
      <c r="N547" s="60"/>
      <c r="O547" s="3"/>
      <c r="P547" s="3"/>
      <c r="Q547" s="3"/>
      <c r="R547" s="3"/>
    </row>
    <row r="548">
      <c r="A548" s="164"/>
      <c r="B548" s="164"/>
      <c r="C548" s="165"/>
      <c r="D548" s="56"/>
      <c r="E548" s="57"/>
      <c r="F548" s="56"/>
      <c r="G548" s="56"/>
      <c r="H548" s="56"/>
      <c r="I548" s="62"/>
      <c r="J548" s="62"/>
      <c r="K548" s="62"/>
      <c r="L548" s="62"/>
      <c r="M548" s="60"/>
      <c r="N548" s="60"/>
      <c r="O548" s="3"/>
      <c r="P548" s="3"/>
      <c r="Q548" s="3"/>
      <c r="R548" s="3"/>
    </row>
    <row r="549">
      <c r="A549" s="164"/>
      <c r="B549" s="164"/>
      <c r="C549" s="165"/>
      <c r="D549" s="56"/>
      <c r="E549" s="57"/>
      <c r="F549" s="56"/>
      <c r="G549" s="56"/>
      <c r="H549" s="56"/>
      <c r="I549" s="62"/>
      <c r="J549" s="62"/>
      <c r="K549" s="62"/>
      <c r="L549" s="62"/>
      <c r="M549" s="60"/>
      <c r="N549" s="60"/>
      <c r="O549" s="3"/>
      <c r="P549" s="3"/>
      <c r="Q549" s="3"/>
      <c r="R549" s="3"/>
    </row>
    <row r="550">
      <c r="A550" s="164"/>
      <c r="B550" s="164"/>
      <c r="C550" s="165"/>
      <c r="D550" s="56"/>
      <c r="E550" s="57"/>
      <c r="F550" s="56"/>
      <c r="G550" s="56"/>
      <c r="H550" s="56"/>
      <c r="I550" s="62"/>
      <c r="J550" s="62"/>
      <c r="K550" s="62"/>
      <c r="L550" s="62"/>
      <c r="M550" s="60"/>
      <c r="N550" s="60"/>
      <c r="O550" s="3"/>
      <c r="P550" s="3"/>
      <c r="Q550" s="3"/>
      <c r="R550" s="3"/>
    </row>
    <row r="551">
      <c r="A551" s="164"/>
      <c r="B551" s="164"/>
      <c r="C551" s="165"/>
      <c r="D551" s="56"/>
      <c r="E551" s="57"/>
      <c r="F551" s="56"/>
      <c r="G551" s="56"/>
      <c r="H551" s="56"/>
      <c r="I551" s="62"/>
      <c r="J551" s="62"/>
      <c r="K551" s="62"/>
      <c r="L551" s="62"/>
      <c r="M551" s="60"/>
      <c r="N551" s="60"/>
      <c r="O551" s="3"/>
      <c r="P551" s="3"/>
      <c r="Q551" s="3"/>
      <c r="R551" s="3"/>
    </row>
    <row r="552">
      <c r="A552" s="164"/>
      <c r="B552" s="164"/>
      <c r="C552" s="165"/>
      <c r="D552" s="56"/>
      <c r="E552" s="57"/>
      <c r="F552" s="56"/>
      <c r="G552" s="56"/>
      <c r="H552" s="56"/>
      <c r="I552" s="62"/>
      <c r="J552" s="62"/>
      <c r="K552" s="62"/>
      <c r="L552" s="62"/>
      <c r="M552" s="60"/>
      <c r="N552" s="60"/>
      <c r="O552" s="3"/>
      <c r="P552" s="3"/>
      <c r="Q552" s="3"/>
      <c r="R552" s="3"/>
    </row>
    <row r="553">
      <c r="A553" s="164"/>
      <c r="B553" s="164"/>
      <c r="C553" s="165"/>
      <c r="D553" s="56"/>
      <c r="E553" s="57"/>
      <c r="F553" s="56"/>
      <c r="G553" s="56"/>
      <c r="H553" s="56"/>
      <c r="I553" s="62"/>
      <c r="J553" s="62"/>
      <c r="K553" s="62"/>
      <c r="L553" s="62"/>
      <c r="M553" s="60"/>
      <c r="N553" s="60"/>
      <c r="O553" s="3"/>
      <c r="P553" s="3"/>
      <c r="Q553" s="3"/>
      <c r="R553" s="3"/>
    </row>
    <row r="554">
      <c r="A554" s="164"/>
      <c r="B554" s="164"/>
      <c r="C554" s="165"/>
      <c r="D554" s="56"/>
      <c r="E554" s="57"/>
      <c r="F554" s="56"/>
      <c r="G554" s="56"/>
      <c r="H554" s="56"/>
      <c r="I554" s="62"/>
      <c r="J554" s="62"/>
      <c r="K554" s="62"/>
      <c r="L554" s="62"/>
      <c r="M554" s="60"/>
      <c r="N554" s="60"/>
      <c r="O554" s="3"/>
      <c r="P554" s="3"/>
      <c r="Q554" s="3"/>
      <c r="R554" s="3"/>
    </row>
    <row r="555">
      <c r="A555" s="164"/>
      <c r="B555" s="164"/>
      <c r="C555" s="165"/>
      <c r="D555" s="56"/>
      <c r="E555" s="57"/>
      <c r="F555" s="56"/>
      <c r="G555" s="56"/>
      <c r="H555" s="56"/>
      <c r="I555" s="62"/>
      <c r="J555" s="62"/>
      <c r="K555" s="62"/>
      <c r="L555" s="62"/>
      <c r="M555" s="60"/>
      <c r="N555" s="60"/>
      <c r="O555" s="3"/>
      <c r="P555" s="3"/>
      <c r="Q555" s="3"/>
      <c r="R555" s="3"/>
    </row>
    <row r="556">
      <c r="A556" s="164"/>
      <c r="B556" s="164"/>
      <c r="C556" s="165"/>
      <c r="D556" s="56"/>
      <c r="E556" s="57"/>
      <c r="F556" s="56"/>
      <c r="G556" s="56"/>
      <c r="H556" s="56"/>
      <c r="I556" s="62"/>
      <c r="J556" s="62"/>
      <c r="K556" s="62"/>
      <c r="L556" s="62"/>
      <c r="M556" s="60"/>
      <c r="N556" s="60"/>
      <c r="O556" s="3"/>
      <c r="P556" s="3"/>
      <c r="Q556" s="3"/>
      <c r="R556" s="3"/>
    </row>
    <row r="557">
      <c r="A557" s="164"/>
      <c r="B557" s="164"/>
      <c r="C557" s="165"/>
      <c r="D557" s="56"/>
      <c r="E557" s="57"/>
      <c r="F557" s="56"/>
      <c r="G557" s="56"/>
      <c r="H557" s="56"/>
      <c r="I557" s="62"/>
      <c r="J557" s="62"/>
      <c r="K557" s="62"/>
      <c r="L557" s="62"/>
      <c r="M557" s="60"/>
      <c r="N557" s="60"/>
      <c r="O557" s="3"/>
      <c r="P557" s="3"/>
      <c r="Q557" s="3"/>
      <c r="R557" s="3"/>
    </row>
    <row r="558">
      <c r="A558" s="164"/>
      <c r="B558" s="164"/>
      <c r="C558" s="165"/>
      <c r="D558" s="56"/>
      <c r="E558" s="57"/>
      <c r="F558" s="56"/>
      <c r="G558" s="56"/>
      <c r="H558" s="56"/>
      <c r="I558" s="62"/>
      <c r="J558" s="62"/>
      <c r="K558" s="62"/>
      <c r="L558" s="62"/>
      <c r="M558" s="60"/>
      <c r="N558" s="60"/>
      <c r="O558" s="3"/>
      <c r="P558" s="3"/>
      <c r="Q558" s="3"/>
      <c r="R558" s="3"/>
    </row>
    <row r="559">
      <c r="A559" s="164"/>
      <c r="B559" s="164"/>
      <c r="C559" s="165"/>
      <c r="D559" s="56"/>
      <c r="E559" s="57"/>
      <c r="F559" s="56"/>
      <c r="G559" s="56"/>
      <c r="H559" s="56"/>
      <c r="I559" s="62"/>
      <c r="J559" s="62"/>
      <c r="K559" s="62"/>
      <c r="L559" s="62"/>
      <c r="M559" s="60"/>
      <c r="N559" s="60"/>
      <c r="O559" s="3"/>
      <c r="P559" s="3"/>
      <c r="Q559" s="3"/>
      <c r="R559" s="3"/>
    </row>
    <row r="560">
      <c r="A560" s="164"/>
      <c r="B560" s="164"/>
      <c r="C560" s="165"/>
      <c r="D560" s="56"/>
      <c r="E560" s="57"/>
      <c r="F560" s="56"/>
      <c r="G560" s="56"/>
      <c r="H560" s="56"/>
      <c r="I560" s="62"/>
      <c r="J560" s="62"/>
      <c r="K560" s="62"/>
      <c r="L560" s="62"/>
      <c r="M560" s="60"/>
      <c r="N560" s="60"/>
      <c r="O560" s="3"/>
      <c r="P560" s="3"/>
      <c r="Q560" s="3"/>
      <c r="R560" s="3"/>
    </row>
    <row r="561">
      <c r="A561" s="164"/>
      <c r="B561" s="164"/>
      <c r="C561" s="165"/>
      <c r="D561" s="56"/>
      <c r="E561" s="57"/>
      <c r="F561" s="56"/>
      <c r="G561" s="56"/>
      <c r="H561" s="56"/>
      <c r="I561" s="62"/>
      <c r="J561" s="62"/>
      <c r="K561" s="62"/>
      <c r="L561" s="62"/>
      <c r="M561" s="60"/>
      <c r="N561" s="60"/>
      <c r="O561" s="3"/>
      <c r="P561" s="3"/>
      <c r="Q561" s="3"/>
      <c r="R561" s="3"/>
    </row>
    <row r="562">
      <c r="A562" s="164"/>
      <c r="B562" s="164"/>
      <c r="C562" s="165"/>
      <c r="D562" s="56"/>
      <c r="E562" s="57"/>
      <c r="F562" s="56"/>
      <c r="G562" s="56"/>
      <c r="H562" s="56"/>
      <c r="I562" s="62"/>
      <c r="J562" s="62"/>
      <c r="K562" s="62"/>
      <c r="L562" s="62"/>
      <c r="M562" s="60"/>
      <c r="N562" s="60"/>
      <c r="O562" s="3"/>
      <c r="P562" s="3"/>
      <c r="Q562" s="3"/>
      <c r="R562" s="3"/>
    </row>
    <row r="563">
      <c r="A563" s="164"/>
      <c r="B563" s="164"/>
      <c r="C563" s="165"/>
      <c r="D563" s="56"/>
      <c r="E563" s="57"/>
      <c r="F563" s="56"/>
      <c r="G563" s="56"/>
      <c r="H563" s="56"/>
      <c r="I563" s="62"/>
      <c r="J563" s="62"/>
      <c r="K563" s="62"/>
      <c r="L563" s="62"/>
      <c r="M563" s="60"/>
      <c r="N563" s="60"/>
      <c r="O563" s="3"/>
      <c r="P563" s="3"/>
      <c r="Q563" s="3"/>
      <c r="R563" s="3"/>
    </row>
    <row r="564">
      <c r="A564" s="164"/>
      <c r="B564" s="164"/>
      <c r="C564" s="165"/>
      <c r="D564" s="56"/>
      <c r="E564" s="57"/>
      <c r="F564" s="56"/>
      <c r="G564" s="56"/>
      <c r="H564" s="56"/>
      <c r="I564" s="62"/>
      <c r="J564" s="62"/>
      <c r="K564" s="62"/>
      <c r="L564" s="62"/>
      <c r="M564" s="60"/>
      <c r="N564" s="60"/>
      <c r="O564" s="3"/>
      <c r="P564" s="3"/>
      <c r="Q564" s="3"/>
      <c r="R564" s="3"/>
    </row>
    <row r="565">
      <c r="A565" s="164"/>
      <c r="B565" s="164"/>
      <c r="C565" s="165"/>
      <c r="D565" s="56"/>
      <c r="E565" s="57"/>
      <c r="F565" s="56"/>
      <c r="G565" s="56"/>
      <c r="H565" s="56"/>
      <c r="I565" s="62"/>
      <c r="J565" s="62"/>
      <c r="K565" s="62"/>
      <c r="L565" s="62"/>
      <c r="M565" s="60"/>
      <c r="N565" s="60"/>
      <c r="O565" s="3"/>
      <c r="P565" s="3"/>
      <c r="Q565" s="3"/>
      <c r="R565" s="3"/>
    </row>
    <row r="566">
      <c r="A566" s="164"/>
      <c r="B566" s="164"/>
      <c r="C566" s="165"/>
      <c r="D566" s="56"/>
      <c r="E566" s="57"/>
      <c r="F566" s="56"/>
      <c r="G566" s="56"/>
      <c r="H566" s="56"/>
      <c r="I566" s="62"/>
      <c r="J566" s="62"/>
      <c r="K566" s="62"/>
      <c r="L566" s="62"/>
      <c r="M566" s="60"/>
      <c r="N566" s="60"/>
      <c r="O566" s="3"/>
      <c r="P566" s="3"/>
      <c r="Q566" s="3"/>
      <c r="R566" s="3"/>
    </row>
    <row r="567">
      <c r="A567" s="164"/>
      <c r="B567" s="164"/>
      <c r="C567" s="165"/>
      <c r="D567" s="56"/>
      <c r="E567" s="57"/>
      <c r="F567" s="56"/>
      <c r="G567" s="56"/>
      <c r="H567" s="56"/>
      <c r="I567" s="62"/>
      <c r="J567" s="62"/>
      <c r="K567" s="62"/>
      <c r="L567" s="62"/>
      <c r="M567" s="60"/>
      <c r="N567" s="60"/>
      <c r="O567" s="3"/>
      <c r="P567" s="3"/>
      <c r="Q567" s="3"/>
      <c r="R567" s="3"/>
    </row>
    <row r="568">
      <c r="A568" s="164"/>
      <c r="B568" s="164"/>
      <c r="C568" s="165"/>
      <c r="D568" s="56"/>
      <c r="E568" s="57"/>
      <c r="F568" s="56"/>
      <c r="G568" s="56"/>
      <c r="H568" s="56"/>
      <c r="I568" s="62"/>
      <c r="J568" s="62"/>
      <c r="K568" s="62"/>
      <c r="L568" s="62"/>
      <c r="M568" s="60"/>
      <c r="N568" s="60"/>
      <c r="O568" s="3"/>
      <c r="P568" s="3"/>
      <c r="Q568" s="3"/>
      <c r="R568" s="3"/>
    </row>
    <row r="569">
      <c r="A569" s="164"/>
      <c r="B569" s="164"/>
      <c r="C569" s="165"/>
      <c r="D569" s="56"/>
      <c r="E569" s="57"/>
      <c r="F569" s="56"/>
      <c r="G569" s="56"/>
      <c r="H569" s="56"/>
      <c r="I569" s="62"/>
      <c r="J569" s="62"/>
      <c r="K569" s="62"/>
      <c r="L569" s="62"/>
      <c r="M569" s="60"/>
      <c r="N569" s="60"/>
      <c r="O569" s="3"/>
      <c r="P569" s="3"/>
      <c r="Q569" s="3"/>
      <c r="R569" s="3"/>
    </row>
    <row r="570">
      <c r="A570" s="164"/>
      <c r="B570" s="164"/>
      <c r="C570" s="165"/>
      <c r="D570" s="56"/>
      <c r="E570" s="57"/>
      <c r="F570" s="56"/>
      <c r="G570" s="56"/>
      <c r="H570" s="56"/>
      <c r="I570" s="62"/>
      <c r="J570" s="62"/>
      <c r="K570" s="62"/>
      <c r="L570" s="62"/>
      <c r="M570" s="60"/>
      <c r="N570" s="60"/>
      <c r="O570" s="3"/>
      <c r="P570" s="3"/>
      <c r="Q570" s="3"/>
      <c r="R570" s="3"/>
    </row>
    <row r="571">
      <c r="A571" s="164"/>
      <c r="B571" s="164"/>
      <c r="C571" s="165"/>
      <c r="D571" s="56"/>
      <c r="E571" s="57"/>
      <c r="F571" s="56"/>
      <c r="G571" s="56"/>
      <c r="H571" s="56"/>
      <c r="I571" s="62"/>
      <c r="J571" s="62"/>
      <c r="K571" s="62"/>
      <c r="L571" s="62"/>
      <c r="M571" s="60"/>
      <c r="N571" s="60"/>
      <c r="O571" s="3"/>
      <c r="P571" s="3"/>
      <c r="Q571" s="3"/>
      <c r="R571" s="3"/>
    </row>
    <row r="572">
      <c r="A572" s="164"/>
      <c r="B572" s="164"/>
      <c r="C572" s="165"/>
      <c r="D572" s="56"/>
      <c r="E572" s="57"/>
      <c r="F572" s="56"/>
      <c r="G572" s="56"/>
      <c r="H572" s="56"/>
      <c r="I572" s="62"/>
      <c r="J572" s="62"/>
      <c r="K572" s="62"/>
      <c r="L572" s="62"/>
      <c r="M572" s="60"/>
      <c r="N572" s="60"/>
      <c r="O572" s="3"/>
      <c r="P572" s="3"/>
      <c r="Q572" s="3"/>
      <c r="R572" s="3"/>
    </row>
    <row r="573">
      <c r="A573" s="164"/>
      <c r="B573" s="164"/>
      <c r="C573" s="165"/>
      <c r="D573" s="56"/>
      <c r="E573" s="57"/>
      <c r="F573" s="56"/>
      <c r="G573" s="56"/>
      <c r="H573" s="56"/>
      <c r="I573" s="62"/>
      <c r="J573" s="62"/>
      <c r="K573" s="62"/>
      <c r="L573" s="62"/>
      <c r="M573" s="60"/>
      <c r="N573" s="60"/>
      <c r="O573" s="3"/>
      <c r="P573" s="3"/>
      <c r="Q573" s="3"/>
      <c r="R573" s="3"/>
    </row>
    <row r="574">
      <c r="A574" s="164"/>
      <c r="B574" s="164"/>
      <c r="C574" s="165"/>
      <c r="D574" s="56"/>
      <c r="E574" s="57"/>
      <c r="F574" s="56"/>
      <c r="G574" s="56"/>
      <c r="H574" s="56"/>
      <c r="I574" s="62"/>
      <c r="J574" s="62"/>
      <c r="K574" s="62"/>
      <c r="L574" s="62"/>
      <c r="M574" s="60"/>
      <c r="N574" s="60"/>
      <c r="O574" s="3"/>
      <c r="P574" s="3"/>
      <c r="Q574" s="3"/>
      <c r="R574" s="3"/>
    </row>
    <row r="575">
      <c r="A575" s="164"/>
      <c r="B575" s="164"/>
      <c r="C575" s="165"/>
      <c r="D575" s="56"/>
      <c r="E575" s="57"/>
      <c r="F575" s="56"/>
      <c r="G575" s="56"/>
      <c r="H575" s="56"/>
      <c r="I575" s="62"/>
      <c r="J575" s="62"/>
      <c r="K575" s="62"/>
      <c r="L575" s="62"/>
      <c r="M575" s="60"/>
      <c r="N575" s="60"/>
      <c r="O575" s="3"/>
      <c r="P575" s="3"/>
      <c r="Q575" s="3"/>
      <c r="R575" s="3"/>
    </row>
    <row r="576">
      <c r="A576" s="164"/>
      <c r="B576" s="164"/>
      <c r="C576" s="165"/>
      <c r="D576" s="56"/>
      <c r="E576" s="57"/>
      <c r="F576" s="56"/>
      <c r="G576" s="56"/>
      <c r="H576" s="56"/>
      <c r="I576" s="62"/>
      <c r="J576" s="62"/>
      <c r="K576" s="62"/>
      <c r="L576" s="62"/>
      <c r="M576" s="60"/>
      <c r="N576" s="60"/>
      <c r="O576" s="3"/>
      <c r="P576" s="3"/>
      <c r="Q576" s="3"/>
      <c r="R576" s="3"/>
    </row>
    <row r="577">
      <c r="A577" s="164"/>
      <c r="B577" s="164"/>
      <c r="C577" s="165"/>
      <c r="D577" s="56"/>
      <c r="E577" s="57"/>
      <c r="F577" s="56"/>
      <c r="G577" s="56"/>
      <c r="H577" s="56"/>
      <c r="I577" s="62"/>
      <c r="J577" s="62"/>
      <c r="K577" s="62"/>
      <c r="L577" s="62"/>
      <c r="M577" s="60"/>
      <c r="N577" s="60"/>
      <c r="O577" s="3"/>
      <c r="P577" s="3"/>
      <c r="Q577" s="3"/>
      <c r="R577" s="3"/>
    </row>
    <row r="578">
      <c r="A578" s="164"/>
      <c r="B578" s="164"/>
      <c r="C578" s="165"/>
      <c r="D578" s="56"/>
      <c r="E578" s="57"/>
      <c r="F578" s="56"/>
      <c r="G578" s="56"/>
      <c r="H578" s="56"/>
      <c r="I578" s="62"/>
      <c r="J578" s="62"/>
      <c r="K578" s="62"/>
      <c r="L578" s="62"/>
      <c r="M578" s="60"/>
      <c r="N578" s="60"/>
      <c r="O578" s="3"/>
      <c r="P578" s="3"/>
      <c r="Q578" s="3"/>
      <c r="R578" s="3"/>
    </row>
    <row r="579">
      <c r="A579" s="164"/>
      <c r="B579" s="164"/>
      <c r="C579" s="165"/>
      <c r="D579" s="56"/>
      <c r="E579" s="57"/>
      <c r="F579" s="56"/>
      <c r="G579" s="56"/>
      <c r="H579" s="56"/>
      <c r="I579" s="62"/>
      <c r="J579" s="62"/>
      <c r="K579" s="62"/>
      <c r="L579" s="62"/>
      <c r="M579" s="60"/>
      <c r="N579" s="60"/>
      <c r="O579" s="3"/>
      <c r="P579" s="3"/>
      <c r="Q579" s="3"/>
      <c r="R579" s="3"/>
    </row>
    <row r="580">
      <c r="A580" s="164"/>
      <c r="B580" s="164"/>
      <c r="C580" s="165"/>
      <c r="D580" s="56"/>
      <c r="E580" s="57"/>
      <c r="F580" s="56"/>
      <c r="G580" s="56"/>
      <c r="H580" s="56"/>
      <c r="I580" s="62"/>
      <c r="J580" s="62"/>
      <c r="K580" s="62"/>
      <c r="L580" s="62"/>
      <c r="M580" s="60"/>
      <c r="N580" s="60"/>
      <c r="O580" s="3"/>
      <c r="P580" s="3"/>
      <c r="Q580" s="3"/>
      <c r="R580" s="3"/>
    </row>
    <row r="581">
      <c r="A581" s="164"/>
      <c r="B581" s="164"/>
      <c r="C581" s="165"/>
      <c r="D581" s="56"/>
      <c r="E581" s="57"/>
      <c r="F581" s="56"/>
      <c r="G581" s="56"/>
      <c r="H581" s="56"/>
      <c r="I581" s="62"/>
      <c r="J581" s="62"/>
      <c r="K581" s="62"/>
      <c r="L581" s="62"/>
      <c r="M581" s="60"/>
      <c r="N581" s="60"/>
      <c r="O581" s="3"/>
      <c r="P581" s="3"/>
      <c r="Q581" s="3"/>
      <c r="R581" s="3"/>
    </row>
    <row r="582">
      <c r="A582" s="164"/>
      <c r="B582" s="164"/>
      <c r="C582" s="165"/>
      <c r="D582" s="56"/>
      <c r="E582" s="57"/>
      <c r="F582" s="56"/>
      <c r="G582" s="56"/>
      <c r="H582" s="56"/>
      <c r="I582" s="62"/>
      <c r="J582" s="62"/>
      <c r="K582" s="62"/>
      <c r="L582" s="62"/>
      <c r="M582" s="60"/>
      <c r="N582" s="60"/>
      <c r="O582" s="3"/>
      <c r="P582" s="3"/>
      <c r="Q582" s="3"/>
      <c r="R582" s="3"/>
    </row>
    <row r="583">
      <c r="A583" s="164"/>
      <c r="B583" s="164"/>
      <c r="C583" s="165"/>
      <c r="D583" s="56"/>
      <c r="E583" s="57"/>
      <c r="F583" s="56"/>
      <c r="G583" s="56"/>
      <c r="H583" s="56"/>
      <c r="I583" s="62"/>
      <c r="J583" s="62"/>
      <c r="K583" s="62"/>
      <c r="L583" s="62"/>
      <c r="M583" s="60"/>
      <c r="N583" s="60"/>
      <c r="O583" s="3"/>
      <c r="P583" s="3"/>
      <c r="Q583" s="3"/>
      <c r="R583" s="3"/>
    </row>
    <row r="584">
      <c r="A584" s="164"/>
      <c r="B584" s="164"/>
      <c r="C584" s="165"/>
      <c r="D584" s="56"/>
      <c r="E584" s="57"/>
      <c r="F584" s="56"/>
      <c r="G584" s="56"/>
      <c r="H584" s="56"/>
      <c r="I584" s="62"/>
      <c r="J584" s="62"/>
      <c r="K584" s="62"/>
      <c r="L584" s="62"/>
      <c r="M584" s="60"/>
      <c r="N584" s="60"/>
      <c r="O584" s="3"/>
      <c r="P584" s="3"/>
      <c r="Q584" s="3"/>
      <c r="R584" s="3"/>
    </row>
    <row r="585">
      <c r="A585" s="164"/>
      <c r="B585" s="164"/>
      <c r="C585" s="165"/>
      <c r="D585" s="56"/>
      <c r="E585" s="57"/>
      <c r="F585" s="56"/>
      <c r="G585" s="56"/>
      <c r="H585" s="56"/>
      <c r="I585" s="62"/>
      <c r="J585" s="62"/>
      <c r="K585" s="62"/>
      <c r="L585" s="62"/>
      <c r="M585" s="60"/>
      <c r="N585" s="60"/>
      <c r="O585" s="3"/>
      <c r="P585" s="3"/>
      <c r="Q585" s="3"/>
      <c r="R585" s="3"/>
    </row>
    <row r="586">
      <c r="A586" s="164"/>
      <c r="B586" s="164"/>
      <c r="C586" s="165"/>
      <c r="D586" s="56"/>
      <c r="E586" s="57"/>
      <c r="F586" s="56"/>
      <c r="G586" s="56"/>
      <c r="H586" s="56"/>
      <c r="I586" s="62"/>
      <c r="J586" s="62"/>
      <c r="K586" s="62"/>
      <c r="L586" s="62"/>
      <c r="M586" s="60"/>
      <c r="N586" s="60"/>
      <c r="O586" s="3"/>
      <c r="P586" s="3"/>
      <c r="Q586" s="3"/>
      <c r="R586" s="3"/>
    </row>
    <row r="587">
      <c r="A587" s="164"/>
      <c r="B587" s="164"/>
      <c r="C587" s="165"/>
      <c r="D587" s="56"/>
      <c r="E587" s="57"/>
      <c r="F587" s="56"/>
      <c r="G587" s="56"/>
      <c r="H587" s="56"/>
      <c r="I587" s="62"/>
      <c r="J587" s="62"/>
      <c r="K587" s="62"/>
      <c r="L587" s="62"/>
      <c r="M587" s="60"/>
      <c r="N587" s="60"/>
      <c r="O587" s="3"/>
      <c r="P587" s="3"/>
      <c r="Q587" s="3"/>
      <c r="R587" s="3"/>
    </row>
    <row r="588">
      <c r="A588" s="164"/>
      <c r="B588" s="164"/>
      <c r="C588" s="165"/>
      <c r="D588" s="56"/>
      <c r="E588" s="57"/>
      <c r="F588" s="56"/>
      <c r="G588" s="56"/>
      <c r="H588" s="56"/>
      <c r="I588" s="62"/>
      <c r="J588" s="62"/>
      <c r="K588" s="62"/>
      <c r="L588" s="62"/>
      <c r="M588" s="60"/>
      <c r="N588" s="60"/>
      <c r="O588" s="3"/>
      <c r="P588" s="3"/>
      <c r="Q588" s="3"/>
      <c r="R588" s="3"/>
    </row>
    <row r="589">
      <c r="A589" s="164"/>
      <c r="B589" s="164"/>
      <c r="C589" s="165"/>
      <c r="D589" s="56"/>
      <c r="E589" s="57"/>
      <c r="F589" s="56"/>
      <c r="G589" s="56"/>
      <c r="H589" s="56"/>
      <c r="I589" s="62"/>
      <c r="J589" s="62"/>
      <c r="K589" s="62"/>
      <c r="L589" s="62"/>
      <c r="M589" s="60"/>
      <c r="N589" s="60"/>
      <c r="O589" s="3"/>
      <c r="P589" s="3"/>
      <c r="Q589" s="3"/>
      <c r="R589" s="3"/>
    </row>
    <row r="590">
      <c r="A590" s="164"/>
      <c r="B590" s="164"/>
      <c r="C590" s="165"/>
      <c r="D590" s="56"/>
      <c r="E590" s="57"/>
      <c r="F590" s="56"/>
      <c r="G590" s="56"/>
      <c r="H590" s="56"/>
      <c r="I590" s="62"/>
      <c r="J590" s="62"/>
      <c r="K590" s="62"/>
      <c r="L590" s="62"/>
      <c r="M590" s="60"/>
      <c r="N590" s="60"/>
      <c r="O590" s="3"/>
      <c r="P590" s="3"/>
      <c r="Q590" s="3"/>
      <c r="R590" s="3"/>
    </row>
    <row r="591">
      <c r="A591" s="164"/>
      <c r="B591" s="164"/>
      <c r="C591" s="165"/>
      <c r="D591" s="56"/>
      <c r="E591" s="57"/>
      <c r="F591" s="56"/>
      <c r="G591" s="56"/>
      <c r="H591" s="56"/>
      <c r="I591" s="62"/>
      <c r="J591" s="62"/>
      <c r="K591" s="62"/>
      <c r="L591" s="62"/>
      <c r="M591" s="60"/>
      <c r="N591" s="60"/>
      <c r="O591" s="3"/>
      <c r="P591" s="3"/>
      <c r="Q591" s="3"/>
      <c r="R591" s="3"/>
    </row>
    <row r="592">
      <c r="A592" s="164"/>
      <c r="B592" s="164"/>
      <c r="C592" s="165"/>
      <c r="D592" s="56"/>
      <c r="E592" s="57"/>
      <c r="F592" s="56"/>
      <c r="G592" s="56"/>
      <c r="H592" s="56"/>
      <c r="I592" s="62"/>
      <c r="J592" s="62"/>
      <c r="K592" s="62"/>
      <c r="L592" s="62"/>
      <c r="M592" s="60"/>
      <c r="N592" s="60"/>
      <c r="O592" s="3"/>
      <c r="P592" s="3"/>
      <c r="Q592" s="3"/>
      <c r="R592" s="3"/>
    </row>
    <row r="593">
      <c r="A593" s="164"/>
      <c r="B593" s="164"/>
      <c r="C593" s="165"/>
      <c r="D593" s="56"/>
      <c r="E593" s="57"/>
      <c r="F593" s="56"/>
      <c r="G593" s="56"/>
      <c r="H593" s="56"/>
      <c r="I593" s="62"/>
      <c r="J593" s="62"/>
      <c r="K593" s="62"/>
      <c r="L593" s="62"/>
      <c r="M593" s="60"/>
      <c r="N593" s="60"/>
      <c r="O593" s="3"/>
      <c r="P593" s="3"/>
      <c r="Q593" s="3"/>
      <c r="R593" s="3"/>
    </row>
    <row r="594">
      <c r="A594" s="164"/>
      <c r="B594" s="164"/>
      <c r="C594" s="165"/>
      <c r="D594" s="56"/>
      <c r="E594" s="57"/>
      <c r="F594" s="56"/>
      <c r="G594" s="56"/>
      <c r="H594" s="56"/>
      <c r="I594" s="62"/>
      <c r="J594" s="62"/>
      <c r="K594" s="62"/>
      <c r="L594" s="62"/>
      <c r="M594" s="60"/>
      <c r="N594" s="60"/>
      <c r="O594" s="3"/>
      <c r="P594" s="3"/>
      <c r="Q594" s="3"/>
      <c r="R594" s="3"/>
    </row>
    <row r="595">
      <c r="A595" s="164"/>
      <c r="B595" s="164"/>
      <c r="C595" s="165"/>
      <c r="D595" s="56"/>
      <c r="E595" s="57"/>
      <c r="F595" s="56"/>
      <c r="G595" s="56"/>
      <c r="H595" s="56"/>
      <c r="I595" s="62"/>
      <c r="J595" s="62"/>
      <c r="K595" s="62"/>
      <c r="L595" s="62"/>
      <c r="M595" s="60"/>
      <c r="N595" s="60"/>
      <c r="O595" s="3"/>
      <c r="P595" s="3"/>
      <c r="Q595" s="3"/>
      <c r="R595" s="3"/>
    </row>
    <row r="596">
      <c r="A596" s="164"/>
      <c r="B596" s="164"/>
      <c r="C596" s="165"/>
      <c r="D596" s="56"/>
      <c r="E596" s="57"/>
      <c r="F596" s="56"/>
      <c r="G596" s="56"/>
      <c r="H596" s="56"/>
      <c r="I596" s="62"/>
      <c r="J596" s="62"/>
      <c r="K596" s="62"/>
      <c r="L596" s="62"/>
      <c r="M596" s="60"/>
      <c r="N596" s="60"/>
      <c r="O596" s="3"/>
      <c r="P596" s="3"/>
      <c r="Q596" s="3"/>
      <c r="R596" s="3"/>
    </row>
    <row r="597">
      <c r="A597" s="164"/>
      <c r="B597" s="164"/>
      <c r="C597" s="165"/>
      <c r="D597" s="56"/>
      <c r="E597" s="57"/>
      <c r="F597" s="56"/>
      <c r="G597" s="56"/>
      <c r="H597" s="56"/>
      <c r="I597" s="62"/>
      <c r="J597" s="62"/>
      <c r="K597" s="62"/>
      <c r="L597" s="62"/>
      <c r="M597" s="60"/>
      <c r="N597" s="60"/>
      <c r="O597" s="3"/>
      <c r="P597" s="3"/>
      <c r="Q597" s="3"/>
      <c r="R597" s="3"/>
    </row>
    <row r="598">
      <c r="A598" s="164"/>
      <c r="B598" s="164"/>
      <c r="C598" s="165"/>
      <c r="D598" s="56"/>
      <c r="E598" s="57"/>
      <c r="F598" s="56"/>
      <c r="G598" s="56"/>
      <c r="H598" s="56"/>
      <c r="I598" s="62"/>
      <c r="J598" s="62"/>
      <c r="K598" s="62"/>
      <c r="L598" s="62"/>
      <c r="M598" s="60"/>
      <c r="N598" s="60"/>
      <c r="O598" s="3"/>
      <c r="P598" s="3"/>
      <c r="Q598" s="3"/>
      <c r="R598" s="3"/>
    </row>
    <row r="599">
      <c r="A599" s="164"/>
      <c r="B599" s="164"/>
      <c r="C599" s="165"/>
      <c r="D599" s="56"/>
      <c r="E599" s="57"/>
      <c r="F599" s="56"/>
      <c r="G599" s="56"/>
      <c r="H599" s="56"/>
      <c r="I599" s="62"/>
      <c r="J599" s="62"/>
      <c r="K599" s="62"/>
      <c r="L599" s="62"/>
      <c r="M599" s="60"/>
      <c r="N599" s="60"/>
      <c r="O599" s="3"/>
      <c r="P599" s="3"/>
      <c r="Q599" s="3"/>
      <c r="R599" s="3"/>
    </row>
    <row r="600">
      <c r="A600" s="164"/>
      <c r="B600" s="164"/>
      <c r="C600" s="165"/>
      <c r="D600" s="56"/>
      <c r="E600" s="57"/>
      <c r="F600" s="56"/>
      <c r="G600" s="56"/>
      <c r="H600" s="56"/>
      <c r="I600" s="62"/>
      <c r="J600" s="62"/>
      <c r="K600" s="62"/>
      <c r="L600" s="62"/>
      <c r="M600" s="60"/>
      <c r="N600" s="60"/>
      <c r="O600" s="3"/>
      <c r="P600" s="3"/>
      <c r="Q600" s="3"/>
      <c r="R600" s="3"/>
    </row>
    <row r="601">
      <c r="A601" s="164"/>
      <c r="B601" s="164"/>
      <c r="C601" s="165"/>
      <c r="D601" s="56"/>
      <c r="E601" s="57"/>
      <c r="F601" s="56"/>
      <c r="G601" s="56"/>
      <c r="H601" s="56"/>
      <c r="I601" s="62"/>
      <c r="J601" s="62"/>
      <c r="K601" s="62"/>
      <c r="L601" s="62"/>
      <c r="M601" s="60"/>
      <c r="N601" s="60"/>
      <c r="O601" s="3"/>
      <c r="P601" s="3"/>
      <c r="Q601" s="3"/>
      <c r="R601" s="3"/>
    </row>
    <row r="602">
      <c r="A602" s="164"/>
      <c r="B602" s="164"/>
      <c r="C602" s="165"/>
      <c r="D602" s="56"/>
      <c r="E602" s="57"/>
      <c r="F602" s="56"/>
      <c r="G602" s="56"/>
      <c r="H602" s="56"/>
      <c r="I602" s="62"/>
      <c r="J602" s="62"/>
      <c r="K602" s="62"/>
      <c r="L602" s="62"/>
      <c r="M602" s="60"/>
      <c r="N602" s="60"/>
      <c r="O602" s="3"/>
      <c r="P602" s="3"/>
      <c r="Q602" s="3"/>
      <c r="R602" s="3"/>
    </row>
    <row r="603">
      <c r="A603" s="164"/>
      <c r="B603" s="164"/>
      <c r="C603" s="165"/>
      <c r="D603" s="56"/>
      <c r="E603" s="57"/>
      <c r="F603" s="56"/>
      <c r="G603" s="56"/>
      <c r="H603" s="56"/>
      <c r="I603" s="62"/>
      <c r="J603" s="62"/>
      <c r="K603" s="62"/>
      <c r="L603" s="62"/>
      <c r="M603" s="60"/>
      <c r="N603" s="60"/>
      <c r="O603" s="3"/>
      <c r="P603" s="3"/>
      <c r="Q603" s="3"/>
      <c r="R603" s="3"/>
    </row>
    <row r="604">
      <c r="A604" s="164"/>
      <c r="B604" s="164"/>
      <c r="C604" s="165"/>
      <c r="D604" s="56"/>
      <c r="E604" s="57"/>
      <c r="F604" s="56"/>
      <c r="G604" s="56"/>
      <c r="H604" s="56"/>
      <c r="I604" s="62"/>
      <c r="J604" s="62"/>
      <c r="K604" s="62"/>
      <c r="L604" s="62"/>
      <c r="M604" s="60"/>
      <c r="N604" s="60"/>
      <c r="O604" s="3"/>
      <c r="P604" s="3"/>
      <c r="Q604" s="3"/>
      <c r="R604" s="3"/>
    </row>
    <row r="605">
      <c r="A605" s="164"/>
      <c r="B605" s="164"/>
      <c r="C605" s="165"/>
      <c r="D605" s="56"/>
      <c r="E605" s="57"/>
      <c r="F605" s="56"/>
      <c r="G605" s="56"/>
      <c r="H605" s="56"/>
      <c r="I605" s="62"/>
      <c r="J605" s="62"/>
      <c r="K605" s="62"/>
      <c r="L605" s="62"/>
      <c r="M605" s="60"/>
      <c r="N605" s="60"/>
      <c r="O605" s="3"/>
      <c r="P605" s="3"/>
      <c r="Q605" s="3"/>
      <c r="R605" s="3"/>
    </row>
    <row r="606">
      <c r="A606" s="164"/>
      <c r="B606" s="164"/>
      <c r="C606" s="165"/>
      <c r="D606" s="56"/>
      <c r="E606" s="57"/>
      <c r="F606" s="56"/>
      <c r="G606" s="56"/>
      <c r="H606" s="56"/>
      <c r="I606" s="62"/>
      <c r="J606" s="62"/>
      <c r="K606" s="62"/>
      <c r="L606" s="62"/>
      <c r="M606" s="60"/>
      <c r="N606" s="60"/>
      <c r="O606" s="3"/>
      <c r="P606" s="3"/>
      <c r="Q606" s="3"/>
      <c r="R606" s="3"/>
    </row>
    <row r="607">
      <c r="A607" s="164"/>
      <c r="B607" s="164"/>
      <c r="C607" s="165"/>
      <c r="D607" s="56"/>
      <c r="E607" s="57"/>
      <c r="F607" s="56"/>
      <c r="G607" s="56"/>
      <c r="H607" s="56"/>
      <c r="I607" s="62"/>
      <c r="J607" s="62"/>
      <c r="K607" s="62"/>
      <c r="L607" s="62"/>
      <c r="M607" s="60"/>
      <c r="N607" s="60"/>
      <c r="O607" s="3"/>
      <c r="P607" s="3"/>
      <c r="Q607" s="3"/>
      <c r="R607" s="3"/>
    </row>
    <row r="608">
      <c r="A608" s="164"/>
      <c r="B608" s="164"/>
      <c r="C608" s="165"/>
      <c r="D608" s="56"/>
      <c r="E608" s="57"/>
      <c r="F608" s="56"/>
      <c r="G608" s="56"/>
      <c r="H608" s="56"/>
      <c r="I608" s="62"/>
      <c r="J608" s="62"/>
      <c r="K608" s="62"/>
      <c r="L608" s="62"/>
      <c r="M608" s="60"/>
      <c r="N608" s="60"/>
      <c r="O608" s="3"/>
      <c r="P608" s="3"/>
      <c r="Q608" s="3"/>
      <c r="R608" s="3"/>
    </row>
    <row r="609">
      <c r="A609" s="164"/>
      <c r="B609" s="164"/>
      <c r="C609" s="165"/>
      <c r="D609" s="56"/>
      <c r="E609" s="57"/>
      <c r="F609" s="56"/>
      <c r="G609" s="56"/>
      <c r="H609" s="56"/>
      <c r="I609" s="62"/>
      <c r="J609" s="62"/>
      <c r="K609" s="62"/>
      <c r="L609" s="62"/>
      <c r="M609" s="60"/>
      <c r="N609" s="60"/>
      <c r="O609" s="3"/>
      <c r="P609" s="3"/>
      <c r="Q609" s="3"/>
      <c r="R609" s="3"/>
    </row>
    <row r="610">
      <c r="A610" s="164"/>
      <c r="B610" s="164"/>
      <c r="C610" s="165"/>
      <c r="D610" s="56"/>
      <c r="E610" s="57"/>
      <c r="F610" s="56"/>
      <c r="G610" s="56"/>
      <c r="H610" s="56"/>
      <c r="I610" s="62"/>
      <c r="J610" s="62"/>
      <c r="K610" s="62"/>
      <c r="L610" s="62"/>
      <c r="M610" s="60"/>
      <c r="N610" s="60"/>
      <c r="O610" s="3"/>
      <c r="P610" s="3"/>
      <c r="Q610" s="3"/>
      <c r="R610" s="3"/>
    </row>
    <row r="611">
      <c r="A611" s="164"/>
      <c r="B611" s="164"/>
      <c r="C611" s="165"/>
      <c r="D611" s="56"/>
      <c r="E611" s="57"/>
      <c r="F611" s="56"/>
      <c r="G611" s="56"/>
      <c r="H611" s="56"/>
      <c r="I611" s="62"/>
      <c r="J611" s="62"/>
      <c r="K611" s="62"/>
      <c r="L611" s="62"/>
      <c r="M611" s="60"/>
      <c r="N611" s="60"/>
      <c r="O611" s="3"/>
      <c r="P611" s="3"/>
      <c r="Q611" s="3"/>
      <c r="R611" s="3"/>
    </row>
    <row r="612">
      <c r="A612" s="164"/>
      <c r="B612" s="164"/>
      <c r="C612" s="165"/>
      <c r="D612" s="56"/>
      <c r="E612" s="57"/>
      <c r="F612" s="56"/>
      <c r="G612" s="56"/>
      <c r="H612" s="56"/>
      <c r="I612" s="62"/>
      <c r="J612" s="62"/>
      <c r="K612" s="62"/>
      <c r="L612" s="62"/>
      <c r="M612" s="60"/>
      <c r="N612" s="60"/>
      <c r="O612" s="3"/>
      <c r="P612" s="3"/>
      <c r="Q612" s="3"/>
      <c r="R612" s="3"/>
    </row>
    <row r="613">
      <c r="A613" s="164"/>
      <c r="B613" s="164"/>
      <c r="C613" s="165"/>
      <c r="D613" s="56"/>
      <c r="E613" s="57"/>
      <c r="F613" s="56"/>
      <c r="G613" s="56"/>
      <c r="H613" s="56"/>
      <c r="I613" s="62"/>
      <c r="J613" s="62"/>
      <c r="K613" s="62"/>
      <c r="L613" s="62"/>
      <c r="M613" s="60"/>
      <c r="N613" s="60"/>
      <c r="O613" s="3"/>
      <c r="P613" s="3"/>
      <c r="Q613" s="3"/>
      <c r="R613" s="3"/>
    </row>
    <row r="614">
      <c r="A614" s="164"/>
      <c r="B614" s="164"/>
      <c r="C614" s="165"/>
      <c r="D614" s="56"/>
      <c r="E614" s="57"/>
      <c r="F614" s="56"/>
      <c r="G614" s="56"/>
      <c r="H614" s="56"/>
      <c r="I614" s="62"/>
      <c r="J614" s="62"/>
      <c r="K614" s="62"/>
      <c r="L614" s="62"/>
      <c r="M614" s="60"/>
      <c r="N614" s="60"/>
      <c r="O614" s="3"/>
      <c r="P614" s="3"/>
      <c r="Q614" s="3"/>
      <c r="R614" s="3"/>
    </row>
    <row r="615">
      <c r="A615" s="164"/>
      <c r="B615" s="164"/>
      <c r="C615" s="165"/>
      <c r="D615" s="56"/>
      <c r="E615" s="57"/>
      <c r="F615" s="56"/>
      <c r="G615" s="56"/>
      <c r="H615" s="56"/>
      <c r="I615" s="62"/>
      <c r="J615" s="62"/>
      <c r="K615" s="62"/>
      <c r="L615" s="62"/>
      <c r="M615" s="60"/>
      <c r="N615" s="60"/>
      <c r="O615" s="3"/>
      <c r="P615" s="3"/>
      <c r="Q615" s="3"/>
      <c r="R615" s="3"/>
    </row>
    <row r="616">
      <c r="A616" s="164"/>
      <c r="B616" s="164"/>
      <c r="C616" s="165"/>
      <c r="D616" s="56"/>
      <c r="E616" s="57"/>
      <c r="F616" s="56"/>
      <c r="G616" s="56"/>
      <c r="H616" s="56"/>
      <c r="I616" s="62"/>
      <c r="J616" s="62"/>
      <c r="K616" s="62"/>
      <c r="L616" s="62"/>
      <c r="M616" s="60"/>
      <c r="N616" s="60"/>
      <c r="O616" s="3"/>
      <c r="P616" s="3"/>
      <c r="Q616" s="3"/>
      <c r="R616" s="3"/>
    </row>
    <row r="617">
      <c r="A617" s="164"/>
      <c r="B617" s="164"/>
      <c r="C617" s="165"/>
      <c r="D617" s="56"/>
      <c r="E617" s="57"/>
      <c r="F617" s="56"/>
      <c r="G617" s="56"/>
      <c r="H617" s="56"/>
      <c r="I617" s="62"/>
      <c r="J617" s="62"/>
      <c r="K617" s="62"/>
      <c r="L617" s="62"/>
      <c r="M617" s="60"/>
      <c r="N617" s="60"/>
      <c r="O617" s="3"/>
      <c r="P617" s="3"/>
      <c r="Q617" s="3"/>
      <c r="R617" s="3"/>
    </row>
    <row r="618">
      <c r="A618" s="164"/>
      <c r="B618" s="164"/>
      <c r="C618" s="165"/>
      <c r="D618" s="56"/>
      <c r="E618" s="57"/>
      <c r="F618" s="56"/>
      <c r="G618" s="56"/>
      <c r="H618" s="56"/>
      <c r="I618" s="62"/>
      <c r="J618" s="62"/>
      <c r="K618" s="62"/>
      <c r="L618" s="62"/>
      <c r="M618" s="60"/>
      <c r="N618" s="60"/>
      <c r="O618" s="3"/>
      <c r="P618" s="3"/>
      <c r="Q618" s="3"/>
      <c r="R618" s="3"/>
    </row>
    <row r="619">
      <c r="A619" s="164"/>
      <c r="B619" s="164"/>
      <c r="C619" s="165"/>
      <c r="D619" s="56"/>
      <c r="E619" s="57"/>
      <c r="F619" s="56"/>
      <c r="G619" s="56"/>
      <c r="H619" s="56"/>
      <c r="I619" s="62"/>
      <c r="J619" s="62"/>
      <c r="K619" s="62"/>
      <c r="L619" s="62"/>
      <c r="M619" s="60"/>
      <c r="N619" s="60"/>
      <c r="O619" s="3"/>
      <c r="P619" s="3"/>
      <c r="Q619" s="3"/>
      <c r="R619" s="3"/>
    </row>
    <row r="620">
      <c r="A620" s="164"/>
      <c r="B620" s="164"/>
      <c r="C620" s="165"/>
      <c r="D620" s="56"/>
      <c r="E620" s="57"/>
      <c r="F620" s="56"/>
      <c r="G620" s="56"/>
      <c r="H620" s="56"/>
      <c r="I620" s="62"/>
      <c r="J620" s="62"/>
      <c r="K620" s="62"/>
      <c r="L620" s="62"/>
      <c r="M620" s="60"/>
      <c r="N620" s="60"/>
      <c r="O620" s="3"/>
      <c r="P620" s="3"/>
      <c r="Q620" s="3"/>
      <c r="R620" s="3"/>
    </row>
    <row r="621">
      <c r="A621" s="164"/>
      <c r="B621" s="164"/>
      <c r="C621" s="165"/>
      <c r="D621" s="56"/>
      <c r="E621" s="57"/>
      <c r="F621" s="56"/>
      <c r="G621" s="56"/>
      <c r="H621" s="56"/>
      <c r="I621" s="62"/>
      <c r="J621" s="62"/>
      <c r="K621" s="62"/>
      <c r="L621" s="62"/>
      <c r="M621" s="60"/>
      <c r="N621" s="60"/>
      <c r="O621" s="3"/>
      <c r="P621" s="3"/>
      <c r="Q621" s="3"/>
      <c r="R621" s="3"/>
    </row>
    <row r="622">
      <c r="A622" s="164"/>
      <c r="B622" s="164"/>
      <c r="C622" s="165"/>
      <c r="D622" s="56"/>
      <c r="E622" s="57"/>
      <c r="F622" s="56"/>
      <c r="G622" s="56"/>
      <c r="H622" s="56"/>
      <c r="I622" s="62"/>
      <c r="J622" s="62"/>
      <c r="K622" s="62"/>
      <c r="L622" s="62"/>
      <c r="M622" s="60"/>
      <c r="N622" s="60"/>
      <c r="O622" s="3"/>
      <c r="P622" s="3"/>
      <c r="Q622" s="3"/>
      <c r="R622" s="3"/>
    </row>
    <row r="623">
      <c r="A623" s="164"/>
      <c r="B623" s="164"/>
      <c r="C623" s="165"/>
      <c r="D623" s="56"/>
      <c r="E623" s="57"/>
      <c r="F623" s="56"/>
      <c r="G623" s="56"/>
      <c r="H623" s="56"/>
      <c r="I623" s="62"/>
      <c r="J623" s="62"/>
      <c r="K623" s="62"/>
      <c r="L623" s="62"/>
      <c r="M623" s="60"/>
      <c r="N623" s="60"/>
      <c r="O623" s="3"/>
      <c r="P623" s="3"/>
      <c r="Q623" s="3"/>
      <c r="R623" s="3"/>
    </row>
    <row r="624">
      <c r="A624" s="164"/>
      <c r="B624" s="164"/>
      <c r="C624" s="165"/>
      <c r="D624" s="56"/>
      <c r="E624" s="57"/>
      <c r="F624" s="56"/>
      <c r="G624" s="56"/>
      <c r="H624" s="56"/>
      <c r="I624" s="62"/>
      <c r="J624" s="62"/>
      <c r="K624" s="62"/>
      <c r="L624" s="62"/>
      <c r="M624" s="60"/>
      <c r="N624" s="60"/>
      <c r="O624" s="3"/>
      <c r="P624" s="3"/>
      <c r="Q624" s="3"/>
      <c r="R624" s="3"/>
    </row>
    <row r="625">
      <c r="A625" s="164"/>
      <c r="B625" s="164"/>
      <c r="C625" s="165"/>
      <c r="D625" s="56"/>
      <c r="E625" s="57"/>
      <c r="F625" s="56"/>
      <c r="G625" s="56"/>
      <c r="H625" s="56"/>
      <c r="I625" s="62"/>
      <c r="J625" s="62"/>
      <c r="K625" s="62"/>
      <c r="L625" s="62"/>
      <c r="M625" s="60"/>
      <c r="N625" s="60"/>
      <c r="O625" s="3"/>
      <c r="P625" s="3"/>
      <c r="Q625" s="3"/>
      <c r="R625" s="3"/>
    </row>
    <row r="626">
      <c r="A626" s="164"/>
      <c r="B626" s="164"/>
      <c r="C626" s="165"/>
      <c r="D626" s="56"/>
      <c r="E626" s="57"/>
      <c r="F626" s="56"/>
      <c r="G626" s="56"/>
      <c r="H626" s="56"/>
      <c r="I626" s="62"/>
      <c r="J626" s="62"/>
      <c r="K626" s="62"/>
      <c r="L626" s="62"/>
      <c r="M626" s="60"/>
      <c r="N626" s="60"/>
      <c r="O626" s="3"/>
      <c r="P626" s="3"/>
      <c r="Q626" s="3"/>
      <c r="R626" s="3"/>
    </row>
    <row r="627">
      <c r="A627" s="164"/>
      <c r="B627" s="164"/>
      <c r="C627" s="165"/>
      <c r="D627" s="56"/>
      <c r="E627" s="57"/>
      <c r="F627" s="56"/>
      <c r="G627" s="56"/>
      <c r="H627" s="56"/>
      <c r="I627" s="62"/>
      <c r="J627" s="62"/>
      <c r="K627" s="62"/>
      <c r="L627" s="62"/>
      <c r="M627" s="60"/>
      <c r="N627" s="60"/>
      <c r="O627" s="3"/>
      <c r="P627" s="3"/>
      <c r="Q627" s="3"/>
      <c r="R627" s="3"/>
    </row>
    <row r="628">
      <c r="A628" s="164"/>
      <c r="B628" s="164"/>
      <c r="C628" s="165"/>
      <c r="D628" s="56"/>
      <c r="E628" s="57"/>
      <c r="F628" s="56"/>
      <c r="G628" s="56"/>
      <c r="H628" s="56"/>
      <c r="I628" s="62"/>
      <c r="J628" s="62"/>
      <c r="K628" s="62"/>
      <c r="L628" s="62"/>
      <c r="M628" s="60"/>
      <c r="N628" s="60"/>
      <c r="O628" s="3"/>
      <c r="P628" s="3"/>
      <c r="Q628" s="3"/>
      <c r="R628" s="3"/>
    </row>
    <row r="629">
      <c r="A629" s="164"/>
      <c r="B629" s="164"/>
      <c r="C629" s="165"/>
      <c r="D629" s="56"/>
      <c r="E629" s="57"/>
      <c r="F629" s="56"/>
      <c r="G629" s="56"/>
      <c r="H629" s="56"/>
      <c r="I629" s="62"/>
      <c r="J629" s="62"/>
      <c r="K629" s="62"/>
      <c r="L629" s="62"/>
      <c r="M629" s="60"/>
      <c r="N629" s="60"/>
      <c r="O629" s="3"/>
      <c r="P629" s="3"/>
      <c r="Q629" s="3"/>
      <c r="R629" s="3"/>
    </row>
    <row r="630">
      <c r="A630" s="164"/>
      <c r="B630" s="164"/>
      <c r="C630" s="165"/>
      <c r="D630" s="56"/>
      <c r="E630" s="57"/>
      <c r="F630" s="56"/>
      <c r="G630" s="56"/>
      <c r="H630" s="56"/>
      <c r="I630" s="62"/>
      <c r="J630" s="62"/>
      <c r="K630" s="62"/>
      <c r="L630" s="62"/>
      <c r="M630" s="60"/>
      <c r="N630" s="60"/>
      <c r="O630" s="3"/>
      <c r="P630" s="3"/>
      <c r="Q630" s="3"/>
      <c r="R630" s="3"/>
    </row>
    <row r="631">
      <c r="A631" s="164"/>
      <c r="B631" s="164"/>
      <c r="C631" s="165"/>
      <c r="D631" s="56"/>
      <c r="E631" s="57"/>
      <c r="F631" s="56"/>
      <c r="G631" s="56"/>
      <c r="H631" s="56"/>
      <c r="I631" s="62"/>
      <c r="J631" s="62"/>
      <c r="K631" s="62"/>
      <c r="L631" s="62"/>
      <c r="M631" s="60"/>
      <c r="N631" s="60"/>
      <c r="O631" s="3"/>
      <c r="P631" s="3"/>
      <c r="Q631" s="3"/>
      <c r="R631" s="3"/>
    </row>
    <row r="632">
      <c r="A632" s="164"/>
      <c r="B632" s="164"/>
      <c r="C632" s="165"/>
      <c r="D632" s="56"/>
      <c r="E632" s="57"/>
      <c r="F632" s="56"/>
      <c r="G632" s="56"/>
      <c r="H632" s="56"/>
      <c r="I632" s="62"/>
      <c r="J632" s="62"/>
      <c r="K632" s="62"/>
      <c r="L632" s="62"/>
      <c r="M632" s="60"/>
      <c r="N632" s="60"/>
      <c r="O632" s="3"/>
      <c r="P632" s="3"/>
      <c r="Q632" s="3"/>
      <c r="R632" s="3"/>
    </row>
    <row r="633">
      <c r="A633" s="164"/>
      <c r="B633" s="164"/>
      <c r="C633" s="165"/>
      <c r="D633" s="56"/>
      <c r="E633" s="57"/>
      <c r="F633" s="56"/>
      <c r="G633" s="56"/>
      <c r="H633" s="56"/>
      <c r="I633" s="62"/>
      <c r="J633" s="62"/>
      <c r="K633" s="62"/>
      <c r="L633" s="62"/>
      <c r="M633" s="60"/>
      <c r="N633" s="60"/>
      <c r="O633" s="3"/>
      <c r="P633" s="3"/>
      <c r="Q633" s="3"/>
      <c r="R633" s="3"/>
    </row>
    <row r="634">
      <c r="A634" s="164"/>
      <c r="B634" s="164"/>
      <c r="C634" s="165"/>
      <c r="D634" s="56"/>
      <c r="E634" s="57"/>
      <c r="F634" s="56"/>
      <c r="G634" s="56"/>
      <c r="H634" s="56"/>
      <c r="I634" s="62"/>
      <c r="J634" s="62"/>
      <c r="K634" s="62"/>
      <c r="L634" s="62"/>
      <c r="M634" s="60"/>
      <c r="N634" s="60"/>
      <c r="O634" s="3"/>
      <c r="P634" s="3"/>
      <c r="Q634" s="3"/>
      <c r="R634" s="3"/>
    </row>
    <row r="635">
      <c r="A635" s="164"/>
      <c r="B635" s="164"/>
      <c r="C635" s="165"/>
      <c r="D635" s="56"/>
      <c r="E635" s="57"/>
      <c r="F635" s="56"/>
      <c r="G635" s="56"/>
      <c r="H635" s="56"/>
      <c r="I635" s="62"/>
      <c r="J635" s="62"/>
      <c r="K635" s="62"/>
      <c r="L635" s="62"/>
      <c r="M635" s="60"/>
      <c r="N635" s="60"/>
      <c r="O635" s="3"/>
      <c r="P635" s="3"/>
      <c r="Q635" s="3"/>
      <c r="R635" s="3"/>
    </row>
    <row r="636">
      <c r="A636" s="164"/>
      <c r="B636" s="164"/>
      <c r="C636" s="165"/>
      <c r="D636" s="56"/>
      <c r="E636" s="57"/>
      <c r="F636" s="56"/>
      <c r="G636" s="56"/>
      <c r="H636" s="56"/>
      <c r="I636" s="62"/>
      <c r="J636" s="62"/>
      <c r="K636" s="62"/>
      <c r="L636" s="62"/>
      <c r="M636" s="60"/>
      <c r="N636" s="60"/>
      <c r="O636" s="3"/>
      <c r="P636" s="3"/>
      <c r="Q636" s="3"/>
      <c r="R636" s="3"/>
    </row>
    <row r="637">
      <c r="A637" s="164"/>
      <c r="B637" s="164"/>
      <c r="C637" s="165"/>
      <c r="D637" s="56"/>
      <c r="E637" s="57"/>
      <c r="F637" s="56"/>
      <c r="G637" s="56"/>
      <c r="H637" s="56"/>
      <c r="I637" s="62"/>
      <c r="J637" s="62"/>
      <c r="K637" s="62"/>
      <c r="L637" s="62"/>
      <c r="M637" s="60"/>
      <c r="N637" s="60"/>
      <c r="O637" s="3"/>
      <c r="P637" s="3"/>
      <c r="Q637" s="3"/>
      <c r="R637" s="3"/>
    </row>
    <row r="638">
      <c r="A638" s="164"/>
      <c r="B638" s="164"/>
      <c r="C638" s="165"/>
      <c r="D638" s="56"/>
      <c r="E638" s="57"/>
      <c r="F638" s="56"/>
      <c r="G638" s="56"/>
      <c r="H638" s="56"/>
      <c r="I638" s="62"/>
      <c r="J638" s="62"/>
      <c r="K638" s="62"/>
      <c r="L638" s="62"/>
      <c r="M638" s="60"/>
      <c r="N638" s="60"/>
      <c r="O638" s="3"/>
      <c r="P638" s="3"/>
      <c r="Q638" s="3"/>
      <c r="R638" s="3"/>
    </row>
    <row r="639">
      <c r="A639" s="164"/>
      <c r="B639" s="164"/>
      <c r="C639" s="165"/>
      <c r="D639" s="56"/>
      <c r="E639" s="57"/>
      <c r="F639" s="56"/>
      <c r="G639" s="56"/>
      <c r="H639" s="56"/>
      <c r="I639" s="62"/>
      <c r="J639" s="62"/>
      <c r="K639" s="62"/>
      <c r="L639" s="62"/>
      <c r="M639" s="60"/>
      <c r="N639" s="60"/>
      <c r="O639" s="3"/>
      <c r="P639" s="3"/>
      <c r="Q639" s="3"/>
      <c r="R639" s="3"/>
    </row>
    <row r="640">
      <c r="A640" s="164"/>
      <c r="B640" s="164"/>
      <c r="C640" s="165"/>
      <c r="D640" s="56"/>
      <c r="E640" s="57"/>
      <c r="F640" s="56"/>
      <c r="G640" s="56"/>
      <c r="H640" s="56"/>
      <c r="I640" s="62"/>
      <c r="J640" s="62"/>
      <c r="K640" s="62"/>
      <c r="L640" s="62"/>
      <c r="M640" s="60"/>
      <c r="N640" s="60"/>
      <c r="O640" s="3"/>
      <c r="P640" s="3"/>
      <c r="Q640" s="3"/>
      <c r="R640" s="3"/>
    </row>
    <row r="641">
      <c r="A641" s="164"/>
      <c r="B641" s="164"/>
      <c r="C641" s="165"/>
      <c r="D641" s="56"/>
      <c r="E641" s="57"/>
      <c r="F641" s="56"/>
      <c r="G641" s="56"/>
      <c r="H641" s="56"/>
      <c r="I641" s="62"/>
      <c r="J641" s="62"/>
      <c r="K641" s="62"/>
      <c r="L641" s="62"/>
      <c r="M641" s="60"/>
      <c r="N641" s="60"/>
      <c r="O641" s="3"/>
      <c r="P641" s="3"/>
      <c r="Q641" s="3"/>
      <c r="R641" s="3"/>
    </row>
    <row r="642">
      <c r="A642" s="164"/>
      <c r="B642" s="164"/>
      <c r="C642" s="165"/>
      <c r="D642" s="56"/>
      <c r="E642" s="57"/>
      <c r="F642" s="56"/>
      <c r="G642" s="56"/>
      <c r="H642" s="56"/>
      <c r="I642" s="62"/>
      <c r="J642" s="62"/>
      <c r="K642" s="62"/>
      <c r="L642" s="62"/>
      <c r="M642" s="60"/>
      <c r="N642" s="60"/>
      <c r="O642" s="3"/>
      <c r="P642" s="3"/>
      <c r="Q642" s="3"/>
      <c r="R642" s="3"/>
    </row>
    <row r="643">
      <c r="A643" s="164"/>
      <c r="B643" s="164"/>
      <c r="C643" s="165"/>
      <c r="D643" s="56"/>
      <c r="E643" s="57"/>
      <c r="F643" s="56"/>
      <c r="G643" s="56"/>
      <c r="H643" s="56"/>
      <c r="I643" s="62"/>
      <c r="J643" s="62"/>
      <c r="K643" s="62"/>
      <c r="L643" s="62"/>
      <c r="M643" s="60"/>
      <c r="N643" s="60"/>
      <c r="O643" s="3"/>
      <c r="P643" s="3"/>
      <c r="Q643" s="3"/>
      <c r="R643" s="3"/>
    </row>
    <row r="644">
      <c r="A644" s="164"/>
      <c r="B644" s="164"/>
      <c r="C644" s="165"/>
      <c r="D644" s="56"/>
      <c r="E644" s="57"/>
      <c r="F644" s="56"/>
      <c r="G644" s="56"/>
      <c r="H644" s="56"/>
      <c r="I644" s="62"/>
      <c r="J644" s="62"/>
      <c r="K644" s="62"/>
      <c r="L644" s="62"/>
      <c r="M644" s="60"/>
      <c r="N644" s="60"/>
      <c r="O644" s="3"/>
      <c r="P644" s="3"/>
      <c r="Q644" s="3"/>
      <c r="R644" s="3"/>
    </row>
    <row r="645">
      <c r="A645" s="164"/>
      <c r="B645" s="164"/>
      <c r="C645" s="165"/>
      <c r="D645" s="56"/>
      <c r="E645" s="57"/>
      <c r="F645" s="56"/>
      <c r="G645" s="56"/>
      <c r="H645" s="56"/>
      <c r="I645" s="62"/>
      <c r="J645" s="62"/>
      <c r="K645" s="62"/>
      <c r="L645" s="62"/>
      <c r="M645" s="60"/>
      <c r="N645" s="60"/>
      <c r="O645" s="3"/>
      <c r="P645" s="3"/>
      <c r="Q645" s="3"/>
      <c r="R645" s="3"/>
    </row>
    <row r="646">
      <c r="A646" s="164"/>
      <c r="B646" s="164"/>
      <c r="C646" s="165"/>
      <c r="D646" s="56"/>
      <c r="E646" s="57"/>
      <c r="F646" s="56"/>
      <c r="G646" s="56"/>
      <c r="H646" s="56"/>
      <c r="I646" s="62"/>
      <c r="J646" s="62"/>
      <c r="K646" s="62"/>
      <c r="L646" s="62"/>
      <c r="M646" s="60"/>
      <c r="N646" s="60"/>
      <c r="O646" s="3"/>
      <c r="P646" s="3"/>
      <c r="Q646" s="3"/>
      <c r="R646" s="3"/>
    </row>
    <row r="647">
      <c r="A647" s="164"/>
      <c r="B647" s="164"/>
      <c r="C647" s="165"/>
      <c r="D647" s="56"/>
      <c r="E647" s="57"/>
      <c r="F647" s="56"/>
      <c r="G647" s="56"/>
      <c r="H647" s="56"/>
      <c r="I647" s="62"/>
      <c r="J647" s="62"/>
      <c r="K647" s="62"/>
      <c r="L647" s="62"/>
      <c r="M647" s="60"/>
      <c r="N647" s="60"/>
      <c r="O647" s="3"/>
      <c r="P647" s="3"/>
      <c r="Q647" s="3"/>
      <c r="R647" s="3"/>
    </row>
    <row r="648">
      <c r="A648" s="164"/>
      <c r="B648" s="164"/>
      <c r="C648" s="165"/>
      <c r="D648" s="56"/>
      <c r="E648" s="57"/>
      <c r="F648" s="56"/>
      <c r="G648" s="56"/>
      <c r="H648" s="56"/>
      <c r="I648" s="62"/>
      <c r="J648" s="62"/>
      <c r="K648" s="62"/>
      <c r="L648" s="62"/>
      <c r="M648" s="60"/>
      <c r="N648" s="60"/>
      <c r="O648" s="3"/>
      <c r="P648" s="3"/>
      <c r="Q648" s="3"/>
      <c r="R648" s="3"/>
    </row>
    <row r="649">
      <c r="A649" s="164"/>
      <c r="B649" s="164"/>
      <c r="C649" s="165"/>
      <c r="D649" s="56"/>
      <c r="E649" s="57"/>
      <c r="F649" s="56"/>
      <c r="G649" s="56"/>
      <c r="H649" s="56"/>
      <c r="I649" s="62"/>
      <c r="J649" s="62"/>
      <c r="K649" s="62"/>
      <c r="L649" s="62"/>
      <c r="M649" s="60"/>
      <c r="N649" s="60"/>
      <c r="O649" s="3"/>
      <c r="P649" s="3"/>
      <c r="Q649" s="3"/>
      <c r="R649" s="3"/>
    </row>
    <row r="650">
      <c r="A650" s="164"/>
      <c r="B650" s="164"/>
      <c r="C650" s="165"/>
      <c r="D650" s="56"/>
      <c r="E650" s="57"/>
      <c r="F650" s="56"/>
      <c r="G650" s="56"/>
      <c r="H650" s="56"/>
      <c r="I650" s="62"/>
      <c r="J650" s="62"/>
      <c r="K650" s="62"/>
      <c r="L650" s="62"/>
      <c r="M650" s="60"/>
      <c r="N650" s="60"/>
      <c r="O650" s="3"/>
      <c r="P650" s="3"/>
      <c r="Q650" s="3"/>
      <c r="R650" s="3"/>
    </row>
    <row r="651">
      <c r="A651" s="164"/>
      <c r="B651" s="164"/>
      <c r="C651" s="165"/>
      <c r="D651" s="56"/>
      <c r="E651" s="57"/>
      <c r="F651" s="56"/>
      <c r="G651" s="56"/>
      <c r="H651" s="56"/>
      <c r="I651" s="62"/>
      <c r="J651" s="62"/>
      <c r="K651" s="62"/>
      <c r="L651" s="62"/>
      <c r="M651" s="60"/>
      <c r="N651" s="60"/>
      <c r="O651" s="3"/>
      <c r="P651" s="3"/>
      <c r="Q651" s="3"/>
      <c r="R651" s="3"/>
    </row>
    <row r="652">
      <c r="A652" s="164"/>
      <c r="B652" s="164"/>
      <c r="C652" s="165"/>
      <c r="D652" s="56"/>
      <c r="E652" s="57"/>
      <c r="F652" s="56"/>
      <c r="G652" s="56"/>
      <c r="H652" s="56"/>
      <c r="I652" s="62"/>
      <c r="J652" s="62"/>
      <c r="K652" s="62"/>
      <c r="L652" s="62"/>
      <c r="M652" s="60"/>
      <c r="N652" s="60"/>
      <c r="O652" s="3"/>
      <c r="P652" s="3"/>
      <c r="Q652" s="3"/>
      <c r="R652" s="3"/>
    </row>
    <row r="653">
      <c r="A653" s="164"/>
      <c r="B653" s="164"/>
      <c r="C653" s="165"/>
      <c r="D653" s="56"/>
      <c r="E653" s="57"/>
      <c r="F653" s="56"/>
      <c r="G653" s="56"/>
      <c r="H653" s="56"/>
      <c r="I653" s="62"/>
      <c r="J653" s="62"/>
      <c r="K653" s="62"/>
      <c r="L653" s="62"/>
      <c r="M653" s="60"/>
      <c r="N653" s="60"/>
      <c r="O653" s="3"/>
      <c r="P653" s="3"/>
      <c r="Q653" s="3"/>
      <c r="R653" s="3"/>
    </row>
    <row r="654">
      <c r="A654" s="164"/>
      <c r="B654" s="164"/>
      <c r="C654" s="165"/>
      <c r="D654" s="56"/>
      <c r="E654" s="57"/>
      <c r="F654" s="56"/>
      <c r="G654" s="56"/>
      <c r="H654" s="56"/>
      <c r="I654" s="62"/>
      <c r="J654" s="62"/>
      <c r="K654" s="62"/>
      <c r="L654" s="62"/>
      <c r="M654" s="60"/>
      <c r="N654" s="60"/>
      <c r="O654" s="3"/>
      <c r="P654" s="3"/>
      <c r="Q654" s="3"/>
      <c r="R654" s="3"/>
    </row>
    <row r="655">
      <c r="A655" s="164"/>
      <c r="B655" s="164"/>
      <c r="C655" s="165"/>
      <c r="D655" s="56"/>
      <c r="E655" s="57"/>
      <c r="F655" s="56"/>
      <c r="G655" s="56"/>
      <c r="H655" s="56"/>
      <c r="I655" s="62"/>
      <c r="J655" s="62"/>
      <c r="K655" s="62"/>
      <c r="L655" s="62"/>
      <c r="M655" s="60"/>
      <c r="N655" s="60"/>
      <c r="O655" s="3"/>
      <c r="P655" s="3"/>
      <c r="Q655" s="3"/>
      <c r="R655" s="3"/>
    </row>
    <row r="656">
      <c r="A656" s="164"/>
      <c r="B656" s="164"/>
      <c r="C656" s="165"/>
      <c r="D656" s="56"/>
      <c r="E656" s="57"/>
      <c r="F656" s="56"/>
      <c r="G656" s="56"/>
      <c r="H656" s="56"/>
      <c r="I656" s="62"/>
      <c r="J656" s="62"/>
      <c r="K656" s="62"/>
      <c r="L656" s="62"/>
      <c r="M656" s="60"/>
      <c r="N656" s="60"/>
      <c r="O656" s="3"/>
      <c r="P656" s="3"/>
      <c r="Q656" s="3"/>
      <c r="R656" s="3"/>
    </row>
    <row r="657">
      <c r="A657" s="164"/>
      <c r="B657" s="164"/>
      <c r="C657" s="165"/>
      <c r="D657" s="56"/>
      <c r="E657" s="57"/>
      <c r="F657" s="56"/>
      <c r="G657" s="56"/>
      <c r="H657" s="56"/>
      <c r="I657" s="62"/>
      <c r="J657" s="62"/>
      <c r="K657" s="62"/>
      <c r="L657" s="62"/>
      <c r="M657" s="60"/>
      <c r="N657" s="60"/>
      <c r="O657" s="3"/>
      <c r="P657" s="3"/>
      <c r="Q657" s="3"/>
      <c r="R657" s="3"/>
    </row>
    <row r="658">
      <c r="A658" s="164"/>
      <c r="B658" s="164"/>
      <c r="C658" s="165"/>
      <c r="D658" s="56"/>
      <c r="E658" s="57"/>
      <c r="F658" s="56"/>
      <c r="G658" s="56"/>
      <c r="H658" s="56"/>
      <c r="I658" s="62"/>
      <c r="J658" s="62"/>
      <c r="K658" s="62"/>
      <c r="L658" s="62"/>
      <c r="M658" s="60"/>
      <c r="N658" s="60"/>
      <c r="O658" s="3"/>
      <c r="P658" s="3"/>
      <c r="Q658" s="3"/>
      <c r="R658" s="3"/>
    </row>
    <row r="659">
      <c r="A659" s="164"/>
      <c r="B659" s="164"/>
      <c r="C659" s="165"/>
      <c r="D659" s="56"/>
      <c r="E659" s="57"/>
      <c r="F659" s="56"/>
      <c r="G659" s="56"/>
      <c r="H659" s="56"/>
      <c r="I659" s="62"/>
      <c r="J659" s="62"/>
      <c r="K659" s="62"/>
      <c r="L659" s="62"/>
      <c r="M659" s="60"/>
      <c r="N659" s="60"/>
      <c r="O659" s="3"/>
      <c r="P659" s="3"/>
      <c r="Q659" s="3"/>
      <c r="R659" s="3"/>
    </row>
    <row r="660">
      <c r="A660" s="164"/>
      <c r="B660" s="164"/>
      <c r="C660" s="165"/>
      <c r="D660" s="56"/>
      <c r="E660" s="57"/>
      <c r="F660" s="56"/>
      <c r="G660" s="56"/>
      <c r="H660" s="56"/>
      <c r="I660" s="62"/>
      <c r="J660" s="62"/>
      <c r="K660" s="62"/>
      <c r="L660" s="62"/>
      <c r="M660" s="60"/>
      <c r="N660" s="60"/>
      <c r="O660" s="3"/>
      <c r="P660" s="3"/>
      <c r="Q660" s="3"/>
      <c r="R660" s="3"/>
    </row>
    <row r="661">
      <c r="A661" s="164"/>
      <c r="B661" s="164"/>
      <c r="C661" s="165"/>
      <c r="D661" s="56"/>
      <c r="E661" s="57"/>
      <c r="F661" s="56"/>
      <c r="G661" s="56"/>
      <c r="H661" s="56"/>
      <c r="I661" s="62"/>
      <c r="J661" s="62"/>
      <c r="K661" s="62"/>
      <c r="L661" s="62"/>
      <c r="M661" s="60"/>
      <c r="N661" s="60"/>
      <c r="O661" s="3"/>
      <c r="P661" s="3"/>
      <c r="Q661" s="3"/>
      <c r="R661" s="3"/>
    </row>
    <row r="662">
      <c r="A662" s="164"/>
      <c r="B662" s="164"/>
      <c r="C662" s="165"/>
      <c r="D662" s="56"/>
      <c r="E662" s="57"/>
      <c r="F662" s="56"/>
      <c r="G662" s="56"/>
      <c r="H662" s="56"/>
      <c r="I662" s="62"/>
      <c r="J662" s="62"/>
      <c r="K662" s="62"/>
      <c r="L662" s="62"/>
      <c r="M662" s="60"/>
      <c r="N662" s="60"/>
      <c r="O662" s="3"/>
      <c r="P662" s="3"/>
      <c r="Q662" s="3"/>
      <c r="R662" s="3"/>
    </row>
    <row r="663">
      <c r="A663" s="164"/>
      <c r="B663" s="164"/>
      <c r="C663" s="165"/>
      <c r="D663" s="56"/>
      <c r="E663" s="57"/>
      <c r="F663" s="56"/>
      <c r="G663" s="56"/>
      <c r="H663" s="56"/>
      <c r="I663" s="62"/>
      <c r="J663" s="62"/>
      <c r="K663" s="62"/>
      <c r="L663" s="62"/>
      <c r="M663" s="60"/>
      <c r="N663" s="60"/>
      <c r="O663" s="3"/>
      <c r="P663" s="3"/>
      <c r="Q663" s="3"/>
      <c r="R663" s="3"/>
    </row>
    <row r="664">
      <c r="A664" s="164"/>
      <c r="B664" s="164"/>
      <c r="C664" s="165"/>
      <c r="D664" s="56"/>
      <c r="E664" s="57"/>
      <c r="F664" s="56"/>
      <c r="G664" s="56"/>
      <c r="H664" s="56"/>
      <c r="I664" s="62"/>
      <c r="J664" s="62"/>
      <c r="K664" s="62"/>
      <c r="L664" s="62"/>
      <c r="M664" s="60"/>
      <c r="N664" s="60"/>
      <c r="O664" s="3"/>
      <c r="P664" s="3"/>
      <c r="Q664" s="3"/>
      <c r="R664" s="3"/>
    </row>
    <row r="665">
      <c r="A665" s="164"/>
      <c r="B665" s="164"/>
      <c r="C665" s="165"/>
      <c r="D665" s="56"/>
      <c r="E665" s="57"/>
      <c r="F665" s="56"/>
      <c r="G665" s="56"/>
      <c r="H665" s="56"/>
      <c r="I665" s="62"/>
      <c r="J665" s="62"/>
      <c r="K665" s="62"/>
      <c r="L665" s="62"/>
      <c r="M665" s="60"/>
      <c r="N665" s="60"/>
      <c r="O665" s="3"/>
      <c r="P665" s="3"/>
      <c r="Q665" s="3"/>
      <c r="R665" s="3"/>
    </row>
    <row r="666">
      <c r="A666" s="164"/>
      <c r="B666" s="164"/>
      <c r="C666" s="165"/>
      <c r="D666" s="56"/>
      <c r="E666" s="57"/>
      <c r="F666" s="56"/>
      <c r="G666" s="56"/>
      <c r="H666" s="56"/>
      <c r="I666" s="62"/>
      <c r="J666" s="62"/>
      <c r="K666" s="62"/>
      <c r="L666" s="62"/>
      <c r="M666" s="60"/>
      <c r="N666" s="60"/>
      <c r="O666" s="3"/>
      <c r="P666" s="3"/>
      <c r="Q666" s="3"/>
      <c r="R666" s="3"/>
    </row>
    <row r="667">
      <c r="A667" s="164"/>
      <c r="B667" s="164"/>
      <c r="C667" s="165"/>
      <c r="D667" s="56"/>
      <c r="E667" s="57"/>
      <c r="F667" s="56"/>
      <c r="G667" s="56"/>
      <c r="H667" s="56"/>
      <c r="I667" s="62"/>
      <c r="J667" s="62"/>
      <c r="K667" s="62"/>
      <c r="L667" s="62"/>
      <c r="M667" s="60"/>
      <c r="N667" s="60"/>
      <c r="O667" s="3"/>
      <c r="P667" s="3"/>
      <c r="Q667" s="3"/>
      <c r="R667" s="3"/>
    </row>
    <row r="668">
      <c r="A668" s="164"/>
      <c r="B668" s="164"/>
      <c r="C668" s="165"/>
      <c r="D668" s="56"/>
      <c r="E668" s="57"/>
      <c r="F668" s="56"/>
      <c r="G668" s="56"/>
      <c r="H668" s="56"/>
      <c r="I668" s="62"/>
      <c r="J668" s="62"/>
      <c r="K668" s="62"/>
      <c r="L668" s="62"/>
      <c r="M668" s="60"/>
      <c r="N668" s="60"/>
      <c r="O668" s="3"/>
      <c r="P668" s="3"/>
      <c r="Q668" s="3"/>
      <c r="R668" s="3"/>
    </row>
    <row r="669">
      <c r="A669" s="164"/>
      <c r="B669" s="164"/>
      <c r="C669" s="165"/>
      <c r="D669" s="56"/>
      <c r="E669" s="57"/>
      <c r="F669" s="56"/>
      <c r="G669" s="56"/>
      <c r="H669" s="56"/>
      <c r="I669" s="62"/>
      <c r="J669" s="62"/>
      <c r="K669" s="62"/>
      <c r="L669" s="62"/>
      <c r="M669" s="60"/>
      <c r="N669" s="60"/>
      <c r="O669" s="3"/>
      <c r="P669" s="3"/>
      <c r="Q669" s="3"/>
      <c r="R669" s="3"/>
    </row>
    <row r="670">
      <c r="A670" s="164"/>
      <c r="B670" s="164"/>
      <c r="C670" s="165"/>
      <c r="D670" s="56"/>
      <c r="E670" s="57"/>
      <c r="F670" s="56"/>
      <c r="G670" s="56"/>
      <c r="H670" s="56"/>
      <c r="I670" s="62"/>
      <c r="J670" s="62"/>
      <c r="K670" s="62"/>
      <c r="L670" s="62"/>
      <c r="M670" s="60"/>
      <c r="N670" s="60"/>
      <c r="O670" s="3"/>
      <c r="P670" s="3"/>
      <c r="Q670" s="3"/>
      <c r="R670" s="3"/>
    </row>
    <row r="671">
      <c r="A671" s="164"/>
      <c r="B671" s="164"/>
      <c r="C671" s="165"/>
      <c r="D671" s="56"/>
      <c r="E671" s="57"/>
      <c r="F671" s="56"/>
      <c r="G671" s="56"/>
      <c r="H671" s="56"/>
      <c r="I671" s="62"/>
      <c r="J671" s="62"/>
      <c r="K671" s="62"/>
      <c r="L671" s="62"/>
      <c r="M671" s="60"/>
      <c r="N671" s="60"/>
      <c r="O671" s="3"/>
      <c r="P671" s="3"/>
      <c r="Q671" s="3"/>
      <c r="R671" s="3"/>
    </row>
    <row r="672">
      <c r="A672" s="164"/>
      <c r="B672" s="164"/>
      <c r="C672" s="165"/>
      <c r="D672" s="56"/>
      <c r="E672" s="57"/>
      <c r="F672" s="56"/>
      <c r="G672" s="56"/>
      <c r="H672" s="56"/>
      <c r="I672" s="62"/>
      <c r="J672" s="62"/>
      <c r="K672" s="62"/>
      <c r="L672" s="62"/>
      <c r="M672" s="60"/>
      <c r="N672" s="60"/>
      <c r="O672" s="3"/>
      <c r="P672" s="3"/>
      <c r="Q672" s="3"/>
      <c r="R672" s="3"/>
    </row>
    <row r="673">
      <c r="A673" s="164"/>
      <c r="B673" s="164"/>
      <c r="C673" s="165"/>
      <c r="D673" s="56"/>
      <c r="E673" s="57"/>
      <c r="F673" s="56"/>
      <c r="G673" s="56"/>
      <c r="H673" s="56"/>
      <c r="I673" s="62"/>
      <c r="J673" s="62"/>
      <c r="K673" s="62"/>
      <c r="L673" s="62"/>
      <c r="M673" s="60"/>
      <c r="N673" s="60"/>
      <c r="O673" s="3"/>
      <c r="P673" s="3"/>
      <c r="Q673" s="3"/>
      <c r="R673" s="3"/>
    </row>
    <row r="674">
      <c r="A674" s="164"/>
      <c r="B674" s="164"/>
      <c r="C674" s="165"/>
      <c r="D674" s="56"/>
      <c r="E674" s="57"/>
      <c r="F674" s="56"/>
      <c r="G674" s="56"/>
      <c r="H674" s="56"/>
      <c r="I674" s="62"/>
      <c r="J674" s="62"/>
      <c r="K674" s="62"/>
      <c r="L674" s="62"/>
      <c r="M674" s="60"/>
      <c r="N674" s="60"/>
      <c r="O674" s="3"/>
      <c r="P674" s="3"/>
      <c r="Q674" s="3"/>
      <c r="R674" s="3"/>
    </row>
    <row r="675">
      <c r="A675" s="164"/>
      <c r="B675" s="164"/>
      <c r="C675" s="165"/>
      <c r="D675" s="56"/>
      <c r="E675" s="57"/>
      <c r="F675" s="56"/>
      <c r="G675" s="56"/>
      <c r="H675" s="56"/>
      <c r="I675" s="62"/>
      <c r="J675" s="62"/>
      <c r="K675" s="62"/>
      <c r="L675" s="62"/>
      <c r="M675" s="60"/>
      <c r="N675" s="60"/>
      <c r="O675" s="3"/>
      <c r="P675" s="3"/>
      <c r="Q675" s="3"/>
      <c r="R675" s="3"/>
    </row>
    <row r="676">
      <c r="A676" s="164"/>
      <c r="B676" s="164"/>
      <c r="C676" s="165"/>
      <c r="D676" s="56"/>
      <c r="E676" s="57"/>
      <c r="F676" s="56"/>
      <c r="G676" s="56"/>
      <c r="H676" s="56"/>
      <c r="I676" s="62"/>
      <c r="J676" s="62"/>
      <c r="K676" s="62"/>
      <c r="L676" s="62"/>
      <c r="M676" s="60"/>
      <c r="N676" s="60"/>
      <c r="O676" s="3"/>
      <c r="P676" s="3"/>
      <c r="Q676" s="3"/>
      <c r="R676" s="3"/>
    </row>
    <row r="677">
      <c r="A677" s="164"/>
      <c r="B677" s="164"/>
      <c r="C677" s="165"/>
      <c r="D677" s="56"/>
      <c r="E677" s="57"/>
      <c r="F677" s="56"/>
      <c r="G677" s="56"/>
      <c r="H677" s="56"/>
      <c r="I677" s="62"/>
      <c r="J677" s="62"/>
      <c r="K677" s="62"/>
      <c r="L677" s="62"/>
      <c r="M677" s="60"/>
      <c r="N677" s="60"/>
      <c r="O677" s="3"/>
      <c r="P677" s="3"/>
      <c r="Q677" s="3"/>
      <c r="R677" s="3"/>
    </row>
    <row r="678">
      <c r="A678" s="164"/>
      <c r="B678" s="164"/>
      <c r="C678" s="165"/>
      <c r="D678" s="56"/>
      <c r="E678" s="57"/>
      <c r="F678" s="56"/>
      <c r="G678" s="56"/>
      <c r="H678" s="56"/>
      <c r="I678" s="62"/>
      <c r="J678" s="62"/>
      <c r="K678" s="62"/>
      <c r="L678" s="62"/>
      <c r="M678" s="60"/>
      <c r="N678" s="60"/>
      <c r="O678" s="3"/>
      <c r="P678" s="3"/>
      <c r="Q678" s="3"/>
      <c r="R678" s="3"/>
    </row>
    <row r="679">
      <c r="A679" s="164"/>
      <c r="B679" s="164"/>
      <c r="C679" s="165"/>
      <c r="D679" s="56"/>
      <c r="E679" s="57"/>
      <c r="F679" s="56"/>
      <c r="G679" s="56"/>
      <c r="H679" s="56"/>
      <c r="I679" s="62"/>
      <c r="J679" s="62"/>
      <c r="K679" s="62"/>
      <c r="L679" s="62"/>
      <c r="M679" s="60"/>
      <c r="N679" s="60"/>
      <c r="O679" s="3"/>
      <c r="P679" s="3"/>
      <c r="Q679" s="3"/>
      <c r="R679" s="3"/>
    </row>
    <row r="680">
      <c r="A680" s="164"/>
      <c r="B680" s="164"/>
      <c r="C680" s="165"/>
      <c r="D680" s="56"/>
      <c r="E680" s="57"/>
      <c r="F680" s="56"/>
      <c r="G680" s="56"/>
      <c r="H680" s="56"/>
      <c r="I680" s="62"/>
      <c r="J680" s="62"/>
      <c r="K680" s="62"/>
      <c r="L680" s="62"/>
      <c r="M680" s="60"/>
      <c r="N680" s="60"/>
      <c r="O680" s="3"/>
      <c r="P680" s="3"/>
      <c r="Q680" s="3"/>
      <c r="R680" s="3"/>
    </row>
    <row r="681">
      <c r="A681" s="164"/>
      <c r="B681" s="164"/>
      <c r="C681" s="165"/>
      <c r="D681" s="56"/>
      <c r="E681" s="57"/>
      <c r="F681" s="56"/>
      <c r="G681" s="56"/>
      <c r="H681" s="56"/>
      <c r="I681" s="62"/>
      <c r="J681" s="62"/>
      <c r="K681" s="62"/>
      <c r="L681" s="62"/>
      <c r="M681" s="60"/>
      <c r="N681" s="60"/>
      <c r="O681" s="3"/>
      <c r="P681" s="3"/>
      <c r="Q681" s="3"/>
      <c r="R681" s="3"/>
    </row>
    <row r="682">
      <c r="A682" s="164"/>
      <c r="B682" s="164"/>
      <c r="C682" s="165"/>
      <c r="D682" s="56"/>
      <c r="E682" s="57"/>
      <c r="F682" s="56"/>
      <c r="G682" s="56"/>
      <c r="H682" s="56"/>
      <c r="I682" s="62"/>
      <c r="J682" s="62"/>
      <c r="K682" s="62"/>
      <c r="L682" s="62"/>
      <c r="M682" s="60"/>
      <c r="N682" s="60"/>
      <c r="O682" s="3"/>
      <c r="P682" s="3"/>
      <c r="Q682" s="3"/>
      <c r="R682" s="3"/>
    </row>
    <row r="683">
      <c r="A683" s="164"/>
      <c r="B683" s="164"/>
      <c r="C683" s="165"/>
      <c r="D683" s="56"/>
      <c r="E683" s="57"/>
      <c r="F683" s="56"/>
      <c r="G683" s="56"/>
      <c r="H683" s="56"/>
      <c r="I683" s="62"/>
      <c r="J683" s="62"/>
      <c r="K683" s="62"/>
      <c r="L683" s="62"/>
      <c r="M683" s="60"/>
      <c r="N683" s="60"/>
      <c r="O683" s="3"/>
      <c r="P683" s="3"/>
      <c r="Q683" s="3"/>
      <c r="R683" s="3"/>
    </row>
    <row r="684">
      <c r="A684" s="164"/>
      <c r="B684" s="164"/>
      <c r="C684" s="165"/>
      <c r="D684" s="56"/>
      <c r="E684" s="57"/>
      <c r="F684" s="56"/>
      <c r="G684" s="56"/>
      <c r="H684" s="56"/>
      <c r="I684" s="62"/>
      <c r="J684" s="62"/>
      <c r="K684" s="62"/>
      <c r="L684" s="62"/>
      <c r="M684" s="60"/>
      <c r="N684" s="60"/>
      <c r="O684" s="3"/>
      <c r="P684" s="3"/>
      <c r="Q684" s="3"/>
      <c r="R684" s="3"/>
    </row>
    <row r="685">
      <c r="A685" s="164"/>
      <c r="B685" s="164"/>
      <c r="C685" s="165"/>
      <c r="D685" s="56"/>
      <c r="E685" s="57"/>
      <c r="F685" s="56"/>
      <c r="G685" s="56"/>
      <c r="H685" s="56"/>
      <c r="I685" s="62"/>
      <c r="J685" s="62"/>
      <c r="K685" s="62"/>
      <c r="L685" s="62"/>
      <c r="M685" s="60"/>
      <c r="N685" s="60"/>
      <c r="O685" s="3"/>
      <c r="P685" s="3"/>
      <c r="Q685" s="3"/>
      <c r="R685" s="3"/>
    </row>
    <row r="686">
      <c r="A686" s="164"/>
      <c r="B686" s="164"/>
      <c r="C686" s="165"/>
      <c r="D686" s="56"/>
      <c r="E686" s="57"/>
      <c r="F686" s="56"/>
      <c r="G686" s="56"/>
      <c r="H686" s="56"/>
      <c r="I686" s="62"/>
      <c r="J686" s="62"/>
      <c r="K686" s="62"/>
      <c r="L686" s="62"/>
      <c r="M686" s="60"/>
      <c r="N686" s="60"/>
      <c r="O686" s="3"/>
      <c r="P686" s="3"/>
      <c r="Q686" s="3"/>
      <c r="R686" s="3"/>
    </row>
    <row r="687">
      <c r="A687" s="164"/>
      <c r="B687" s="164"/>
      <c r="C687" s="165"/>
      <c r="D687" s="56"/>
      <c r="E687" s="57"/>
      <c r="F687" s="56"/>
      <c r="G687" s="56"/>
      <c r="H687" s="56"/>
      <c r="I687" s="62"/>
      <c r="J687" s="62"/>
      <c r="K687" s="62"/>
      <c r="L687" s="62"/>
      <c r="M687" s="60"/>
      <c r="N687" s="60"/>
      <c r="O687" s="3"/>
      <c r="P687" s="3"/>
      <c r="Q687" s="3"/>
      <c r="R687" s="3"/>
    </row>
    <row r="688">
      <c r="A688" s="164"/>
      <c r="B688" s="164"/>
      <c r="C688" s="165"/>
      <c r="D688" s="56"/>
      <c r="E688" s="57"/>
      <c r="F688" s="56"/>
      <c r="G688" s="56"/>
      <c r="H688" s="56"/>
      <c r="I688" s="62"/>
      <c r="J688" s="62"/>
      <c r="K688" s="62"/>
      <c r="L688" s="62"/>
      <c r="M688" s="60"/>
      <c r="N688" s="60"/>
      <c r="O688" s="3"/>
      <c r="P688" s="3"/>
      <c r="Q688" s="3"/>
      <c r="R688" s="3"/>
    </row>
    <row r="689">
      <c r="A689" s="164"/>
      <c r="B689" s="164"/>
      <c r="C689" s="165"/>
      <c r="D689" s="56"/>
      <c r="E689" s="57"/>
      <c r="F689" s="56"/>
      <c r="G689" s="56"/>
      <c r="H689" s="56"/>
      <c r="I689" s="62"/>
      <c r="J689" s="62"/>
      <c r="K689" s="62"/>
      <c r="L689" s="62"/>
      <c r="M689" s="60"/>
      <c r="N689" s="60"/>
      <c r="O689" s="3"/>
      <c r="P689" s="3"/>
      <c r="Q689" s="3"/>
      <c r="R689" s="3"/>
    </row>
    <row r="690">
      <c r="A690" s="164"/>
      <c r="B690" s="164"/>
      <c r="C690" s="165"/>
      <c r="D690" s="56"/>
      <c r="E690" s="57"/>
      <c r="F690" s="56"/>
      <c r="G690" s="56"/>
      <c r="H690" s="56"/>
      <c r="I690" s="62"/>
      <c r="J690" s="62"/>
      <c r="K690" s="62"/>
      <c r="L690" s="62"/>
      <c r="M690" s="60"/>
      <c r="N690" s="60"/>
      <c r="O690" s="3"/>
      <c r="P690" s="3"/>
      <c r="Q690" s="3"/>
      <c r="R690" s="3"/>
    </row>
    <row r="691">
      <c r="A691" s="164"/>
      <c r="B691" s="164"/>
      <c r="C691" s="165"/>
      <c r="D691" s="56"/>
      <c r="E691" s="57"/>
      <c r="F691" s="56"/>
      <c r="G691" s="56"/>
      <c r="H691" s="56"/>
      <c r="I691" s="62"/>
      <c r="J691" s="62"/>
      <c r="K691" s="62"/>
      <c r="L691" s="62"/>
      <c r="M691" s="60"/>
      <c r="N691" s="60"/>
      <c r="O691" s="3"/>
      <c r="P691" s="3"/>
      <c r="Q691" s="3"/>
      <c r="R691" s="3"/>
    </row>
    <row r="692">
      <c r="A692" s="164"/>
      <c r="B692" s="164"/>
      <c r="C692" s="165"/>
      <c r="D692" s="56"/>
      <c r="E692" s="57"/>
      <c r="F692" s="56"/>
      <c r="G692" s="56"/>
      <c r="H692" s="56"/>
      <c r="I692" s="62"/>
      <c r="J692" s="62"/>
      <c r="K692" s="62"/>
      <c r="L692" s="62"/>
      <c r="M692" s="60"/>
      <c r="N692" s="60"/>
      <c r="O692" s="3"/>
      <c r="P692" s="3"/>
      <c r="Q692" s="3"/>
      <c r="R692" s="3"/>
    </row>
    <row r="693">
      <c r="A693" s="164"/>
      <c r="B693" s="164"/>
      <c r="C693" s="165"/>
      <c r="D693" s="56"/>
      <c r="E693" s="57"/>
      <c r="F693" s="56"/>
      <c r="G693" s="56"/>
      <c r="H693" s="56"/>
      <c r="I693" s="62"/>
      <c r="J693" s="62"/>
      <c r="K693" s="62"/>
      <c r="L693" s="62"/>
      <c r="M693" s="60"/>
      <c r="N693" s="60"/>
      <c r="O693" s="3"/>
      <c r="P693" s="3"/>
      <c r="Q693" s="3"/>
      <c r="R693" s="3"/>
    </row>
    <row r="694">
      <c r="A694" s="164"/>
      <c r="B694" s="164"/>
      <c r="C694" s="165"/>
      <c r="D694" s="56"/>
      <c r="E694" s="57"/>
      <c r="F694" s="56"/>
      <c r="G694" s="56"/>
      <c r="H694" s="56"/>
      <c r="I694" s="62"/>
      <c r="J694" s="62"/>
      <c r="K694" s="62"/>
      <c r="L694" s="62"/>
      <c r="M694" s="60"/>
      <c r="N694" s="60"/>
      <c r="O694" s="3"/>
      <c r="P694" s="3"/>
      <c r="Q694" s="3"/>
      <c r="R694" s="3"/>
    </row>
    <row r="695">
      <c r="A695" s="164"/>
      <c r="B695" s="164"/>
      <c r="C695" s="165"/>
      <c r="D695" s="56"/>
      <c r="E695" s="57"/>
      <c r="F695" s="56"/>
      <c r="G695" s="56"/>
      <c r="H695" s="56"/>
      <c r="I695" s="62"/>
      <c r="J695" s="62"/>
      <c r="K695" s="62"/>
      <c r="L695" s="62"/>
      <c r="M695" s="60"/>
      <c r="N695" s="60"/>
      <c r="O695" s="3"/>
      <c r="P695" s="3"/>
      <c r="Q695" s="3"/>
      <c r="R695" s="3"/>
    </row>
    <row r="696">
      <c r="A696" s="164"/>
      <c r="B696" s="164"/>
      <c r="C696" s="165"/>
      <c r="D696" s="56"/>
      <c r="E696" s="57"/>
      <c r="F696" s="56"/>
      <c r="G696" s="56"/>
      <c r="H696" s="56"/>
      <c r="I696" s="62"/>
      <c r="J696" s="62"/>
      <c r="K696" s="62"/>
      <c r="L696" s="62"/>
      <c r="M696" s="60"/>
      <c r="N696" s="60"/>
      <c r="O696" s="3"/>
      <c r="P696" s="3"/>
      <c r="Q696" s="3"/>
      <c r="R696" s="3"/>
    </row>
    <row r="697">
      <c r="A697" s="164"/>
      <c r="B697" s="164"/>
      <c r="C697" s="165"/>
      <c r="D697" s="56"/>
      <c r="E697" s="57"/>
      <c r="F697" s="56"/>
      <c r="G697" s="56"/>
      <c r="H697" s="56"/>
      <c r="I697" s="62"/>
      <c r="J697" s="62"/>
      <c r="K697" s="62"/>
      <c r="L697" s="62"/>
      <c r="M697" s="60"/>
      <c r="N697" s="60"/>
      <c r="O697" s="3"/>
      <c r="P697" s="3"/>
      <c r="Q697" s="3"/>
      <c r="R697" s="3"/>
    </row>
    <row r="698">
      <c r="A698" s="164"/>
      <c r="B698" s="164"/>
      <c r="C698" s="165"/>
      <c r="D698" s="56"/>
      <c r="E698" s="57"/>
      <c r="F698" s="56"/>
      <c r="G698" s="56"/>
      <c r="H698" s="56"/>
      <c r="I698" s="62"/>
      <c r="J698" s="62"/>
      <c r="K698" s="62"/>
      <c r="L698" s="62"/>
      <c r="M698" s="60"/>
      <c r="N698" s="60"/>
      <c r="O698" s="3"/>
      <c r="P698" s="3"/>
      <c r="Q698" s="3"/>
      <c r="R698" s="3"/>
    </row>
    <row r="699">
      <c r="A699" s="164"/>
      <c r="B699" s="164"/>
      <c r="C699" s="165"/>
      <c r="D699" s="56"/>
      <c r="E699" s="57"/>
      <c r="F699" s="56"/>
      <c r="G699" s="56"/>
      <c r="H699" s="56"/>
      <c r="I699" s="62"/>
      <c r="J699" s="62"/>
      <c r="K699" s="62"/>
      <c r="L699" s="62"/>
      <c r="M699" s="60"/>
      <c r="N699" s="60"/>
      <c r="O699" s="3"/>
      <c r="P699" s="3"/>
      <c r="Q699" s="3"/>
      <c r="R699" s="3"/>
    </row>
    <row r="700">
      <c r="A700" s="164"/>
      <c r="B700" s="164"/>
      <c r="C700" s="165"/>
      <c r="D700" s="56"/>
      <c r="E700" s="57"/>
      <c r="F700" s="56"/>
      <c r="G700" s="56"/>
      <c r="H700" s="56"/>
      <c r="I700" s="62"/>
      <c r="J700" s="62"/>
      <c r="K700" s="62"/>
      <c r="L700" s="62"/>
      <c r="M700" s="60"/>
      <c r="N700" s="60"/>
      <c r="O700" s="3"/>
      <c r="P700" s="3"/>
      <c r="Q700" s="3"/>
      <c r="R700" s="3"/>
    </row>
    <row r="701">
      <c r="A701" s="164"/>
      <c r="B701" s="164"/>
      <c r="C701" s="165"/>
      <c r="D701" s="56"/>
      <c r="E701" s="57"/>
      <c r="F701" s="56"/>
      <c r="G701" s="56"/>
      <c r="H701" s="56"/>
      <c r="I701" s="62"/>
      <c r="J701" s="62"/>
      <c r="K701" s="62"/>
      <c r="L701" s="62"/>
      <c r="M701" s="60"/>
      <c r="N701" s="60"/>
      <c r="O701" s="3"/>
      <c r="P701" s="3"/>
      <c r="Q701" s="3"/>
      <c r="R701" s="3"/>
    </row>
    <row r="702">
      <c r="A702" s="164"/>
      <c r="B702" s="164"/>
      <c r="C702" s="165"/>
      <c r="D702" s="56"/>
      <c r="E702" s="57"/>
      <c r="F702" s="56"/>
      <c r="G702" s="56"/>
      <c r="H702" s="56"/>
      <c r="I702" s="62"/>
      <c r="J702" s="62"/>
      <c r="K702" s="62"/>
      <c r="L702" s="62"/>
      <c r="M702" s="60"/>
      <c r="N702" s="60"/>
      <c r="O702" s="3"/>
      <c r="P702" s="3"/>
      <c r="Q702" s="3"/>
      <c r="R702" s="3"/>
    </row>
    <row r="703">
      <c r="A703" s="164"/>
      <c r="B703" s="164"/>
      <c r="C703" s="165"/>
      <c r="D703" s="56"/>
      <c r="E703" s="57"/>
      <c r="F703" s="56"/>
      <c r="G703" s="56"/>
      <c r="H703" s="56"/>
      <c r="I703" s="62"/>
      <c r="J703" s="62"/>
      <c r="K703" s="62"/>
      <c r="L703" s="62"/>
      <c r="M703" s="60"/>
      <c r="N703" s="60"/>
      <c r="O703" s="3"/>
      <c r="P703" s="3"/>
      <c r="Q703" s="3"/>
      <c r="R703" s="3"/>
    </row>
    <row r="704">
      <c r="A704" s="164"/>
      <c r="B704" s="164"/>
      <c r="C704" s="165"/>
      <c r="D704" s="56"/>
      <c r="E704" s="57"/>
      <c r="F704" s="56"/>
      <c r="G704" s="56"/>
      <c r="H704" s="56"/>
      <c r="I704" s="62"/>
      <c r="J704" s="62"/>
      <c r="K704" s="62"/>
      <c r="L704" s="62"/>
      <c r="M704" s="60"/>
      <c r="N704" s="60"/>
      <c r="O704" s="3"/>
      <c r="P704" s="3"/>
      <c r="Q704" s="3"/>
      <c r="R704" s="3"/>
    </row>
    <row r="705">
      <c r="A705" s="164"/>
      <c r="B705" s="164"/>
      <c r="C705" s="165"/>
      <c r="D705" s="56"/>
      <c r="E705" s="57"/>
      <c r="F705" s="56"/>
      <c r="G705" s="56"/>
      <c r="H705" s="56"/>
      <c r="I705" s="62"/>
      <c r="J705" s="62"/>
      <c r="K705" s="62"/>
      <c r="L705" s="62"/>
      <c r="M705" s="60"/>
      <c r="N705" s="60"/>
      <c r="O705" s="3"/>
      <c r="P705" s="3"/>
      <c r="Q705" s="3"/>
      <c r="R705" s="3"/>
    </row>
    <row r="706">
      <c r="A706" s="164"/>
      <c r="B706" s="164"/>
      <c r="C706" s="165"/>
      <c r="D706" s="56"/>
      <c r="E706" s="57"/>
      <c r="F706" s="56"/>
      <c r="G706" s="56"/>
      <c r="H706" s="56"/>
      <c r="I706" s="62"/>
      <c r="J706" s="62"/>
      <c r="K706" s="62"/>
      <c r="L706" s="62"/>
      <c r="M706" s="60"/>
      <c r="N706" s="60"/>
      <c r="O706" s="3"/>
      <c r="P706" s="3"/>
      <c r="Q706" s="3"/>
      <c r="R706" s="3"/>
    </row>
    <row r="707">
      <c r="A707" s="164"/>
      <c r="B707" s="164"/>
      <c r="C707" s="165"/>
      <c r="D707" s="56"/>
      <c r="E707" s="57"/>
      <c r="F707" s="56"/>
      <c r="G707" s="56"/>
      <c r="H707" s="56"/>
      <c r="I707" s="62"/>
      <c r="J707" s="62"/>
      <c r="K707" s="62"/>
      <c r="L707" s="62"/>
      <c r="M707" s="60"/>
      <c r="N707" s="60"/>
      <c r="O707" s="3"/>
      <c r="P707" s="3"/>
      <c r="Q707" s="3"/>
      <c r="R707" s="3"/>
    </row>
    <row r="708">
      <c r="A708" s="164"/>
      <c r="B708" s="164"/>
      <c r="C708" s="165"/>
      <c r="D708" s="56"/>
      <c r="E708" s="57"/>
      <c r="F708" s="56"/>
      <c r="G708" s="56"/>
      <c r="H708" s="56"/>
      <c r="I708" s="62"/>
      <c r="J708" s="62"/>
      <c r="K708" s="62"/>
      <c r="L708" s="62"/>
      <c r="M708" s="60"/>
      <c r="N708" s="60"/>
      <c r="O708" s="3"/>
      <c r="P708" s="3"/>
      <c r="Q708" s="3"/>
      <c r="R708" s="3"/>
    </row>
    <row r="709">
      <c r="A709" s="164"/>
      <c r="B709" s="164"/>
      <c r="C709" s="165"/>
      <c r="D709" s="56"/>
      <c r="E709" s="57"/>
      <c r="F709" s="56"/>
      <c r="G709" s="56"/>
      <c r="H709" s="56"/>
      <c r="I709" s="62"/>
      <c r="J709" s="62"/>
      <c r="K709" s="62"/>
      <c r="L709" s="62"/>
      <c r="M709" s="60"/>
      <c r="N709" s="60"/>
      <c r="O709" s="3"/>
      <c r="P709" s="3"/>
      <c r="Q709" s="3"/>
      <c r="R709" s="3"/>
    </row>
    <row r="710">
      <c r="A710" s="164"/>
      <c r="B710" s="164"/>
      <c r="C710" s="165"/>
      <c r="D710" s="56"/>
      <c r="E710" s="57"/>
      <c r="F710" s="56"/>
      <c r="G710" s="56"/>
      <c r="H710" s="56"/>
      <c r="I710" s="62"/>
      <c r="J710" s="62"/>
      <c r="K710" s="62"/>
      <c r="L710" s="62"/>
      <c r="M710" s="60"/>
      <c r="N710" s="60"/>
      <c r="O710" s="3"/>
      <c r="P710" s="3"/>
      <c r="Q710" s="3"/>
      <c r="R710" s="3"/>
    </row>
    <row r="711">
      <c r="A711" s="164"/>
      <c r="B711" s="164"/>
      <c r="C711" s="165"/>
      <c r="D711" s="56"/>
      <c r="E711" s="57"/>
      <c r="F711" s="56"/>
      <c r="G711" s="56"/>
      <c r="H711" s="56"/>
      <c r="I711" s="62"/>
      <c r="J711" s="62"/>
      <c r="K711" s="62"/>
      <c r="L711" s="62"/>
      <c r="M711" s="60"/>
      <c r="N711" s="60"/>
      <c r="O711" s="3"/>
      <c r="P711" s="3"/>
      <c r="Q711" s="3"/>
      <c r="R711" s="3"/>
    </row>
    <row r="712">
      <c r="A712" s="164"/>
      <c r="B712" s="164"/>
      <c r="C712" s="165"/>
      <c r="D712" s="56"/>
      <c r="E712" s="57"/>
      <c r="F712" s="56"/>
      <c r="G712" s="56"/>
      <c r="H712" s="56"/>
      <c r="I712" s="62"/>
      <c r="J712" s="62"/>
      <c r="K712" s="62"/>
      <c r="L712" s="62"/>
      <c r="M712" s="60"/>
      <c r="N712" s="60"/>
      <c r="O712" s="3"/>
      <c r="P712" s="3"/>
      <c r="Q712" s="3"/>
      <c r="R712" s="3"/>
    </row>
    <row r="713">
      <c r="A713" s="164"/>
      <c r="B713" s="164"/>
      <c r="C713" s="165"/>
      <c r="D713" s="56"/>
      <c r="E713" s="57"/>
      <c r="F713" s="56"/>
      <c r="G713" s="56"/>
      <c r="H713" s="56"/>
      <c r="I713" s="62"/>
      <c r="J713" s="62"/>
      <c r="K713" s="62"/>
      <c r="L713" s="62"/>
      <c r="M713" s="60"/>
      <c r="N713" s="60"/>
      <c r="O713" s="3"/>
      <c r="P713" s="3"/>
      <c r="Q713" s="3"/>
      <c r="R713" s="3"/>
    </row>
    <row r="714">
      <c r="A714" s="164"/>
      <c r="B714" s="164"/>
      <c r="C714" s="165"/>
      <c r="D714" s="56"/>
      <c r="E714" s="57"/>
      <c r="F714" s="56"/>
      <c r="G714" s="56"/>
      <c r="H714" s="56"/>
      <c r="I714" s="62"/>
      <c r="J714" s="62"/>
      <c r="K714" s="62"/>
      <c r="L714" s="62"/>
      <c r="M714" s="60"/>
      <c r="N714" s="60"/>
      <c r="O714" s="3"/>
      <c r="P714" s="3"/>
      <c r="Q714" s="3"/>
      <c r="R714" s="3"/>
    </row>
    <row r="715">
      <c r="A715" s="164"/>
      <c r="B715" s="164"/>
      <c r="C715" s="165"/>
      <c r="D715" s="56"/>
      <c r="E715" s="57"/>
      <c r="F715" s="56"/>
      <c r="G715" s="56"/>
      <c r="H715" s="56"/>
      <c r="I715" s="62"/>
      <c r="J715" s="62"/>
      <c r="K715" s="62"/>
      <c r="L715" s="62"/>
      <c r="M715" s="60"/>
      <c r="N715" s="60"/>
      <c r="O715" s="3"/>
      <c r="P715" s="3"/>
      <c r="Q715" s="3"/>
      <c r="R715" s="3"/>
    </row>
    <row r="716">
      <c r="A716" s="164"/>
      <c r="B716" s="164"/>
      <c r="C716" s="165"/>
      <c r="D716" s="56"/>
      <c r="E716" s="57"/>
      <c r="F716" s="56"/>
      <c r="G716" s="56"/>
      <c r="H716" s="56"/>
      <c r="I716" s="62"/>
      <c r="J716" s="62"/>
      <c r="K716" s="62"/>
      <c r="L716" s="62"/>
      <c r="M716" s="60"/>
      <c r="N716" s="60"/>
      <c r="O716" s="3"/>
      <c r="P716" s="3"/>
      <c r="Q716" s="3"/>
      <c r="R716" s="3"/>
    </row>
    <row r="717">
      <c r="A717" s="164"/>
      <c r="B717" s="164"/>
      <c r="C717" s="165"/>
      <c r="D717" s="56"/>
      <c r="E717" s="57"/>
      <c r="F717" s="56"/>
      <c r="G717" s="56"/>
      <c r="H717" s="56"/>
      <c r="I717" s="62"/>
      <c r="J717" s="62"/>
      <c r="K717" s="62"/>
      <c r="L717" s="62"/>
      <c r="M717" s="60"/>
      <c r="N717" s="60"/>
      <c r="O717" s="3"/>
      <c r="P717" s="3"/>
      <c r="Q717" s="3"/>
      <c r="R717" s="3"/>
    </row>
    <row r="718">
      <c r="A718" s="164"/>
      <c r="B718" s="164"/>
      <c r="C718" s="165"/>
      <c r="D718" s="56"/>
      <c r="E718" s="57"/>
      <c r="F718" s="56"/>
      <c r="G718" s="56"/>
      <c r="H718" s="56"/>
      <c r="I718" s="62"/>
      <c r="J718" s="62"/>
      <c r="K718" s="62"/>
      <c r="L718" s="62"/>
      <c r="M718" s="60"/>
      <c r="N718" s="60"/>
      <c r="O718" s="3"/>
      <c r="P718" s="3"/>
      <c r="Q718" s="3"/>
      <c r="R718" s="3"/>
    </row>
    <row r="719">
      <c r="A719" s="164"/>
      <c r="B719" s="164"/>
      <c r="C719" s="165"/>
      <c r="D719" s="56"/>
      <c r="E719" s="57"/>
      <c r="F719" s="56"/>
      <c r="G719" s="56"/>
      <c r="H719" s="56"/>
      <c r="I719" s="62"/>
      <c r="J719" s="62"/>
      <c r="K719" s="62"/>
      <c r="L719" s="62"/>
      <c r="M719" s="60"/>
      <c r="N719" s="60"/>
      <c r="O719" s="3"/>
      <c r="P719" s="3"/>
      <c r="Q719" s="3"/>
      <c r="R719" s="3"/>
    </row>
    <row r="720">
      <c r="A720" s="164"/>
      <c r="B720" s="164"/>
      <c r="C720" s="165"/>
      <c r="D720" s="56"/>
      <c r="E720" s="57"/>
      <c r="F720" s="56"/>
      <c r="G720" s="56"/>
      <c r="H720" s="56"/>
      <c r="I720" s="62"/>
      <c r="J720" s="62"/>
      <c r="K720" s="62"/>
      <c r="L720" s="62"/>
      <c r="M720" s="60"/>
      <c r="N720" s="60"/>
      <c r="O720" s="3"/>
      <c r="P720" s="3"/>
      <c r="Q720" s="3"/>
      <c r="R720" s="3"/>
    </row>
    <row r="721">
      <c r="A721" s="164"/>
      <c r="B721" s="164"/>
      <c r="C721" s="165"/>
      <c r="D721" s="56"/>
      <c r="E721" s="57"/>
      <c r="F721" s="56"/>
      <c r="G721" s="56"/>
      <c r="H721" s="56"/>
      <c r="I721" s="62"/>
      <c r="J721" s="62"/>
      <c r="K721" s="62"/>
      <c r="L721" s="62"/>
      <c r="M721" s="60"/>
      <c r="N721" s="60"/>
      <c r="O721" s="3"/>
      <c r="P721" s="3"/>
      <c r="Q721" s="3"/>
      <c r="R721" s="3"/>
    </row>
    <row r="722">
      <c r="A722" s="164"/>
      <c r="B722" s="164"/>
      <c r="C722" s="165"/>
      <c r="D722" s="56"/>
      <c r="E722" s="57"/>
      <c r="F722" s="56"/>
      <c r="G722" s="56"/>
      <c r="H722" s="56"/>
      <c r="I722" s="62"/>
      <c r="J722" s="62"/>
      <c r="K722" s="62"/>
      <c r="L722" s="62"/>
      <c r="M722" s="60"/>
      <c r="N722" s="60"/>
      <c r="O722" s="3"/>
      <c r="P722" s="3"/>
      <c r="Q722" s="3"/>
      <c r="R722" s="3"/>
    </row>
    <row r="723">
      <c r="A723" s="164"/>
      <c r="B723" s="164"/>
      <c r="C723" s="165"/>
      <c r="D723" s="56"/>
      <c r="E723" s="57"/>
      <c r="F723" s="56"/>
      <c r="G723" s="56"/>
      <c r="H723" s="56"/>
      <c r="I723" s="62"/>
      <c r="J723" s="62"/>
      <c r="K723" s="62"/>
      <c r="L723" s="62"/>
      <c r="M723" s="60"/>
      <c r="N723" s="60"/>
      <c r="O723" s="3"/>
      <c r="P723" s="3"/>
      <c r="Q723" s="3"/>
      <c r="R723" s="3"/>
    </row>
    <row r="724">
      <c r="A724" s="164"/>
      <c r="B724" s="164"/>
      <c r="C724" s="165"/>
      <c r="D724" s="56"/>
      <c r="E724" s="57"/>
      <c r="F724" s="56"/>
      <c r="G724" s="56"/>
      <c r="H724" s="56"/>
      <c r="I724" s="62"/>
      <c r="J724" s="62"/>
      <c r="K724" s="62"/>
      <c r="L724" s="62"/>
      <c r="M724" s="60"/>
      <c r="N724" s="60"/>
      <c r="O724" s="3"/>
      <c r="P724" s="3"/>
      <c r="Q724" s="3"/>
      <c r="R724" s="3"/>
    </row>
    <row r="725">
      <c r="A725" s="164"/>
      <c r="B725" s="164"/>
      <c r="C725" s="165"/>
      <c r="D725" s="56"/>
      <c r="E725" s="57"/>
      <c r="F725" s="56"/>
      <c r="G725" s="56"/>
      <c r="H725" s="56"/>
      <c r="I725" s="62"/>
      <c r="J725" s="62"/>
      <c r="K725" s="62"/>
      <c r="L725" s="62"/>
      <c r="M725" s="60"/>
      <c r="N725" s="60"/>
      <c r="O725" s="3"/>
      <c r="P725" s="3"/>
      <c r="Q725" s="3"/>
      <c r="R725" s="3"/>
    </row>
    <row r="726">
      <c r="A726" s="164"/>
      <c r="B726" s="164"/>
      <c r="C726" s="165"/>
      <c r="D726" s="56"/>
      <c r="E726" s="57"/>
      <c r="F726" s="56"/>
      <c r="G726" s="56"/>
      <c r="H726" s="56"/>
      <c r="I726" s="62"/>
      <c r="J726" s="62"/>
      <c r="K726" s="62"/>
      <c r="L726" s="62"/>
      <c r="M726" s="60"/>
      <c r="N726" s="60"/>
      <c r="O726" s="3"/>
      <c r="P726" s="3"/>
      <c r="Q726" s="3"/>
      <c r="R726" s="3"/>
    </row>
    <row r="727">
      <c r="A727" s="164"/>
      <c r="B727" s="164"/>
      <c r="C727" s="165"/>
      <c r="D727" s="56"/>
      <c r="E727" s="57"/>
      <c r="F727" s="56"/>
      <c r="G727" s="56"/>
      <c r="H727" s="56"/>
      <c r="I727" s="62"/>
      <c r="J727" s="62"/>
      <c r="K727" s="62"/>
      <c r="L727" s="62"/>
      <c r="M727" s="60"/>
      <c r="N727" s="60"/>
      <c r="O727" s="3"/>
      <c r="P727" s="3"/>
      <c r="Q727" s="3"/>
      <c r="R727" s="3"/>
    </row>
    <row r="728">
      <c r="A728" s="164"/>
      <c r="B728" s="164"/>
      <c r="C728" s="165"/>
      <c r="D728" s="56"/>
      <c r="E728" s="57"/>
      <c r="F728" s="56"/>
      <c r="G728" s="56"/>
      <c r="H728" s="56"/>
      <c r="I728" s="62"/>
      <c r="J728" s="62"/>
      <c r="K728" s="62"/>
      <c r="L728" s="62"/>
      <c r="M728" s="60"/>
      <c r="N728" s="60"/>
      <c r="O728" s="3"/>
      <c r="P728" s="3"/>
      <c r="Q728" s="3"/>
      <c r="R728" s="3"/>
    </row>
    <row r="729">
      <c r="A729" s="164"/>
      <c r="B729" s="164"/>
      <c r="C729" s="165"/>
      <c r="D729" s="56"/>
      <c r="E729" s="57"/>
      <c r="F729" s="56"/>
      <c r="G729" s="56"/>
      <c r="H729" s="56"/>
      <c r="I729" s="62"/>
      <c r="J729" s="62"/>
      <c r="K729" s="62"/>
      <c r="L729" s="62"/>
      <c r="M729" s="60"/>
      <c r="N729" s="60"/>
      <c r="O729" s="3"/>
      <c r="P729" s="3"/>
      <c r="Q729" s="3"/>
      <c r="R729" s="3"/>
    </row>
    <row r="730">
      <c r="A730" s="164"/>
      <c r="B730" s="164"/>
      <c r="C730" s="165"/>
      <c r="D730" s="56"/>
      <c r="E730" s="57"/>
      <c r="F730" s="56"/>
      <c r="G730" s="56"/>
      <c r="H730" s="56"/>
      <c r="I730" s="62"/>
      <c r="J730" s="62"/>
      <c r="K730" s="62"/>
      <c r="L730" s="62"/>
      <c r="M730" s="60"/>
      <c r="N730" s="60"/>
      <c r="O730" s="3"/>
      <c r="P730" s="3"/>
      <c r="Q730" s="3"/>
      <c r="R730" s="3"/>
    </row>
    <row r="731">
      <c r="A731" s="164"/>
      <c r="B731" s="164"/>
      <c r="C731" s="165"/>
      <c r="D731" s="56"/>
      <c r="E731" s="57"/>
      <c r="F731" s="56"/>
      <c r="G731" s="56"/>
      <c r="H731" s="56"/>
      <c r="I731" s="62"/>
      <c r="J731" s="62"/>
      <c r="K731" s="62"/>
      <c r="L731" s="62"/>
      <c r="M731" s="60"/>
      <c r="N731" s="60"/>
      <c r="O731" s="3"/>
      <c r="P731" s="3"/>
      <c r="Q731" s="3"/>
      <c r="R731" s="3"/>
    </row>
    <row r="732">
      <c r="A732" s="164"/>
      <c r="B732" s="164"/>
      <c r="C732" s="165"/>
      <c r="D732" s="56"/>
      <c r="E732" s="57"/>
      <c r="F732" s="56"/>
      <c r="G732" s="56"/>
      <c r="H732" s="56"/>
      <c r="I732" s="62"/>
      <c r="J732" s="62"/>
      <c r="K732" s="62"/>
      <c r="L732" s="62"/>
      <c r="M732" s="60"/>
      <c r="N732" s="60"/>
      <c r="O732" s="3"/>
      <c r="P732" s="3"/>
      <c r="Q732" s="3"/>
      <c r="R732" s="3"/>
    </row>
    <row r="733">
      <c r="A733" s="164"/>
      <c r="B733" s="164"/>
      <c r="C733" s="165"/>
      <c r="D733" s="56"/>
      <c r="E733" s="57"/>
      <c r="F733" s="56"/>
      <c r="G733" s="56"/>
      <c r="H733" s="56"/>
      <c r="I733" s="62"/>
      <c r="J733" s="62"/>
      <c r="K733" s="62"/>
      <c r="L733" s="62"/>
      <c r="M733" s="60"/>
      <c r="N733" s="60"/>
      <c r="O733" s="3"/>
      <c r="P733" s="3"/>
      <c r="Q733" s="3"/>
      <c r="R733" s="3"/>
    </row>
    <row r="734">
      <c r="A734" s="164"/>
      <c r="B734" s="164"/>
      <c r="C734" s="165"/>
      <c r="D734" s="56"/>
      <c r="E734" s="57"/>
      <c r="F734" s="56"/>
      <c r="G734" s="56"/>
      <c r="H734" s="56"/>
      <c r="I734" s="62"/>
      <c r="J734" s="62"/>
      <c r="K734" s="62"/>
      <c r="L734" s="62"/>
      <c r="M734" s="60"/>
      <c r="N734" s="60"/>
      <c r="O734" s="3"/>
      <c r="P734" s="3"/>
      <c r="Q734" s="3"/>
      <c r="R734" s="3"/>
    </row>
    <row r="735">
      <c r="A735" s="164"/>
      <c r="B735" s="164"/>
      <c r="C735" s="165"/>
      <c r="D735" s="56"/>
      <c r="E735" s="57"/>
      <c r="F735" s="56"/>
      <c r="G735" s="56"/>
      <c r="H735" s="56"/>
      <c r="I735" s="62"/>
      <c r="J735" s="62"/>
      <c r="K735" s="62"/>
      <c r="L735" s="62"/>
      <c r="M735" s="60"/>
      <c r="N735" s="60"/>
      <c r="O735" s="3"/>
      <c r="P735" s="3"/>
      <c r="Q735" s="3"/>
      <c r="R735" s="3"/>
    </row>
    <row r="736">
      <c r="A736" s="164"/>
      <c r="B736" s="164"/>
      <c r="C736" s="165"/>
      <c r="D736" s="56"/>
      <c r="E736" s="57"/>
      <c r="F736" s="56"/>
      <c r="G736" s="56"/>
      <c r="H736" s="56"/>
      <c r="I736" s="62"/>
      <c r="J736" s="62"/>
      <c r="K736" s="62"/>
      <c r="L736" s="62"/>
      <c r="M736" s="60"/>
      <c r="N736" s="60"/>
      <c r="O736" s="3"/>
      <c r="P736" s="3"/>
      <c r="Q736" s="3"/>
      <c r="R736" s="3"/>
    </row>
    <row r="737">
      <c r="A737" s="164"/>
      <c r="B737" s="164"/>
      <c r="C737" s="165"/>
      <c r="D737" s="56"/>
      <c r="E737" s="57"/>
      <c r="F737" s="56"/>
      <c r="G737" s="56"/>
      <c r="H737" s="56"/>
      <c r="I737" s="62"/>
      <c r="J737" s="62"/>
      <c r="K737" s="62"/>
      <c r="L737" s="62"/>
      <c r="M737" s="60"/>
      <c r="N737" s="60"/>
      <c r="O737" s="3"/>
      <c r="P737" s="3"/>
      <c r="Q737" s="3"/>
      <c r="R737" s="3"/>
    </row>
    <row r="738">
      <c r="A738" s="164"/>
      <c r="B738" s="164"/>
      <c r="C738" s="165"/>
      <c r="D738" s="56"/>
      <c r="E738" s="57"/>
      <c r="F738" s="56"/>
      <c r="G738" s="56"/>
      <c r="H738" s="56"/>
      <c r="I738" s="62"/>
      <c r="J738" s="62"/>
      <c r="K738" s="62"/>
      <c r="L738" s="62"/>
      <c r="M738" s="60"/>
      <c r="N738" s="60"/>
      <c r="O738" s="3"/>
      <c r="P738" s="3"/>
      <c r="Q738" s="3"/>
      <c r="R738" s="3"/>
    </row>
    <row r="739">
      <c r="A739" s="164"/>
      <c r="B739" s="164"/>
      <c r="C739" s="165"/>
      <c r="D739" s="56"/>
      <c r="E739" s="57"/>
      <c r="F739" s="56"/>
      <c r="G739" s="56"/>
      <c r="H739" s="56"/>
      <c r="I739" s="62"/>
      <c r="J739" s="62"/>
      <c r="K739" s="62"/>
      <c r="L739" s="62"/>
      <c r="M739" s="60"/>
      <c r="N739" s="60"/>
      <c r="O739" s="3"/>
      <c r="P739" s="3"/>
      <c r="Q739" s="3"/>
      <c r="R739" s="3"/>
    </row>
    <row r="740">
      <c r="A740" s="164"/>
      <c r="B740" s="164"/>
      <c r="C740" s="165"/>
      <c r="D740" s="56"/>
      <c r="E740" s="57"/>
      <c r="F740" s="56"/>
      <c r="G740" s="56"/>
      <c r="H740" s="56"/>
      <c r="I740" s="62"/>
      <c r="J740" s="62"/>
      <c r="K740" s="62"/>
      <c r="L740" s="62"/>
      <c r="M740" s="60"/>
      <c r="N740" s="60"/>
      <c r="O740" s="3"/>
      <c r="P740" s="3"/>
      <c r="Q740" s="3"/>
      <c r="R740" s="3"/>
    </row>
    <row r="741">
      <c r="A741" s="164"/>
      <c r="B741" s="164"/>
      <c r="C741" s="165"/>
      <c r="D741" s="56"/>
      <c r="E741" s="57"/>
      <c r="F741" s="56"/>
      <c r="G741" s="56"/>
      <c r="H741" s="56"/>
      <c r="I741" s="62"/>
      <c r="J741" s="62"/>
      <c r="K741" s="62"/>
      <c r="L741" s="62"/>
      <c r="M741" s="60"/>
      <c r="N741" s="60"/>
      <c r="O741" s="3"/>
      <c r="P741" s="3"/>
      <c r="Q741" s="3"/>
      <c r="R741" s="3"/>
    </row>
    <row r="742">
      <c r="A742" s="164"/>
      <c r="B742" s="164"/>
      <c r="C742" s="165"/>
      <c r="D742" s="56"/>
      <c r="E742" s="57"/>
      <c r="F742" s="56"/>
      <c r="G742" s="56"/>
      <c r="H742" s="56"/>
      <c r="I742" s="62"/>
      <c r="J742" s="62"/>
      <c r="K742" s="62"/>
      <c r="L742" s="62"/>
      <c r="M742" s="60"/>
      <c r="N742" s="60"/>
      <c r="O742" s="3"/>
      <c r="P742" s="3"/>
      <c r="Q742" s="3"/>
      <c r="R742" s="3"/>
    </row>
    <row r="743">
      <c r="A743" s="164"/>
      <c r="B743" s="164"/>
      <c r="C743" s="165"/>
      <c r="D743" s="56"/>
      <c r="E743" s="57"/>
      <c r="F743" s="56"/>
      <c r="G743" s="56"/>
      <c r="H743" s="56"/>
      <c r="I743" s="62"/>
      <c r="J743" s="62"/>
      <c r="K743" s="62"/>
      <c r="L743" s="62"/>
      <c r="M743" s="60"/>
      <c r="N743" s="60"/>
      <c r="O743" s="3"/>
      <c r="P743" s="3"/>
      <c r="Q743" s="3"/>
      <c r="R743" s="3"/>
    </row>
    <row r="744">
      <c r="A744" s="164"/>
      <c r="B744" s="164"/>
      <c r="C744" s="165"/>
      <c r="D744" s="56"/>
      <c r="E744" s="57"/>
      <c r="F744" s="56"/>
      <c r="G744" s="56"/>
      <c r="H744" s="56"/>
      <c r="I744" s="62"/>
      <c r="J744" s="62"/>
      <c r="K744" s="62"/>
      <c r="L744" s="62"/>
      <c r="M744" s="60"/>
      <c r="N744" s="60"/>
      <c r="O744" s="3"/>
      <c r="P744" s="3"/>
      <c r="Q744" s="3"/>
      <c r="R744" s="3"/>
    </row>
    <row r="745">
      <c r="A745" s="164"/>
      <c r="B745" s="164"/>
      <c r="C745" s="165"/>
      <c r="D745" s="56"/>
      <c r="E745" s="57"/>
      <c r="F745" s="56"/>
      <c r="G745" s="56"/>
      <c r="H745" s="56"/>
      <c r="I745" s="62"/>
      <c r="J745" s="62"/>
      <c r="K745" s="62"/>
      <c r="L745" s="62"/>
      <c r="M745" s="60"/>
      <c r="N745" s="60"/>
      <c r="O745" s="3"/>
      <c r="P745" s="3"/>
      <c r="Q745" s="3"/>
      <c r="R745" s="3"/>
    </row>
    <row r="746">
      <c r="A746" s="164"/>
      <c r="B746" s="164"/>
      <c r="C746" s="165"/>
      <c r="D746" s="56"/>
      <c r="E746" s="57"/>
      <c r="F746" s="56"/>
      <c r="G746" s="56"/>
      <c r="H746" s="56"/>
      <c r="I746" s="62"/>
      <c r="J746" s="62"/>
      <c r="K746" s="62"/>
      <c r="L746" s="62"/>
      <c r="M746" s="60"/>
      <c r="N746" s="60"/>
      <c r="O746" s="3"/>
      <c r="P746" s="3"/>
      <c r="Q746" s="3"/>
      <c r="R746" s="3"/>
    </row>
    <row r="747">
      <c r="A747" s="164"/>
      <c r="B747" s="164"/>
      <c r="C747" s="165"/>
      <c r="D747" s="56"/>
      <c r="E747" s="57"/>
      <c r="F747" s="56"/>
      <c r="G747" s="56"/>
      <c r="H747" s="56"/>
      <c r="I747" s="62"/>
      <c r="J747" s="62"/>
      <c r="K747" s="62"/>
      <c r="L747" s="62"/>
      <c r="M747" s="60"/>
      <c r="N747" s="60"/>
      <c r="O747" s="3"/>
      <c r="P747" s="3"/>
      <c r="Q747" s="3"/>
      <c r="R747" s="3"/>
    </row>
    <row r="748">
      <c r="A748" s="164"/>
      <c r="B748" s="164"/>
      <c r="C748" s="165"/>
      <c r="D748" s="56"/>
      <c r="E748" s="57"/>
      <c r="F748" s="56"/>
      <c r="G748" s="56"/>
      <c r="H748" s="56"/>
      <c r="I748" s="62"/>
      <c r="J748" s="62"/>
      <c r="K748" s="62"/>
      <c r="L748" s="62"/>
      <c r="M748" s="60"/>
      <c r="N748" s="60"/>
      <c r="O748" s="3"/>
      <c r="P748" s="3"/>
      <c r="Q748" s="3"/>
      <c r="R748" s="3"/>
    </row>
    <row r="749">
      <c r="A749" s="164"/>
      <c r="B749" s="164"/>
      <c r="C749" s="165"/>
      <c r="D749" s="56"/>
      <c r="E749" s="57"/>
      <c r="F749" s="56"/>
      <c r="G749" s="56"/>
      <c r="H749" s="56"/>
      <c r="I749" s="62"/>
      <c r="J749" s="62"/>
      <c r="K749" s="62"/>
      <c r="L749" s="62"/>
      <c r="M749" s="60"/>
      <c r="N749" s="60"/>
      <c r="O749" s="3"/>
      <c r="P749" s="3"/>
      <c r="Q749" s="3"/>
      <c r="R749" s="3"/>
    </row>
    <row r="750">
      <c r="A750" s="164"/>
      <c r="B750" s="164"/>
      <c r="C750" s="165"/>
      <c r="D750" s="56"/>
      <c r="E750" s="57"/>
      <c r="F750" s="56"/>
      <c r="G750" s="56"/>
      <c r="H750" s="56"/>
      <c r="I750" s="62"/>
      <c r="J750" s="62"/>
      <c r="K750" s="62"/>
      <c r="L750" s="62"/>
      <c r="M750" s="60"/>
      <c r="N750" s="60"/>
      <c r="O750" s="3"/>
      <c r="P750" s="3"/>
      <c r="Q750" s="3"/>
      <c r="R750" s="3"/>
    </row>
    <row r="751">
      <c r="A751" s="164"/>
      <c r="B751" s="164"/>
      <c r="C751" s="165"/>
      <c r="D751" s="56"/>
      <c r="E751" s="57"/>
      <c r="F751" s="56"/>
      <c r="G751" s="56"/>
      <c r="H751" s="56"/>
      <c r="I751" s="62"/>
      <c r="J751" s="62"/>
      <c r="K751" s="62"/>
      <c r="L751" s="62"/>
      <c r="M751" s="60"/>
      <c r="N751" s="60"/>
      <c r="O751" s="3"/>
      <c r="P751" s="3"/>
      <c r="Q751" s="3"/>
      <c r="R751" s="3"/>
    </row>
    <row r="752">
      <c r="A752" s="164"/>
      <c r="B752" s="164"/>
      <c r="C752" s="165"/>
      <c r="D752" s="56"/>
      <c r="E752" s="57"/>
      <c r="F752" s="56"/>
      <c r="G752" s="56"/>
      <c r="H752" s="56"/>
      <c r="I752" s="62"/>
      <c r="J752" s="62"/>
      <c r="K752" s="62"/>
      <c r="L752" s="62"/>
      <c r="M752" s="60"/>
      <c r="N752" s="60"/>
      <c r="O752" s="3"/>
      <c r="P752" s="3"/>
      <c r="Q752" s="3"/>
      <c r="R752" s="3"/>
    </row>
    <row r="753">
      <c r="A753" s="164"/>
      <c r="B753" s="164"/>
      <c r="C753" s="165"/>
      <c r="D753" s="56"/>
      <c r="E753" s="57"/>
      <c r="F753" s="56"/>
      <c r="G753" s="56"/>
      <c r="H753" s="56"/>
      <c r="I753" s="62"/>
      <c r="J753" s="62"/>
      <c r="K753" s="62"/>
      <c r="L753" s="62"/>
      <c r="M753" s="60"/>
      <c r="N753" s="60"/>
      <c r="O753" s="3"/>
      <c r="P753" s="3"/>
      <c r="Q753" s="3"/>
      <c r="R753" s="3"/>
    </row>
    <row r="754">
      <c r="A754" s="164"/>
      <c r="B754" s="164"/>
      <c r="C754" s="165"/>
      <c r="D754" s="56"/>
      <c r="E754" s="57"/>
      <c r="F754" s="56"/>
      <c r="G754" s="56"/>
      <c r="H754" s="56"/>
      <c r="I754" s="62"/>
      <c r="J754" s="62"/>
      <c r="K754" s="62"/>
      <c r="L754" s="62"/>
      <c r="M754" s="60"/>
      <c r="N754" s="60"/>
      <c r="O754" s="3"/>
      <c r="P754" s="3"/>
      <c r="Q754" s="3"/>
      <c r="R754" s="3"/>
    </row>
    <row r="755">
      <c r="A755" s="164"/>
      <c r="B755" s="164"/>
      <c r="C755" s="165"/>
      <c r="D755" s="56"/>
      <c r="E755" s="57"/>
      <c r="F755" s="56"/>
      <c r="G755" s="56"/>
      <c r="H755" s="56"/>
      <c r="I755" s="62"/>
      <c r="J755" s="62"/>
      <c r="K755" s="62"/>
      <c r="L755" s="62"/>
      <c r="M755" s="60"/>
      <c r="N755" s="60"/>
      <c r="O755" s="3"/>
      <c r="P755" s="3"/>
      <c r="Q755" s="3"/>
      <c r="R755" s="3"/>
    </row>
    <row r="756">
      <c r="A756" s="164"/>
      <c r="B756" s="164"/>
      <c r="C756" s="165"/>
      <c r="D756" s="56"/>
      <c r="E756" s="57"/>
      <c r="F756" s="56"/>
      <c r="G756" s="56"/>
      <c r="H756" s="56"/>
      <c r="I756" s="62"/>
      <c r="J756" s="62"/>
      <c r="K756" s="62"/>
      <c r="L756" s="62"/>
      <c r="M756" s="60"/>
      <c r="N756" s="60"/>
      <c r="O756" s="3"/>
      <c r="P756" s="3"/>
      <c r="Q756" s="3"/>
      <c r="R756" s="3"/>
    </row>
    <row r="757">
      <c r="A757" s="164"/>
      <c r="B757" s="164"/>
      <c r="C757" s="165"/>
      <c r="D757" s="56"/>
      <c r="E757" s="57"/>
      <c r="F757" s="56"/>
      <c r="G757" s="56"/>
      <c r="H757" s="56"/>
      <c r="I757" s="62"/>
      <c r="J757" s="62"/>
      <c r="K757" s="62"/>
      <c r="L757" s="62"/>
      <c r="M757" s="60"/>
      <c r="N757" s="60"/>
      <c r="O757" s="3"/>
      <c r="P757" s="3"/>
      <c r="Q757" s="3"/>
      <c r="R757" s="3"/>
    </row>
    <row r="758">
      <c r="A758" s="164"/>
      <c r="B758" s="164"/>
      <c r="C758" s="165"/>
      <c r="D758" s="56"/>
      <c r="E758" s="57"/>
      <c r="F758" s="56"/>
      <c r="G758" s="56"/>
      <c r="H758" s="56"/>
      <c r="I758" s="62"/>
      <c r="J758" s="62"/>
      <c r="K758" s="62"/>
      <c r="L758" s="62"/>
      <c r="M758" s="60"/>
      <c r="N758" s="60"/>
      <c r="O758" s="3"/>
      <c r="P758" s="3"/>
      <c r="Q758" s="3"/>
      <c r="R758" s="3"/>
    </row>
  </sheetData>
  <mergeCells count="2">
    <mergeCell ref="I181:L181"/>
    <mergeCell ref="I184:L184"/>
  </mergeCells>
  <conditionalFormatting sqref="A4:E175">
    <cfRule type="expression" dxfId="1" priority="1">
      <formula>#REF!=1</formula>
    </cfRule>
  </conditionalFormatting>
  <conditionalFormatting sqref="A4:N175">
    <cfRule type="expression" dxfId="2" priority="2">
      <formula>$L4="Eliminated"</formula>
    </cfRule>
  </conditionalFormatting>
  <conditionalFormatting sqref="A4:D175">
    <cfRule type="expression" dxfId="3" priority="3">
      <formula>$D4&lt;9</formula>
    </cfRule>
  </conditionalFormatting>
  <conditionalFormatting sqref="A4:E175">
    <cfRule type="expression" dxfId="4" priority="4">
      <formula>$D4&lt;17</formula>
    </cfRule>
  </conditionalFormatting>
  <conditionalFormatting sqref="H4:I175 H179:I179">
    <cfRule type="cellIs" dxfId="5" priority="5" operator="greaterThan">
      <formula>0</formula>
    </cfRule>
  </conditionalFormatting>
  <conditionalFormatting sqref="K4:L175">
    <cfRule type="cellIs" dxfId="6" priority="6" operator="equal">
      <formula>"Underplay"</formula>
    </cfRule>
  </conditionalFormatting>
  <conditionalFormatting sqref="K4:L175">
    <cfRule type="cellIs" dxfId="7" priority="7" operator="equal">
      <formula>"Can Play"</formula>
    </cfRule>
  </conditionalFormatting>
  <conditionalFormatting sqref="K4:L175">
    <cfRule type="cellIs" dxfId="5" priority="8" operator="equal">
      <formula>"Overplay"</formula>
    </cfRule>
  </conditionalFormatting>
  <conditionalFormatting sqref="K4:L175">
    <cfRule type="cellIs" dxfId="8" priority="9" operator="equal">
      <formula>"Maxed Out"</formula>
    </cfRule>
  </conditionalFormatting>
  <conditionalFormatting sqref="M4:M175">
    <cfRule type="cellIs" dxfId="9" priority="10" operator="equal">
      <formula>"5 - 0"</formula>
    </cfRule>
  </conditionalFormatting>
  <conditionalFormatting sqref="M4:M175">
    <cfRule type="cellIs" dxfId="9" priority="11" operator="equal">
      <formula>"6 - 0"</formula>
    </cfRule>
  </conditionalFormatting>
  <conditionalFormatting sqref="M4:M175">
    <cfRule type="cellIs" dxfId="9" priority="12" operator="equal">
      <formula>"7 - 0"</formula>
    </cfRule>
  </conditionalFormatting>
  <conditionalFormatting sqref="A4:E175">
    <cfRule type="expression" dxfId="10" priority="13">
      <formula>$D4&lt;33</formula>
    </cfRule>
  </conditionalFormatting>
  <conditionalFormatting sqref="J185:L758">
    <cfRule type="notContainsBlanks" dxfId="11" priority="14">
      <formula>LEN(TRIM(J185))&gt;0</formula>
    </cfRule>
  </conditionalFormatting>
  <hyperlinks>
    <hyperlink r:id="rId1" ref="I181"/>
    <hyperlink r:id="rId2" ref="I18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2.75"/>
    <col customWidth="1" min="3" max="3" width="12.13"/>
    <col customWidth="1" min="4" max="4" width="5.88"/>
    <col customWidth="1" hidden="1" min="5" max="5" width="22.75"/>
    <col customWidth="1" min="6" max="10" width="9.5"/>
    <col customWidth="1" min="11" max="12" width="10.75"/>
    <col customWidth="1" min="13" max="13" width="7.5"/>
    <col customWidth="1" min="14" max="14" width="20.5"/>
  </cols>
  <sheetData>
    <row r="1">
      <c r="A1" s="2" t="s">
        <v>3</v>
      </c>
    </row>
    <row r="2">
      <c r="A2" s="4" t="s">
        <v>5</v>
      </c>
      <c r="B2" s="6"/>
      <c r="C2" s="7">
        <f>Quotas!B2</f>
        <v>3</v>
      </c>
      <c r="D2" s="6"/>
      <c r="E2" s="6"/>
      <c r="F2" s="6"/>
      <c r="G2" s="6"/>
      <c r="H2" s="6"/>
      <c r="I2" s="6"/>
      <c r="J2" s="6"/>
      <c r="K2" s="6"/>
      <c r="L2" s="6"/>
      <c r="M2" s="6"/>
      <c r="N2" s="6"/>
    </row>
    <row r="3">
      <c r="A3" s="8" t="s">
        <v>8</v>
      </c>
      <c r="B3" s="8" t="s">
        <v>9</v>
      </c>
      <c r="C3" s="8" t="s">
        <v>10</v>
      </c>
      <c r="D3" s="9" t="s">
        <v>11</v>
      </c>
      <c r="E3" s="10" t="s">
        <v>12</v>
      </c>
      <c r="F3" s="9" t="s">
        <v>13</v>
      </c>
      <c r="G3" s="9" t="s">
        <v>14</v>
      </c>
      <c r="H3" s="11" t="s">
        <v>15</v>
      </c>
      <c r="I3" s="11" t="s">
        <v>16</v>
      </c>
      <c r="J3" s="9" t="s">
        <v>17</v>
      </c>
      <c r="K3" s="9" t="s">
        <v>18</v>
      </c>
      <c r="L3" s="11" t="s">
        <v>19</v>
      </c>
      <c r="M3" s="12" t="s">
        <v>20</v>
      </c>
      <c r="N3" s="9" t="s">
        <v>21</v>
      </c>
    </row>
    <row r="4">
      <c r="A4" s="15" t="str">
        <f>IFERROR(__xludf.DUMMYFUNCTION("QUERY('Combined Standings'!A4:N175, ""Select A, B, C Where K &gt; -1"")"),"#N/A")</f>
        <v>#N/A</v>
      </c>
      <c r="B4" s="15"/>
      <c r="C4" s="15"/>
      <c r="D4" s="16">
        <v>1.0</v>
      </c>
      <c r="E4" s="17"/>
      <c r="F4" s="18" t="str">
        <f>IFERROR(__xludf.DUMMYFUNCTION("QUERY('Combined Standings'!A4:N175, ""Select F, G, H, I, J, K, L, M, N Where K &gt; -1"")"),"#N/A")</f>
        <v>#N/A</v>
      </c>
      <c r="G4" s="18"/>
      <c r="H4" s="19"/>
      <c r="I4" s="18"/>
      <c r="J4" s="20"/>
      <c r="K4" s="22"/>
      <c r="L4" s="22"/>
      <c r="M4" s="23"/>
      <c r="N4" s="24"/>
    </row>
    <row r="5">
      <c r="A5" s="15"/>
      <c r="B5" s="15"/>
      <c r="C5" s="15"/>
      <c r="D5" s="25" t="str">
        <f t="shared" ref="D5:D120" si="1">IF(A5="", "", D4+1)</f>
        <v/>
      </c>
      <c r="E5" s="17"/>
      <c r="F5" s="18"/>
      <c r="G5" s="18"/>
      <c r="H5" s="18"/>
      <c r="I5" s="18"/>
      <c r="J5" s="20"/>
      <c r="K5" s="22"/>
      <c r="L5" s="22"/>
      <c r="M5" s="23"/>
      <c r="N5" s="24"/>
    </row>
    <row r="6">
      <c r="A6" s="15"/>
      <c r="B6" s="15"/>
      <c r="C6" s="15"/>
      <c r="D6" s="25" t="str">
        <f t="shared" si="1"/>
        <v/>
      </c>
      <c r="E6" s="17"/>
      <c r="F6" s="18"/>
      <c r="G6" s="18"/>
      <c r="H6" s="18"/>
      <c r="I6" s="18"/>
      <c r="J6" s="20"/>
      <c r="K6" s="22"/>
      <c r="L6" s="22"/>
      <c r="M6" s="23"/>
      <c r="N6" s="24"/>
    </row>
    <row r="7">
      <c r="A7" s="15"/>
      <c r="B7" s="15"/>
      <c r="C7" s="15"/>
      <c r="D7" s="25" t="str">
        <f t="shared" si="1"/>
        <v/>
      </c>
      <c r="E7" s="17"/>
      <c r="F7" s="18"/>
      <c r="G7" s="18"/>
      <c r="H7" s="18"/>
      <c r="I7" s="18"/>
      <c r="J7" s="20"/>
      <c r="K7" s="22"/>
      <c r="L7" s="22"/>
      <c r="M7" s="23"/>
      <c r="N7" s="24"/>
    </row>
    <row r="8">
      <c r="A8" s="15"/>
      <c r="B8" s="15"/>
      <c r="C8" s="15"/>
      <c r="D8" s="25" t="str">
        <f t="shared" si="1"/>
        <v/>
      </c>
      <c r="E8" s="17"/>
      <c r="F8" s="18"/>
      <c r="G8" s="18"/>
      <c r="H8" s="18"/>
      <c r="I8" s="18"/>
      <c r="J8" s="20"/>
      <c r="K8" s="22"/>
      <c r="L8" s="22"/>
      <c r="M8" s="23"/>
      <c r="N8" s="24"/>
    </row>
    <row r="9">
      <c r="A9" s="15"/>
      <c r="B9" s="15"/>
      <c r="C9" s="15"/>
      <c r="D9" s="25" t="str">
        <f t="shared" si="1"/>
        <v/>
      </c>
      <c r="E9" s="17"/>
      <c r="F9" s="18"/>
      <c r="G9" s="18"/>
      <c r="H9" s="18"/>
      <c r="I9" s="18"/>
      <c r="J9" s="20"/>
      <c r="K9" s="22"/>
      <c r="L9" s="22"/>
      <c r="M9" s="23"/>
      <c r="N9" s="24"/>
    </row>
    <row r="10">
      <c r="A10" s="15"/>
      <c r="B10" s="15"/>
      <c r="C10" s="15"/>
      <c r="D10" s="25" t="str">
        <f t="shared" si="1"/>
        <v/>
      </c>
      <c r="E10" s="17"/>
      <c r="F10" s="18"/>
      <c r="G10" s="18"/>
      <c r="H10" s="18"/>
      <c r="I10" s="18"/>
      <c r="J10" s="20"/>
      <c r="K10" s="22"/>
      <c r="L10" s="22"/>
      <c r="M10" s="23"/>
      <c r="N10" s="24"/>
    </row>
    <row r="11">
      <c r="A11" s="15"/>
      <c r="B11" s="15"/>
      <c r="C11" s="15"/>
      <c r="D11" s="25" t="str">
        <f t="shared" si="1"/>
        <v/>
      </c>
      <c r="E11" s="17"/>
      <c r="F11" s="18"/>
      <c r="G11" s="18"/>
      <c r="H11" s="18"/>
      <c r="I11" s="18"/>
      <c r="J11" s="20"/>
      <c r="K11" s="22"/>
      <c r="L11" s="22"/>
      <c r="M11" s="23"/>
      <c r="N11" s="24"/>
    </row>
    <row r="12">
      <c r="A12" s="15"/>
      <c r="B12" s="15"/>
      <c r="C12" s="15"/>
      <c r="D12" s="25" t="str">
        <f t="shared" si="1"/>
        <v/>
      </c>
      <c r="E12" s="17"/>
      <c r="F12" s="18"/>
      <c r="G12" s="18"/>
      <c r="H12" s="18"/>
      <c r="I12" s="18"/>
      <c r="J12" s="20"/>
      <c r="K12" s="22"/>
      <c r="L12" s="22"/>
      <c r="M12" s="23"/>
      <c r="N12" s="24"/>
    </row>
    <row r="13">
      <c r="A13" s="15"/>
      <c r="B13" s="15"/>
      <c r="C13" s="15"/>
      <c r="D13" s="25" t="str">
        <f t="shared" si="1"/>
        <v/>
      </c>
      <c r="E13" s="17"/>
      <c r="F13" s="18"/>
      <c r="G13" s="18"/>
      <c r="H13" s="18"/>
      <c r="I13" s="18"/>
      <c r="J13" s="20"/>
      <c r="K13" s="22"/>
      <c r="L13" s="22"/>
      <c r="M13" s="23"/>
      <c r="N13" s="24"/>
    </row>
    <row r="14">
      <c r="A14" s="15"/>
      <c r="B14" s="15"/>
      <c r="C14" s="15"/>
      <c r="D14" s="25" t="str">
        <f t="shared" si="1"/>
        <v/>
      </c>
      <c r="E14" s="17"/>
      <c r="F14" s="18"/>
      <c r="G14" s="18"/>
      <c r="H14" s="18"/>
      <c r="I14" s="18"/>
      <c r="J14" s="20"/>
      <c r="K14" s="22"/>
      <c r="L14" s="22"/>
      <c r="M14" s="23"/>
      <c r="N14" s="24"/>
    </row>
    <row r="15">
      <c r="A15" s="15"/>
      <c r="B15" s="15"/>
      <c r="C15" s="15"/>
      <c r="D15" s="25" t="str">
        <f t="shared" si="1"/>
        <v/>
      </c>
      <c r="E15" s="17"/>
      <c r="F15" s="18"/>
      <c r="G15" s="18"/>
      <c r="H15" s="18"/>
      <c r="I15" s="18"/>
      <c r="J15" s="20"/>
      <c r="K15" s="22"/>
      <c r="L15" s="22"/>
      <c r="M15" s="23"/>
      <c r="N15" s="24"/>
    </row>
    <row r="16">
      <c r="A16" s="15"/>
      <c r="B16" s="15"/>
      <c r="C16" s="15"/>
      <c r="D16" s="25" t="str">
        <f t="shared" si="1"/>
        <v/>
      </c>
      <c r="E16" s="17"/>
      <c r="F16" s="18"/>
      <c r="G16" s="18"/>
      <c r="H16" s="18"/>
      <c r="I16" s="18"/>
      <c r="J16" s="20"/>
      <c r="K16" s="22"/>
      <c r="L16" s="22"/>
      <c r="M16" s="23"/>
      <c r="N16" s="24"/>
    </row>
    <row r="17">
      <c r="A17" s="15"/>
      <c r="B17" s="15"/>
      <c r="C17" s="15"/>
      <c r="D17" s="25" t="str">
        <f t="shared" si="1"/>
        <v/>
      </c>
      <c r="E17" s="17"/>
      <c r="F17" s="18"/>
      <c r="G17" s="18"/>
      <c r="H17" s="18"/>
      <c r="I17" s="18"/>
      <c r="J17" s="20"/>
      <c r="K17" s="22"/>
      <c r="L17" s="22"/>
      <c r="M17" s="23"/>
      <c r="N17" s="24"/>
    </row>
    <row r="18">
      <c r="A18" s="15"/>
      <c r="B18" s="15"/>
      <c r="C18" s="15"/>
      <c r="D18" s="25" t="str">
        <f t="shared" si="1"/>
        <v/>
      </c>
      <c r="E18" s="17"/>
      <c r="F18" s="18"/>
      <c r="G18" s="18"/>
      <c r="H18" s="18"/>
      <c r="I18" s="18"/>
      <c r="J18" s="20"/>
      <c r="K18" s="22"/>
      <c r="L18" s="22"/>
      <c r="M18" s="23"/>
      <c r="N18" s="24"/>
    </row>
    <row r="19">
      <c r="A19" s="15"/>
      <c r="B19" s="15"/>
      <c r="C19" s="15"/>
      <c r="D19" s="25" t="str">
        <f t="shared" si="1"/>
        <v/>
      </c>
      <c r="E19" s="17"/>
      <c r="F19" s="18"/>
      <c r="G19" s="18"/>
      <c r="H19" s="18"/>
      <c r="I19" s="18"/>
      <c r="J19" s="20"/>
      <c r="K19" s="22"/>
      <c r="L19" s="22"/>
      <c r="M19" s="23"/>
      <c r="N19" s="24"/>
    </row>
    <row r="20">
      <c r="A20" s="15"/>
      <c r="B20" s="15"/>
      <c r="C20" s="15"/>
      <c r="D20" s="25" t="str">
        <f t="shared" si="1"/>
        <v/>
      </c>
      <c r="E20" s="17"/>
      <c r="F20" s="18"/>
      <c r="G20" s="18"/>
      <c r="H20" s="18"/>
      <c r="I20" s="18"/>
      <c r="J20" s="20"/>
      <c r="K20" s="22"/>
      <c r="L20" s="22"/>
      <c r="M20" s="23"/>
      <c r="N20" s="24"/>
    </row>
    <row r="21">
      <c r="A21" s="15"/>
      <c r="B21" s="15"/>
      <c r="C21" s="15"/>
      <c r="D21" s="25" t="str">
        <f t="shared" si="1"/>
        <v/>
      </c>
      <c r="E21" s="17"/>
      <c r="F21" s="18"/>
      <c r="G21" s="18"/>
      <c r="H21" s="18"/>
      <c r="I21" s="18"/>
      <c r="J21" s="20"/>
      <c r="K21" s="22"/>
      <c r="L21" s="22"/>
      <c r="M21" s="23"/>
      <c r="N21" s="24"/>
    </row>
    <row r="22">
      <c r="A22" s="15"/>
      <c r="B22" s="15"/>
      <c r="C22" s="15"/>
      <c r="D22" s="25" t="str">
        <f t="shared" si="1"/>
        <v/>
      </c>
      <c r="E22" s="17"/>
      <c r="F22" s="18"/>
      <c r="G22" s="18"/>
      <c r="H22" s="18"/>
      <c r="I22" s="18"/>
      <c r="J22" s="20"/>
      <c r="K22" s="22"/>
      <c r="L22" s="22"/>
      <c r="M22" s="23"/>
      <c r="N22" s="24"/>
    </row>
    <row r="23">
      <c r="A23" s="15"/>
      <c r="B23" s="15"/>
      <c r="C23" s="15"/>
      <c r="D23" s="25" t="str">
        <f t="shared" si="1"/>
        <v/>
      </c>
      <c r="E23" s="17"/>
      <c r="F23" s="18"/>
      <c r="G23" s="18"/>
      <c r="H23" s="18"/>
      <c r="I23" s="18"/>
      <c r="J23" s="20"/>
      <c r="K23" s="22"/>
      <c r="L23" s="22"/>
      <c r="M23" s="23"/>
      <c r="N23" s="24"/>
    </row>
    <row r="24">
      <c r="A24" s="15"/>
      <c r="B24" s="15"/>
      <c r="C24" s="15"/>
      <c r="D24" s="25" t="str">
        <f t="shared" si="1"/>
        <v/>
      </c>
      <c r="E24" s="17"/>
      <c r="F24" s="18"/>
      <c r="G24" s="18"/>
      <c r="H24" s="18"/>
      <c r="I24" s="18"/>
      <c r="J24" s="20"/>
      <c r="K24" s="22"/>
      <c r="L24" s="22"/>
      <c r="M24" s="23"/>
      <c r="N24" s="24"/>
    </row>
    <row r="25">
      <c r="A25" s="15"/>
      <c r="B25" s="15"/>
      <c r="C25" s="15"/>
      <c r="D25" s="25" t="str">
        <f t="shared" si="1"/>
        <v/>
      </c>
      <c r="E25" s="17"/>
      <c r="F25" s="18"/>
      <c r="G25" s="18"/>
      <c r="H25" s="18"/>
      <c r="I25" s="18"/>
      <c r="J25" s="20"/>
      <c r="K25" s="22"/>
      <c r="L25" s="22"/>
      <c r="M25" s="23"/>
      <c r="N25" s="24"/>
    </row>
    <row r="26">
      <c r="A26" s="15"/>
      <c r="B26" s="15"/>
      <c r="C26" s="15"/>
      <c r="D26" s="25" t="str">
        <f t="shared" si="1"/>
        <v/>
      </c>
      <c r="E26" s="17"/>
      <c r="F26" s="18"/>
      <c r="G26" s="18"/>
      <c r="H26" s="18"/>
      <c r="I26" s="18"/>
      <c r="J26" s="20"/>
      <c r="K26" s="22"/>
      <c r="L26" s="22"/>
      <c r="M26" s="23"/>
      <c r="N26" s="24"/>
    </row>
    <row r="27">
      <c r="A27" s="15"/>
      <c r="B27" s="15"/>
      <c r="C27" s="15"/>
      <c r="D27" s="25" t="str">
        <f t="shared" si="1"/>
        <v/>
      </c>
      <c r="E27" s="17"/>
      <c r="F27" s="18"/>
      <c r="G27" s="18"/>
      <c r="H27" s="18"/>
      <c r="I27" s="18"/>
      <c r="J27" s="20"/>
      <c r="K27" s="22"/>
      <c r="L27" s="22"/>
      <c r="M27" s="23"/>
      <c r="N27" s="24"/>
    </row>
    <row r="28">
      <c r="A28" s="15"/>
      <c r="B28" s="15"/>
      <c r="C28" s="15"/>
      <c r="D28" s="25" t="str">
        <f t="shared" si="1"/>
        <v/>
      </c>
      <c r="E28" s="17"/>
      <c r="F28" s="18"/>
      <c r="G28" s="18"/>
      <c r="H28" s="18"/>
      <c r="I28" s="18"/>
      <c r="J28" s="20"/>
      <c r="K28" s="22"/>
      <c r="L28" s="22"/>
      <c r="M28" s="23"/>
      <c r="N28" s="24"/>
    </row>
    <row r="29">
      <c r="A29" s="15"/>
      <c r="B29" s="15"/>
      <c r="C29" s="15"/>
      <c r="D29" s="25" t="str">
        <f t="shared" si="1"/>
        <v/>
      </c>
      <c r="E29" s="17"/>
      <c r="F29" s="18"/>
      <c r="G29" s="18"/>
      <c r="H29" s="18"/>
      <c r="I29" s="18"/>
      <c r="J29" s="20"/>
      <c r="K29" s="22"/>
      <c r="L29" s="22"/>
      <c r="M29" s="23"/>
      <c r="N29" s="24"/>
    </row>
    <row r="30">
      <c r="A30" s="15"/>
      <c r="B30" s="15"/>
      <c r="C30" s="15"/>
      <c r="D30" s="25" t="str">
        <f t="shared" si="1"/>
        <v/>
      </c>
      <c r="E30" s="17"/>
      <c r="F30" s="18"/>
      <c r="G30" s="18"/>
      <c r="H30" s="18"/>
      <c r="I30" s="18"/>
      <c r="J30" s="20"/>
      <c r="K30" s="22"/>
      <c r="L30" s="22"/>
      <c r="M30" s="23"/>
      <c r="N30" s="24"/>
    </row>
    <row r="31">
      <c r="A31" s="15"/>
      <c r="B31" s="15"/>
      <c r="C31" s="15"/>
      <c r="D31" s="25" t="str">
        <f t="shared" si="1"/>
        <v/>
      </c>
      <c r="E31" s="17"/>
      <c r="F31" s="18"/>
      <c r="G31" s="18"/>
      <c r="H31" s="18"/>
      <c r="I31" s="18"/>
      <c r="J31" s="20"/>
      <c r="K31" s="22"/>
      <c r="L31" s="22"/>
      <c r="M31" s="23"/>
      <c r="N31" s="24"/>
    </row>
    <row r="32">
      <c r="A32" s="15"/>
      <c r="B32" s="15"/>
      <c r="C32" s="15"/>
      <c r="D32" s="25" t="str">
        <f t="shared" si="1"/>
        <v/>
      </c>
      <c r="E32" s="17"/>
      <c r="F32" s="18"/>
      <c r="G32" s="18"/>
      <c r="H32" s="18"/>
      <c r="I32" s="18"/>
      <c r="J32" s="20"/>
      <c r="K32" s="22"/>
      <c r="L32" s="22"/>
      <c r="M32" s="23"/>
      <c r="N32" s="24"/>
    </row>
    <row r="33">
      <c r="A33" s="15"/>
      <c r="B33" s="15"/>
      <c r="C33" s="15"/>
      <c r="D33" s="25" t="str">
        <f t="shared" si="1"/>
        <v/>
      </c>
      <c r="E33" s="17"/>
      <c r="F33" s="18"/>
      <c r="G33" s="18"/>
      <c r="H33" s="18"/>
      <c r="I33" s="18"/>
      <c r="J33" s="20"/>
      <c r="K33" s="22"/>
      <c r="L33" s="22"/>
      <c r="M33" s="23"/>
      <c r="N33" s="24"/>
    </row>
    <row r="34">
      <c r="A34" s="15"/>
      <c r="B34" s="15"/>
      <c r="C34" s="15"/>
      <c r="D34" s="25" t="str">
        <f t="shared" si="1"/>
        <v/>
      </c>
      <c r="E34" s="17"/>
      <c r="F34" s="18"/>
      <c r="G34" s="18"/>
      <c r="H34" s="18"/>
      <c r="I34" s="18"/>
      <c r="J34" s="20"/>
      <c r="K34" s="22"/>
      <c r="L34" s="22"/>
      <c r="M34" s="23"/>
      <c r="N34" s="24"/>
    </row>
    <row r="35">
      <c r="A35" s="15"/>
      <c r="B35" s="15"/>
      <c r="C35" s="15"/>
      <c r="D35" s="25" t="str">
        <f t="shared" si="1"/>
        <v/>
      </c>
      <c r="E35" s="17"/>
      <c r="F35" s="18"/>
      <c r="G35" s="18"/>
      <c r="H35" s="18"/>
      <c r="I35" s="18"/>
      <c r="J35" s="20"/>
      <c r="K35" s="22"/>
      <c r="L35" s="22"/>
      <c r="M35" s="23"/>
      <c r="N35" s="24"/>
    </row>
    <row r="36">
      <c r="A36" s="29"/>
      <c r="B36" s="29"/>
      <c r="C36" s="29"/>
      <c r="D36" s="30" t="str">
        <f t="shared" si="1"/>
        <v/>
      </c>
      <c r="E36" s="17"/>
      <c r="F36" s="18"/>
      <c r="G36" s="18"/>
      <c r="H36" s="18"/>
      <c r="I36" s="18"/>
      <c r="J36" s="20"/>
      <c r="K36" s="22"/>
      <c r="L36" s="22"/>
      <c r="M36" s="23"/>
      <c r="N36" s="24"/>
    </row>
    <row r="37">
      <c r="A37" s="29"/>
      <c r="B37" s="29"/>
      <c r="C37" s="29"/>
      <c r="D37" s="30" t="str">
        <f t="shared" si="1"/>
        <v/>
      </c>
      <c r="E37" s="17"/>
      <c r="F37" s="18"/>
      <c r="G37" s="18"/>
      <c r="H37" s="18"/>
      <c r="I37" s="18"/>
      <c r="J37" s="20"/>
      <c r="K37" s="22"/>
      <c r="L37" s="22"/>
      <c r="M37" s="23"/>
      <c r="N37" s="24"/>
    </row>
    <row r="38">
      <c r="A38" s="29"/>
      <c r="B38" s="29"/>
      <c r="C38" s="29"/>
      <c r="D38" s="30" t="str">
        <f t="shared" si="1"/>
        <v/>
      </c>
      <c r="E38" s="17"/>
      <c r="F38" s="18"/>
      <c r="G38" s="18"/>
      <c r="H38" s="18"/>
      <c r="I38" s="18"/>
      <c r="J38" s="20"/>
      <c r="K38" s="22"/>
      <c r="L38" s="22"/>
      <c r="M38" s="23"/>
      <c r="N38" s="24"/>
    </row>
    <row r="39">
      <c r="A39" s="29"/>
      <c r="B39" s="29"/>
      <c r="C39" s="29"/>
      <c r="D39" s="30" t="str">
        <f t="shared" si="1"/>
        <v/>
      </c>
      <c r="E39" s="17"/>
      <c r="F39" s="18"/>
      <c r="G39" s="18"/>
      <c r="H39" s="18"/>
      <c r="I39" s="18"/>
      <c r="J39" s="20"/>
      <c r="K39" s="22"/>
      <c r="L39" s="22"/>
      <c r="M39" s="23"/>
      <c r="N39" s="24"/>
    </row>
    <row r="40">
      <c r="A40" s="29"/>
      <c r="B40" s="29"/>
      <c r="C40" s="29"/>
      <c r="D40" s="30" t="str">
        <f t="shared" si="1"/>
        <v/>
      </c>
      <c r="E40" s="17"/>
      <c r="F40" s="18"/>
      <c r="G40" s="18"/>
      <c r="H40" s="18"/>
      <c r="I40" s="18"/>
      <c r="J40" s="20"/>
      <c r="K40" s="22"/>
      <c r="L40" s="22"/>
      <c r="M40" s="23"/>
      <c r="N40" s="24"/>
    </row>
    <row r="41">
      <c r="A41" s="29"/>
      <c r="B41" s="29"/>
      <c r="C41" s="29"/>
      <c r="D41" s="30" t="str">
        <f t="shared" si="1"/>
        <v/>
      </c>
      <c r="E41" s="17"/>
      <c r="F41" s="18"/>
      <c r="G41" s="18"/>
      <c r="H41" s="18"/>
      <c r="I41" s="18"/>
      <c r="J41" s="20"/>
      <c r="K41" s="22"/>
      <c r="L41" s="22"/>
      <c r="M41" s="23"/>
      <c r="N41" s="24"/>
    </row>
    <row r="42">
      <c r="A42" s="29"/>
      <c r="B42" s="29"/>
      <c r="C42" s="29"/>
      <c r="D42" s="30" t="str">
        <f t="shared" si="1"/>
        <v/>
      </c>
      <c r="E42" s="17"/>
      <c r="F42" s="18"/>
      <c r="G42" s="18"/>
      <c r="H42" s="18"/>
      <c r="I42" s="18"/>
      <c r="J42" s="20"/>
      <c r="K42" s="22"/>
      <c r="L42" s="22"/>
      <c r="M42" s="23"/>
      <c r="N42" s="24"/>
    </row>
    <row r="43">
      <c r="A43" s="29"/>
      <c r="B43" s="29"/>
      <c r="C43" s="29"/>
      <c r="D43" s="30" t="str">
        <f t="shared" si="1"/>
        <v/>
      </c>
      <c r="E43" s="17"/>
      <c r="F43" s="18"/>
      <c r="G43" s="18"/>
      <c r="H43" s="18"/>
      <c r="I43" s="18"/>
      <c r="J43" s="20"/>
      <c r="K43" s="22"/>
      <c r="L43" s="22"/>
      <c r="M43" s="23"/>
      <c r="N43" s="24"/>
    </row>
    <row r="44">
      <c r="A44" s="29"/>
      <c r="B44" s="29"/>
      <c r="C44" s="29"/>
      <c r="D44" s="30" t="str">
        <f t="shared" si="1"/>
        <v/>
      </c>
      <c r="E44" s="17"/>
      <c r="F44" s="18"/>
      <c r="G44" s="18"/>
      <c r="H44" s="18"/>
      <c r="I44" s="18"/>
      <c r="J44" s="20"/>
      <c r="K44" s="22"/>
      <c r="L44" s="22"/>
      <c r="M44" s="23"/>
      <c r="N44" s="24"/>
    </row>
    <row r="45">
      <c r="A45" s="29"/>
      <c r="B45" s="29"/>
      <c r="C45" s="29"/>
      <c r="D45" s="30" t="str">
        <f t="shared" si="1"/>
        <v/>
      </c>
      <c r="E45" s="17"/>
      <c r="F45" s="18"/>
      <c r="G45" s="18"/>
      <c r="H45" s="18"/>
      <c r="I45" s="18"/>
      <c r="J45" s="20"/>
      <c r="K45" s="22"/>
      <c r="L45" s="22"/>
      <c r="M45" s="23"/>
      <c r="N45" s="24"/>
    </row>
    <row r="46">
      <c r="A46" s="29"/>
      <c r="B46" s="29"/>
      <c r="C46" s="29"/>
      <c r="D46" s="30" t="str">
        <f t="shared" si="1"/>
        <v/>
      </c>
      <c r="E46" s="17"/>
      <c r="F46" s="18"/>
      <c r="G46" s="18"/>
      <c r="H46" s="18"/>
      <c r="I46" s="18"/>
      <c r="J46" s="20"/>
      <c r="K46" s="22"/>
      <c r="L46" s="22"/>
      <c r="M46" s="23"/>
      <c r="N46" s="24"/>
    </row>
    <row r="47">
      <c r="A47" s="29"/>
      <c r="B47" s="29"/>
      <c r="C47" s="29"/>
      <c r="D47" s="30" t="str">
        <f t="shared" si="1"/>
        <v/>
      </c>
      <c r="E47" s="17"/>
      <c r="F47" s="18"/>
      <c r="G47" s="18"/>
      <c r="H47" s="18"/>
      <c r="I47" s="18"/>
      <c r="J47" s="20"/>
      <c r="K47" s="22"/>
      <c r="L47" s="22"/>
      <c r="M47" s="23"/>
      <c r="N47" s="24"/>
    </row>
    <row r="48">
      <c r="A48" s="29"/>
      <c r="B48" s="29"/>
      <c r="C48" s="29"/>
      <c r="D48" s="30" t="str">
        <f t="shared" si="1"/>
        <v/>
      </c>
      <c r="E48" s="17"/>
      <c r="F48" s="18"/>
      <c r="G48" s="18"/>
      <c r="H48" s="18"/>
      <c r="I48" s="18"/>
      <c r="J48" s="20"/>
      <c r="K48" s="22"/>
      <c r="L48" s="22"/>
      <c r="M48" s="23"/>
      <c r="N48" s="24"/>
    </row>
    <row r="49">
      <c r="A49" s="29"/>
      <c r="B49" s="29"/>
      <c r="C49" s="29"/>
      <c r="D49" s="30" t="str">
        <f t="shared" si="1"/>
        <v/>
      </c>
      <c r="E49" s="17"/>
      <c r="F49" s="18"/>
      <c r="G49" s="18"/>
      <c r="H49" s="18"/>
      <c r="I49" s="18"/>
      <c r="J49" s="20"/>
      <c r="K49" s="22"/>
      <c r="L49" s="22"/>
      <c r="M49" s="23"/>
      <c r="N49" s="24"/>
    </row>
    <row r="50">
      <c r="A50" s="29"/>
      <c r="B50" s="29"/>
      <c r="C50" s="29"/>
      <c r="D50" s="30" t="str">
        <f t="shared" si="1"/>
        <v/>
      </c>
      <c r="E50" s="17"/>
      <c r="F50" s="18"/>
      <c r="G50" s="18"/>
      <c r="H50" s="18"/>
      <c r="I50" s="18"/>
      <c r="J50" s="20"/>
      <c r="K50" s="22"/>
      <c r="L50" s="22"/>
      <c r="M50" s="23"/>
      <c r="N50" s="24"/>
    </row>
    <row r="51">
      <c r="A51" s="29"/>
      <c r="B51" s="29"/>
      <c r="C51" s="29"/>
      <c r="D51" s="30" t="str">
        <f t="shared" si="1"/>
        <v/>
      </c>
      <c r="E51" s="17"/>
      <c r="F51" s="18"/>
      <c r="G51" s="18"/>
      <c r="H51" s="18"/>
      <c r="I51" s="18"/>
      <c r="J51" s="20"/>
      <c r="K51" s="22"/>
      <c r="L51" s="22"/>
      <c r="M51" s="23"/>
      <c r="N51" s="24"/>
    </row>
    <row r="52">
      <c r="A52" s="29"/>
      <c r="B52" s="29"/>
      <c r="C52" s="29"/>
      <c r="D52" s="30" t="str">
        <f t="shared" si="1"/>
        <v/>
      </c>
      <c r="E52" s="17"/>
      <c r="F52" s="18"/>
      <c r="G52" s="18"/>
      <c r="H52" s="18"/>
      <c r="I52" s="18"/>
      <c r="J52" s="20"/>
      <c r="K52" s="22"/>
      <c r="L52" s="22"/>
      <c r="M52" s="23"/>
      <c r="N52" s="24"/>
    </row>
    <row r="53">
      <c r="A53" s="29"/>
      <c r="B53" s="29"/>
      <c r="C53" s="29"/>
      <c r="D53" s="30" t="str">
        <f t="shared" si="1"/>
        <v/>
      </c>
      <c r="E53" s="17"/>
      <c r="F53" s="18"/>
      <c r="G53" s="18"/>
      <c r="H53" s="18"/>
      <c r="I53" s="18"/>
      <c r="J53" s="20"/>
      <c r="K53" s="22"/>
      <c r="L53" s="22"/>
      <c r="M53" s="23"/>
      <c r="N53" s="24"/>
    </row>
    <row r="54">
      <c r="A54" s="29"/>
      <c r="B54" s="29"/>
      <c r="C54" s="29"/>
      <c r="D54" s="30" t="str">
        <f t="shared" si="1"/>
        <v/>
      </c>
      <c r="E54" s="17"/>
      <c r="F54" s="18"/>
      <c r="G54" s="18"/>
      <c r="H54" s="18"/>
      <c r="I54" s="18"/>
      <c r="J54" s="20"/>
      <c r="K54" s="22"/>
      <c r="L54" s="22"/>
      <c r="M54" s="23"/>
      <c r="N54" s="24"/>
    </row>
    <row r="55">
      <c r="A55" s="29"/>
      <c r="B55" s="29"/>
      <c r="C55" s="29"/>
      <c r="D55" s="30" t="str">
        <f t="shared" si="1"/>
        <v/>
      </c>
      <c r="E55" s="17"/>
      <c r="F55" s="18"/>
      <c r="G55" s="18"/>
      <c r="H55" s="18"/>
      <c r="I55" s="18"/>
      <c r="J55" s="20"/>
      <c r="K55" s="22"/>
      <c r="L55" s="22"/>
      <c r="M55" s="23"/>
      <c r="N55" s="24"/>
    </row>
    <row r="56">
      <c r="A56" s="29"/>
      <c r="B56" s="29"/>
      <c r="C56" s="29"/>
      <c r="D56" s="30" t="str">
        <f t="shared" si="1"/>
        <v/>
      </c>
      <c r="E56" s="17"/>
      <c r="F56" s="18"/>
      <c r="G56" s="18"/>
      <c r="H56" s="18"/>
      <c r="I56" s="18"/>
      <c r="J56" s="20"/>
      <c r="K56" s="22"/>
      <c r="L56" s="22"/>
      <c r="M56" s="23"/>
      <c r="N56" s="24"/>
    </row>
    <row r="57">
      <c r="A57" s="29"/>
      <c r="B57" s="29"/>
      <c r="C57" s="29"/>
      <c r="D57" s="30" t="str">
        <f t="shared" si="1"/>
        <v/>
      </c>
      <c r="E57" s="17"/>
      <c r="F57" s="18"/>
      <c r="G57" s="18"/>
      <c r="H57" s="18"/>
      <c r="I57" s="18"/>
      <c r="J57" s="20"/>
      <c r="K57" s="22"/>
      <c r="L57" s="22"/>
      <c r="M57" s="23"/>
      <c r="N57" s="24"/>
    </row>
    <row r="58">
      <c r="A58" s="29"/>
      <c r="B58" s="29"/>
      <c r="C58" s="29"/>
      <c r="D58" s="30" t="str">
        <f t="shared" si="1"/>
        <v/>
      </c>
      <c r="E58" s="17"/>
      <c r="F58" s="18"/>
      <c r="G58" s="18"/>
      <c r="H58" s="18"/>
      <c r="I58" s="18"/>
      <c r="J58" s="20"/>
      <c r="K58" s="22"/>
      <c r="L58" s="22"/>
      <c r="M58" s="23"/>
      <c r="N58" s="24"/>
    </row>
    <row r="59">
      <c r="A59" s="29"/>
      <c r="B59" s="29"/>
      <c r="C59" s="29"/>
      <c r="D59" s="30" t="str">
        <f t="shared" si="1"/>
        <v/>
      </c>
      <c r="E59" s="17"/>
      <c r="F59" s="18"/>
      <c r="G59" s="18"/>
      <c r="H59" s="18"/>
      <c r="I59" s="18"/>
      <c r="J59" s="20"/>
      <c r="K59" s="22"/>
      <c r="L59" s="22"/>
      <c r="M59" s="23"/>
      <c r="N59" s="24"/>
    </row>
    <row r="60">
      <c r="A60" s="29"/>
      <c r="B60" s="29"/>
      <c r="C60" s="29"/>
      <c r="D60" s="30" t="str">
        <f t="shared" si="1"/>
        <v/>
      </c>
      <c r="E60" s="17"/>
      <c r="F60" s="18"/>
      <c r="G60" s="18"/>
      <c r="H60" s="18"/>
      <c r="I60" s="18"/>
      <c r="J60" s="20"/>
      <c r="K60" s="22"/>
      <c r="L60" s="22"/>
      <c r="M60" s="23"/>
      <c r="N60" s="24"/>
    </row>
    <row r="61">
      <c r="A61" s="29"/>
      <c r="B61" s="29"/>
      <c r="C61" s="29"/>
      <c r="D61" s="30" t="str">
        <f t="shared" si="1"/>
        <v/>
      </c>
      <c r="E61" s="17"/>
      <c r="F61" s="18"/>
      <c r="G61" s="18"/>
      <c r="H61" s="18"/>
      <c r="I61" s="18"/>
      <c r="J61" s="20"/>
      <c r="K61" s="22"/>
      <c r="L61" s="22"/>
      <c r="M61" s="23"/>
      <c r="N61" s="24"/>
    </row>
    <row r="62">
      <c r="A62" s="29"/>
      <c r="B62" s="29"/>
      <c r="C62" s="29"/>
      <c r="D62" s="30" t="str">
        <f t="shared" si="1"/>
        <v/>
      </c>
      <c r="E62" s="17"/>
      <c r="F62" s="18"/>
      <c r="G62" s="18"/>
      <c r="H62" s="18"/>
      <c r="I62" s="18"/>
      <c r="J62" s="20"/>
      <c r="K62" s="22"/>
      <c r="L62" s="22"/>
      <c r="M62" s="23"/>
      <c r="N62" s="24"/>
    </row>
    <row r="63">
      <c r="A63" s="29"/>
      <c r="B63" s="29"/>
      <c r="C63" s="29"/>
      <c r="D63" s="30" t="str">
        <f t="shared" si="1"/>
        <v/>
      </c>
      <c r="E63" s="17"/>
      <c r="F63" s="18"/>
      <c r="G63" s="18"/>
      <c r="H63" s="18"/>
      <c r="I63" s="18"/>
      <c r="J63" s="20"/>
      <c r="K63" s="22"/>
      <c r="L63" s="22"/>
      <c r="M63" s="23"/>
      <c r="N63" s="24"/>
    </row>
    <row r="64">
      <c r="A64" s="29"/>
      <c r="B64" s="29"/>
      <c r="C64" s="29"/>
      <c r="D64" s="30" t="str">
        <f t="shared" si="1"/>
        <v/>
      </c>
      <c r="E64" s="17"/>
      <c r="F64" s="18"/>
      <c r="G64" s="18"/>
      <c r="H64" s="18"/>
      <c r="I64" s="18"/>
      <c r="J64" s="20"/>
      <c r="K64" s="22"/>
      <c r="L64" s="22"/>
      <c r="M64" s="23"/>
      <c r="N64" s="24"/>
    </row>
    <row r="65">
      <c r="A65" s="29"/>
      <c r="B65" s="29"/>
      <c r="C65" s="29"/>
      <c r="D65" s="30" t="str">
        <f t="shared" si="1"/>
        <v/>
      </c>
      <c r="E65" s="17"/>
      <c r="F65" s="18"/>
      <c r="G65" s="18"/>
      <c r="H65" s="18"/>
      <c r="I65" s="18"/>
      <c r="J65" s="20"/>
      <c r="K65" s="22"/>
      <c r="L65" s="22"/>
      <c r="M65" s="23"/>
      <c r="N65" s="24"/>
    </row>
    <row r="66">
      <c r="A66" s="29"/>
      <c r="B66" s="29"/>
      <c r="C66" s="29"/>
      <c r="D66" s="30" t="str">
        <f t="shared" si="1"/>
        <v/>
      </c>
      <c r="E66" s="17"/>
      <c r="F66" s="18"/>
      <c r="G66" s="18"/>
      <c r="H66" s="18"/>
      <c r="I66" s="18"/>
      <c r="J66" s="20"/>
      <c r="K66" s="22"/>
      <c r="L66" s="22"/>
      <c r="M66" s="23"/>
      <c r="N66" s="24"/>
    </row>
    <row r="67">
      <c r="A67" s="29"/>
      <c r="B67" s="29"/>
      <c r="C67" s="29"/>
      <c r="D67" s="30" t="str">
        <f t="shared" si="1"/>
        <v/>
      </c>
      <c r="E67" s="17"/>
      <c r="F67" s="18"/>
      <c r="G67" s="18"/>
      <c r="H67" s="18"/>
      <c r="I67" s="18"/>
      <c r="J67" s="20"/>
      <c r="K67" s="22"/>
      <c r="L67" s="22"/>
      <c r="M67" s="23"/>
      <c r="N67" s="24"/>
    </row>
    <row r="68">
      <c r="A68" s="32"/>
      <c r="B68" s="32"/>
      <c r="C68" s="32"/>
      <c r="D68" s="30" t="str">
        <f t="shared" si="1"/>
        <v/>
      </c>
      <c r="E68" s="17"/>
      <c r="F68" s="18"/>
      <c r="G68" s="18"/>
      <c r="H68" s="18"/>
      <c r="I68" s="18"/>
      <c r="J68" s="20"/>
      <c r="K68" s="22"/>
      <c r="L68" s="22"/>
      <c r="M68" s="23"/>
      <c r="N68" s="24"/>
    </row>
    <row r="69">
      <c r="A69" s="32"/>
      <c r="B69" s="32"/>
      <c r="C69" s="32"/>
      <c r="D69" s="30" t="str">
        <f t="shared" si="1"/>
        <v/>
      </c>
      <c r="E69" s="17"/>
      <c r="F69" s="18"/>
      <c r="G69" s="18"/>
      <c r="H69" s="18"/>
      <c r="I69" s="18"/>
      <c r="J69" s="20"/>
      <c r="K69" s="22"/>
      <c r="L69" s="22"/>
      <c r="M69" s="23"/>
      <c r="N69" s="24"/>
    </row>
    <row r="70">
      <c r="A70" s="32"/>
      <c r="B70" s="32"/>
      <c r="C70" s="32"/>
      <c r="D70" s="30" t="str">
        <f t="shared" si="1"/>
        <v/>
      </c>
      <c r="E70" s="17"/>
      <c r="F70" s="18"/>
      <c r="G70" s="18"/>
      <c r="H70" s="18"/>
      <c r="I70" s="18"/>
      <c r="J70" s="20"/>
      <c r="K70" s="22"/>
      <c r="L70" s="22"/>
      <c r="M70" s="23"/>
      <c r="N70" s="24"/>
    </row>
    <row r="71">
      <c r="A71" s="32"/>
      <c r="B71" s="32"/>
      <c r="C71" s="32"/>
      <c r="D71" s="30" t="str">
        <f t="shared" si="1"/>
        <v/>
      </c>
      <c r="E71" s="17"/>
      <c r="F71" s="18"/>
      <c r="G71" s="18"/>
      <c r="H71" s="18"/>
      <c r="I71" s="18"/>
      <c r="J71" s="20"/>
      <c r="K71" s="22"/>
      <c r="L71" s="22"/>
      <c r="M71" s="23"/>
      <c r="N71" s="24"/>
    </row>
    <row r="72">
      <c r="A72" s="32"/>
      <c r="B72" s="32"/>
      <c r="C72" s="32"/>
      <c r="D72" s="30" t="str">
        <f t="shared" si="1"/>
        <v/>
      </c>
      <c r="E72" s="17"/>
      <c r="F72" s="18"/>
      <c r="G72" s="18"/>
      <c r="H72" s="18"/>
      <c r="I72" s="18"/>
      <c r="J72" s="20"/>
      <c r="K72" s="22"/>
      <c r="L72" s="22"/>
      <c r="M72" s="23"/>
      <c r="N72" s="24"/>
    </row>
    <row r="73">
      <c r="A73" s="32"/>
      <c r="B73" s="32"/>
      <c r="C73" s="32"/>
      <c r="D73" s="30" t="str">
        <f t="shared" si="1"/>
        <v/>
      </c>
      <c r="E73" s="17"/>
      <c r="F73" s="18"/>
      <c r="G73" s="18"/>
      <c r="H73" s="18"/>
      <c r="I73" s="18"/>
      <c r="J73" s="20"/>
      <c r="K73" s="22"/>
      <c r="L73" s="22"/>
      <c r="M73" s="23"/>
      <c r="N73" s="24"/>
    </row>
    <row r="74">
      <c r="A74" s="32"/>
      <c r="B74" s="32"/>
      <c r="C74" s="32"/>
      <c r="D74" s="30" t="str">
        <f t="shared" si="1"/>
        <v/>
      </c>
      <c r="E74" s="17"/>
      <c r="F74" s="18"/>
      <c r="G74" s="18"/>
      <c r="H74" s="18"/>
      <c r="I74" s="18"/>
      <c r="J74" s="20"/>
      <c r="K74" s="22"/>
      <c r="L74" s="22"/>
      <c r="M74" s="23"/>
      <c r="N74" s="24"/>
    </row>
    <row r="75">
      <c r="A75" s="32"/>
      <c r="B75" s="32"/>
      <c r="C75" s="32"/>
      <c r="D75" s="30" t="str">
        <f t="shared" si="1"/>
        <v/>
      </c>
      <c r="E75" s="17"/>
      <c r="F75" s="18"/>
      <c r="G75" s="18"/>
      <c r="H75" s="18"/>
      <c r="I75" s="18"/>
      <c r="J75" s="20"/>
      <c r="K75" s="22"/>
      <c r="L75" s="22"/>
      <c r="M75" s="23"/>
      <c r="N75" s="24"/>
    </row>
    <row r="76">
      <c r="A76" s="32"/>
      <c r="B76" s="32"/>
      <c r="C76" s="32"/>
      <c r="D76" s="30" t="str">
        <f t="shared" si="1"/>
        <v/>
      </c>
      <c r="E76" s="17"/>
      <c r="F76" s="18"/>
      <c r="G76" s="18"/>
      <c r="H76" s="18"/>
      <c r="I76" s="18"/>
      <c r="J76" s="20"/>
      <c r="K76" s="22"/>
      <c r="L76" s="22"/>
      <c r="M76" s="23"/>
      <c r="N76" s="24"/>
    </row>
    <row r="77">
      <c r="A77" s="32"/>
      <c r="B77" s="32"/>
      <c r="C77" s="32"/>
      <c r="D77" s="30" t="str">
        <f t="shared" si="1"/>
        <v/>
      </c>
      <c r="E77" s="17"/>
      <c r="F77" s="18"/>
      <c r="G77" s="18"/>
      <c r="H77" s="18"/>
      <c r="I77" s="18"/>
      <c r="J77" s="20"/>
      <c r="K77" s="22"/>
      <c r="L77" s="22"/>
      <c r="M77" s="23"/>
      <c r="N77" s="24"/>
    </row>
    <row r="78">
      <c r="A78" s="32"/>
      <c r="B78" s="32"/>
      <c r="C78" s="32"/>
      <c r="D78" s="30" t="str">
        <f t="shared" si="1"/>
        <v/>
      </c>
      <c r="E78" s="17"/>
      <c r="F78" s="18"/>
      <c r="G78" s="18"/>
      <c r="H78" s="18"/>
      <c r="I78" s="18"/>
      <c r="J78" s="20"/>
      <c r="K78" s="22"/>
      <c r="L78" s="22"/>
      <c r="M78" s="23"/>
      <c r="N78" s="24"/>
    </row>
    <row r="79">
      <c r="A79" s="32"/>
      <c r="B79" s="32"/>
      <c r="C79" s="32"/>
      <c r="D79" s="30" t="str">
        <f t="shared" si="1"/>
        <v/>
      </c>
      <c r="E79" s="17"/>
      <c r="F79" s="18"/>
      <c r="G79" s="18"/>
      <c r="H79" s="18"/>
      <c r="I79" s="18"/>
      <c r="J79" s="20"/>
      <c r="K79" s="22"/>
      <c r="L79" s="22"/>
      <c r="M79" s="23"/>
      <c r="N79" s="24"/>
    </row>
    <row r="80">
      <c r="A80" s="32"/>
      <c r="B80" s="32"/>
      <c r="C80" s="32"/>
      <c r="D80" s="30" t="str">
        <f t="shared" si="1"/>
        <v/>
      </c>
      <c r="E80" s="17"/>
      <c r="F80" s="18"/>
      <c r="G80" s="18"/>
      <c r="H80" s="18"/>
      <c r="I80" s="18"/>
      <c r="J80" s="20"/>
      <c r="K80" s="22"/>
      <c r="L80" s="22"/>
      <c r="M80" s="23"/>
      <c r="N80" s="24"/>
    </row>
    <row r="81">
      <c r="A81" s="32"/>
      <c r="B81" s="32"/>
      <c r="C81" s="32"/>
      <c r="D81" s="30" t="str">
        <f t="shared" si="1"/>
        <v/>
      </c>
      <c r="E81" s="17"/>
      <c r="F81" s="18"/>
      <c r="G81" s="18"/>
      <c r="H81" s="18"/>
      <c r="I81" s="18"/>
      <c r="J81" s="20"/>
      <c r="K81" s="22"/>
      <c r="L81" s="22"/>
      <c r="M81" s="23"/>
      <c r="N81" s="24"/>
    </row>
    <row r="82">
      <c r="A82" s="32"/>
      <c r="B82" s="32"/>
      <c r="C82" s="32"/>
      <c r="D82" s="30" t="str">
        <f t="shared" si="1"/>
        <v/>
      </c>
      <c r="E82" s="17"/>
      <c r="F82" s="18"/>
      <c r="G82" s="18"/>
      <c r="H82" s="18"/>
      <c r="I82" s="18"/>
      <c r="J82" s="20"/>
      <c r="K82" s="22"/>
      <c r="L82" s="22"/>
      <c r="M82" s="23"/>
      <c r="N82" s="24"/>
    </row>
    <row r="83">
      <c r="A83" s="32"/>
      <c r="B83" s="32"/>
      <c r="C83" s="32"/>
      <c r="D83" s="30" t="str">
        <f t="shared" si="1"/>
        <v/>
      </c>
      <c r="E83" s="17"/>
      <c r="F83" s="18"/>
      <c r="G83" s="18"/>
      <c r="H83" s="18"/>
      <c r="I83" s="18"/>
      <c r="J83" s="20"/>
      <c r="K83" s="22"/>
      <c r="L83" s="22"/>
      <c r="M83" s="23"/>
      <c r="N83" s="24"/>
    </row>
    <row r="84">
      <c r="A84" s="32"/>
      <c r="B84" s="32"/>
      <c r="C84" s="32"/>
      <c r="D84" s="30" t="str">
        <f t="shared" si="1"/>
        <v/>
      </c>
      <c r="E84" s="17"/>
      <c r="F84" s="18"/>
      <c r="G84" s="18"/>
      <c r="H84" s="18"/>
      <c r="I84" s="18"/>
      <c r="J84" s="20"/>
      <c r="K84" s="22"/>
      <c r="L84" s="22"/>
      <c r="M84" s="23"/>
      <c r="N84" s="24"/>
    </row>
    <row r="85">
      <c r="A85" s="32"/>
      <c r="B85" s="32"/>
      <c r="C85" s="32"/>
      <c r="D85" s="30" t="str">
        <f t="shared" si="1"/>
        <v/>
      </c>
      <c r="E85" s="17"/>
      <c r="F85" s="18"/>
      <c r="G85" s="18"/>
      <c r="H85" s="18"/>
      <c r="I85" s="18"/>
      <c r="J85" s="20"/>
      <c r="K85" s="22"/>
      <c r="L85" s="22"/>
      <c r="M85" s="23"/>
      <c r="N85" s="24"/>
    </row>
    <row r="86">
      <c r="A86" s="32"/>
      <c r="B86" s="32"/>
      <c r="C86" s="32"/>
      <c r="D86" s="30" t="str">
        <f t="shared" si="1"/>
        <v/>
      </c>
      <c r="E86" s="17"/>
      <c r="F86" s="18"/>
      <c r="G86" s="18"/>
      <c r="H86" s="18"/>
      <c r="I86" s="18"/>
      <c r="J86" s="20"/>
      <c r="K86" s="22"/>
      <c r="L86" s="22"/>
      <c r="M86" s="23"/>
      <c r="N86" s="24"/>
    </row>
    <row r="87">
      <c r="A87" s="32"/>
      <c r="B87" s="32"/>
      <c r="C87" s="32"/>
      <c r="D87" s="30" t="str">
        <f t="shared" si="1"/>
        <v/>
      </c>
      <c r="E87" s="17"/>
      <c r="F87" s="18"/>
      <c r="G87" s="18"/>
      <c r="H87" s="18"/>
      <c r="I87" s="18"/>
      <c r="J87" s="20"/>
      <c r="K87" s="22"/>
      <c r="L87" s="22"/>
      <c r="M87" s="23"/>
      <c r="N87" s="24"/>
    </row>
    <row r="88">
      <c r="A88" s="32"/>
      <c r="B88" s="32"/>
      <c r="C88" s="32"/>
      <c r="D88" s="30" t="str">
        <f t="shared" si="1"/>
        <v/>
      </c>
      <c r="E88" s="17"/>
      <c r="F88" s="18"/>
      <c r="G88" s="18"/>
      <c r="H88" s="18"/>
      <c r="I88" s="18"/>
      <c r="J88" s="20"/>
      <c r="K88" s="22"/>
      <c r="L88" s="22"/>
      <c r="M88" s="23"/>
      <c r="N88" s="24"/>
    </row>
    <row r="89">
      <c r="A89" s="32"/>
      <c r="B89" s="32"/>
      <c r="C89" s="32"/>
      <c r="D89" s="30" t="str">
        <f t="shared" si="1"/>
        <v/>
      </c>
      <c r="E89" s="17"/>
      <c r="F89" s="18"/>
      <c r="G89" s="18"/>
      <c r="H89" s="18"/>
      <c r="I89" s="18"/>
      <c r="J89" s="20"/>
      <c r="K89" s="22"/>
      <c r="L89" s="22"/>
      <c r="M89" s="23"/>
      <c r="N89" s="24"/>
    </row>
    <row r="90">
      <c r="A90" s="32"/>
      <c r="B90" s="32"/>
      <c r="C90" s="32"/>
      <c r="D90" s="30" t="str">
        <f t="shared" si="1"/>
        <v/>
      </c>
      <c r="E90" s="17"/>
      <c r="F90" s="18"/>
      <c r="G90" s="18"/>
      <c r="H90" s="18"/>
      <c r="I90" s="18"/>
      <c r="J90" s="20"/>
      <c r="K90" s="22"/>
      <c r="L90" s="22"/>
      <c r="M90" s="23"/>
      <c r="N90" s="24"/>
    </row>
    <row r="91">
      <c r="A91" s="32"/>
      <c r="B91" s="32"/>
      <c r="C91" s="32"/>
      <c r="D91" s="30" t="str">
        <f t="shared" si="1"/>
        <v/>
      </c>
      <c r="E91" s="17"/>
      <c r="F91" s="18"/>
      <c r="G91" s="18"/>
      <c r="H91" s="18"/>
      <c r="I91" s="18"/>
      <c r="J91" s="20"/>
      <c r="K91" s="22"/>
      <c r="L91" s="22"/>
      <c r="M91" s="23"/>
      <c r="N91" s="24"/>
    </row>
    <row r="92">
      <c r="A92" s="32"/>
      <c r="B92" s="32"/>
      <c r="C92" s="32"/>
      <c r="D92" s="30" t="str">
        <f t="shared" si="1"/>
        <v/>
      </c>
      <c r="E92" s="17"/>
      <c r="F92" s="18"/>
      <c r="G92" s="18"/>
      <c r="H92" s="18"/>
      <c r="I92" s="18"/>
      <c r="J92" s="20"/>
      <c r="K92" s="22"/>
      <c r="L92" s="22"/>
      <c r="M92" s="23"/>
      <c r="N92" s="24"/>
    </row>
    <row r="93">
      <c r="A93" s="32"/>
      <c r="B93" s="32"/>
      <c r="C93" s="32"/>
      <c r="D93" s="30" t="str">
        <f t="shared" si="1"/>
        <v/>
      </c>
      <c r="E93" s="17"/>
      <c r="F93" s="18"/>
      <c r="G93" s="18"/>
      <c r="H93" s="18"/>
      <c r="I93" s="18"/>
      <c r="J93" s="20"/>
      <c r="K93" s="22"/>
      <c r="L93" s="22"/>
      <c r="M93" s="23"/>
      <c r="N93" s="24"/>
    </row>
    <row r="94">
      <c r="A94" s="32"/>
      <c r="B94" s="32"/>
      <c r="C94" s="32"/>
      <c r="D94" s="30" t="str">
        <f t="shared" si="1"/>
        <v/>
      </c>
      <c r="E94" s="17"/>
      <c r="F94" s="18"/>
      <c r="G94" s="18"/>
      <c r="H94" s="18"/>
      <c r="I94" s="18"/>
      <c r="J94" s="20"/>
      <c r="K94" s="22"/>
      <c r="L94" s="22"/>
      <c r="M94" s="23"/>
      <c r="N94" s="24"/>
    </row>
    <row r="95">
      <c r="A95" s="32"/>
      <c r="B95" s="32"/>
      <c r="C95" s="32"/>
      <c r="D95" s="30" t="str">
        <f t="shared" si="1"/>
        <v/>
      </c>
      <c r="E95" s="17"/>
      <c r="F95" s="18"/>
      <c r="G95" s="18"/>
      <c r="H95" s="18"/>
      <c r="I95" s="18"/>
      <c r="J95" s="20"/>
      <c r="K95" s="22"/>
      <c r="L95" s="22"/>
      <c r="M95" s="23"/>
      <c r="N95" s="24"/>
    </row>
    <row r="96">
      <c r="A96" s="32"/>
      <c r="B96" s="32"/>
      <c r="C96" s="32"/>
      <c r="D96" s="30" t="str">
        <f t="shared" si="1"/>
        <v/>
      </c>
      <c r="E96" s="17"/>
      <c r="F96" s="18"/>
      <c r="G96" s="18"/>
      <c r="H96" s="18"/>
      <c r="I96" s="18"/>
      <c r="J96" s="20"/>
      <c r="K96" s="22"/>
      <c r="L96" s="22"/>
      <c r="M96" s="23"/>
      <c r="N96" s="24"/>
    </row>
    <row r="97">
      <c r="A97" s="32"/>
      <c r="B97" s="32"/>
      <c r="C97" s="32"/>
      <c r="D97" s="30" t="str">
        <f t="shared" si="1"/>
        <v/>
      </c>
      <c r="E97" s="17"/>
      <c r="F97" s="18"/>
      <c r="G97" s="18"/>
      <c r="H97" s="18"/>
      <c r="I97" s="18"/>
      <c r="J97" s="20"/>
      <c r="K97" s="22"/>
      <c r="L97" s="22"/>
      <c r="M97" s="23"/>
      <c r="N97" s="24"/>
    </row>
    <row r="98">
      <c r="A98" s="32"/>
      <c r="B98" s="32"/>
      <c r="C98" s="32"/>
      <c r="D98" s="30" t="str">
        <f t="shared" si="1"/>
        <v/>
      </c>
      <c r="E98" s="17"/>
      <c r="F98" s="18"/>
      <c r="G98" s="18"/>
      <c r="H98" s="18"/>
      <c r="I98" s="18"/>
      <c r="J98" s="20"/>
      <c r="K98" s="22"/>
      <c r="L98" s="22"/>
      <c r="M98" s="23"/>
      <c r="N98" s="24"/>
    </row>
    <row r="99">
      <c r="A99" s="32"/>
      <c r="B99" s="32"/>
      <c r="C99" s="32"/>
      <c r="D99" s="30" t="str">
        <f t="shared" si="1"/>
        <v/>
      </c>
      <c r="E99" s="17"/>
      <c r="F99" s="18"/>
      <c r="G99" s="18"/>
      <c r="H99" s="18"/>
      <c r="I99" s="18"/>
      <c r="J99" s="20"/>
      <c r="K99" s="22"/>
      <c r="L99" s="22"/>
      <c r="M99" s="23"/>
      <c r="N99" s="24"/>
    </row>
    <row r="100">
      <c r="A100" s="32"/>
      <c r="B100" s="32"/>
      <c r="C100" s="32"/>
      <c r="D100" s="30" t="str">
        <f t="shared" si="1"/>
        <v/>
      </c>
      <c r="E100" s="17"/>
      <c r="F100" s="18"/>
      <c r="G100" s="18"/>
      <c r="H100" s="18"/>
      <c r="I100" s="18"/>
      <c r="J100" s="20"/>
      <c r="K100" s="22"/>
      <c r="L100" s="22"/>
      <c r="M100" s="23"/>
      <c r="N100" s="24"/>
    </row>
    <row r="101">
      <c r="A101" s="32"/>
      <c r="B101" s="32"/>
      <c r="C101" s="32"/>
      <c r="D101" s="30" t="str">
        <f t="shared" si="1"/>
        <v/>
      </c>
      <c r="E101" s="17"/>
      <c r="F101" s="18"/>
      <c r="G101" s="18"/>
      <c r="H101" s="18"/>
      <c r="I101" s="18"/>
      <c r="J101" s="20"/>
      <c r="K101" s="22"/>
      <c r="L101" s="22"/>
      <c r="M101" s="23"/>
      <c r="N101" s="24"/>
    </row>
    <row r="102">
      <c r="A102" s="32"/>
      <c r="B102" s="32"/>
      <c r="C102" s="32"/>
      <c r="D102" s="30" t="str">
        <f t="shared" si="1"/>
        <v/>
      </c>
      <c r="E102" s="17"/>
      <c r="F102" s="18"/>
      <c r="G102" s="18"/>
      <c r="H102" s="18"/>
      <c r="I102" s="18"/>
      <c r="J102" s="20"/>
      <c r="K102" s="22"/>
      <c r="L102" s="22"/>
      <c r="M102" s="23"/>
      <c r="N102" s="24"/>
    </row>
    <row r="103">
      <c r="A103" s="32"/>
      <c r="B103" s="32"/>
      <c r="C103" s="32"/>
      <c r="D103" s="30" t="str">
        <f t="shared" si="1"/>
        <v/>
      </c>
      <c r="E103" s="17"/>
      <c r="F103" s="18"/>
      <c r="G103" s="18"/>
      <c r="H103" s="18"/>
      <c r="I103" s="18"/>
      <c r="J103" s="20"/>
      <c r="K103" s="22"/>
      <c r="L103" s="22"/>
      <c r="M103" s="23"/>
      <c r="N103" s="24"/>
    </row>
    <row r="104">
      <c r="A104" s="32"/>
      <c r="B104" s="32"/>
      <c r="C104" s="32"/>
      <c r="D104" s="30" t="str">
        <f t="shared" si="1"/>
        <v/>
      </c>
      <c r="E104" s="17"/>
      <c r="F104" s="18"/>
      <c r="G104" s="18"/>
      <c r="H104" s="18"/>
      <c r="I104" s="18"/>
      <c r="J104" s="20"/>
      <c r="K104" s="22"/>
      <c r="L104" s="22"/>
      <c r="M104" s="23"/>
      <c r="N104" s="24"/>
    </row>
    <row r="105">
      <c r="A105" s="32"/>
      <c r="B105" s="32"/>
      <c r="C105" s="32"/>
      <c r="D105" s="30" t="str">
        <f t="shared" si="1"/>
        <v/>
      </c>
      <c r="E105" s="17"/>
      <c r="F105" s="18"/>
      <c r="G105" s="18"/>
      <c r="H105" s="18"/>
      <c r="I105" s="18"/>
      <c r="J105" s="20"/>
      <c r="K105" s="22"/>
      <c r="L105" s="22"/>
      <c r="M105" s="23"/>
      <c r="N105" s="24"/>
    </row>
    <row r="106">
      <c r="A106" s="32"/>
      <c r="B106" s="32"/>
      <c r="C106" s="32"/>
      <c r="D106" s="30" t="str">
        <f t="shared" si="1"/>
        <v/>
      </c>
      <c r="E106" s="17"/>
      <c r="F106" s="18"/>
      <c r="G106" s="18"/>
      <c r="H106" s="18"/>
      <c r="I106" s="18"/>
      <c r="J106" s="20"/>
      <c r="K106" s="22"/>
      <c r="L106" s="22"/>
      <c r="M106" s="23"/>
      <c r="N106" s="24"/>
    </row>
    <row r="107">
      <c r="A107" s="32"/>
      <c r="B107" s="32"/>
      <c r="C107" s="32"/>
      <c r="D107" s="30" t="str">
        <f t="shared" si="1"/>
        <v/>
      </c>
      <c r="E107" s="17"/>
      <c r="F107" s="18"/>
      <c r="G107" s="18"/>
      <c r="H107" s="18"/>
      <c r="I107" s="18"/>
      <c r="J107" s="20"/>
      <c r="K107" s="22"/>
      <c r="L107" s="22"/>
      <c r="M107" s="23"/>
      <c r="N107" s="24"/>
    </row>
    <row r="108">
      <c r="A108" s="32"/>
      <c r="B108" s="32"/>
      <c r="C108" s="32"/>
      <c r="D108" s="30" t="str">
        <f t="shared" si="1"/>
        <v/>
      </c>
      <c r="E108" s="17"/>
      <c r="F108" s="18"/>
      <c r="G108" s="18"/>
      <c r="H108" s="18"/>
      <c r="I108" s="18"/>
      <c r="J108" s="20"/>
      <c r="K108" s="22"/>
      <c r="L108" s="22"/>
      <c r="M108" s="23"/>
      <c r="N108" s="24"/>
    </row>
    <row r="109">
      <c r="A109" s="32"/>
      <c r="B109" s="32"/>
      <c r="C109" s="32"/>
      <c r="D109" s="30" t="str">
        <f t="shared" si="1"/>
        <v/>
      </c>
      <c r="E109" s="17"/>
      <c r="F109" s="18"/>
      <c r="G109" s="18"/>
      <c r="H109" s="18"/>
      <c r="I109" s="18"/>
      <c r="J109" s="20"/>
      <c r="K109" s="22"/>
      <c r="L109" s="22"/>
      <c r="M109" s="23"/>
      <c r="N109" s="24"/>
    </row>
    <row r="110">
      <c r="A110" s="32"/>
      <c r="B110" s="32"/>
      <c r="C110" s="32"/>
      <c r="D110" s="30" t="str">
        <f t="shared" si="1"/>
        <v/>
      </c>
      <c r="E110" s="17"/>
      <c r="F110" s="18"/>
      <c r="G110" s="18"/>
      <c r="H110" s="18"/>
      <c r="I110" s="18"/>
      <c r="J110" s="20"/>
      <c r="K110" s="22"/>
      <c r="L110" s="22"/>
      <c r="M110" s="23"/>
      <c r="N110" s="24"/>
    </row>
    <row r="111">
      <c r="A111" s="32"/>
      <c r="B111" s="32"/>
      <c r="C111" s="32"/>
      <c r="D111" s="30" t="str">
        <f t="shared" si="1"/>
        <v/>
      </c>
      <c r="E111" s="17"/>
      <c r="F111" s="18"/>
      <c r="G111" s="18"/>
      <c r="H111" s="18"/>
      <c r="I111" s="18"/>
      <c r="J111" s="20"/>
      <c r="K111" s="22"/>
      <c r="L111" s="22"/>
      <c r="M111" s="23"/>
      <c r="N111" s="24"/>
    </row>
    <row r="112">
      <c r="A112" s="32"/>
      <c r="B112" s="32"/>
      <c r="C112" s="32"/>
      <c r="D112" s="30" t="str">
        <f t="shared" si="1"/>
        <v/>
      </c>
      <c r="E112" s="17"/>
      <c r="F112" s="18"/>
      <c r="G112" s="18"/>
      <c r="H112" s="18"/>
      <c r="I112" s="18"/>
      <c r="J112" s="20"/>
      <c r="K112" s="22"/>
      <c r="L112" s="22"/>
      <c r="M112" s="23"/>
      <c r="N112" s="24"/>
    </row>
    <row r="113">
      <c r="A113" s="32"/>
      <c r="B113" s="32"/>
      <c r="C113" s="32"/>
      <c r="D113" s="30" t="str">
        <f t="shared" si="1"/>
        <v/>
      </c>
      <c r="E113" s="17"/>
      <c r="F113" s="18"/>
      <c r="G113" s="18"/>
      <c r="H113" s="18"/>
      <c r="I113" s="18"/>
      <c r="J113" s="20"/>
      <c r="K113" s="22"/>
      <c r="L113" s="22"/>
      <c r="M113" s="23"/>
      <c r="N113" s="24"/>
    </row>
    <row r="114">
      <c r="A114" s="32"/>
      <c r="B114" s="32"/>
      <c r="C114" s="32"/>
      <c r="D114" s="30" t="str">
        <f t="shared" si="1"/>
        <v/>
      </c>
      <c r="E114" s="17"/>
      <c r="F114" s="18"/>
      <c r="G114" s="18"/>
      <c r="H114" s="18"/>
      <c r="I114" s="18"/>
      <c r="J114" s="20"/>
      <c r="K114" s="22"/>
      <c r="L114" s="22"/>
      <c r="M114" s="23"/>
      <c r="N114" s="24"/>
    </row>
    <row r="115">
      <c r="A115" s="32"/>
      <c r="B115" s="32"/>
      <c r="C115" s="32"/>
      <c r="D115" s="30" t="str">
        <f t="shared" si="1"/>
        <v/>
      </c>
      <c r="E115" s="17"/>
      <c r="F115" s="18"/>
      <c r="G115" s="18"/>
      <c r="H115" s="18"/>
      <c r="I115" s="18"/>
      <c r="J115" s="20"/>
      <c r="K115" s="22"/>
      <c r="L115" s="22"/>
      <c r="M115" s="23"/>
      <c r="N115" s="24"/>
    </row>
    <row r="116">
      <c r="A116" s="32"/>
      <c r="B116" s="32"/>
      <c r="C116" s="32"/>
      <c r="D116" s="30" t="str">
        <f t="shared" si="1"/>
        <v/>
      </c>
      <c r="E116" s="17"/>
      <c r="F116" s="18"/>
      <c r="G116" s="18"/>
      <c r="H116" s="18"/>
      <c r="I116" s="18"/>
      <c r="J116" s="20"/>
      <c r="K116" s="22"/>
      <c r="L116" s="22"/>
      <c r="M116" s="23"/>
      <c r="N116" s="24"/>
    </row>
    <row r="117">
      <c r="A117" s="32"/>
      <c r="B117" s="32"/>
      <c r="C117" s="32"/>
      <c r="D117" s="30" t="str">
        <f t="shared" si="1"/>
        <v/>
      </c>
      <c r="E117" s="17"/>
      <c r="F117" s="18"/>
      <c r="G117" s="18"/>
      <c r="H117" s="18"/>
      <c r="I117" s="18"/>
      <c r="J117" s="20"/>
      <c r="K117" s="22"/>
      <c r="L117" s="22"/>
      <c r="M117" s="23"/>
      <c r="N117" s="24"/>
    </row>
    <row r="118">
      <c r="A118" s="32"/>
      <c r="B118" s="32"/>
      <c r="C118" s="32"/>
      <c r="D118" s="30" t="str">
        <f t="shared" si="1"/>
        <v/>
      </c>
      <c r="E118" s="17"/>
      <c r="F118" s="18"/>
      <c r="G118" s="18"/>
      <c r="H118" s="18"/>
      <c r="I118" s="18"/>
      <c r="J118" s="20"/>
      <c r="K118" s="22"/>
      <c r="L118" s="22"/>
      <c r="M118" s="23"/>
      <c r="N118" s="24"/>
    </row>
    <row r="119">
      <c r="A119" s="32"/>
      <c r="B119" s="32"/>
      <c r="C119" s="32"/>
      <c r="D119" s="30" t="str">
        <f t="shared" si="1"/>
        <v/>
      </c>
      <c r="E119" s="17"/>
      <c r="F119" s="18"/>
      <c r="G119" s="18"/>
      <c r="H119" s="18"/>
      <c r="I119" s="18"/>
      <c r="J119" s="20"/>
      <c r="K119" s="22"/>
      <c r="L119" s="22"/>
      <c r="M119" s="23"/>
      <c r="N119" s="24"/>
    </row>
    <row r="120">
      <c r="A120" s="32"/>
      <c r="B120" s="32"/>
      <c r="C120" s="32"/>
      <c r="D120" s="30" t="str">
        <f t="shared" si="1"/>
        <v/>
      </c>
      <c r="E120" s="17"/>
      <c r="F120" s="18"/>
      <c r="G120" s="18"/>
      <c r="H120" s="18"/>
      <c r="I120" s="18"/>
      <c r="J120" s="20"/>
      <c r="K120" s="22"/>
      <c r="L120" s="22"/>
      <c r="M120" s="23"/>
      <c r="N120" s="24"/>
    </row>
    <row r="121">
      <c r="A121" s="33" t="s">
        <v>26</v>
      </c>
      <c r="B121" s="34"/>
      <c r="C121" s="34"/>
      <c r="D121" s="34"/>
      <c r="E121" s="34"/>
      <c r="F121" s="35" t="str">
        <f>IFERROR(__xludf.DUMMYFUNCTION("CONCATENATE(TO_TEXT(SUM('Player Database'!$K:$K)),"" - 0"")"),"0 - 0")</f>
        <v>0 - 0</v>
      </c>
      <c r="G121" s="36">
        <f>COUNTIF(Entropy!$C:$C,A121)</f>
        <v>98</v>
      </c>
      <c r="H121" s="37"/>
      <c r="I121" s="37"/>
      <c r="J121" s="37"/>
      <c r="K121" s="37"/>
      <c r="L121" s="37"/>
      <c r="M121" s="37"/>
      <c r="N121" s="37"/>
    </row>
    <row r="122">
      <c r="A122" s="38" t="s">
        <v>27</v>
      </c>
      <c r="B122" s="34"/>
      <c r="C122" s="34"/>
      <c r="D122" s="34"/>
      <c r="E122" s="34"/>
      <c r="F122" s="39" t="str">
        <f>IFERROR(__xludf.DUMMYFUNCTION("CONCATENATE(TO_TEXT(SUM('Player Database'!$I$2:$I945)),"" - "",TO_TEXT(SUM('Player Database'!$J$2:$J945)))"),"0 - 0")</f>
        <v>0 - 0</v>
      </c>
      <c r="G122" s="40">
        <f>SUM(G4:G121)</f>
        <v>98</v>
      </c>
      <c r="H122" s="41">
        <f t="shared" ref="H122:I122" si="2">SUMif(H4:H120,"&gt;0")</f>
        <v>0</v>
      </c>
      <c r="I122" s="42">
        <f t="shared" si="2"/>
        <v>0</v>
      </c>
      <c r="J122" s="37"/>
      <c r="K122" s="37"/>
      <c r="L122" s="37"/>
      <c r="M122" s="43"/>
      <c r="N122" s="37"/>
    </row>
    <row r="123">
      <c r="A123" s="38" t="s">
        <v>28</v>
      </c>
      <c r="B123" s="34"/>
      <c r="C123" s="34"/>
      <c r="D123" s="34"/>
      <c r="E123" s="34"/>
      <c r="F123" s="44" t="str">
        <f>IFERROR(__xludf.DUMMYFUNCTION("CONCATENATE(TO_TEXT(SUM('Player Database'!$I$2:$I945)),"" - "",TO_TEXT(SUM('Player Database'!$J$2:$J945)-SUM('Player Database'!$L$2:$L945)))"),"0 - 0")</f>
        <v>0 - 0</v>
      </c>
      <c r="G123" s="45">
        <f>G122-COUNTIF(#REF!,"TRUE")</f>
        <v>98</v>
      </c>
      <c r="H123" s="37"/>
      <c r="I123" s="37"/>
      <c r="J123" s="37"/>
      <c r="K123" s="37"/>
      <c r="L123" s="37"/>
      <c r="M123" s="46"/>
      <c r="N123" s="37"/>
    </row>
    <row r="124">
      <c r="A124" s="47"/>
      <c r="B124" s="48"/>
      <c r="C124" s="49"/>
      <c r="D124" s="48"/>
      <c r="E124" s="48"/>
      <c r="F124" s="48"/>
      <c r="G124" s="48"/>
      <c r="H124" s="48"/>
      <c r="I124" s="48"/>
      <c r="J124" s="48"/>
      <c r="K124" s="48"/>
      <c r="L124" s="48"/>
      <c r="M124" s="48"/>
      <c r="N124" s="48"/>
    </row>
    <row r="125">
      <c r="A125" s="50" t="s">
        <v>29</v>
      </c>
      <c r="B125" s="51"/>
      <c r="C125" s="52">
        <f>COUNTA($A4:$A120)-$C126-COUNTIFS($G4:$G120,30,$L4:$L120,"Maxed out")</f>
        <v>1</v>
      </c>
      <c r="D125" s="53"/>
      <c r="E125" s="53"/>
      <c r="F125" s="53"/>
      <c r="G125" s="53"/>
      <c r="H125" s="53"/>
      <c r="I125" s="53"/>
      <c r="J125" s="53"/>
      <c r="K125" s="53"/>
      <c r="L125" s="53"/>
      <c r="M125" s="48"/>
      <c r="N125" s="48"/>
    </row>
    <row r="126">
      <c r="A126" s="50" t="s">
        <v>30</v>
      </c>
      <c r="B126" s="51"/>
      <c r="C126" s="52">
        <f>COUNTIF($L4:$L121,"Eliminated")</f>
        <v>0</v>
      </c>
      <c r="D126" s="53"/>
      <c r="E126" s="53"/>
      <c r="F126" s="54"/>
      <c r="I126" s="55"/>
      <c r="J126" s="55"/>
      <c r="K126" s="55"/>
      <c r="L126" s="55"/>
      <c r="M126" s="48"/>
      <c r="N126" s="48"/>
    </row>
    <row r="127">
      <c r="D127" s="53"/>
      <c r="E127" s="53"/>
      <c r="F127" s="54"/>
      <c r="I127" s="56"/>
      <c r="J127" s="56"/>
      <c r="K127" s="56"/>
      <c r="L127" s="56"/>
      <c r="M127" s="48"/>
      <c r="N127" s="48"/>
    </row>
    <row r="128">
      <c r="D128" s="56"/>
      <c r="E128" s="57"/>
      <c r="F128" s="56"/>
      <c r="G128" s="56"/>
      <c r="H128" s="56"/>
      <c r="I128" s="58"/>
      <c r="J128" s="59"/>
      <c r="K128" s="59"/>
      <c r="L128" s="59"/>
      <c r="M128" s="60"/>
      <c r="N128" s="60"/>
    </row>
    <row r="129">
      <c r="D129" s="56"/>
      <c r="E129" s="57"/>
      <c r="F129" s="56"/>
      <c r="G129" s="56"/>
      <c r="H129" s="56"/>
      <c r="I129" s="61"/>
      <c r="J129" s="61"/>
      <c r="K129" s="61"/>
      <c r="L129" s="61"/>
      <c r="M129" s="60"/>
      <c r="N129" s="60"/>
    </row>
    <row r="130">
      <c r="A130" s="54"/>
      <c r="B130" s="54"/>
      <c r="D130" s="56"/>
      <c r="E130" s="57"/>
      <c r="F130" s="56"/>
      <c r="G130" s="56"/>
      <c r="H130" s="56"/>
      <c r="I130" s="62"/>
      <c r="J130" s="62"/>
      <c r="K130" s="62"/>
      <c r="L130" s="62"/>
      <c r="M130" s="60"/>
      <c r="N130" s="60"/>
    </row>
  </sheetData>
  <mergeCells count="1">
    <mergeCell ref="A1:N1"/>
  </mergeCells>
  <conditionalFormatting sqref="A4:N120">
    <cfRule type="expression" dxfId="0" priority="1">
      <formula>$A4 = ""</formula>
    </cfRule>
  </conditionalFormatting>
  <conditionalFormatting sqref="A4:E120">
    <cfRule type="expression" dxfId="1" priority="2">
      <formula>#REF!=1</formula>
    </cfRule>
  </conditionalFormatting>
  <conditionalFormatting sqref="A4:N120">
    <cfRule type="expression" dxfId="2" priority="3">
      <formula>$L4="Eliminated"</formula>
    </cfRule>
  </conditionalFormatting>
  <conditionalFormatting sqref="A4:D120">
    <cfRule type="expression" dxfId="3" priority="4">
      <formula>$D4&lt;9</formula>
    </cfRule>
  </conditionalFormatting>
  <conditionalFormatting sqref="A4:E120">
    <cfRule type="expression" dxfId="4" priority="5">
      <formula>$D4&lt;17</formula>
    </cfRule>
  </conditionalFormatting>
  <conditionalFormatting sqref="H4:I120 H124:I124">
    <cfRule type="cellIs" dxfId="5" priority="6" operator="greaterThan">
      <formula>0</formula>
    </cfRule>
  </conditionalFormatting>
  <conditionalFormatting sqref="K4:L120">
    <cfRule type="cellIs" dxfId="6" priority="7" operator="equal">
      <formula>"Underplay"</formula>
    </cfRule>
  </conditionalFormatting>
  <conditionalFormatting sqref="K4:L120">
    <cfRule type="cellIs" dxfId="7" priority="8" operator="equal">
      <formula>"Can Play"</formula>
    </cfRule>
  </conditionalFormatting>
  <conditionalFormatting sqref="K4:L120">
    <cfRule type="cellIs" dxfId="5" priority="9" operator="equal">
      <formula>"Overplay"</formula>
    </cfRule>
  </conditionalFormatting>
  <conditionalFormatting sqref="K4:L120">
    <cfRule type="cellIs" dxfId="8" priority="10" operator="equal">
      <formula>"Maxed Out"</formula>
    </cfRule>
  </conditionalFormatting>
  <conditionalFormatting sqref="M4:M120">
    <cfRule type="cellIs" dxfId="9" priority="11" operator="equal">
      <formula>"5 - 0"</formula>
    </cfRule>
  </conditionalFormatting>
  <conditionalFormatting sqref="M4:M120">
    <cfRule type="cellIs" dxfId="9" priority="12" operator="equal">
      <formula>"6 - 0"</formula>
    </cfRule>
  </conditionalFormatting>
  <conditionalFormatting sqref="M4:M120">
    <cfRule type="cellIs" dxfId="9" priority="13" operator="equal">
      <formula>"7 - 0"</formula>
    </cfRule>
  </conditionalFormatting>
  <conditionalFormatting sqref="A4:E120">
    <cfRule type="expression" dxfId="10" priority="14">
      <formula>$D4&lt;33</formula>
    </cfRule>
  </conditionalFormatting>
  <conditionalFormatting sqref="J130:L130">
    <cfRule type="notContainsBlanks" dxfId="11" priority="15">
      <formula>LEN(TRIM(J130))&gt;0</formula>
    </cfRule>
  </conditionalFormatting>
  <conditionalFormatting sqref="K4:K120">
    <cfRule type="colorScale" priority="16">
      <colorScale>
        <cfvo type="min"/>
        <cfvo type="max"/>
        <color rgb="FFFFFFFF"/>
        <color rgb="FFFFD966"/>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2.75"/>
    <col customWidth="1" min="3" max="3" width="12.13"/>
    <col customWidth="1" min="4" max="4" width="5.88"/>
    <col customWidth="1" hidden="1" min="5" max="5" width="22.75"/>
    <col customWidth="1" min="6" max="10" width="9.5"/>
    <col customWidth="1" min="11" max="12" width="10.75"/>
    <col customWidth="1" min="13" max="13" width="7.5"/>
    <col customWidth="1" min="14" max="14" width="20.5"/>
    <col customWidth="1" hidden="1" min="15" max="25" width="20.5"/>
  </cols>
  <sheetData>
    <row r="1">
      <c r="A1" s="2" t="s">
        <v>2</v>
      </c>
      <c r="O1" s="2"/>
      <c r="P1" s="2"/>
      <c r="Q1" s="2"/>
      <c r="R1" s="2"/>
      <c r="S1" s="2"/>
      <c r="T1" s="2"/>
      <c r="U1" s="2"/>
      <c r="V1" s="2"/>
      <c r="W1" s="2"/>
      <c r="X1" s="2"/>
      <c r="Y1" s="2"/>
    </row>
    <row r="2">
      <c r="A2" s="4" t="s">
        <v>5</v>
      </c>
      <c r="B2" s="6"/>
      <c r="C2" s="7">
        <f>Quotas!B2</f>
        <v>3</v>
      </c>
      <c r="D2" s="6"/>
      <c r="E2" s="6"/>
      <c r="F2" s="6"/>
      <c r="G2" s="6"/>
      <c r="H2" s="6"/>
      <c r="I2" s="6"/>
      <c r="J2" s="6"/>
      <c r="K2" s="6"/>
      <c r="L2" s="6"/>
      <c r="M2" s="6"/>
      <c r="N2" s="6"/>
      <c r="O2" s="6"/>
      <c r="P2" s="6"/>
      <c r="Q2" s="6"/>
      <c r="R2" s="6"/>
      <c r="S2" s="6"/>
      <c r="T2" s="6"/>
      <c r="U2" s="6"/>
      <c r="V2" s="6"/>
      <c r="W2" s="6"/>
      <c r="X2" s="6"/>
      <c r="Y2" s="6"/>
    </row>
    <row r="3">
      <c r="A3" s="8" t="s">
        <v>8</v>
      </c>
      <c r="B3" s="8" t="s">
        <v>9</v>
      </c>
      <c r="C3" s="8" t="s">
        <v>10</v>
      </c>
      <c r="D3" s="9" t="s">
        <v>11</v>
      </c>
      <c r="E3" s="10" t="s">
        <v>12</v>
      </c>
      <c r="F3" s="9" t="s">
        <v>13</v>
      </c>
      <c r="G3" s="9" t="s">
        <v>14</v>
      </c>
      <c r="H3" s="11" t="s">
        <v>15</v>
      </c>
      <c r="I3" s="11" t="s">
        <v>16</v>
      </c>
      <c r="J3" s="9" t="s">
        <v>17</v>
      </c>
      <c r="K3" s="9" t="s">
        <v>18</v>
      </c>
      <c r="L3" s="11" t="s">
        <v>19</v>
      </c>
      <c r="M3" s="12" t="s">
        <v>20</v>
      </c>
      <c r="N3" s="9" t="s">
        <v>21</v>
      </c>
      <c r="O3" s="21"/>
      <c r="P3" s="21"/>
      <c r="Q3" s="21"/>
      <c r="R3" s="21"/>
      <c r="S3" s="21"/>
      <c r="T3" s="21"/>
      <c r="U3" s="21"/>
      <c r="V3" s="21"/>
      <c r="W3" s="21"/>
      <c r="X3" s="21"/>
      <c r="Y3" s="21"/>
    </row>
    <row r="4">
      <c r="A4" s="15" t="str">
        <f>IFERROR(__xludf.DUMMYFUNCTION("QUERY('Combined Standings'!A4:N175, ""Select A, B, C Where K &lt; 0"")"),"#N/A")</f>
        <v>#N/A</v>
      </c>
      <c r="B4" s="15"/>
      <c r="C4" s="15"/>
      <c r="D4" s="16">
        <v>1.0</v>
      </c>
      <c r="E4" s="17"/>
      <c r="F4" s="18" t="str">
        <f>IFERROR(__xludf.DUMMYFUNCTION("QUERY('Combined Standings'!A4:N175, ""Select F, G, H, I, J, K, L, M, N Where K &lt; 0"")"),"#N/A")</f>
        <v>#N/A</v>
      </c>
      <c r="G4" s="18"/>
      <c r="H4" s="19"/>
      <c r="I4" s="18"/>
      <c r="J4" s="20"/>
      <c r="K4" s="22"/>
      <c r="L4" s="22"/>
      <c r="M4" s="23"/>
      <c r="N4" s="24"/>
      <c r="O4" s="26"/>
      <c r="P4" s="26"/>
      <c r="Q4" s="26"/>
      <c r="R4" s="26"/>
      <c r="S4" s="26"/>
      <c r="T4" s="26"/>
      <c r="U4" s="26"/>
      <c r="V4" s="26"/>
      <c r="W4" s="26"/>
      <c r="X4" s="26"/>
      <c r="Y4" s="26"/>
    </row>
    <row r="5">
      <c r="A5" s="15"/>
      <c r="B5" s="15"/>
      <c r="C5" s="15"/>
      <c r="D5" s="25" t="str">
        <f t="shared" ref="D5:D120" si="1">IF(A5="", "", D4+1)</f>
        <v/>
      </c>
      <c r="E5" s="17"/>
      <c r="F5" s="18"/>
      <c r="G5" s="18"/>
      <c r="H5" s="18"/>
      <c r="I5" s="18"/>
      <c r="J5" s="20"/>
      <c r="K5" s="22"/>
      <c r="L5" s="22"/>
      <c r="M5" s="23"/>
      <c r="N5" s="24"/>
      <c r="O5" s="26"/>
      <c r="P5" s="26"/>
      <c r="Q5" s="26"/>
      <c r="R5" s="26"/>
      <c r="S5" s="26"/>
      <c r="T5" s="26"/>
      <c r="U5" s="26"/>
      <c r="V5" s="26"/>
      <c r="W5" s="26"/>
      <c r="X5" s="26"/>
      <c r="Y5" s="26"/>
    </row>
    <row r="6">
      <c r="A6" s="15"/>
      <c r="B6" s="15"/>
      <c r="C6" s="15"/>
      <c r="D6" s="25" t="str">
        <f t="shared" si="1"/>
        <v/>
      </c>
      <c r="E6" s="17"/>
      <c r="F6" s="18"/>
      <c r="G6" s="18"/>
      <c r="H6" s="18"/>
      <c r="I6" s="18"/>
      <c r="J6" s="20"/>
      <c r="K6" s="22"/>
      <c r="L6" s="22"/>
      <c r="M6" s="23"/>
      <c r="N6" s="24"/>
      <c r="O6" s="26"/>
      <c r="P6" s="26"/>
      <c r="Q6" s="26"/>
      <c r="R6" s="26"/>
      <c r="S6" s="26"/>
      <c r="T6" s="26"/>
      <c r="U6" s="26"/>
      <c r="V6" s="26"/>
      <c r="W6" s="26"/>
      <c r="X6" s="26"/>
      <c r="Y6" s="26"/>
    </row>
    <row r="7">
      <c r="A7" s="15"/>
      <c r="B7" s="15"/>
      <c r="C7" s="15"/>
      <c r="D7" s="25" t="str">
        <f t="shared" si="1"/>
        <v/>
      </c>
      <c r="E7" s="17"/>
      <c r="F7" s="18"/>
      <c r="G7" s="18"/>
      <c r="H7" s="18"/>
      <c r="I7" s="18"/>
      <c r="J7" s="20"/>
      <c r="K7" s="22"/>
      <c r="L7" s="22"/>
      <c r="M7" s="23"/>
      <c r="N7" s="24"/>
      <c r="O7" s="26"/>
      <c r="P7" s="26"/>
      <c r="Q7" s="26"/>
      <c r="R7" s="26"/>
      <c r="S7" s="26"/>
      <c r="T7" s="26"/>
      <c r="U7" s="26"/>
      <c r="V7" s="26"/>
      <c r="W7" s="26"/>
      <c r="X7" s="26"/>
      <c r="Y7" s="26"/>
    </row>
    <row r="8">
      <c r="A8" s="15"/>
      <c r="B8" s="15"/>
      <c r="C8" s="15"/>
      <c r="D8" s="25" t="str">
        <f t="shared" si="1"/>
        <v/>
      </c>
      <c r="E8" s="17"/>
      <c r="F8" s="18"/>
      <c r="G8" s="18"/>
      <c r="H8" s="18"/>
      <c r="I8" s="18"/>
      <c r="J8" s="20"/>
      <c r="K8" s="22"/>
      <c r="L8" s="22"/>
      <c r="M8" s="23"/>
      <c r="N8" s="24"/>
      <c r="O8" s="26"/>
      <c r="P8" s="26"/>
      <c r="Q8" s="26"/>
      <c r="R8" s="26"/>
      <c r="S8" s="26"/>
      <c r="T8" s="26"/>
      <c r="U8" s="26"/>
      <c r="V8" s="26"/>
      <c r="W8" s="26"/>
      <c r="X8" s="26"/>
      <c r="Y8" s="26"/>
    </row>
    <row r="9">
      <c r="A9" s="15"/>
      <c r="B9" s="15"/>
      <c r="C9" s="15"/>
      <c r="D9" s="25" t="str">
        <f t="shared" si="1"/>
        <v/>
      </c>
      <c r="E9" s="17"/>
      <c r="F9" s="18"/>
      <c r="G9" s="18"/>
      <c r="H9" s="18"/>
      <c r="I9" s="18"/>
      <c r="J9" s="20"/>
      <c r="K9" s="22"/>
      <c r="L9" s="22"/>
      <c r="M9" s="23"/>
      <c r="N9" s="24"/>
      <c r="O9" s="26"/>
      <c r="P9" s="26"/>
      <c r="Q9" s="26"/>
      <c r="R9" s="26"/>
      <c r="S9" s="26"/>
      <c r="T9" s="26"/>
      <c r="U9" s="26"/>
      <c r="V9" s="26"/>
      <c r="W9" s="26"/>
      <c r="X9" s="26"/>
      <c r="Y9" s="26"/>
    </row>
    <row r="10">
      <c r="A10" s="15"/>
      <c r="B10" s="15"/>
      <c r="C10" s="15"/>
      <c r="D10" s="25" t="str">
        <f t="shared" si="1"/>
        <v/>
      </c>
      <c r="E10" s="17"/>
      <c r="F10" s="18"/>
      <c r="G10" s="18"/>
      <c r="H10" s="18"/>
      <c r="I10" s="18"/>
      <c r="J10" s="20"/>
      <c r="K10" s="22"/>
      <c r="L10" s="22"/>
      <c r="M10" s="23"/>
      <c r="N10" s="24"/>
      <c r="O10" s="26"/>
      <c r="P10" s="26"/>
      <c r="Q10" s="26"/>
      <c r="R10" s="26"/>
      <c r="S10" s="26"/>
      <c r="T10" s="26"/>
      <c r="U10" s="26"/>
      <c r="V10" s="26"/>
      <c r="W10" s="26"/>
      <c r="X10" s="26"/>
      <c r="Y10" s="26"/>
    </row>
    <row r="11">
      <c r="A11" s="15"/>
      <c r="B11" s="15"/>
      <c r="C11" s="15"/>
      <c r="D11" s="25" t="str">
        <f t="shared" si="1"/>
        <v/>
      </c>
      <c r="E11" s="17"/>
      <c r="F11" s="18"/>
      <c r="G11" s="18"/>
      <c r="H11" s="18"/>
      <c r="I11" s="18"/>
      <c r="J11" s="20"/>
      <c r="K11" s="22"/>
      <c r="L11" s="22"/>
      <c r="M11" s="23"/>
      <c r="N11" s="24"/>
      <c r="O11" s="26"/>
      <c r="P11" s="26"/>
      <c r="Q11" s="26"/>
      <c r="R11" s="26"/>
      <c r="S11" s="26"/>
      <c r="T11" s="26"/>
      <c r="U11" s="26"/>
      <c r="V11" s="26"/>
      <c r="W11" s="26"/>
      <c r="X11" s="26"/>
      <c r="Y11" s="26"/>
    </row>
    <row r="12">
      <c r="A12" s="15"/>
      <c r="B12" s="15"/>
      <c r="C12" s="15"/>
      <c r="D12" s="25" t="str">
        <f t="shared" si="1"/>
        <v/>
      </c>
      <c r="E12" s="17"/>
      <c r="F12" s="18"/>
      <c r="G12" s="18"/>
      <c r="H12" s="18"/>
      <c r="I12" s="18"/>
      <c r="J12" s="20"/>
      <c r="K12" s="22"/>
      <c r="L12" s="22"/>
      <c r="M12" s="23"/>
      <c r="N12" s="24"/>
      <c r="O12" s="26"/>
      <c r="P12" s="26"/>
      <c r="Q12" s="26"/>
      <c r="R12" s="26"/>
      <c r="S12" s="26"/>
      <c r="T12" s="26"/>
      <c r="U12" s="26"/>
      <c r="V12" s="26"/>
      <c r="W12" s="26"/>
      <c r="X12" s="26"/>
      <c r="Y12" s="26"/>
    </row>
    <row r="13">
      <c r="A13" s="15"/>
      <c r="B13" s="15"/>
      <c r="C13" s="15"/>
      <c r="D13" s="25" t="str">
        <f t="shared" si="1"/>
        <v/>
      </c>
      <c r="E13" s="17"/>
      <c r="F13" s="18"/>
      <c r="G13" s="18"/>
      <c r="H13" s="18"/>
      <c r="I13" s="18"/>
      <c r="J13" s="20"/>
      <c r="K13" s="22"/>
      <c r="L13" s="22"/>
      <c r="M13" s="23"/>
      <c r="N13" s="24"/>
      <c r="O13" s="26"/>
      <c r="P13" s="26"/>
      <c r="Q13" s="26"/>
      <c r="R13" s="26"/>
      <c r="S13" s="26"/>
      <c r="T13" s="26"/>
      <c r="U13" s="26"/>
      <c r="V13" s="26"/>
      <c r="W13" s="26"/>
      <c r="X13" s="26"/>
      <c r="Y13" s="26"/>
    </row>
    <row r="14">
      <c r="A14" s="15"/>
      <c r="B14" s="15"/>
      <c r="C14" s="15"/>
      <c r="D14" s="25" t="str">
        <f t="shared" si="1"/>
        <v/>
      </c>
      <c r="E14" s="17"/>
      <c r="F14" s="18"/>
      <c r="G14" s="18"/>
      <c r="H14" s="18"/>
      <c r="I14" s="18"/>
      <c r="J14" s="20"/>
      <c r="K14" s="22"/>
      <c r="L14" s="22"/>
      <c r="M14" s="23"/>
      <c r="N14" s="24"/>
      <c r="O14" s="26"/>
      <c r="P14" s="26"/>
      <c r="Q14" s="26"/>
      <c r="R14" s="26"/>
      <c r="S14" s="26"/>
      <c r="T14" s="26"/>
      <c r="U14" s="26"/>
      <c r="V14" s="26"/>
      <c r="W14" s="26"/>
      <c r="X14" s="26"/>
      <c r="Y14" s="26"/>
    </row>
    <row r="15">
      <c r="A15" s="15"/>
      <c r="B15" s="15"/>
      <c r="C15" s="15"/>
      <c r="D15" s="25" t="str">
        <f t="shared" si="1"/>
        <v/>
      </c>
      <c r="E15" s="17"/>
      <c r="F15" s="18"/>
      <c r="G15" s="18"/>
      <c r="H15" s="18"/>
      <c r="I15" s="18"/>
      <c r="J15" s="20"/>
      <c r="K15" s="22"/>
      <c r="L15" s="22"/>
      <c r="M15" s="23"/>
      <c r="N15" s="24"/>
      <c r="O15" s="26"/>
      <c r="P15" s="26"/>
      <c r="Q15" s="26"/>
      <c r="R15" s="26"/>
      <c r="S15" s="26"/>
      <c r="T15" s="26"/>
      <c r="U15" s="26"/>
      <c r="V15" s="26"/>
      <c r="W15" s="26"/>
      <c r="X15" s="26"/>
      <c r="Y15" s="26"/>
    </row>
    <row r="16">
      <c r="A16" s="15"/>
      <c r="B16" s="15"/>
      <c r="C16" s="15"/>
      <c r="D16" s="25" t="str">
        <f t="shared" si="1"/>
        <v/>
      </c>
      <c r="E16" s="17"/>
      <c r="F16" s="18"/>
      <c r="G16" s="18"/>
      <c r="H16" s="18"/>
      <c r="I16" s="18"/>
      <c r="J16" s="20"/>
      <c r="K16" s="22"/>
      <c r="L16" s="22"/>
      <c r="M16" s="23"/>
      <c r="N16" s="24"/>
      <c r="O16" s="26"/>
      <c r="P16" s="26"/>
      <c r="Q16" s="26"/>
      <c r="R16" s="26"/>
      <c r="S16" s="26"/>
      <c r="T16" s="26"/>
      <c r="U16" s="26"/>
      <c r="V16" s="26"/>
      <c r="W16" s="26"/>
      <c r="X16" s="26"/>
      <c r="Y16" s="26"/>
    </row>
    <row r="17">
      <c r="A17" s="15"/>
      <c r="B17" s="15"/>
      <c r="C17" s="15"/>
      <c r="D17" s="25" t="str">
        <f t="shared" si="1"/>
        <v/>
      </c>
      <c r="E17" s="17"/>
      <c r="F17" s="18"/>
      <c r="G17" s="18"/>
      <c r="H17" s="18"/>
      <c r="I17" s="18"/>
      <c r="J17" s="20"/>
      <c r="K17" s="22"/>
      <c r="L17" s="22"/>
      <c r="M17" s="23"/>
      <c r="N17" s="24"/>
      <c r="O17" s="26"/>
      <c r="P17" s="26"/>
      <c r="Q17" s="26"/>
      <c r="R17" s="26"/>
      <c r="S17" s="26"/>
      <c r="T17" s="26"/>
      <c r="U17" s="26"/>
      <c r="V17" s="26"/>
      <c r="W17" s="26"/>
      <c r="X17" s="26"/>
      <c r="Y17" s="26"/>
    </row>
    <row r="18">
      <c r="A18" s="15"/>
      <c r="B18" s="15"/>
      <c r="C18" s="15"/>
      <c r="D18" s="25" t="str">
        <f t="shared" si="1"/>
        <v/>
      </c>
      <c r="E18" s="17"/>
      <c r="F18" s="18"/>
      <c r="G18" s="18"/>
      <c r="H18" s="18"/>
      <c r="I18" s="18"/>
      <c r="J18" s="20"/>
      <c r="K18" s="22"/>
      <c r="L18" s="22"/>
      <c r="M18" s="23"/>
      <c r="N18" s="24"/>
      <c r="O18" s="26"/>
      <c r="P18" s="26"/>
      <c r="Q18" s="26"/>
      <c r="R18" s="26"/>
      <c r="S18" s="26"/>
      <c r="T18" s="26"/>
      <c r="U18" s="26"/>
      <c r="V18" s="26"/>
      <c r="W18" s="26"/>
      <c r="X18" s="26"/>
      <c r="Y18" s="26"/>
    </row>
    <row r="19">
      <c r="A19" s="15"/>
      <c r="B19" s="15"/>
      <c r="C19" s="15"/>
      <c r="D19" s="25" t="str">
        <f t="shared" si="1"/>
        <v/>
      </c>
      <c r="E19" s="17"/>
      <c r="F19" s="18"/>
      <c r="G19" s="18"/>
      <c r="H19" s="18"/>
      <c r="I19" s="18"/>
      <c r="J19" s="20"/>
      <c r="K19" s="22"/>
      <c r="L19" s="22"/>
      <c r="M19" s="23"/>
      <c r="N19" s="24"/>
      <c r="O19" s="26"/>
      <c r="P19" s="26"/>
      <c r="Q19" s="26"/>
      <c r="R19" s="26"/>
      <c r="S19" s="26"/>
      <c r="T19" s="26"/>
      <c r="U19" s="26"/>
      <c r="V19" s="26"/>
      <c r="W19" s="26"/>
      <c r="X19" s="26"/>
      <c r="Y19" s="26"/>
    </row>
    <row r="20">
      <c r="A20" s="15"/>
      <c r="B20" s="15"/>
      <c r="C20" s="15"/>
      <c r="D20" s="25" t="str">
        <f t="shared" si="1"/>
        <v/>
      </c>
      <c r="E20" s="17"/>
      <c r="F20" s="18"/>
      <c r="G20" s="18"/>
      <c r="H20" s="18"/>
      <c r="I20" s="18"/>
      <c r="J20" s="20"/>
      <c r="K20" s="22"/>
      <c r="L20" s="22"/>
      <c r="M20" s="23"/>
      <c r="N20" s="24"/>
      <c r="O20" s="26"/>
      <c r="P20" s="26"/>
      <c r="Q20" s="26"/>
      <c r="R20" s="26"/>
      <c r="S20" s="26"/>
      <c r="T20" s="26"/>
      <c r="U20" s="26"/>
      <c r="V20" s="26"/>
      <c r="W20" s="26"/>
      <c r="X20" s="26"/>
      <c r="Y20" s="26"/>
    </row>
    <row r="21">
      <c r="A21" s="15"/>
      <c r="B21" s="15"/>
      <c r="C21" s="15"/>
      <c r="D21" s="25" t="str">
        <f t="shared" si="1"/>
        <v/>
      </c>
      <c r="E21" s="17"/>
      <c r="F21" s="18"/>
      <c r="G21" s="18"/>
      <c r="H21" s="18"/>
      <c r="I21" s="18"/>
      <c r="J21" s="20"/>
      <c r="K21" s="22"/>
      <c r="L21" s="22"/>
      <c r="M21" s="23"/>
      <c r="N21" s="24"/>
      <c r="O21" s="26"/>
      <c r="P21" s="26"/>
      <c r="Q21" s="26"/>
      <c r="R21" s="26"/>
      <c r="S21" s="26"/>
      <c r="T21" s="26"/>
      <c r="U21" s="26"/>
      <c r="V21" s="26"/>
      <c r="W21" s="26"/>
      <c r="X21" s="26"/>
      <c r="Y21" s="26"/>
    </row>
    <row r="22">
      <c r="A22" s="15"/>
      <c r="B22" s="15"/>
      <c r="C22" s="15"/>
      <c r="D22" s="25" t="str">
        <f t="shared" si="1"/>
        <v/>
      </c>
      <c r="E22" s="17"/>
      <c r="F22" s="18"/>
      <c r="G22" s="18"/>
      <c r="H22" s="18"/>
      <c r="I22" s="18"/>
      <c r="J22" s="20"/>
      <c r="K22" s="22"/>
      <c r="L22" s="22"/>
      <c r="M22" s="23"/>
      <c r="N22" s="24"/>
      <c r="O22" s="26"/>
      <c r="P22" s="26"/>
      <c r="Q22" s="26"/>
      <c r="R22" s="26"/>
      <c r="S22" s="26"/>
      <c r="T22" s="26"/>
      <c r="U22" s="26"/>
      <c r="V22" s="26"/>
      <c r="W22" s="26"/>
      <c r="X22" s="26"/>
      <c r="Y22" s="26"/>
    </row>
    <row r="23">
      <c r="A23" s="15"/>
      <c r="B23" s="15"/>
      <c r="C23" s="15"/>
      <c r="D23" s="25" t="str">
        <f t="shared" si="1"/>
        <v/>
      </c>
      <c r="E23" s="17"/>
      <c r="F23" s="18"/>
      <c r="G23" s="18"/>
      <c r="H23" s="18"/>
      <c r="I23" s="18"/>
      <c r="J23" s="20"/>
      <c r="K23" s="22"/>
      <c r="L23" s="22"/>
      <c r="M23" s="23"/>
      <c r="N23" s="24"/>
      <c r="O23" s="26"/>
      <c r="P23" s="26"/>
      <c r="Q23" s="26"/>
      <c r="R23" s="26"/>
      <c r="S23" s="26"/>
      <c r="T23" s="26"/>
      <c r="U23" s="26"/>
      <c r="V23" s="26"/>
      <c r="W23" s="26"/>
      <c r="X23" s="26"/>
      <c r="Y23" s="26"/>
    </row>
    <row r="24">
      <c r="A24" s="15"/>
      <c r="B24" s="15"/>
      <c r="C24" s="15"/>
      <c r="D24" s="25" t="str">
        <f t="shared" si="1"/>
        <v/>
      </c>
      <c r="E24" s="17"/>
      <c r="F24" s="18"/>
      <c r="G24" s="18"/>
      <c r="H24" s="18"/>
      <c r="I24" s="18"/>
      <c r="J24" s="20"/>
      <c r="K24" s="22"/>
      <c r="L24" s="22"/>
      <c r="M24" s="23"/>
      <c r="N24" s="24"/>
      <c r="O24" s="26"/>
      <c r="P24" s="26"/>
      <c r="Q24" s="26"/>
      <c r="R24" s="26"/>
      <c r="S24" s="26"/>
      <c r="T24" s="26"/>
      <c r="U24" s="26"/>
      <c r="V24" s="26"/>
      <c r="W24" s="26"/>
      <c r="X24" s="26"/>
      <c r="Y24" s="26"/>
    </row>
    <row r="25">
      <c r="A25" s="15"/>
      <c r="B25" s="15"/>
      <c r="C25" s="15"/>
      <c r="D25" s="25" t="str">
        <f t="shared" si="1"/>
        <v/>
      </c>
      <c r="E25" s="17"/>
      <c r="F25" s="18"/>
      <c r="G25" s="18"/>
      <c r="H25" s="18"/>
      <c r="I25" s="18"/>
      <c r="J25" s="20"/>
      <c r="K25" s="22"/>
      <c r="L25" s="22"/>
      <c r="M25" s="23"/>
      <c r="N25" s="24"/>
      <c r="O25" s="26"/>
      <c r="P25" s="26"/>
      <c r="Q25" s="26"/>
      <c r="R25" s="26"/>
      <c r="S25" s="26"/>
      <c r="T25" s="26"/>
      <c r="U25" s="26"/>
      <c r="V25" s="26"/>
      <c r="W25" s="26"/>
      <c r="X25" s="26"/>
      <c r="Y25" s="26"/>
    </row>
    <row r="26">
      <c r="A26" s="15"/>
      <c r="B26" s="15"/>
      <c r="C26" s="15"/>
      <c r="D26" s="25" t="str">
        <f t="shared" si="1"/>
        <v/>
      </c>
      <c r="E26" s="17"/>
      <c r="F26" s="18"/>
      <c r="G26" s="18"/>
      <c r="H26" s="18"/>
      <c r="I26" s="18"/>
      <c r="J26" s="20"/>
      <c r="K26" s="22"/>
      <c r="L26" s="22"/>
      <c r="M26" s="23"/>
      <c r="N26" s="24"/>
      <c r="O26" s="26"/>
      <c r="P26" s="26"/>
      <c r="Q26" s="26"/>
      <c r="R26" s="26"/>
      <c r="S26" s="26"/>
      <c r="T26" s="26"/>
      <c r="U26" s="26"/>
      <c r="V26" s="26"/>
      <c r="W26" s="26"/>
      <c r="X26" s="26"/>
      <c r="Y26" s="26"/>
    </row>
    <row r="27">
      <c r="A27" s="15"/>
      <c r="B27" s="15"/>
      <c r="C27" s="15"/>
      <c r="D27" s="25" t="str">
        <f t="shared" si="1"/>
        <v/>
      </c>
      <c r="E27" s="17"/>
      <c r="F27" s="18"/>
      <c r="G27" s="18"/>
      <c r="H27" s="18"/>
      <c r="I27" s="18"/>
      <c r="J27" s="20"/>
      <c r="K27" s="22"/>
      <c r="L27" s="22"/>
      <c r="M27" s="23"/>
      <c r="N27" s="24"/>
      <c r="O27" s="26"/>
      <c r="P27" s="26"/>
      <c r="Q27" s="26"/>
      <c r="R27" s="26"/>
      <c r="S27" s="26"/>
      <c r="T27" s="26"/>
      <c r="U27" s="26"/>
      <c r="V27" s="26"/>
      <c r="W27" s="26"/>
      <c r="X27" s="26"/>
      <c r="Y27" s="26"/>
    </row>
    <row r="28">
      <c r="A28" s="15"/>
      <c r="B28" s="15"/>
      <c r="C28" s="15"/>
      <c r="D28" s="25" t="str">
        <f t="shared" si="1"/>
        <v/>
      </c>
      <c r="E28" s="17"/>
      <c r="F28" s="18"/>
      <c r="G28" s="18"/>
      <c r="H28" s="18"/>
      <c r="I28" s="18"/>
      <c r="J28" s="20"/>
      <c r="K28" s="22"/>
      <c r="L28" s="22"/>
      <c r="M28" s="23"/>
      <c r="N28" s="24"/>
      <c r="O28" s="26"/>
      <c r="P28" s="26"/>
      <c r="Q28" s="26"/>
      <c r="R28" s="26"/>
      <c r="S28" s="26"/>
      <c r="T28" s="26"/>
      <c r="U28" s="26"/>
      <c r="V28" s="26"/>
      <c r="W28" s="26"/>
      <c r="X28" s="26"/>
      <c r="Y28" s="26"/>
    </row>
    <row r="29">
      <c r="A29" s="15"/>
      <c r="B29" s="15"/>
      <c r="C29" s="15"/>
      <c r="D29" s="25" t="str">
        <f t="shared" si="1"/>
        <v/>
      </c>
      <c r="E29" s="17"/>
      <c r="F29" s="18"/>
      <c r="G29" s="18"/>
      <c r="H29" s="18"/>
      <c r="I29" s="18"/>
      <c r="J29" s="20"/>
      <c r="K29" s="22"/>
      <c r="L29" s="22"/>
      <c r="M29" s="23"/>
      <c r="N29" s="24"/>
      <c r="O29" s="26"/>
      <c r="P29" s="26"/>
      <c r="Q29" s="26"/>
      <c r="R29" s="26"/>
      <c r="S29" s="26"/>
      <c r="T29" s="26"/>
      <c r="U29" s="26"/>
      <c r="V29" s="26"/>
      <c r="W29" s="26"/>
      <c r="X29" s="26"/>
      <c r="Y29" s="26"/>
    </row>
    <row r="30">
      <c r="A30" s="15"/>
      <c r="B30" s="15"/>
      <c r="C30" s="15"/>
      <c r="D30" s="25" t="str">
        <f t="shared" si="1"/>
        <v/>
      </c>
      <c r="E30" s="17"/>
      <c r="F30" s="18"/>
      <c r="G30" s="18"/>
      <c r="H30" s="18"/>
      <c r="I30" s="18"/>
      <c r="J30" s="20"/>
      <c r="K30" s="22"/>
      <c r="L30" s="22"/>
      <c r="M30" s="23"/>
      <c r="N30" s="24"/>
      <c r="O30" s="26"/>
      <c r="P30" s="26"/>
      <c r="Q30" s="26"/>
      <c r="R30" s="26"/>
      <c r="S30" s="26"/>
      <c r="T30" s="26"/>
      <c r="U30" s="26"/>
      <c r="V30" s="26"/>
      <c r="W30" s="26"/>
      <c r="X30" s="26"/>
      <c r="Y30" s="26"/>
    </row>
    <row r="31">
      <c r="A31" s="15"/>
      <c r="B31" s="15"/>
      <c r="C31" s="15"/>
      <c r="D31" s="25" t="str">
        <f t="shared" si="1"/>
        <v/>
      </c>
      <c r="E31" s="17"/>
      <c r="F31" s="18"/>
      <c r="G31" s="18"/>
      <c r="H31" s="18"/>
      <c r="I31" s="18"/>
      <c r="J31" s="20"/>
      <c r="K31" s="22"/>
      <c r="L31" s="22"/>
      <c r="M31" s="23"/>
      <c r="N31" s="24"/>
      <c r="O31" s="26"/>
      <c r="P31" s="26"/>
      <c r="Q31" s="26"/>
      <c r="R31" s="26"/>
      <c r="S31" s="26"/>
      <c r="T31" s="26"/>
      <c r="U31" s="26"/>
      <c r="V31" s="26"/>
      <c r="W31" s="26"/>
      <c r="X31" s="26"/>
      <c r="Y31" s="26"/>
    </row>
    <row r="32">
      <c r="A32" s="15"/>
      <c r="B32" s="15"/>
      <c r="C32" s="15"/>
      <c r="D32" s="25" t="str">
        <f t="shared" si="1"/>
        <v/>
      </c>
      <c r="E32" s="17"/>
      <c r="F32" s="18"/>
      <c r="G32" s="18"/>
      <c r="H32" s="18"/>
      <c r="I32" s="18"/>
      <c r="J32" s="20"/>
      <c r="K32" s="22"/>
      <c r="L32" s="22"/>
      <c r="M32" s="23"/>
      <c r="N32" s="24"/>
      <c r="O32" s="26"/>
      <c r="P32" s="26"/>
      <c r="Q32" s="26"/>
      <c r="R32" s="26"/>
      <c r="S32" s="26"/>
      <c r="T32" s="26"/>
      <c r="U32" s="26"/>
      <c r="V32" s="26"/>
      <c r="W32" s="26"/>
      <c r="X32" s="26"/>
      <c r="Y32" s="26"/>
    </row>
    <row r="33">
      <c r="A33" s="15"/>
      <c r="B33" s="15"/>
      <c r="C33" s="15"/>
      <c r="D33" s="25" t="str">
        <f t="shared" si="1"/>
        <v/>
      </c>
      <c r="E33" s="17"/>
      <c r="F33" s="18"/>
      <c r="G33" s="18"/>
      <c r="H33" s="18"/>
      <c r="I33" s="18"/>
      <c r="J33" s="20"/>
      <c r="K33" s="22"/>
      <c r="L33" s="22"/>
      <c r="M33" s="23"/>
      <c r="N33" s="24"/>
      <c r="O33" s="26"/>
      <c r="P33" s="26"/>
      <c r="Q33" s="26"/>
      <c r="R33" s="26"/>
      <c r="S33" s="26"/>
      <c r="T33" s="26"/>
      <c r="U33" s="26"/>
      <c r="V33" s="26"/>
      <c r="W33" s="26"/>
      <c r="X33" s="26"/>
      <c r="Y33" s="26"/>
    </row>
    <row r="34">
      <c r="A34" s="15"/>
      <c r="B34" s="15"/>
      <c r="C34" s="15"/>
      <c r="D34" s="25" t="str">
        <f t="shared" si="1"/>
        <v/>
      </c>
      <c r="E34" s="17"/>
      <c r="F34" s="18"/>
      <c r="G34" s="18"/>
      <c r="H34" s="18"/>
      <c r="I34" s="18"/>
      <c r="J34" s="20"/>
      <c r="K34" s="22"/>
      <c r="L34" s="22"/>
      <c r="M34" s="23"/>
      <c r="N34" s="24"/>
      <c r="O34" s="26"/>
      <c r="P34" s="26"/>
      <c r="Q34" s="26"/>
      <c r="R34" s="26"/>
      <c r="S34" s="26"/>
      <c r="T34" s="26"/>
      <c r="U34" s="26"/>
      <c r="V34" s="26"/>
      <c r="W34" s="26"/>
      <c r="X34" s="26"/>
      <c r="Y34" s="26"/>
    </row>
    <row r="35">
      <c r="A35" s="15"/>
      <c r="B35" s="15"/>
      <c r="C35" s="15"/>
      <c r="D35" s="25" t="str">
        <f t="shared" si="1"/>
        <v/>
      </c>
      <c r="E35" s="17"/>
      <c r="F35" s="18"/>
      <c r="G35" s="18"/>
      <c r="H35" s="18"/>
      <c r="I35" s="18"/>
      <c r="J35" s="20"/>
      <c r="K35" s="22"/>
      <c r="L35" s="22"/>
      <c r="M35" s="23"/>
      <c r="N35" s="24"/>
      <c r="O35" s="26"/>
      <c r="P35" s="26"/>
      <c r="Q35" s="26"/>
      <c r="R35" s="26"/>
      <c r="S35" s="26"/>
      <c r="T35" s="26"/>
      <c r="U35" s="26"/>
      <c r="V35" s="26"/>
      <c r="W35" s="26"/>
      <c r="X35" s="26"/>
      <c r="Y35" s="26"/>
    </row>
    <row r="36">
      <c r="A36" s="29"/>
      <c r="B36" s="29"/>
      <c r="C36" s="29"/>
      <c r="D36" s="30" t="str">
        <f t="shared" si="1"/>
        <v/>
      </c>
      <c r="E36" s="17"/>
      <c r="F36" s="18"/>
      <c r="G36" s="18"/>
      <c r="H36" s="18"/>
      <c r="I36" s="18"/>
      <c r="J36" s="20"/>
      <c r="K36" s="22"/>
      <c r="L36" s="22"/>
      <c r="M36" s="23"/>
      <c r="N36" s="24"/>
      <c r="O36" s="26"/>
      <c r="P36" s="26"/>
      <c r="Q36" s="26"/>
      <c r="R36" s="26"/>
      <c r="S36" s="26"/>
      <c r="T36" s="26"/>
      <c r="U36" s="26"/>
      <c r="V36" s="26"/>
      <c r="W36" s="26"/>
      <c r="X36" s="26"/>
      <c r="Y36" s="26"/>
    </row>
    <row r="37">
      <c r="A37" s="29"/>
      <c r="B37" s="29"/>
      <c r="C37" s="29"/>
      <c r="D37" s="30" t="str">
        <f t="shared" si="1"/>
        <v/>
      </c>
      <c r="E37" s="17"/>
      <c r="F37" s="18"/>
      <c r="G37" s="18"/>
      <c r="H37" s="18"/>
      <c r="I37" s="18"/>
      <c r="J37" s="20"/>
      <c r="K37" s="22"/>
      <c r="L37" s="22"/>
      <c r="M37" s="23"/>
      <c r="N37" s="24"/>
      <c r="O37" s="26"/>
      <c r="P37" s="26"/>
      <c r="Q37" s="26"/>
      <c r="R37" s="26"/>
      <c r="S37" s="26"/>
      <c r="T37" s="26"/>
      <c r="U37" s="26"/>
      <c r="V37" s="26"/>
      <c r="W37" s="26"/>
      <c r="X37" s="26"/>
      <c r="Y37" s="26"/>
    </row>
    <row r="38">
      <c r="A38" s="29"/>
      <c r="B38" s="29"/>
      <c r="C38" s="29"/>
      <c r="D38" s="30" t="str">
        <f t="shared" si="1"/>
        <v/>
      </c>
      <c r="E38" s="17"/>
      <c r="F38" s="18"/>
      <c r="G38" s="18"/>
      <c r="H38" s="18"/>
      <c r="I38" s="18"/>
      <c r="J38" s="20"/>
      <c r="K38" s="22"/>
      <c r="L38" s="22"/>
      <c r="M38" s="23"/>
      <c r="N38" s="24"/>
      <c r="O38" s="26"/>
      <c r="P38" s="26"/>
      <c r="Q38" s="26"/>
      <c r="R38" s="26"/>
      <c r="S38" s="26"/>
      <c r="T38" s="26"/>
      <c r="U38" s="26"/>
      <c r="V38" s="26"/>
      <c r="W38" s="26"/>
      <c r="X38" s="26"/>
      <c r="Y38" s="26"/>
    </row>
    <row r="39">
      <c r="A39" s="29"/>
      <c r="B39" s="29"/>
      <c r="C39" s="29"/>
      <c r="D39" s="30" t="str">
        <f t="shared" si="1"/>
        <v/>
      </c>
      <c r="E39" s="17"/>
      <c r="F39" s="18"/>
      <c r="G39" s="18"/>
      <c r="H39" s="18"/>
      <c r="I39" s="18"/>
      <c r="J39" s="20"/>
      <c r="K39" s="22"/>
      <c r="L39" s="22"/>
      <c r="M39" s="23"/>
      <c r="N39" s="24"/>
      <c r="O39" s="26"/>
      <c r="P39" s="26"/>
      <c r="Q39" s="26"/>
      <c r="R39" s="26"/>
      <c r="S39" s="26"/>
      <c r="T39" s="26"/>
      <c r="U39" s="26"/>
      <c r="V39" s="26"/>
      <c r="W39" s="26"/>
      <c r="X39" s="26"/>
      <c r="Y39" s="26"/>
    </row>
    <row r="40">
      <c r="A40" s="29"/>
      <c r="B40" s="29"/>
      <c r="C40" s="29"/>
      <c r="D40" s="30" t="str">
        <f t="shared" si="1"/>
        <v/>
      </c>
      <c r="E40" s="17"/>
      <c r="F40" s="18"/>
      <c r="G40" s="18"/>
      <c r="H40" s="18"/>
      <c r="I40" s="18"/>
      <c r="J40" s="20"/>
      <c r="K40" s="22"/>
      <c r="L40" s="22"/>
      <c r="M40" s="23"/>
      <c r="N40" s="24"/>
      <c r="O40" s="26"/>
      <c r="P40" s="26"/>
      <c r="Q40" s="26"/>
      <c r="R40" s="26"/>
      <c r="S40" s="26"/>
      <c r="T40" s="26"/>
      <c r="U40" s="26"/>
      <c r="V40" s="26"/>
      <c r="W40" s="26"/>
      <c r="X40" s="26"/>
      <c r="Y40" s="26"/>
    </row>
    <row r="41">
      <c r="A41" s="29"/>
      <c r="B41" s="29"/>
      <c r="C41" s="29"/>
      <c r="D41" s="30" t="str">
        <f t="shared" si="1"/>
        <v/>
      </c>
      <c r="E41" s="17"/>
      <c r="F41" s="18"/>
      <c r="G41" s="18"/>
      <c r="H41" s="18"/>
      <c r="I41" s="18"/>
      <c r="J41" s="20"/>
      <c r="K41" s="22"/>
      <c r="L41" s="22"/>
      <c r="M41" s="23"/>
      <c r="N41" s="24"/>
      <c r="O41" s="26"/>
      <c r="P41" s="26"/>
      <c r="Q41" s="26"/>
      <c r="R41" s="26"/>
      <c r="S41" s="26"/>
      <c r="T41" s="26"/>
      <c r="U41" s="26"/>
      <c r="V41" s="26"/>
      <c r="W41" s="26"/>
      <c r="X41" s="26"/>
      <c r="Y41" s="26"/>
    </row>
    <row r="42">
      <c r="A42" s="29"/>
      <c r="B42" s="29"/>
      <c r="C42" s="29"/>
      <c r="D42" s="30" t="str">
        <f t="shared" si="1"/>
        <v/>
      </c>
      <c r="E42" s="17"/>
      <c r="F42" s="18"/>
      <c r="G42" s="18"/>
      <c r="H42" s="18"/>
      <c r="I42" s="18"/>
      <c r="J42" s="20"/>
      <c r="K42" s="22"/>
      <c r="L42" s="22"/>
      <c r="M42" s="23"/>
      <c r="N42" s="24"/>
      <c r="O42" s="26"/>
      <c r="P42" s="26"/>
      <c r="Q42" s="26"/>
      <c r="R42" s="26"/>
      <c r="S42" s="26"/>
      <c r="T42" s="26"/>
      <c r="U42" s="26"/>
      <c r="V42" s="26"/>
      <c r="W42" s="26"/>
      <c r="X42" s="26"/>
      <c r="Y42" s="26"/>
    </row>
    <row r="43">
      <c r="A43" s="29"/>
      <c r="B43" s="29"/>
      <c r="C43" s="29"/>
      <c r="D43" s="30" t="str">
        <f t="shared" si="1"/>
        <v/>
      </c>
      <c r="E43" s="17"/>
      <c r="F43" s="18"/>
      <c r="G43" s="18"/>
      <c r="H43" s="18"/>
      <c r="I43" s="18"/>
      <c r="J43" s="20"/>
      <c r="K43" s="22"/>
      <c r="L43" s="22"/>
      <c r="M43" s="23"/>
      <c r="N43" s="24"/>
      <c r="O43" s="26"/>
      <c r="P43" s="26"/>
      <c r="Q43" s="26"/>
      <c r="R43" s="26"/>
      <c r="S43" s="26"/>
      <c r="T43" s="26"/>
      <c r="U43" s="26"/>
      <c r="V43" s="26"/>
      <c r="W43" s="26"/>
      <c r="X43" s="26"/>
      <c r="Y43" s="26"/>
    </row>
    <row r="44">
      <c r="A44" s="29"/>
      <c r="B44" s="29"/>
      <c r="C44" s="29"/>
      <c r="D44" s="30" t="str">
        <f t="shared" si="1"/>
        <v/>
      </c>
      <c r="E44" s="17"/>
      <c r="F44" s="18"/>
      <c r="G44" s="18"/>
      <c r="H44" s="18"/>
      <c r="I44" s="18"/>
      <c r="J44" s="20"/>
      <c r="K44" s="22"/>
      <c r="L44" s="22"/>
      <c r="M44" s="23"/>
      <c r="N44" s="24"/>
      <c r="O44" s="26"/>
      <c r="P44" s="26"/>
      <c r="Q44" s="26"/>
      <c r="R44" s="26"/>
      <c r="S44" s="26"/>
      <c r="T44" s="26"/>
      <c r="U44" s="26"/>
      <c r="V44" s="26"/>
      <c r="W44" s="26"/>
      <c r="X44" s="26"/>
      <c r="Y44" s="26"/>
    </row>
    <row r="45">
      <c r="A45" s="29"/>
      <c r="B45" s="29"/>
      <c r="C45" s="29"/>
      <c r="D45" s="30" t="str">
        <f t="shared" si="1"/>
        <v/>
      </c>
      <c r="E45" s="17"/>
      <c r="F45" s="18"/>
      <c r="G45" s="18"/>
      <c r="H45" s="18"/>
      <c r="I45" s="18"/>
      <c r="J45" s="20"/>
      <c r="K45" s="22"/>
      <c r="L45" s="22"/>
      <c r="M45" s="23"/>
      <c r="N45" s="24"/>
      <c r="O45" s="26"/>
      <c r="P45" s="26"/>
      <c r="Q45" s="26"/>
      <c r="R45" s="26"/>
      <c r="S45" s="26"/>
      <c r="T45" s="26"/>
      <c r="U45" s="26"/>
      <c r="V45" s="26"/>
      <c r="W45" s="26"/>
      <c r="X45" s="26"/>
      <c r="Y45" s="26"/>
    </row>
    <row r="46">
      <c r="A46" s="29"/>
      <c r="B46" s="29"/>
      <c r="C46" s="29"/>
      <c r="D46" s="30" t="str">
        <f t="shared" si="1"/>
        <v/>
      </c>
      <c r="E46" s="17"/>
      <c r="F46" s="18"/>
      <c r="G46" s="18"/>
      <c r="H46" s="18"/>
      <c r="I46" s="18"/>
      <c r="J46" s="20"/>
      <c r="K46" s="22"/>
      <c r="L46" s="22"/>
      <c r="M46" s="23"/>
      <c r="N46" s="24"/>
      <c r="O46" s="26"/>
      <c r="P46" s="26"/>
      <c r="Q46" s="26"/>
      <c r="R46" s="26"/>
      <c r="S46" s="26"/>
      <c r="T46" s="26"/>
      <c r="U46" s="26"/>
      <c r="V46" s="26"/>
      <c r="W46" s="26"/>
      <c r="X46" s="26"/>
      <c r="Y46" s="26"/>
    </row>
    <row r="47">
      <c r="A47" s="29"/>
      <c r="B47" s="29"/>
      <c r="C47" s="29"/>
      <c r="D47" s="30" t="str">
        <f t="shared" si="1"/>
        <v/>
      </c>
      <c r="E47" s="17"/>
      <c r="F47" s="18"/>
      <c r="G47" s="18"/>
      <c r="H47" s="18"/>
      <c r="I47" s="18"/>
      <c r="J47" s="20"/>
      <c r="K47" s="22"/>
      <c r="L47" s="22"/>
      <c r="M47" s="23"/>
      <c r="N47" s="24"/>
      <c r="O47" s="26"/>
      <c r="P47" s="26"/>
      <c r="Q47" s="26"/>
      <c r="R47" s="26"/>
      <c r="S47" s="26"/>
      <c r="T47" s="26"/>
      <c r="U47" s="26"/>
      <c r="V47" s="26"/>
      <c r="W47" s="26"/>
      <c r="X47" s="26"/>
      <c r="Y47" s="26"/>
    </row>
    <row r="48">
      <c r="A48" s="29"/>
      <c r="B48" s="29"/>
      <c r="C48" s="29"/>
      <c r="D48" s="30" t="str">
        <f t="shared" si="1"/>
        <v/>
      </c>
      <c r="E48" s="17"/>
      <c r="F48" s="18"/>
      <c r="G48" s="18"/>
      <c r="H48" s="18"/>
      <c r="I48" s="18"/>
      <c r="J48" s="20"/>
      <c r="K48" s="22"/>
      <c r="L48" s="22"/>
      <c r="M48" s="23"/>
      <c r="N48" s="24"/>
      <c r="O48" s="26"/>
      <c r="P48" s="26"/>
      <c r="Q48" s="26"/>
      <c r="R48" s="26"/>
      <c r="S48" s="26"/>
      <c r="T48" s="26"/>
      <c r="U48" s="26"/>
      <c r="V48" s="26"/>
      <c r="W48" s="26"/>
      <c r="X48" s="26"/>
      <c r="Y48" s="26"/>
    </row>
    <row r="49">
      <c r="A49" s="29"/>
      <c r="B49" s="29"/>
      <c r="C49" s="29"/>
      <c r="D49" s="30" t="str">
        <f t="shared" si="1"/>
        <v/>
      </c>
      <c r="E49" s="17"/>
      <c r="F49" s="18"/>
      <c r="G49" s="18"/>
      <c r="H49" s="18"/>
      <c r="I49" s="18"/>
      <c r="J49" s="20"/>
      <c r="K49" s="22"/>
      <c r="L49" s="22"/>
      <c r="M49" s="23"/>
      <c r="N49" s="24"/>
      <c r="O49" s="26"/>
      <c r="P49" s="26"/>
      <c r="Q49" s="26"/>
      <c r="R49" s="26"/>
      <c r="S49" s="26"/>
      <c r="T49" s="26"/>
      <c r="U49" s="26"/>
      <c r="V49" s="26"/>
      <c r="W49" s="26"/>
      <c r="X49" s="26"/>
      <c r="Y49" s="26"/>
    </row>
    <row r="50">
      <c r="A50" s="29"/>
      <c r="B50" s="29"/>
      <c r="C50" s="29"/>
      <c r="D50" s="30" t="str">
        <f t="shared" si="1"/>
        <v/>
      </c>
      <c r="E50" s="17"/>
      <c r="F50" s="18"/>
      <c r="G50" s="18"/>
      <c r="H50" s="18"/>
      <c r="I50" s="18"/>
      <c r="J50" s="20"/>
      <c r="K50" s="22"/>
      <c r="L50" s="22"/>
      <c r="M50" s="23"/>
      <c r="N50" s="24"/>
      <c r="O50" s="26"/>
      <c r="P50" s="26"/>
      <c r="Q50" s="26"/>
      <c r="R50" s="26"/>
      <c r="S50" s="26"/>
      <c r="T50" s="26"/>
      <c r="U50" s="26"/>
      <c r="V50" s="26"/>
      <c r="W50" s="26"/>
      <c r="X50" s="26"/>
      <c r="Y50" s="26"/>
    </row>
    <row r="51">
      <c r="A51" s="29"/>
      <c r="B51" s="29"/>
      <c r="C51" s="29"/>
      <c r="D51" s="30" t="str">
        <f t="shared" si="1"/>
        <v/>
      </c>
      <c r="E51" s="17"/>
      <c r="F51" s="18"/>
      <c r="G51" s="18"/>
      <c r="H51" s="18"/>
      <c r="I51" s="18"/>
      <c r="J51" s="20"/>
      <c r="K51" s="22"/>
      <c r="L51" s="22"/>
      <c r="M51" s="23"/>
      <c r="N51" s="24"/>
      <c r="O51" s="26"/>
      <c r="P51" s="26"/>
      <c r="Q51" s="26"/>
      <c r="R51" s="26"/>
      <c r="S51" s="26"/>
      <c r="T51" s="26"/>
      <c r="U51" s="26"/>
      <c r="V51" s="26"/>
      <c r="W51" s="26"/>
      <c r="X51" s="26"/>
      <c r="Y51" s="26"/>
    </row>
    <row r="52">
      <c r="A52" s="29"/>
      <c r="B52" s="29"/>
      <c r="C52" s="29"/>
      <c r="D52" s="30" t="str">
        <f t="shared" si="1"/>
        <v/>
      </c>
      <c r="E52" s="17"/>
      <c r="F52" s="18"/>
      <c r="G52" s="18"/>
      <c r="H52" s="18"/>
      <c r="I52" s="18"/>
      <c r="J52" s="20"/>
      <c r="K52" s="22"/>
      <c r="L52" s="22"/>
      <c r="M52" s="23"/>
      <c r="N52" s="24"/>
      <c r="O52" s="26"/>
      <c r="P52" s="26"/>
      <c r="Q52" s="26"/>
      <c r="R52" s="26"/>
      <c r="S52" s="26"/>
      <c r="T52" s="26"/>
      <c r="U52" s="26"/>
      <c r="V52" s="26"/>
      <c r="W52" s="26"/>
      <c r="X52" s="26"/>
      <c r="Y52" s="26"/>
    </row>
    <row r="53">
      <c r="A53" s="29"/>
      <c r="B53" s="29"/>
      <c r="C53" s="29"/>
      <c r="D53" s="30" t="str">
        <f t="shared" si="1"/>
        <v/>
      </c>
      <c r="E53" s="17"/>
      <c r="F53" s="18"/>
      <c r="G53" s="18"/>
      <c r="H53" s="18"/>
      <c r="I53" s="18"/>
      <c r="J53" s="20"/>
      <c r="K53" s="22"/>
      <c r="L53" s="22"/>
      <c r="M53" s="23"/>
      <c r="N53" s="24"/>
      <c r="O53" s="26"/>
      <c r="P53" s="26"/>
      <c r="Q53" s="26"/>
      <c r="R53" s="26"/>
      <c r="S53" s="26"/>
      <c r="T53" s="26"/>
      <c r="U53" s="26"/>
      <c r="V53" s="26"/>
      <c r="W53" s="26"/>
      <c r="X53" s="26"/>
      <c r="Y53" s="26"/>
    </row>
    <row r="54">
      <c r="A54" s="29"/>
      <c r="B54" s="29"/>
      <c r="C54" s="29"/>
      <c r="D54" s="30" t="str">
        <f t="shared" si="1"/>
        <v/>
      </c>
      <c r="E54" s="17"/>
      <c r="F54" s="18"/>
      <c r="G54" s="18"/>
      <c r="H54" s="18"/>
      <c r="I54" s="18"/>
      <c r="J54" s="20"/>
      <c r="K54" s="22"/>
      <c r="L54" s="22"/>
      <c r="M54" s="23"/>
      <c r="N54" s="24"/>
      <c r="O54" s="26"/>
      <c r="P54" s="26"/>
      <c r="Q54" s="26"/>
      <c r="R54" s="26"/>
      <c r="S54" s="26"/>
      <c r="T54" s="26"/>
      <c r="U54" s="26"/>
      <c r="V54" s="26"/>
      <c r="W54" s="26"/>
      <c r="X54" s="26"/>
      <c r="Y54" s="26"/>
    </row>
    <row r="55">
      <c r="A55" s="29"/>
      <c r="B55" s="29"/>
      <c r="C55" s="29"/>
      <c r="D55" s="30" t="str">
        <f t="shared" si="1"/>
        <v/>
      </c>
      <c r="E55" s="17"/>
      <c r="F55" s="18"/>
      <c r="G55" s="18"/>
      <c r="H55" s="18"/>
      <c r="I55" s="18"/>
      <c r="J55" s="20"/>
      <c r="K55" s="22"/>
      <c r="L55" s="22"/>
      <c r="M55" s="23"/>
      <c r="N55" s="24"/>
      <c r="O55" s="26"/>
      <c r="P55" s="26"/>
      <c r="Q55" s="26"/>
      <c r="R55" s="26"/>
      <c r="S55" s="26"/>
      <c r="T55" s="26"/>
      <c r="U55" s="26"/>
      <c r="V55" s="26"/>
      <c r="W55" s="26"/>
      <c r="X55" s="26"/>
      <c r="Y55" s="26"/>
    </row>
    <row r="56">
      <c r="A56" s="29"/>
      <c r="B56" s="29"/>
      <c r="C56" s="29"/>
      <c r="D56" s="30" t="str">
        <f t="shared" si="1"/>
        <v/>
      </c>
      <c r="E56" s="17"/>
      <c r="F56" s="18"/>
      <c r="G56" s="18"/>
      <c r="H56" s="18"/>
      <c r="I56" s="18"/>
      <c r="J56" s="20"/>
      <c r="K56" s="22"/>
      <c r="L56" s="22"/>
      <c r="M56" s="23"/>
      <c r="N56" s="24"/>
      <c r="O56" s="26"/>
      <c r="P56" s="26"/>
      <c r="Q56" s="26"/>
      <c r="R56" s="26"/>
      <c r="S56" s="26"/>
      <c r="T56" s="26"/>
      <c r="U56" s="26"/>
      <c r="V56" s="26"/>
      <c r="W56" s="26"/>
      <c r="X56" s="26"/>
      <c r="Y56" s="26"/>
    </row>
    <row r="57">
      <c r="A57" s="29"/>
      <c r="B57" s="29"/>
      <c r="C57" s="29"/>
      <c r="D57" s="30" t="str">
        <f t="shared" si="1"/>
        <v/>
      </c>
      <c r="E57" s="17"/>
      <c r="F57" s="18"/>
      <c r="G57" s="18"/>
      <c r="H57" s="18"/>
      <c r="I57" s="18"/>
      <c r="J57" s="20"/>
      <c r="K57" s="22"/>
      <c r="L57" s="22"/>
      <c r="M57" s="23"/>
      <c r="N57" s="24"/>
      <c r="O57" s="26"/>
      <c r="P57" s="26"/>
      <c r="Q57" s="26"/>
      <c r="R57" s="26"/>
      <c r="S57" s="26"/>
      <c r="T57" s="26"/>
      <c r="U57" s="26"/>
      <c r="V57" s="26"/>
      <c r="W57" s="26"/>
      <c r="X57" s="26"/>
      <c r="Y57" s="26"/>
    </row>
    <row r="58">
      <c r="A58" s="29"/>
      <c r="B58" s="29"/>
      <c r="C58" s="29"/>
      <c r="D58" s="30" t="str">
        <f t="shared" si="1"/>
        <v/>
      </c>
      <c r="E58" s="17"/>
      <c r="F58" s="18"/>
      <c r="G58" s="18"/>
      <c r="H58" s="18"/>
      <c r="I58" s="18"/>
      <c r="J58" s="20"/>
      <c r="K58" s="22"/>
      <c r="L58" s="22"/>
      <c r="M58" s="23"/>
      <c r="N58" s="24"/>
      <c r="O58" s="26"/>
      <c r="P58" s="26"/>
      <c r="Q58" s="26"/>
      <c r="R58" s="26"/>
      <c r="S58" s="26"/>
      <c r="T58" s="26"/>
      <c r="U58" s="26"/>
      <c r="V58" s="26"/>
      <c r="W58" s="26"/>
      <c r="X58" s="26"/>
      <c r="Y58" s="26"/>
    </row>
    <row r="59">
      <c r="A59" s="29"/>
      <c r="B59" s="29"/>
      <c r="C59" s="29"/>
      <c r="D59" s="30" t="str">
        <f t="shared" si="1"/>
        <v/>
      </c>
      <c r="E59" s="17"/>
      <c r="F59" s="18"/>
      <c r="G59" s="18"/>
      <c r="H59" s="18"/>
      <c r="I59" s="18"/>
      <c r="J59" s="20"/>
      <c r="K59" s="22"/>
      <c r="L59" s="22"/>
      <c r="M59" s="23"/>
      <c r="N59" s="24"/>
      <c r="O59" s="26"/>
      <c r="P59" s="26"/>
      <c r="Q59" s="26"/>
      <c r="R59" s="26"/>
      <c r="S59" s="26"/>
      <c r="T59" s="26"/>
      <c r="U59" s="26"/>
      <c r="V59" s="26"/>
      <c r="W59" s="26"/>
      <c r="X59" s="26"/>
      <c r="Y59" s="26"/>
    </row>
    <row r="60">
      <c r="A60" s="29"/>
      <c r="B60" s="29"/>
      <c r="C60" s="29"/>
      <c r="D60" s="30" t="str">
        <f t="shared" si="1"/>
        <v/>
      </c>
      <c r="E60" s="17"/>
      <c r="F60" s="18"/>
      <c r="G60" s="18"/>
      <c r="H60" s="18"/>
      <c r="I60" s="18"/>
      <c r="J60" s="20"/>
      <c r="K60" s="22"/>
      <c r="L60" s="22"/>
      <c r="M60" s="23"/>
      <c r="N60" s="24"/>
      <c r="O60" s="26"/>
      <c r="P60" s="26"/>
      <c r="Q60" s="26"/>
      <c r="R60" s="26"/>
      <c r="S60" s="26"/>
      <c r="T60" s="26"/>
      <c r="U60" s="26"/>
      <c r="V60" s="26"/>
      <c r="W60" s="26"/>
      <c r="X60" s="26"/>
      <c r="Y60" s="26"/>
    </row>
    <row r="61">
      <c r="A61" s="29"/>
      <c r="B61" s="29"/>
      <c r="C61" s="29"/>
      <c r="D61" s="30" t="str">
        <f t="shared" si="1"/>
        <v/>
      </c>
      <c r="E61" s="17"/>
      <c r="F61" s="18"/>
      <c r="G61" s="18"/>
      <c r="H61" s="18"/>
      <c r="I61" s="18"/>
      <c r="J61" s="20"/>
      <c r="K61" s="22"/>
      <c r="L61" s="22"/>
      <c r="M61" s="23"/>
      <c r="N61" s="24"/>
      <c r="O61" s="26"/>
      <c r="P61" s="26"/>
      <c r="Q61" s="26"/>
      <c r="R61" s="26"/>
      <c r="S61" s="26"/>
      <c r="T61" s="26"/>
      <c r="U61" s="26"/>
      <c r="V61" s="26"/>
      <c r="W61" s="26"/>
      <c r="X61" s="26"/>
      <c r="Y61" s="26"/>
    </row>
    <row r="62">
      <c r="A62" s="29"/>
      <c r="B62" s="29"/>
      <c r="C62" s="29"/>
      <c r="D62" s="30" t="str">
        <f t="shared" si="1"/>
        <v/>
      </c>
      <c r="E62" s="17"/>
      <c r="F62" s="18"/>
      <c r="G62" s="18"/>
      <c r="H62" s="18"/>
      <c r="I62" s="18"/>
      <c r="J62" s="20"/>
      <c r="K62" s="22"/>
      <c r="L62" s="22"/>
      <c r="M62" s="23"/>
      <c r="N62" s="24"/>
      <c r="O62" s="26"/>
      <c r="P62" s="26"/>
      <c r="Q62" s="26"/>
      <c r="R62" s="26"/>
      <c r="S62" s="26"/>
      <c r="T62" s="26"/>
      <c r="U62" s="26"/>
      <c r="V62" s="26"/>
      <c r="W62" s="26"/>
      <c r="X62" s="26"/>
      <c r="Y62" s="26"/>
    </row>
    <row r="63">
      <c r="A63" s="29"/>
      <c r="B63" s="29"/>
      <c r="C63" s="29"/>
      <c r="D63" s="30" t="str">
        <f t="shared" si="1"/>
        <v/>
      </c>
      <c r="E63" s="17"/>
      <c r="F63" s="18"/>
      <c r="G63" s="18"/>
      <c r="H63" s="18"/>
      <c r="I63" s="18"/>
      <c r="J63" s="20"/>
      <c r="K63" s="22"/>
      <c r="L63" s="22"/>
      <c r="M63" s="23"/>
      <c r="N63" s="24"/>
      <c r="O63" s="26"/>
      <c r="P63" s="26"/>
      <c r="Q63" s="26"/>
      <c r="R63" s="26"/>
      <c r="S63" s="26"/>
      <c r="T63" s="26"/>
      <c r="U63" s="26"/>
      <c r="V63" s="26"/>
      <c r="W63" s="26"/>
      <c r="X63" s="26"/>
      <c r="Y63" s="26"/>
    </row>
    <row r="64">
      <c r="A64" s="29"/>
      <c r="B64" s="29"/>
      <c r="C64" s="29"/>
      <c r="D64" s="30" t="str">
        <f t="shared" si="1"/>
        <v/>
      </c>
      <c r="E64" s="17"/>
      <c r="F64" s="18"/>
      <c r="G64" s="18"/>
      <c r="H64" s="18"/>
      <c r="I64" s="18"/>
      <c r="J64" s="20"/>
      <c r="K64" s="22"/>
      <c r="L64" s="22"/>
      <c r="M64" s="23"/>
      <c r="N64" s="24"/>
      <c r="O64" s="26"/>
      <c r="P64" s="26"/>
      <c r="Q64" s="26"/>
      <c r="R64" s="26"/>
      <c r="S64" s="26"/>
      <c r="T64" s="26"/>
      <c r="U64" s="26"/>
      <c r="V64" s="26"/>
      <c r="W64" s="26"/>
      <c r="X64" s="26"/>
      <c r="Y64" s="26"/>
    </row>
    <row r="65">
      <c r="A65" s="29"/>
      <c r="B65" s="29"/>
      <c r="C65" s="29"/>
      <c r="D65" s="30" t="str">
        <f t="shared" si="1"/>
        <v/>
      </c>
      <c r="E65" s="17"/>
      <c r="F65" s="18"/>
      <c r="G65" s="18"/>
      <c r="H65" s="18"/>
      <c r="I65" s="18"/>
      <c r="J65" s="20"/>
      <c r="K65" s="22"/>
      <c r="L65" s="22"/>
      <c r="M65" s="23"/>
      <c r="N65" s="24"/>
      <c r="O65" s="26"/>
      <c r="P65" s="26"/>
      <c r="Q65" s="26"/>
      <c r="R65" s="26"/>
      <c r="S65" s="26"/>
      <c r="T65" s="26"/>
      <c r="U65" s="26"/>
      <c r="V65" s="26"/>
      <c r="W65" s="26"/>
      <c r="X65" s="26"/>
      <c r="Y65" s="26"/>
    </row>
    <row r="66">
      <c r="A66" s="29"/>
      <c r="B66" s="29"/>
      <c r="C66" s="29"/>
      <c r="D66" s="30" t="str">
        <f t="shared" si="1"/>
        <v/>
      </c>
      <c r="E66" s="17"/>
      <c r="F66" s="18"/>
      <c r="G66" s="18"/>
      <c r="H66" s="18"/>
      <c r="I66" s="18"/>
      <c r="J66" s="20"/>
      <c r="K66" s="22"/>
      <c r="L66" s="22"/>
      <c r="M66" s="23"/>
      <c r="N66" s="24"/>
      <c r="O66" s="26"/>
      <c r="P66" s="26"/>
      <c r="Q66" s="26"/>
      <c r="R66" s="26"/>
      <c r="S66" s="26"/>
      <c r="T66" s="26"/>
      <c r="U66" s="26"/>
      <c r="V66" s="26"/>
      <c r="W66" s="26"/>
      <c r="X66" s="26"/>
      <c r="Y66" s="26"/>
    </row>
    <row r="67">
      <c r="A67" s="29"/>
      <c r="B67" s="29"/>
      <c r="C67" s="29"/>
      <c r="D67" s="30" t="str">
        <f t="shared" si="1"/>
        <v/>
      </c>
      <c r="E67" s="17"/>
      <c r="F67" s="18"/>
      <c r="G67" s="18"/>
      <c r="H67" s="18"/>
      <c r="I67" s="18"/>
      <c r="J67" s="20"/>
      <c r="K67" s="22"/>
      <c r="L67" s="22"/>
      <c r="M67" s="23"/>
      <c r="N67" s="24"/>
      <c r="O67" s="26"/>
      <c r="P67" s="26"/>
      <c r="Q67" s="26"/>
      <c r="R67" s="26"/>
      <c r="S67" s="26"/>
      <c r="T67" s="26"/>
      <c r="U67" s="26"/>
      <c r="V67" s="26"/>
      <c r="W67" s="26"/>
      <c r="X67" s="26"/>
      <c r="Y67" s="26"/>
    </row>
    <row r="68">
      <c r="A68" s="32"/>
      <c r="B68" s="32"/>
      <c r="C68" s="32"/>
      <c r="D68" s="30" t="str">
        <f t="shared" si="1"/>
        <v/>
      </c>
      <c r="E68" s="17"/>
      <c r="F68" s="18"/>
      <c r="G68" s="18"/>
      <c r="H68" s="18"/>
      <c r="I68" s="18"/>
      <c r="J68" s="20"/>
      <c r="K68" s="22"/>
      <c r="L68" s="22"/>
      <c r="M68" s="23"/>
      <c r="N68" s="24"/>
      <c r="O68" s="26"/>
      <c r="P68" s="26"/>
      <c r="Q68" s="26"/>
      <c r="R68" s="26"/>
      <c r="S68" s="26"/>
      <c r="T68" s="26"/>
      <c r="U68" s="26"/>
      <c r="V68" s="26"/>
      <c r="W68" s="26"/>
      <c r="X68" s="26"/>
      <c r="Y68" s="26"/>
    </row>
    <row r="69">
      <c r="A69" s="32"/>
      <c r="B69" s="32"/>
      <c r="C69" s="32"/>
      <c r="D69" s="30" t="str">
        <f t="shared" si="1"/>
        <v/>
      </c>
      <c r="E69" s="17"/>
      <c r="F69" s="18"/>
      <c r="G69" s="18"/>
      <c r="H69" s="18"/>
      <c r="I69" s="18"/>
      <c r="J69" s="20"/>
      <c r="K69" s="22"/>
      <c r="L69" s="22"/>
      <c r="M69" s="23"/>
      <c r="N69" s="24"/>
      <c r="O69" s="26"/>
      <c r="P69" s="26"/>
      <c r="Q69" s="26"/>
      <c r="R69" s="26"/>
      <c r="S69" s="26"/>
      <c r="T69" s="26"/>
      <c r="U69" s="26"/>
      <c r="V69" s="26"/>
      <c r="W69" s="26"/>
      <c r="X69" s="26"/>
      <c r="Y69" s="26"/>
    </row>
    <row r="70">
      <c r="A70" s="32"/>
      <c r="B70" s="32"/>
      <c r="C70" s="32"/>
      <c r="D70" s="30" t="str">
        <f t="shared" si="1"/>
        <v/>
      </c>
      <c r="E70" s="17"/>
      <c r="F70" s="18"/>
      <c r="G70" s="18"/>
      <c r="H70" s="18"/>
      <c r="I70" s="18"/>
      <c r="J70" s="20"/>
      <c r="K70" s="22"/>
      <c r="L70" s="22"/>
      <c r="M70" s="23"/>
      <c r="N70" s="24"/>
      <c r="O70" s="26"/>
      <c r="P70" s="26"/>
      <c r="Q70" s="26"/>
      <c r="R70" s="26"/>
      <c r="S70" s="26"/>
      <c r="T70" s="26"/>
      <c r="U70" s="26"/>
      <c r="V70" s="26"/>
      <c r="W70" s="26"/>
      <c r="X70" s="26"/>
      <c r="Y70" s="26"/>
    </row>
    <row r="71">
      <c r="A71" s="32"/>
      <c r="B71" s="32"/>
      <c r="C71" s="32"/>
      <c r="D71" s="30" t="str">
        <f t="shared" si="1"/>
        <v/>
      </c>
      <c r="E71" s="17"/>
      <c r="F71" s="18"/>
      <c r="G71" s="18"/>
      <c r="H71" s="18"/>
      <c r="I71" s="18"/>
      <c r="J71" s="20"/>
      <c r="K71" s="22"/>
      <c r="L71" s="22"/>
      <c r="M71" s="23"/>
      <c r="N71" s="24"/>
      <c r="O71" s="26"/>
      <c r="P71" s="26"/>
      <c r="Q71" s="26"/>
      <c r="R71" s="26"/>
      <c r="S71" s="26"/>
      <c r="T71" s="26"/>
      <c r="U71" s="26"/>
      <c r="V71" s="26"/>
      <c r="W71" s="26"/>
      <c r="X71" s="26"/>
      <c r="Y71" s="26"/>
    </row>
    <row r="72">
      <c r="A72" s="32"/>
      <c r="B72" s="32"/>
      <c r="C72" s="32"/>
      <c r="D72" s="30" t="str">
        <f t="shared" si="1"/>
        <v/>
      </c>
      <c r="E72" s="17"/>
      <c r="F72" s="18"/>
      <c r="G72" s="18"/>
      <c r="H72" s="18"/>
      <c r="I72" s="18"/>
      <c r="J72" s="20"/>
      <c r="K72" s="22"/>
      <c r="L72" s="22"/>
      <c r="M72" s="23"/>
      <c r="N72" s="24"/>
      <c r="O72" s="26"/>
      <c r="P72" s="26"/>
      <c r="Q72" s="26"/>
      <c r="R72" s="26"/>
      <c r="S72" s="26"/>
      <c r="T72" s="26"/>
      <c r="U72" s="26"/>
      <c r="V72" s="26"/>
      <c r="W72" s="26"/>
      <c r="X72" s="26"/>
      <c r="Y72" s="26"/>
    </row>
    <row r="73">
      <c r="A73" s="32"/>
      <c r="B73" s="32"/>
      <c r="C73" s="32"/>
      <c r="D73" s="30" t="str">
        <f t="shared" si="1"/>
        <v/>
      </c>
      <c r="E73" s="17"/>
      <c r="F73" s="18"/>
      <c r="G73" s="18"/>
      <c r="H73" s="18"/>
      <c r="I73" s="18"/>
      <c r="J73" s="20"/>
      <c r="K73" s="22"/>
      <c r="L73" s="22"/>
      <c r="M73" s="23"/>
      <c r="N73" s="24"/>
      <c r="O73" s="26"/>
      <c r="P73" s="26"/>
      <c r="Q73" s="26"/>
      <c r="R73" s="26"/>
      <c r="S73" s="26"/>
      <c r="T73" s="26"/>
      <c r="U73" s="26"/>
      <c r="V73" s="26"/>
      <c r="W73" s="26"/>
      <c r="X73" s="26"/>
      <c r="Y73" s="26"/>
    </row>
    <row r="74">
      <c r="A74" s="32"/>
      <c r="B74" s="32"/>
      <c r="C74" s="32"/>
      <c r="D74" s="30" t="str">
        <f t="shared" si="1"/>
        <v/>
      </c>
      <c r="E74" s="17"/>
      <c r="F74" s="18"/>
      <c r="G74" s="18"/>
      <c r="H74" s="18"/>
      <c r="I74" s="18"/>
      <c r="J74" s="20"/>
      <c r="K74" s="22"/>
      <c r="L74" s="22"/>
      <c r="M74" s="23"/>
      <c r="N74" s="24"/>
      <c r="O74" s="26"/>
      <c r="P74" s="26"/>
      <c r="Q74" s="26"/>
      <c r="R74" s="26"/>
      <c r="S74" s="26"/>
      <c r="T74" s="26"/>
      <c r="U74" s="26"/>
      <c r="V74" s="26"/>
      <c r="W74" s="26"/>
      <c r="X74" s="26"/>
      <c r="Y74" s="26"/>
    </row>
    <row r="75">
      <c r="A75" s="32"/>
      <c r="B75" s="32"/>
      <c r="C75" s="32"/>
      <c r="D75" s="30" t="str">
        <f t="shared" si="1"/>
        <v/>
      </c>
      <c r="E75" s="17"/>
      <c r="F75" s="18"/>
      <c r="G75" s="18"/>
      <c r="H75" s="18"/>
      <c r="I75" s="18"/>
      <c r="J75" s="20"/>
      <c r="K75" s="22"/>
      <c r="L75" s="22"/>
      <c r="M75" s="23"/>
      <c r="N75" s="24"/>
      <c r="O75" s="26"/>
      <c r="P75" s="26"/>
      <c r="Q75" s="26"/>
      <c r="R75" s="26"/>
      <c r="S75" s="26"/>
      <c r="T75" s="26"/>
      <c r="U75" s="26"/>
      <c r="V75" s="26"/>
      <c r="W75" s="26"/>
      <c r="X75" s="26"/>
      <c r="Y75" s="26"/>
    </row>
    <row r="76">
      <c r="A76" s="32"/>
      <c r="B76" s="32"/>
      <c r="C76" s="32"/>
      <c r="D76" s="30" t="str">
        <f t="shared" si="1"/>
        <v/>
      </c>
      <c r="E76" s="17"/>
      <c r="F76" s="18"/>
      <c r="G76" s="18"/>
      <c r="H76" s="18"/>
      <c r="I76" s="18"/>
      <c r="J76" s="20"/>
      <c r="K76" s="22"/>
      <c r="L76" s="22"/>
      <c r="M76" s="23"/>
      <c r="N76" s="24"/>
      <c r="O76" s="26"/>
      <c r="P76" s="26"/>
      <c r="Q76" s="26"/>
      <c r="R76" s="26"/>
      <c r="S76" s="26"/>
      <c r="T76" s="26"/>
      <c r="U76" s="26"/>
      <c r="V76" s="26"/>
      <c r="W76" s="26"/>
      <c r="X76" s="26"/>
      <c r="Y76" s="26"/>
    </row>
    <row r="77">
      <c r="A77" s="32"/>
      <c r="B77" s="32"/>
      <c r="C77" s="32"/>
      <c r="D77" s="30" t="str">
        <f t="shared" si="1"/>
        <v/>
      </c>
      <c r="E77" s="17"/>
      <c r="F77" s="18"/>
      <c r="G77" s="18"/>
      <c r="H77" s="18"/>
      <c r="I77" s="18"/>
      <c r="J77" s="20"/>
      <c r="K77" s="22"/>
      <c r="L77" s="22"/>
      <c r="M77" s="23"/>
      <c r="N77" s="24"/>
      <c r="O77" s="26"/>
      <c r="P77" s="26"/>
      <c r="Q77" s="26"/>
      <c r="R77" s="26"/>
      <c r="S77" s="26"/>
      <c r="T77" s="26"/>
      <c r="U77" s="26"/>
      <c r="V77" s="26"/>
      <c r="W77" s="26"/>
      <c r="X77" s="26"/>
      <c r="Y77" s="26"/>
    </row>
    <row r="78">
      <c r="A78" s="32"/>
      <c r="B78" s="32"/>
      <c r="C78" s="32"/>
      <c r="D78" s="30" t="str">
        <f t="shared" si="1"/>
        <v/>
      </c>
      <c r="E78" s="17"/>
      <c r="F78" s="18"/>
      <c r="G78" s="18"/>
      <c r="H78" s="18"/>
      <c r="I78" s="18"/>
      <c r="J78" s="20"/>
      <c r="K78" s="22"/>
      <c r="L78" s="22"/>
      <c r="M78" s="23"/>
      <c r="N78" s="24"/>
      <c r="O78" s="26"/>
      <c r="P78" s="26"/>
      <c r="Q78" s="26"/>
      <c r="R78" s="26"/>
      <c r="S78" s="26"/>
      <c r="T78" s="26"/>
      <c r="U78" s="26"/>
      <c r="V78" s="26"/>
      <c r="W78" s="26"/>
      <c r="X78" s="26"/>
      <c r="Y78" s="26"/>
    </row>
    <row r="79">
      <c r="A79" s="32"/>
      <c r="B79" s="32"/>
      <c r="C79" s="32"/>
      <c r="D79" s="30" t="str">
        <f t="shared" si="1"/>
        <v/>
      </c>
      <c r="E79" s="17"/>
      <c r="F79" s="18"/>
      <c r="G79" s="18"/>
      <c r="H79" s="18"/>
      <c r="I79" s="18"/>
      <c r="J79" s="20"/>
      <c r="K79" s="22"/>
      <c r="L79" s="22"/>
      <c r="M79" s="23"/>
      <c r="N79" s="24"/>
      <c r="O79" s="26"/>
      <c r="P79" s="26"/>
      <c r="Q79" s="26"/>
      <c r="R79" s="26"/>
      <c r="S79" s="26"/>
      <c r="T79" s="26"/>
      <c r="U79" s="26"/>
      <c r="V79" s="26"/>
      <c r="W79" s="26"/>
      <c r="X79" s="26"/>
      <c r="Y79" s="26"/>
    </row>
    <row r="80">
      <c r="A80" s="32"/>
      <c r="B80" s="32"/>
      <c r="C80" s="32"/>
      <c r="D80" s="30" t="str">
        <f t="shared" si="1"/>
        <v/>
      </c>
      <c r="E80" s="17"/>
      <c r="F80" s="18"/>
      <c r="G80" s="18"/>
      <c r="H80" s="18"/>
      <c r="I80" s="18"/>
      <c r="J80" s="20"/>
      <c r="K80" s="22"/>
      <c r="L80" s="22"/>
      <c r="M80" s="23"/>
      <c r="N80" s="24"/>
      <c r="O80" s="26"/>
      <c r="P80" s="26"/>
      <c r="Q80" s="26"/>
      <c r="R80" s="26"/>
      <c r="S80" s="26"/>
      <c r="T80" s="26"/>
      <c r="U80" s="26"/>
      <c r="V80" s="26"/>
      <c r="W80" s="26"/>
      <c r="X80" s="26"/>
      <c r="Y80" s="26"/>
    </row>
    <row r="81">
      <c r="A81" s="32"/>
      <c r="B81" s="32"/>
      <c r="C81" s="32"/>
      <c r="D81" s="30" t="str">
        <f t="shared" si="1"/>
        <v/>
      </c>
      <c r="E81" s="17"/>
      <c r="F81" s="18"/>
      <c r="G81" s="18"/>
      <c r="H81" s="18"/>
      <c r="I81" s="18"/>
      <c r="J81" s="20"/>
      <c r="K81" s="22"/>
      <c r="L81" s="22"/>
      <c r="M81" s="23"/>
      <c r="N81" s="24"/>
      <c r="O81" s="26"/>
      <c r="P81" s="26"/>
      <c r="Q81" s="26"/>
      <c r="R81" s="26"/>
      <c r="S81" s="26"/>
      <c r="T81" s="26"/>
      <c r="U81" s="26"/>
      <c r="V81" s="26"/>
      <c r="W81" s="26"/>
      <c r="X81" s="26"/>
      <c r="Y81" s="26"/>
    </row>
    <row r="82">
      <c r="A82" s="32"/>
      <c r="B82" s="32"/>
      <c r="C82" s="32"/>
      <c r="D82" s="30" t="str">
        <f t="shared" si="1"/>
        <v/>
      </c>
      <c r="E82" s="17"/>
      <c r="F82" s="18"/>
      <c r="G82" s="18"/>
      <c r="H82" s="18"/>
      <c r="I82" s="18"/>
      <c r="J82" s="20"/>
      <c r="K82" s="22"/>
      <c r="L82" s="22"/>
      <c r="M82" s="23"/>
      <c r="N82" s="24"/>
      <c r="O82" s="26"/>
      <c r="P82" s="26"/>
      <c r="Q82" s="26"/>
      <c r="R82" s="26"/>
      <c r="S82" s="26"/>
      <c r="T82" s="26"/>
      <c r="U82" s="26"/>
      <c r="V82" s="26"/>
      <c r="W82" s="26"/>
      <c r="X82" s="26"/>
      <c r="Y82" s="26"/>
    </row>
    <row r="83">
      <c r="A83" s="32"/>
      <c r="B83" s="32"/>
      <c r="C83" s="32"/>
      <c r="D83" s="30" t="str">
        <f t="shared" si="1"/>
        <v/>
      </c>
      <c r="E83" s="17"/>
      <c r="F83" s="18"/>
      <c r="G83" s="18"/>
      <c r="H83" s="18"/>
      <c r="I83" s="18"/>
      <c r="J83" s="20"/>
      <c r="K83" s="22"/>
      <c r="L83" s="22"/>
      <c r="M83" s="23"/>
      <c r="N83" s="24"/>
      <c r="O83" s="26"/>
      <c r="P83" s="26"/>
      <c r="Q83" s="26"/>
      <c r="R83" s="26"/>
      <c r="S83" s="26"/>
      <c r="T83" s="26"/>
      <c r="U83" s="26"/>
      <c r="V83" s="26"/>
      <c r="W83" s="26"/>
      <c r="X83" s="26"/>
      <c r="Y83" s="26"/>
    </row>
    <row r="84">
      <c r="A84" s="32"/>
      <c r="B84" s="32"/>
      <c r="C84" s="32"/>
      <c r="D84" s="30" t="str">
        <f t="shared" si="1"/>
        <v/>
      </c>
      <c r="E84" s="17"/>
      <c r="F84" s="18"/>
      <c r="G84" s="18"/>
      <c r="H84" s="18"/>
      <c r="I84" s="18"/>
      <c r="J84" s="20"/>
      <c r="K84" s="22"/>
      <c r="L84" s="22"/>
      <c r="M84" s="23"/>
      <c r="N84" s="24"/>
      <c r="O84" s="26"/>
      <c r="P84" s="26"/>
      <c r="Q84" s="26"/>
      <c r="R84" s="26"/>
      <c r="S84" s="26"/>
      <c r="T84" s="26"/>
      <c r="U84" s="26"/>
      <c r="V84" s="26"/>
      <c r="W84" s="26"/>
      <c r="X84" s="26"/>
      <c r="Y84" s="26"/>
    </row>
    <row r="85">
      <c r="A85" s="32"/>
      <c r="B85" s="32"/>
      <c r="C85" s="32"/>
      <c r="D85" s="30" t="str">
        <f t="shared" si="1"/>
        <v/>
      </c>
      <c r="E85" s="17"/>
      <c r="F85" s="18"/>
      <c r="G85" s="18"/>
      <c r="H85" s="18"/>
      <c r="I85" s="18"/>
      <c r="J85" s="20"/>
      <c r="K85" s="22"/>
      <c r="L85" s="22"/>
      <c r="M85" s="23"/>
      <c r="N85" s="24"/>
      <c r="O85" s="26"/>
      <c r="P85" s="26"/>
      <c r="Q85" s="26"/>
      <c r="R85" s="26"/>
      <c r="S85" s="26"/>
      <c r="T85" s="26"/>
      <c r="U85" s="26"/>
      <c r="V85" s="26"/>
      <c r="W85" s="26"/>
      <c r="X85" s="26"/>
      <c r="Y85" s="26"/>
    </row>
    <row r="86">
      <c r="A86" s="32"/>
      <c r="B86" s="32"/>
      <c r="C86" s="32"/>
      <c r="D86" s="30" t="str">
        <f t="shared" si="1"/>
        <v/>
      </c>
      <c r="E86" s="17"/>
      <c r="F86" s="18"/>
      <c r="G86" s="18"/>
      <c r="H86" s="18"/>
      <c r="I86" s="18"/>
      <c r="J86" s="20"/>
      <c r="K86" s="22"/>
      <c r="L86" s="22"/>
      <c r="M86" s="23"/>
      <c r="N86" s="24"/>
      <c r="O86" s="26"/>
      <c r="P86" s="26"/>
      <c r="Q86" s="26"/>
      <c r="R86" s="26"/>
      <c r="S86" s="26"/>
      <c r="T86" s="26"/>
      <c r="U86" s="26"/>
      <c r="V86" s="26"/>
      <c r="W86" s="26"/>
      <c r="X86" s="26"/>
      <c r="Y86" s="26"/>
    </row>
    <row r="87">
      <c r="A87" s="32"/>
      <c r="B87" s="32"/>
      <c r="C87" s="32"/>
      <c r="D87" s="30" t="str">
        <f t="shared" si="1"/>
        <v/>
      </c>
      <c r="E87" s="17"/>
      <c r="F87" s="18"/>
      <c r="G87" s="18"/>
      <c r="H87" s="18"/>
      <c r="I87" s="18"/>
      <c r="J87" s="20"/>
      <c r="K87" s="22"/>
      <c r="L87" s="22"/>
      <c r="M87" s="23"/>
      <c r="N87" s="24"/>
      <c r="O87" s="26"/>
      <c r="P87" s="26"/>
      <c r="Q87" s="26"/>
      <c r="R87" s="26"/>
      <c r="S87" s="26"/>
      <c r="T87" s="26"/>
      <c r="U87" s="26"/>
      <c r="V87" s="26"/>
      <c r="W87" s="26"/>
      <c r="X87" s="26"/>
      <c r="Y87" s="26"/>
    </row>
    <row r="88">
      <c r="A88" s="32"/>
      <c r="B88" s="32"/>
      <c r="C88" s="32"/>
      <c r="D88" s="30" t="str">
        <f t="shared" si="1"/>
        <v/>
      </c>
      <c r="E88" s="17"/>
      <c r="F88" s="18"/>
      <c r="G88" s="18"/>
      <c r="H88" s="18"/>
      <c r="I88" s="18"/>
      <c r="J88" s="20"/>
      <c r="K88" s="22"/>
      <c r="L88" s="22"/>
      <c r="M88" s="23"/>
      <c r="N88" s="24"/>
      <c r="O88" s="26"/>
      <c r="P88" s="26"/>
      <c r="Q88" s="26"/>
      <c r="R88" s="26"/>
      <c r="S88" s="26"/>
      <c r="T88" s="26"/>
      <c r="U88" s="26"/>
      <c r="V88" s="26"/>
      <c r="W88" s="26"/>
      <c r="X88" s="26"/>
      <c r="Y88" s="26"/>
    </row>
    <row r="89">
      <c r="A89" s="32"/>
      <c r="B89" s="32"/>
      <c r="C89" s="32"/>
      <c r="D89" s="30" t="str">
        <f t="shared" si="1"/>
        <v/>
      </c>
      <c r="E89" s="17"/>
      <c r="F89" s="18"/>
      <c r="G89" s="18"/>
      <c r="H89" s="18"/>
      <c r="I89" s="18"/>
      <c r="J89" s="20"/>
      <c r="K89" s="22"/>
      <c r="L89" s="22"/>
      <c r="M89" s="23"/>
      <c r="N89" s="24"/>
      <c r="O89" s="26"/>
      <c r="P89" s="26"/>
      <c r="Q89" s="26"/>
      <c r="R89" s="26"/>
      <c r="S89" s="26"/>
      <c r="T89" s="26"/>
      <c r="U89" s="26"/>
      <c r="V89" s="26"/>
      <c r="W89" s="26"/>
      <c r="X89" s="26"/>
      <c r="Y89" s="26"/>
    </row>
    <row r="90">
      <c r="A90" s="32"/>
      <c r="B90" s="32"/>
      <c r="C90" s="32"/>
      <c r="D90" s="30" t="str">
        <f t="shared" si="1"/>
        <v/>
      </c>
      <c r="E90" s="17"/>
      <c r="F90" s="18"/>
      <c r="G90" s="18"/>
      <c r="H90" s="18"/>
      <c r="I90" s="18"/>
      <c r="J90" s="20"/>
      <c r="K90" s="22"/>
      <c r="L90" s="22"/>
      <c r="M90" s="23"/>
      <c r="N90" s="24"/>
      <c r="O90" s="26"/>
      <c r="P90" s="26"/>
      <c r="Q90" s="26"/>
      <c r="R90" s="26"/>
      <c r="S90" s="26"/>
      <c r="T90" s="26"/>
      <c r="U90" s="26"/>
      <c r="V90" s="26"/>
      <c r="W90" s="26"/>
      <c r="X90" s="26"/>
      <c r="Y90" s="26"/>
    </row>
    <row r="91">
      <c r="A91" s="32"/>
      <c r="B91" s="32"/>
      <c r="C91" s="32"/>
      <c r="D91" s="30" t="str">
        <f t="shared" si="1"/>
        <v/>
      </c>
      <c r="E91" s="17"/>
      <c r="F91" s="18"/>
      <c r="G91" s="18"/>
      <c r="H91" s="18"/>
      <c r="I91" s="18"/>
      <c r="J91" s="20"/>
      <c r="K91" s="22"/>
      <c r="L91" s="22"/>
      <c r="M91" s="23"/>
      <c r="N91" s="24"/>
      <c r="O91" s="26"/>
      <c r="P91" s="26"/>
      <c r="Q91" s="26"/>
      <c r="R91" s="26"/>
      <c r="S91" s="26"/>
      <c r="T91" s="26"/>
      <c r="U91" s="26"/>
      <c r="V91" s="26"/>
      <c r="W91" s="26"/>
      <c r="X91" s="26"/>
      <c r="Y91" s="26"/>
    </row>
    <row r="92">
      <c r="A92" s="32"/>
      <c r="B92" s="32"/>
      <c r="C92" s="32"/>
      <c r="D92" s="30" t="str">
        <f t="shared" si="1"/>
        <v/>
      </c>
      <c r="E92" s="17"/>
      <c r="F92" s="18"/>
      <c r="G92" s="18"/>
      <c r="H92" s="18"/>
      <c r="I92" s="18"/>
      <c r="J92" s="20"/>
      <c r="K92" s="22"/>
      <c r="L92" s="22"/>
      <c r="M92" s="23"/>
      <c r="N92" s="24"/>
      <c r="O92" s="26"/>
      <c r="P92" s="26"/>
      <c r="Q92" s="26"/>
      <c r="R92" s="26"/>
      <c r="S92" s="26"/>
      <c r="T92" s="26"/>
      <c r="U92" s="26"/>
      <c r="V92" s="26"/>
      <c r="W92" s="26"/>
      <c r="X92" s="26"/>
      <c r="Y92" s="26"/>
    </row>
    <row r="93">
      <c r="A93" s="32"/>
      <c r="B93" s="32"/>
      <c r="C93" s="32"/>
      <c r="D93" s="30" t="str">
        <f t="shared" si="1"/>
        <v/>
      </c>
      <c r="E93" s="17"/>
      <c r="F93" s="18"/>
      <c r="G93" s="18"/>
      <c r="H93" s="18"/>
      <c r="I93" s="18"/>
      <c r="J93" s="20"/>
      <c r="K93" s="22"/>
      <c r="L93" s="22"/>
      <c r="M93" s="23"/>
      <c r="N93" s="24"/>
      <c r="O93" s="26"/>
      <c r="P93" s="26"/>
      <c r="Q93" s="26"/>
      <c r="R93" s="26"/>
      <c r="S93" s="26"/>
      <c r="T93" s="26"/>
      <c r="U93" s="26"/>
      <c r="V93" s="26"/>
      <c r="W93" s="26"/>
      <c r="X93" s="26"/>
      <c r="Y93" s="26"/>
    </row>
    <row r="94">
      <c r="A94" s="32"/>
      <c r="B94" s="32"/>
      <c r="C94" s="32"/>
      <c r="D94" s="30" t="str">
        <f t="shared" si="1"/>
        <v/>
      </c>
      <c r="E94" s="17"/>
      <c r="F94" s="18"/>
      <c r="G94" s="18"/>
      <c r="H94" s="18"/>
      <c r="I94" s="18"/>
      <c r="J94" s="20"/>
      <c r="K94" s="22"/>
      <c r="L94" s="22"/>
      <c r="M94" s="23"/>
      <c r="N94" s="24"/>
      <c r="O94" s="26"/>
      <c r="P94" s="26"/>
      <c r="Q94" s="26"/>
      <c r="R94" s="26"/>
      <c r="S94" s="26"/>
      <c r="T94" s="26"/>
      <c r="U94" s="26"/>
      <c r="V94" s="26"/>
      <c r="W94" s="26"/>
      <c r="X94" s="26"/>
      <c r="Y94" s="26"/>
    </row>
    <row r="95">
      <c r="A95" s="32"/>
      <c r="B95" s="32"/>
      <c r="C95" s="32"/>
      <c r="D95" s="30" t="str">
        <f t="shared" si="1"/>
        <v/>
      </c>
      <c r="E95" s="17"/>
      <c r="F95" s="18"/>
      <c r="G95" s="18"/>
      <c r="H95" s="18"/>
      <c r="I95" s="18"/>
      <c r="J95" s="20"/>
      <c r="K95" s="22"/>
      <c r="L95" s="22"/>
      <c r="M95" s="23"/>
      <c r="N95" s="24"/>
      <c r="O95" s="26"/>
      <c r="P95" s="26"/>
      <c r="Q95" s="26"/>
      <c r="R95" s="26"/>
      <c r="S95" s="26"/>
      <c r="T95" s="26"/>
      <c r="U95" s="26"/>
      <c r="V95" s="26"/>
      <c r="W95" s="26"/>
      <c r="X95" s="26"/>
      <c r="Y95" s="26"/>
    </row>
    <row r="96">
      <c r="A96" s="32"/>
      <c r="B96" s="32"/>
      <c r="C96" s="32"/>
      <c r="D96" s="30" t="str">
        <f t="shared" si="1"/>
        <v/>
      </c>
      <c r="E96" s="17"/>
      <c r="F96" s="18"/>
      <c r="G96" s="18"/>
      <c r="H96" s="18"/>
      <c r="I96" s="18"/>
      <c r="J96" s="20"/>
      <c r="K96" s="22"/>
      <c r="L96" s="22"/>
      <c r="M96" s="23"/>
      <c r="N96" s="24"/>
      <c r="O96" s="26"/>
      <c r="P96" s="26"/>
      <c r="Q96" s="26"/>
      <c r="R96" s="26"/>
      <c r="S96" s="26"/>
      <c r="T96" s="26"/>
      <c r="U96" s="26"/>
      <c r="V96" s="26"/>
      <c r="W96" s="26"/>
      <c r="X96" s="26"/>
      <c r="Y96" s="26"/>
    </row>
    <row r="97">
      <c r="A97" s="32"/>
      <c r="B97" s="32"/>
      <c r="C97" s="32"/>
      <c r="D97" s="30" t="str">
        <f t="shared" si="1"/>
        <v/>
      </c>
      <c r="E97" s="17"/>
      <c r="F97" s="18"/>
      <c r="G97" s="18"/>
      <c r="H97" s="18"/>
      <c r="I97" s="18"/>
      <c r="J97" s="20"/>
      <c r="K97" s="22"/>
      <c r="L97" s="22"/>
      <c r="M97" s="23"/>
      <c r="N97" s="24"/>
      <c r="O97" s="26"/>
      <c r="P97" s="26"/>
      <c r="Q97" s="26"/>
      <c r="R97" s="26"/>
      <c r="S97" s="26"/>
      <c r="T97" s="26"/>
      <c r="U97" s="26"/>
      <c r="V97" s="26"/>
      <c r="W97" s="26"/>
      <c r="X97" s="26"/>
      <c r="Y97" s="26"/>
    </row>
    <row r="98">
      <c r="A98" s="32"/>
      <c r="B98" s="32"/>
      <c r="C98" s="32"/>
      <c r="D98" s="30" t="str">
        <f t="shared" si="1"/>
        <v/>
      </c>
      <c r="E98" s="17"/>
      <c r="F98" s="18"/>
      <c r="G98" s="18"/>
      <c r="H98" s="18"/>
      <c r="I98" s="18"/>
      <c r="J98" s="20"/>
      <c r="K98" s="22"/>
      <c r="L98" s="22"/>
      <c r="M98" s="23"/>
      <c r="N98" s="24"/>
      <c r="O98" s="26"/>
      <c r="P98" s="26"/>
      <c r="Q98" s="26"/>
      <c r="R98" s="26"/>
      <c r="S98" s="26"/>
      <c r="T98" s="26"/>
      <c r="U98" s="26"/>
      <c r="V98" s="26"/>
      <c r="W98" s="26"/>
      <c r="X98" s="26"/>
      <c r="Y98" s="26"/>
    </row>
    <row r="99">
      <c r="A99" s="32"/>
      <c r="B99" s="32"/>
      <c r="C99" s="32"/>
      <c r="D99" s="30" t="str">
        <f t="shared" si="1"/>
        <v/>
      </c>
      <c r="E99" s="17"/>
      <c r="F99" s="18"/>
      <c r="G99" s="18"/>
      <c r="H99" s="18"/>
      <c r="I99" s="18"/>
      <c r="J99" s="20"/>
      <c r="K99" s="22"/>
      <c r="L99" s="22"/>
      <c r="M99" s="23"/>
      <c r="N99" s="24"/>
      <c r="O99" s="26"/>
      <c r="P99" s="26"/>
      <c r="Q99" s="26"/>
      <c r="R99" s="26"/>
      <c r="S99" s="26"/>
      <c r="T99" s="26"/>
      <c r="U99" s="26"/>
      <c r="V99" s="26"/>
      <c r="W99" s="26"/>
      <c r="X99" s="26"/>
      <c r="Y99" s="26"/>
    </row>
    <row r="100">
      <c r="A100" s="32"/>
      <c r="B100" s="32"/>
      <c r="C100" s="32"/>
      <c r="D100" s="30" t="str">
        <f t="shared" si="1"/>
        <v/>
      </c>
      <c r="E100" s="17"/>
      <c r="F100" s="18"/>
      <c r="G100" s="18"/>
      <c r="H100" s="18"/>
      <c r="I100" s="18"/>
      <c r="J100" s="20"/>
      <c r="K100" s="22"/>
      <c r="L100" s="22"/>
      <c r="M100" s="23"/>
      <c r="N100" s="24"/>
      <c r="O100" s="26"/>
      <c r="P100" s="26"/>
      <c r="Q100" s="26"/>
      <c r="R100" s="26"/>
      <c r="S100" s="26"/>
      <c r="T100" s="26"/>
      <c r="U100" s="26"/>
      <c r="V100" s="26"/>
      <c r="W100" s="26"/>
      <c r="X100" s="26"/>
      <c r="Y100" s="26"/>
    </row>
    <row r="101">
      <c r="A101" s="32"/>
      <c r="B101" s="32"/>
      <c r="C101" s="32"/>
      <c r="D101" s="30" t="str">
        <f t="shared" si="1"/>
        <v/>
      </c>
      <c r="E101" s="17"/>
      <c r="F101" s="18"/>
      <c r="G101" s="18"/>
      <c r="H101" s="18"/>
      <c r="I101" s="18"/>
      <c r="J101" s="20"/>
      <c r="K101" s="22"/>
      <c r="L101" s="22"/>
      <c r="M101" s="23"/>
      <c r="N101" s="24"/>
      <c r="O101" s="26"/>
      <c r="P101" s="26"/>
      <c r="Q101" s="26"/>
      <c r="R101" s="26"/>
      <c r="S101" s="26"/>
      <c r="T101" s="26"/>
      <c r="U101" s="26"/>
      <c r="V101" s="26"/>
      <c r="W101" s="26"/>
      <c r="X101" s="26"/>
      <c r="Y101" s="26"/>
    </row>
    <row r="102">
      <c r="A102" s="32"/>
      <c r="B102" s="32"/>
      <c r="C102" s="32"/>
      <c r="D102" s="30" t="str">
        <f t="shared" si="1"/>
        <v/>
      </c>
      <c r="E102" s="17"/>
      <c r="F102" s="18"/>
      <c r="G102" s="18"/>
      <c r="H102" s="18"/>
      <c r="I102" s="18"/>
      <c r="J102" s="20"/>
      <c r="K102" s="22"/>
      <c r="L102" s="22"/>
      <c r="M102" s="23"/>
      <c r="N102" s="24"/>
      <c r="O102" s="26"/>
      <c r="P102" s="26"/>
      <c r="Q102" s="26"/>
      <c r="R102" s="26"/>
      <c r="S102" s="26"/>
      <c r="T102" s="26"/>
      <c r="U102" s="26"/>
      <c r="V102" s="26"/>
      <c r="W102" s="26"/>
      <c r="X102" s="26"/>
      <c r="Y102" s="26"/>
    </row>
    <row r="103">
      <c r="A103" s="32"/>
      <c r="B103" s="32"/>
      <c r="C103" s="32"/>
      <c r="D103" s="30" t="str">
        <f t="shared" si="1"/>
        <v/>
      </c>
      <c r="E103" s="17"/>
      <c r="F103" s="18"/>
      <c r="G103" s="18"/>
      <c r="H103" s="18"/>
      <c r="I103" s="18"/>
      <c r="J103" s="20"/>
      <c r="K103" s="22"/>
      <c r="L103" s="22"/>
      <c r="M103" s="23"/>
      <c r="N103" s="24"/>
      <c r="O103" s="26"/>
      <c r="P103" s="26"/>
      <c r="Q103" s="26"/>
      <c r="R103" s="26"/>
      <c r="S103" s="26"/>
      <c r="T103" s="26"/>
      <c r="U103" s="26"/>
      <c r="V103" s="26"/>
      <c r="W103" s="26"/>
      <c r="X103" s="26"/>
      <c r="Y103" s="26"/>
    </row>
    <row r="104">
      <c r="A104" s="32"/>
      <c r="B104" s="32"/>
      <c r="C104" s="32"/>
      <c r="D104" s="30" t="str">
        <f t="shared" si="1"/>
        <v/>
      </c>
      <c r="E104" s="17"/>
      <c r="F104" s="18"/>
      <c r="G104" s="18"/>
      <c r="H104" s="18"/>
      <c r="I104" s="18"/>
      <c r="J104" s="20"/>
      <c r="K104" s="22"/>
      <c r="L104" s="22"/>
      <c r="M104" s="23"/>
      <c r="N104" s="24"/>
      <c r="O104" s="26"/>
      <c r="P104" s="26"/>
      <c r="Q104" s="26"/>
      <c r="R104" s="26"/>
      <c r="S104" s="26"/>
      <c r="T104" s="26"/>
      <c r="U104" s="26"/>
      <c r="V104" s="26"/>
      <c r="W104" s="26"/>
      <c r="X104" s="26"/>
      <c r="Y104" s="26"/>
    </row>
    <row r="105">
      <c r="A105" s="32"/>
      <c r="B105" s="32"/>
      <c r="C105" s="32"/>
      <c r="D105" s="30" t="str">
        <f t="shared" si="1"/>
        <v/>
      </c>
      <c r="E105" s="17"/>
      <c r="F105" s="18"/>
      <c r="G105" s="18"/>
      <c r="H105" s="18"/>
      <c r="I105" s="18"/>
      <c r="J105" s="20"/>
      <c r="K105" s="22"/>
      <c r="L105" s="22"/>
      <c r="M105" s="23"/>
      <c r="N105" s="24"/>
      <c r="O105" s="26"/>
      <c r="P105" s="26"/>
      <c r="Q105" s="26"/>
      <c r="R105" s="26"/>
      <c r="S105" s="26"/>
      <c r="T105" s="26"/>
      <c r="U105" s="26"/>
      <c r="V105" s="26"/>
      <c r="W105" s="26"/>
      <c r="X105" s="26"/>
      <c r="Y105" s="26"/>
    </row>
    <row r="106">
      <c r="A106" s="32"/>
      <c r="B106" s="32"/>
      <c r="C106" s="32"/>
      <c r="D106" s="30" t="str">
        <f t="shared" si="1"/>
        <v/>
      </c>
      <c r="E106" s="17"/>
      <c r="F106" s="18"/>
      <c r="G106" s="18"/>
      <c r="H106" s="18"/>
      <c r="I106" s="18"/>
      <c r="J106" s="20"/>
      <c r="K106" s="22"/>
      <c r="L106" s="22"/>
      <c r="M106" s="23"/>
      <c r="N106" s="24"/>
      <c r="O106" s="26"/>
      <c r="P106" s="26"/>
      <c r="Q106" s="26"/>
      <c r="R106" s="26"/>
      <c r="S106" s="26"/>
      <c r="T106" s="26"/>
      <c r="U106" s="26"/>
      <c r="V106" s="26"/>
      <c r="W106" s="26"/>
      <c r="X106" s="26"/>
      <c r="Y106" s="26"/>
    </row>
    <row r="107">
      <c r="A107" s="32"/>
      <c r="B107" s="32"/>
      <c r="C107" s="32"/>
      <c r="D107" s="30" t="str">
        <f t="shared" si="1"/>
        <v/>
      </c>
      <c r="E107" s="17"/>
      <c r="F107" s="18"/>
      <c r="G107" s="18"/>
      <c r="H107" s="18"/>
      <c r="I107" s="18"/>
      <c r="J107" s="20"/>
      <c r="K107" s="22"/>
      <c r="L107" s="22"/>
      <c r="M107" s="23"/>
      <c r="N107" s="24"/>
      <c r="O107" s="26"/>
      <c r="P107" s="26"/>
      <c r="Q107" s="26"/>
      <c r="R107" s="26"/>
      <c r="S107" s="26"/>
      <c r="T107" s="26"/>
      <c r="U107" s="26"/>
      <c r="V107" s="26"/>
      <c r="W107" s="26"/>
      <c r="X107" s="26"/>
      <c r="Y107" s="26"/>
    </row>
    <row r="108">
      <c r="A108" s="32"/>
      <c r="B108" s="32"/>
      <c r="C108" s="32"/>
      <c r="D108" s="30" t="str">
        <f t="shared" si="1"/>
        <v/>
      </c>
      <c r="E108" s="17"/>
      <c r="F108" s="18"/>
      <c r="G108" s="18"/>
      <c r="H108" s="18"/>
      <c r="I108" s="18"/>
      <c r="J108" s="20"/>
      <c r="K108" s="22"/>
      <c r="L108" s="22"/>
      <c r="M108" s="23"/>
      <c r="N108" s="24"/>
      <c r="O108" s="26"/>
      <c r="P108" s="26"/>
      <c r="Q108" s="26"/>
      <c r="R108" s="26"/>
      <c r="S108" s="26"/>
      <c r="T108" s="26"/>
      <c r="U108" s="26"/>
      <c r="V108" s="26"/>
      <c r="W108" s="26"/>
      <c r="X108" s="26"/>
      <c r="Y108" s="26"/>
    </row>
    <row r="109">
      <c r="A109" s="32"/>
      <c r="B109" s="32"/>
      <c r="C109" s="32"/>
      <c r="D109" s="30" t="str">
        <f t="shared" si="1"/>
        <v/>
      </c>
      <c r="E109" s="17"/>
      <c r="F109" s="18"/>
      <c r="G109" s="18"/>
      <c r="H109" s="18"/>
      <c r="I109" s="18"/>
      <c r="J109" s="20"/>
      <c r="K109" s="22"/>
      <c r="L109" s="22"/>
      <c r="M109" s="23"/>
      <c r="N109" s="24"/>
      <c r="O109" s="26"/>
      <c r="P109" s="26"/>
      <c r="Q109" s="26"/>
      <c r="R109" s="26"/>
      <c r="S109" s="26"/>
      <c r="T109" s="26"/>
      <c r="U109" s="26"/>
      <c r="V109" s="26"/>
      <c r="W109" s="26"/>
      <c r="X109" s="26"/>
      <c r="Y109" s="26"/>
    </row>
    <row r="110">
      <c r="A110" s="32"/>
      <c r="B110" s="32"/>
      <c r="C110" s="32"/>
      <c r="D110" s="30" t="str">
        <f t="shared" si="1"/>
        <v/>
      </c>
      <c r="E110" s="17"/>
      <c r="F110" s="18"/>
      <c r="G110" s="18"/>
      <c r="H110" s="18"/>
      <c r="I110" s="18"/>
      <c r="J110" s="20"/>
      <c r="K110" s="22"/>
      <c r="L110" s="22"/>
      <c r="M110" s="23"/>
      <c r="N110" s="24"/>
      <c r="O110" s="26"/>
      <c r="P110" s="26"/>
      <c r="Q110" s="26"/>
      <c r="R110" s="26"/>
      <c r="S110" s="26"/>
      <c r="T110" s="26"/>
      <c r="U110" s="26"/>
      <c r="V110" s="26"/>
      <c r="W110" s="26"/>
      <c r="X110" s="26"/>
      <c r="Y110" s="26"/>
    </row>
    <row r="111">
      <c r="A111" s="32"/>
      <c r="B111" s="32"/>
      <c r="C111" s="32"/>
      <c r="D111" s="30" t="str">
        <f t="shared" si="1"/>
        <v/>
      </c>
      <c r="E111" s="17"/>
      <c r="F111" s="18"/>
      <c r="G111" s="18"/>
      <c r="H111" s="18"/>
      <c r="I111" s="18"/>
      <c r="J111" s="20"/>
      <c r="K111" s="22"/>
      <c r="L111" s="22"/>
      <c r="M111" s="23"/>
      <c r="N111" s="24"/>
      <c r="O111" s="26"/>
      <c r="P111" s="26"/>
      <c r="Q111" s="26"/>
      <c r="R111" s="26"/>
      <c r="S111" s="26"/>
      <c r="T111" s="26"/>
      <c r="U111" s="26"/>
      <c r="V111" s="26"/>
      <c r="W111" s="26"/>
      <c r="X111" s="26"/>
      <c r="Y111" s="26"/>
    </row>
    <row r="112">
      <c r="A112" s="32"/>
      <c r="B112" s="32"/>
      <c r="C112" s="32"/>
      <c r="D112" s="30" t="str">
        <f t="shared" si="1"/>
        <v/>
      </c>
      <c r="E112" s="17"/>
      <c r="F112" s="18"/>
      <c r="G112" s="18"/>
      <c r="H112" s="18"/>
      <c r="I112" s="18"/>
      <c r="J112" s="20"/>
      <c r="K112" s="22"/>
      <c r="L112" s="22"/>
      <c r="M112" s="23"/>
      <c r="N112" s="24"/>
      <c r="O112" s="26"/>
      <c r="P112" s="26"/>
      <c r="Q112" s="26"/>
      <c r="R112" s="26"/>
      <c r="S112" s="26"/>
      <c r="T112" s="26"/>
      <c r="U112" s="26"/>
      <c r="V112" s="26"/>
      <c r="W112" s="26"/>
      <c r="X112" s="26"/>
      <c r="Y112" s="26"/>
    </row>
    <row r="113">
      <c r="A113" s="32"/>
      <c r="B113" s="32"/>
      <c r="C113" s="32"/>
      <c r="D113" s="30" t="str">
        <f t="shared" si="1"/>
        <v/>
      </c>
      <c r="E113" s="17"/>
      <c r="F113" s="18"/>
      <c r="G113" s="18"/>
      <c r="H113" s="18"/>
      <c r="I113" s="18"/>
      <c r="J113" s="20"/>
      <c r="K113" s="22"/>
      <c r="L113" s="22"/>
      <c r="M113" s="23"/>
      <c r="N113" s="24"/>
      <c r="O113" s="26"/>
      <c r="P113" s="26"/>
      <c r="Q113" s="26"/>
      <c r="R113" s="26"/>
      <c r="S113" s="26"/>
      <c r="T113" s="26"/>
      <c r="U113" s="26"/>
      <c r="V113" s="26"/>
      <c r="W113" s="26"/>
      <c r="X113" s="26"/>
      <c r="Y113" s="26"/>
    </row>
    <row r="114">
      <c r="A114" s="32"/>
      <c r="B114" s="32"/>
      <c r="C114" s="32"/>
      <c r="D114" s="30" t="str">
        <f t="shared" si="1"/>
        <v/>
      </c>
      <c r="E114" s="17"/>
      <c r="F114" s="18"/>
      <c r="G114" s="18"/>
      <c r="H114" s="18"/>
      <c r="I114" s="18"/>
      <c r="J114" s="20"/>
      <c r="K114" s="22"/>
      <c r="L114" s="22"/>
      <c r="M114" s="23"/>
      <c r="N114" s="24"/>
      <c r="O114" s="26"/>
      <c r="P114" s="26"/>
      <c r="Q114" s="26"/>
      <c r="R114" s="26"/>
      <c r="S114" s="26"/>
      <c r="T114" s="26"/>
      <c r="U114" s="26"/>
      <c r="V114" s="26"/>
      <c r="W114" s="26"/>
      <c r="X114" s="26"/>
      <c r="Y114" s="26"/>
    </row>
    <row r="115">
      <c r="A115" s="32"/>
      <c r="B115" s="32"/>
      <c r="C115" s="32"/>
      <c r="D115" s="30" t="str">
        <f t="shared" si="1"/>
        <v/>
      </c>
      <c r="E115" s="17"/>
      <c r="F115" s="18"/>
      <c r="G115" s="18"/>
      <c r="H115" s="18"/>
      <c r="I115" s="18"/>
      <c r="J115" s="20"/>
      <c r="K115" s="22"/>
      <c r="L115" s="22"/>
      <c r="M115" s="23"/>
      <c r="N115" s="24"/>
      <c r="O115" s="26"/>
      <c r="P115" s="26"/>
      <c r="Q115" s="26"/>
      <c r="R115" s="26"/>
      <c r="S115" s="26"/>
      <c r="T115" s="26"/>
      <c r="U115" s="26"/>
      <c r="V115" s="26"/>
      <c r="W115" s="26"/>
      <c r="X115" s="26"/>
      <c r="Y115" s="26"/>
    </row>
    <row r="116">
      <c r="A116" s="32"/>
      <c r="B116" s="32"/>
      <c r="C116" s="32"/>
      <c r="D116" s="30" t="str">
        <f t="shared" si="1"/>
        <v/>
      </c>
      <c r="E116" s="17"/>
      <c r="F116" s="18"/>
      <c r="G116" s="18"/>
      <c r="H116" s="18"/>
      <c r="I116" s="18"/>
      <c r="J116" s="20"/>
      <c r="K116" s="22"/>
      <c r="L116" s="22"/>
      <c r="M116" s="23"/>
      <c r="N116" s="24"/>
      <c r="O116" s="26"/>
      <c r="P116" s="26"/>
      <c r="Q116" s="26"/>
      <c r="R116" s="26"/>
      <c r="S116" s="26"/>
      <c r="T116" s="26"/>
      <c r="U116" s="26"/>
      <c r="V116" s="26"/>
      <c r="W116" s="26"/>
      <c r="X116" s="26"/>
      <c r="Y116" s="26"/>
    </row>
    <row r="117">
      <c r="A117" s="32"/>
      <c r="B117" s="32"/>
      <c r="C117" s="32"/>
      <c r="D117" s="30" t="str">
        <f t="shared" si="1"/>
        <v/>
      </c>
      <c r="E117" s="17"/>
      <c r="F117" s="18"/>
      <c r="G117" s="18"/>
      <c r="H117" s="18"/>
      <c r="I117" s="18"/>
      <c r="J117" s="20"/>
      <c r="K117" s="22"/>
      <c r="L117" s="22"/>
      <c r="M117" s="23"/>
      <c r="N117" s="24"/>
      <c r="O117" s="26"/>
      <c r="P117" s="26"/>
      <c r="Q117" s="26"/>
      <c r="R117" s="26"/>
      <c r="S117" s="26"/>
      <c r="T117" s="26"/>
      <c r="U117" s="26"/>
      <c r="V117" s="26"/>
      <c r="W117" s="26"/>
      <c r="X117" s="26"/>
      <c r="Y117" s="26"/>
    </row>
    <row r="118">
      <c r="A118" s="32"/>
      <c r="B118" s="32"/>
      <c r="C118" s="32"/>
      <c r="D118" s="30" t="str">
        <f t="shared" si="1"/>
        <v/>
      </c>
      <c r="E118" s="17"/>
      <c r="F118" s="18"/>
      <c r="G118" s="18"/>
      <c r="H118" s="18"/>
      <c r="I118" s="18"/>
      <c r="J118" s="20"/>
      <c r="K118" s="22"/>
      <c r="L118" s="22"/>
      <c r="M118" s="23"/>
      <c r="N118" s="24"/>
      <c r="O118" s="26"/>
      <c r="P118" s="26"/>
      <c r="Q118" s="26"/>
      <c r="R118" s="26"/>
      <c r="S118" s="26"/>
      <c r="T118" s="26"/>
      <c r="U118" s="26"/>
      <c r="V118" s="26"/>
      <c r="W118" s="26"/>
      <c r="X118" s="26"/>
      <c r="Y118" s="26"/>
    </row>
    <row r="119">
      <c r="A119" s="32"/>
      <c r="B119" s="32"/>
      <c r="C119" s="32"/>
      <c r="D119" s="30" t="str">
        <f t="shared" si="1"/>
        <v/>
      </c>
      <c r="E119" s="17"/>
      <c r="F119" s="18"/>
      <c r="G119" s="18"/>
      <c r="H119" s="18"/>
      <c r="I119" s="18"/>
      <c r="J119" s="20"/>
      <c r="K119" s="22"/>
      <c r="L119" s="22"/>
      <c r="M119" s="23"/>
      <c r="N119" s="24"/>
      <c r="O119" s="26"/>
      <c r="P119" s="26"/>
      <c r="Q119" s="26"/>
      <c r="R119" s="26"/>
      <c r="S119" s="26"/>
      <c r="T119" s="26"/>
      <c r="U119" s="26"/>
      <c r="V119" s="26"/>
      <c r="W119" s="26"/>
      <c r="X119" s="26"/>
      <c r="Y119" s="26"/>
    </row>
    <row r="120">
      <c r="A120" s="32"/>
      <c r="B120" s="32"/>
      <c r="C120" s="32"/>
      <c r="D120" s="30" t="str">
        <f t="shared" si="1"/>
        <v/>
      </c>
      <c r="E120" s="17"/>
      <c r="F120" s="18"/>
      <c r="G120" s="18"/>
      <c r="H120" s="18"/>
      <c r="I120" s="18"/>
      <c r="J120" s="20"/>
      <c r="K120" s="22"/>
      <c r="L120" s="22"/>
      <c r="M120" s="23"/>
      <c r="N120" s="24"/>
      <c r="O120" s="26"/>
      <c r="P120" s="26"/>
      <c r="Q120" s="26"/>
      <c r="R120" s="26"/>
      <c r="S120" s="26"/>
      <c r="T120" s="26"/>
      <c r="U120" s="26"/>
      <c r="V120" s="26"/>
      <c r="W120" s="26"/>
      <c r="X120" s="26"/>
      <c r="Y120" s="26"/>
    </row>
    <row r="121">
      <c r="A121" s="33" t="s">
        <v>26</v>
      </c>
      <c r="B121" s="34"/>
      <c r="C121" s="34"/>
      <c r="D121" s="34"/>
      <c r="E121" s="34"/>
      <c r="F121" s="35" t="str">
        <f>IFERROR(__xludf.DUMMYFUNCTION("CONCATENATE(TO_TEXT(SUM('Player Database'!$K:$K)),"" - 0"")"),"0 - 0")</f>
        <v>0 - 0</v>
      </c>
      <c r="G121" s="36">
        <f>COUNTIF(Entropy!$C:$C,A121)</f>
        <v>98</v>
      </c>
      <c r="H121" s="37"/>
      <c r="I121" s="37"/>
      <c r="J121" s="37"/>
      <c r="K121" s="37"/>
      <c r="L121" s="37"/>
      <c r="M121" s="37"/>
      <c r="N121" s="37"/>
      <c r="O121" s="105"/>
      <c r="P121" s="105"/>
      <c r="Q121" s="105"/>
      <c r="R121" s="105"/>
      <c r="S121" s="105"/>
      <c r="T121" s="105"/>
      <c r="U121" s="105"/>
      <c r="V121" s="105"/>
      <c r="W121" s="105"/>
      <c r="X121" s="105"/>
      <c r="Y121" s="105"/>
    </row>
    <row r="122">
      <c r="A122" s="38" t="s">
        <v>27</v>
      </c>
      <c r="B122" s="34"/>
      <c r="C122" s="34"/>
      <c r="D122" s="34"/>
      <c r="E122" s="34"/>
      <c r="F122" s="39" t="str">
        <f>IFERROR(__xludf.DUMMYFUNCTION("CONCATENATE(TO_TEXT(SUM('Player Database'!$I$2:$I945)),"" - "",TO_TEXT(SUM('Player Database'!$J$2:$J945)))"),"0 - 0")</f>
        <v>0 - 0</v>
      </c>
      <c r="G122" s="40">
        <f>SUM(G4:G121)</f>
        <v>98</v>
      </c>
      <c r="H122" s="41">
        <f t="shared" ref="H122:I122" si="2">SUMif(H4:H120,"&gt;0")</f>
        <v>0</v>
      </c>
      <c r="I122" s="42">
        <f t="shared" si="2"/>
        <v>0</v>
      </c>
      <c r="J122" s="37"/>
      <c r="K122" s="37"/>
      <c r="L122" s="37"/>
      <c r="M122" s="43"/>
      <c r="N122" s="37"/>
      <c r="O122" s="105"/>
      <c r="P122" s="105"/>
      <c r="Q122" s="105"/>
      <c r="R122" s="105"/>
      <c r="S122" s="105"/>
      <c r="T122" s="105"/>
      <c r="U122" s="105"/>
      <c r="V122" s="105"/>
      <c r="W122" s="105"/>
      <c r="X122" s="105"/>
      <c r="Y122" s="105"/>
    </row>
    <row r="123">
      <c r="A123" s="38" t="s">
        <v>28</v>
      </c>
      <c r="B123" s="34"/>
      <c r="C123" s="34"/>
      <c r="D123" s="34"/>
      <c r="E123" s="34"/>
      <c r="F123" s="44" t="str">
        <f>IFERROR(__xludf.DUMMYFUNCTION("CONCATENATE(TO_TEXT(SUM('Player Database'!$I$2:$I945)),"" - "",TO_TEXT(SUM('Player Database'!$J$2:$J945)-SUM('Player Database'!$L$2:$L945)))"),"0 - 0")</f>
        <v>0 - 0</v>
      </c>
      <c r="G123" s="45">
        <f>G122-COUNTIF(#REF!,"TRUE")</f>
        <v>98</v>
      </c>
      <c r="H123" s="37"/>
      <c r="I123" s="37"/>
      <c r="J123" s="37"/>
      <c r="K123" s="37"/>
      <c r="L123" s="37"/>
      <c r="M123" s="46"/>
      <c r="N123" s="37"/>
      <c r="O123" s="105"/>
      <c r="P123" s="105"/>
      <c r="Q123" s="105"/>
      <c r="R123" s="105"/>
      <c r="S123" s="105"/>
      <c r="T123" s="105"/>
      <c r="U123" s="105"/>
      <c r="V123" s="105"/>
      <c r="W123" s="105"/>
      <c r="X123" s="105"/>
      <c r="Y123" s="105"/>
    </row>
    <row r="124">
      <c r="A124" s="47"/>
      <c r="B124" s="48"/>
      <c r="C124" s="49"/>
      <c r="D124" s="48"/>
      <c r="E124" s="48"/>
      <c r="F124" s="48"/>
      <c r="G124" s="48"/>
      <c r="H124" s="48"/>
      <c r="I124" s="48"/>
      <c r="J124" s="48"/>
      <c r="K124" s="48"/>
      <c r="L124" s="48"/>
      <c r="M124" s="48"/>
      <c r="N124" s="48"/>
      <c r="O124" s="48"/>
      <c r="P124" s="48"/>
      <c r="Q124" s="48"/>
      <c r="R124" s="48"/>
      <c r="S124" s="48"/>
      <c r="T124" s="48"/>
      <c r="U124" s="48"/>
      <c r="V124" s="48"/>
      <c r="W124" s="48"/>
      <c r="X124" s="48"/>
      <c r="Y124" s="48"/>
    </row>
    <row r="125">
      <c r="A125" s="50" t="s">
        <v>107</v>
      </c>
      <c r="B125" s="51"/>
      <c r="C125" s="52">
        <f>COUNTA($A4:$A120)-$C126-COUNTIFS($G4:$G120,30,$L4:$L120,"Maxed out")</f>
        <v>1</v>
      </c>
      <c r="D125" s="53"/>
      <c r="E125" s="53"/>
      <c r="F125" s="53"/>
      <c r="G125" s="53"/>
      <c r="H125" s="53"/>
      <c r="I125" s="53"/>
      <c r="J125" s="53"/>
      <c r="K125" s="53"/>
      <c r="L125" s="53"/>
      <c r="M125" s="48"/>
      <c r="N125" s="48"/>
      <c r="O125" s="48"/>
      <c r="P125" s="48"/>
      <c r="Q125" s="48"/>
      <c r="R125" s="48"/>
      <c r="S125" s="48"/>
      <c r="T125" s="48"/>
      <c r="U125" s="48"/>
      <c r="V125" s="48"/>
      <c r="W125" s="48"/>
      <c r="X125" s="48"/>
      <c r="Y125" s="48"/>
    </row>
    <row r="126">
      <c r="A126" s="50" t="s">
        <v>109</v>
      </c>
      <c r="B126" s="51"/>
      <c r="C126" s="52">
        <f>COUNTIF($L4:$L121,"Eliminated")</f>
        <v>0</v>
      </c>
      <c r="D126" s="53"/>
      <c r="E126" s="53"/>
      <c r="F126" s="54"/>
      <c r="I126" s="55"/>
      <c r="J126" s="55"/>
      <c r="K126" s="55"/>
      <c r="L126" s="55"/>
      <c r="M126" s="48"/>
      <c r="N126" s="48"/>
      <c r="O126" s="48"/>
      <c r="P126" s="48"/>
      <c r="Q126" s="48"/>
      <c r="R126" s="48"/>
      <c r="S126" s="48"/>
      <c r="T126" s="48"/>
      <c r="U126" s="48"/>
      <c r="V126" s="48"/>
      <c r="W126" s="48"/>
      <c r="X126" s="48"/>
      <c r="Y126" s="48"/>
    </row>
    <row r="127">
      <c r="D127" s="53"/>
      <c r="E127" s="53"/>
      <c r="F127" s="54"/>
      <c r="I127" s="56"/>
      <c r="J127" s="56"/>
      <c r="K127" s="56"/>
      <c r="L127" s="56"/>
      <c r="M127" s="48"/>
      <c r="N127" s="48"/>
      <c r="O127" s="48"/>
      <c r="P127" s="48"/>
      <c r="Q127" s="48"/>
      <c r="R127" s="48"/>
      <c r="S127" s="48"/>
      <c r="T127" s="48"/>
      <c r="U127" s="48"/>
      <c r="V127" s="48"/>
      <c r="W127" s="48"/>
      <c r="X127" s="48"/>
      <c r="Y127" s="48"/>
    </row>
    <row r="128">
      <c r="D128" s="56"/>
      <c r="E128" s="57"/>
      <c r="F128" s="56"/>
      <c r="G128" s="56"/>
      <c r="H128" s="56"/>
      <c r="I128" s="58"/>
      <c r="J128" s="59"/>
      <c r="K128" s="59"/>
      <c r="L128" s="59"/>
      <c r="M128" s="60"/>
      <c r="N128" s="60"/>
      <c r="O128" s="60"/>
      <c r="P128" s="60"/>
      <c r="Q128" s="60"/>
      <c r="R128" s="60"/>
      <c r="S128" s="60"/>
      <c r="T128" s="60"/>
      <c r="U128" s="60"/>
      <c r="V128" s="60"/>
      <c r="W128" s="60"/>
      <c r="X128" s="60"/>
      <c r="Y128" s="60"/>
    </row>
    <row r="129">
      <c r="D129" s="56"/>
      <c r="E129" s="57"/>
      <c r="F129" s="56"/>
      <c r="G129" s="56"/>
      <c r="H129" s="56"/>
      <c r="I129" s="61"/>
      <c r="J129" s="61"/>
      <c r="K129" s="61"/>
      <c r="L129" s="61"/>
      <c r="M129" s="60"/>
      <c r="N129" s="60"/>
      <c r="O129" s="60"/>
      <c r="P129" s="60"/>
      <c r="Q129" s="60"/>
      <c r="R129" s="60"/>
      <c r="S129" s="60"/>
      <c r="T129" s="60"/>
      <c r="U129" s="60"/>
      <c r="V129" s="60"/>
      <c r="W129" s="60"/>
      <c r="X129" s="60"/>
      <c r="Y129" s="60"/>
    </row>
    <row r="130">
      <c r="A130" s="54"/>
      <c r="B130" s="54"/>
      <c r="D130" s="56"/>
      <c r="E130" s="57"/>
      <c r="F130" s="56"/>
      <c r="G130" s="56"/>
      <c r="H130" s="56"/>
      <c r="I130" s="62"/>
      <c r="J130" s="62"/>
      <c r="K130" s="62"/>
      <c r="L130" s="62"/>
      <c r="M130" s="60"/>
      <c r="N130" s="60"/>
      <c r="O130" s="60"/>
      <c r="P130" s="60"/>
      <c r="Q130" s="60"/>
      <c r="R130" s="60"/>
      <c r="S130" s="60"/>
      <c r="T130" s="60"/>
      <c r="U130" s="60"/>
      <c r="V130" s="60"/>
      <c r="W130" s="60"/>
      <c r="X130" s="60"/>
      <c r="Y130" s="60"/>
    </row>
  </sheetData>
  <mergeCells count="1">
    <mergeCell ref="A1:N1"/>
  </mergeCells>
  <conditionalFormatting sqref="A4:Y120">
    <cfRule type="expression" dxfId="0" priority="1">
      <formula>$A4 = ""</formula>
    </cfRule>
  </conditionalFormatting>
  <conditionalFormatting sqref="A4:E120">
    <cfRule type="expression" dxfId="1" priority="2">
      <formula>#REF!=1</formula>
    </cfRule>
  </conditionalFormatting>
  <conditionalFormatting sqref="A4:Y120">
    <cfRule type="expression" dxfId="2" priority="3">
      <formula>$L4="Eliminated"</formula>
    </cfRule>
  </conditionalFormatting>
  <conditionalFormatting sqref="A4:D120">
    <cfRule type="expression" dxfId="3" priority="4">
      <formula>$D4&lt;9</formula>
    </cfRule>
  </conditionalFormatting>
  <conditionalFormatting sqref="A4:E120">
    <cfRule type="expression" dxfId="4" priority="5">
      <formula>$D4&lt;17</formula>
    </cfRule>
  </conditionalFormatting>
  <conditionalFormatting sqref="H4:I120 H124:I124">
    <cfRule type="cellIs" dxfId="5" priority="6" operator="greaterThan">
      <formula>0</formula>
    </cfRule>
  </conditionalFormatting>
  <conditionalFormatting sqref="K4:L120">
    <cfRule type="cellIs" dxfId="6" priority="7" operator="equal">
      <formula>"Underplay"</formula>
    </cfRule>
  </conditionalFormatting>
  <conditionalFormatting sqref="K4:L120">
    <cfRule type="cellIs" dxfId="7" priority="8" operator="equal">
      <formula>"Can Play"</formula>
    </cfRule>
  </conditionalFormatting>
  <conditionalFormatting sqref="K4:L120">
    <cfRule type="cellIs" dxfId="5" priority="9" operator="equal">
      <formula>"Overplay"</formula>
    </cfRule>
  </conditionalFormatting>
  <conditionalFormatting sqref="K4:L120">
    <cfRule type="cellIs" dxfId="8" priority="10" operator="equal">
      <formula>"Maxed Out"</formula>
    </cfRule>
  </conditionalFormatting>
  <conditionalFormatting sqref="M4:M120">
    <cfRule type="cellIs" dxfId="9" priority="11" operator="equal">
      <formula>"5 - 0"</formula>
    </cfRule>
  </conditionalFormatting>
  <conditionalFormatting sqref="M4:M120">
    <cfRule type="cellIs" dxfId="9" priority="12" operator="equal">
      <formula>"6 - 0"</formula>
    </cfRule>
  </conditionalFormatting>
  <conditionalFormatting sqref="M4:M120">
    <cfRule type="cellIs" dxfId="9" priority="13" operator="equal">
      <formula>"7 - 0"</formula>
    </cfRule>
  </conditionalFormatting>
  <conditionalFormatting sqref="A4:E120">
    <cfRule type="expression" dxfId="10" priority="14">
      <formula>$D4&lt;33</formula>
    </cfRule>
  </conditionalFormatting>
  <conditionalFormatting sqref="J130:L130">
    <cfRule type="notContainsBlanks" dxfId="11" priority="15">
      <formula>LEN(TRIM(J130))&gt;0</formula>
    </cfRule>
  </conditionalFormatting>
  <conditionalFormatting sqref="K4:K120">
    <cfRule type="colorScale" priority="16">
      <colorScale>
        <cfvo type="min"/>
        <cfvo type="max"/>
        <color rgb="FF8E7CC3"/>
        <color rgb="FFFFFFFF"/>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6.38"/>
    <col customWidth="1" min="6" max="6" width="20.25"/>
    <col hidden="1" min="7" max="7" width="12.63"/>
  </cols>
  <sheetData>
    <row r="1">
      <c r="A1" s="63" t="str">
        <f>'Combined Standings'!A1</f>
        <v>ARENA GAUNTLET LEAGUE: Marvel Super Heroes</v>
      </c>
      <c r="B1" s="64"/>
      <c r="C1" s="65"/>
      <c r="D1" s="3"/>
      <c r="E1" s="3"/>
      <c r="F1" s="3"/>
      <c r="G1" s="3"/>
    </row>
    <row r="2">
      <c r="A2" s="66" t="s">
        <v>31</v>
      </c>
      <c r="B2" s="67">
        <f>IFS(now()&gt;Quotas!B11,3, now()&gt;Quotas!B10,2, now()&gt;Quotas!B9,1,now()&lt;Quotas!B9,0)</f>
        <v>3</v>
      </c>
      <c r="C2" s="68" t="s">
        <v>32</v>
      </c>
      <c r="D2" s="69">
        <v>3.0</v>
      </c>
      <c r="E2" s="70" t="s">
        <v>33</v>
      </c>
      <c r="F2" s="1"/>
      <c r="G2" s="1"/>
    </row>
    <row r="3">
      <c r="A3" s="1"/>
      <c r="B3" s="71"/>
      <c r="C3" s="1"/>
      <c r="D3" s="72" t="s">
        <v>34</v>
      </c>
      <c r="E3" s="1"/>
      <c r="F3" s="1"/>
      <c r="G3" s="1"/>
    </row>
    <row r="4">
      <c r="A4" s="66" t="s">
        <v>35</v>
      </c>
      <c r="B4" s="73" t="str">
        <f>ifs(B2=A8,"0",B2=A9,CONCATENATE(D9,"-",E9),B2=A10,CONCATENATE(D10,"-",E10),B2=A11,CONCATENATE(D11,"-",E11),B2=#REF!,CONCATENATE(#REF!,"-",#REF!),B2=#REF!,CONCATENATE(#REF!,"-",#REF!),B2=#REF!,CONCATENATE(#REF!,"-",#REF!))</f>
        <v>13-15</v>
      </c>
      <c r="C4" s="1"/>
      <c r="D4" s="72"/>
      <c r="E4" s="1"/>
      <c r="F4" s="1"/>
      <c r="G4" s="1"/>
    </row>
    <row r="5">
      <c r="A5" s="1"/>
      <c r="B5" s="1"/>
      <c r="C5" s="1"/>
      <c r="D5" s="74"/>
      <c r="E5" s="74"/>
      <c r="F5" s="74"/>
      <c r="G5" s="74"/>
    </row>
    <row r="6">
      <c r="A6" s="1"/>
      <c r="B6" s="75" t="s">
        <v>36</v>
      </c>
      <c r="D6" s="76" t="s">
        <v>37</v>
      </c>
      <c r="F6" s="1"/>
      <c r="G6" s="77" t="s">
        <v>38</v>
      </c>
    </row>
    <row r="7">
      <c r="A7" s="78" t="s">
        <v>39</v>
      </c>
      <c r="B7" s="79" t="s">
        <v>40</v>
      </c>
      <c r="C7" s="80" t="s">
        <v>41</v>
      </c>
      <c r="D7" s="78" t="s">
        <v>42</v>
      </c>
      <c r="E7" s="78" t="s">
        <v>43</v>
      </c>
      <c r="F7" s="1"/>
      <c r="G7" s="81" t="s">
        <v>44</v>
      </c>
    </row>
    <row r="8">
      <c r="A8" s="82">
        <v>0.0</v>
      </c>
      <c r="B8" s="83" t="s">
        <v>45</v>
      </c>
      <c r="C8" s="84">
        <f>B9</f>
        <v>46199.70833</v>
      </c>
      <c r="D8" s="85">
        <v>0.0</v>
      </c>
      <c r="E8" s="85">
        <v>0.0</v>
      </c>
      <c r="F8" s="1"/>
      <c r="G8" s="85" t="s">
        <v>46</v>
      </c>
    </row>
    <row r="9">
      <c r="A9" s="82">
        <v>1.0</v>
      </c>
      <c r="B9" s="86">
        <v>46199.708333333336</v>
      </c>
      <c r="C9" s="84">
        <f t="shared" ref="C9:C14" si="1">B9+7</f>
        <v>46206.70833</v>
      </c>
      <c r="D9" s="87">
        <v>3.0</v>
      </c>
      <c r="E9" s="82">
        <v>5.0</v>
      </c>
      <c r="F9" s="1"/>
      <c r="G9" s="85" t="s">
        <v>47</v>
      </c>
    </row>
    <row r="10">
      <c r="A10" s="82">
        <v>2.0</v>
      </c>
      <c r="B10" s="84">
        <f t="shared" ref="B10:B14" si="3">C9</f>
        <v>46206.70833</v>
      </c>
      <c r="C10" s="84">
        <f t="shared" si="1"/>
        <v>46213.70833</v>
      </c>
      <c r="D10" s="85">
        <f t="shared" ref="D10:E10" si="2">D9+5</f>
        <v>8</v>
      </c>
      <c r="E10" s="82">
        <f t="shared" si="2"/>
        <v>10</v>
      </c>
      <c r="F10" s="1"/>
      <c r="G10" s="85" t="s">
        <v>48</v>
      </c>
    </row>
    <row r="11">
      <c r="A11" s="82">
        <v>3.0</v>
      </c>
      <c r="B11" s="84">
        <f t="shared" si="3"/>
        <v>46213.70833</v>
      </c>
      <c r="C11" s="84">
        <f t="shared" si="1"/>
        <v>46220.70833</v>
      </c>
      <c r="D11" s="85">
        <f t="shared" ref="D11:E11" si="4">D10+5</f>
        <v>13</v>
      </c>
      <c r="E11" s="85">
        <f t="shared" si="4"/>
        <v>15</v>
      </c>
      <c r="F11" s="74"/>
      <c r="G11" s="85" t="s">
        <v>49</v>
      </c>
    </row>
    <row r="12">
      <c r="A12" s="88">
        <v>4.0</v>
      </c>
      <c r="B12" s="84">
        <f t="shared" si="3"/>
        <v>46220.70833</v>
      </c>
      <c r="C12" s="84">
        <f t="shared" si="1"/>
        <v>46227.70833</v>
      </c>
      <c r="D12" s="85">
        <f t="shared" ref="D12:E12" si="5">D11+5</f>
        <v>18</v>
      </c>
      <c r="E12" s="85">
        <f t="shared" si="5"/>
        <v>20</v>
      </c>
      <c r="F12" s="74"/>
      <c r="G12" s="89"/>
    </row>
    <row r="13">
      <c r="A13" s="88">
        <v>5.0</v>
      </c>
      <c r="B13" s="84">
        <f t="shared" si="3"/>
        <v>46227.70833</v>
      </c>
      <c r="C13" s="84">
        <f t="shared" si="1"/>
        <v>46234.70833</v>
      </c>
      <c r="D13" s="85">
        <f t="shared" ref="D13:E13" si="6">D12+5</f>
        <v>23</v>
      </c>
      <c r="E13" s="85">
        <f t="shared" si="6"/>
        <v>25</v>
      </c>
      <c r="F13" s="74"/>
      <c r="G13" s="89"/>
    </row>
    <row r="14">
      <c r="A14" s="88">
        <v>6.0</v>
      </c>
      <c r="B14" s="84">
        <f t="shared" si="3"/>
        <v>46234.70833</v>
      </c>
      <c r="C14" s="84">
        <f t="shared" si="1"/>
        <v>46241.70833</v>
      </c>
      <c r="D14" s="85">
        <f>30</f>
        <v>30</v>
      </c>
      <c r="E14" s="85">
        <f>E13+5</f>
        <v>30</v>
      </c>
      <c r="F14" s="74"/>
      <c r="G14" s="89"/>
    </row>
    <row r="15">
      <c r="A15" s="1"/>
      <c r="B15" s="90" t="s">
        <v>50</v>
      </c>
      <c r="F15" s="74"/>
      <c r="G15" s="89" t="s">
        <v>51</v>
      </c>
    </row>
    <row r="16">
      <c r="A16" s="1"/>
      <c r="B16" s="74"/>
      <c r="C16" s="74"/>
      <c r="D16" s="74"/>
      <c r="E16" s="74"/>
      <c r="F16" s="91"/>
      <c r="G16" s="85" t="s">
        <v>52</v>
      </c>
    </row>
    <row r="17">
      <c r="A17" s="1"/>
      <c r="B17" s="74"/>
      <c r="C17" s="74"/>
      <c r="D17" s="74"/>
      <c r="E17" s="74"/>
      <c r="F17" s="74"/>
      <c r="G17" s="81" t="s">
        <v>53</v>
      </c>
    </row>
    <row r="18">
      <c r="A18" s="1"/>
      <c r="B18" s="74"/>
      <c r="C18" s="74"/>
      <c r="D18" s="74"/>
      <c r="E18" s="74"/>
      <c r="F18" s="74"/>
      <c r="G18" s="81" t="s">
        <v>54</v>
      </c>
    </row>
    <row r="19">
      <c r="A19" s="1"/>
      <c r="B19" s="74"/>
      <c r="C19" s="74"/>
      <c r="D19" s="74"/>
      <c r="E19" s="74"/>
      <c r="F19" s="74"/>
      <c r="G19" s="81" t="s">
        <v>55</v>
      </c>
    </row>
    <row r="20">
      <c r="A20" s="1"/>
      <c r="B20" s="74"/>
      <c r="C20" s="74"/>
      <c r="D20" s="74"/>
      <c r="E20" s="74"/>
      <c r="F20" s="74"/>
      <c r="G20" s="81" t="s">
        <v>56</v>
      </c>
    </row>
    <row r="21">
      <c r="A21" s="1"/>
      <c r="B21" s="74"/>
      <c r="C21" s="74"/>
      <c r="D21" s="74"/>
      <c r="E21" s="74"/>
      <c r="F21" s="74"/>
      <c r="G21" s="81" t="s">
        <v>57</v>
      </c>
    </row>
    <row r="22">
      <c r="A22" s="1"/>
      <c r="B22" s="74"/>
      <c r="C22" s="74"/>
      <c r="D22" s="74"/>
      <c r="E22" s="74"/>
      <c r="F22" s="74"/>
      <c r="G22" s="81" t="s">
        <v>58</v>
      </c>
    </row>
    <row r="23">
      <c r="A23" s="1"/>
      <c r="B23" s="74"/>
      <c r="C23" s="74"/>
      <c r="D23" s="74"/>
      <c r="E23" s="74"/>
      <c r="F23" s="74"/>
      <c r="G23" s="81" t="s">
        <v>59</v>
      </c>
    </row>
    <row r="24">
      <c r="A24" s="1"/>
      <c r="B24" s="74"/>
      <c r="C24" s="74"/>
      <c r="D24" s="74"/>
      <c r="E24" s="74"/>
      <c r="F24" s="74"/>
      <c r="G24" s="81" t="s">
        <v>60</v>
      </c>
    </row>
    <row r="25">
      <c r="A25" s="1"/>
      <c r="B25" s="74"/>
      <c r="C25" s="74"/>
      <c r="D25" s="74"/>
      <c r="E25" s="74"/>
      <c r="F25" s="74"/>
      <c r="G25" s="81" t="s">
        <v>61</v>
      </c>
    </row>
    <row r="26">
      <c r="A26" s="1"/>
      <c r="B26" s="74"/>
      <c r="C26" s="74"/>
      <c r="D26" s="74"/>
      <c r="E26" s="74"/>
      <c r="F26" s="74"/>
      <c r="G26" s="81" t="s">
        <v>62</v>
      </c>
    </row>
    <row r="27">
      <c r="A27" s="1"/>
      <c r="B27" s="74"/>
      <c r="C27" s="74"/>
      <c r="D27" s="74"/>
      <c r="E27" s="74"/>
      <c r="F27" s="74"/>
      <c r="G27" s="81" t="s">
        <v>63</v>
      </c>
    </row>
  </sheetData>
  <mergeCells count="3">
    <mergeCell ref="B6:C6"/>
    <mergeCell ref="D6:E6"/>
    <mergeCell ref="B15:E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0"/>
    <col customWidth="1" min="8" max="10" width="15.38"/>
    <col customWidth="1" min="11" max="11" width="19.75"/>
    <col customWidth="1" min="12" max="12" width="21.75"/>
  </cols>
  <sheetData>
    <row r="1">
      <c r="A1" s="92" t="str">
        <f>'Combined Standings'!A1</f>
        <v>ARENA GAUNTLET LEAGUE: Marvel Super Heroes</v>
      </c>
      <c r="B1" s="64"/>
      <c r="C1" s="65"/>
      <c r="D1" s="65"/>
      <c r="E1" s="65"/>
      <c r="F1" s="3"/>
      <c r="G1" s="3"/>
      <c r="H1" s="3"/>
      <c r="I1" s="3"/>
      <c r="J1" s="3"/>
      <c r="K1" s="3"/>
      <c r="L1" s="3"/>
    </row>
    <row r="2">
      <c r="A2" s="66" t="s">
        <v>31</v>
      </c>
      <c r="B2" s="93">
        <f>'Combined Standings'!C2</f>
        <v>3</v>
      </c>
      <c r="C2" s="3"/>
      <c r="D2" s="3"/>
      <c r="E2" s="3"/>
      <c r="F2" s="3"/>
      <c r="G2" s="94"/>
      <c r="H2" s="94"/>
      <c r="I2" s="94"/>
      <c r="J2" s="94"/>
      <c r="K2" s="94"/>
      <c r="L2" s="94"/>
    </row>
    <row r="3">
      <c r="A3" s="3"/>
      <c r="B3" s="95"/>
      <c r="C3" s="95"/>
      <c r="D3" s="3"/>
      <c r="E3" s="3"/>
      <c r="F3" s="3"/>
      <c r="G3" s="3"/>
      <c r="H3" s="3"/>
      <c r="I3" s="3"/>
      <c r="J3" s="3"/>
      <c r="K3" s="3"/>
      <c r="L3" s="3"/>
    </row>
    <row r="4">
      <c r="A4" s="96" t="s">
        <v>64</v>
      </c>
      <c r="B4" s="96" t="s">
        <v>39</v>
      </c>
      <c r="C4" s="96" t="s">
        <v>65</v>
      </c>
      <c r="D4" s="96" t="s">
        <v>66</v>
      </c>
      <c r="E4" s="96" t="s">
        <v>67</v>
      </c>
      <c r="F4" s="96" t="s">
        <v>68</v>
      </c>
      <c r="G4" s="96" t="s">
        <v>69</v>
      </c>
      <c r="H4" s="21" t="s">
        <v>70</v>
      </c>
      <c r="I4" s="21" t="s">
        <v>71</v>
      </c>
      <c r="J4" s="21" t="s">
        <v>72</v>
      </c>
      <c r="K4" s="21" t="s">
        <v>73</v>
      </c>
      <c r="L4" s="21" t="s">
        <v>74</v>
      </c>
    </row>
    <row r="5">
      <c r="A5" s="97">
        <v>0.0</v>
      </c>
      <c r="B5" s="97">
        <v>1.0</v>
      </c>
      <c r="C5" s="98" t="s">
        <v>26</v>
      </c>
      <c r="D5" s="98" t="s">
        <v>75</v>
      </c>
      <c r="E5" s="99" t="s">
        <v>76</v>
      </c>
      <c r="F5" s="99" t="s">
        <v>77</v>
      </c>
      <c r="G5" s="100" t="s">
        <v>78</v>
      </c>
      <c r="H5" s="101" t="b">
        <v>1</v>
      </c>
      <c r="I5" s="102">
        <v>46206.706535300924</v>
      </c>
      <c r="J5" s="103" t="b">
        <v>1</v>
      </c>
      <c r="K5" s="103" t="b">
        <v>1</v>
      </c>
      <c r="L5" s="104" t="s">
        <v>79</v>
      </c>
    </row>
    <row r="6">
      <c r="A6" s="97">
        <v>0.0</v>
      </c>
      <c r="B6" s="97">
        <v>1.0</v>
      </c>
      <c r="C6" s="98" t="s">
        <v>26</v>
      </c>
      <c r="D6" s="98" t="s">
        <v>80</v>
      </c>
      <c r="E6" s="99" t="s">
        <v>76</v>
      </c>
      <c r="F6" s="99" t="s">
        <v>77</v>
      </c>
      <c r="G6" s="100" t="s">
        <v>78</v>
      </c>
      <c r="H6" s="101" t="b">
        <v>1</v>
      </c>
      <c r="I6" s="102">
        <v>46206.706535300924</v>
      </c>
      <c r="J6" s="103" t="b">
        <v>1</v>
      </c>
      <c r="L6" s="104" t="s">
        <v>81</v>
      </c>
    </row>
    <row r="7">
      <c r="A7" s="97">
        <v>0.0</v>
      </c>
      <c r="B7" s="97">
        <v>1.0</v>
      </c>
      <c r="C7" s="98" t="s">
        <v>26</v>
      </c>
      <c r="D7" s="98" t="s">
        <v>80</v>
      </c>
      <c r="E7" s="99" t="s">
        <v>76</v>
      </c>
      <c r="F7" s="99" t="s">
        <v>77</v>
      </c>
      <c r="G7" s="100" t="s">
        <v>78</v>
      </c>
      <c r="H7" s="101" t="b">
        <v>1</v>
      </c>
      <c r="I7" s="102">
        <v>46206.706535300924</v>
      </c>
    </row>
    <row r="8">
      <c r="A8" s="97">
        <v>0.0</v>
      </c>
      <c r="B8" s="97">
        <v>1.0</v>
      </c>
      <c r="C8" s="98" t="s">
        <v>26</v>
      </c>
      <c r="D8" s="98" t="s">
        <v>80</v>
      </c>
      <c r="E8" s="99" t="s">
        <v>76</v>
      </c>
      <c r="F8" s="99" t="s">
        <v>77</v>
      </c>
      <c r="G8" s="100" t="s">
        <v>78</v>
      </c>
      <c r="H8" s="101" t="b">
        <v>1</v>
      </c>
      <c r="I8" s="102">
        <v>46206.706535300924</v>
      </c>
    </row>
    <row r="9">
      <c r="A9" s="97">
        <v>0.0</v>
      </c>
      <c r="B9" s="97">
        <v>1.0</v>
      </c>
      <c r="C9" s="98" t="s">
        <v>26</v>
      </c>
      <c r="D9" s="98" t="s">
        <v>82</v>
      </c>
      <c r="E9" s="99" t="s">
        <v>76</v>
      </c>
      <c r="F9" s="99" t="s">
        <v>77</v>
      </c>
      <c r="G9" s="100" t="s">
        <v>78</v>
      </c>
      <c r="H9" s="101" t="b">
        <v>1</v>
      </c>
      <c r="I9" s="102">
        <v>46206.706535300924</v>
      </c>
      <c r="J9" s="103" t="b">
        <v>1</v>
      </c>
      <c r="K9" s="103" t="b">
        <v>1</v>
      </c>
      <c r="L9" s="104" t="s">
        <v>83</v>
      </c>
    </row>
    <row r="10">
      <c r="A10" s="97">
        <v>0.0</v>
      </c>
      <c r="B10" s="97">
        <v>1.0</v>
      </c>
      <c r="C10" s="98" t="s">
        <v>26</v>
      </c>
      <c r="D10" s="98" t="s">
        <v>82</v>
      </c>
      <c r="E10" s="99" t="s">
        <v>76</v>
      </c>
      <c r="F10" s="99" t="s">
        <v>77</v>
      </c>
      <c r="G10" s="100" t="s">
        <v>78</v>
      </c>
      <c r="H10" s="101" t="b">
        <v>1</v>
      </c>
      <c r="I10" s="102">
        <v>46206.706535300924</v>
      </c>
      <c r="J10" s="103" t="b">
        <v>1</v>
      </c>
      <c r="K10" s="103" t="b">
        <v>1</v>
      </c>
      <c r="L10" s="104" t="s">
        <v>84</v>
      </c>
    </row>
    <row r="11">
      <c r="A11" s="97">
        <v>0.0</v>
      </c>
      <c r="B11" s="97">
        <v>1.0</v>
      </c>
      <c r="C11" s="98" t="s">
        <v>26</v>
      </c>
      <c r="D11" s="98" t="s">
        <v>82</v>
      </c>
      <c r="E11" s="99" t="s">
        <v>76</v>
      </c>
      <c r="F11" s="99" t="s">
        <v>77</v>
      </c>
      <c r="G11" s="100" t="s">
        <v>78</v>
      </c>
      <c r="H11" s="101" t="b">
        <v>1</v>
      </c>
      <c r="I11" s="102">
        <v>46206.706535300924</v>
      </c>
      <c r="J11" s="103" t="b">
        <v>1</v>
      </c>
      <c r="K11" s="103" t="b">
        <v>1</v>
      </c>
      <c r="L11" s="104" t="s">
        <v>85</v>
      </c>
    </row>
    <row r="12">
      <c r="A12" s="97">
        <v>0.0</v>
      </c>
      <c r="B12" s="97">
        <v>1.0</v>
      </c>
      <c r="C12" s="98" t="s">
        <v>26</v>
      </c>
      <c r="D12" s="98" t="s">
        <v>86</v>
      </c>
      <c r="E12" s="99" t="s">
        <v>76</v>
      </c>
      <c r="F12" s="99" t="s">
        <v>77</v>
      </c>
      <c r="G12" s="100" t="s">
        <v>78</v>
      </c>
      <c r="H12" s="101" t="b">
        <v>1</v>
      </c>
      <c r="I12" s="102">
        <v>46206.706535300924</v>
      </c>
      <c r="J12" s="103" t="b">
        <v>1</v>
      </c>
      <c r="L12" s="104" t="s">
        <v>87</v>
      </c>
    </row>
    <row r="13">
      <c r="A13" s="97">
        <v>0.0</v>
      </c>
      <c r="B13" s="97">
        <v>1.0</v>
      </c>
      <c r="C13" s="98" t="s">
        <v>26</v>
      </c>
      <c r="D13" s="98" t="s">
        <v>86</v>
      </c>
      <c r="E13" s="99" t="s">
        <v>76</v>
      </c>
      <c r="F13" s="99" t="s">
        <v>77</v>
      </c>
      <c r="G13" s="100" t="s">
        <v>78</v>
      </c>
      <c r="H13" s="101" t="b">
        <v>1</v>
      </c>
      <c r="I13" s="102">
        <v>46206.706535300924</v>
      </c>
    </row>
    <row r="14">
      <c r="A14" s="97">
        <v>0.0</v>
      </c>
      <c r="B14" s="97">
        <v>1.0</v>
      </c>
      <c r="C14" s="98" t="s">
        <v>26</v>
      </c>
      <c r="D14" s="98" t="s">
        <v>86</v>
      </c>
      <c r="E14" s="99" t="s">
        <v>76</v>
      </c>
      <c r="F14" s="99" t="s">
        <v>77</v>
      </c>
      <c r="G14" s="100" t="s">
        <v>78</v>
      </c>
      <c r="H14" s="101" t="b">
        <v>1</v>
      </c>
      <c r="I14" s="102">
        <v>46206.706535300924</v>
      </c>
    </row>
    <row r="15">
      <c r="A15" s="97">
        <v>0.0</v>
      </c>
      <c r="B15" s="97">
        <v>1.0</v>
      </c>
      <c r="C15" s="98" t="s">
        <v>26</v>
      </c>
      <c r="D15" s="98" t="s">
        <v>88</v>
      </c>
      <c r="E15" s="99" t="s">
        <v>76</v>
      </c>
      <c r="F15" s="99" t="s">
        <v>77</v>
      </c>
      <c r="G15" s="100" t="s">
        <v>78</v>
      </c>
      <c r="H15" s="101" t="b">
        <v>1</v>
      </c>
      <c r="I15" s="102">
        <v>46206.706535300924</v>
      </c>
    </row>
    <row r="16">
      <c r="A16" s="97">
        <v>0.0</v>
      </c>
      <c r="B16" s="97">
        <v>1.0</v>
      </c>
      <c r="C16" s="98" t="s">
        <v>26</v>
      </c>
      <c r="D16" s="98" t="s">
        <v>89</v>
      </c>
      <c r="E16" s="99" t="s">
        <v>76</v>
      </c>
      <c r="F16" s="99" t="s">
        <v>77</v>
      </c>
      <c r="G16" s="100" t="s">
        <v>78</v>
      </c>
      <c r="H16" s="101" t="b">
        <v>1</v>
      </c>
      <c r="I16" s="102">
        <v>46206.706535300924</v>
      </c>
      <c r="J16" s="103" t="b">
        <v>1</v>
      </c>
      <c r="K16" s="103" t="b">
        <v>1</v>
      </c>
      <c r="L16" s="104" t="s">
        <v>90</v>
      </c>
    </row>
    <row r="17">
      <c r="A17" s="97">
        <v>0.0</v>
      </c>
      <c r="B17" s="97">
        <v>1.0</v>
      </c>
      <c r="C17" s="98" t="s">
        <v>26</v>
      </c>
      <c r="D17" s="98" t="s">
        <v>91</v>
      </c>
      <c r="E17" s="99" t="s">
        <v>76</v>
      </c>
      <c r="F17" s="99" t="s">
        <v>77</v>
      </c>
      <c r="G17" s="100" t="s">
        <v>78</v>
      </c>
      <c r="H17" s="101" t="b">
        <v>1</v>
      </c>
      <c r="I17" s="102">
        <v>46206.706535300924</v>
      </c>
      <c r="J17" s="103" t="b">
        <v>1</v>
      </c>
      <c r="K17" s="103" t="b">
        <v>1</v>
      </c>
      <c r="L17" s="104" t="s">
        <v>90</v>
      </c>
    </row>
    <row r="18">
      <c r="A18" s="97">
        <v>0.0</v>
      </c>
      <c r="B18" s="97">
        <v>1.0</v>
      </c>
      <c r="C18" s="98" t="s">
        <v>26</v>
      </c>
      <c r="D18" s="98" t="s">
        <v>92</v>
      </c>
      <c r="E18" s="99" t="s">
        <v>76</v>
      </c>
      <c r="F18" s="99" t="s">
        <v>77</v>
      </c>
      <c r="G18" s="100" t="s">
        <v>78</v>
      </c>
      <c r="H18" s="101" t="b">
        <v>1</v>
      </c>
      <c r="I18" s="102">
        <v>46206.706535300924</v>
      </c>
      <c r="J18" s="103" t="b">
        <v>1</v>
      </c>
      <c r="L18" s="104" t="s">
        <v>93</v>
      </c>
    </row>
    <row r="19">
      <c r="A19" s="97">
        <v>0.0</v>
      </c>
      <c r="B19" s="97">
        <v>1.0</v>
      </c>
      <c r="C19" s="98" t="s">
        <v>26</v>
      </c>
      <c r="D19" s="98" t="s">
        <v>92</v>
      </c>
      <c r="E19" s="99" t="s">
        <v>76</v>
      </c>
      <c r="F19" s="99" t="s">
        <v>77</v>
      </c>
      <c r="G19" s="100" t="s">
        <v>78</v>
      </c>
      <c r="H19" s="101" t="b">
        <v>1</v>
      </c>
      <c r="I19" s="102">
        <v>46206.706535300924</v>
      </c>
    </row>
    <row r="20">
      <c r="A20" s="97">
        <v>0.0</v>
      </c>
      <c r="B20" s="97">
        <v>1.0</v>
      </c>
      <c r="C20" s="98" t="s">
        <v>26</v>
      </c>
      <c r="D20" s="98" t="s">
        <v>92</v>
      </c>
      <c r="E20" s="99" t="s">
        <v>76</v>
      </c>
      <c r="F20" s="99" t="s">
        <v>77</v>
      </c>
      <c r="G20" s="100" t="s">
        <v>78</v>
      </c>
      <c r="H20" s="101" t="b">
        <v>1</v>
      </c>
      <c r="I20" s="102">
        <v>46206.706535300924</v>
      </c>
    </row>
    <row r="21">
      <c r="A21" s="97">
        <v>0.0</v>
      </c>
      <c r="B21" s="97">
        <v>1.0</v>
      </c>
      <c r="C21" s="98" t="s">
        <v>26</v>
      </c>
      <c r="D21" s="98" t="s">
        <v>94</v>
      </c>
      <c r="E21" s="99" t="s">
        <v>76</v>
      </c>
      <c r="F21" s="99" t="s">
        <v>77</v>
      </c>
      <c r="G21" s="100" t="s">
        <v>78</v>
      </c>
      <c r="H21" s="101" t="b">
        <v>1</v>
      </c>
      <c r="I21" s="102">
        <v>46206.706535300924</v>
      </c>
      <c r="J21" s="103" t="b">
        <v>1</v>
      </c>
      <c r="K21" s="103" t="b">
        <v>1</v>
      </c>
      <c r="L21" s="104" t="s">
        <v>95</v>
      </c>
    </row>
    <row r="22">
      <c r="A22" s="97">
        <v>0.0</v>
      </c>
      <c r="B22" s="97">
        <v>2.0</v>
      </c>
      <c r="C22" s="98" t="s">
        <v>26</v>
      </c>
      <c r="D22" s="98" t="s">
        <v>96</v>
      </c>
      <c r="E22" s="99" t="s">
        <v>76</v>
      </c>
      <c r="F22" s="99" t="s">
        <v>77</v>
      </c>
      <c r="G22" s="100" t="s">
        <v>78</v>
      </c>
      <c r="H22" s="101" t="b">
        <v>1</v>
      </c>
      <c r="I22" s="103">
        <v>46213.708637488424</v>
      </c>
      <c r="J22" s="103" t="b">
        <v>1</v>
      </c>
      <c r="L22" s="104" t="s">
        <v>84</v>
      </c>
    </row>
    <row r="23">
      <c r="A23" s="97">
        <v>0.0</v>
      </c>
      <c r="B23" s="97">
        <v>2.0</v>
      </c>
      <c r="C23" s="98" t="s">
        <v>26</v>
      </c>
      <c r="D23" s="98" t="s">
        <v>96</v>
      </c>
      <c r="E23" s="99" t="s">
        <v>76</v>
      </c>
      <c r="F23" s="99" t="s">
        <v>77</v>
      </c>
      <c r="G23" s="100" t="s">
        <v>78</v>
      </c>
      <c r="H23" s="101" t="b">
        <v>1</v>
      </c>
      <c r="I23" s="103">
        <v>46213.70863961805</v>
      </c>
    </row>
    <row r="24">
      <c r="A24" s="97">
        <v>0.0</v>
      </c>
      <c r="B24" s="97">
        <v>2.0</v>
      </c>
      <c r="C24" s="98" t="s">
        <v>26</v>
      </c>
      <c r="D24" s="98" t="s">
        <v>96</v>
      </c>
      <c r="E24" s="99" t="s">
        <v>76</v>
      </c>
      <c r="F24" s="99" t="s">
        <v>77</v>
      </c>
      <c r="G24" s="100" t="s">
        <v>78</v>
      </c>
      <c r="H24" s="101" t="b">
        <v>1</v>
      </c>
      <c r="I24" s="103">
        <v>46213.708641157406</v>
      </c>
    </row>
    <row r="25">
      <c r="A25" s="97">
        <v>0.0</v>
      </c>
      <c r="B25" s="97">
        <v>2.0</v>
      </c>
      <c r="C25" s="98" t="s">
        <v>26</v>
      </c>
      <c r="D25" s="98" t="s">
        <v>75</v>
      </c>
      <c r="E25" s="99" t="s">
        <v>76</v>
      </c>
      <c r="F25" s="99" t="s">
        <v>77</v>
      </c>
      <c r="G25" s="100" t="s">
        <v>78</v>
      </c>
      <c r="H25" s="101" t="b">
        <v>1</v>
      </c>
      <c r="I25" s="103">
        <v>46213.70864962963</v>
      </c>
      <c r="J25" s="103" t="b">
        <v>1</v>
      </c>
      <c r="K25" s="103" t="b">
        <v>1</v>
      </c>
      <c r="L25" s="104" t="s">
        <v>97</v>
      </c>
    </row>
    <row r="26">
      <c r="A26" s="97">
        <v>0.0</v>
      </c>
      <c r="B26" s="97">
        <v>2.0</v>
      </c>
      <c r="C26" s="98" t="s">
        <v>26</v>
      </c>
      <c r="D26" s="98" t="s">
        <v>75</v>
      </c>
      <c r="E26" s="99" t="s">
        <v>76</v>
      </c>
      <c r="F26" s="99" t="s">
        <v>77</v>
      </c>
      <c r="G26" s="100" t="s">
        <v>78</v>
      </c>
      <c r="H26" s="101" t="b">
        <v>1</v>
      </c>
      <c r="I26" s="103">
        <v>46213.7086512963</v>
      </c>
      <c r="J26" s="103" t="b">
        <v>1</v>
      </c>
      <c r="K26" s="103" t="b">
        <v>1</v>
      </c>
      <c r="L26" s="104" t="s">
        <v>87</v>
      </c>
    </row>
    <row r="27">
      <c r="A27" s="97">
        <v>0.0</v>
      </c>
      <c r="B27" s="97">
        <v>2.0</v>
      </c>
      <c r="C27" s="98" t="s">
        <v>26</v>
      </c>
      <c r="D27" s="98" t="s">
        <v>75</v>
      </c>
      <c r="E27" s="99" t="s">
        <v>76</v>
      </c>
      <c r="F27" s="99" t="s">
        <v>77</v>
      </c>
      <c r="G27" s="100" t="s">
        <v>78</v>
      </c>
      <c r="H27" s="101" t="b">
        <v>1</v>
      </c>
      <c r="I27" s="103">
        <v>46213.70865292824</v>
      </c>
      <c r="J27" s="103" t="b">
        <v>1</v>
      </c>
      <c r="K27" s="103" t="b">
        <v>1</v>
      </c>
      <c r="L27" s="104" t="s">
        <v>98</v>
      </c>
    </row>
    <row r="28">
      <c r="A28" s="97">
        <v>0.0</v>
      </c>
      <c r="B28" s="97">
        <v>2.0</v>
      </c>
      <c r="C28" s="98" t="s">
        <v>26</v>
      </c>
      <c r="D28" s="98" t="s">
        <v>75</v>
      </c>
      <c r="E28" s="99" t="s">
        <v>76</v>
      </c>
      <c r="F28" s="99" t="s">
        <v>77</v>
      </c>
      <c r="G28" s="100" t="s">
        <v>78</v>
      </c>
      <c r="H28" s="101" t="b">
        <v>1</v>
      </c>
      <c r="I28" s="103">
        <v>46213.708654594906</v>
      </c>
      <c r="J28" s="103" t="b">
        <v>1</v>
      </c>
      <c r="K28" s="103" t="b">
        <v>1</v>
      </c>
      <c r="L28" s="104" t="s">
        <v>85</v>
      </c>
    </row>
    <row r="29">
      <c r="A29" s="97">
        <v>0.0</v>
      </c>
      <c r="B29" s="97">
        <v>2.0</v>
      </c>
      <c r="C29" s="98" t="s">
        <v>26</v>
      </c>
      <c r="D29" s="98" t="s">
        <v>75</v>
      </c>
      <c r="E29" s="99" t="s">
        <v>76</v>
      </c>
      <c r="F29" s="99" t="s">
        <v>77</v>
      </c>
      <c r="G29" s="100" t="s">
        <v>78</v>
      </c>
      <c r="H29" s="101" t="b">
        <v>1</v>
      </c>
      <c r="I29" s="103">
        <v>46213.70865626157</v>
      </c>
      <c r="J29" s="103" t="b">
        <v>1</v>
      </c>
      <c r="K29" s="103" t="b">
        <v>1</v>
      </c>
      <c r="L29" s="104" t="s">
        <v>99</v>
      </c>
    </row>
    <row r="30">
      <c r="A30" s="97">
        <v>0.0</v>
      </c>
      <c r="B30" s="97">
        <v>2.0</v>
      </c>
      <c r="C30" s="98" t="s">
        <v>26</v>
      </c>
      <c r="D30" s="98" t="s">
        <v>80</v>
      </c>
      <c r="E30" s="99" t="s">
        <v>76</v>
      </c>
      <c r="F30" s="99" t="s">
        <v>77</v>
      </c>
      <c r="G30" s="100" t="s">
        <v>78</v>
      </c>
      <c r="H30" s="101" t="b">
        <v>1</v>
      </c>
      <c r="I30" s="103">
        <v>46213.70866265046</v>
      </c>
    </row>
    <row r="31">
      <c r="A31" s="97">
        <v>0.0</v>
      </c>
      <c r="B31" s="97">
        <v>2.0</v>
      </c>
      <c r="C31" s="98" t="s">
        <v>26</v>
      </c>
      <c r="D31" s="98" t="s">
        <v>80</v>
      </c>
      <c r="E31" s="99" t="s">
        <v>76</v>
      </c>
      <c r="F31" s="99" t="s">
        <v>77</v>
      </c>
      <c r="G31" s="100" t="s">
        <v>78</v>
      </c>
      <c r="H31" s="101" t="b">
        <v>1</v>
      </c>
      <c r="I31" s="103">
        <v>46213.708664375</v>
      </c>
    </row>
    <row r="32">
      <c r="A32" s="97">
        <v>0.0</v>
      </c>
      <c r="B32" s="97">
        <v>2.0</v>
      </c>
      <c r="C32" s="98" t="s">
        <v>26</v>
      </c>
      <c r="D32" s="98" t="s">
        <v>80</v>
      </c>
      <c r="E32" s="99" t="s">
        <v>76</v>
      </c>
      <c r="F32" s="99" t="s">
        <v>77</v>
      </c>
      <c r="G32" s="100" t="s">
        <v>78</v>
      </c>
      <c r="H32" s="101" t="b">
        <v>1</v>
      </c>
      <c r="I32" s="103">
        <v>46213.708665949074</v>
      </c>
    </row>
    <row r="33">
      <c r="A33" s="97">
        <v>0.0</v>
      </c>
      <c r="B33" s="97">
        <v>2.0</v>
      </c>
      <c r="C33" s="98" t="s">
        <v>26</v>
      </c>
      <c r="D33" s="98" t="s">
        <v>80</v>
      </c>
      <c r="E33" s="99" t="s">
        <v>76</v>
      </c>
      <c r="F33" s="99" t="s">
        <v>77</v>
      </c>
      <c r="G33" s="100" t="s">
        <v>78</v>
      </c>
      <c r="H33" s="101" t="b">
        <v>1</v>
      </c>
      <c r="I33" s="103">
        <v>46213.70866773148</v>
      </c>
    </row>
    <row r="34">
      <c r="A34" s="97">
        <v>0.0</v>
      </c>
      <c r="B34" s="97">
        <v>2.0</v>
      </c>
      <c r="C34" s="98" t="s">
        <v>26</v>
      </c>
      <c r="D34" s="98" t="s">
        <v>80</v>
      </c>
      <c r="E34" s="99" t="s">
        <v>76</v>
      </c>
      <c r="F34" s="99" t="s">
        <v>77</v>
      </c>
      <c r="G34" s="100" t="s">
        <v>78</v>
      </c>
      <c r="H34" s="101" t="b">
        <v>1</v>
      </c>
      <c r="I34" s="103">
        <v>46213.708669340274</v>
      </c>
    </row>
    <row r="35">
      <c r="A35" s="97">
        <v>0.0</v>
      </c>
      <c r="B35" s="97">
        <v>2.0</v>
      </c>
      <c r="C35" s="98" t="s">
        <v>26</v>
      </c>
      <c r="D35" s="98" t="s">
        <v>100</v>
      </c>
      <c r="E35" s="99" t="s">
        <v>76</v>
      </c>
      <c r="F35" s="99" t="s">
        <v>77</v>
      </c>
      <c r="G35" s="100" t="s">
        <v>78</v>
      </c>
      <c r="H35" s="101" t="b">
        <v>1</v>
      </c>
      <c r="I35" s="103">
        <v>46213.70867486111</v>
      </c>
      <c r="J35" s="103" t="b">
        <v>1</v>
      </c>
      <c r="K35" s="103" t="b">
        <v>1</v>
      </c>
      <c r="L35" s="104" t="s">
        <v>95</v>
      </c>
    </row>
    <row r="36">
      <c r="A36" s="97">
        <v>0.0</v>
      </c>
      <c r="B36" s="97">
        <v>2.0</v>
      </c>
      <c r="C36" s="98" t="s">
        <v>26</v>
      </c>
      <c r="D36" s="98" t="s">
        <v>100</v>
      </c>
      <c r="E36" s="99" t="s">
        <v>76</v>
      </c>
      <c r="F36" s="99" t="s">
        <v>77</v>
      </c>
      <c r="G36" s="100" t="s">
        <v>78</v>
      </c>
      <c r="H36" s="101" t="b">
        <v>1</v>
      </c>
      <c r="I36" s="103">
        <v>46213.70867665509</v>
      </c>
      <c r="J36" s="103" t="b">
        <v>1</v>
      </c>
      <c r="L36" s="104" t="s">
        <v>83</v>
      </c>
    </row>
    <row r="37">
      <c r="A37" s="97">
        <v>0.0</v>
      </c>
      <c r="B37" s="97">
        <v>2.0</v>
      </c>
      <c r="C37" s="98" t="s">
        <v>26</v>
      </c>
      <c r="D37" s="98" t="s">
        <v>100</v>
      </c>
      <c r="E37" s="99" t="s">
        <v>76</v>
      </c>
      <c r="F37" s="99" t="s">
        <v>77</v>
      </c>
      <c r="G37" s="100" t="s">
        <v>78</v>
      </c>
      <c r="H37" s="101" t="b">
        <v>1</v>
      </c>
      <c r="I37" s="103">
        <v>46213.708678414354</v>
      </c>
    </row>
    <row r="38">
      <c r="A38" s="97">
        <v>0.0</v>
      </c>
      <c r="B38" s="97">
        <v>2.0</v>
      </c>
      <c r="C38" s="98" t="s">
        <v>26</v>
      </c>
      <c r="D38" s="98" t="s">
        <v>100</v>
      </c>
      <c r="E38" s="99" t="s">
        <v>76</v>
      </c>
      <c r="F38" s="99" t="s">
        <v>77</v>
      </c>
      <c r="G38" s="100" t="s">
        <v>78</v>
      </c>
      <c r="H38" s="101" t="b">
        <v>1</v>
      </c>
      <c r="I38" s="103">
        <v>46213.70868009259</v>
      </c>
    </row>
    <row r="39">
      <c r="A39" s="97">
        <v>0.0</v>
      </c>
      <c r="B39" s="97">
        <v>2.0</v>
      </c>
      <c r="C39" s="98" t="s">
        <v>26</v>
      </c>
      <c r="D39" s="98" t="s">
        <v>100</v>
      </c>
      <c r="E39" s="99" t="s">
        <v>76</v>
      </c>
      <c r="F39" s="99" t="s">
        <v>77</v>
      </c>
      <c r="G39" s="100" t="s">
        <v>78</v>
      </c>
      <c r="H39" s="101" t="b">
        <v>1</v>
      </c>
      <c r="I39" s="103">
        <v>46213.70868693287</v>
      </c>
    </row>
    <row r="40">
      <c r="A40" s="97">
        <v>0.0</v>
      </c>
      <c r="B40" s="97">
        <v>2.0</v>
      </c>
      <c r="C40" s="98" t="s">
        <v>26</v>
      </c>
      <c r="D40" s="98" t="s">
        <v>101</v>
      </c>
      <c r="E40" s="99" t="s">
        <v>76</v>
      </c>
      <c r="F40" s="99" t="s">
        <v>77</v>
      </c>
      <c r="G40" s="100" t="s">
        <v>78</v>
      </c>
      <c r="H40" s="101" t="b">
        <v>1</v>
      </c>
      <c r="I40" s="103">
        <v>46213.708693252316</v>
      </c>
      <c r="J40" s="103" t="b">
        <v>1</v>
      </c>
      <c r="K40" s="103" t="b">
        <v>1</v>
      </c>
      <c r="L40" s="104" t="s">
        <v>102</v>
      </c>
    </row>
    <row r="41">
      <c r="A41" s="97">
        <v>0.0</v>
      </c>
      <c r="B41" s="97">
        <v>2.0</v>
      </c>
      <c r="C41" s="98" t="s">
        <v>26</v>
      </c>
      <c r="D41" s="98" t="s">
        <v>101</v>
      </c>
      <c r="E41" s="99" t="s">
        <v>76</v>
      </c>
      <c r="F41" s="99" t="s">
        <v>77</v>
      </c>
      <c r="G41" s="100" t="s">
        <v>78</v>
      </c>
      <c r="H41" s="101" t="b">
        <v>1</v>
      </c>
      <c r="I41" s="103">
        <v>46213.708695092595</v>
      </c>
      <c r="J41" s="103" t="b">
        <v>1</v>
      </c>
      <c r="K41" s="103" t="b">
        <v>1</v>
      </c>
      <c r="L41" s="104" t="s">
        <v>93</v>
      </c>
    </row>
    <row r="42">
      <c r="A42" s="97">
        <v>0.0</v>
      </c>
      <c r="B42" s="97">
        <v>2.0</v>
      </c>
      <c r="C42" s="98" t="s">
        <v>26</v>
      </c>
      <c r="D42" s="98" t="s">
        <v>101</v>
      </c>
      <c r="E42" s="99" t="s">
        <v>76</v>
      </c>
      <c r="F42" s="99" t="s">
        <v>77</v>
      </c>
      <c r="G42" s="100" t="s">
        <v>78</v>
      </c>
      <c r="H42" s="101" t="b">
        <v>1</v>
      </c>
      <c r="I42" s="103">
        <v>46213.708698078706</v>
      </c>
      <c r="J42" s="103" t="b">
        <v>1</v>
      </c>
      <c r="K42" s="103" t="b">
        <v>1</v>
      </c>
      <c r="L42" s="104" t="s">
        <v>81</v>
      </c>
    </row>
    <row r="43">
      <c r="A43" s="97">
        <v>0.0</v>
      </c>
      <c r="B43" s="97">
        <v>2.0</v>
      </c>
      <c r="C43" s="98" t="s">
        <v>26</v>
      </c>
      <c r="D43" s="98" t="s">
        <v>101</v>
      </c>
      <c r="E43" s="99" t="s">
        <v>76</v>
      </c>
      <c r="F43" s="99" t="s">
        <v>77</v>
      </c>
      <c r="G43" s="100" t="s">
        <v>78</v>
      </c>
      <c r="H43" s="101" t="b">
        <v>1</v>
      </c>
      <c r="I43" s="103">
        <v>46213.7086996875</v>
      </c>
      <c r="J43" s="103" t="b">
        <v>1</v>
      </c>
      <c r="K43" s="103" t="b">
        <v>1</v>
      </c>
      <c r="L43" s="104" t="s">
        <v>87</v>
      </c>
    </row>
    <row r="44">
      <c r="A44" s="97">
        <v>0.0</v>
      </c>
      <c r="B44" s="97">
        <v>2.0</v>
      </c>
      <c r="C44" s="98" t="s">
        <v>26</v>
      </c>
      <c r="D44" s="98" t="s">
        <v>101</v>
      </c>
      <c r="E44" s="99" t="s">
        <v>76</v>
      </c>
      <c r="F44" s="99" t="s">
        <v>77</v>
      </c>
      <c r="G44" s="100" t="s">
        <v>78</v>
      </c>
      <c r="H44" s="101" t="b">
        <v>1</v>
      </c>
      <c r="I44" s="103">
        <v>46213.70870128472</v>
      </c>
      <c r="J44" s="103" t="b">
        <v>1</v>
      </c>
      <c r="K44" s="103" t="b">
        <v>1</v>
      </c>
      <c r="L44" s="104" t="s">
        <v>85</v>
      </c>
    </row>
    <row r="45">
      <c r="A45" s="97">
        <v>0.0</v>
      </c>
      <c r="B45" s="97">
        <v>2.0</v>
      </c>
      <c r="C45" s="98" t="s">
        <v>26</v>
      </c>
      <c r="D45" s="98" t="s">
        <v>103</v>
      </c>
      <c r="E45" s="99" t="s">
        <v>76</v>
      </c>
      <c r="F45" s="99" t="s">
        <v>77</v>
      </c>
      <c r="G45" s="100" t="s">
        <v>78</v>
      </c>
      <c r="H45" s="101" t="b">
        <v>1</v>
      </c>
      <c r="I45" s="103">
        <v>46213.70870756944</v>
      </c>
    </row>
    <row r="46">
      <c r="A46" s="97">
        <v>0.0</v>
      </c>
      <c r="B46" s="97">
        <v>2.0</v>
      </c>
      <c r="C46" s="98" t="s">
        <v>26</v>
      </c>
      <c r="D46" s="98" t="s">
        <v>103</v>
      </c>
      <c r="E46" s="99" t="s">
        <v>76</v>
      </c>
      <c r="F46" s="99" t="s">
        <v>77</v>
      </c>
      <c r="G46" s="100" t="s">
        <v>78</v>
      </c>
      <c r="H46" s="101" t="b">
        <v>1</v>
      </c>
      <c r="I46" s="102">
        <v>46213.708709212966</v>
      </c>
      <c r="J46" s="102"/>
      <c r="K46" s="102"/>
      <c r="L46" s="102"/>
    </row>
    <row r="47">
      <c r="A47" s="97">
        <v>0.0</v>
      </c>
      <c r="B47" s="97">
        <v>2.0</v>
      </c>
      <c r="C47" s="98" t="s">
        <v>26</v>
      </c>
      <c r="D47" s="98" t="s">
        <v>104</v>
      </c>
      <c r="E47" s="99" t="s">
        <v>76</v>
      </c>
      <c r="F47" s="99" t="s">
        <v>77</v>
      </c>
      <c r="G47" s="100" t="s">
        <v>78</v>
      </c>
      <c r="H47" s="101" t="b">
        <v>1</v>
      </c>
      <c r="I47" s="102">
        <v>46213.70871454861</v>
      </c>
      <c r="J47" s="102" t="b">
        <v>1</v>
      </c>
      <c r="K47" s="102"/>
      <c r="L47" s="104" t="s">
        <v>90</v>
      </c>
    </row>
    <row r="48">
      <c r="A48" s="97">
        <v>0.0</v>
      </c>
      <c r="B48" s="97">
        <v>2.0</v>
      </c>
      <c r="C48" s="98" t="s">
        <v>26</v>
      </c>
      <c r="D48" s="98" t="s">
        <v>104</v>
      </c>
      <c r="E48" s="99" t="s">
        <v>76</v>
      </c>
      <c r="F48" s="99" t="s">
        <v>77</v>
      </c>
      <c r="G48" s="100" t="s">
        <v>78</v>
      </c>
      <c r="H48" s="101" t="b">
        <v>1</v>
      </c>
      <c r="I48" s="102">
        <v>46213.70871622685</v>
      </c>
      <c r="J48" s="102"/>
      <c r="K48" s="102"/>
      <c r="L48" s="102"/>
    </row>
    <row r="49">
      <c r="A49" s="97">
        <v>0.0</v>
      </c>
      <c r="B49" s="97">
        <v>2.0</v>
      </c>
      <c r="C49" s="98" t="s">
        <v>26</v>
      </c>
      <c r="D49" s="98" t="s">
        <v>104</v>
      </c>
      <c r="E49" s="99" t="s">
        <v>76</v>
      </c>
      <c r="F49" s="99" t="s">
        <v>77</v>
      </c>
      <c r="G49" s="100" t="s">
        <v>78</v>
      </c>
      <c r="H49" s="101" t="b">
        <v>1</v>
      </c>
      <c r="I49" s="102">
        <v>46213.70871770833</v>
      </c>
      <c r="J49" s="102"/>
      <c r="K49" s="102"/>
      <c r="L49" s="102"/>
    </row>
    <row r="50">
      <c r="A50" s="97">
        <v>0.0</v>
      </c>
      <c r="B50" s="97">
        <v>2.0</v>
      </c>
      <c r="C50" s="98" t="s">
        <v>26</v>
      </c>
      <c r="D50" s="98" t="s">
        <v>104</v>
      </c>
      <c r="E50" s="99" t="s">
        <v>76</v>
      </c>
      <c r="F50" s="99" t="s">
        <v>77</v>
      </c>
      <c r="G50" s="100" t="s">
        <v>78</v>
      </c>
      <c r="H50" s="101" t="b">
        <v>1</v>
      </c>
      <c r="I50" s="103">
        <v>46213.708719270835</v>
      </c>
    </row>
    <row r="51">
      <c r="A51" s="97">
        <v>0.0</v>
      </c>
      <c r="B51" s="97">
        <v>2.0</v>
      </c>
      <c r="C51" s="98" t="s">
        <v>26</v>
      </c>
      <c r="D51" s="98" t="s">
        <v>104</v>
      </c>
      <c r="E51" s="99" t="s">
        <v>76</v>
      </c>
      <c r="F51" s="99" t="s">
        <v>77</v>
      </c>
      <c r="G51" s="100" t="s">
        <v>78</v>
      </c>
      <c r="H51" s="101" t="b">
        <v>1</v>
      </c>
      <c r="I51" s="103">
        <v>46213.70872083333</v>
      </c>
    </row>
    <row r="52">
      <c r="A52" s="97">
        <v>0.0</v>
      </c>
      <c r="B52" s="97">
        <v>2.0</v>
      </c>
      <c r="C52" s="98" t="s">
        <v>26</v>
      </c>
      <c r="D52" s="98" t="s">
        <v>105</v>
      </c>
      <c r="E52" s="99" t="s">
        <v>76</v>
      </c>
      <c r="F52" s="99" t="s">
        <v>77</v>
      </c>
      <c r="G52" s="100" t="s">
        <v>78</v>
      </c>
      <c r="H52" s="101" t="b">
        <v>1</v>
      </c>
      <c r="I52" s="103">
        <v>46213.70872825231</v>
      </c>
      <c r="J52" s="103" t="b">
        <v>1</v>
      </c>
      <c r="K52" s="103" t="b">
        <v>1</v>
      </c>
      <c r="L52" s="104" t="s">
        <v>106</v>
      </c>
    </row>
    <row r="53">
      <c r="A53" s="97">
        <v>0.0</v>
      </c>
      <c r="B53" s="97">
        <v>2.0</v>
      </c>
      <c r="C53" s="98" t="s">
        <v>26</v>
      </c>
      <c r="D53" s="98" t="s">
        <v>105</v>
      </c>
      <c r="E53" s="99" t="s">
        <v>76</v>
      </c>
      <c r="F53" s="99" t="s">
        <v>77</v>
      </c>
      <c r="G53" s="100" t="s">
        <v>78</v>
      </c>
      <c r="H53" s="101" t="b">
        <v>1</v>
      </c>
      <c r="I53" s="103">
        <v>46213.70872981482</v>
      </c>
      <c r="J53" s="103" t="b">
        <v>1</v>
      </c>
      <c r="K53" s="103" t="b">
        <v>1</v>
      </c>
      <c r="L53" s="104" t="s">
        <v>97</v>
      </c>
    </row>
    <row r="54">
      <c r="A54" s="97">
        <v>0.0</v>
      </c>
      <c r="B54" s="97">
        <v>2.0</v>
      </c>
      <c r="C54" s="98" t="s">
        <v>26</v>
      </c>
      <c r="D54" s="98" t="s">
        <v>105</v>
      </c>
      <c r="E54" s="99" t="s">
        <v>76</v>
      </c>
      <c r="F54" s="99" t="s">
        <v>77</v>
      </c>
      <c r="G54" s="100" t="s">
        <v>78</v>
      </c>
      <c r="H54" s="101" t="b">
        <v>1</v>
      </c>
      <c r="I54" s="103">
        <v>46213.70873381945</v>
      </c>
      <c r="J54" s="103" t="b">
        <v>1</v>
      </c>
      <c r="L54" s="104" t="s">
        <v>83</v>
      </c>
    </row>
    <row r="55">
      <c r="A55" s="97">
        <v>0.0</v>
      </c>
      <c r="B55" s="97">
        <v>2.0</v>
      </c>
      <c r="C55" s="98" t="s">
        <v>26</v>
      </c>
      <c r="D55" s="98" t="s">
        <v>82</v>
      </c>
      <c r="E55" s="99" t="s">
        <v>76</v>
      </c>
      <c r="F55" s="99" t="s">
        <v>77</v>
      </c>
      <c r="G55" s="100" t="s">
        <v>78</v>
      </c>
      <c r="H55" s="101" t="b">
        <v>1</v>
      </c>
      <c r="I55" s="103">
        <v>46213.708739444446</v>
      </c>
      <c r="J55" s="103" t="b">
        <v>1</v>
      </c>
      <c r="L55" s="104" t="s">
        <v>98</v>
      </c>
    </row>
    <row r="56">
      <c r="A56" s="97">
        <v>0.0</v>
      </c>
      <c r="B56" s="97">
        <v>2.0</v>
      </c>
      <c r="C56" s="98" t="s">
        <v>26</v>
      </c>
      <c r="D56" s="98" t="s">
        <v>82</v>
      </c>
      <c r="E56" s="99" t="s">
        <v>76</v>
      </c>
      <c r="F56" s="99" t="s">
        <v>77</v>
      </c>
      <c r="G56" s="100" t="s">
        <v>78</v>
      </c>
      <c r="H56" s="101" t="b">
        <v>1</v>
      </c>
      <c r="I56" s="103">
        <v>46213.708741215276</v>
      </c>
    </row>
    <row r="57">
      <c r="A57" s="97">
        <v>0.0</v>
      </c>
      <c r="B57" s="97">
        <v>2.0</v>
      </c>
      <c r="C57" s="98" t="s">
        <v>26</v>
      </c>
      <c r="D57" s="98" t="s">
        <v>82</v>
      </c>
      <c r="E57" s="99" t="s">
        <v>76</v>
      </c>
      <c r="F57" s="99" t="s">
        <v>77</v>
      </c>
      <c r="G57" s="100" t="s">
        <v>78</v>
      </c>
      <c r="H57" s="101" t="b">
        <v>1</v>
      </c>
      <c r="I57" s="103">
        <v>46213.708742731484</v>
      </c>
    </row>
    <row r="58">
      <c r="A58" s="97">
        <v>0.0</v>
      </c>
      <c r="B58" s="97">
        <v>2.0</v>
      </c>
      <c r="C58" s="98" t="s">
        <v>26</v>
      </c>
      <c r="D58" s="98" t="s">
        <v>82</v>
      </c>
      <c r="E58" s="99" t="s">
        <v>76</v>
      </c>
      <c r="F58" s="99" t="s">
        <v>77</v>
      </c>
      <c r="G58" s="100" t="s">
        <v>78</v>
      </c>
      <c r="H58" s="101" t="b">
        <v>1</v>
      </c>
      <c r="I58" s="103">
        <v>46213.70874436342</v>
      </c>
    </row>
    <row r="59">
      <c r="A59" s="97">
        <v>0.0</v>
      </c>
      <c r="B59" s="97">
        <v>2.0</v>
      </c>
      <c r="C59" s="98" t="s">
        <v>26</v>
      </c>
      <c r="D59" s="98" t="s">
        <v>82</v>
      </c>
      <c r="E59" s="99" t="s">
        <v>76</v>
      </c>
      <c r="F59" s="99" t="s">
        <v>77</v>
      </c>
      <c r="G59" s="100" t="s">
        <v>78</v>
      </c>
      <c r="H59" s="101" t="b">
        <v>1</v>
      </c>
      <c r="I59" s="103">
        <v>46213.708746041666</v>
      </c>
    </row>
    <row r="60">
      <c r="A60" s="97">
        <v>0.0</v>
      </c>
      <c r="B60" s="97">
        <v>2.0</v>
      </c>
      <c r="C60" s="98" t="s">
        <v>26</v>
      </c>
      <c r="D60" s="98" t="s">
        <v>108</v>
      </c>
      <c r="E60" s="99" t="s">
        <v>76</v>
      </c>
      <c r="F60" s="99" t="s">
        <v>77</v>
      </c>
      <c r="G60" s="100" t="s">
        <v>78</v>
      </c>
      <c r="H60" s="101" t="b">
        <v>1</v>
      </c>
      <c r="I60" s="103">
        <v>46213.70875128472</v>
      </c>
      <c r="J60" s="103" t="b">
        <v>1</v>
      </c>
      <c r="L60" s="104" t="s">
        <v>102</v>
      </c>
    </row>
    <row r="61">
      <c r="A61" s="97">
        <v>0.0</v>
      </c>
      <c r="B61" s="97">
        <v>2.0</v>
      </c>
      <c r="C61" s="98" t="s">
        <v>26</v>
      </c>
      <c r="D61" s="98" t="s">
        <v>108</v>
      </c>
      <c r="E61" s="99" t="s">
        <v>76</v>
      </c>
      <c r="F61" s="99" t="s">
        <v>77</v>
      </c>
      <c r="G61" s="100" t="s">
        <v>78</v>
      </c>
      <c r="H61" s="101" t="b">
        <v>1</v>
      </c>
      <c r="I61" s="103">
        <v>46213.70875271991</v>
      </c>
    </row>
    <row r="62">
      <c r="A62" s="97">
        <v>0.0</v>
      </c>
      <c r="B62" s="97">
        <v>2.0</v>
      </c>
      <c r="C62" s="98" t="s">
        <v>26</v>
      </c>
      <c r="D62" s="98" t="s">
        <v>110</v>
      </c>
      <c r="E62" s="99" t="s">
        <v>76</v>
      </c>
      <c r="F62" s="99" t="s">
        <v>77</v>
      </c>
      <c r="G62" s="100" t="s">
        <v>78</v>
      </c>
      <c r="H62" s="101" t="b">
        <v>1</v>
      </c>
      <c r="I62" s="103">
        <v>46213.70876026621</v>
      </c>
      <c r="J62" s="103" t="b">
        <v>1</v>
      </c>
      <c r="K62" s="103" t="b">
        <v>1</v>
      </c>
      <c r="L62" s="104" t="s">
        <v>85</v>
      </c>
    </row>
    <row r="63">
      <c r="A63" s="97">
        <v>0.0</v>
      </c>
      <c r="B63" s="97">
        <v>2.0</v>
      </c>
      <c r="C63" s="98" t="s">
        <v>26</v>
      </c>
      <c r="D63" s="98" t="s">
        <v>86</v>
      </c>
      <c r="E63" s="99" t="s">
        <v>76</v>
      </c>
      <c r="F63" s="99" t="s">
        <v>77</v>
      </c>
      <c r="G63" s="100" t="s">
        <v>78</v>
      </c>
      <c r="H63" s="101" t="b">
        <v>1</v>
      </c>
      <c r="I63" s="103">
        <v>46213.70876648148</v>
      </c>
    </row>
    <row r="64">
      <c r="A64" s="97">
        <v>0.0</v>
      </c>
      <c r="B64" s="97">
        <v>2.0</v>
      </c>
      <c r="C64" s="98" t="s">
        <v>26</v>
      </c>
      <c r="D64" s="98" t="s">
        <v>86</v>
      </c>
      <c r="E64" s="99" t="s">
        <v>76</v>
      </c>
      <c r="F64" s="99" t="s">
        <v>77</v>
      </c>
      <c r="G64" s="100" t="s">
        <v>78</v>
      </c>
      <c r="H64" s="101" t="b">
        <v>1</v>
      </c>
      <c r="I64" s="103">
        <v>46213.70876811343</v>
      </c>
    </row>
    <row r="65">
      <c r="A65" s="97">
        <v>0.0</v>
      </c>
      <c r="B65" s="97">
        <v>2.0</v>
      </c>
      <c r="C65" s="98" t="s">
        <v>26</v>
      </c>
      <c r="D65" s="98" t="s">
        <v>86</v>
      </c>
      <c r="E65" s="99" t="s">
        <v>76</v>
      </c>
      <c r="F65" s="99" t="s">
        <v>77</v>
      </c>
      <c r="G65" s="100" t="s">
        <v>78</v>
      </c>
      <c r="H65" s="101" t="b">
        <v>1</v>
      </c>
      <c r="I65" s="103">
        <v>46213.7087703588</v>
      </c>
    </row>
    <row r="66">
      <c r="A66" s="97">
        <v>0.0</v>
      </c>
      <c r="B66" s="97">
        <v>2.0</v>
      </c>
      <c r="C66" s="98" t="s">
        <v>26</v>
      </c>
      <c r="D66" s="98" t="s">
        <v>86</v>
      </c>
      <c r="E66" s="99" t="s">
        <v>76</v>
      </c>
      <c r="F66" s="99" t="s">
        <v>77</v>
      </c>
      <c r="G66" s="100" t="s">
        <v>78</v>
      </c>
      <c r="H66" s="101" t="b">
        <v>1</v>
      </c>
      <c r="I66" s="103">
        <v>46213.70877537037</v>
      </c>
    </row>
    <row r="67">
      <c r="A67" s="97">
        <v>0.0</v>
      </c>
      <c r="B67" s="97">
        <v>2.0</v>
      </c>
      <c r="C67" s="98" t="s">
        <v>26</v>
      </c>
      <c r="D67" s="98" t="s">
        <v>86</v>
      </c>
      <c r="E67" s="99" t="s">
        <v>76</v>
      </c>
      <c r="F67" s="99" t="s">
        <v>77</v>
      </c>
      <c r="G67" s="100" t="s">
        <v>78</v>
      </c>
      <c r="H67" s="101" t="b">
        <v>1</v>
      </c>
      <c r="I67" s="103">
        <v>46213.7087771875</v>
      </c>
    </row>
    <row r="68">
      <c r="A68" s="97">
        <v>0.0</v>
      </c>
      <c r="B68" s="97">
        <v>2.0</v>
      </c>
      <c r="C68" s="98" t="s">
        <v>26</v>
      </c>
      <c r="D68" s="98" t="s">
        <v>111</v>
      </c>
      <c r="E68" s="99" t="s">
        <v>76</v>
      </c>
      <c r="F68" s="99" t="s">
        <v>77</v>
      </c>
      <c r="G68" s="100" t="s">
        <v>78</v>
      </c>
      <c r="H68" s="101" t="b">
        <v>1</v>
      </c>
      <c r="I68" s="102">
        <v>46213.70878275463</v>
      </c>
      <c r="J68" s="102" t="b">
        <v>1</v>
      </c>
      <c r="K68" s="102"/>
      <c r="L68" s="104" t="s">
        <v>93</v>
      </c>
    </row>
    <row r="69">
      <c r="A69" s="97">
        <v>0.0</v>
      </c>
      <c r="B69" s="97">
        <v>2.0</v>
      </c>
      <c r="C69" s="98" t="s">
        <v>26</v>
      </c>
      <c r="D69" s="98" t="s">
        <v>111</v>
      </c>
      <c r="E69" s="99" t="s">
        <v>76</v>
      </c>
      <c r="F69" s="99" t="s">
        <v>77</v>
      </c>
      <c r="G69" s="100" t="s">
        <v>78</v>
      </c>
      <c r="H69" s="101" t="b">
        <v>1</v>
      </c>
      <c r="I69" s="102">
        <v>46213.708784780094</v>
      </c>
      <c r="J69" s="102"/>
      <c r="K69" s="102"/>
      <c r="L69" s="102"/>
    </row>
    <row r="70">
      <c r="A70" s="97">
        <v>0.0</v>
      </c>
      <c r="B70" s="97">
        <v>2.0</v>
      </c>
      <c r="C70" s="98" t="s">
        <v>26</v>
      </c>
      <c r="D70" s="98" t="s">
        <v>111</v>
      </c>
      <c r="E70" s="99" t="s">
        <v>76</v>
      </c>
      <c r="F70" s="99" t="s">
        <v>77</v>
      </c>
      <c r="G70" s="100" t="s">
        <v>78</v>
      </c>
      <c r="H70" s="101" t="b">
        <v>1</v>
      </c>
      <c r="I70" s="102">
        <v>46213.70878674769</v>
      </c>
      <c r="J70" s="102"/>
      <c r="K70" s="102"/>
      <c r="L70" s="102"/>
    </row>
    <row r="71">
      <c r="A71" s="97">
        <v>0.0</v>
      </c>
      <c r="B71" s="97">
        <v>2.0</v>
      </c>
      <c r="C71" s="98" t="s">
        <v>26</v>
      </c>
      <c r="D71" s="98" t="s">
        <v>88</v>
      </c>
      <c r="E71" s="99" t="s">
        <v>76</v>
      </c>
      <c r="F71" s="99" t="s">
        <v>77</v>
      </c>
      <c r="G71" s="100" t="s">
        <v>78</v>
      </c>
      <c r="H71" s="101" t="b">
        <v>1</v>
      </c>
      <c r="I71" s="102">
        <v>46213.708793171296</v>
      </c>
      <c r="J71" s="102"/>
      <c r="K71" s="102"/>
      <c r="L71" s="102"/>
    </row>
    <row r="72">
      <c r="A72" s="97">
        <v>0.0</v>
      </c>
      <c r="B72" s="97">
        <v>2.0</v>
      </c>
      <c r="C72" s="98" t="s">
        <v>26</v>
      </c>
      <c r="D72" s="98" t="s">
        <v>88</v>
      </c>
      <c r="E72" s="99" t="s">
        <v>76</v>
      </c>
      <c r="F72" s="99" t="s">
        <v>77</v>
      </c>
      <c r="G72" s="100" t="s">
        <v>78</v>
      </c>
      <c r="H72" s="101" t="b">
        <v>1</v>
      </c>
      <c r="I72" s="102">
        <v>46213.708794722224</v>
      </c>
      <c r="J72" s="102"/>
      <c r="K72" s="102"/>
      <c r="L72" s="102"/>
    </row>
    <row r="73">
      <c r="A73" s="97">
        <v>0.0</v>
      </c>
      <c r="B73" s="97">
        <v>2.0</v>
      </c>
      <c r="C73" s="98" t="s">
        <v>26</v>
      </c>
      <c r="D73" s="98" t="s">
        <v>88</v>
      </c>
      <c r="E73" s="99" t="s">
        <v>76</v>
      </c>
      <c r="F73" s="99" t="s">
        <v>77</v>
      </c>
      <c r="G73" s="100" t="s">
        <v>78</v>
      </c>
      <c r="H73" s="101" t="b">
        <v>1</v>
      </c>
      <c r="I73" s="103">
        <v>46213.708796377316</v>
      </c>
    </row>
    <row r="74">
      <c r="A74" s="97">
        <v>0.0</v>
      </c>
      <c r="B74" s="97">
        <v>2.0</v>
      </c>
      <c r="C74" s="98" t="s">
        <v>26</v>
      </c>
      <c r="D74" s="98" t="s">
        <v>88</v>
      </c>
      <c r="E74" s="99" t="s">
        <v>76</v>
      </c>
      <c r="F74" s="99" t="s">
        <v>77</v>
      </c>
      <c r="G74" s="100" t="s">
        <v>78</v>
      </c>
      <c r="H74" s="101" t="b">
        <v>1</v>
      </c>
      <c r="I74" s="103">
        <v>46213.70879791667</v>
      </c>
    </row>
    <row r="75">
      <c r="A75" s="97">
        <v>0.0</v>
      </c>
      <c r="B75" s="97">
        <v>2.0</v>
      </c>
      <c r="C75" s="98" t="s">
        <v>26</v>
      </c>
      <c r="D75" s="98" t="s">
        <v>88</v>
      </c>
      <c r="E75" s="99" t="s">
        <v>76</v>
      </c>
      <c r="F75" s="99" t="s">
        <v>77</v>
      </c>
      <c r="G75" s="100" t="s">
        <v>78</v>
      </c>
      <c r="H75" s="101" t="b">
        <v>1</v>
      </c>
      <c r="I75" s="103">
        <v>46213.708799699074</v>
      </c>
    </row>
    <row r="76">
      <c r="A76" s="97">
        <v>0.0</v>
      </c>
      <c r="B76" s="97">
        <v>2.0</v>
      </c>
      <c r="C76" s="98" t="s">
        <v>26</v>
      </c>
      <c r="D76" s="98" t="s">
        <v>112</v>
      </c>
      <c r="E76" s="99" t="s">
        <v>76</v>
      </c>
      <c r="F76" s="99" t="s">
        <v>77</v>
      </c>
      <c r="G76" s="100" t="s">
        <v>78</v>
      </c>
      <c r="H76" s="101" t="b">
        <v>1</v>
      </c>
      <c r="I76" s="103">
        <v>46213.708805625</v>
      </c>
      <c r="J76" s="103" t="b">
        <v>1</v>
      </c>
      <c r="K76" s="103" t="b">
        <v>1</v>
      </c>
      <c r="L76" s="104" t="s">
        <v>81</v>
      </c>
    </row>
    <row r="77">
      <c r="A77" s="97">
        <v>0.0</v>
      </c>
      <c r="B77" s="97">
        <v>2.0</v>
      </c>
      <c r="C77" s="98" t="s">
        <v>26</v>
      </c>
      <c r="D77" s="98" t="s">
        <v>113</v>
      </c>
      <c r="E77" s="99" t="s">
        <v>76</v>
      </c>
      <c r="F77" s="99" t="s">
        <v>77</v>
      </c>
      <c r="G77" s="100" t="s">
        <v>78</v>
      </c>
      <c r="H77" s="101" t="b">
        <v>1</v>
      </c>
      <c r="I77" s="103">
        <v>46213.708813564816</v>
      </c>
    </row>
    <row r="78">
      <c r="A78" s="97">
        <v>0.0</v>
      </c>
      <c r="B78" s="97">
        <v>2.0</v>
      </c>
      <c r="C78" s="98" t="s">
        <v>26</v>
      </c>
      <c r="D78" s="98" t="s">
        <v>113</v>
      </c>
      <c r="E78" s="99" t="s">
        <v>76</v>
      </c>
      <c r="F78" s="99" t="s">
        <v>77</v>
      </c>
      <c r="G78" s="100" t="s">
        <v>78</v>
      </c>
      <c r="H78" s="101" t="b">
        <v>1</v>
      </c>
      <c r="I78" s="103">
        <v>46213.70881590278</v>
      </c>
    </row>
    <row r="79">
      <c r="A79" s="97">
        <v>0.0</v>
      </c>
      <c r="B79" s="97">
        <v>2.0</v>
      </c>
      <c r="C79" s="98" t="s">
        <v>26</v>
      </c>
      <c r="D79" s="98" t="s">
        <v>113</v>
      </c>
      <c r="E79" s="99" t="s">
        <v>76</v>
      </c>
      <c r="F79" s="99" t="s">
        <v>77</v>
      </c>
      <c r="G79" s="100" t="s">
        <v>78</v>
      </c>
      <c r="H79" s="101" t="b">
        <v>1</v>
      </c>
      <c r="I79" s="102">
        <v>46213.7088177662</v>
      </c>
      <c r="J79" s="102"/>
      <c r="K79" s="102"/>
      <c r="L79" s="102"/>
    </row>
    <row r="80">
      <c r="A80" s="97">
        <v>0.0</v>
      </c>
      <c r="B80" s="97">
        <v>2.0</v>
      </c>
      <c r="C80" s="98" t="s">
        <v>26</v>
      </c>
      <c r="D80" s="98" t="s">
        <v>114</v>
      </c>
      <c r="E80" s="99" t="s">
        <v>76</v>
      </c>
      <c r="F80" s="99" t="s">
        <v>77</v>
      </c>
      <c r="G80" s="100" t="s">
        <v>78</v>
      </c>
      <c r="H80" s="101" t="b">
        <v>1</v>
      </c>
      <c r="I80" s="102">
        <v>46213.708823483794</v>
      </c>
      <c r="J80" s="102" t="b">
        <v>1</v>
      </c>
      <c r="K80" s="102"/>
      <c r="L80" s="104" t="s">
        <v>90</v>
      </c>
    </row>
    <row r="81">
      <c r="A81" s="97">
        <v>0.0</v>
      </c>
      <c r="B81" s="97">
        <v>2.0</v>
      </c>
      <c r="C81" s="98" t="s">
        <v>26</v>
      </c>
      <c r="D81" s="98" t="s">
        <v>114</v>
      </c>
      <c r="E81" s="99" t="s">
        <v>76</v>
      </c>
      <c r="F81" s="99" t="s">
        <v>77</v>
      </c>
      <c r="G81" s="100" t="s">
        <v>78</v>
      </c>
      <c r="H81" s="101" t="b">
        <v>1</v>
      </c>
      <c r="I81" s="102">
        <v>46213.70882525463</v>
      </c>
      <c r="J81" s="102"/>
      <c r="K81" s="102"/>
      <c r="L81" s="102"/>
    </row>
    <row r="82">
      <c r="A82" s="97">
        <v>0.0</v>
      </c>
      <c r="B82" s="97">
        <v>2.0</v>
      </c>
      <c r="C82" s="98" t="s">
        <v>26</v>
      </c>
      <c r="D82" s="98" t="s">
        <v>114</v>
      </c>
      <c r="E82" s="99" t="s">
        <v>76</v>
      </c>
      <c r="F82" s="99" t="s">
        <v>77</v>
      </c>
      <c r="G82" s="100" t="s">
        <v>78</v>
      </c>
      <c r="H82" s="101" t="b">
        <v>1</v>
      </c>
      <c r="I82" s="102">
        <v>46213.7088275</v>
      </c>
      <c r="J82" s="102"/>
      <c r="K82" s="102"/>
      <c r="L82" s="102"/>
    </row>
    <row r="83">
      <c r="A83" s="97">
        <v>0.0</v>
      </c>
      <c r="B83" s="97">
        <v>2.0</v>
      </c>
      <c r="C83" s="98" t="s">
        <v>26</v>
      </c>
      <c r="D83" s="98" t="s">
        <v>114</v>
      </c>
      <c r="E83" s="99" t="s">
        <v>76</v>
      </c>
      <c r="F83" s="99" t="s">
        <v>77</v>
      </c>
      <c r="G83" s="100" t="s">
        <v>78</v>
      </c>
      <c r="H83" s="101" t="b">
        <v>1</v>
      </c>
      <c r="I83" s="102">
        <v>46213.70882946759</v>
      </c>
      <c r="J83" s="102"/>
      <c r="K83" s="102"/>
      <c r="L83" s="102"/>
    </row>
    <row r="84">
      <c r="A84" s="97">
        <v>0.0</v>
      </c>
      <c r="B84" s="97">
        <v>2.0</v>
      </c>
      <c r="C84" s="98" t="s">
        <v>26</v>
      </c>
      <c r="D84" s="98" t="s">
        <v>115</v>
      </c>
      <c r="E84" s="99" t="s">
        <v>76</v>
      </c>
      <c r="F84" s="99" t="s">
        <v>77</v>
      </c>
      <c r="G84" s="100" t="s">
        <v>78</v>
      </c>
      <c r="H84" s="101" t="b">
        <v>1</v>
      </c>
      <c r="I84" s="103">
        <v>46213.70884054398</v>
      </c>
      <c r="J84" s="103" t="b">
        <v>1</v>
      </c>
      <c r="K84" s="103" t="b">
        <v>1</v>
      </c>
      <c r="L84" s="104" t="s">
        <v>81</v>
      </c>
    </row>
    <row r="85">
      <c r="A85" s="97">
        <v>0.0</v>
      </c>
      <c r="B85" s="97">
        <v>2.0</v>
      </c>
      <c r="C85" s="98" t="s">
        <v>26</v>
      </c>
      <c r="D85" s="98" t="s">
        <v>116</v>
      </c>
      <c r="E85" s="99" t="s">
        <v>76</v>
      </c>
      <c r="F85" s="99" t="s">
        <v>77</v>
      </c>
      <c r="G85" s="100" t="s">
        <v>78</v>
      </c>
      <c r="H85" s="101" t="b">
        <v>1</v>
      </c>
      <c r="I85" s="103">
        <v>46213.70884572917</v>
      </c>
      <c r="J85" s="103" t="b">
        <v>1</v>
      </c>
      <c r="K85" s="103" t="b">
        <v>1</v>
      </c>
      <c r="L85" s="104" t="s">
        <v>95</v>
      </c>
    </row>
    <row r="86">
      <c r="A86" s="97">
        <v>0.0</v>
      </c>
      <c r="B86" s="97">
        <v>2.0</v>
      </c>
      <c r="C86" s="98" t="s">
        <v>26</v>
      </c>
      <c r="D86" s="98" t="s">
        <v>116</v>
      </c>
      <c r="E86" s="99" t="s">
        <v>76</v>
      </c>
      <c r="F86" s="99" t="s">
        <v>77</v>
      </c>
      <c r="G86" s="100" t="s">
        <v>78</v>
      </c>
      <c r="H86" s="101" t="b">
        <v>1</v>
      </c>
      <c r="I86" s="103">
        <v>46213.708848298615</v>
      </c>
      <c r="J86" s="103" t="b">
        <v>1</v>
      </c>
      <c r="K86" s="103" t="b">
        <v>1</v>
      </c>
      <c r="L86" s="104" t="s">
        <v>102</v>
      </c>
    </row>
    <row r="87">
      <c r="A87" s="97">
        <v>0.0</v>
      </c>
      <c r="B87" s="97">
        <v>2.0</v>
      </c>
      <c r="C87" s="98" t="s">
        <v>26</v>
      </c>
      <c r="D87" s="98" t="s">
        <v>116</v>
      </c>
      <c r="E87" s="99" t="s">
        <v>76</v>
      </c>
      <c r="F87" s="99" t="s">
        <v>77</v>
      </c>
      <c r="G87" s="100" t="s">
        <v>78</v>
      </c>
      <c r="H87" s="101" t="b">
        <v>1</v>
      </c>
      <c r="I87" s="103">
        <v>46213.70885015046</v>
      </c>
      <c r="J87" s="103" t="b">
        <v>1</v>
      </c>
      <c r="L87" s="104" t="s">
        <v>87</v>
      </c>
    </row>
    <row r="88">
      <c r="A88" s="97">
        <v>0.0</v>
      </c>
      <c r="B88" s="97">
        <v>2.0</v>
      </c>
      <c r="C88" s="98" t="s">
        <v>26</v>
      </c>
      <c r="D88" s="98" t="s">
        <v>116</v>
      </c>
      <c r="E88" s="99" t="s">
        <v>76</v>
      </c>
      <c r="F88" s="99" t="s">
        <v>77</v>
      </c>
      <c r="G88" s="100" t="s">
        <v>78</v>
      </c>
      <c r="H88" s="101" t="b">
        <v>1</v>
      </c>
      <c r="I88" s="103">
        <v>46213.709217523145</v>
      </c>
    </row>
    <row r="89">
      <c r="A89" s="97">
        <v>0.0</v>
      </c>
      <c r="B89" s="97">
        <v>2.0</v>
      </c>
      <c r="C89" s="98" t="s">
        <v>26</v>
      </c>
      <c r="D89" s="98" t="s">
        <v>116</v>
      </c>
      <c r="E89" s="99" t="s">
        <v>76</v>
      </c>
      <c r="F89" s="99" t="s">
        <v>77</v>
      </c>
      <c r="G89" s="100" t="s">
        <v>78</v>
      </c>
      <c r="H89" s="101" t="b">
        <v>1</v>
      </c>
      <c r="I89" s="102">
        <v>46213.70921903935</v>
      </c>
      <c r="J89" s="102"/>
      <c r="K89" s="102"/>
      <c r="L89" s="102"/>
    </row>
    <row r="90">
      <c r="A90" s="97">
        <v>0.0</v>
      </c>
      <c r="B90" s="97">
        <v>2.0</v>
      </c>
      <c r="C90" s="98" t="s">
        <v>26</v>
      </c>
      <c r="D90" s="98" t="s">
        <v>92</v>
      </c>
      <c r="E90" s="99" t="s">
        <v>76</v>
      </c>
      <c r="F90" s="99" t="s">
        <v>77</v>
      </c>
      <c r="G90" s="100" t="s">
        <v>78</v>
      </c>
      <c r="H90" s="101" t="b">
        <v>1</v>
      </c>
      <c r="I90" s="102">
        <v>46213.70922523148</v>
      </c>
      <c r="J90" s="102"/>
      <c r="K90" s="102"/>
      <c r="L90" s="102"/>
    </row>
    <row r="91">
      <c r="A91" s="97">
        <v>0.0</v>
      </c>
      <c r="B91" s="97">
        <v>2.0</v>
      </c>
      <c r="C91" s="98" t="s">
        <v>26</v>
      </c>
      <c r="D91" s="98" t="s">
        <v>92</v>
      </c>
      <c r="E91" s="99" t="s">
        <v>76</v>
      </c>
      <c r="F91" s="99" t="s">
        <v>77</v>
      </c>
      <c r="G91" s="100" t="s">
        <v>78</v>
      </c>
      <c r="H91" s="101" t="b">
        <v>1</v>
      </c>
      <c r="I91" s="102">
        <v>46213.70922689815</v>
      </c>
      <c r="J91" s="102"/>
      <c r="K91" s="102"/>
      <c r="L91" s="102"/>
    </row>
    <row r="92">
      <c r="A92" s="97">
        <v>0.0</v>
      </c>
      <c r="B92" s="97">
        <v>2.0</v>
      </c>
      <c r="C92" s="98" t="s">
        <v>26</v>
      </c>
      <c r="D92" s="98" t="s">
        <v>92</v>
      </c>
      <c r="E92" s="99" t="s">
        <v>76</v>
      </c>
      <c r="F92" s="99" t="s">
        <v>77</v>
      </c>
      <c r="G92" s="100" t="s">
        <v>78</v>
      </c>
      <c r="H92" s="101" t="b">
        <v>1</v>
      </c>
      <c r="I92" s="103">
        <v>46213.70922848379</v>
      </c>
    </row>
    <row r="93">
      <c r="A93" s="97">
        <v>0.0</v>
      </c>
      <c r="B93" s="97">
        <v>2.0</v>
      </c>
      <c r="C93" s="98" t="s">
        <v>26</v>
      </c>
      <c r="D93" s="98" t="s">
        <v>92</v>
      </c>
      <c r="E93" s="99" t="s">
        <v>76</v>
      </c>
      <c r="F93" s="99" t="s">
        <v>77</v>
      </c>
      <c r="G93" s="100" t="s">
        <v>78</v>
      </c>
      <c r="H93" s="101" t="b">
        <v>1</v>
      </c>
      <c r="I93" s="103">
        <v>46213.70923028935</v>
      </c>
    </row>
    <row r="94">
      <c r="A94" s="97">
        <v>0.0</v>
      </c>
      <c r="B94" s="97">
        <v>2.0</v>
      </c>
      <c r="C94" s="98" t="s">
        <v>26</v>
      </c>
      <c r="D94" s="98" t="s">
        <v>92</v>
      </c>
      <c r="E94" s="99" t="s">
        <v>76</v>
      </c>
      <c r="F94" s="99" t="s">
        <v>77</v>
      </c>
      <c r="G94" s="100" t="s">
        <v>78</v>
      </c>
      <c r="H94" s="101" t="b">
        <v>1</v>
      </c>
      <c r="I94" s="103">
        <v>46213.70923193287</v>
      </c>
    </row>
    <row r="95">
      <c r="A95" s="97">
        <v>0.0</v>
      </c>
      <c r="B95" s="97">
        <v>2.0</v>
      </c>
      <c r="C95" s="98" t="s">
        <v>26</v>
      </c>
      <c r="D95" s="98" t="s">
        <v>117</v>
      </c>
      <c r="E95" s="99" t="s">
        <v>76</v>
      </c>
      <c r="F95" s="99" t="s">
        <v>77</v>
      </c>
      <c r="G95" s="100" t="s">
        <v>78</v>
      </c>
      <c r="H95" s="101" t="b">
        <v>1</v>
      </c>
      <c r="I95" s="103">
        <v>46213.70924416667</v>
      </c>
      <c r="J95" s="103" t="b">
        <v>1</v>
      </c>
      <c r="K95" s="103" t="b">
        <v>1</v>
      </c>
      <c r="L95" s="104" t="s">
        <v>118</v>
      </c>
    </row>
    <row r="96">
      <c r="A96" s="97">
        <v>0.0</v>
      </c>
      <c r="B96" s="97">
        <v>2.0</v>
      </c>
      <c r="C96" s="98" t="s">
        <v>26</v>
      </c>
      <c r="D96" s="98" t="s">
        <v>94</v>
      </c>
      <c r="E96" s="99" t="s">
        <v>76</v>
      </c>
      <c r="F96" s="99" t="s">
        <v>77</v>
      </c>
      <c r="G96" s="100" t="s">
        <v>78</v>
      </c>
      <c r="H96" s="101" t="b">
        <v>1</v>
      </c>
      <c r="I96" s="103">
        <v>46213.70925028935</v>
      </c>
      <c r="J96" s="103" t="b">
        <v>1</v>
      </c>
      <c r="K96" s="103" t="b">
        <v>1</v>
      </c>
      <c r="L96" s="104" t="s">
        <v>85</v>
      </c>
    </row>
    <row r="97">
      <c r="A97" s="97">
        <v>0.0</v>
      </c>
      <c r="B97" s="97">
        <v>2.0</v>
      </c>
      <c r="C97" s="98" t="s">
        <v>26</v>
      </c>
      <c r="D97" s="98" t="s">
        <v>119</v>
      </c>
      <c r="E97" s="99" t="s">
        <v>76</v>
      </c>
      <c r="F97" s="99" t="s">
        <v>77</v>
      </c>
      <c r="G97" s="100" t="s">
        <v>78</v>
      </c>
      <c r="H97" s="101" t="b">
        <v>1</v>
      </c>
      <c r="I97" s="103">
        <v>46213.709257766204</v>
      </c>
      <c r="J97" s="103" t="b">
        <v>1</v>
      </c>
      <c r="L97" s="104" t="s">
        <v>120</v>
      </c>
    </row>
    <row r="98">
      <c r="A98" s="97">
        <v>0.0</v>
      </c>
      <c r="B98" s="97">
        <v>2.0</v>
      </c>
      <c r="C98" s="98" t="s">
        <v>26</v>
      </c>
      <c r="D98" s="98" t="s">
        <v>119</v>
      </c>
      <c r="E98" s="99" t="s">
        <v>76</v>
      </c>
      <c r="F98" s="99" t="s">
        <v>77</v>
      </c>
      <c r="G98" s="100" t="s">
        <v>78</v>
      </c>
      <c r="H98" s="101" t="b">
        <v>1</v>
      </c>
      <c r="I98" s="103">
        <v>46213.70925975694</v>
      </c>
    </row>
    <row r="99">
      <c r="A99" s="97">
        <v>0.0</v>
      </c>
      <c r="B99" s="97">
        <v>2.0</v>
      </c>
      <c r="C99" s="98" t="s">
        <v>26</v>
      </c>
      <c r="D99" s="98" t="s">
        <v>119</v>
      </c>
      <c r="E99" s="99" t="s">
        <v>76</v>
      </c>
      <c r="F99" s="99" t="s">
        <v>77</v>
      </c>
      <c r="G99" s="100" t="s">
        <v>78</v>
      </c>
      <c r="H99" s="101" t="b">
        <v>1</v>
      </c>
      <c r="I99" s="103">
        <v>46213.70926122685</v>
      </c>
    </row>
    <row r="100">
      <c r="A100" s="97">
        <v>0.0</v>
      </c>
      <c r="B100" s="97">
        <v>2.0</v>
      </c>
      <c r="C100" s="98" t="s">
        <v>26</v>
      </c>
      <c r="D100" s="98" t="s">
        <v>121</v>
      </c>
      <c r="E100" s="99" t="s">
        <v>76</v>
      </c>
      <c r="F100" s="99" t="s">
        <v>77</v>
      </c>
      <c r="G100" s="100" t="s">
        <v>78</v>
      </c>
      <c r="H100" s="101" t="b">
        <v>1</v>
      </c>
      <c r="I100" s="103">
        <v>46213.709267743056</v>
      </c>
      <c r="J100" s="103" t="b">
        <v>1</v>
      </c>
      <c r="L100" s="104" t="s">
        <v>118</v>
      </c>
    </row>
    <row r="101">
      <c r="A101" s="97">
        <v>0.0</v>
      </c>
      <c r="B101" s="97">
        <v>2.0</v>
      </c>
      <c r="C101" s="98" t="s">
        <v>26</v>
      </c>
      <c r="D101" s="98" t="s">
        <v>121</v>
      </c>
      <c r="E101" s="99" t="s">
        <v>76</v>
      </c>
      <c r="F101" s="99" t="s">
        <v>77</v>
      </c>
      <c r="G101" s="100" t="s">
        <v>78</v>
      </c>
      <c r="H101" s="101" t="b">
        <v>1</v>
      </c>
      <c r="I101" s="103">
        <v>46213.70926927083</v>
      </c>
    </row>
    <row r="102">
      <c r="A102" s="97">
        <v>0.0</v>
      </c>
      <c r="B102" s="97">
        <v>2.0</v>
      </c>
      <c r="C102" s="98" t="s">
        <v>26</v>
      </c>
      <c r="D102" s="98" t="s">
        <v>122</v>
      </c>
      <c r="E102" s="99" t="s">
        <v>76</v>
      </c>
      <c r="F102" s="99" t="s">
        <v>77</v>
      </c>
      <c r="G102" s="100" t="s">
        <v>78</v>
      </c>
      <c r="H102" s="101" t="b">
        <v>1</v>
      </c>
      <c r="I102" s="103">
        <v>46213.709276712965</v>
      </c>
      <c r="J102" s="103" t="b">
        <v>1</v>
      </c>
      <c r="K102" s="103" t="b">
        <v>1</v>
      </c>
      <c r="L102" s="104" t="s">
        <v>102</v>
      </c>
    </row>
    <row r="103">
      <c r="A103" s="97"/>
      <c r="B103" s="97"/>
      <c r="C103" s="98"/>
      <c r="D103" s="98"/>
      <c r="E103" s="97"/>
      <c r="F103" s="97"/>
      <c r="G103" s="100"/>
      <c r="H103" s="101"/>
    </row>
    <row r="104">
      <c r="A104" s="97"/>
      <c r="B104" s="97"/>
      <c r="C104" s="98"/>
      <c r="D104" s="98"/>
      <c r="E104" s="97"/>
      <c r="F104" s="97"/>
      <c r="G104" s="100"/>
      <c r="H104" s="101"/>
      <c r="I104" s="102"/>
      <c r="J104" s="102"/>
      <c r="K104" s="102"/>
      <c r="L104" s="102"/>
    </row>
    <row r="105">
      <c r="A105" s="97"/>
      <c r="B105" s="97"/>
      <c r="C105" s="98"/>
      <c r="D105" s="98"/>
      <c r="E105" s="97"/>
      <c r="F105" s="97"/>
      <c r="G105" s="100"/>
      <c r="H105" s="101"/>
      <c r="I105" s="102"/>
      <c r="J105" s="102"/>
      <c r="K105" s="102"/>
      <c r="L105" s="102"/>
    </row>
    <row r="106">
      <c r="A106" s="97"/>
      <c r="B106" s="97"/>
      <c r="C106" s="98"/>
      <c r="D106" s="98"/>
      <c r="E106" s="97"/>
      <c r="F106" s="97"/>
      <c r="G106" s="100"/>
      <c r="H106" s="101"/>
      <c r="I106" s="102"/>
      <c r="J106" s="102"/>
      <c r="K106" s="102"/>
      <c r="L106" s="102"/>
    </row>
    <row r="107">
      <c r="A107" s="97"/>
      <c r="B107" s="97"/>
      <c r="C107" s="98"/>
      <c r="D107" s="98"/>
      <c r="E107" s="97"/>
      <c r="F107" s="97"/>
      <c r="G107" s="100"/>
      <c r="H107" s="101"/>
      <c r="I107" s="102"/>
      <c r="J107" s="102"/>
      <c r="K107" s="102"/>
      <c r="L107" s="102"/>
    </row>
    <row r="108">
      <c r="A108" s="97"/>
      <c r="B108" s="97"/>
      <c r="C108" s="98"/>
      <c r="D108" s="98"/>
      <c r="E108" s="97"/>
      <c r="F108" s="97"/>
      <c r="G108" s="100"/>
      <c r="H108" s="101"/>
      <c r="I108" s="102"/>
      <c r="J108" s="102"/>
      <c r="K108" s="102"/>
      <c r="L108" s="102"/>
    </row>
    <row r="109">
      <c r="A109" s="97"/>
      <c r="B109" s="97"/>
      <c r="C109" s="98"/>
      <c r="D109" s="98"/>
      <c r="E109" s="97"/>
      <c r="F109" s="97"/>
      <c r="G109" s="100"/>
      <c r="H109" s="101"/>
      <c r="I109" s="102"/>
      <c r="J109" s="102"/>
      <c r="K109" s="102"/>
      <c r="L109" s="102"/>
    </row>
    <row r="110">
      <c r="A110" s="97"/>
      <c r="B110" s="97"/>
      <c r="C110" s="98"/>
      <c r="D110" s="98"/>
      <c r="E110" s="97"/>
      <c r="F110" s="97"/>
      <c r="G110" s="100"/>
      <c r="H110" s="101"/>
      <c r="I110" s="102"/>
      <c r="J110" s="102"/>
      <c r="K110" s="102"/>
      <c r="L110" s="102"/>
    </row>
    <row r="111">
      <c r="A111" s="97"/>
      <c r="B111" s="97"/>
      <c r="C111" s="98"/>
      <c r="D111" s="98"/>
      <c r="E111" s="97"/>
      <c r="F111" s="97"/>
      <c r="G111" s="100"/>
      <c r="H111" s="101"/>
      <c r="I111" s="102"/>
      <c r="J111" s="102"/>
      <c r="K111" s="102"/>
      <c r="L111" s="102"/>
    </row>
    <row r="112">
      <c r="A112" s="97"/>
      <c r="B112" s="97"/>
      <c r="C112" s="98"/>
      <c r="D112" s="98"/>
      <c r="E112" s="97"/>
      <c r="F112" s="97"/>
      <c r="G112" s="100"/>
      <c r="H112" s="101"/>
      <c r="I112" s="102"/>
      <c r="J112" s="102"/>
      <c r="K112" s="102"/>
      <c r="L112" s="102"/>
    </row>
    <row r="113">
      <c r="A113" s="97"/>
      <c r="B113" s="97"/>
      <c r="C113" s="98"/>
      <c r="D113" s="98"/>
      <c r="E113" s="97"/>
      <c r="F113" s="97"/>
      <c r="G113" s="100"/>
      <c r="H113" s="101"/>
      <c r="I113" s="102"/>
      <c r="J113" s="102"/>
      <c r="K113" s="102"/>
      <c r="L113" s="102"/>
    </row>
    <row r="114">
      <c r="A114" s="97"/>
      <c r="B114" s="97"/>
      <c r="C114" s="98"/>
      <c r="D114" s="98"/>
      <c r="E114" s="97"/>
      <c r="F114" s="97"/>
      <c r="G114" s="100"/>
      <c r="H114" s="101"/>
      <c r="I114" s="102"/>
      <c r="J114" s="102"/>
      <c r="K114" s="102"/>
      <c r="L114" s="102"/>
    </row>
    <row r="115">
      <c r="A115" s="97"/>
      <c r="B115" s="97"/>
      <c r="C115" s="98"/>
      <c r="D115" s="98"/>
      <c r="E115" s="97"/>
      <c r="F115" s="97"/>
      <c r="G115" s="100"/>
      <c r="H115" s="101"/>
      <c r="I115" s="102"/>
      <c r="J115" s="102"/>
      <c r="K115" s="102"/>
      <c r="L115" s="102"/>
    </row>
    <row r="116">
      <c r="A116" s="97"/>
      <c r="B116" s="97"/>
      <c r="C116" s="98"/>
      <c r="D116" s="98"/>
      <c r="E116" s="97"/>
      <c r="F116" s="97"/>
      <c r="G116" s="100"/>
      <c r="H116" s="101"/>
      <c r="I116" s="102"/>
      <c r="J116" s="102"/>
      <c r="K116" s="102"/>
      <c r="L116" s="102"/>
    </row>
    <row r="117">
      <c r="A117" s="97"/>
      <c r="B117" s="97"/>
      <c r="C117" s="98"/>
      <c r="D117" s="98"/>
      <c r="E117" s="97"/>
      <c r="F117" s="97"/>
      <c r="G117" s="100"/>
      <c r="H117" s="101"/>
      <c r="I117" s="102"/>
      <c r="J117" s="102"/>
      <c r="K117" s="102"/>
      <c r="L117" s="102"/>
    </row>
    <row r="118">
      <c r="A118" s="97"/>
      <c r="B118" s="97"/>
      <c r="C118" s="98"/>
      <c r="D118" s="98"/>
      <c r="E118" s="97"/>
      <c r="F118" s="97"/>
      <c r="G118" s="100"/>
      <c r="H118" s="101"/>
      <c r="I118" s="102"/>
      <c r="J118" s="102"/>
      <c r="K118" s="102"/>
      <c r="L118" s="102"/>
    </row>
    <row r="119">
      <c r="A119" s="97"/>
      <c r="B119" s="97"/>
      <c r="C119" s="98"/>
      <c r="D119" s="98"/>
      <c r="E119" s="97"/>
      <c r="F119" s="97"/>
      <c r="G119" s="100"/>
      <c r="H119" s="101"/>
      <c r="I119" s="102"/>
      <c r="J119" s="102"/>
      <c r="K119" s="102"/>
      <c r="L119" s="102"/>
    </row>
    <row r="120">
      <c r="A120" s="97"/>
      <c r="B120" s="97"/>
      <c r="C120" s="98"/>
      <c r="D120" s="98"/>
      <c r="E120" s="97"/>
      <c r="F120" s="97"/>
      <c r="G120" s="100"/>
      <c r="H120" s="101"/>
      <c r="I120" s="102"/>
      <c r="J120" s="102"/>
      <c r="K120" s="102"/>
      <c r="L120" s="102"/>
    </row>
    <row r="121">
      <c r="A121" s="97"/>
      <c r="B121" s="97"/>
      <c r="C121" s="98"/>
      <c r="D121" s="98"/>
      <c r="E121" s="97"/>
      <c r="F121" s="97"/>
      <c r="G121" s="100"/>
      <c r="H121" s="101"/>
      <c r="I121" s="102"/>
      <c r="J121" s="102"/>
      <c r="K121" s="102"/>
      <c r="L121" s="102"/>
    </row>
    <row r="122">
      <c r="A122" s="97"/>
      <c r="B122" s="97"/>
      <c r="C122" s="98"/>
      <c r="D122" s="98"/>
      <c r="E122" s="97"/>
      <c r="F122" s="97"/>
      <c r="G122" s="100"/>
      <c r="H122" s="101"/>
      <c r="I122" s="102"/>
      <c r="J122" s="102"/>
      <c r="K122" s="102"/>
      <c r="L122" s="102"/>
    </row>
    <row r="123">
      <c r="A123" s="97"/>
      <c r="B123" s="97"/>
      <c r="C123" s="98"/>
      <c r="D123" s="98"/>
      <c r="E123" s="97"/>
      <c r="F123" s="97"/>
      <c r="G123" s="100"/>
      <c r="H123" s="101"/>
      <c r="I123" s="102"/>
      <c r="J123" s="102"/>
      <c r="K123" s="102"/>
      <c r="L123" s="102"/>
    </row>
    <row r="124">
      <c r="A124" s="97"/>
      <c r="B124" s="97"/>
      <c r="C124" s="98"/>
      <c r="D124" s="98"/>
      <c r="E124" s="97"/>
      <c r="F124" s="97"/>
      <c r="G124" s="100"/>
      <c r="H124" s="101"/>
      <c r="I124" s="102"/>
      <c r="J124" s="102"/>
      <c r="K124" s="102"/>
      <c r="L124" s="102"/>
    </row>
    <row r="125">
      <c r="A125" s="97"/>
      <c r="B125" s="97"/>
      <c r="C125" s="98"/>
      <c r="D125" s="98"/>
      <c r="E125" s="97"/>
      <c r="F125" s="97"/>
      <c r="G125" s="100"/>
      <c r="H125" s="101"/>
      <c r="I125" s="102"/>
      <c r="J125" s="102"/>
      <c r="K125" s="102"/>
      <c r="L125" s="102"/>
    </row>
    <row r="126">
      <c r="A126" s="97"/>
      <c r="B126" s="97"/>
      <c r="C126" s="98"/>
      <c r="D126" s="98"/>
      <c r="E126" s="97"/>
      <c r="F126" s="97"/>
      <c r="G126" s="100"/>
      <c r="H126" s="101"/>
      <c r="I126" s="102"/>
      <c r="J126" s="102"/>
      <c r="K126" s="102"/>
      <c r="L126" s="102"/>
    </row>
    <row r="127">
      <c r="A127" s="97"/>
      <c r="B127" s="97"/>
      <c r="C127" s="98"/>
      <c r="D127" s="98"/>
      <c r="E127" s="97"/>
      <c r="F127" s="97"/>
      <c r="G127" s="100"/>
      <c r="H127" s="101"/>
      <c r="I127" s="102"/>
      <c r="J127" s="102"/>
      <c r="K127" s="102"/>
      <c r="L127" s="102"/>
    </row>
    <row r="128">
      <c r="A128" s="97"/>
      <c r="B128" s="97"/>
      <c r="C128" s="98"/>
      <c r="D128" s="98"/>
      <c r="E128" s="97"/>
      <c r="F128" s="97"/>
      <c r="G128" s="100"/>
      <c r="H128" s="101"/>
      <c r="I128" s="102"/>
      <c r="J128" s="102"/>
      <c r="K128" s="102"/>
      <c r="L128" s="102"/>
    </row>
    <row r="129">
      <c r="A129" s="97"/>
      <c r="B129" s="97"/>
      <c r="C129" s="98"/>
      <c r="D129" s="98"/>
      <c r="E129" s="97"/>
      <c r="F129" s="97"/>
      <c r="G129" s="100"/>
      <c r="H129" s="101"/>
      <c r="I129" s="102"/>
      <c r="J129" s="102"/>
      <c r="K129" s="102"/>
      <c r="L129" s="102"/>
    </row>
    <row r="130">
      <c r="A130" s="97"/>
      <c r="B130" s="97"/>
      <c r="C130" s="98"/>
      <c r="D130" s="98"/>
      <c r="E130" s="97"/>
      <c r="F130" s="97"/>
      <c r="G130" s="100"/>
      <c r="H130" s="101"/>
      <c r="I130" s="102"/>
      <c r="J130" s="102"/>
      <c r="K130" s="102"/>
      <c r="L130" s="102"/>
    </row>
    <row r="131">
      <c r="A131" s="97"/>
      <c r="B131" s="97"/>
      <c r="C131" s="98"/>
      <c r="D131" s="98"/>
      <c r="E131" s="97"/>
      <c r="F131" s="97"/>
      <c r="G131" s="100"/>
      <c r="H131" s="101"/>
      <c r="I131" s="102"/>
      <c r="J131" s="102"/>
      <c r="K131" s="102"/>
      <c r="L131" s="102"/>
    </row>
    <row r="132">
      <c r="A132" s="97"/>
      <c r="B132" s="97"/>
      <c r="C132" s="98"/>
      <c r="D132" s="98"/>
      <c r="E132" s="97"/>
      <c r="F132" s="97"/>
      <c r="G132" s="100"/>
      <c r="H132" s="101"/>
      <c r="I132" s="102"/>
      <c r="J132" s="102"/>
      <c r="K132" s="102"/>
      <c r="L132" s="102"/>
    </row>
    <row r="133">
      <c r="A133" s="97"/>
      <c r="B133" s="97"/>
      <c r="C133" s="98"/>
      <c r="D133" s="98"/>
      <c r="E133" s="97"/>
      <c r="F133" s="97"/>
      <c r="G133" s="100"/>
      <c r="H133" s="101"/>
      <c r="I133" s="102"/>
      <c r="J133" s="102"/>
      <c r="K133" s="102"/>
      <c r="L133" s="102"/>
    </row>
    <row r="134">
      <c r="A134" s="97"/>
      <c r="B134" s="97"/>
      <c r="C134" s="98"/>
      <c r="D134" s="98"/>
      <c r="E134" s="97"/>
      <c r="F134" s="97"/>
      <c r="G134" s="100"/>
      <c r="H134" s="101"/>
      <c r="I134" s="102"/>
      <c r="J134" s="102"/>
      <c r="K134" s="102"/>
      <c r="L134" s="102"/>
    </row>
    <row r="135">
      <c r="A135" s="97"/>
      <c r="B135" s="97"/>
      <c r="C135" s="98"/>
      <c r="D135" s="98"/>
      <c r="E135" s="97"/>
      <c r="F135" s="97"/>
      <c r="G135" s="100"/>
      <c r="H135" s="101"/>
      <c r="I135" s="102"/>
      <c r="J135" s="102"/>
      <c r="K135" s="102"/>
      <c r="L135" s="102"/>
    </row>
    <row r="136">
      <c r="A136" s="97"/>
      <c r="B136" s="97"/>
      <c r="C136" s="98"/>
      <c r="D136" s="98"/>
      <c r="E136" s="97"/>
      <c r="F136" s="97"/>
      <c r="G136" s="100"/>
      <c r="H136" s="101"/>
      <c r="I136" s="102"/>
      <c r="J136" s="102"/>
      <c r="K136" s="102"/>
      <c r="L136" s="102"/>
    </row>
    <row r="137">
      <c r="A137" s="97"/>
      <c r="B137" s="97"/>
      <c r="C137" s="98"/>
      <c r="D137" s="98"/>
      <c r="E137" s="97"/>
      <c r="F137" s="97"/>
      <c r="G137" s="100"/>
      <c r="H137" s="101"/>
      <c r="I137" s="102"/>
      <c r="J137" s="102"/>
      <c r="K137" s="102"/>
      <c r="L137" s="102"/>
    </row>
    <row r="138">
      <c r="A138" s="97"/>
      <c r="B138" s="97"/>
      <c r="C138" s="98"/>
      <c r="D138" s="98"/>
      <c r="E138" s="97"/>
      <c r="F138" s="97"/>
      <c r="G138" s="100"/>
      <c r="H138" s="101"/>
    </row>
    <row r="139">
      <c r="A139" s="97"/>
      <c r="B139" s="97"/>
      <c r="C139" s="98"/>
      <c r="D139" s="98"/>
      <c r="E139" s="97"/>
      <c r="F139" s="97"/>
      <c r="G139" s="100"/>
      <c r="H139" s="101"/>
    </row>
    <row r="140">
      <c r="A140" s="97"/>
      <c r="B140" s="97"/>
      <c r="C140" s="98"/>
      <c r="D140" s="98"/>
      <c r="E140" s="97"/>
      <c r="F140" s="97"/>
      <c r="G140" s="100"/>
      <c r="H140" s="101"/>
    </row>
    <row r="141">
      <c r="A141" s="97"/>
      <c r="B141" s="97"/>
      <c r="C141" s="98"/>
      <c r="D141" s="98"/>
      <c r="E141" s="97"/>
      <c r="F141" s="97"/>
      <c r="G141" s="100"/>
      <c r="H141" s="101"/>
    </row>
    <row r="142">
      <c r="A142" s="97"/>
      <c r="B142" s="97"/>
      <c r="C142" s="98"/>
      <c r="D142" s="98"/>
      <c r="E142" s="97"/>
      <c r="F142" s="97"/>
      <c r="G142" s="100"/>
      <c r="H142" s="101"/>
    </row>
    <row r="143">
      <c r="A143" s="97"/>
      <c r="B143" s="97"/>
      <c r="C143" s="98"/>
      <c r="D143" s="98"/>
      <c r="E143" s="97"/>
      <c r="F143" s="97"/>
      <c r="G143" s="100"/>
      <c r="H143" s="101"/>
    </row>
    <row r="144">
      <c r="A144" s="97"/>
      <c r="B144" s="97"/>
      <c r="C144" s="98"/>
      <c r="D144" s="98"/>
      <c r="E144" s="97"/>
      <c r="F144" s="97"/>
      <c r="G144" s="100"/>
      <c r="H144" s="101"/>
      <c r="I144" s="102"/>
      <c r="J144" s="102"/>
      <c r="K144" s="102"/>
      <c r="L144" s="102"/>
    </row>
    <row r="145">
      <c r="A145" s="97"/>
      <c r="B145" s="97"/>
      <c r="C145" s="98"/>
      <c r="D145" s="98"/>
      <c r="E145" s="97"/>
      <c r="F145" s="97"/>
      <c r="G145" s="100"/>
      <c r="H145" s="101"/>
    </row>
    <row r="146">
      <c r="A146" s="97"/>
      <c r="B146" s="97"/>
      <c r="C146" s="98"/>
      <c r="D146" s="98"/>
      <c r="E146" s="97"/>
      <c r="F146" s="97"/>
      <c r="G146" s="100"/>
      <c r="H146" s="101"/>
    </row>
    <row r="147">
      <c r="A147" s="97"/>
      <c r="B147" s="97"/>
      <c r="C147" s="98"/>
      <c r="D147" s="98"/>
      <c r="E147" s="97"/>
      <c r="F147" s="97"/>
      <c r="G147" s="100"/>
      <c r="H147" s="101"/>
    </row>
    <row r="148">
      <c r="A148" s="97"/>
      <c r="B148" s="97"/>
      <c r="C148" s="98"/>
      <c r="D148" s="98"/>
      <c r="E148" s="97"/>
      <c r="F148" s="97"/>
      <c r="G148" s="100"/>
      <c r="H148" s="101"/>
      <c r="I148" s="102"/>
      <c r="J148" s="102"/>
      <c r="K148" s="102"/>
      <c r="L148" s="102"/>
    </row>
    <row r="149">
      <c r="A149" s="97"/>
      <c r="B149" s="97"/>
      <c r="C149" s="98"/>
      <c r="D149" s="98"/>
      <c r="E149" s="97"/>
      <c r="F149" s="97"/>
      <c r="G149" s="100"/>
      <c r="H149" s="101"/>
    </row>
    <row r="150">
      <c r="A150" s="97"/>
      <c r="B150" s="97"/>
      <c r="C150" s="98"/>
      <c r="D150" s="98"/>
      <c r="E150" s="97"/>
      <c r="F150" s="97"/>
      <c r="G150" s="100"/>
      <c r="H150" s="101"/>
    </row>
    <row r="151">
      <c r="A151" s="97"/>
      <c r="B151" s="97"/>
      <c r="C151" s="98"/>
      <c r="D151" s="98"/>
      <c r="E151" s="97"/>
      <c r="F151" s="97"/>
      <c r="G151" s="100"/>
      <c r="H151" s="101"/>
    </row>
    <row r="152">
      <c r="A152" s="97"/>
      <c r="B152" s="97"/>
      <c r="C152" s="98"/>
      <c r="D152" s="98"/>
      <c r="E152" s="97"/>
      <c r="F152" s="97"/>
      <c r="G152" s="100"/>
      <c r="H152" s="101"/>
      <c r="I152" s="102"/>
      <c r="J152" s="102"/>
      <c r="K152" s="102"/>
      <c r="L152" s="102"/>
    </row>
    <row r="153">
      <c r="A153" s="97"/>
      <c r="B153" s="97"/>
      <c r="C153" s="98"/>
      <c r="D153" s="98"/>
      <c r="E153" s="97"/>
      <c r="F153" s="97"/>
      <c r="G153" s="100"/>
      <c r="H153" s="101"/>
      <c r="I153" s="102"/>
      <c r="J153" s="102"/>
      <c r="K153" s="102"/>
      <c r="L153" s="102"/>
    </row>
    <row r="154">
      <c r="A154" s="97"/>
      <c r="B154" s="97"/>
      <c r="C154" s="98"/>
      <c r="D154" s="98"/>
      <c r="E154" s="97"/>
      <c r="F154" s="97"/>
      <c r="G154" s="100"/>
      <c r="H154" s="101"/>
      <c r="I154" s="102"/>
      <c r="J154" s="102"/>
      <c r="K154" s="102"/>
      <c r="L154" s="102"/>
    </row>
    <row r="155">
      <c r="A155" s="97"/>
      <c r="B155" s="97"/>
      <c r="C155" s="98"/>
      <c r="D155" s="98"/>
      <c r="E155" s="97"/>
      <c r="F155" s="97"/>
      <c r="G155" s="100"/>
      <c r="H155" s="101"/>
    </row>
    <row r="156">
      <c r="A156" s="97"/>
      <c r="B156" s="97"/>
      <c r="C156" s="98"/>
      <c r="D156" s="98"/>
      <c r="E156" s="97"/>
      <c r="F156" s="97"/>
      <c r="G156" s="100"/>
      <c r="H156" s="101"/>
    </row>
    <row r="157">
      <c r="A157" s="97"/>
      <c r="B157" s="97"/>
      <c r="C157" s="98"/>
      <c r="D157" s="98"/>
      <c r="E157" s="97"/>
      <c r="F157" s="97"/>
      <c r="G157" s="100"/>
      <c r="H157" s="101"/>
    </row>
    <row r="158">
      <c r="A158" s="97"/>
      <c r="B158" s="97"/>
      <c r="C158" s="98"/>
      <c r="D158" s="98"/>
      <c r="E158" s="97"/>
      <c r="F158" s="97"/>
      <c r="G158" s="100"/>
      <c r="H158" s="101"/>
    </row>
    <row r="159">
      <c r="A159" s="97"/>
      <c r="B159" s="97"/>
      <c r="C159" s="98"/>
      <c r="D159" s="98"/>
      <c r="E159" s="97"/>
      <c r="F159" s="97"/>
      <c r="G159" s="100"/>
      <c r="H159" s="101"/>
    </row>
    <row r="160">
      <c r="A160" s="97"/>
      <c r="B160" s="97"/>
      <c r="C160" s="98"/>
      <c r="D160" s="98"/>
      <c r="E160" s="97"/>
      <c r="F160" s="97"/>
      <c r="G160" s="100"/>
      <c r="H160" s="101"/>
    </row>
    <row r="161">
      <c r="A161" s="97"/>
      <c r="B161" s="97"/>
      <c r="C161" s="98"/>
      <c r="D161" s="98"/>
      <c r="E161" s="97"/>
      <c r="F161" s="97"/>
      <c r="G161" s="100"/>
      <c r="H161" s="101"/>
    </row>
    <row r="162">
      <c r="A162" s="97"/>
      <c r="B162" s="97"/>
      <c r="C162" s="98"/>
      <c r="D162" s="98"/>
      <c r="E162" s="97"/>
      <c r="F162" s="97"/>
      <c r="G162" s="100"/>
      <c r="H162" s="101"/>
      <c r="I162" s="102"/>
      <c r="J162" s="102"/>
      <c r="K162" s="102"/>
      <c r="L162" s="102"/>
    </row>
    <row r="163">
      <c r="A163" s="97"/>
      <c r="B163" s="97"/>
      <c r="C163" s="98"/>
      <c r="D163" s="98"/>
      <c r="E163" s="97"/>
      <c r="F163" s="97"/>
      <c r="G163" s="100"/>
      <c r="H163" s="101"/>
      <c r="I163" s="102"/>
      <c r="J163" s="102"/>
      <c r="K163" s="102"/>
      <c r="L163" s="102"/>
    </row>
    <row r="164">
      <c r="A164" s="97"/>
      <c r="B164" s="97"/>
      <c r="C164" s="98"/>
      <c r="D164" s="98"/>
      <c r="E164" s="97"/>
      <c r="F164" s="97"/>
      <c r="G164" s="100"/>
      <c r="H164" s="101"/>
      <c r="I164" s="102"/>
      <c r="J164" s="102"/>
      <c r="K164" s="102"/>
      <c r="L164" s="102"/>
    </row>
    <row r="165">
      <c r="A165" s="97"/>
      <c r="B165" s="97"/>
      <c r="C165" s="98"/>
      <c r="D165" s="98"/>
      <c r="E165" s="97"/>
      <c r="F165" s="97"/>
      <c r="G165" s="100"/>
      <c r="H165" s="101"/>
      <c r="I165" s="102"/>
      <c r="J165" s="102"/>
      <c r="K165" s="102"/>
      <c r="L165" s="102"/>
    </row>
    <row r="166">
      <c r="A166" s="97"/>
      <c r="B166" s="97"/>
      <c r="C166" s="98"/>
      <c r="D166" s="98"/>
      <c r="E166" s="97"/>
      <c r="F166" s="97"/>
      <c r="G166" s="100"/>
      <c r="H166" s="101"/>
      <c r="I166" s="102"/>
      <c r="J166" s="102"/>
      <c r="K166" s="102"/>
      <c r="L166" s="102"/>
    </row>
    <row r="167">
      <c r="A167" s="97"/>
      <c r="B167" s="97"/>
      <c r="C167" s="98"/>
      <c r="D167" s="98"/>
      <c r="E167" s="97"/>
      <c r="F167" s="97"/>
      <c r="G167" s="100"/>
      <c r="H167" s="101"/>
      <c r="I167" s="102"/>
      <c r="J167" s="102"/>
      <c r="K167" s="102"/>
      <c r="L167" s="102"/>
    </row>
    <row r="168">
      <c r="A168" s="97"/>
      <c r="B168" s="97"/>
      <c r="C168" s="98"/>
      <c r="D168" s="98"/>
      <c r="E168" s="97"/>
      <c r="F168" s="97"/>
      <c r="G168" s="100"/>
      <c r="H168" s="101"/>
      <c r="I168" s="102"/>
      <c r="J168" s="102"/>
      <c r="K168" s="102"/>
      <c r="L168" s="102"/>
    </row>
    <row r="169">
      <c r="A169" s="97"/>
      <c r="B169" s="97"/>
      <c r="C169" s="98"/>
      <c r="D169" s="98"/>
      <c r="E169" s="97"/>
      <c r="F169" s="97"/>
      <c r="G169" s="100"/>
      <c r="H169" s="101"/>
      <c r="I169" s="102"/>
      <c r="J169" s="102"/>
      <c r="K169" s="102"/>
      <c r="L169" s="102"/>
    </row>
    <row r="170">
      <c r="A170" s="97"/>
      <c r="B170" s="97"/>
      <c r="C170" s="98"/>
      <c r="D170" s="98"/>
      <c r="E170" s="97"/>
      <c r="F170" s="97"/>
      <c r="G170" s="100"/>
      <c r="H170" s="101"/>
      <c r="I170" s="102"/>
      <c r="J170" s="102"/>
      <c r="K170" s="102"/>
      <c r="L170" s="102"/>
    </row>
    <row r="171">
      <c r="A171" s="97"/>
      <c r="B171" s="97"/>
      <c r="C171" s="98"/>
      <c r="D171" s="98"/>
      <c r="E171" s="97"/>
      <c r="F171" s="97"/>
      <c r="G171" s="100"/>
      <c r="H171" s="101"/>
      <c r="I171" s="102"/>
      <c r="J171" s="102"/>
      <c r="K171" s="102"/>
      <c r="L171" s="102"/>
    </row>
    <row r="172">
      <c r="A172" s="97"/>
      <c r="B172" s="97"/>
      <c r="C172" s="98"/>
      <c r="D172" s="98"/>
      <c r="E172" s="97"/>
      <c r="F172" s="97"/>
      <c r="G172" s="100"/>
      <c r="H172" s="101"/>
      <c r="I172" s="102"/>
      <c r="J172" s="102"/>
      <c r="K172" s="102"/>
      <c r="L172" s="102"/>
    </row>
    <row r="173">
      <c r="A173" s="97"/>
      <c r="B173" s="97"/>
      <c r="C173" s="98"/>
      <c r="D173" s="98"/>
      <c r="E173" s="97"/>
      <c r="F173" s="97"/>
      <c r="G173" s="100"/>
      <c r="H173" s="101"/>
      <c r="I173" s="102"/>
      <c r="J173" s="102"/>
      <c r="K173" s="102"/>
      <c r="L173" s="102"/>
    </row>
    <row r="174">
      <c r="A174" s="97"/>
      <c r="B174" s="97"/>
      <c r="C174" s="98"/>
      <c r="D174" s="98"/>
      <c r="E174" s="97"/>
      <c r="F174" s="97"/>
      <c r="G174" s="100"/>
      <c r="H174" s="101"/>
      <c r="I174" s="102"/>
      <c r="J174" s="102"/>
      <c r="K174" s="102"/>
      <c r="L174" s="102"/>
    </row>
    <row r="175">
      <c r="A175" s="97"/>
      <c r="B175" s="97"/>
      <c r="C175" s="98"/>
      <c r="D175" s="98"/>
      <c r="E175" s="97"/>
      <c r="F175" s="97"/>
      <c r="G175" s="100"/>
      <c r="H175" s="101"/>
      <c r="I175" s="102"/>
      <c r="J175" s="102"/>
      <c r="K175" s="102"/>
      <c r="L175" s="102"/>
    </row>
    <row r="176">
      <c r="A176" s="97"/>
      <c r="B176" s="97"/>
      <c r="C176" s="98"/>
      <c r="D176" s="98"/>
      <c r="E176" s="97"/>
      <c r="F176" s="97"/>
      <c r="G176" s="100"/>
      <c r="H176" s="101"/>
      <c r="I176" s="102"/>
      <c r="J176" s="102"/>
      <c r="K176" s="102"/>
      <c r="L176" s="102"/>
    </row>
    <row r="177">
      <c r="A177" s="97"/>
      <c r="B177" s="97"/>
      <c r="C177" s="98"/>
      <c r="D177" s="98"/>
      <c r="E177" s="97"/>
      <c r="F177" s="97"/>
      <c r="G177" s="100"/>
      <c r="H177" s="101"/>
      <c r="I177" s="102"/>
      <c r="J177" s="102"/>
      <c r="K177" s="102"/>
      <c r="L177" s="102"/>
    </row>
    <row r="178">
      <c r="A178" s="97"/>
      <c r="B178" s="97"/>
      <c r="C178" s="98"/>
      <c r="D178" s="98"/>
      <c r="E178" s="97"/>
      <c r="F178" s="97"/>
      <c r="G178" s="100"/>
      <c r="H178" s="101"/>
      <c r="I178" s="102"/>
      <c r="J178" s="102"/>
      <c r="K178" s="102"/>
      <c r="L178" s="102"/>
    </row>
    <row r="179">
      <c r="A179" s="97"/>
      <c r="B179" s="97"/>
      <c r="C179" s="98"/>
      <c r="D179" s="98"/>
      <c r="E179" s="97"/>
      <c r="F179" s="97"/>
      <c r="G179" s="100"/>
      <c r="H179" s="101"/>
      <c r="I179" s="102"/>
      <c r="J179" s="102"/>
      <c r="K179" s="102"/>
      <c r="L179" s="102"/>
    </row>
    <row r="180">
      <c r="A180" s="97"/>
      <c r="B180" s="97"/>
      <c r="C180" s="98"/>
      <c r="D180" s="98"/>
      <c r="E180" s="97"/>
      <c r="F180" s="97"/>
      <c r="G180" s="100"/>
      <c r="H180" s="101"/>
      <c r="I180" s="102"/>
      <c r="J180" s="102"/>
      <c r="K180" s="102"/>
      <c r="L180" s="102"/>
    </row>
    <row r="181">
      <c r="A181" s="97"/>
      <c r="B181" s="97"/>
      <c r="C181" s="98"/>
      <c r="D181" s="98"/>
      <c r="E181" s="97"/>
      <c r="F181" s="97"/>
      <c r="G181" s="100"/>
      <c r="H181" s="101"/>
      <c r="I181" s="102"/>
      <c r="J181" s="102"/>
      <c r="K181" s="102"/>
      <c r="L181" s="102"/>
    </row>
    <row r="182">
      <c r="A182" s="97"/>
      <c r="B182" s="97"/>
      <c r="C182" s="98"/>
      <c r="D182" s="98"/>
      <c r="E182" s="97"/>
      <c r="F182" s="97"/>
      <c r="G182" s="100"/>
      <c r="H182" s="101"/>
      <c r="I182" s="102"/>
      <c r="J182" s="102"/>
      <c r="K182" s="102"/>
      <c r="L182" s="102"/>
    </row>
    <row r="183">
      <c r="A183" s="97"/>
      <c r="B183" s="97"/>
      <c r="C183" s="98"/>
      <c r="D183" s="98"/>
      <c r="E183" s="97"/>
      <c r="F183" s="97"/>
      <c r="G183" s="100"/>
      <c r="H183" s="101"/>
      <c r="I183" s="102"/>
      <c r="J183" s="102"/>
      <c r="K183" s="102"/>
      <c r="L183" s="102"/>
    </row>
    <row r="184">
      <c r="A184" s="97"/>
      <c r="B184" s="97"/>
      <c r="C184" s="98"/>
      <c r="D184" s="98"/>
      <c r="E184" s="97"/>
      <c r="F184" s="97"/>
      <c r="G184" s="100"/>
      <c r="H184" s="101"/>
      <c r="I184" s="102"/>
      <c r="J184" s="102"/>
      <c r="K184" s="102"/>
      <c r="L184" s="102"/>
    </row>
    <row r="185">
      <c r="A185" s="97"/>
      <c r="B185" s="97"/>
      <c r="C185" s="98"/>
      <c r="D185" s="98"/>
      <c r="E185" s="97"/>
      <c r="F185" s="97"/>
      <c r="G185" s="100"/>
      <c r="H185" s="101"/>
    </row>
    <row r="186">
      <c r="A186" s="97"/>
      <c r="B186" s="97"/>
      <c r="C186" s="98"/>
      <c r="D186" s="98"/>
      <c r="E186" s="97"/>
      <c r="F186" s="97"/>
      <c r="G186" s="100"/>
      <c r="H186" s="101"/>
    </row>
    <row r="187">
      <c r="A187" s="97"/>
      <c r="B187" s="97"/>
      <c r="C187" s="98"/>
      <c r="D187" s="98"/>
      <c r="E187" s="97"/>
      <c r="F187" s="97"/>
      <c r="G187" s="100"/>
      <c r="H187" s="101"/>
    </row>
    <row r="188">
      <c r="A188" s="97"/>
      <c r="B188" s="97"/>
      <c r="C188" s="98"/>
      <c r="D188" s="98"/>
      <c r="E188" s="97"/>
      <c r="F188" s="97"/>
      <c r="G188" s="100"/>
      <c r="H188" s="101"/>
    </row>
    <row r="189">
      <c r="A189" s="97"/>
      <c r="B189" s="97"/>
      <c r="C189" s="98"/>
      <c r="D189" s="98"/>
      <c r="E189" s="97"/>
      <c r="F189" s="97"/>
      <c r="G189" s="100"/>
      <c r="H189" s="101"/>
    </row>
    <row r="190">
      <c r="A190" s="97"/>
      <c r="B190" s="97"/>
      <c r="C190" s="98"/>
      <c r="D190" s="98"/>
      <c r="E190" s="97"/>
      <c r="F190" s="97"/>
      <c r="G190" s="100"/>
      <c r="H190" s="101"/>
    </row>
    <row r="191">
      <c r="A191" s="97"/>
      <c r="B191" s="97"/>
      <c r="C191" s="98"/>
      <c r="D191" s="98"/>
      <c r="E191" s="97"/>
      <c r="F191" s="97"/>
      <c r="G191" s="100"/>
      <c r="H191" s="101"/>
    </row>
    <row r="192">
      <c r="A192" s="97"/>
      <c r="B192" s="97"/>
      <c r="C192" s="98"/>
      <c r="D192" s="98"/>
      <c r="E192" s="97"/>
      <c r="F192" s="97"/>
      <c r="G192" s="100"/>
      <c r="H192" s="101"/>
    </row>
    <row r="193">
      <c r="A193" s="97"/>
      <c r="B193" s="97"/>
      <c r="C193" s="98"/>
      <c r="D193" s="98"/>
      <c r="E193" s="97"/>
      <c r="F193" s="97"/>
      <c r="G193" s="100"/>
      <c r="H193" s="101"/>
    </row>
    <row r="194">
      <c r="A194" s="97"/>
      <c r="B194" s="97"/>
      <c r="C194" s="98"/>
      <c r="D194" s="98"/>
      <c r="E194" s="97"/>
      <c r="F194" s="97"/>
      <c r="G194" s="100"/>
      <c r="H194" s="101"/>
    </row>
    <row r="195">
      <c r="A195" s="97"/>
      <c r="B195" s="97"/>
      <c r="C195" s="98"/>
      <c r="D195" s="98"/>
      <c r="E195" s="97"/>
      <c r="F195" s="97"/>
      <c r="G195" s="100"/>
      <c r="H195" s="101"/>
    </row>
    <row r="196">
      <c r="A196" s="97"/>
      <c r="B196" s="97"/>
      <c r="C196" s="98"/>
      <c r="D196" s="98"/>
      <c r="E196" s="97"/>
      <c r="F196" s="97"/>
      <c r="G196" s="100"/>
      <c r="H196" s="101"/>
    </row>
    <row r="197">
      <c r="A197" s="97"/>
      <c r="B197" s="97"/>
      <c r="C197" s="98"/>
      <c r="D197" s="98"/>
      <c r="E197" s="97"/>
      <c r="F197" s="97"/>
      <c r="G197" s="100"/>
      <c r="H197" s="101"/>
    </row>
    <row r="198">
      <c r="A198" s="97"/>
      <c r="B198" s="97"/>
      <c r="C198" s="98"/>
      <c r="D198" s="98"/>
      <c r="E198" s="97"/>
      <c r="F198" s="97"/>
      <c r="G198" s="100"/>
      <c r="H198" s="101"/>
    </row>
    <row r="199">
      <c r="A199" s="97"/>
      <c r="B199" s="97"/>
      <c r="C199" s="98"/>
      <c r="D199" s="98"/>
      <c r="E199" s="97"/>
      <c r="F199" s="97"/>
      <c r="G199" s="100"/>
      <c r="H199" s="101"/>
    </row>
    <row r="200">
      <c r="A200" s="97"/>
      <c r="B200" s="97"/>
      <c r="C200" s="98"/>
      <c r="D200" s="98"/>
      <c r="E200" s="97"/>
      <c r="F200" s="97"/>
      <c r="G200" s="100"/>
      <c r="H200" s="101"/>
    </row>
    <row r="201">
      <c r="A201" s="97"/>
      <c r="B201" s="97"/>
      <c r="C201" s="98"/>
      <c r="D201" s="98"/>
      <c r="E201" s="97"/>
      <c r="F201" s="97"/>
      <c r="G201" s="100"/>
      <c r="H201" s="101"/>
    </row>
    <row r="202">
      <c r="A202" s="97"/>
      <c r="B202" s="97"/>
      <c r="C202" s="98"/>
      <c r="D202" s="98"/>
      <c r="E202" s="97"/>
      <c r="F202" s="97"/>
      <c r="G202" s="100"/>
      <c r="H202" s="101"/>
    </row>
    <row r="203">
      <c r="A203" s="97"/>
      <c r="B203" s="97"/>
      <c r="C203" s="98"/>
      <c r="D203" s="98"/>
      <c r="E203" s="97"/>
      <c r="F203" s="97"/>
      <c r="G203" s="100"/>
      <c r="H203" s="101"/>
    </row>
    <row r="204">
      <c r="A204" s="97"/>
      <c r="B204" s="97"/>
      <c r="C204" s="98"/>
      <c r="D204" s="98"/>
      <c r="E204" s="97"/>
      <c r="F204" s="97"/>
      <c r="G204" s="100"/>
      <c r="H204" s="101"/>
    </row>
    <row r="205">
      <c r="A205" s="97"/>
      <c r="B205" s="97"/>
      <c r="C205" s="98"/>
      <c r="D205" s="98"/>
      <c r="E205" s="97"/>
      <c r="F205" s="97"/>
      <c r="G205" s="100"/>
      <c r="H205" s="101"/>
    </row>
    <row r="206">
      <c r="A206" s="97"/>
      <c r="B206" s="97"/>
      <c r="C206" s="98"/>
      <c r="D206" s="98"/>
      <c r="E206" s="97"/>
      <c r="F206" s="97"/>
      <c r="G206" s="100"/>
      <c r="H206" s="101"/>
    </row>
    <row r="207">
      <c r="A207" s="97"/>
      <c r="B207" s="97"/>
      <c r="C207" s="98"/>
      <c r="D207" s="98"/>
      <c r="E207" s="97"/>
      <c r="F207" s="97"/>
      <c r="G207" s="100"/>
      <c r="H207" s="101"/>
    </row>
    <row r="208">
      <c r="A208" s="97"/>
      <c r="B208" s="97"/>
      <c r="C208" s="98"/>
      <c r="D208" s="98"/>
      <c r="E208" s="97"/>
      <c r="F208" s="97"/>
      <c r="G208" s="100"/>
      <c r="H208" s="101"/>
    </row>
    <row r="209">
      <c r="A209" s="97"/>
      <c r="B209" s="97"/>
      <c r="C209" s="98"/>
      <c r="D209" s="98"/>
      <c r="E209" s="97"/>
      <c r="F209" s="97"/>
      <c r="G209" s="100"/>
      <c r="H209" s="101"/>
    </row>
    <row r="210">
      <c r="A210" s="97"/>
      <c r="B210" s="97"/>
      <c r="C210" s="98"/>
      <c r="D210" s="98"/>
      <c r="E210" s="97"/>
      <c r="F210" s="97"/>
      <c r="G210" s="100"/>
      <c r="H210" s="101"/>
    </row>
    <row r="211">
      <c r="A211" s="97"/>
      <c r="B211" s="97"/>
      <c r="C211" s="98"/>
      <c r="D211" s="98"/>
      <c r="E211" s="97"/>
      <c r="F211" s="97"/>
      <c r="G211" s="100"/>
      <c r="H211" s="101"/>
    </row>
    <row r="212">
      <c r="A212" s="97"/>
      <c r="B212" s="97"/>
      <c r="C212" s="98"/>
      <c r="D212" s="98"/>
      <c r="E212" s="97"/>
      <c r="F212" s="97"/>
      <c r="G212" s="100"/>
      <c r="H212" s="101"/>
    </row>
    <row r="213">
      <c r="A213" s="97"/>
      <c r="B213" s="97"/>
      <c r="C213" s="98"/>
      <c r="D213" s="98"/>
      <c r="E213" s="97"/>
      <c r="F213" s="97"/>
      <c r="G213" s="100"/>
      <c r="H213" s="101"/>
    </row>
    <row r="214">
      <c r="A214" s="97"/>
      <c r="B214" s="97"/>
      <c r="C214" s="98"/>
      <c r="D214" s="98"/>
      <c r="E214" s="97"/>
      <c r="F214" s="97"/>
      <c r="G214" s="100"/>
      <c r="H214" s="101"/>
    </row>
    <row r="215">
      <c r="A215" s="97"/>
      <c r="B215" s="97"/>
      <c r="C215" s="98"/>
      <c r="D215" s="98"/>
      <c r="E215" s="97"/>
      <c r="F215" s="97"/>
      <c r="G215" s="100"/>
      <c r="H215" s="101"/>
    </row>
    <row r="216">
      <c r="A216" s="97"/>
      <c r="B216" s="97"/>
      <c r="C216" s="98"/>
      <c r="D216" s="98"/>
      <c r="E216" s="97"/>
      <c r="F216" s="97"/>
      <c r="G216" s="100"/>
      <c r="H216" s="101"/>
    </row>
    <row r="217">
      <c r="A217" s="97"/>
      <c r="B217" s="97"/>
      <c r="C217" s="98"/>
      <c r="D217" s="98"/>
      <c r="E217" s="97"/>
      <c r="F217" s="97"/>
      <c r="G217" s="100"/>
      <c r="H217" s="101"/>
    </row>
    <row r="218">
      <c r="A218" s="97"/>
      <c r="B218" s="97"/>
      <c r="C218" s="98"/>
      <c r="D218" s="98"/>
      <c r="E218" s="97"/>
      <c r="F218" s="97"/>
      <c r="G218" s="100"/>
      <c r="H218" s="101"/>
    </row>
    <row r="219">
      <c r="A219" s="97"/>
      <c r="B219" s="97"/>
      <c r="C219" s="98"/>
      <c r="D219" s="98"/>
      <c r="E219" s="97"/>
      <c r="F219" s="97"/>
      <c r="G219" s="100"/>
      <c r="H219" s="101"/>
    </row>
    <row r="220">
      <c r="A220" s="97"/>
      <c r="B220" s="97"/>
      <c r="C220" s="98"/>
      <c r="D220" s="98"/>
      <c r="E220" s="97"/>
      <c r="F220" s="97"/>
      <c r="G220" s="100"/>
      <c r="H220" s="101"/>
    </row>
    <row r="221">
      <c r="A221" s="97"/>
      <c r="B221" s="97"/>
      <c r="C221" s="98"/>
      <c r="D221" s="98"/>
      <c r="E221" s="97"/>
      <c r="F221" s="97"/>
      <c r="G221" s="100"/>
      <c r="H221" s="101"/>
    </row>
    <row r="222">
      <c r="A222" s="97"/>
      <c r="B222" s="97"/>
      <c r="C222" s="98"/>
      <c r="D222" s="98"/>
      <c r="E222" s="97"/>
      <c r="F222" s="97"/>
      <c r="G222" s="100"/>
      <c r="H222" s="101"/>
    </row>
    <row r="223">
      <c r="A223" s="97"/>
      <c r="B223" s="97"/>
      <c r="C223" s="98"/>
      <c r="D223" s="98"/>
      <c r="E223" s="97"/>
      <c r="F223" s="97"/>
      <c r="G223" s="100"/>
      <c r="H223" s="101"/>
    </row>
    <row r="224">
      <c r="A224" s="97"/>
      <c r="B224" s="97"/>
      <c r="C224" s="98"/>
      <c r="D224" s="98"/>
      <c r="E224" s="97"/>
      <c r="F224" s="97"/>
      <c r="G224" s="100"/>
      <c r="H224" s="101"/>
    </row>
    <row r="225">
      <c r="A225" s="97"/>
      <c r="B225" s="97"/>
      <c r="C225" s="98"/>
      <c r="D225" s="98"/>
      <c r="E225" s="97"/>
      <c r="F225" s="97"/>
      <c r="G225" s="100"/>
      <c r="H225" s="101"/>
    </row>
    <row r="226">
      <c r="A226" s="97"/>
      <c r="B226" s="97"/>
      <c r="C226" s="98"/>
      <c r="D226" s="98"/>
      <c r="E226" s="97"/>
      <c r="F226" s="97"/>
      <c r="G226" s="100"/>
      <c r="H226" s="101"/>
    </row>
    <row r="227">
      <c r="A227" s="97"/>
      <c r="B227" s="97"/>
      <c r="C227" s="98"/>
      <c r="D227" s="98"/>
      <c r="E227" s="97"/>
      <c r="F227" s="97"/>
      <c r="G227" s="100"/>
      <c r="H227" s="101"/>
    </row>
    <row r="228">
      <c r="A228" s="97"/>
      <c r="B228" s="97"/>
      <c r="C228" s="98"/>
      <c r="D228" s="98"/>
      <c r="E228" s="97"/>
      <c r="F228" s="97"/>
      <c r="G228" s="100"/>
      <c r="H228" s="101"/>
    </row>
    <row r="229">
      <c r="A229" s="97"/>
      <c r="B229" s="97"/>
      <c r="C229" s="98"/>
      <c r="D229" s="98"/>
      <c r="E229" s="97"/>
      <c r="F229" s="97"/>
      <c r="G229" s="100"/>
      <c r="H229" s="101"/>
    </row>
    <row r="230">
      <c r="A230" s="97"/>
      <c r="B230" s="97"/>
      <c r="C230" s="98"/>
      <c r="D230" s="98"/>
      <c r="E230" s="97"/>
      <c r="F230" s="97"/>
      <c r="G230" s="100"/>
      <c r="H230" s="101"/>
    </row>
    <row r="231">
      <c r="A231" s="97"/>
      <c r="B231" s="97"/>
      <c r="C231" s="98"/>
      <c r="D231" s="98"/>
      <c r="E231" s="97"/>
      <c r="F231" s="97"/>
      <c r="G231" s="100"/>
      <c r="H231" s="101"/>
    </row>
    <row r="232">
      <c r="A232" s="97"/>
      <c r="B232" s="97"/>
      <c r="C232" s="98"/>
      <c r="D232" s="98"/>
      <c r="E232" s="97"/>
      <c r="F232" s="97"/>
      <c r="G232" s="100"/>
      <c r="H232" s="101"/>
    </row>
    <row r="233">
      <c r="A233" s="97"/>
      <c r="B233" s="97"/>
      <c r="C233" s="98"/>
      <c r="D233" s="98"/>
      <c r="E233" s="97"/>
      <c r="F233" s="97"/>
      <c r="G233" s="100"/>
      <c r="H233" s="101"/>
    </row>
    <row r="234">
      <c r="A234" s="97"/>
      <c r="B234" s="97"/>
      <c r="C234" s="98"/>
      <c r="D234" s="98"/>
      <c r="E234" s="97"/>
      <c r="F234" s="97"/>
      <c r="G234" s="100"/>
      <c r="H234" s="101"/>
    </row>
    <row r="235">
      <c r="A235" s="97"/>
      <c r="B235" s="97"/>
      <c r="C235" s="98"/>
      <c r="D235" s="98"/>
      <c r="E235" s="97"/>
      <c r="F235" s="97"/>
      <c r="G235" s="100"/>
      <c r="H235" s="101"/>
    </row>
    <row r="236">
      <c r="A236" s="97"/>
      <c r="B236" s="97"/>
      <c r="C236" s="98"/>
      <c r="D236" s="98"/>
      <c r="E236" s="97"/>
      <c r="F236" s="97"/>
      <c r="G236" s="100"/>
      <c r="H236" s="101"/>
    </row>
    <row r="237">
      <c r="A237" s="97"/>
      <c r="B237" s="97"/>
      <c r="C237" s="98"/>
      <c r="D237" s="98"/>
      <c r="E237" s="97"/>
      <c r="F237" s="97"/>
      <c r="G237" s="100"/>
      <c r="H237" s="101"/>
    </row>
    <row r="238">
      <c r="A238" s="97"/>
      <c r="B238" s="97"/>
      <c r="C238" s="98"/>
      <c r="D238" s="98"/>
      <c r="E238" s="97"/>
      <c r="F238" s="97"/>
      <c r="G238" s="100"/>
      <c r="H238" s="101"/>
    </row>
    <row r="239">
      <c r="A239" s="97"/>
      <c r="B239" s="97"/>
      <c r="C239" s="98"/>
      <c r="D239" s="98"/>
      <c r="E239" s="97"/>
      <c r="F239" s="97"/>
      <c r="G239" s="100"/>
      <c r="H239" s="101"/>
    </row>
    <row r="240">
      <c r="A240" s="97"/>
      <c r="B240" s="97"/>
      <c r="C240" s="98"/>
      <c r="D240" s="98"/>
      <c r="E240" s="97"/>
      <c r="F240" s="97"/>
      <c r="G240" s="100"/>
      <c r="H240" s="101"/>
    </row>
    <row r="241">
      <c r="A241" s="97"/>
      <c r="B241" s="97"/>
      <c r="C241" s="98"/>
      <c r="D241" s="98"/>
      <c r="E241" s="97"/>
      <c r="F241" s="97"/>
      <c r="G241" s="100"/>
      <c r="H241" s="101"/>
    </row>
    <row r="242">
      <c r="A242" s="97"/>
      <c r="B242" s="97"/>
      <c r="C242" s="98"/>
      <c r="D242" s="98"/>
      <c r="E242" s="97"/>
      <c r="F242" s="97"/>
      <c r="G242" s="100"/>
      <c r="H242" s="101"/>
    </row>
    <row r="243">
      <c r="A243" s="97"/>
      <c r="B243" s="97"/>
      <c r="C243" s="98"/>
      <c r="D243" s="98"/>
      <c r="E243" s="97"/>
      <c r="F243" s="97"/>
      <c r="G243" s="100"/>
      <c r="H243" s="101"/>
    </row>
    <row r="244">
      <c r="A244" s="97"/>
      <c r="B244" s="97"/>
      <c r="C244" s="98"/>
      <c r="D244" s="98"/>
      <c r="E244" s="97"/>
      <c r="F244" s="97"/>
      <c r="G244" s="100"/>
      <c r="H244" s="101"/>
    </row>
    <row r="245">
      <c r="A245" s="97"/>
      <c r="B245" s="97"/>
      <c r="C245" s="98"/>
      <c r="D245" s="98"/>
      <c r="E245" s="97"/>
      <c r="F245" s="97"/>
      <c r="G245" s="100"/>
      <c r="H245" s="101"/>
    </row>
    <row r="246">
      <c r="A246" s="97"/>
      <c r="B246" s="97"/>
      <c r="C246" s="98"/>
      <c r="D246" s="98"/>
      <c r="E246" s="97"/>
      <c r="F246" s="97"/>
      <c r="G246" s="100"/>
      <c r="H246" s="101"/>
    </row>
    <row r="247">
      <c r="A247" s="97"/>
      <c r="B247" s="97"/>
      <c r="C247" s="98"/>
      <c r="D247" s="98"/>
      <c r="E247" s="97"/>
      <c r="F247" s="97"/>
      <c r="G247" s="100"/>
      <c r="H247" s="101"/>
    </row>
    <row r="248">
      <c r="A248" s="97"/>
      <c r="B248" s="97"/>
      <c r="C248" s="98"/>
      <c r="D248" s="98"/>
      <c r="E248" s="97"/>
      <c r="F248" s="97"/>
      <c r="G248" s="100"/>
      <c r="H248" s="101"/>
    </row>
    <row r="249">
      <c r="A249" s="97"/>
      <c r="B249" s="97"/>
      <c r="C249" s="98"/>
      <c r="D249" s="98"/>
      <c r="E249" s="97"/>
      <c r="F249" s="97"/>
      <c r="G249" s="100"/>
      <c r="H249" s="101"/>
    </row>
    <row r="250">
      <c r="A250" s="97"/>
      <c r="B250" s="97"/>
      <c r="C250" s="98"/>
      <c r="D250" s="98"/>
      <c r="E250" s="97"/>
      <c r="F250" s="97"/>
      <c r="G250" s="100"/>
      <c r="H250" s="101"/>
    </row>
    <row r="251">
      <c r="A251" s="97"/>
      <c r="B251" s="97"/>
      <c r="C251" s="98"/>
      <c r="D251" s="98"/>
      <c r="E251" s="97"/>
      <c r="F251" s="97"/>
      <c r="G251" s="100"/>
      <c r="H251" s="101"/>
    </row>
    <row r="252">
      <c r="A252" s="97"/>
      <c r="B252" s="97"/>
      <c r="C252" s="98"/>
      <c r="D252" s="98"/>
      <c r="E252" s="97"/>
      <c r="F252" s="97"/>
      <c r="G252" s="100"/>
      <c r="H252" s="101"/>
    </row>
    <row r="253">
      <c r="A253" s="97"/>
      <c r="B253" s="97"/>
      <c r="C253" s="98"/>
      <c r="D253" s="98"/>
      <c r="E253" s="97"/>
      <c r="F253" s="97"/>
      <c r="G253" s="100"/>
      <c r="H253" s="101"/>
    </row>
    <row r="254">
      <c r="A254" s="97"/>
      <c r="B254" s="97"/>
      <c r="C254" s="98"/>
      <c r="D254" s="98"/>
      <c r="E254" s="97"/>
      <c r="F254" s="97"/>
      <c r="G254" s="100"/>
      <c r="H254" s="101"/>
    </row>
    <row r="255">
      <c r="A255" s="97"/>
      <c r="B255" s="97"/>
      <c r="C255" s="98"/>
      <c r="D255" s="98"/>
      <c r="E255" s="97"/>
      <c r="F255" s="97"/>
      <c r="G255" s="100"/>
      <c r="H255" s="101"/>
    </row>
    <row r="256">
      <c r="A256" s="97"/>
      <c r="B256" s="97"/>
      <c r="C256" s="98"/>
      <c r="D256" s="98"/>
      <c r="E256" s="97"/>
      <c r="F256" s="97"/>
      <c r="G256" s="100"/>
      <c r="H256" s="101"/>
    </row>
    <row r="257">
      <c r="A257" s="97"/>
      <c r="B257" s="97"/>
      <c r="C257" s="98"/>
      <c r="D257" s="98"/>
      <c r="E257" s="97"/>
      <c r="F257" s="97"/>
      <c r="G257" s="100"/>
      <c r="H257" s="101"/>
    </row>
    <row r="258">
      <c r="A258" s="97"/>
      <c r="B258" s="97"/>
      <c r="C258" s="98"/>
      <c r="D258" s="98"/>
      <c r="E258" s="97"/>
      <c r="F258" s="97"/>
      <c r="G258" s="100"/>
      <c r="H258" s="101"/>
      <c r="I258" s="102"/>
      <c r="J258" s="102"/>
      <c r="K258" s="102"/>
      <c r="L258" s="102"/>
    </row>
    <row r="259">
      <c r="A259" s="97"/>
      <c r="B259" s="97"/>
      <c r="C259" s="98"/>
      <c r="D259" s="98"/>
      <c r="E259" s="97"/>
      <c r="F259" s="97"/>
      <c r="G259" s="100"/>
      <c r="H259" s="101"/>
      <c r="I259" s="102"/>
      <c r="J259" s="102"/>
      <c r="K259" s="102"/>
      <c r="L259" s="102"/>
    </row>
    <row r="260">
      <c r="A260" s="97"/>
      <c r="B260" s="97"/>
      <c r="C260" s="98"/>
      <c r="D260" s="98"/>
      <c r="E260" s="97"/>
      <c r="F260" s="97"/>
      <c r="G260" s="100"/>
      <c r="H260" s="101"/>
      <c r="I260" s="102"/>
      <c r="J260" s="102"/>
      <c r="K260" s="102"/>
      <c r="L260" s="102"/>
    </row>
    <row r="261">
      <c r="A261" s="97"/>
      <c r="B261" s="97"/>
      <c r="C261" s="98"/>
      <c r="D261" s="98"/>
      <c r="E261" s="97"/>
      <c r="F261" s="97"/>
      <c r="G261" s="100"/>
      <c r="H261" s="101"/>
      <c r="I261" s="102"/>
      <c r="J261" s="102"/>
      <c r="K261" s="102"/>
      <c r="L261" s="102"/>
    </row>
    <row r="262">
      <c r="A262" s="97"/>
      <c r="B262" s="97"/>
      <c r="C262" s="98"/>
      <c r="D262" s="98"/>
      <c r="E262" s="97"/>
      <c r="F262" s="97"/>
      <c r="G262" s="100"/>
      <c r="H262" s="101"/>
      <c r="I262" s="102"/>
      <c r="J262" s="102"/>
      <c r="K262" s="102"/>
      <c r="L262" s="102"/>
    </row>
    <row r="263">
      <c r="A263" s="97"/>
      <c r="B263" s="97"/>
      <c r="C263" s="98"/>
      <c r="D263" s="98"/>
      <c r="E263" s="97"/>
      <c r="F263" s="97"/>
      <c r="G263" s="100"/>
      <c r="H263" s="101"/>
      <c r="I263" s="102"/>
      <c r="J263" s="102"/>
      <c r="K263" s="102"/>
      <c r="L263" s="102"/>
    </row>
    <row r="264">
      <c r="A264" s="97"/>
      <c r="B264" s="97"/>
      <c r="C264" s="98"/>
      <c r="D264" s="98"/>
      <c r="E264" s="97"/>
      <c r="F264" s="97"/>
      <c r="G264" s="100"/>
      <c r="H264" s="101"/>
      <c r="I264" s="102"/>
      <c r="J264" s="102"/>
      <c r="K264" s="102"/>
      <c r="L264" s="102"/>
    </row>
    <row r="265">
      <c r="A265" s="97"/>
      <c r="B265" s="97"/>
      <c r="C265" s="98"/>
      <c r="D265" s="98"/>
      <c r="E265" s="97"/>
      <c r="F265" s="97"/>
      <c r="G265" s="100"/>
      <c r="H265" s="101"/>
      <c r="I265" s="102"/>
      <c r="J265" s="102"/>
      <c r="K265" s="102"/>
      <c r="L265" s="102"/>
    </row>
    <row r="266">
      <c r="A266" s="97"/>
      <c r="B266" s="97"/>
      <c r="C266" s="98"/>
      <c r="D266" s="98"/>
      <c r="E266" s="97"/>
      <c r="F266" s="97"/>
      <c r="G266" s="100"/>
      <c r="H266" s="101"/>
      <c r="I266" s="102"/>
      <c r="J266" s="102"/>
      <c r="K266" s="102"/>
      <c r="L266" s="102"/>
    </row>
    <row r="267">
      <c r="A267" s="97"/>
      <c r="B267" s="97"/>
      <c r="C267" s="98"/>
      <c r="D267" s="98"/>
      <c r="E267" s="97"/>
      <c r="F267" s="97"/>
      <c r="G267" s="100"/>
      <c r="H267" s="101"/>
      <c r="I267" s="102"/>
      <c r="J267" s="102"/>
      <c r="K267" s="102"/>
      <c r="L267" s="102"/>
    </row>
    <row r="268">
      <c r="A268" s="97"/>
      <c r="B268" s="97"/>
      <c r="C268" s="98"/>
      <c r="D268" s="98"/>
      <c r="E268" s="97"/>
      <c r="F268" s="97"/>
      <c r="G268" s="100"/>
      <c r="H268" s="101"/>
      <c r="I268" s="102"/>
      <c r="J268" s="102"/>
      <c r="K268" s="102"/>
      <c r="L268" s="102"/>
    </row>
    <row r="269">
      <c r="A269" s="97"/>
      <c r="B269" s="97"/>
      <c r="C269" s="98"/>
      <c r="D269" s="98"/>
      <c r="E269" s="97"/>
      <c r="F269" s="97"/>
      <c r="G269" s="100"/>
      <c r="H269" s="101"/>
      <c r="I269" s="102"/>
      <c r="J269" s="102"/>
      <c r="K269" s="102"/>
      <c r="L269" s="102"/>
    </row>
    <row r="270">
      <c r="A270" s="97"/>
      <c r="B270" s="97"/>
      <c r="C270" s="98"/>
      <c r="D270" s="98"/>
      <c r="E270" s="97"/>
      <c r="F270" s="97"/>
      <c r="G270" s="100"/>
      <c r="H270" s="101"/>
      <c r="I270" s="102"/>
      <c r="J270" s="102"/>
      <c r="K270" s="102"/>
      <c r="L270" s="102"/>
    </row>
    <row r="271">
      <c r="A271" s="97"/>
      <c r="B271" s="97"/>
      <c r="C271" s="98"/>
      <c r="D271" s="98"/>
      <c r="E271" s="97"/>
      <c r="F271" s="97"/>
      <c r="G271" s="100"/>
      <c r="H271" s="101"/>
      <c r="I271" s="102"/>
      <c r="J271" s="102"/>
      <c r="K271" s="102"/>
      <c r="L271" s="102"/>
    </row>
    <row r="272">
      <c r="A272" s="97"/>
      <c r="B272" s="97"/>
      <c r="C272" s="98"/>
      <c r="D272" s="98"/>
      <c r="E272" s="97"/>
      <c r="F272" s="97"/>
      <c r="G272" s="100"/>
      <c r="H272" s="101"/>
      <c r="I272" s="102"/>
      <c r="J272" s="102"/>
      <c r="K272" s="102"/>
      <c r="L272" s="102"/>
    </row>
    <row r="273">
      <c r="A273" s="97"/>
      <c r="B273" s="97"/>
      <c r="C273" s="98"/>
      <c r="D273" s="98"/>
      <c r="E273" s="97"/>
      <c r="F273" s="97"/>
      <c r="G273" s="100"/>
      <c r="H273" s="101"/>
      <c r="I273" s="102"/>
      <c r="J273" s="102"/>
      <c r="K273" s="102"/>
      <c r="L273" s="102"/>
    </row>
    <row r="274">
      <c r="A274" s="97"/>
      <c r="B274" s="97"/>
      <c r="C274" s="98"/>
      <c r="D274" s="98"/>
      <c r="E274" s="97"/>
      <c r="F274" s="97"/>
      <c r="G274" s="100"/>
      <c r="H274" s="101"/>
      <c r="I274" s="102"/>
      <c r="J274" s="102"/>
      <c r="K274" s="102"/>
      <c r="L274" s="102"/>
    </row>
    <row r="275">
      <c r="A275" s="97"/>
      <c r="B275" s="97"/>
      <c r="C275" s="98"/>
      <c r="D275" s="98"/>
      <c r="E275" s="97"/>
      <c r="F275" s="97"/>
      <c r="G275" s="100"/>
      <c r="H275" s="101"/>
      <c r="I275" s="102"/>
      <c r="J275" s="102"/>
      <c r="K275" s="102"/>
      <c r="L275" s="102"/>
    </row>
    <row r="276">
      <c r="A276" s="97"/>
      <c r="B276" s="97"/>
      <c r="C276" s="98"/>
      <c r="D276" s="98"/>
      <c r="E276" s="97"/>
      <c r="F276" s="97"/>
      <c r="G276" s="100"/>
      <c r="H276" s="101"/>
      <c r="I276" s="102"/>
      <c r="J276" s="102"/>
      <c r="K276" s="102"/>
      <c r="L276" s="102"/>
    </row>
    <row r="277">
      <c r="A277" s="97"/>
      <c r="B277" s="97"/>
      <c r="C277" s="98"/>
      <c r="D277" s="98"/>
      <c r="E277" s="97"/>
      <c r="F277" s="97"/>
      <c r="G277" s="100"/>
      <c r="H277" s="101"/>
      <c r="I277" s="102"/>
      <c r="J277" s="102"/>
      <c r="K277" s="102"/>
      <c r="L277" s="102"/>
    </row>
    <row r="278">
      <c r="A278" s="97"/>
      <c r="B278" s="97"/>
      <c r="C278" s="98"/>
      <c r="D278" s="98"/>
      <c r="E278" s="97"/>
      <c r="F278" s="97"/>
      <c r="G278" s="100"/>
      <c r="H278" s="101"/>
      <c r="I278" s="102"/>
      <c r="J278" s="102"/>
      <c r="K278" s="102"/>
      <c r="L278" s="102"/>
    </row>
    <row r="279">
      <c r="A279" s="97"/>
      <c r="B279" s="97"/>
      <c r="C279" s="98"/>
      <c r="D279" s="98"/>
      <c r="E279" s="97"/>
      <c r="F279" s="97"/>
      <c r="G279" s="100"/>
      <c r="H279" s="101"/>
      <c r="I279" s="102"/>
      <c r="J279" s="102"/>
      <c r="K279" s="102"/>
      <c r="L279" s="102"/>
    </row>
    <row r="280">
      <c r="A280" s="97"/>
      <c r="B280" s="97"/>
      <c r="C280" s="98"/>
      <c r="D280" s="98"/>
      <c r="E280" s="97"/>
      <c r="F280" s="97"/>
      <c r="G280" s="100"/>
      <c r="H280" s="101"/>
      <c r="I280" s="102"/>
      <c r="J280" s="102"/>
      <c r="K280" s="102"/>
      <c r="L280" s="102"/>
    </row>
    <row r="281">
      <c r="A281" s="97"/>
      <c r="B281" s="97"/>
      <c r="C281" s="98"/>
      <c r="D281" s="98"/>
      <c r="E281" s="97"/>
      <c r="F281" s="97"/>
      <c r="G281" s="100"/>
      <c r="H281" s="101"/>
      <c r="I281" s="102"/>
      <c r="J281" s="102"/>
      <c r="K281" s="102"/>
      <c r="L281" s="102"/>
    </row>
    <row r="282">
      <c r="A282" s="97"/>
      <c r="B282" s="97"/>
      <c r="C282" s="98"/>
      <c r="D282" s="98"/>
      <c r="E282" s="97"/>
      <c r="F282" s="97"/>
      <c r="G282" s="100"/>
      <c r="H282" s="101"/>
      <c r="I282" s="102"/>
      <c r="J282" s="102"/>
      <c r="K282" s="102"/>
      <c r="L282" s="102"/>
    </row>
    <row r="283">
      <c r="A283" s="97"/>
      <c r="B283" s="97"/>
      <c r="C283" s="98"/>
      <c r="D283" s="98"/>
      <c r="E283" s="97"/>
      <c r="F283" s="97"/>
      <c r="G283" s="100"/>
      <c r="H283" s="101"/>
      <c r="I283" s="102"/>
      <c r="J283" s="102"/>
      <c r="K283" s="102"/>
      <c r="L283" s="102"/>
    </row>
    <row r="284">
      <c r="A284" s="97"/>
      <c r="B284" s="97"/>
      <c r="C284" s="98"/>
      <c r="D284" s="98"/>
      <c r="E284" s="97"/>
      <c r="F284" s="97"/>
      <c r="G284" s="100"/>
      <c r="H284" s="101"/>
      <c r="I284" s="102"/>
      <c r="J284" s="102"/>
      <c r="K284" s="102"/>
      <c r="L284" s="102"/>
    </row>
    <row r="285">
      <c r="A285" s="97"/>
      <c r="B285" s="97"/>
      <c r="C285" s="98"/>
      <c r="D285" s="98"/>
      <c r="E285" s="97"/>
      <c r="F285" s="97"/>
      <c r="G285" s="100"/>
      <c r="H285" s="101"/>
      <c r="I285" s="102"/>
      <c r="J285" s="102"/>
      <c r="K285" s="102"/>
      <c r="L285" s="102"/>
    </row>
    <row r="286">
      <c r="A286" s="97"/>
      <c r="B286" s="97"/>
      <c r="C286" s="98"/>
      <c r="D286" s="98"/>
      <c r="E286" s="97"/>
      <c r="F286" s="97"/>
      <c r="G286" s="100"/>
      <c r="H286" s="101"/>
      <c r="I286" s="102"/>
      <c r="J286" s="102"/>
      <c r="K286" s="102"/>
      <c r="L286" s="102"/>
    </row>
    <row r="287">
      <c r="A287" s="97"/>
      <c r="B287" s="97"/>
      <c r="C287" s="98"/>
      <c r="D287" s="98"/>
      <c r="E287" s="97"/>
      <c r="F287" s="97"/>
      <c r="G287" s="100"/>
      <c r="H287" s="101"/>
      <c r="I287" s="102"/>
      <c r="J287" s="102"/>
      <c r="K287" s="102"/>
      <c r="L287" s="102"/>
    </row>
    <row r="288">
      <c r="A288" s="97"/>
      <c r="B288" s="97"/>
      <c r="C288" s="98"/>
      <c r="D288" s="98"/>
      <c r="E288" s="97"/>
      <c r="F288" s="97"/>
      <c r="G288" s="100"/>
      <c r="H288" s="101"/>
      <c r="I288" s="102"/>
      <c r="J288" s="102"/>
      <c r="K288" s="102"/>
      <c r="L288" s="102"/>
    </row>
    <row r="289">
      <c r="A289" s="97"/>
      <c r="B289" s="97"/>
      <c r="C289" s="98"/>
      <c r="D289" s="98"/>
      <c r="E289" s="97"/>
      <c r="F289" s="97"/>
      <c r="G289" s="100"/>
      <c r="H289" s="101"/>
      <c r="I289" s="102"/>
      <c r="J289" s="102"/>
      <c r="K289" s="102"/>
      <c r="L289" s="102"/>
    </row>
    <row r="290">
      <c r="A290" s="97"/>
      <c r="B290" s="97"/>
      <c r="C290" s="98"/>
      <c r="D290" s="98"/>
      <c r="E290" s="97"/>
      <c r="F290" s="97"/>
      <c r="G290" s="100"/>
      <c r="H290" s="101"/>
      <c r="I290" s="102"/>
      <c r="J290" s="102"/>
      <c r="K290" s="102"/>
      <c r="L290" s="102"/>
    </row>
    <row r="291">
      <c r="A291" s="97"/>
      <c r="B291" s="97"/>
      <c r="C291" s="98"/>
      <c r="D291" s="98"/>
      <c r="E291" s="97"/>
      <c r="F291" s="97"/>
      <c r="G291" s="100"/>
      <c r="H291" s="101"/>
      <c r="I291" s="102"/>
      <c r="J291" s="102"/>
      <c r="K291" s="102"/>
      <c r="L291" s="102"/>
    </row>
    <row r="292">
      <c r="A292" s="97"/>
      <c r="B292" s="97"/>
      <c r="C292" s="98"/>
      <c r="D292" s="98"/>
      <c r="E292" s="97"/>
      <c r="F292" s="97"/>
      <c r="G292" s="100"/>
      <c r="H292" s="101"/>
      <c r="I292" s="102"/>
      <c r="J292" s="102"/>
      <c r="K292" s="102"/>
      <c r="L292" s="102"/>
    </row>
    <row r="293">
      <c r="A293" s="97"/>
      <c r="B293" s="97"/>
      <c r="C293" s="98"/>
      <c r="D293" s="98"/>
      <c r="E293" s="97"/>
      <c r="F293" s="97"/>
      <c r="G293" s="100"/>
      <c r="H293" s="101"/>
      <c r="I293" s="102"/>
      <c r="J293" s="102"/>
      <c r="K293" s="102"/>
      <c r="L293" s="102"/>
    </row>
    <row r="294">
      <c r="A294" s="97"/>
      <c r="B294" s="97"/>
      <c r="C294" s="98"/>
      <c r="D294" s="98"/>
      <c r="E294" s="97"/>
      <c r="F294" s="97"/>
      <c r="G294" s="100"/>
      <c r="H294" s="101"/>
      <c r="I294" s="102"/>
      <c r="J294" s="102"/>
      <c r="K294" s="102"/>
      <c r="L294" s="102"/>
    </row>
    <row r="295">
      <c r="A295" s="97"/>
      <c r="B295" s="97"/>
      <c r="C295" s="98"/>
      <c r="D295" s="98"/>
      <c r="E295" s="97"/>
      <c r="F295" s="97"/>
      <c r="G295" s="100"/>
      <c r="H295" s="101"/>
      <c r="I295" s="102"/>
      <c r="J295" s="102"/>
      <c r="K295" s="102"/>
      <c r="L295" s="102"/>
    </row>
    <row r="296">
      <c r="A296" s="97"/>
      <c r="B296" s="97"/>
      <c r="C296" s="98"/>
      <c r="D296" s="98"/>
      <c r="E296" s="97"/>
      <c r="F296" s="97"/>
      <c r="G296" s="100"/>
      <c r="H296" s="101"/>
      <c r="I296" s="102"/>
      <c r="J296" s="102"/>
      <c r="K296" s="102"/>
      <c r="L296" s="102"/>
    </row>
    <row r="297">
      <c r="A297" s="97"/>
      <c r="B297" s="97"/>
      <c r="C297" s="98"/>
      <c r="D297" s="98"/>
      <c r="E297" s="97"/>
      <c r="F297" s="97"/>
      <c r="G297" s="100"/>
      <c r="H297" s="101"/>
      <c r="I297" s="102"/>
      <c r="J297" s="102"/>
      <c r="K297" s="102"/>
      <c r="L297" s="102"/>
    </row>
    <row r="298">
      <c r="A298" s="97"/>
      <c r="B298" s="97"/>
      <c r="C298" s="98"/>
      <c r="D298" s="98"/>
      <c r="E298" s="97"/>
      <c r="F298" s="97"/>
      <c r="G298" s="100"/>
      <c r="H298" s="101"/>
      <c r="I298" s="102"/>
      <c r="J298" s="102"/>
      <c r="K298" s="102"/>
      <c r="L298" s="102"/>
    </row>
    <row r="299">
      <c r="A299" s="97"/>
      <c r="B299" s="97"/>
      <c r="C299" s="98"/>
      <c r="D299" s="98"/>
      <c r="E299" s="97"/>
      <c r="F299" s="97"/>
      <c r="G299" s="100"/>
      <c r="H299" s="101"/>
      <c r="I299" s="102"/>
      <c r="J299" s="102"/>
      <c r="K299" s="102"/>
      <c r="L299" s="102"/>
    </row>
    <row r="300">
      <c r="A300" s="97"/>
      <c r="B300" s="97"/>
      <c r="C300" s="98"/>
      <c r="D300" s="98"/>
      <c r="E300" s="97"/>
      <c r="F300" s="97"/>
      <c r="G300" s="100"/>
      <c r="H300" s="101"/>
      <c r="I300" s="102"/>
      <c r="J300" s="102"/>
      <c r="K300" s="102"/>
      <c r="L300" s="102"/>
    </row>
    <row r="301">
      <c r="A301" s="97"/>
      <c r="B301" s="97"/>
      <c r="C301" s="98"/>
      <c r="D301" s="98"/>
      <c r="E301" s="97"/>
      <c r="F301" s="97"/>
      <c r="G301" s="100"/>
      <c r="H301" s="101"/>
      <c r="I301" s="102"/>
      <c r="J301" s="102"/>
      <c r="K301" s="102"/>
      <c r="L301" s="102"/>
    </row>
    <row r="302">
      <c r="A302" s="97"/>
      <c r="B302" s="97"/>
      <c r="C302" s="98"/>
      <c r="D302" s="98"/>
      <c r="E302" s="97"/>
      <c r="F302" s="97"/>
      <c r="G302" s="100"/>
      <c r="H302" s="101"/>
      <c r="I302" s="102"/>
      <c r="J302" s="102"/>
      <c r="K302" s="102"/>
      <c r="L302" s="102"/>
    </row>
    <row r="303">
      <c r="A303" s="97"/>
      <c r="B303" s="97"/>
      <c r="C303" s="98"/>
      <c r="D303" s="98"/>
      <c r="E303" s="97"/>
      <c r="F303" s="97"/>
      <c r="G303" s="100"/>
      <c r="H303" s="101"/>
      <c r="I303" s="102"/>
      <c r="J303" s="102"/>
      <c r="K303" s="102"/>
      <c r="L303" s="102"/>
    </row>
    <row r="304">
      <c r="A304" s="97"/>
      <c r="B304" s="97"/>
      <c r="C304" s="98"/>
      <c r="D304" s="98"/>
      <c r="E304" s="97"/>
      <c r="F304" s="97"/>
      <c r="G304" s="100"/>
      <c r="H304" s="101"/>
      <c r="I304" s="102"/>
      <c r="J304" s="102"/>
      <c r="K304" s="102"/>
      <c r="L304" s="102"/>
    </row>
    <row r="305">
      <c r="A305" s="97"/>
      <c r="B305" s="97"/>
      <c r="C305" s="98"/>
      <c r="D305" s="98"/>
      <c r="E305" s="97"/>
      <c r="F305" s="97"/>
      <c r="G305" s="100"/>
      <c r="H305" s="101"/>
      <c r="I305" s="102"/>
      <c r="J305" s="102"/>
      <c r="K305" s="102"/>
      <c r="L305" s="102"/>
    </row>
    <row r="306">
      <c r="A306" s="97"/>
      <c r="B306" s="97"/>
      <c r="C306" s="98"/>
      <c r="D306" s="98"/>
      <c r="E306" s="97"/>
      <c r="F306" s="97"/>
      <c r="G306" s="100"/>
      <c r="H306" s="101"/>
      <c r="I306" s="102"/>
      <c r="J306" s="102"/>
      <c r="K306" s="102"/>
      <c r="L306" s="102"/>
    </row>
    <row r="307">
      <c r="A307" s="97"/>
      <c r="B307" s="97"/>
      <c r="C307" s="98"/>
      <c r="D307" s="98"/>
      <c r="E307" s="97"/>
      <c r="F307" s="97"/>
      <c r="G307" s="100"/>
      <c r="H307" s="101"/>
      <c r="I307" s="102"/>
      <c r="J307" s="102"/>
      <c r="K307" s="102"/>
      <c r="L307" s="102"/>
    </row>
    <row r="308">
      <c r="A308" s="97"/>
      <c r="B308" s="97"/>
      <c r="C308" s="98"/>
      <c r="D308" s="98"/>
      <c r="E308" s="97"/>
      <c r="F308" s="97"/>
      <c r="G308" s="100"/>
      <c r="H308" s="101"/>
      <c r="I308" s="102"/>
      <c r="J308" s="102"/>
      <c r="K308" s="102"/>
      <c r="L308" s="102"/>
    </row>
    <row r="309">
      <c r="A309" s="97"/>
      <c r="B309" s="97"/>
      <c r="C309" s="98"/>
      <c r="D309" s="98"/>
      <c r="E309" s="97"/>
      <c r="F309" s="97"/>
      <c r="G309" s="100"/>
      <c r="H309" s="101"/>
      <c r="I309" s="102"/>
      <c r="J309" s="102"/>
      <c r="K309" s="102"/>
      <c r="L309" s="102"/>
    </row>
    <row r="310">
      <c r="A310" s="97"/>
      <c r="B310" s="97"/>
      <c r="C310" s="98"/>
      <c r="D310" s="98"/>
      <c r="E310" s="97"/>
      <c r="F310" s="97"/>
      <c r="G310" s="100"/>
      <c r="H310" s="101"/>
      <c r="I310" s="102"/>
      <c r="J310" s="102"/>
      <c r="K310" s="102"/>
      <c r="L310" s="102"/>
    </row>
    <row r="311">
      <c r="A311" s="97"/>
      <c r="B311" s="97"/>
      <c r="C311" s="98"/>
      <c r="D311" s="98"/>
      <c r="E311" s="97"/>
      <c r="F311" s="97"/>
      <c r="G311" s="100"/>
      <c r="H311" s="101"/>
      <c r="I311" s="102"/>
      <c r="J311" s="102"/>
      <c r="K311" s="102"/>
      <c r="L311" s="102"/>
    </row>
    <row r="312">
      <c r="A312" s="97"/>
      <c r="B312" s="97"/>
      <c r="C312" s="98"/>
      <c r="D312" s="98"/>
      <c r="E312" s="97"/>
      <c r="F312" s="97"/>
      <c r="G312" s="100"/>
      <c r="H312" s="101"/>
      <c r="I312" s="102"/>
      <c r="J312" s="102"/>
      <c r="K312" s="102"/>
      <c r="L312" s="102"/>
    </row>
    <row r="313">
      <c r="A313" s="97"/>
      <c r="B313" s="97"/>
      <c r="C313" s="98"/>
      <c r="D313" s="98"/>
      <c r="E313" s="97"/>
      <c r="F313" s="97"/>
      <c r="G313" s="100"/>
      <c r="H313" s="101"/>
      <c r="I313" s="102"/>
      <c r="J313" s="102"/>
      <c r="K313" s="102"/>
      <c r="L313" s="102"/>
    </row>
    <row r="314">
      <c r="A314" s="97"/>
      <c r="B314" s="97"/>
      <c r="C314" s="98"/>
      <c r="D314" s="98"/>
      <c r="E314" s="97"/>
      <c r="F314" s="97"/>
      <c r="G314" s="100"/>
      <c r="H314" s="101"/>
      <c r="I314" s="102"/>
      <c r="J314" s="102"/>
      <c r="K314" s="102"/>
      <c r="L314" s="102"/>
    </row>
    <row r="315">
      <c r="A315" s="97"/>
      <c r="B315" s="97"/>
      <c r="C315" s="98"/>
      <c r="D315" s="98"/>
      <c r="E315" s="97"/>
      <c r="F315" s="97"/>
      <c r="G315" s="100"/>
      <c r="H315" s="101"/>
      <c r="I315" s="102"/>
      <c r="J315" s="102"/>
      <c r="K315" s="102"/>
      <c r="L315" s="102"/>
    </row>
    <row r="316">
      <c r="A316" s="97"/>
      <c r="B316" s="97"/>
      <c r="C316" s="98"/>
      <c r="D316" s="98"/>
      <c r="E316" s="97"/>
      <c r="F316" s="97"/>
      <c r="G316" s="100"/>
      <c r="H316" s="101"/>
      <c r="I316" s="102"/>
      <c r="J316" s="102"/>
      <c r="K316" s="102"/>
      <c r="L316" s="102"/>
    </row>
    <row r="317">
      <c r="A317" s="97"/>
      <c r="B317" s="97"/>
      <c r="C317" s="98"/>
      <c r="D317" s="98"/>
      <c r="E317" s="97"/>
      <c r="F317" s="97"/>
      <c r="G317" s="100"/>
      <c r="H317" s="101"/>
      <c r="I317" s="102"/>
      <c r="J317" s="102"/>
      <c r="K317" s="102"/>
      <c r="L317" s="102"/>
    </row>
    <row r="318">
      <c r="A318" s="97"/>
      <c r="B318" s="97"/>
      <c r="C318" s="98"/>
      <c r="D318" s="98"/>
      <c r="E318" s="97"/>
      <c r="F318" s="97"/>
      <c r="G318" s="100"/>
      <c r="H318" s="101"/>
      <c r="I318" s="102"/>
      <c r="J318" s="102"/>
      <c r="K318" s="102"/>
      <c r="L318" s="102"/>
    </row>
    <row r="319">
      <c r="A319" s="97"/>
      <c r="B319" s="97"/>
      <c r="C319" s="98"/>
      <c r="D319" s="98"/>
      <c r="E319" s="97"/>
      <c r="F319" s="97"/>
      <c r="G319" s="100"/>
      <c r="H319" s="101"/>
      <c r="I319" s="102"/>
      <c r="J319" s="102"/>
      <c r="K319" s="102"/>
      <c r="L319" s="102"/>
    </row>
    <row r="320">
      <c r="A320" s="97"/>
      <c r="B320" s="97"/>
      <c r="C320" s="98"/>
      <c r="D320" s="98"/>
      <c r="E320" s="97"/>
      <c r="F320" s="97"/>
      <c r="G320" s="100"/>
      <c r="H320" s="101"/>
      <c r="I320" s="102"/>
      <c r="J320" s="102"/>
      <c r="K320" s="102"/>
      <c r="L320" s="102"/>
    </row>
    <row r="321">
      <c r="A321" s="97"/>
      <c r="B321" s="97"/>
      <c r="C321" s="98"/>
      <c r="D321" s="98"/>
      <c r="E321" s="97"/>
      <c r="F321" s="97"/>
      <c r="G321" s="100"/>
      <c r="H321" s="101"/>
      <c r="I321" s="102"/>
      <c r="J321" s="102"/>
      <c r="K321" s="102"/>
      <c r="L321" s="102"/>
    </row>
    <row r="322">
      <c r="A322" s="97"/>
      <c r="B322" s="97"/>
      <c r="C322" s="98"/>
      <c r="D322" s="98"/>
      <c r="E322" s="97"/>
      <c r="F322" s="97"/>
      <c r="G322" s="100"/>
      <c r="H322" s="101"/>
      <c r="I322" s="102"/>
      <c r="J322" s="102"/>
      <c r="K322" s="102"/>
      <c r="L322" s="102"/>
    </row>
    <row r="323">
      <c r="A323" s="97"/>
      <c r="B323" s="97"/>
      <c r="C323" s="98"/>
      <c r="D323" s="98"/>
      <c r="E323" s="97"/>
      <c r="F323" s="97"/>
      <c r="G323" s="100"/>
      <c r="H323" s="101"/>
      <c r="I323" s="102"/>
      <c r="J323" s="102"/>
      <c r="K323" s="102"/>
      <c r="L323" s="102"/>
    </row>
    <row r="324">
      <c r="A324" s="97"/>
      <c r="B324" s="97"/>
      <c r="C324" s="98"/>
      <c r="D324" s="98"/>
      <c r="E324" s="97"/>
      <c r="F324" s="97"/>
      <c r="G324" s="100"/>
      <c r="H324" s="101"/>
      <c r="I324" s="102"/>
      <c r="J324" s="102"/>
      <c r="K324" s="102"/>
      <c r="L324" s="102"/>
    </row>
    <row r="325">
      <c r="A325" s="97"/>
      <c r="B325" s="97"/>
      <c r="C325" s="98"/>
      <c r="D325" s="98"/>
      <c r="E325" s="97"/>
      <c r="F325" s="97"/>
      <c r="G325" s="100"/>
      <c r="H325" s="101"/>
      <c r="I325" s="102"/>
      <c r="J325" s="102"/>
      <c r="K325" s="102"/>
      <c r="L325" s="102"/>
    </row>
    <row r="326">
      <c r="A326" s="97"/>
      <c r="B326" s="97"/>
      <c r="C326" s="98"/>
      <c r="D326" s="98"/>
      <c r="E326" s="97"/>
      <c r="F326" s="97"/>
      <c r="G326" s="100"/>
      <c r="H326" s="101"/>
      <c r="I326" s="102"/>
      <c r="J326" s="102"/>
      <c r="K326" s="102"/>
      <c r="L326" s="102"/>
    </row>
    <row r="327">
      <c r="A327" s="97"/>
      <c r="B327" s="97"/>
      <c r="C327" s="98"/>
      <c r="D327" s="98"/>
      <c r="E327" s="97"/>
      <c r="F327" s="97"/>
      <c r="G327" s="100"/>
      <c r="H327" s="101"/>
      <c r="I327" s="102"/>
      <c r="J327" s="102"/>
      <c r="K327" s="102"/>
      <c r="L327" s="102"/>
    </row>
    <row r="328">
      <c r="A328" s="97"/>
      <c r="B328" s="97"/>
      <c r="C328" s="98"/>
      <c r="D328" s="98"/>
      <c r="E328" s="97"/>
      <c r="F328" s="97"/>
      <c r="G328" s="100"/>
      <c r="H328" s="101"/>
      <c r="I328" s="102"/>
      <c r="J328" s="102"/>
      <c r="K328" s="102"/>
      <c r="L328" s="102"/>
    </row>
    <row r="329">
      <c r="A329" s="97"/>
      <c r="B329" s="97"/>
      <c r="C329" s="98"/>
      <c r="D329" s="98"/>
      <c r="E329" s="97"/>
      <c r="F329" s="97"/>
      <c r="G329" s="100"/>
      <c r="H329" s="101"/>
      <c r="I329" s="102"/>
      <c r="J329" s="102"/>
      <c r="K329" s="102"/>
      <c r="L329" s="102"/>
    </row>
    <row r="330">
      <c r="A330" s="97"/>
      <c r="B330" s="97"/>
      <c r="C330" s="98"/>
      <c r="D330" s="98"/>
      <c r="E330" s="97"/>
      <c r="F330" s="97"/>
      <c r="G330" s="100"/>
      <c r="H330" s="101"/>
    </row>
    <row r="331">
      <c r="A331" s="97"/>
      <c r="B331" s="97"/>
      <c r="C331" s="98"/>
      <c r="D331" s="98"/>
      <c r="E331" s="97"/>
      <c r="F331" s="97"/>
      <c r="G331" s="100"/>
      <c r="H331" s="101"/>
      <c r="I331" s="102"/>
      <c r="J331" s="102"/>
      <c r="K331" s="102"/>
      <c r="L331" s="102"/>
    </row>
    <row r="332">
      <c r="A332" s="97"/>
      <c r="B332" s="97"/>
      <c r="C332" s="98"/>
      <c r="D332" s="98"/>
      <c r="E332" s="97"/>
      <c r="F332" s="97"/>
      <c r="G332" s="100"/>
      <c r="H332" s="101"/>
      <c r="I332" s="102"/>
      <c r="J332" s="102"/>
      <c r="K332" s="102"/>
      <c r="L332" s="102"/>
    </row>
    <row r="333">
      <c r="A333" s="97"/>
      <c r="B333" s="97"/>
      <c r="C333" s="98"/>
      <c r="D333" s="98"/>
      <c r="E333" s="97"/>
      <c r="F333" s="97"/>
      <c r="G333" s="100"/>
      <c r="H333" s="101"/>
      <c r="I333" s="102"/>
      <c r="J333" s="102"/>
      <c r="K333" s="102"/>
      <c r="L333" s="102"/>
    </row>
    <row r="334">
      <c r="A334" s="97"/>
      <c r="B334" s="97"/>
      <c r="C334" s="98"/>
      <c r="D334" s="98"/>
      <c r="E334" s="97"/>
      <c r="F334" s="97"/>
      <c r="G334" s="100"/>
      <c r="H334" s="101"/>
      <c r="I334" s="102"/>
      <c r="J334" s="102"/>
      <c r="K334" s="102"/>
      <c r="L334" s="102"/>
    </row>
    <row r="335">
      <c r="A335" s="97"/>
      <c r="B335" s="97"/>
      <c r="C335" s="98"/>
      <c r="D335" s="98"/>
      <c r="E335" s="97"/>
      <c r="F335" s="97"/>
      <c r="G335" s="100"/>
      <c r="H335" s="101"/>
      <c r="I335" s="102"/>
      <c r="J335" s="102"/>
      <c r="K335" s="102"/>
      <c r="L335" s="102"/>
    </row>
    <row r="336">
      <c r="A336" s="97"/>
      <c r="B336" s="97"/>
      <c r="C336" s="98"/>
      <c r="D336" s="98"/>
      <c r="E336" s="97"/>
      <c r="F336" s="97"/>
      <c r="G336" s="100"/>
      <c r="H336" s="101"/>
      <c r="I336" s="102"/>
      <c r="J336" s="102"/>
      <c r="K336" s="102"/>
      <c r="L336" s="102"/>
    </row>
    <row r="337">
      <c r="A337" s="97"/>
      <c r="B337" s="97"/>
      <c r="C337" s="98"/>
      <c r="D337" s="98"/>
      <c r="E337" s="97"/>
      <c r="F337" s="97"/>
      <c r="G337" s="100"/>
      <c r="H337" s="101"/>
      <c r="I337" s="102"/>
      <c r="J337" s="102"/>
      <c r="K337" s="102"/>
      <c r="L337" s="102"/>
    </row>
    <row r="338">
      <c r="A338" s="97"/>
      <c r="B338" s="97"/>
      <c r="C338" s="98"/>
      <c r="D338" s="98"/>
      <c r="E338" s="97"/>
      <c r="F338" s="97"/>
      <c r="G338" s="100"/>
      <c r="H338" s="101"/>
      <c r="I338" s="102"/>
      <c r="J338" s="102"/>
      <c r="K338" s="102"/>
      <c r="L338" s="102"/>
    </row>
    <row r="339">
      <c r="A339" s="97"/>
      <c r="B339" s="97"/>
      <c r="C339" s="98"/>
      <c r="D339" s="98"/>
      <c r="E339" s="97"/>
      <c r="F339" s="97"/>
      <c r="G339" s="100"/>
      <c r="H339" s="101"/>
      <c r="I339" s="102"/>
      <c r="J339" s="102"/>
      <c r="K339" s="102"/>
      <c r="L339" s="102"/>
    </row>
    <row r="340">
      <c r="A340" s="97"/>
      <c r="B340" s="97"/>
      <c r="C340" s="98"/>
      <c r="D340" s="98"/>
      <c r="E340" s="97"/>
      <c r="F340" s="97"/>
      <c r="G340" s="100"/>
      <c r="H340" s="101"/>
      <c r="I340" s="102"/>
      <c r="J340" s="102"/>
      <c r="K340" s="102"/>
      <c r="L340" s="102"/>
    </row>
    <row r="341">
      <c r="A341" s="97"/>
      <c r="B341" s="97"/>
      <c r="C341" s="98"/>
      <c r="D341" s="98"/>
      <c r="E341" s="97"/>
      <c r="F341" s="97"/>
      <c r="G341" s="100"/>
      <c r="H341" s="101"/>
      <c r="I341" s="102"/>
      <c r="J341" s="102"/>
      <c r="K341" s="102"/>
      <c r="L341" s="102"/>
    </row>
    <row r="342">
      <c r="A342" s="97"/>
      <c r="B342" s="97"/>
      <c r="C342" s="98"/>
      <c r="D342" s="98"/>
      <c r="E342" s="97"/>
      <c r="F342" s="97"/>
      <c r="G342" s="100"/>
      <c r="H342" s="101"/>
      <c r="I342" s="102"/>
      <c r="J342" s="102"/>
      <c r="K342" s="102"/>
      <c r="L342" s="102"/>
    </row>
    <row r="343">
      <c r="A343" s="97"/>
      <c r="B343" s="97"/>
      <c r="C343" s="98"/>
      <c r="D343" s="98"/>
      <c r="E343" s="97"/>
      <c r="F343" s="97"/>
      <c r="G343" s="100"/>
      <c r="H343" s="101"/>
      <c r="I343" s="102"/>
      <c r="J343" s="102"/>
      <c r="K343" s="102"/>
      <c r="L343" s="102"/>
    </row>
    <row r="344">
      <c r="A344" s="97"/>
      <c r="B344" s="97"/>
      <c r="C344" s="98"/>
      <c r="D344" s="98"/>
      <c r="E344" s="97"/>
      <c r="F344" s="97"/>
      <c r="G344" s="100"/>
      <c r="H344" s="101"/>
      <c r="I344" s="102"/>
      <c r="J344" s="102"/>
      <c r="K344" s="102"/>
      <c r="L344" s="102"/>
    </row>
    <row r="345">
      <c r="A345" s="97"/>
      <c r="B345" s="97"/>
      <c r="C345" s="98"/>
      <c r="D345" s="98"/>
      <c r="E345" s="97"/>
      <c r="F345" s="97"/>
      <c r="G345" s="100"/>
      <c r="H345" s="101"/>
      <c r="I345" s="102"/>
      <c r="J345" s="102"/>
      <c r="K345" s="102"/>
      <c r="L345" s="102"/>
    </row>
    <row r="346">
      <c r="A346" s="97"/>
      <c r="B346" s="97"/>
      <c r="C346" s="98"/>
      <c r="D346" s="98"/>
      <c r="E346" s="97"/>
      <c r="F346" s="97"/>
      <c r="G346" s="100"/>
      <c r="H346" s="101"/>
      <c r="I346" s="102"/>
      <c r="J346" s="102"/>
      <c r="K346" s="102"/>
      <c r="L346" s="102"/>
    </row>
    <row r="347">
      <c r="A347" s="97"/>
      <c r="B347" s="97"/>
      <c r="C347" s="98"/>
      <c r="D347" s="98"/>
      <c r="E347" s="97"/>
      <c r="F347" s="97"/>
      <c r="G347" s="100"/>
      <c r="H347" s="101"/>
      <c r="I347" s="102"/>
      <c r="J347" s="102"/>
      <c r="K347" s="102"/>
      <c r="L347" s="102"/>
    </row>
    <row r="348">
      <c r="A348" s="97"/>
      <c r="B348" s="97"/>
      <c r="C348" s="98"/>
      <c r="D348" s="98"/>
      <c r="E348" s="97"/>
      <c r="F348" s="97"/>
      <c r="G348" s="100"/>
      <c r="H348" s="110"/>
      <c r="I348" s="113"/>
      <c r="J348" s="113"/>
      <c r="K348" s="113"/>
      <c r="L348" s="113"/>
    </row>
    <row r="349">
      <c r="A349" s="97"/>
      <c r="B349" s="97"/>
      <c r="C349" s="98"/>
      <c r="D349" s="98"/>
      <c r="E349" s="97"/>
      <c r="F349" s="97"/>
      <c r="G349" s="100"/>
      <c r="H349" s="110"/>
      <c r="I349" s="113"/>
      <c r="J349" s="113"/>
      <c r="K349" s="113"/>
      <c r="L349" s="113"/>
    </row>
    <row r="350">
      <c r="A350" s="97"/>
      <c r="B350" s="97"/>
      <c r="C350" s="98"/>
      <c r="D350" s="98"/>
      <c r="E350" s="97"/>
      <c r="F350" s="97"/>
      <c r="G350" s="100"/>
      <c r="H350" s="110"/>
      <c r="I350" s="113"/>
      <c r="J350" s="113"/>
      <c r="K350" s="113"/>
      <c r="L350" s="113"/>
    </row>
    <row r="351">
      <c r="A351" s="97"/>
      <c r="B351" s="97"/>
      <c r="C351" s="98"/>
      <c r="D351" s="98"/>
      <c r="E351" s="97"/>
      <c r="F351" s="97"/>
      <c r="G351" s="100"/>
      <c r="H351" s="110"/>
      <c r="I351" s="113"/>
      <c r="J351" s="113"/>
      <c r="K351" s="113"/>
      <c r="L351" s="113"/>
    </row>
    <row r="352">
      <c r="A352" s="97"/>
      <c r="B352" s="97"/>
      <c r="C352" s="98"/>
      <c r="D352" s="98"/>
      <c r="E352" s="97"/>
      <c r="F352" s="97"/>
      <c r="G352" s="100"/>
      <c r="H352" s="110"/>
      <c r="I352" s="113"/>
      <c r="J352" s="113"/>
      <c r="K352" s="113"/>
      <c r="L352" s="113"/>
    </row>
    <row r="353">
      <c r="A353" s="97"/>
      <c r="B353" s="97"/>
      <c r="C353" s="98"/>
      <c r="D353" s="98"/>
      <c r="E353" s="97"/>
      <c r="F353" s="97"/>
      <c r="G353" s="100"/>
      <c r="H353" s="110"/>
      <c r="I353" s="113"/>
      <c r="J353" s="113"/>
      <c r="K353" s="113"/>
      <c r="L353" s="113"/>
    </row>
    <row r="354">
      <c r="A354" s="97"/>
      <c r="B354" s="97"/>
      <c r="C354" s="98"/>
      <c r="D354" s="98"/>
      <c r="E354" s="97"/>
      <c r="F354" s="97"/>
      <c r="G354" s="100"/>
      <c r="H354" s="110"/>
      <c r="I354" s="113"/>
      <c r="J354" s="113"/>
      <c r="K354" s="113"/>
      <c r="L354" s="113"/>
    </row>
    <row r="355">
      <c r="A355" s="97"/>
      <c r="B355" s="97"/>
      <c r="C355" s="98"/>
      <c r="D355" s="98"/>
      <c r="E355" s="97"/>
      <c r="F355" s="97"/>
      <c r="G355" s="100"/>
      <c r="H355" s="110"/>
      <c r="I355" s="113"/>
      <c r="J355" s="113"/>
      <c r="K355" s="113"/>
      <c r="L355" s="113"/>
    </row>
    <row r="356">
      <c r="A356" s="97"/>
      <c r="B356" s="97"/>
      <c r="C356" s="98"/>
      <c r="D356" s="98"/>
      <c r="E356" s="97"/>
      <c r="F356" s="97"/>
      <c r="G356" s="100"/>
      <c r="H356" s="110"/>
      <c r="I356" s="113"/>
      <c r="J356" s="113"/>
      <c r="K356" s="113"/>
      <c r="L356" s="113"/>
    </row>
    <row r="357">
      <c r="A357" s="97"/>
      <c r="B357" s="97"/>
      <c r="C357" s="98"/>
      <c r="D357" s="98"/>
      <c r="E357" s="97"/>
      <c r="F357" s="97"/>
      <c r="G357" s="100"/>
      <c r="H357" s="110"/>
      <c r="I357" s="113"/>
      <c r="J357" s="113"/>
      <c r="K357" s="113"/>
      <c r="L357" s="113"/>
    </row>
    <row r="358">
      <c r="A358" s="97"/>
      <c r="B358" s="97"/>
      <c r="C358" s="98"/>
      <c r="D358" s="98"/>
      <c r="E358" s="97"/>
      <c r="F358" s="97"/>
      <c r="G358" s="100"/>
      <c r="H358" s="110"/>
      <c r="I358" s="113"/>
      <c r="J358" s="113"/>
      <c r="K358" s="113"/>
      <c r="L358" s="113"/>
    </row>
    <row r="359">
      <c r="A359" s="97"/>
      <c r="B359" s="97"/>
      <c r="C359" s="98"/>
      <c r="D359" s="98"/>
      <c r="E359" s="97"/>
      <c r="F359" s="97"/>
      <c r="G359" s="100"/>
      <c r="H359" s="110"/>
      <c r="I359" s="113"/>
      <c r="J359" s="113"/>
      <c r="K359" s="113"/>
      <c r="L359" s="113"/>
    </row>
    <row r="360">
      <c r="A360" s="97"/>
      <c r="B360" s="97"/>
      <c r="C360" s="98"/>
      <c r="D360" s="98"/>
      <c r="E360" s="97"/>
      <c r="F360" s="97"/>
      <c r="G360" s="100"/>
      <c r="H360" s="110"/>
      <c r="I360" s="113"/>
      <c r="J360" s="113"/>
      <c r="K360" s="113"/>
      <c r="L360" s="113"/>
    </row>
    <row r="361">
      <c r="A361" s="97"/>
      <c r="B361" s="97"/>
      <c r="C361" s="98"/>
      <c r="D361" s="98"/>
      <c r="E361" s="97"/>
      <c r="F361" s="97"/>
      <c r="G361" s="100"/>
      <c r="H361" s="110"/>
      <c r="I361" s="113"/>
      <c r="J361" s="113"/>
      <c r="K361" s="113"/>
      <c r="L361" s="113"/>
    </row>
    <row r="362">
      <c r="A362" s="97"/>
      <c r="B362" s="97"/>
      <c r="C362" s="98"/>
      <c r="D362" s="98"/>
      <c r="E362" s="97"/>
      <c r="F362" s="97"/>
      <c r="G362" s="100"/>
      <c r="H362" s="110"/>
      <c r="I362" s="113"/>
      <c r="J362" s="113"/>
      <c r="K362" s="113"/>
      <c r="L362" s="113"/>
    </row>
    <row r="363">
      <c r="A363" s="97"/>
      <c r="B363" s="97"/>
      <c r="C363" s="98"/>
      <c r="D363" s="98"/>
      <c r="E363" s="97"/>
      <c r="F363" s="97"/>
      <c r="G363" s="100"/>
      <c r="H363" s="110"/>
      <c r="I363" s="113"/>
      <c r="J363" s="113"/>
      <c r="K363" s="113"/>
      <c r="L363" s="113"/>
    </row>
    <row r="364">
      <c r="A364" s="97"/>
      <c r="B364" s="97"/>
      <c r="C364" s="98"/>
      <c r="D364" s="98"/>
      <c r="E364" s="97"/>
      <c r="F364" s="97"/>
      <c r="G364" s="100"/>
      <c r="H364" s="110"/>
      <c r="I364" s="113"/>
      <c r="J364" s="113"/>
      <c r="K364" s="113"/>
      <c r="L364" s="113"/>
    </row>
    <row r="365">
      <c r="A365" s="97"/>
      <c r="B365" s="97"/>
      <c r="C365" s="98"/>
      <c r="D365" s="98"/>
      <c r="E365" s="97"/>
      <c r="F365" s="97"/>
      <c r="G365" s="100"/>
      <c r="H365" s="110"/>
      <c r="I365" s="113"/>
      <c r="J365" s="113"/>
      <c r="K365" s="113"/>
      <c r="L365" s="113"/>
    </row>
    <row r="366">
      <c r="A366" s="97"/>
      <c r="B366" s="97"/>
      <c r="C366" s="98"/>
      <c r="D366" s="98"/>
      <c r="E366" s="97"/>
      <c r="F366" s="97"/>
      <c r="G366" s="100"/>
      <c r="H366" s="110"/>
      <c r="I366" s="113"/>
      <c r="J366" s="113"/>
      <c r="K366" s="113"/>
      <c r="L366" s="113"/>
    </row>
    <row r="367">
      <c r="A367" s="97"/>
      <c r="B367" s="97"/>
      <c r="C367" s="98"/>
      <c r="D367" s="98"/>
      <c r="E367" s="97"/>
      <c r="F367" s="97"/>
      <c r="G367" s="100"/>
      <c r="H367" s="110"/>
      <c r="I367" s="113"/>
      <c r="J367" s="113"/>
      <c r="K367" s="113"/>
      <c r="L367" s="113"/>
    </row>
    <row r="368">
      <c r="A368" s="97"/>
      <c r="B368" s="97"/>
      <c r="C368" s="98"/>
      <c r="D368" s="98"/>
      <c r="E368" s="97"/>
      <c r="F368" s="97"/>
      <c r="G368" s="100"/>
      <c r="H368" s="110"/>
      <c r="I368" s="113"/>
      <c r="J368" s="113"/>
      <c r="K368" s="113"/>
      <c r="L368" s="113"/>
    </row>
    <row r="369">
      <c r="A369" s="97"/>
      <c r="B369" s="97"/>
      <c r="C369" s="98"/>
      <c r="D369" s="98"/>
      <c r="E369" s="97"/>
      <c r="F369" s="97"/>
      <c r="G369" s="100"/>
      <c r="H369" s="110"/>
      <c r="I369" s="113"/>
      <c r="J369" s="113"/>
      <c r="K369" s="113"/>
      <c r="L369" s="113"/>
    </row>
    <row r="370">
      <c r="A370" s="97"/>
      <c r="B370" s="97"/>
      <c r="C370" s="98"/>
      <c r="D370" s="98"/>
      <c r="E370" s="97"/>
      <c r="F370" s="97"/>
      <c r="G370" s="100"/>
      <c r="H370" s="110"/>
      <c r="I370" s="113"/>
      <c r="J370" s="113"/>
      <c r="K370" s="113"/>
      <c r="L370" s="113"/>
    </row>
    <row r="371">
      <c r="A371" s="97"/>
      <c r="B371" s="97"/>
      <c r="C371" s="98"/>
      <c r="D371" s="98"/>
      <c r="E371" s="97"/>
      <c r="F371" s="97"/>
      <c r="G371" s="100"/>
      <c r="H371" s="110"/>
      <c r="I371" s="113"/>
      <c r="J371" s="113"/>
      <c r="K371" s="113"/>
      <c r="L371" s="113"/>
    </row>
    <row r="372">
      <c r="A372" s="97"/>
      <c r="B372" s="97"/>
      <c r="C372" s="98"/>
      <c r="D372" s="98"/>
      <c r="E372" s="97"/>
      <c r="F372" s="97"/>
      <c r="G372" s="100"/>
      <c r="H372" s="110"/>
      <c r="I372" s="113"/>
      <c r="J372" s="113"/>
      <c r="K372" s="113"/>
      <c r="L372" s="113"/>
    </row>
    <row r="373">
      <c r="A373" s="97"/>
      <c r="B373" s="97"/>
      <c r="C373" s="98"/>
      <c r="D373" s="98"/>
      <c r="E373" s="97"/>
      <c r="F373" s="97"/>
      <c r="G373" s="100"/>
      <c r="H373" s="110"/>
      <c r="I373" s="113"/>
      <c r="J373" s="113"/>
      <c r="K373" s="113"/>
      <c r="L373" s="113"/>
    </row>
    <row r="374">
      <c r="A374" s="97"/>
      <c r="B374" s="97"/>
      <c r="C374" s="98"/>
      <c r="D374" s="98"/>
      <c r="E374" s="97"/>
      <c r="F374" s="97"/>
      <c r="G374" s="100"/>
      <c r="H374" s="110"/>
      <c r="I374" s="113"/>
      <c r="J374" s="113"/>
      <c r="K374" s="113"/>
      <c r="L374" s="113"/>
    </row>
    <row r="375">
      <c r="A375" s="97"/>
      <c r="B375" s="97"/>
      <c r="C375" s="98"/>
      <c r="D375" s="98"/>
      <c r="E375" s="97"/>
      <c r="F375" s="97"/>
      <c r="G375" s="100"/>
      <c r="H375" s="110"/>
      <c r="I375" s="113"/>
      <c r="J375" s="113"/>
      <c r="K375" s="113"/>
      <c r="L375" s="113"/>
    </row>
    <row r="376">
      <c r="A376" s="97"/>
      <c r="B376" s="97"/>
      <c r="C376" s="98"/>
      <c r="D376" s="98"/>
      <c r="E376" s="97"/>
      <c r="F376" s="97"/>
      <c r="G376" s="100"/>
      <c r="H376" s="110"/>
      <c r="I376" s="113"/>
      <c r="J376" s="113"/>
      <c r="K376" s="113"/>
      <c r="L376" s="113"/>
    </row>
    <row r="377">
      <c r="A377" s="97"/>
      <c r="B377" s="97"/>
      <c r="C377" s="98"/>
      <c r="D377" s="98"/>
      <c r="E377" s="97"/>
      <c r="F377" s="97"/>
      <c r="G377" s="100"/>
      <c r="H377" s="110"/>
      <c r="I377" s="113"/>
      <c r="J377" s="113"/>
      <c r="K377" s="113"/>
      <c r="L377" s="113"/>
    </row>
    <row r="378">
      <c r="A378" s="97"/>
      <c r="B378" s="97"/>
      <c r="C378" s="98"/>
      <c r="D378" s="98"/>
      <c r="E378" s="97"/>
      <c r="F378" s="97"/>
      <c r="G378" s="100"/>
      <c r="H378" s="110"/>
      <c r="I378" s="113"/>
      <c r="J378" s="113"/>
      <c r="K378" s="113"/>
      <c r="L378" s="113"/>
    </row>
    <row r="379">
      <c r="A379" s="97"/>
      <c r="B379" s="97"/>
      <c r="C379" s="98"/>
      <c r="D379" s="98"/>
      <c r="E379" s="97"/>
      <c r="F379" s="97"/>
      <c r="G379" s="100"/>
      <c r="H379" s="110"/>
      <c r="I379" s="113"/>
      <c r="J379" s="113"/>
      <c r="K379" s="113"/>
      <c r="L379" s="113"/>
    </row>
    <row r="380">
      <c r="A380" s="97"/>
      <c r="B380" s="97"/>
      <c r="C380" s="98"/>
      <c r="D380" s="98"/>
      <c r="E380" s="97"/>
      <c r="F380" s="97"/>
      <c r="G380" s="100"/>
      <c r="H380" s="110"/>
      <c r="I380" s="113"/>
      <c r="J380" s="113"/>
      <c r="K380" s="113"/>
      <c r="L380" s="113"/>
    </row>
    <row r="381">
      <c r="A381" s="97"/>
      <c r="B381" s="97"/>
      <c r="C381" s="98"/>
      <c r="D381" s="98"/>
      <c r="E381" s="97"/>
      <c r="F381" s="97"/>
      <c r="G381" s="100"/>
      <c r="H381" s="110"/>
      <c r="I381" s="113"/>
      <c r="J381" s="113"/>
      <c r="K381" s="113"/>
      <c r="L381" s="113"/>
    </row>
    <row r="382">
      <c r="A382" s="97"/>
      <c r="B382" s="97"/>
      <c r="C382" s="98"/>
      <c r="D382" s="98"/>
      <c r="E382" s="97"/>
      <c r="F382" s="97"/>
      <c r="G382" s="100"/>
      <c r="H382" s="110"/>
      <c r="I382" s="113"/>
      <c r="J382" s="113"/>
      <c r="K382" s="113"/>
      <c r="L382" s="113"/>
    </row>
    <row r="383">
      <c r="A383" s="97"/>
      <c r="B383" s="97"/>
      <c r="C383" s="98"/>
      <c r="D383" s="98"/>
      <c r="E383" s="97"/>
      <c r="F383" s="97"/>
      <c r="G383" s="100"/>
      <c r="H383" s="110"/>
      <c r="I383" s="113"/>
      <c r="J383" s="113"/>
      <c r="K383" s="113"/>
      <c r="L383" s="113"/>
    </row>
    <row r="384">
      <c r="A384" s="97"/>
      <c r="B384" s="97"/>
      <c r="C384" s="98"/>
      <c r="D384" s="98"/>
      <c r="E384" s="97"/>
      <c r="F384" s="97"/>
      <c r="G384" s="100"/>
      <c r="H384" s="110"/>
      <c r="I384" s="113"/>
      <c r="J384" s="113"/>
      <c r="K384" s="113"/>
      <c r="L384" s="113"/>
    </row>
    <row r="385">
      <c r="A385" s="97"/>
      <c r="B385" s="97"/>
      <c r="C385" s="98"/>
      <c r="D385" s="98"/>
      <c r="E385" s="97"/>
      <c r="F385" s="97"/>
      <c r="G385" s="100"/>
      <c r="H385" s="110"/>
      <c r="I385" s="113"/>
      <c r="J385" s="113"/>
      <c r="K385" s="113"/>
      <c r="L385" s="113"/>
    </row>
    <row r="386">
      <c r="A386" s="97"/>
      <c r="B386" s="97"/>
      <c r="C386" s="98"/>
      <c r="D386" s="98"/>
      <c r="E386" s="97"/>
      <c r="F386" s="97"/>
      <c r="G386" s="100"/>
      <c r="H386" s="110"/>
      <c r="I386" s="113"/>
      <c r="J386" s="113"/>
      <c r="K386" s="113"/>
      <c r="L386" s="113"/>
    </row>
    <row r="387">
      <c r="A387" s="97"/>
      <c r="B387" s="97"/>
      <c r="C387" s="98"/>
      <c r="D387" s="98"/>
      <c r="E387" s="97"/>
      <c r="F387" s="97"/>
      <c r="G387" s="100"/>
      <c r="H387" s="110"/>
      <c r="I387" s="113"/>
      <c r="J387" s="113"/>
      <c r="K387" s="113"/>
      <c r="L387" s="113"/>
    </row>
    <row r="388">
      <c r="A388" s="97"/>
      <c r="B388" s="97"/>
      <c r="C388" s="98"/>
      <c r="D388" s="98"/>
      <c r="E388" s="97"/>
      <c r="F388" s="97"/>
      <c r="G388" s="100"/>
      <c r="H388" s="110"/>
      <c r="I388" s="113"/>
      <c r="J388" s="113"/>
      <c r="K388" s="113"/>
      <c r="L388" s="113"/>
    </row>
    <row r="389">
      <c r="A389" s="97"/>
      <c r="B389" s="97"/>
      <c r="C389" s="98"/>
      <c r="D389" s="98"/>
      <c r="E389" s="97"/>
      <c r="F389" s="97"/>
      <c r="G389" s="100"/>
      <c r="H389" s="110"/>
      <c r="I389" s="113"/>
      <c r="J389" s="113"/>
      <c r="K389" s="113"/>
      <c r="L389" s="113"/>
    </row>
    <row r="390">
      <c r="A390" s="97"/>
      <c r="B390" s="97"/>
      <c r="C390" s="98"/>
      <c r="D390" s="98"/>
      <c r="E390" s="97"/>
      <c r="F390" s="97"/>
      <c r="G390" s="100"/>
      <c r="H390" s="110"/>
      <c r="I390" s="113"/>
      <c r="J390" s="113"/>
      <c r="K390" s="113"/>
      <c r="L390" s="113"/>
    </row>
    <row r="391">
      <c r="A391" s="97"/>
      <c r="B391" s="97"/>
      <c r="C391" s="98"/>
      <c r="D391" s="98"/>
      <c r="E391" s="97"/>
      <c r="F391" s="97"/>
      <c r="G391" s="100"/>
      <c r="H391" s="110"/>
      <c r="I391" s="113"/>
      <c r="J391" s="113"/>
      <c r="K391" s="113"/>
      <c r="L391" s="113"/>
    </row>
    <row r="392">
      <c r="A392" s="97"/>
      <c r="B392" s="97"/>
      <c r="C392" s="98"/>
      <c r="D392" s="98"/>
      <c r="E392" s="97"/>
      <c r="F392" s="97"/>
      <c r="G392" s="100"/>
      <c r="H392" s="110"/>
      <c r="I392" s="113"/>
      <c r="J392" s="113"/>
      <c r="K392" s="113"/>
      <c r="L392" s="113"/>
    </row>
    <row r="393">
      <c r="A393" s="97"/>
      <c r="B393" s="97"/>
      <c r="C393" s="98"/>
      <c r="D393" s="98"/>
      <c r="E393" s="97"/>
      <c r="F393" s="97"/>
      <c r="G393" s="100"/>
      <c r="H393" s="110"/>
      <c r="I393" s="113"/>
      <c r="J393" s="113"/>
      <c r="K393" s="113"/>
      <c r="L393" s="113"/>
    </row>
    <row r="394">
      <c r="A394" s="97"/>
      <c r="B394" s="97"/>
      <c r="C394" s="98"/>
      <c r="D394" s="98"/>
      <c r="E394" s="97"/>
      <c r="F394" s="97"/>
      <c r="G394" s="100"/>
      <c r="H394" s="110"/>
      <c r="I394" s="113"/>
      <c r="J394" s="113"/>
      <c r="K394" s="113"/>
      <c r="L394" s="113"/>
    </row>
    <row r="395">
      <c r="A395" s="97"/>
      <c r="B395" s="97"/>
      <c r="C395" s="98"/>
      <c r="D395" s="98"/>
      <c r="E395" s="97"/>
      <c r="F395" s="97"/>
      <c r="G395" s="100"/>
      <c r="H395" s="110"/>
      <c r="I395" s="113"/>
      <c r="J395" s="113"/>
      <c r="K395" s="113"/>
      <c r="L395" s="113"/>
    </row>
    <row r="396">
      <c r="A396" s="97"/>
      <c r="B396" s="97"/>
      <c r="C396" s="98"/>
      <c r="D396" s="98"/>
      <c r="E396" s="97"/>
      <c r="F396" s="97"/>
      <c r="G396" s="100"/>
      <c r="H396" s="110"/>
      <c r="I396" s="113"/>
      <c r="J396" s="113"/>
      <c r="K396" s="113"/>
      <c r="L396" s="113"/>
    </row>
    <row r="397">
      <c r="A397" s="97"/>
      <c r="B397" s="97"/>
      <c r="C397" s="98"/>
      <c r="D397" s="98"/>
      <c r="E397" s="97"/>
      <c r="F397" s="97"/>
      <c r="G397" s="100"/>
      <c r="H397" s="110"/>
      <c r="I397" s="113"/>
      <c r="J397" s="113"/>
      <c r="K397" s="113"/>
      <c r="L397" s="113"/>
    </row>
    <row r="398">
      <c r="A398" s="97"/>
      <c r="B398" s="97"/>
      <c r="C398" s="98"/>
      <c r="D398" s="98"/>
      <c r="E398" s="97"/>
      <c r="F398" s="97"/>
      <c r="G398" s="100"/>
      <c r="H398" s="110"/>
      <c r="I398" s="113"/>
      <c r="J398" s="113"/>
      <c r="K398" s="113"/>
      <c r="L398" s="113"/>
    </row>
    <row r="399">
      <c r="A399" s="97"/>
      <c r="B399" s="97"/>
      <c r="C399" s="98"/>
      <c r="D399" s="98"/>
      <c r="E399" s="97"/>
      <c r="F399" s="97"/>
      <c r="G399" s="100"/>
      <c r="H399" s="110"/>
      <c r="I399" s="113"/>
      <c r="J399" s="113"/>
      <c r="K399" s="113"/>
      <c r="L399" s="113"/>
    </row>
    <row r="400">
      <c r="A400" s="97"/>
      <c r="B400" s="97"/>
      <c r="C400" s="98"/>
      <c r="D400" s="98"/>
      <c r="E400" s="97"/>
      <c r="F400" s="97"/>
      <c r="G400" s="100"/>
      <c r="H400" s="110"/>
      <c r="I400" s="113"/>
      <c r="J400" s="113"/>
      <c r="K400" s="113"/>
      <c r="L400" s="113"/>
    </row>
    <row r="401">
      <c r="A401" s="97"/>
      <c r="B401" s="97"/>
      <c r="C401" s="98"/>
      <c r="D401" s="98"/>
      <c r="E401" s="97"/>
      <c r="F401" s="97"/>
      <c r="G401" s="100"/>
      <c r="H401" s="110"/>
      <c r="I401" s="113"/>
      <c r="J401" s="113"/>
      <c r="K401" s="113"/>
      <c r="L401" s="113"/>
    </row>
    <row r="402">
      <c r="A402" s="97"/>
      <c r="B402" s="97"/>
      <c r="C402" s="98"/>
      <c r="D402" s="98"/>
      <c r="E402" s="97"/>
      <c r="F402" s="97"/>
      <c r="G402" s="100"/>
      <c r="H402" s="110"/>
      <c r="I402" s="113"/>
      <c r="J402" s="113"/>
      <c r="K402" s="113"/>
      <c r="L402" s="113"/>
    </row>
    <row r="403">
      <c r="A403" s="97"/>
      <c r="B403" s="97"/>
      <c r="C403" s="98"/>
      <c r="D403" s="98"/>
      <c r="E403" s="97"/>
      <c r="F403" s="97"/>
      <c r="G403" s="100"/>
      <c r="H403" s="110"/>
      <c r="I403" s="113"/>
      <c r="J403" s="113"/>
      <c r="K403" s="113"/>
      <c r="L403" s="113"/>
    </row>
    <row r="404">
      <c r="A404" s="97"/>
      <c r="B404" s="97"/>
      <c r="C404" s="98"/>
      <c r="D404" s="98"/>
      <c r="E404" s="97"/>
      <c r="F404" s="97"/>
      <c r="G404" s="100"/>
      <c r="H404" s="110"/>
      <c r="I404" s="113"/>
      <c r="J404" s="113"/>
      <c r="K404" s="113"/>
      <c r="L404" s="113"/>
    </row>
    <row r="405">
      <c r="A405" s="97"/>
      <c r="B405" s="97"/>
      <c r="C405" s="98"/>
      <c r="D405" s="98"/>
      <c r="E405" s="97"/>
      <c r="F405" s="97"/>
      <c r="G405" s="100"/>
      <c r="H405" s="110"/>
      <c r="I405" s="113"/>
      <c r="J405" s="113"/>
      <c r="K405" s="113"/>
      <c r="L405" s="113"/>
    </row>
    <row r="406">
      <c r="A406" s="97"/>
      <c r="B406" s="97"/>
      <c r="C406" s="98"/>
      <c r="D406" s="98"/>
      <c r="E406" s="97"/>
      <c r="F406" s="97"/>
      <c r="G406" s="100"/>
      <c r="H406" s="110"/>
      <c r="I406" s="113"/>
      <c r="J406" s="113"/>
      <c r="K406" s="113"/>
      <c r="L406" s="113"/>
    </row>
    <row r="407">
      <c r="A407" s="97"/>
      <c r="B407" s="97"/>
      <c r="C407" s="98"/>
      <c r="D407" s="98"/>
      <c r="E407" s="97"/>
      <c r="F407" s="97"/>
      <c r="G407" s="100"/>
      <c r="H407" s="110"/>
      <c r="I407" s="113"/>
      <c r="J407" s="113"/>
      <c r="K407" s="113"/>
      <c r="L407" s="113"/>
    </row>
    <row r="408">
      <c r="A408" s="97"/>
      <c r="B408" s="97"/>
      <c r="C408" s="98"/>
      <c r="D408" s="98"/>
      <c r="E408" s="97"/>
      <c r="F408" s="97"/>
      <c r="G408" s="100"/>
      <c r="H408" s="110"/>
      <c r="I408" s="113"/>
      <c r="J408" s="113"/>
      <c r="K408" s="113"/>
      <c r="L408" s="113"/>
    </row>
    <row r="409">
      <c r="A409" s="97"/>
      <c r="B409" s="97"/>
      <c r="C409" s="98"/>
      <c r="D409" s="98"/>
      <c r="E409" s="97"/>
      <c r="F409" s="97"/>
      <c r="G409" s="100"/>
      <c r="H409" s="110"/>
      <c r="I409" s="113"/>
      <c r="J409" s="113"/>
      <c r="K409" s="113"/>
      <c r="L409" s="113"/>
    </row>
    <row r="410">
      <c r="A410" s="97"/>
      <c r="B410" s="97"/>
      <c r="C410" s="98"/>
      <c r="D410" s="98"/>
      <c r="E410" s="97"/>
      <c r="F410" s="97"/>
      <c r="G410" s="100"/>
      <c r="H410" s="110"/>
      <c r="I410" s="113"/>
      <c r="J410" s="113"/>
      <c r="K410" s="113"/>
      <c r="L410" s="113"/>
    </row>
    <row r="411">
      <c r="A411" s="97"/>
      <c r="B411" s="97"/>
      <c r="C411" s="98"/>
      <c r="D411" s="98"/>
      <c r="E411" s="97"/>
      <c r="F411" s="97"/>
      <c r="G411" s="100"/>
      <c r="H411" s="110"/>
      <c r="I411" s="113"/>
      <c r="J411" s="113"/>
      <c r="K411" s="113"/>
      <c r="L411" s="113"/>
    </row>
    <row r="412">
      <c r="A412" s="97"/>
      <c r="B412" s="97"/>
      <c r="C412" s="98"/>
      <c r="D412" s="98"/>
      <c r="E412" s="97"/>
      <c r="F412" s="97"/>
      <c r="G412" s="100"/>
      <c r="H412" s="110"/>
      <c r="I412" s="113"/>
      <c r="J412" s="113"/>
      <c r="K412" s="113"/>
      <c r="L412" s="113"/>
    </row>
    <row r="413">
      <c r="A413" s="97"/>
      <c r="B413" s="97"/>
      <c r="C413" s="98"/>
      <c r="D413" s="98"/>
      <c r="E413" s="97"/>
      <c r="F413" s="97"/>
      <c r="G413" s="100"/>
      <c r="H413" s="110"/>
      <c r="I413" s="113"/>
      <c r="J413" s="113"/>
      <c r="K413" s="113"/>
      <c r="L413" s="113"/>
    </row>
    <row r="414">
      <c r="A414" s="97"/>
      <c r="B414" s="97"/>
      <c r="C414" s="98"/>
      <c r="D414" s="98"/>
      <c r="E414" s="97"/>
      <c r="F414" s="97"/>
      <c r="G414" s="100"/>
      <c r="H414" s="110"/>
      <c r="I414" s="113"/>
      <c r="J414" s="113"/>
      <c r="K414" s="113"/>
      <c r="L414" s="113"/>
    </row>
    <row r="415">
      <c r="A415" s="97"/>
      <c r="B415" s="97"/>
      <c r="C415" s="98"/>
      <c r="D415" s="98"/>
      <c r="E415" s="97"/>
      <c r="F415" s="97"/>
      <c r="G415" s="100"/>
      <c r="H415" s="110"/>
      <c r="I415" s="113"/>
      <c r="J415" s="113"/>
      <c r="K415" s="113"/>
      <c r="L415" s="113"/>
    </row>
    <row r="416">
      <c r="A416" s="97"/>
      <c r="B416" s="97"/>
      <c r="C416" s="98"/>
      <c r="D416" s="98"/>
      <c r="E416" s="97"/>
      <c r="F416" s="97"/>
      <c r="G416" s="100"/>
      <c r="H416" s="110"/>
      <c r="I416" s="113"/>
      <c r="J416" s="113"/>
      <c r="K416" s="113"/>
      <c r="L416" s="113"/>
    </row>
    <row r="417">
      <c r="A417" s="97"/>
      <c r="B417" s="97"/>
      <c r="C417" s="98"/>
      <c r="D417" s="98"/>
      <c r="E417" s="97"/>
      <c r="F417" s="97"/>
      <c r="G417" s="100"/>
      <c r="H417" s="110"/>
      <c r="I417" s="113"/>
      <c r="J417" s="113"/>
      <c r="K417" s="113"/>
      <c r="L417" s="113"/>
    </row>
    <row r="418">
      <c r="A418" s="97"/>
      <c r="B418" s="97"/>
      <c r="C418" s="98"/>
      <c r="D418" s="98"/>
      <c r="E418" s="97"/>
      <c r="F418" s="97"/>
      <c r="G418" s="100"/>
      <c r="H418" s="110"/>
      <c r="I418" s="113"/>
      <c r="J418" s="113"/>
      <c r="K418" s="113"/>
      <c r="L418" s="113"/>
    </row>
    <row r="419">
      <c r="A419" s="97"/>
      <c r="B419" s="97"/>
      <c r="C419" s="98"/>
      <c r="D419" s="98"/>
      <c r="E419" s="97"/>
      <c r="F419" s="97"/>
      <c r="G419" s="100"/>
      <c r="H419" s="110"/>
      <c r="I419" s="113"/>
      <c r="J419" s="113"/>
      <c r="K419" s="113"/>
      <c r="L419" s="113"/>
    </row>
    <row r="420">
      <c r="A420" s="97"/>
      <c r="B420" s="97"/>
      <c r="C420" s="98"/>
      <c r="D420" s="98"/>
      <c r="E420" s="97"/>
      <c r="F420" s="97"/>
      <c r="G420" s="100"/>
      <c r="H420" s="110"/>
      <c r="I420" s="113"/>
      <c r="J420" s="113"/>
      <c r="K420" s="113"/>
      <c r="L420" s="113"/>
    </row>
    <row r="421">
      <c r="A421" s="97"/>
      <c r="B421" s="97"/>
      <c r="C421" s="98"/>
      <c r="D421" s="98"/>
      <c r="E421" s="97"/>
      <c r="F421" s="97"/>
      <c r="G421" s="100"/>
      <c r="H421" s="110"/>
      <c r="I421" s="113"/>
      <c r="J421" s="113"/>
      <c r="K421" s="113"/>
      <c r="L421" s="113"/>
    </row>
    <row r="422">
      <c r="A422" s="97"/>
      <c r="B422" s="97"/>
      <c r="C422" s="98"/>
      <c r="D422" s="98"/>
      <c r="E422" s="97"/>
      <c r="F422" s="97"/>
      <c r="G422" s="100"/>
      <c r="H422" s="110"/>
      <c r="I422" s="113"/>
      <c r="J422" s="113"/>
      <c r="K422" s="113"/>
      <c r="L422" s="113"/>
    </row>
    <row r="423">
      <c r="A423" s="97"/>
      <c r="B423" s="97"/>
      <c r="C423" s="98"/>
      <c r="D423" s="98"/>
      <c r="E423" s="97"/>
      <c r="F423" s="97"/>
      <c r="G423" s="100"/>
      <c r="H423" s="110"/>
      <c r="I423" s="113"/>
      <c r="J423" s="113"/>
      <c r="K423" s="113"/>
      <c r="L423" s="113"/>
    </row>
    <row r="424">
      <c r="A424" s="97"/>
      <c r="B424" s="97"/>
      <c r="C424" s="98"/>
      <c r="D424" s="98"/>
      <c r="E424" s="97"/>
      <c r="F424" s="97"/>
      <c r="G424" s="100"/>
      <c r="H424" s="110"/>
      <c r="I424" s="113"/>
      <c r="J424" s="113"/>
      <c r="K424" s="113"/>
      <c r="L424" s="113"/>
    </row>
    <row r="425">
      <c r="A425" s="97"/>
      <c r="B425" s="97"/>
      <c r="C425" s="98"/>
      <c r="D425" s="98"/>
      <c r="E425" s="97"/>
      <c r="F425" s="97"/>
      <c r="G425" s="100"/>
      <c r="H425" s="110"/>
      <c r="I425" s="113"/>
      <c r="J425" s="113"/>
      <c r="K425" s="113"/>
      <c r="L425" s="113"/>
    </row>
    <row r="426">
      <c r="A426" s="97"/>
      <c r="B426" s="97"/>
      <c r="C426" s="98"/>
      <c r="D426" s="98"/>
      <c r="E426" s="97"/>
      <c r="F426" s="97"/>
      <c r="G426" s="100"/>
      <c r="H426" s="110"/>
      <c r="I426" s="113"/>
      <c r="J426" s="113"/>
      <c r="K426" s="113"/>
      <c r="L426" s="113"/>
    </row>
    <row r="427">
      <c r="A427" s="97"/>
      <c r="B427" s="97"/>
      <c r="C427" s="98"/>
      <c r="D427" s="98"/>
      <c r="E427" s="97"/>
      <c r="F427" s="97"/>
      <c r="G427" s="100"/>
      <c r="H427" s="110"/>
      <c r="I427" s="113"/>
      <c r="J427" s="113"/>
      <c r="K427" s="113"/>
      <c r="L427" s="113"/>
    </row>
    <row r="428">
      <c r="A428" s="97"/>
      <c r="B428" s="97"/>
      <c r="C428" s="98"/>
      <c r="D428" s="98"/>
      <c r="E428" s="97"/>
      <c r="F428" s="97"/>
      <c r="G428" s="100"/>
      <c r="H428" s="110"/>
      <c r="I428" s="113"/>
      <c r="J428" s="113"/>
      <c r="K428" s="113"/>
      <c r="L428" s="113"/>
    </row>
    <row r="429">
      <c r="A429" s="97"/>
      <c r="B429" s="97"/>
      <c r="C429" s="98"/>
      <c r="D429" s="98"/>
      <c r="E429" s="97"/>
      <c r="F429" s="97"/>
      <c r="G429" s="100"/>
      <c r="H429" s="110"/>
      <c r="I429" s="113"/>
      <c r="J429" s="113"/>
      <c r="K429" s="113"/>
      <c r="L429" s="113"/>
    </row>
    <row r="430">
      <c r="A430" s="97"/>
      <c r="B430" s="97"/>
      <c r="C430" s="98"/>
      <c r="D430" s="98"/>
      <c r="E430" s="97"/>
      <c r="F430" s="97"/>
      <c r="G430" s="100"/>
      <c r="H430" s="110"/>
      <c r="I430" s="113"/>
      <c r="J430" s="113"/>
      <c r="K430" s="113"/>
      <c r="L430" s="113"/>
    </row>
    <row r="431">
      <c r="A431" s="97"/>
      <c r="B431" s="97"/>
      <c r="C431" s="98"/>
      <c r="D431" s="98"/>
      <c r="E431" s="97"/>
      <c r="F431" s="97"/>
      <c r="G431" s="100"/>
      <c r="H431" s="110"/>
      <c r="I431" s="113"/>
      <c r="J431" s="113"/>
      <c r="K431" s="113"/>
      <c r="L431" s="113"/>
    </row>
    <row r="432">
      <c r="A432" s="97"/>
      <c r="B432" s="97"/>
      <c r="C432" s="98"/>
      <c r="D432" s="98"/>
      <c r="E432" s="97"/>
      <c r="F432" s="97"/>
      <c r="G432" s="100"/>
      <c r="H432" s="110"/>
      <c r="I432" s="113"/>
      <c r="J432" s="113"/>
      <c r="K432" s="113"/>
      <c r="L432" s="113"/>
    </row>
    <row r="433">
      <c r="A433" s="97"/>
      <c r="B433" s="97"/>
      <c r="C433" s="98"/>
      <c r="D433" s="98"/>
      <c r="E433" s="97"/>
      <c r="F433" s="97"/>
      <c r="G433" s="100"/>
      <c r="H433" s="110"/>
      <c r="I433" s="113"/>
      <c r="J433" s="113"/>
      <c r="K433" s="113"/>
      <c r="L433" s="113"/>
    </row>
    <row r="434">
      <c r="A434" s="97"/>
      <c r="B434" s="97"/>
      <c r="C434" s="98"/>
      <c r="D434" s="98"/>
      <c r="E434" s="97"/>
      <c r="F434" s="97"/>
      <c r="G434" s="100"/>
      <c r="H434" s="110"/>
      <c r="I434" s="113"/>
      <c r="J434" s="113"/>
      <c r="K434" s="113"/>
      <c r="L434" s="113"/>
    </row>
    <row r="435">
      <c r="A435" s="97"/>
      <c r="B435" s="97"/>
      <c r="C435" s="98"/>
      <c r="D435" s="98"/>
      <c r="E435" s="97"/>
      <c r="F435" s="97"/>
      <c r="G435" s="100"/>
      <c r="H435" s="110"/>
      <c r="I435" s="113"/>
      <c r="J435" s="113"/>
      <c r="K435" s="113"/>
      <c r="L435" s="113"/>
    </row>
    <row r="436">
      <c r="A436" s="97"/>
      <c r="B436" s="97"/>
      <c r="C436" s="98"/>
      <c r="D436" s="98"/>
      <c r="E436" s="97"/>
      <c r="F436" s="97"/>
      <c r="G436" s="100"/>
      <c r="H436" s="110"/>
      <c r="I436" s="113"/>
      <c r="J436" s="113"/>
      <c r="K436" s="113"/>
      <c r="L436" s="113"/>
    </row>
    <row r="437">
      <c r="A437" s="97"/>
      <c r="B437" s="97"/>
      <c r="C437" s="98"/>
      <c r="D437" s="98"/>
      <c r="E437" s="97"/>
      <c r="F437" s="97"/>
      <c r="G437" s="100"/>
      <c r="H437" s="110"/>
      <c r="I437" s="113"/>
      <c r="J437" s="113"/>
      <c r="K437" s="113"/>
      <c r="L437" s="113"/>
    </row>
    <row r="438">
      <c r="A438" s="97"/>
      <c r="B438" s="97"/>
      <c r="C438" s="98"/>
      <c r="D438" s="98"/>
      <c r="E438" s="97"/>
      <c r="F438" s="97"/>
      <c r="G438" s="100"/>
      <c r="H438" s="110"/>
      <c r="I438" s="113"/>
      <c r="J438" s="113"/>
      <c r="K438" s="113"/>
      <c r="L438" s="113"/>
    </row>
    <row r="439">
      <c r="A439" s="97"/>
      <c r="B439" s="97"/>
      <c r="C439" s="98"/>
      <c r="D439" s="98"/>
      <c r="E439" s="97"/>
      <c r="F439" s="97"/>
      <c r="G439" s="100"/>
      <c r="H439" s="110"/>
      <c r="I439" s="113"/>
      <c r="J439" s="113"/>
      <c r="K439" s="113"/>
      <c r="L439" s="113"/>
    </row>
    <row r="440">
      <c r="A440" s="97"/>
      <c r="B440" s="97"/>
      <c r="C440" s="98"/>
      <c r="D440" s="98"/>
      <c r="E440" s="97"/>
      <c r="F440" s="97"/>
      <c r="G440" s="100"/>
      <c r="H440" s="110"/>
      <c r="I440" s="113"/>
      <c r="J440" s="113"/>
      <c r="K440" s="113"/>
      <c r="L440" s="113"/>
    </row>
    <row r="441">
      <c r="A441" s="97"/>
      <c r="B441" s="97"/>
      <c r="C441" s="98"/>
      <c r="D441" s="98"/>
      <c r="E441" s="97"/>
      <c r="F441" s="97"/>
      <c r="G441" s="100"/>
      <c r="H441" s="110"/>
      <c r="I441" s="113"/>
      <c r="J441" s="113"/>
      <c r="K441" s="113"/>
      <c r="L441" s="113"/>
    </row>
    <row r="442">
      <c r="A442" s="97"/>
      <c r="B442" s="97"/>
      <c r="C442" s="98"/>
      <c r="D442" s="98"/>
      <c r="E442" s="97"/>
      <c r="F442" s="97"/>
      <c r="G442" s="100"/>
      <c r="H442" s="110"/>
      <c r="I442" s="113"/>
      <c r="J442" s="113"/>
      <c r="K442" s="113"/>
      <c r="L442" s="113"/>
    </row>
    <row r="443">
      <c r="A443" s="97"/>
      <c r="B443" s="97"/>
      <c r="C443" s="98"/>
      <c r="D443" s="98"/>
      <c r="E443" s="97"/>
      <c r="F443" s="97"/>
      <c r="G443" s="100"/>
      <c r="H443" s="110"/>
      <c r="I443" s="113"/>
      <c r="J443" s="113"/>
      <c r="K443" s="113"/>
      <c r="L443" s="113"/>
    </row>
    <row r="444">
      <c r="A444" s="97"/>
      <c r="B444" s="97"/>
      <c r="C444" s="98"/>
      <c r="D444" s="98"/>
      <c r="E444" s="97"/>
      <c r="F444" s="97"/>
      <c r="G444" s="100"/>
      <c r="H444" s="110"/>
      <c r="I444" s="113"/>
      <c r="J444" s="113"/>
      <c r="K444" s="113"/>
      <c r="L444" s="113"/>
    </row>
    <row r="445">
      <c r="A445" s="97"/>
      <c r="B445" s="97"/>
      <c r="C445" s="98"/>
      <c r="D445" s="98"/>
      <c r="E445" s="97"/>
      <c r="F445" s="97"/>
      <c r="G445" s="100"/>
      <c r="H445" s="110"/>
      <c r="I445" s="113"/>
      <c r="J445" s="113"/>
      <c r="K445" s="113"/>
      <c r="L445" s="113"/>
    </row>
    <row r="446">
      <c r="A446" s="97"/>
      <c r="B446" s="97"/>
      <c r="C446" s="98"/>
      <c r="D446" s="98"/>
      <c r="E446" s="97"/>
      <c r="F446" s="97"/>
      <c r="G446" s="100"/>
      <c r="H446" s="110"/>
      <c r="I446" s="113"/>
      <c r="J446" s="113"/>
      <c r="K446" s="113"/>
      <c r="L446" s="113"/>
    </row>
    <row r="447">
      <c r="A447" s="97"/>
      <c r="B447" s="97"/>
      <c r="C447" s="98"/>
      <c r="D447" s="98"/>
      <c r="E447" s="97"/>
      <c r="F447" s="97"/>
      <c r="G447" s="100"/>
      <c r="H447" s="110"/>
      <c r="I447" s="113"/>
      <c r="J447" s="113"/>
      <c r="K447" s="113"/>
      <c r="L447" s="113"/>
    </row>
    <row r="448">
      <c r="A448" s="97"/>
      <c r="B448" s="97"/>
      <c r="C448" s="98"/>
      <c r="D448" s="98"/>
      <c r="E448" s="97"/>
      <c r="F448" s="97"/>
      <c r="G448" s="100"/>
      <c r="H448" s="110"/>
      <c r="I448" s="113"/>
      <c r="J448" s="113"/>
      <c r="K448" s="113"/>
      <c r="L448" s="113"/>
    </row>
    <row r="449">
      <c r="A449" s="97"/>
      <c r="B449" s="97"/>
      <c r="C449" s="98"/>
      <c r="D449" s="98"/>
      <c r="E449" s="97"/>
      <c r="F449" s="97"/>
      <c r="G449" s="100"/>
      <c r="H449" s="110"/>
      <c r="I449" s="113"/>
      <c r="J449" s="113"/>
      <c r="K449" s="113"/>
      <c r="L449" s="113"/>
    </row>
    <row r="450">
      <c r="A450" s="97"/>
      <c r="B450" s="97"/>
      <c r="C450" s="98"/>
      <c r="D450" s="98"/>
      <c r="E450" s="97"/>
      <c r="F450" s="97"/>
      <c r="G450" s="100"/>
      <c r="H450" s="110"/>
      <c r="I450" s="113"/>
      <c r="J450" s="113"/>
      <c r="K450" s="113"/>
      <c r="L450" s="113"/>
    </row>
    <row r="451">
      <c r="A451" s="97"/>
      <c r="B451" s="97"/>
      <c r="C451" s="98"/>
      <c r="D451" s="98"/>
      <c r="E451" s="97"/>
      <c r="F451" s="97"/>
      <c r="G451" s="100"/>
      <c r="H451" s="110"/>
      <c r="I451" s="113"/>
      <c r="J451" s="113"/>
      <c r="K451" s="113"/>
      <c r="L451" s="113"/>
    </row>
    <row r="452">
      <c r="A452" s="97"/>
      <c r="B452" s="97"/>
      <c r="C452" s="98"/>
      <c r="D452" s="98"/>
      <c r="E452" s="97"/>
      <c r="F452" s="97"/>
      <c r="G452" s="100"/>
      <c r="H452" s="110"/>
      <c r="I452" s="113"/>
      <c r="J452" s="113"/>
      <c r="K452" s="113"/>
      <c r="L452" s="113"/>
    </row>
    <row r="453">
      <c r="A453" s="97"/>
      <c r="B453" s="97"/>
      <c r="C453" s="98"/>
      <c r="D453" s="98"/>
      <c r="E453" s="97"/>
      <c r="F453" s="97"/>
      <c r="G453" s="100"/>
      <c r="H453" s="110"/>
      <c r="I453" s="113"/>
      <c r="J453" s="113"/>
      <c r="K453" s="113"/>
      <c r="L453" s="113"/>
    </row>
    <row r="454">
      <c r="A454" s="97"/>
      <c r="B454" s="97"/>
      <c r="C454" s="98"/>
      <c r="D454" s="98"/>
      <c r="E454" s="97"/>
      <c r="F454" s="97"/>
      <c r="G454" s="100"/>
      <c r="H454" s="110"/>
      <c r="I454" s="113"/>
      <c r="J454" s="113"/>
      <c r="K454" s="113"/>
      <c r="L454" s="113"/>
    </row>
    <row r="455">
      <c r="A455" s="97"/>
      <c r="B455" s="97"/>
      <c r="C455" s="98"/>
      <c r="D455" s="98"/>
      <c r="E455" s="97"/>
      <c r="F455" s="97"/>
      <c r="G455" s="100"/>
      <c r="H455" s="110"/>
      <c r="I455" s="113"/>
      <c r="J455" s="113"/>
      <c r="K455" s="113"/>
      <c r="L455" s="113"/>
    </row>
    <row r="456">
      <c r="A456" s="97"/>
      <c r="B456" s="97"/>
      <c r="C456" s="98"/>
      <c r="D456" s="98"/>
      <c r="E456" s="97"/>
      <c r="F456" s="97"/>
      <c r="G456" s="100"/>
      <c r="H456" s="110"/>
      <c r="I456" s="113"/>
      <c r="J456" s="113"/>
      <c r="K456" s="113"/>
      <c r="L456" s="113"/>
    </row>
    <row r="457">
      <c r="A457" s="97"/>
      <c r="B457" s="97"/>
      <c r="C457" s="98"/>
      <c r="D457" s="98"/>
      <c r="E457" s="97"/>
      <c r="F457" s="97"/>
      <c r="G457" s="100"/>
      <c r="H457" s="110"/>
      <c r="I457" s="113"/>
      <c r="J457" s="113"/>
      <c r="K457" s="113"/>
      <c r="L457" s="113"/>
    </row>
    <row r="458">
      <c r="A458" s="97"/>
      <c r="B458" s="97"/>
      <c r="C458" s="98"/>
      <c r="D458" s="98"/>
      <c r="E458" s="97"/>
      <c r="F458" s="97"/>
      <c r="G458" s="100"/>
      <c r="H458" s="110"/>
      <c r="I458" s="113"/>
      <c r="J458" s="113"/>
      <c r="K458" s="113"/>
      <c r="L458" s="113"/>
    </row>
    <row r="459">
      <c r="A459" s="97"/>
      <c r="B459" s="97"/>
      <c r="C459" s="98"/>
      <c r="D459" s="98"/>
      <c r="E459" s="97"/>
      <c r="F459" s="97"/>
      <c r="G459" s="100"/>
      <c r="H459" s="110"/>
      <c r="I459" s="113"/>
      <c r="J459" s="113"/>
      <c r="K459" s="113"/>
      <c r="L459" s="113"/>
    </row>
    <row r="460">
      <c r="A460" s="97"/>
      <c r="B460" s="97"/>
      <c r="C460" s="98"/>
      <c r="D460" s="98"/>
      <c r="E460" s="97"/>
      <c r="F460" s="97"/>
      <c r="G460" s="100"/>
      <c r="H460" s="110"/>
      <c r="I460" s="113"/>
      <c r="J460" s="113"/>
      <c r="K460" s="113"/>
      <c r="L460" s="113"/>
    </row>
    <row r="461">
      <c r="A461" s="97"/>
      <c r="B461" s="97"/>
      <c r="C461" s="98"/>
      <c r="D461" s="98"/>
      <c r="E461" s="97"/>
      <c r="F461" s="97"/>
      <c r="G461" s="100"/>
      <c r="H461" s="110"/>
      <c r="I461" s="113"/>
      <c r="J461" s="113"/>
      <c r="K461" s="113"/>
      <c r="L461" s="113"/>
    </row>
    <row r="462">
      <c r="A462" s="97"/>
      <c r="B462" s="97"/>
      <c r="C462" s="98"/>
      <c r="D462" s="98"/>
      <c r="E462" s="97"/>
      <c r="F462" s="97"/>
      <c r="G462" s="100"/>
      <c r="H462" s="110"/>
      <c r="I462" s="113"/>
      <c r="J462" s="113"/>
      <c r="K462" s="113"/>
      <c r="L462" s="113"/>
    </row>
    <row r="463">
      <c r="A463" s="97"/>
      <c r="B463" s="97"/>
      <c r="C463" s="98"/>
      <c r="D463" s="98"/>
      <c r="E463" s="97"/>
      <c r="F463" s="97"/>
      <c r="G463" s="100"/>
      <c r="H463" s="110"/>
      <c r="I463" s="113"/>
      <c r="J463" s="113"/>
      <c r="K463" s="113"/>
      <c r="L463" s="113"/>
    </row>
    <row r="464">
      <c r="A464" s="97"/>
      <c r="B464" s="97"/>
      <c r="C464" s="98"/>
      <c r="D464" s="98"/>
      <c r="E464" s="97"/>
      <c r="F464" s="97"/>
      <c r="G464" s="100"/>
      <c r="H464" s="110"/>
      <c r="I464" s="113"/>
      <c r="J464" s="113"/>
      <c r="K464" s="113"/>
      <c r="L464" s="113"/>
    </row>
    <row r="465">
      <c r="A465" s="97"/>
      <c r="B465" s="97"/>
      <c r="C465" s="98"/>
      <c r="D465" s="98"/>
      <c r="E465" s="97"/>
      <c r="F465" s="97"/>
      <c r="G465" s="100"/>
      <c r="H465" s="110"/>
      <c r="I465" s="113"/>
      <c r="J465" s="113"/>
      <c r="K465" s="113"/>
      <c r="L465" s="113"/>
    </row>
    <row r="466">
      <c r="A466" s="97"/>
      <c r="B466" s="97"/>
      <c r="C466" s="98"/>
      <c r="D466" s="98"/>
      <c r="E466" s="97"/>
      <c r="F466" s="97"/>
      <c r="G466" s="100"/>
      <c r="H466" s="110"/>
      <c r="I466" s="113"/>
      <c r="J466" s="113"/>
      <c r="K466" s="113"/>
      <c r="L466" s="113"/>
    </row>
    <row r="467">
      <c r="A467" s="97"/>
      <c r="B467" s="97"/>
      <c r="C467" s="98"/>
      <c r="D467" s="98"/>
      <c r="E467" s="97"/>
      <c r="F467" s="97"/>
      <c r="G467" s="100"/>
      <c r="H467" s="110"/>
      <c r="I467" s="113"/>
      <c r="J467" s="113"/>
      <c r="K467" s="113"/>
      <c r="L467" s="113"/>
    </row>
    <row r="468">
      <c r="A468" s="97"/>
      <c r="B468" s="97"/>
      <c r="C468" s="98"/>
      <c r="D468" s="98"/>
      <c r="E468" s="97"/>
      <c r="F468" s="97"/>
      <c r="G468" s="100"/>
      <c r="H468" s="110"/>
      <c r="I468" s="113"/>
      <c r="J468" s="113"/>
      <c r="K468" s="113"/>
      <c r="L468" s="113"/>
    </row>
    <row r="469">
      <c r="A469" s="97"/>
      <c r="B469" s="97"/>
      <c r="C469" s="98"/>
      <c r="D469" s="98"/>
      <c r="E469" s="97"/>
      <c r="F469" s="97"/>
      <c r="G469" s="100"/>
      <c r="H469" s="110"/>
      <c r="I469" s="113"/>
      <c r="J469" s="113"/>
      <c r="K469" s="113"/>
      <c r="L469" s="113"/>
    </row>
    <row r="470">
      <c r="A470" s="97"/>
      <c r="B470" s="97"/>
      <c r="C470" s="98"/>
      <c r="D470" s="98"/>
      <c r="E470" s="97"/>
      <c r="F470" s="97"/>
      <c r="G470" s="100"/>
      <c r="H470" s="110"/>
      <c r="I470" s="113"/>
      <c r="J470" s="113"/>
      <c r="K470" s="113"/>
      <c r="L470" s="113"/>
    </row>
    <row r="471">
      <c r="A471" s="97"/>
      <c r="B471" s="97"/>
      <c r="C471" s="98"/>
      <c r="D471" s="98"/>
      <c r="E471" s="97"/>
      <c r="F471" s="97"/>
      <c r="G471" s="100"/>
      <c r="H471" s="110"/>
      <c r="I471" s="113"/>
      <c r="J471" s="113"/>
      <c r="K471" s="113"/>
      <c r="L471" s="113"/>
    </row>
    <row r="472">
      <c r="A472" s="97"/>
      <c r="B472" s="97"/>
      <c r="C472" s="98"/>
      <c r="D472" s="98"/>
      <c r="E472" s="97"/>
      <c r="F472" s="97"/>
      <c r="G472" s="100"/>
      <c r="H472" s="110"/>
      <c r="I472" s="113"/>
      <c r="J472" s="113"/>
      <c r="K472" s="113"/>
      <c r="L472" s="113"/>
    </row>
    <row r="473">
      <c r="A473" s="97"/>
      <c r="B473" s="97"/>
      <c r="C473" s="98"/>
      <c r="D473" s="98"/>
      <c r="E473" s="97"/>
      <c r="F473" s="97"/>
      <c r="G473" s="100"/>
      <c r="H473" s="110"/>
      <c r="I473" s="113"/>
      <c r="J473" s="113"/>
      <c r="K473" s="113"/>
      <c r="L473" s="113"/>
    </row>
    <row r="474">
      <c r="A474" s="97"/>
      <c r="B474" s="97"/>
      <c r="C474" s="98"/>
      <c r="D474" s="98"/>
      <c r="E474" s="97"/>
      <c r="F474" s="97"/>
      <c r="G474" s="100"/>
      <c r="H474" s="110"/>
      <c r="I474" s="113"/>
      <c r="J474" s="113"/>
      <c r="K474" s="113"/>
      <c r="L474" s="113"/>
    </row>
    <row r="475">
      <c r="A475" s="97"/>
      <c r="B475" s="97"/>
      <c r="C475" s="98"/>
      <c r="D475" s="98"/>
      <c r="E475" s="97"/>
      <c r="F475" s="97"/>
      <c r="G475" s="100"/>
      <c r="H475" s="110"/>
      <c r="I475" s="113"/>
      <c r="J475" s="113"/>
      <c r="K475" s="113"/>
      <c r="L475" s="113"/>
    </row>
    <row r="476">
      <c r="A476" s="97"/>
      <c r="B476" s="97"/>
      <c r="C476" s="98"/>
      <c r="D476" s="98"/>
      <c r="E476" s="97"/>
      <c r="F476" s="97"/>
      <c r="G476" s="100"/>
      <c r="H476" s="110"/>
      <c r="I476" s="113"/>
      <c r="J476" s="113"/>
      <c r="K476" s="113"/>
      <c r="L476" s="113"/>
    </row>
    <row r="477">
      <c r="A477" s="97"/>
      <c r="B477" s="97"/>
      <c r="C477" s="98"/>
      <c r="D477" s="98"/>
      <c r="E477" s="97"/>
      <c r="F477" s="97"/>
      <c r="G477" s="100"/>
      <c r="H477" s="110"/>
      <c r="I477" s="113"/>
      <c r="J477" s="113"/>
      <c r="K477" s="113"/>
      <c r="L477" s="113"/>
    </row>
    <row r="478">
      <c r="A478" s="97"/>
      <c r="B478" s="97"/>
      <c r="C478" s="98"/>
      <c r="D478" s="98"/>
      <c r="E478" s="97"/>
      <c r="F478" s="97"/>
      <c r="G478" s="100"/>
      <c r="H478" s="110"/>
      <c r="I478" s="113"/>
      <c r="J478" s="113"/>
      <c r="K478" s="113"/>
      <c r="L478" s="113"/>
    </row>
    <row r="479">
      <c r="A479" s="97"/>
      <c r="B479" s="97"/>
      <c r="C479" s="98"/>
      <c r="D479" s="98"/>
      <c r="E479" s="97"/>
      <c r="F479" s="97"/>
      <c r="G479" s="100"/>
      <c r="H479" s="110"/>
      <c r="I479" s="113"/>
      <c r="J479" s="113"/>
      <c r="K479" s="113"/>
      <c r="L479" s="113"/>
    </row>
    <row r="480">
      <c r="A480" s="97"/>
      <c r="B480" s="97"/>
      <c r="C480" s="98"/>
      <c r="D480" s="98"/>
      <c r="E480" s="97"/>
      <c r="F480" s="97"/>
      <c r="G480" s="100"/>
      <c r="H480" s="110"/>
      <c r="I480" s="113"/>
      <c r="J480" s="113"/>
      <c r="K480" s="113"/>
      <c r="L480" s="113"/>
    </row>
    <row r="481">
      <c r="A481" s="97"/>
      <c r="B481" s="97"/>
      <c r="C481" s="98"/>
      <c r="D481" s="98"/>
      <c r="E481" s="97"/>
      <c r="F481" s="97"/>
      <c r="G481" s="100"/>
      <c r="H481" s="110"/>
      <c r="I481" s="113"/>
      <c r="J481" s="113"/>
      <c r="K481" s="113"/>
      <c r="L481" s="113"/>
    </row>
    <row r="482">
      <c r="A482" s="97"/>
      <c r="B482" s="97"/>
      <c r="C482" s="98"/>
      <c r="D482" s="98"/>
      <c r="E482" s="97"/>
      <c r="F482" s="97"/>
      <c r="G482" s="100"/>
      <c r="H482" s="110"/>
      <c r="I482" s="113"/>
      <c r="J482" s="113"/>
      <c r="K482" s="113"/>
      <c r="L482" s="113"/>
    </row>
    <row r="483">
      <c r="A483" s="97"/>
      <c r="B483" s="97"/>
      <c r="C483" s="98"/>
      <c r="D483" s="98"/>
      <c r="E483" s="97"/>
      <c r="F483" s="97"/>
      <c r="G483" s="100"/>
      <c r="H483" s="110"/>
      <c r="I483" s="113"/>
      <c r="J483" s="113"/>
      <c r="K483" s="113"/>
      <c r="L483" s="113"/>
    </row>
    <row r="484">
      <c r="A484" s="97"/>
      <c r="B484" s="97"/>
      <c r="C484" s="98"/>
      <c r="D484" s="98"/>
      <c r="E484" s="97"/>
      <c r="F484" s="97"/>
      <c r="G484" s="100"/>
      <c r="H484" s="110"/>
      <c r="I484" s="113"/>
      <c r="J484" s="113"/>
      <c r="K484" s="113"/>
      <c r="L484" s="113"/>
    </row>
    <row r="485">
      <c r="A485" s="97"/>
      <c r="B485" s="97"/>
      <c r="C485" s="98"/>
      <c r="D485" s="98"/>
      <c r="E485" s="97"/>
      <c r="F485" s="97"/>
      <c r="G485" s="100"/>
      <c r="H485" s="110"/>
      <c r="I485" s="113"/>
      <c r="J485" s="113"/>
      <c r="K485" s="113"/>
      <c r="L485" s="113"/>
    </row>
    <row r="486">
      <c r="A486" s="97"/>
      <c r="B486" s="97"/>
      <c r="C486" s="98"/>
      <c r="D486" s="98"/>
      <c r="E486" s="97"/>
      <c r="F486" s="97"/>
      <c r="G486" s="100"/>
      <c r="H486" s="110"/>
      <c r="I486" s="113"/>
      <c r="J486" s="113"/>
      <c r="K486" s="113"/>
      <c r="L486" s="113"/>
    </row>
    <row r="487">
      <c r="A487" s="97"/>
      <c r="B487" s="97"/>
      <c r="C487" s="98"/>
      <c r="D487" s="98"/>
      <c r="E487" s="97"/>
      <c r="F487" s="97"/>
      <c r="G487" s="100"/>
      <c r="H487" s="110"/>
      <c r="I487" s="113"/>
      <c r="J487" s="113"/>
      <c r="K487" s="113"/>
      <c r="L487" s="113"/>
    </row>
    <row r="488">
      <c r="A488" s="97"/>
      <c r="B488" s="97"/>
      <c r="C488" s="98"/>
      <c r="D488" s="98"/>
      <c r="E488" s="97"/>
      <c r="F488" s="97"/>
      <c r="G488" s="100"/>
      <c r="H488" s="110"/>
      <c r="I488" s="113"/>
      <c r="J488" s="113"/>
      <c r="K488" s="113"/>
      <c r="L488" s="113"/>
    </row>
    <row r="489">
      <c r="A489" s="97"/>
      <c r="B489" s="97"/>
      <c r="C489" s="98"/>
      <c r="D489" s="98"/>
      <c r="E489" s="97"/>
      <c r="F489" s="97"/>
      <c r="G489" s="100"/>
      <c r="H489" s="110"/>
      <c r="I489" s="113"/>
      <c r="J489" s="113"/>
      <c r="K489" s="113"/>
      <c r="L489" s="113"/>
    </row>
    <row r="490">
      <c r="A490" s="97"/>
      <c r="B490" s="97"/>
      <c r="C490" s="98"/>
      <c r="D490" s="98"/>
      <c r="E490" s="97"/>
      <c r="F490" s="97"/>
      <c r="G490" s="100"/>
      <c r="H490" s="110"/>
      <c r="I490" s="113"/>
      <c r="J490" s="113"/>
      <c r="K490" s="113"/>
      <c r="L490" s="113"/>
    </row>
    <row r="491">
      <c r="A491" s="97"/>
      <c r="B491" s="97"/>
      <c r="C491" s="98"/>
      <c r="D491" s="98"/>
      <c r="E491" s="97"/>
      <c r="F491" s="97"/>
      <c r="G491" s="100"/>
      <c r="H491" s="110"/>
      <c r="I491" s="113"/>
      <c r="J491" s="113"/>
      <c r="K491" s="113"/>
      <c r="L491" s="113"/>
    </row>
    <row r="492">
      <c r="A492" s="97"/>
      <c r="B492" s="97"/>
      <c r="C492" s="98"/>
      <c r="D492" s="98"/>
      <c r="E492" s="97"/>
      <c r="F492" s="97"/>
      <c r="G492" s="100"/>
      <c r="H492" s="110"/>
      <c r="I492" s="113"/>
      <c r="J492" s="113"/>
      <c r="K492" s="113"/>
      <c r="L492" s="113"/>
    </row>
    <row r="493">
      <c r="A493" s="97"/>
      <c r="B493" s="97"/>
      <c r="C493" s="98"/>
      <c r="D493" s="98"/>
      <c r="E493" s="97"/>
      <c r="F493" s="97"/>
      <c r="G493" s="100"/>
      <c r="H493" s="110"/>
      <c r="I493" s="113"/>
      <c r="J493" s="113"/>
      <c r="K493" s="113"/>
      <c r="L493" s="113"/>
    </row>
    <row r="494">
      <c r="A494" s="97"/>
      <c r="B494" s="97"/>
      <c r="C494" s="98"/>
      <c r="D494" s="98"/>
      <c r="E494" s="97"/>
      <c r="F494" s="97"/>
      <c r="G494" s="100"/>
      <c r="H494" s="110"/>
      <c r="I494" s="113"/>
      <c r="J494" s="113"/>
      <c r="K494" s="113"/>
      <c r="L494" s="113"/>
    </row>
    <row r="495">
      <c r="A495" s="97"/>
      <c r="B495" s="97"/>
      <c r="C495" s="98"/>
      <c r="D495" s="98"/>
      <c r="E495" s="97"/>
      <c r="F495" s="97"/>
      <c r="G495" s="100"/>
      <c r="H495" s="110"/>
      <c r="I495" s="113"/>
      <c r="J495" s="113"/>
      <c r="K495" s="113"/>
      <c r="L495" s="113"/>
    </row>
    <row r="496">
      <c r="A496" s="97"/>
      <c r="B496" s="97"/>
      <c r="C496" s="98"/>
      <c r="D496" s="98"/>
      <c r="E496" s="97"/>
      <c r="F496" s="97"/>
      <c r="G496" s="100"/>
      <c r="H496" s="110"/>
      <c r="I496" s="113"/>
      <c r="J496" s="113"/>
      <c r="K496" s="113"/>
      <c r="L496" s="113"/>
    </row>
    <row r="497">
      <c r="A497" s="97"/>
      <c r="B497" s="97"/>
      <c r="C497" s="98"/>
      <c r="D497" s="98"/>
      <c r="E497" s="97"/>
      <c r="F497" s="97"/>
      <c r="G497" s="100"/>
      <c r="H497" s="110"/>
      <c r="I497" s="113"/>
      <c r="J497" s="113"/>
      <c r="K497" s="113"/>
      <c r="L497" s="113"/>
    </row>
    <row r="498">
      <c r="A498" s="97"/>
      <c r="B498" s="97"/>
      <c r="C498" s="98"/>
      <c r="D498" s="98"/>
      <c r="E498" s="97"/>
      <c r="F498" s="97"/>
      <c r="G498" s="100"/>
      <c r="H498" s="110"/>
      <c r="I498" s="113"/>
      <c r="J498" s="113"/>
      <c r="K498" s="113"/>
      <c r="L498" s="113"/>
    </row>
    <row r="499">
      <c r="A499" s="97"/>
      <c r="B499" s="97"/>
      <c r="C499" s="98"/>
      <c r="D499" s="98"/>
      <c r="E499" s="97"/>
      <c r="F499" s="97"/>
      <c r="G499" s="100"/>
      <c r="H499" s="110"/>
      <c r="I499" s="113"/>
      <c r="J499" s="113"/>
      <c r="K499" s="113"/>
      <c r="L499" s="113"/>
    </row>
    <row r="500">
      <c r="A500" s="97"/>
      <c r="B500" s="97"/>
      <c r="C500" s="98"/>
      <c r="D500" s="98"/>
      <c r="E500" s="97"/>
      <c r="F500" s="97"/>
      <c r="G500" s="100"/>
      <c r="H500" s="110"/>
      <c r="I500" s="113"/>
      <c r="J500" s="113"/>
      <c r="K500" s="113"/>
      <c r="L500" s="113"/>
    </row>
    <row r="501">
      <c r="A501" s="97"/>
      <c r="B501" s="97"/>
      <c r="C501" s="98"/>
      <c r="D501" s="98"/>
      <c r="E501" s="97"/>
      <c r="F501" s="97"/>
      <c r="G501" s="100"/>
      <c r="H501" s="110"/>
      <c r="I501" s="113"/>
      <c r="J501" s="113"/>
      <c r="K501" s="113"/>
      <c r="L501" s="113"/>
    </row>
    <row r="502">
      <c r="A502" s="97"/>
      <c r="B502" s="97"/>
      <c r="C502" s="98"/>
      <c r="D502" s="98"/>
      <c r="E502" s="97"/>
      <c r="F502" s="97"/>
      <c r="G502" s="100"/>
      <c r="H502" s="110"/>
      <c r="I502" s="113"/>
      <c r="J502" s="113"/>
      <c r="K502" s="113"/>
      <c r="L502" s="113"/>
    </row>
    <row r="503">
      <c r="A503" s="97"/>
      <c r="B503" s="97"/>
      <c r="C503" s="98"/>
      <c r="D503" s="98"/>
      <c r="E503" s="97"/>
      <c r="F503" s="97"/>
      <c r="G503" s="100"/>
      <c r="H503" s="110"/>
      <c r="I503" s="113"/>
      <c r="J503" s="113"/>
      <c r="K503" s="113"/>
      <c r="L503" s="113"/>
    </row>
    <row r="504">
      <c r="A504" s="97"/>
      <c r="B504" s="97"/>
      <c r="C504" s="98"/>
      <c r="D504" s="98"/>
      <c r="E504" s="97"/>
      <c r="F504" s="97"/>
      <c r="G504" s="100"/>
      <c r="H504" s="110"/>
      <c r="I504" s="113"/>
      <c r="J504" s="113"/>
      <c r="K504" s="113"/>
      <c r="L504" s="113"/>
    </row>
    <row r="505">
      <c r="A505" s="97"/>
      <c r="B505" s="97"/>
      <c r="C505" s="98"/>
      <c r="D505" s="98"/>
      <c r="E505" s="97"/>
      <c r="F505" s="97"/>
      <c r="G505" s="100"/>
      <c r="H505" s="110"/>
      <c r="I505" s="113"/>
      <c r="J505" s="113"/>
      <c r="K505" s="113"/>
      <c r="L505" s="113"/>
    </row>
    <row r="506">
      <c r="A506" s="97"/>
      <c r="B506" s="97"/>
      <c r="C506" s="98"/>
      <c r="D506" s="98"/>
      <c r="E506" s="97"/>
      <c r="F506" s="97"/>
      <c r="G506" s="100"/>
      <c r="H506" s="110"/>
      <c r="I506" s="113"/>
      <c r="J506" s="113"/>
      <c r="K506" s="113"/>
      <c r="L506" s="113"/>
    </row>
    <row r="507">
      <c r="A507" s="97"/>
      <c r="B507" s="97"/>
      <c r="C507" s="98"/>
      <c r="D507" s="98"/>
      <c r="E507" s="97"/>
      <c r="F507" s="97"/>
      <c r="G507" s="100"/>
      <c r="H507" s="110"/>
      <c r="I507" s="113"/>
      <c r="J507" s="113"/>
      <c r="K507" s="113"/>
      <c r="L507" s="113"/>
    </row>
    <row r="508">
      <c r="A508" s="97"/>
      <c r="B508" s="97"/>
      <c r="C508" s="98"/>
      <c r="D508" s="98"/>
      <c r="E508" s="97"/>
      <c r="F508" s="97"/>
      <c r="G508" s="100"/>
      <c r="H508" s="110"/>
      <c r="I508" s="113"/>
      <c r="J508" s="113"/>
      <c r="K508" s="113"/>
      <c r="L508" s="113"/>
    </row>
    <row r="509">
      <c r="A509" s="97"/>
      <c r="B509" s="97"/>
      <c r="C509" s="98"/>
      <c r="D509" s="98"/>
      <c r="E509" s="97"/>
      <c r="F509" s="97"/>
      <c r="G509" s="100"/>
      <c r="H509" s="110"/>
      <c r="I509" s="113"/>
      <c r="J509" s="113"/>
      <c r="K509" s="113"/>
      <c r="L509" s="113"/>
    </row>
    <row r="510">
      <c r="A510" s="97"/>
      <c r="B510" s="97"/>
      <c r="C510" s="98"/>
      <c r="D510" s="98"/>
      <c r="E510" s="97"/>
      <c r="F510" s="97"/>
      <c r="G510" s="100"/>
      <c r="H510" s="110"/>
      <c r="I510" s="113"/>
      <c r="J510" s="113"/>
      <c r="K510" s="113"/>
      <c r="L510" s="113"/>
    </row>
    <row r="511">
      <c r="A511" s="97"/>
      <c r="B511" s="97"/>
      <c r="C511" s="98"/>
      <c r="D511" s="98"/>
      <c r="E511" s="97"/>
      <c r="F511" s="97"/>
      <c r="G511" s="100"/>
      <c r="H511" s="110"/>
      <c r="I511" s="113"/>
      <c r="J511" s="113"/>
      <c r="K511" s="113"/>
      <c r="L511" s="113"/>
    </row>
    <row r="512">
      <c r="A512" s="97"/>
      <c r="B512" s="97"/>
      <c r="C512" s="98"/>
      <c r="D512" s="98"/>
      <c r="E512" s="97"/>
      <c r="F512" s="97"/>
      <c r="G512" s="100"/>
      <c r="H512" s="110"/>
      <c r="I512" s="113"/>
      <c r="J512" s="113"/>
      <c r="K512" s="113"/>
      <c r="L512" s="113"/>
    </row>
    <row r="513">
      <c r="A513" s="97"/>
      <c r="B513" s="97"/>
      <c r="C513" s="98"/>
      <c r="D513" s="98"/>
      <c r="E513" s="97"/>
      <c r="F513" s="97"/>
      <c r="G513" s="100"/>
      <c r="H513" s="110"/>
      <c r="I513" s="113"/>
      <c r="J513" s="113"/>
      <c r="K513" s="113"/>
      <c r="L513" s="113"/>
    </row>
    <row r="514">
      <c r="A514" s="97"/>
      <c r="B514" s="97"/>
      <c r="C514" s="98"/>
      <c r="D514" s="98"/>
      <c r="E514" s="97"/>
      <c r="F514" s="97"/>
      <c r="G514" s="100"/>
      <c r="H514" s="110"/>
      <c r="I514" s="113"/>
      <c r="J514" s="113"/>
      <c r="K514" s="113"/>
      <c r="L514" s="113"/>
    </row>
    <row r="515">
      <c r="A515" s="97"/>
      <c r="B515" s="97"/>
      <c r="C515" s="98"/>
      <c r="D515" s="98"/>
      <c r="E515" s="97"/>
      <c r="F515" s="97"/>
      <c r="G515" s="100"/>
      <c r="H515" s="110"/>
      <c r="I515" s="113"/>
      <c r="J515" s="113"/>
      <c r="K515" s="113"/>
      <c r="L515" s="113"/>
    </row>
    <row r="516">
      <c r="A516" s="97"/>
      <c r="B516" s="97"/>
      <c r="C516" s="98"/>
      <c r="D516" s="98"/>
      <c r="E516" s="97"/>
      <c r="F516" s="97"/>
      <c r="G516" s="100"/>
      <c r="H516" s="110"/>
      <c r="I516" s="113"/>
      <c r="J516" s="113"/>
      <c r="K516" s="113"/>
      <c r="L516" s="113"/>
    </row>
    <row r="517">
      <c r="A517" s="97"/>
      <c r="B517" s="97"/>
      <c r="C517" s="98"/>
      <c r="D517" s="98"/>
      <c r="E517" s="97"/>
      <c r="F517" s="97"/>
      <c r="G517" s="100"/>
      <c r="H517" s="110"/>
      <c r="I517" s="113"/>
      <c r="J517" s="113"/>
      <c r="K517" s="113"/>
      <c r="L517" s="113"/>
    </row>
    <row r="518">
      <c r="A518" s="97"/>
      <c r="B518" s="97"/>
      <c r="C518" s="98"/>
      <c r="D518" s="98"/>
      <c r="E518" s="97"/>
      <c r="F518" s="97"/>
      <c r="G518" s="100"/>
      <c r="H518" s="110"/>
      <c r="I518" s="113"/>
      <c r="J518" s="113"/>
      <c r="K518" s="113"/>
      <c r="L518" s="113"/>
    </row>
    <row r="519">
      <c r="A519" s="97"/>
      <c r="B519" s="97"/>
      <c r="C519" s="98"/>
      <c r="D519" s="98"/>
      <c r="E519" s="97"/>
      <c r="F519" s="97"/>
      <c r="G519" s="100"/>
      <c r="H519" s="110"/>
      <c r="I519" s="113"/>
      <c r="J519" s="113"/>
      <c r="K519" s="113"/>
      <c r="L519" s="113"/>
    </row>
    <row r="520">
      <c r="A520" s="97"/>
      <c r="B520" s="97"/>
      <c r="C520" s="98"/>
      <c r="D520" s="98"/>
      <c r="E520" s="97"/>
      <c r="F520" s="97"/>
      <c r="G520" s="100"/>
      <c r="H520" s="110"/>
      <c r="I520" s="113"/>
      <c r="J520" s="113"/>
      <c r="K520" s="113"/>
      <c r="L520" s="113"/>
    </row>
    <row r="521">
      <c r="A521" s="97"/>
      <c r="B521" s="97"/>
      <c r="C521" s="98"/>
      <c r="D521" s="98"/>
      <c r="E521" s="97"/>
      <c r="F521" s="97"/>
      <c r="G521" s="100"/>
      <c r="H521" s="110"/>
      <c r="I521" s="113"/>
      <c r="J521" s="113"/>
      <c r="K521" s="113"/>
      <c r="L521" s="113"/>
    </row>
    <row r="522">
      <c r="A522" s="97"/>
      <c r="B522" s="97"/>
      <c r="C522" s="98"/>
      <c r="D522" s="98"/>
      <c r="E522" s="97"/>
      <c r="F522" s="97"/>
      <c r="G522" s="100"/>
      <c r="H522" s="110"/>
      <c r="I522" s="113"/>
      <c r="J522" s="113"/>
      <c r="K522" s="113"/>
      <c r="L522" s="113"/>
    </row>
    <row r="523">
      <c r="A523" s="97"/>
      <c r="B523" s="97"/>
      <c r="C523" s="98"/>
      <c r="D523" s="98"/>
      <c r="E523" s="97"/>
      <c r="F523" s="97"/>
      <c r="G523" s="100"/>
      <c r="H523" s="110"/>
      <c r="I523" s="113"/>
      <c r="J523" s="113"/>
      <c r="K523" s="113"/>
      <c r="L523" s="113"/>
    </row>
    <row r="524">
      <c r="A524" s="97"/>
      <c r="B524" s="97"/>
      <c r="C524" s="98"/>
      <c r="D524" s="98"/>
      <c r="E524" s="97"/>
      <c r="F524" s="97"/>
      <c r="G524" s="100"/>
      <c r="H524" s="110"/>
      <c r="I524" s="113"/>
      <c r="J524" s="113"/>
      <c r="K524" s="113"/>
      <c r="L524" s="113"/>
    </row>
    <row r="525">
      <c r="A525" s="97"/>
      <c r="B525" s="97"/>
      <c r="C525" s="98"/>
      <c r="D525" s="98"/>
      <c r="E525" s="97"/>
      <c r="F525" s="97"/>
      <c r="G525" s="100"/>
      <c r="H525" s="110"/>
      <c r="I525" s="113"/>
      <c r="J525" s="113"/>
      <c r="K525" s="113"/>
      <c r="L525" s="113"/>
    </row>
    <row r="526">
      <c r="A526" s="97"/>
      <c r="B526" s="97"/>
      <c r="C526" s="98"/>
      <c r="D526" s="98"/>
      <c r="E526" s="97"/>
      <c r="F526" s="97"/>
      <c r="G526" s="100"/>
      <c r="H526" s="110"/>
      <c r="I526" s="113"/>
      <c r="J526" s="113"/>
      <c r="K526" s="113"/>
      <c r="L526" s="113"/>
    </row>
    <row r="527">
      <c r="A527" s="97"/>
      <c r="B527" s="97"/>
      <c r="C527" s="98"/>
      <c r="D527" s="98"/>
      <c r="E527" s="97"/>
      <c r="F527" s="97"/>
      <c r="G527" s="100"/>
      <c r="H527" s="110"/>
      <c r="I527" s="113"/>
      <c r="J527" s="113"/>
      <c r="K527" s="113"/>
      <c r="L527" s="113"/>
    </row>
    <row r="528">
      <c r="A528" s="97"/>
      <c r="B528" s="97"/>
      <c r="C528" s="98"/>
      <c r="D528" s="98"/>
      <c r="E528" s="97"/>
      <c r="F528" s="97"/>
      <c r="G528" s="100"/>
      <c r="H528" s="110"/>
      <c r="I528" s="113"/>
      <c r="J528" s="113"/>
      <c r="K528" s="113"/>
      <c r="L528" s="113"/>
    </row>
    <row r="529">
      <c r="A529" s="97"/>
      <c r="B529" s="97"/>
      <c r="C529" s="98"/>
      <c r="D529" s="98"/>
      <c r="E529" s="97"/>
      <c r="F529" s="97"/>
      <c r="G529" s="100"/>
      <c r="H529" s="110"/>
      <c r="I529" s="113"/>
      <c r="J529" s="113"/>
      <c r="K529" s="113"/>
      <c r="L529" s="113"/>
    </row>
    <row r="530">
      <c r="A530" s="97"/>
      <c r="B530" s="97"/>
      <c r="C530" s="98"/>
      <c r="D530" s="98"/>
      <c r="E530" s="97"/>
      <c r="F530" s="97"/>
      <c r="G530" s="100"/>
      <c r="H530" s="110"/>
      <c r="I530" s="113"/>
      <c r="J530" s="113"/>
      <c r="K530" s="113"/>
      <c r="L530" s="113"/>
    </row>
    <row r="531">
      <c r="A531" s="97"/>
      <c r="B531" s="97"/>
      <c r="C531" s="98"/>
      <c r="D531" s="98"/>
      <c r="E531" s="97"/>
      <c r="F531" s="97"/>
      <c r="G531" s="100"/>
      <c r="H531" s="110"/>
      <c r="I531" s="113"/>
      <c r="J531" s="113"/>
      <c r="K531" s="113"/>
      <c r="L531" s="113"/>
    </row>
    <row r="532">
      <c r="A532" s="97"/>
      <c r="B532" s="97"/>
      <c r="C532" s="98"/>
      <c r="D532" s="98"/>
      <c r="E532" s="97"/>
      <c r="F532" s="97"/>
      <c r="G532" s="100"/>
      <c r="H532" s="110"/>
      <c r="I532" s="113"/>
      <c r="J532" s="113"/>
      <c r="K532" s="113"/>
      <c r="L532" s="113"/>
    </row>
    <row r="533">
      <c r="A533" s="97"/>
      <c r="B533" s="97"/>
      <c r="C533" s="98"/>
      <c r="D533" s="98"/>
      <c r="E533" s="97"/>
      <c r="F533" s="97"/>
      <c r="G533" s="100"/>
      <c r="H533" s="110"/>
      <c r="I533" s="113"/>
      <c r="J533" s="113"/>
      <c r="K533" s="113"/>
      <c r="L533" s="113"/>
    </row>
    <row r="534">
      <c r="A534" s="97"/>
      <c r="B534" s="97"/>
      <c r="C534" s="98"/>
      <c r="D534" s="98"/>
      <c r="E534" s="97"/>
      <c r="F534" s="97"/>
      <c r="G534" s="100"/>
      <c r="H534" s="110"/>
      <c r="I534" s="113"/>
      <c r="J534" s="113"/>
      <c r="K534" s="113"/>
      <c r="L534" s="113"/>
    </row>
    <row r="535">
      <c r="A535" s="97"/>
      <c r="B535" s="97"/>
      <c r="C535" s="98"/>
      <c r="D535" s="98"/>
      <c r="E535" s="97"/>
      <c r="F535" s="97"/>
      <c r="G535" s="100"/>
      <c r="H535" s="110"/>
      <c r="I535" s="113"/>
      <c r="J535" s="113"/>
      <c r="K535" s="113"/>
      <c r="L535" s="113"/>
    </row>
    <row r="536">
      <c r="A536" s="97"/>
      <c r="B536" s="97"/>
      <c r="C536" s="98"/>
      <c r="D536" s="98"/>
      <c r="E536" s="97"/>
      <c r="F536" s="97"/>
      <c r="G536" s="100"/>
      <c r="H536" s="110"/>
      <c r="I536" s="113"/>
      <c r="J536" s="113"/>
      <c r="K536" s="113"/>
      <c r="L536" s="113"/>
    </row>
    <row r="537">
      <c r="A537" s="97"/>
      <c r="B537" s="97"/>
      <c r="C537" s="98"/>
      <c r="D537" s="98"/>
      <c r="E537" s="97"/>
      <c r="F537" s="97"/>
      <c r="G537" s="100"/>
      <c r="H537" s="110"/>
      <c r="I537" s="113"/>
      <c r="J537" s="113"/>
      <c r="K537" s="113"/>
      <c r="L537" s="113"/>
    </row>
    <row r="538">
      <c r="A538" s="97"/>
      <c r="B538" s="97"/>
      <c r="C538" s="98"/>
      <c r="D538" s="98"/>
      <c r="E538" s="97"/>
      <c r="F538" s="97"/>
      <c r="G538" s="100"/>
      <c r="H538" s="110"/>
      <c r="I538" s="113"/>
      <c r="J538" s="113"/>
      <c r="K538" s="113"/>
      <c r="L538" s="113"/>
    </row>
    <row r="539">
      <c r="A539" s="97"/>
      <c r="B539" s="97"/>
      <c r="C539" s="98"/>
      <c r="D539" s="98"/>
      <c r="E539" s="97"/>
      <c r="F539" s="97"/>
      <c r="G539" s="100"/>
      <c r="H539" s="110"/>
      <c r="I539" s="113"/>
      <c r="J539" s="113"/>
      <c r="K539" s="113"/>
      <c r="L539" s="113"/>
    </row>
    <row r="540">
      <c r="A540" s="97"/>
      <c r="B540" s="97"/>
      <c r="C540" s="98"/>
      <c r="D540" s="98"/>
      <c r="E540" s="97"/>
      <c r="F540" s="97"/>
      <c r="G540" s="100"/>
      <c r="H540" s="110"/>
      <c r="I540" s="113"/>
      <c r="J540" s="113"/>
      <c r="K540" s="113"/>
      <c r="L540" s="113"/>
    </row>
    <row r="541">
      <c r="A541" s="97"/>
      <c r="B541" s="97"/>
      <c r="C541" s="98"/>
      <c r="D541" s="98"/>
      <c r="E541" s="97"/>
      <c r="F541" s="97"/>
      <c r="G541" s="100"/>
      <c r="H541" s="110"/>
      <c r="I541" s="113"/>
      <c r="J541" s="113"/>
      <c r="K541" s="113"/>
      <c r="L541" s="113"/>
    </row>
    <row r="542">
      <c r="A542" s="97"/>
      <c r="B542" s="97"/>
      <c r="C542" s="98"/>
      <c r="D542" s="98"/>
      <c r="E542" s="97"/>
      <c r="F542" s="97"/>
      <c r="G542" s="100"/>
      <c r="H542" s="110"/>
      <c r="I542" s="113"/>
      <c r="J542" s="113"/>
      <c r="K542" s="113"/>
      <c r="L542" s="113"/>
    </row>
    <row r="543">
      <c r="A543" s="97"/>
      <c r="B543" s="97"/>
      <c r="C543" s="98"/>
      <c r="D543" s="98"/>
      <c r="E543" s="97"/>
      <c r="F543" s="97"/>
      <c r="G543" s="100"/>
      <c r="H543" s="110"/>
      <c r="I543" s="113"/>
      <c r="J543" s="113"/>
      <c r="K543" s="113"/>
      <c r="L543" s="113"/>
    </row>
    <row r="544">
      <c r="A544" s="97"/>
      <c r="B544" s="97"/>
      <c r="C544" s="98"/>
      <c r="D544" s="98"/>
      <c r="E544" s="97"/>
      <c r="F544" s="97"/>
      <c r="G544" s="100"/>
      <c r="H544" s="110"/>
      <c r="I544" s="113"/>
      <c r="J544" s="113"/>
      <c r="K544" s="113"/>
      <c r="L544" s="113"/>
    </row>
    <row r="545">
      <c r="A545" s="97"/>
      <c r="B545" s="97"/>
      <c r="C545" s="98"/>
      <c r="D545" s="98"/>
      <c r="E545" s="97"/>
      <c r="F545" s="97"/>
      <c r="G545" s="100"/>
      <c r="H545" s="110"/>
      <c r="I545" s="113"/>
      <c r="J545" s="113"/>
      <c r="K545" s="113"/>
      <c r="L545" s="113"/>
    </row>
    <row r="546">
      <c r="A546" s="97"/>
      <c r="B546" s="97"/>
      <c r="C546" s="98"/>
      <c r="D546" s="98"/>
      <c r="E546" s="97"/>
      <c r="F546" s="97"/>
      <c r="G546" s="100"/>
      <c r="H546" s="110"/>
      <c r="I546" s="113"/>
      <c r="J546" s="113"/>
      <c r="K546" s="113"/>
      <c r="L546" s="113"/>
    </row>
    <row r="547">
      <c r="A547" s="97"/>
      <c r="B547" s="97"/>
      <c r="C547" s="98"/>
      <c r="D547" s="98"/>
      <c r="E547" s="97"/>
      <c r="F547" s="97"/>
      <c r="G547" s="100"/>
      <c r="H547" s="110"/>
      <c r="I547" s="113"/>
      <c r="J547" s="113"/>
      <c r="K547" s="113"/>
      <c r="L547" s="113"/>
    </row>
    <row r="548">
      <c r="A548" s="97"/>
      <c r="B548" s="97"/>
      <c r="C548" s="98"/>
      <c r="D548" s="98"/>
      <c r="E548" s="97"/>
      <c r="F548" s="97"/>
      <c r="G548" s="100"/>
      <c r="H548" s="110"/>
      <c r="I548" s="113"/>
      <c r="J548" s="113"/>
      <c r="K548" s="113"/>
      <c r="L548" s="113"/>
    </row>
    <row r="549">
      <c r="A549" s="97"/>
      <c r="B549" s="97"/>
      <c r="C549" s="98"/>
      <c r="D549" s="98"/>
      <c r="E549" s="97"/>
      <c r="F549" s="97"/>
      <c r="G549" s="100"/>
      <c r="H549" s="110"/>
      <c r="I549" s="113"/>
      <c r="J549" s="113"/>
      <c r="K549" s="113"/>
      <c r="L549" s="113"/>
    </row>
    <row r="550">
      <c r="A550" s="97"/>
      <c r="B550" s="97"/>
      <c r="C550" s="98"/>
      <c r="D550" s="98"/>
      <c r="E550" s="97"/>
      <c r="F550" s="97"/>
      <c r="G550" s="100"/>
      <c r="H550" s="110"/>
      <c r="I550" s="113"/>
      <c r="J550" s="113"/>
      <c r="K550" s="113"/>
      <c r="L550" s="113"/>
    </row>
    <row r="551">
      <c r="A551" s="97"/>
      <c r="B551" s="97"/>
      <c r="C551" s="98"/>
      <c r="D551" s="98"/>
      <c r="E551" s="97"/>
      <c r="F551" s="97"/>
      <c r="G551" s="100"/>
      <c r="H551" s="110"/>
      <c r="I551" s="113"/>
      <c r="J551" s="113"/>
      <c r="K551" s="113"/>
      <c r="L551" s="113"/>
    </row>
    <row r="552">
      <c r="A552" s="97"/>
      <c r="B552" s="97"/>
      <c r="C552" s="98"/>
      <c r="D552" s="98"/>
      <c r="E552" s="97"/>
      <c r="F552" s="97"/>
      <c r="G552" s="100"/>
      <c r="H552" s="110"/>
      <c r="I552" s="113"/>
      <c r="J552" s="113"/>
      <c r="K552" s="113"/>
      <c r="L552" s="113"/>
    </row>
    <row r="553">
      <c r="A553" s="97"/>
      <c r="B553" s="97"/>
      <c r="C553" s="98"/>
      <c r="D553" s="98"/>
      <c r="E553" s="97"/>
      <c r="F553" s="97"/>
      <c r="G553" s="100"/>
      <c r="H553" s="110"/>
      <c r="I553" s="113"/>
      <c r="J553" s="113"/>
      <c r="K553" s="113"/>
      <c r="L553" s="113"/>
    </row>
    <row r="554">
      <c r="A554" s="97"/>
      <c r="B554" s="97"/>
      <c r="C554" s="98"/>
      <c r="D554" s="98"/>
      <c r="E554" s="97"/>
      <c r="F554" s="97"/>
      <c r="G554" s="100"/>
      <c r="H554" s="110"/>
      <c r="I554" s="113"/>
      <c r="J554" s="113"/>
      <c r="K554" s="113"/>
      <c r="L554" s="113"/>
    </row>
    <row r="555">
      <c r="A555" s="97"/>
      <c r="B555" s="97"/>
      <c r="C555" s="98"/>
      <c r="D555" s="98"/>
      <c r="E555" s="97"/>
      <c r="F555" s="97"/>
      <c r="G555" s="100"/>
      <c r="H555" s="110"/>
      <c r="I555" s="113"/>
      <c r="J555" s="113"/>
      <c r="K555" s="113"/>
      <c r="L555" s="113"/>
    </row>
    <row r="556">
      <c r="A556" s="97"/>
      <c r="B556" s="97"/>
      <c r="C556" s="98"/>
      <c r="D556" s="98"/>
      <c r="E556" s="97"/>
      <c r="F556" s="97"/>
      <c r="G556" s="100"/>
      <c r="H556" s="110"/>
      <c r="I556" s="113"/>
      <c r="J556" s="113"/>
      <c r="K556" s="113"/>
      <c r="L556" s="113"/>
    </row>
    <row r="557">
      <c r="A557" s="97"/>
      <c r="B557" s="97"/>
      <c r="C557" s="98"/>
      <c r="D557" s="98"/>
      <c r="E557" s="97"/>
      <c r="F557" s="97"/>
      <c r="G557" s="100"/>
      <c r="H557" s="110"/>
      <c r="I557" s="113"/>
      <c r="J557" s="113"/>
      <c r="K557" s="113"/>
      <c r="L557" s="113"/>
    </row>
    <row r="558">
      <c r="A558" s="97"/>
      <c r="B558" s="97"/>
      <c r="C558" s="98"/>
      <c r="D558" s="98"/>
      <c r="E558" s="97"/>
      <c r="F558" s="97"/>
      <c r="G558" s="100"/>
      <c r="H558" s="110"/>
      <c r="I558" s="113"/>
      <c r="J558" s="113"/>
      <c r="K558" s="113"/>
      <c r="L558" s="113"/>
    </row>
    <row r="559">
      <c r="A559" s="97"/>
      <c r="B559" s="97"/>
      <c r="C559" s="98"/>
      <c r="D559" s="98"/>
      <c r="E559" s="97"/>
      <c r="F559" s="97"/>
      <c r="G559" s="100"/>
      <c r="H559" s="110"/>
      <c r="I559" s="113"/>
      <c r="J559" s="113"/>
      <c r="K559" s="113"/>
      <c r="L559" s="113"/>
    </row>
    <row r="560">
      <c r="A560" s="97"/>
      <c r="B560" s="97"/>
      <c r="C560" s="98"/>
      <c r="D560" s="98"/>
      <c r="E560" s="97"/>
      <c r="F560" s="97"/>
      <c r="G560" s="100"/>
      <c r="H560" s="110"/>
      <c r="I560" s="113"/>
      <c r="J560" s="113"/>
      <c r="K560" s="113"/>
      <c r="L560" s="113"/>
    </row>
    <row r="561">
      <c r="A561" s="97"/>
      <c r="B561" s="97"/>
      <c r="C561" s="98"/>
      <c r="D561" s="98"/>
      <c r="E561" s="97"/>
      <c r="F561" s="97"/>
      <c r="G561" s="100"/>
      <c r="H561" s="110"/>
      <c r="I561" s="113"/>
      <c r="J561" s="113"/>
      <c r="K561" s="113"/>
      <c r="L561" s="113"/>
    </row>
    <row r="562">
      <c r="A562" s="97"/>
      <c r="B562" s="97"/>
      <c r="C562" s="98"/>
      <c r="D562" s="98"/>
      <c r="E562" s="97"/>
      <c r="F562" s="97"/>
      <c r="G562" s="100"/>
      <c r="H562" s="110"/>
      <c r="I562" s="113"/>
      <c r="J562" s="113"/>
      <c r="K562" s="113"/>
      <c r="L562" s="113"/>
    </row>
    <row r="563">
      <c r="A563" s="97"/>
      <c r="B563" s="97"/>
      <c r="C563" s="98"/>
      <c r="D563" s="98"/>
      <c r="E563" s="97"/>
      <c r="F563" s="97"/>
      <c r="G563" s="100"/>
      <c r="H563" s="110"/>
      <c r="I563" s="113"/>
      <c r="J563" s="113"/>
      <c r="K563" s="113"/>
      <c r="L563" s="113"/>
    </row>
    <row r="564">
      <c r="A564" s="97"/>
      <c r="B564" s="97"/>
      <c r="C564" s="98"/>
      <c r="D564" s="98"/>
      <c r="E564" s="97"/>
      <c r="F564" s="97"/>
      <c r="G564" s="100"/>
      <c r="H564" s="110"/>
      <c r="I564" s="113"/>
      <c r="J564" s="113"/>
      <c r="K564" s="113"/>
      <c r="L564" s="113"/>
    </row>
    <row r="565">
      <c r="A565" s="97"/>
      <c r="B565" s="97"/>
      <c r="C565" s="98"/>
      <c r="D565" s="98"/>
      <c r="E565" s="97"/>
      <c r="F565" s="97"/>
      <c r="G565" s="100"/>
      <c r="H565" s="110"/>
      <c r="I565" s="113"/>
      <c r="J565" s="113"/>
      <c r="K565" s="113"/>
      <c r="L565" s="113"/>
    </row>
    <row r="566">
      <c r="A566" s="97"/>
      <c r="B566" s="97"/>
      <c r="C566" s="98"/>
      <c r="D566" s="98"/>
      <c r="E566" s="97"/>
      <c r="F566" s="97"/>
      <c r="G566" s="100"/>
      <c r="H566" s="110"/>
      <c r="I566" s="113"/>
      <c r="J566" s="113"/>
      <c r="K566" s="113"/>
      <c r="L566" s="113"/>
    </row>
    <row r="567">
      <c r="A567" s="97"/>
      <c r="B567" s="97"/>
      <c r="C567" s="98"/>
      <c r="D567" s="98"/>
      <c r="E567" s="97"/>
      <c r="F567" s="97"/>
      <c r="G567" s="100"/>
      <c r="H567" s="110"/>
      <c r="I567" s="113"/>
      <c r="J567" s="113"/>
      <c r="K567" s="113"/>
      <c r="L567" s="113"/>
    </row>
    <row r="568">
      <c r="A568" s="97"/>
      <c r="B568" s="97"/>
      <c r="C568" s="98"/>
      <c r="D568" s="98"/>
      <c r="E568" s="97"/>
      <c r="F568" s="97"/>
      <c r="G568" s="100"/>
      <c r="H568" s="110"/>
      <c r="I568" s="113"/>
      <c r="J568" s="113"/>
      <c r="K568" s="113"/>
      <c r="L568" s="113"/>
    </row>
    <row r="569">
      <c r="A569" s="97"/>
      <c r="B569" s="97"/>
      <c r="C569" s="98"/>
      <c r="D569" s="98"/>
      <c r="E569" s="97"/>
      <c r="F569" s="97"/>
      <c r="G569" s="100"/>
      <c r="H569" s="110"/>
      <c r="I569" s="113"/>
      <c r="J569" s="113"/>
      <c r="K569" s="113"/>
      <c r="L569" s="113"/>
    </row>
    <row r="570">
      <c r="A570" s="97"/>
      <c r="B570" s="97"/>
      <c r="C570" s="98"/>
      <c r="D570" s="98"/>
      <c r="E570" s="97"/>
      <c r="F570" s="97"/>
      <c r="G570" s="100"/>
      <c r="H570" s="110"/>
      <c r="I570" s="113"/>
      <c r="J570" s="113"/>
      <c r="K570" s="113"/>
      <c r="L570" s="113"/>
    </row>
    <row r="571">
      <c r="A571" s="97"/>
      <c r="B571" s="97"/>
      <c r="C571" s="98"/>
      <c r="D571" s="98"/>
      <c r="E571" s="97"/>
      <c r="F571" s="97"/>
      <c r="G571" s="100"/>
      <c r="H571" s="110"/>
      <c r="I571" s="113"/>
      <c r="J571" s="113"/>
      <c r="K571" s="113"/>
      <c r="L571" s="113"/>
    </row>
    <row r="572">
      <c r="A572" s="97"/>
      <c r="B572" s="97"/>
      <c r="C572" s="98"/>
      <c r="D572" s="98"/>
      <c r="E572" s="97"/>
      <c r="F572" s="97"/>
      <c r="G572" s="100"/>
      <c r="H572" s="110"/>
      <c r="I572" s="113"/>
      <c r="J572" s="113"/>
      <c r="K572" s="113"/>
      <c r="L572" s="113"/>
    </row>
    <row r="573">
      <c r="A573" s="97"/>
      <c r="B573" s="97"/>
      <c r="C573" s="98"/>
      <c r="D573" s="98"/>
      <c r="E573" s="97"/>
      <c r="F573" s="97"/>
      <c r="G573" s="100"/>
      <c r="H573" s="110"/>
      <c r="I573" s="113"/>
      <c r="J573" s="113"/>
      <c r="K573" s="113"/>
      <c r="L573" s="113"/>
    </row>
    <row r="574">
      <c r="A574" s="97"/>
      <c r="B574" s="97"/>
      <c r="C574" s="98"/>
      <c r="D574" s="98"/>
      <c r="E574" s="97"/>
      <c r="F574" s="97"/>
      <c r="G574" s="100"/>
      <c r="H574" s="110"/>
      <c r="I574" s="113"/>
      <c r="J574" s="113"/>
      <c r="K574" s="113"/>
      <c r="L574" s="113"/>
    </row>
    <row r="575">
      <c r="A575" s="97"/>
      <c r="B575" s="97"/>
      <c r="C575" s="98"/>
      <c r="D575" s="98"/>
      <c r="E575" s="97"/>
      <c r="F575" s="97"/>
      <c r="G575" s="100"/>
      <c r="H575" s="110"/>
      <c r="I575" s="113"/>
      <c r="J575" s="113"/>
      <c r="K575" s="113"/>
      <c r="L575" s="113"/>
    </row>
    <row r="576">
      <c r="A576" s="97"/>
      <c r="B576" s="97"/>
      <c r="C576" s="98"/>
      <c r="D576" s="98"/>
      <c r="E576" s="97"/>
      <c r="F576" s="97"/>
      <c r="G576" s="100"/>
      <c r="H576" s="110"/>
      <c r="I576" s="113"/>
      <c r="J576" s="113"/>
      <c r="K576" s="113"/>
      <c r="L576" s="113"/>
    </row>
    <row r="577">
      <c r="A577" s="97"/>
      <c r="B577" s="97"/>
      <c r="C577" s="98"/>
      <c r="D577" s="98"/>
      <c r="E577" s="97"/>
      <c r="F577" s="97"/>
      <c r="G577" s="100"/>
      <c r="H577" s="110"/>
      <c r="I577" s="113"/>
      <c r="J577" s="113"/>
      <c r="K577" s="113"/>
      <c r="L577" s="113"/>
    </row>
    <row r="578">
      <c r="A578" s="97"/>
      <c r="B578" s="97"/>
      <c r="C578" s="98"/>
      <c r="D578" s="98"/>
      <c r="E578" s="97"/>
      <c r="F578" s="97"/>
      <c r="G578" s="100"/>
      <c r="H578" s="110"/>
      <c r="I578" s="113"/>
      <c r="J578" s="113"/>
      <c r="K578" s="113"/>
      <c r="L578" s="113"/>
    </row>
    <row r="579">
      <c r="A579" s="97"/>
      <c r="B579" s="97"/>
      <c r="C579" s="98"/>
      <c r="D579" s="98"/>
      <c r="E579" s="97"/>
      <c r="F579" s="97"/>
      <c r="G579" s="100"/>
      <c r="H579" s="110"/>
      <c r="I579" s="113"/>
      <c r="J579" s="113"/>
      <c r="K579" s="113"/>
      <c r="L579" s="113"/>
    </row>
    <row r="580">
      <c r="A580" s="97"/>
      <c r="B580" s="97"/>
      <c r="C580" s="98"/>
      <c r="D580" s="98"/>
      <c r="E580" s="97"/>
      <c r="F580" s="97"/>
      <c r="G580" s="100"/>
      <c r="H580" s="110"/>
      <c r="I580" s="113"/>
      <c r="J580" s="113"/>
      <c r="K580" s="113"/>
      <c r="L580" s="113"/>
    </row>
    <row r="581">
      <c r="A581" s="97"/>
      <c r="B581" s="97"/>
      <c r="C581" s="98"/>
      <c r="D581" s="98"/>
      <c r="E581" s="97"/>
      <c r="F581" s="97"/>
      <c r="G581" s="100"/>
      <c r="H581" s="110"/>
      <c r="I581" s="113"/>
      <c r="J581" s="113"/>
      <c r="K581" s="113"/>
      <c r="L581" s="113"/>
    </row>
    <row r="582">
      <c r="A582" s="97"/>
      <c r="B582" s="97"/>
      <c r="C582" s="98"/>
      <c r="D582" s="98"/>
      <c r="E582" s="97"/>
      <c r="F582" s="97"/>
      <c r="G582" s="100"/>
      <c r="H582" s="110"/>
      <c r="I582" s="113"/>
      <c r="J582" s="113"/>
      <c r="K582" s="113"/>
      <c r="L582" s="113"/>
    </row>
    <row r="583">
      <c r="A583" s="97"/>
      <c r="B583" s="97"/>
      <c r="C583" s="98"/>
      <c r="D583" s="98"/>
      <c r="E583" s="97"/>
      <c r="F583" s="97"/>
      <c r="G583" s="100"/>
      <c r="H583" s="110"/>
      <c r="I583" s="113"/>
      <c r="J583" s="113"/>
      <c r="K583" s="113"/>
      <c r="L583" s="113"/>
    </row>
    <row r="584">
      <c r="A584" s="97"/>
      <c r="B584" s="97"/>
      <c r="C584" s="98"/>
      <c r="D584" s="98"/>
      <c r="E584" s="97"/>
      <c r="F584" s="97"/>
      <c r="G584" s="100"/>
      <c r="H584" s="110"/>
      <c r="I584" s="113"/>
      <c r="J584" s="113"/>
      <c r="K584" s="113"/>
      <c r="L584" s="113"/>
    </row>
    <row r="585">
      <c r="A585" s="97"/>
      <c r="B585" s="97"/>
      <c r="C585" s="98"/>
      <c r="D585" s="98"/>
      <c r="E585" s="97"/>
      <c r="F585" s="97"/>
      <c r="G585" s="100"/>
      <c r="H585" s="110"/>
      <c r="I585" s="113"/>
      <c r="J585" s="113"/>
      <c r="K585" s="113"/>
      <c r="L585" s="113"/>
    </row>
    <row r="586">
      <c r="A586" s="97"/>
      <c r="B586" s="97"/>
      <c r="C586" s="98"/>
      <c r="D586" s="98"/>
      <c r="E586" s="97"/>
      <c r="F586" s="97"/>
      <c r="G586" s="100"/>
      <c r="H586" s="110"/>
      <c r="I586" s="113"/>
      <c r="J586" s="113"/>
      <c r="K586" s="113"/>
      <c r="L586" s="113"/>
    </row>
    <row r="587">
      <c r="A587" s="97"/>
      <c r="B587" s="97"/>
      <c r="C587" s="98"/>
      <c r="D587" s="98"/>
      <c r="E587" s="97"/>
      <c r="F587" s="97"/>
      <c r="G587" s="100"/>
      <c r="H587" s="110"/>
      <c r="I587" s="113"/>
      <c r="J587" s="113"/>
      <c r="K587" s="113"/>
      <c r="L587" s="113"/>
    </row>
    <row r="588">
      <c r="A588" s="97"/>
      <c r="B588" s="97"/>
      <c r="C588" s="98"/>
      <c r="D588" s="98"/>
      <c r="E588" s="97"/>
      <c r="F588" s="97"/>
      <c r="G588" s="100"/>
      <c r="H588" s="110"/>
      <c r="I588" s="113"/>
      <c r="J588" s="113"/>
      <c r="K588" s="113"/>
      <c r="L588" s="113"/>
    </row>
    <row r="589">
      <c r="A589" s="97"/>
      <c r="B589" s="97"/>
      <c r="C589" s="98"/>
      <c r="D589" s="98"/>
      <c r="E589" s="97"/>
      <c r="F589" s="97"/>
      <c r="G589" s="100"/>
      <c r="H589" s="110"/>
      <c r="I589" s="113"/>
      <c r="J589" s="113"/>
      <c r="K589" s="113"/>
      <c r="L589" s="113"/>
    </row>
    <row r="590">
      <c r="A590" s="97"/>
      <c r="B590" s="97"/>
      <c r="C590" s="98"/>
      <c r="D590" s="98"/>
      <c r="E590" s="97"/>
      <c r="F590" s="97"/>
      <c r="G590" s="100"/>
      <c r="H590" s="110"/>
      <c r="I590" s="113"/>
      <c r="J590" s="113"/>
      <c r="K590" s="113"/>
      <c r="L590" s="113"/>
    </row>
    <row r="591">
      <c r="A591" s="97"/>
      <c r="B591" s="97"/>
      <c r="C591" s="98"/>
      <c r="D591" s="98"/>
      <c r="E591" s="97"/>
      <c r="F591" s="97"/>
      <c r="G591" s="100"/>
      <c r="H591" s="110"/>
      <c r="I591" s="113"/>
      <c r="J591" s="113"/>
      <c r="K591" s="113"/>
      <c r="L591" s="113"/>
    </row>
    <row r="592">
      <c r="A592" s="97"/>
      <c r="B592" s="97"/>
      <c r="C592" s="98"/>
      <c r="D592" s="98"/>
      <c r="E592" s="97"/>
      <c r="F592" s="97"/>
      <c r="G592" s="100"/>
      <c r="H592" s="110"/>
      <c r="I592" s="113"/>
      <c r="J592" s="113"/>
      <c r="K592" s="113"/>
      <c r="L592" s="113"/>
    </row>
    <row r="593">
      <c r="A593" s="97"/>
      <c r="B593" s="97"/>
      <c r="C593" s="98"/>
      <c r="D593" s="98"/>
      <c r="E593" s="97"/>
      <c r="F593" s="97"/>
      <c r="G593" s="100"/>
      <c r="H593" s="110"/>
      <c r="I593" s="113"/>
      <c r="J593" s="113"/>
      <c r="K593" s="113"/>
      <c r="L593" s="113"/>
    </row>
    <row r="594">
      <c r="A594" s="97"/>
      <c r="B594" s="97"/>
      <c r="C594" s="98"/>
      <c r="D594" s="98"/>
      <c r="E594" s="97"/>
      <c r="F594" s="97"/>
      <c r="G594" s="100"/>
      <c r="H594" s="110"/>
      <c r="I594" s="113"/>
      <c r="J594" s="113"/>
      <c r="K594" s="113"/>
      <c r="L594" s="113"/>
    </row>
    <row r="595">
      <c r="A595" s="97"/>
      <c r="B595" s="97"/>
      <c r="C595" s="98"/>
      <c r="D595" s="98"/>
      <c r="E595" s="97"/>
      <c r="F595" s="97"/>
      <c r="G595" s="100"/>
      <c r="H595" s="110"/>
      <c r="I595" s="113"/>
      <c r="J595" s="113"/>
      <c r="K595" s="113"/>
      <c r="L595" s="113"/>
    </row>
    <row r="596">
      <c r="A596" s="97"/>
      <c r="B596" s="97"/>
      <c r="C596" s="98"/>
      <c r="D596" s="98"/>
      <c r="E596" s="97"/>
      <c r="F596" s="97"/>
      <c r="G596" s="100"/>
      <c r="H596" s="110"/>
      <c r="I596" s="113"/>
      <c r="J596" s="113"/>
      <c r="K596" s="113"/>
      <c r="L596" s="113"/>
    </row>
    <row r="597">
      <c r="A597" s="97"/>
      <c r="B597" s="97"/>
      <c r="C597" s="98"/>
      <c r="D597" s="98"/>
      <c r="E597" s="97"/>
      <c r="F597" s="97"/>
      <c r="G597" s="100"/>
      <c r="H597" s="110"/>
      <c r="I597" s="113"/>
      <c r="J597" s="113"/>
      <c r="K597" s="113"/>
      <c r="L597" s="113"/>
    </row>
    <row r="598">
      <c r="A598" s="97"/>
      <c r="B598" s="97"/>
      <c r="C598" s="98"/>
      <c r="D598" s="98"/>
      <c r="E598" s="97"/>
      <c r="F598" s="97"/>
      <c r="G598" s="100"/>
      <c r="H598" s="110"/>
      <c r="I598" s="113"/>
      <c r="J598" s="113"/>
      <c r="K598" s="113"/>
      <c r="L598" s="113"/>
    </row>
    <row r="599">
      <c r="A599" s="97"/>
      <c r="B599" s="97"/>
      <c r="C599" s="98"/>
      <c r="D599" s="98"/>
      <c r="E599" s="97"/>
      <c r="F599" s="97"/>
      <c r="G599" s="100"/>
      <c r="H599" s="110"/>
      <c r="I599" s="113"/>
      <c r="J599" s="113"/>
      <c r="K599" s="113"/>
      <c r="L599" s="113"/>
    </row>
    <row r="600">
      <c r="A600" s="97"/>
      <c r="B600" s="97"/>
      <c r="C600" s="98"/>
      <c r="D600" s="98"/>
      <c r="E600" s="97"/>
      <c r="F600" s="97"/>
      <c r="G600" s="100"/>
      <c r="H600" s="110"/>
      <c r="I600" s="113"/>
      <c r="J600" s="113"/>
      <c r="K600" s="113"/>
      <c r="L600" s="113"/>
    </row>
    <row r="601">
      <c r="A601" s="97"/>
      <c r="B601" s="97"/>
      <c r="C601" s="98"/>
      <c r="D601" s="98"/>
      <c r="E601" s="97"/>
      <c r="F601" s="97"/>
      <c r="G601" s="100"/>
      <c r="H601" s="110"/>
      <c r="I601" s="113"/>
      <c r="J601" s="113"/>
      <c r="K601" s="113"/>
      <c r="L601" s="113"/>
    </row>
    <row r="602">
      <c r="A602" s="97"/>
      <c r="B602" s="97"/>
      <c r="C602" s="98"/>
      <c r="D602" s="98"/>
      <c r="E602" s="97"/>
      <c r="F602" s="97"/>
      <c r="G602" s="100"/>
      <c r="H602" s="110"/>
      <c r="I602" s="113"/>
      <c r="J602" s="113"/>
      <c r="K602" s="113"/>
      <c r="L602" s="113"/>
    </row>
    <row r="603">
      <c r="A603" s="97"/>
      <c r="B603" s="97"/>
      <c r="C603" s="98"/>
      <c r="D603" s="98"/>
      <c r="E603" s="97"/>
      <c r="F603" s="97"/>
      <c r="G603" s="100"/>
      <c r="H603" s="110"/>
      <c r="I603" s="113"/>
      <c r="J603" s="113"/>
      <c r="K603" s="113"/>
      <c r="L603" s="113"/>
    </row>
    <row r="604">
      <c r="A604" s="97"/>
      <c r="B604" s="97"/>
      <c r="C604" s="98"/>
      <c r="D604" s="98"/>
      <c r="E604" s="97"/>
      <c r="F604" s="97"/>
      <c r="G604" s="100"/>
      <c r="H604" s="110"/>
      <c r="I604" s="113"/>
      <c r="J604" s="113"/>
      <c r="K604" s="113"/>
      <c r="L604" s="113"/>
    </row>
    <row r="605">
      <c r="A605" s="97"/>
      <c r="B605" s="97"/>
      <c r="C605" s="98"/>
      <c r="D605" s="98"/>
      <c r="E605" s="97"/>
      <c r="F605" s="97"/>
      <c r="G605" s="100"/>
      <c r="H605" s="110"/>
      <c r="I605" s="113"/>
      <c r="J605" s="113"/>
      <c r="K605" s="113"/>
      <c r="L605" s="113"/>
    </row>
    <row r="606">
      <c r="A606" s="97"/>
      <c r="B606" s="97"/>
      <c r="C606" s="98"/>
      <c r="D606" s="98"/>
      <c r="E606" s="97"/>
      <c r="F606" s="97"/>
      <c r="G606" s="100"/>
      <c r="H606" s="110"/>
      <c r="I606" s="113"/>
      <c r="J606" s="113"/>
      <c r="K606" s="113"/>
      <c r="L606" s="113"/>
    </row>
    <row r="607">
      <c r="A607" s="97"/>
      <c r="B607" s="97"/>
      <c r="C607" s="98"/>
      <c r="D607" s="98"/>
      <c r="E607" s="97"/>
      <c r="F607" s="97"/>
      <c r="G607" s="100"/>
      <c r="H607" s="110"/>
      <c r="I607" s="113"/>
      <c r="J607" s="113"/>
      <c r="K607" s="113"/>
      <c r="L607" s="113"/>
    </row>
    <row r="608">
      <c r="A608" s="97"/>
      <c r="B608" s="97"/>
      <c r="C608" s="98"/>
      <c r="D608" s="98"/>
      <c r="E608" s="97"/>
      <c r="F608" s="97"/>
      <c r="G608" s="100"/>
      <c r="H608" s="110"/>
      <c r="I608" s="113"/>
      <c r="J608" s="113"/>
      <c r="K608" s="113"/>
      <c r="L608" s="113"/>
    </row>
    <row r="609">
      <c r="A609" s="97"/>
      <c r="B609" s="97"/>
      <c r="C609" s="98"/>
      <c r="D609" s="98"/>
      <c r="E609" s="97"/>
      <c r="F609" s="97"/>
      <c r="G609" s="100"/>
      <c r="H609" s="110"/>
      <c r="I609" s="113"/>
      <c r="J609" s="113"/>
      <c r="K609" s="113"/>
      <c r="L609" s="113"/>
    </row>
    <row r="610">
      <c r="A610" s="97"/>
      <c r="B610" s="97"/>
      <c r="C610" s="98"/>
      <c r="D610" s="98"/>
      <c r="E610" s="97"/>
      <c r="F610" s="97"/>
      <c r="G610" s="100"/>
      <c r="H610" s="110"/>
      <c r="I610" s="113"/>
      <c r="J610" s="113"/>
      <c r="K610" s="113"/>
      <c r="L610" s="113"/>
    </row>
    <row r="611">
      <c r="A611" s="97"/>
      <c r="B611" s="97"/>
      <c r="C611" s="98"/>
      <c r="D611" s="98"/>
      <c r="E611" s="97"/>
      <c r="F611" s="97"/>
      <c r="G611" s="100"/>
      <c r="H611" s="110"/>
      <c r="I611" s="113"/>
      <c r="J611" s="113"/>
      <c r="K611" s="113"/>
      <c r="L611" s="113"/>
    </row>
    <row r="612">
      <c r="A612" s="97"/>
      <c r="B612" s="97"/>
      <c r="C612" s="98"/>
      <c r="D612" s="98"/>
      <c r="E612" s="97"/>
      <c r="F612" s="97"/>
      <c r="G612" s="100"/>
      <c r="H612" s="110"/>
      <c r="I612" s="113"/>
      <c r="J612" s="113"/>
      <c r="K612" s="113"/>
      <c r="L612" s="113"/>
    </row>
    <row r="613">
      <c r="A613" s="97"/>
      <c r="B613" s="97"/>
      <c r="C613" s="98"/>
      <c r="D613" s="98"/>
      <c r="E613" s="97"/>
      <c r="F613" s="97"/>
      <c r="G613" s="100"/>
      <c r="H613" s="110"/>
      <c r="I613" s="113"/>
      <c r="J613" s="113"/>
      <c r="K613" s="113"/>
      <c r="L613" s="113"/>
    </row>
    <row r="614">
      <c r="A614" s="97"/>
      <c r="B614" s="97"/>
      <c r="C614" s="98"/>
      <c r="D614" s="98"/>
      <c r="E614" s="97"/>
      <c r="F614" s="97"/>
      <c r="G614" s="100"/>
      <c r="H614" s="110"/>
      <c r="I614" s="113"/>
      <c r="J614" s="113"/>
      <c r="K614" s="113"/>
      <c r="L614" s="113"/>
    </row>
    <row r="615">
      <c r="A615" s="97"/>
      <c r="B615" s="97"/>
      <c r="C615" s="98"/>
      <c r="D615" s="98"/>
      <c r="E615" s="97"/>
      <c r="F615" s="97"/>
      <c r="G615" s="100"/>
      <c r="H615" s="110"/>
      <c r="I615" s="113"/>
      <c r="J615" s="113"/>
      <c r="K615" s="113"/>
      <c r="L615" s="113"/>
    </row>
    <row r="616">
      <c r="A616" s="97"/>
      <c r="B616" s="97"/>
      <c r="C616" s="98"/>
      <c r="D616" s="98"/>
      <c r="E616" s="97"/>
      <c r="F616" s="97"/>
      <c r="G616" s="100"/>
      <c r="H616" s="110"/>
      <c r="I616" s="113"/>
      <c r="J616" s="113"/>
      <c r="K616" s="113"/>
      <c r="L616" s="113"/>
    </row>
    <row r="617">
      <c r="A617" s="97"/>
      <c r="B617" s="97"/>
      <c r="C617" s="98"/>
      <c r="D617" s="98"/>
      <c r="E617" s="97"/>
      <c r="F617" s="97"/>
      <c r="G617" s="100"/>
      <c r="H617" s="110"/>
      <c r="I617" s="113"/>
      <c r="J617" s="113"/>
      <c r="K617" s="113"/>
      <c r="L617" s="113"/>
    </row>
    <row r="618">
      <c r="A618" s="97"/>
      <c r="B618" s="97"/>
      <c r="C618" s="98"/>
      <c r="D618" s="98"/>
      <c r="E618" s="97"/>
      <c r="F618" s="97"/>
      <c r="G618" s="100"/>
      <c r="H618" s="110"/>
      <c r="I618" s="113"/>
      <c r="J618" s="113"/>
      <c r="K618" s="113"/>
      <c r="L618" s="113"/>
    </row>
    <row r="619">
      <c r="A619" s="97"/>
      <c r="B619" s="97"/>
      <c r="C619" s="98"/>
      <c r="D619" s="98"/>
      <c r="E619" s="97"/>
      <c r="F619" s="97"/>
      <c r="G619" s="100"/>
      <c r="H619" s="110"/>
      <c r="I619" s="113"/>
      <c r="J619" s="113"/>
      <c r="K619" s="113"/>
      <c r="L619" s="113"/>
    </row>
    <row r="620">
      <c r="A620" s="97"/>
      <c r="B620" s="97"/>
      <c r="C620" s="98"/>
      <c r="D620" s="98"/>
      <c r="E620" s="97"/>
      <c r="F620" s="97"/>
      <c r="G620" s="100"/>
      <c r="H620" s="110"/>
      <c r="I620" s="113"/>
      <c r="J620" s="113"/>
      <c r="K620" s="113"/>
      <c r="L620" s="113"/>
    </row>
    <row r="621">
      <c r="A621" s="97"/>
      <c r="B621" s="97"/>
      <c r="C621" s="98"/>
      <c r="D621" s="98"/>
      <c r="E621" s="97"/>
      <c r="F621" s="97"/>
      <c r="G621" s="100"/>
      <c r="H621" s="110"/>
      <c r="I621" s="113"/>
      <c r="J621" s="113"/>
      <c r="K621" s="113"/>
      <c r="L621" s="113"/>
    </row>
    <row r="622">
      <c r="A622" s="97"/>
      <c r="B622" s="97"/>
      <c r="C622" s="98"/>
      <c r="D622" s="98"/>
      <c r="E622" s="97"/>
      <c r="F622" s="97"/>
      <c r="G622" s="100"/>
      <c r="H622" s="110"/>
      <c r="I622" s="113"/>
      <c r="J622" s="113"/>
      <c r="K622" s="113"/>
      <c r="L622" s="113"/>
    </row>
    <row r="623">
      <c r="A623" s="97"/>
      <c r="B623" s="97"/>
      <c r="C623" s="98"/>
      <c r="D623" s="98"/>
      <c r="E623" s="97"/>
      <c r="F623" s="97"/>
      <c r="G623" s="100"/>
      <c r="H623" s="110"/>
      <c r="I623" s="113"/>
      <c r="J623" s="113"/>
      <c r="K623" s="113"/>
      <c r="L623" s="113"/>
    </row>
    <row r="624">
      <c r="A624" s="97"/>
      <c r="B624" s="97"/>
      <c r="C624" s="98"/>
      <c r="D624" s="98"/>
      <c r="E624" s="97"/>
      <c r="F624" s="97"/>
      <c r="G624" s="100"/>
      <c r="H624" s="110"/>
      <c r="I624" s="113"/>
      <c r="J624" s="113"/>
      <c r="K624" s="113"/>
      <c r="L624" s="113"/>
    </row>
    <row r="625">
      <c r="A625" s="97"/>
      <c r="B625" s="97"/>
      <c r="C625" s="98"/>
      <c r="D625" s="98"/>
      <c r="E625" s="97"/>
      <c r="F625" s="97"/>
      <c r="G625" s="100"/>
      <c r="H625" s="110"/>
      <c r="I625" s="113"/>
      <c r="J625" s="113"/>
      <c r="K625" s="113"/>
      <c r="L625" s="113"/>
    </row>
    <row r="626">
      <c r="A626" s="97"/>
      <c r="B626" s="97"/>
      <c r="C626" s="98"/>
      <c r="D626" s="98"/>
      <c r="E626" s="97"/>
      <c r="F626" s="97"/>
      <c r="G626" s="100"/>
      <c r="H626" s="110"/>
      <c r="I626" s="113"/>
      <c r="J626" s="113"/>
      <c r="K626" s="113"/>
      <c r="L626" s="113"/>
    </row>
    <row r="627">
      <c r="A627" s="97"/>
      <c r="B627" s="97"/>
      <c r="C627" s="98"/>
      <c r="D627" s="98"/>
      <c r="E627" s="97"/>
      <c r="F627" s="97"/>
      <c r="G627" s="100"/>
      <c r="H627" s="110"/>
      <c r="I627" s="113"/>
      <c r="J627" s="113"/>
      <c r="K627" s="113"/>
      <c r="L627" s="113"/>
    </row>
    <row r="628">
      <c r="A628" s="97"/>
      <c r="B628" s="97"/>
      <c r="C628" s="98"/>
      <c r="D628" s="98"/>
      <c r="E628" s="97"/>
      <c r="F628" s="97"/>
      <c r="G628" s="100"/>
      <c r="H628" s="110"/>
      <c r="I628" s="113"/>
      <c r="J628" s="113"/>
      <c r="K628" s="113"/>
      <c r="L628" s="113"/>
    </row>
    <row r="629">
      <c r="A629" s="97"/>
      <c r="B629" s="97"/>
      <c r="C629" s="98"/>
      <c r="D629" s="98"/>
      <c r="E629" s="97"/>
      <c r="F629" s="97"/>
      <c r="G629" s="100"/>
      <c r="H629" s="110"/>
      <c r="I629" s="113"/>
      <c r="J629" s="113"/>
      <c r="K629" s="113"/>
      <c r="L629" s="113"/>
    </row>
    <row r="630">
      <c r="A630" s="97"/>
      <c r="B630" s="97"/>
      <c r="C630" s="98"/>
      <c r="D630" s="98"/>
      <c r="E630" s="97"/>
      <c r="F630" s="97"/>
      <c r="G630" s="100"/>
      <c r="H630" s="110"/>
      <c r="I630" s="113"/>
      <c r="J630" s="113"/>
      <c r="K630" s="113"/>
      <c r="L630" s="113"/>
    </row>
    <row r="631">
      <c r="A631" s="97"/>
      <c r="B631" s="97"/>
      <c r="C631" s="98"/>
      <c r="D631" s="98"/>
      <c r="E631" s="97"/>
      <c r="F631" s="97"/>
      <c r="G631" s="100"/>
      <c r="H631" s="110"/>
      <c r="I631" s="113"/>
      <c r="J631" s="113"/>
      <c r="K631" s="113"/>
      <c r="L631" s="113"/>
    </row>
    <row r="632">
      <c r="A632" s="97"/>
      <c r="B632" s="97"/>
      <c r="C632" s="98"/>
      <c r="D632" s="98"/>
      <c r="E632" s="97"/>
      <c r="F632" s="97"/>
      <c r="G632" s="100"/>
      <c r="H632" s="110"/>
      <c r="I632" s="113"/>
      <c r="J632" s="113"/>
      <c r="K632" s="113"/>
      <c r="L632" s="113"/>
    </row>
    <row r="633">
      <c r="A633" s="97"/>
      <c r="B633" s="97"/>
      <c r="C633" s="98"/>
      <c r="D633" s="98"/>
      <c r="E633" s="97"/>
      <c r="F633" s="97"/>
      <c r="G633" s="100"/>
      <c r="H633" s="110"/>
      <c r="I633" s="113"/>
      <c r="J633" s="113"/>
      <c r="K633" s="113"/>
      <c r="L633" s="113"/>
    </row>
    <row r="634">
      <c r="A634" s="97"/>
      <c r="B634" s="97"/>
      <c r="C634" s="98"/>
      <c r="D634" s="98"/>
      <c r="E634" s="97"/>
      <c r="F634" s="97"/>
      <c r="G634" s="100"/>
      <c r="H634" s="110"/>
      <c r="I634" s="113"/>
      <c r="J634" s="113"/>
      <c r="K634" s="113"/>
      <c r="L634" s="113"/>
    </row>
    <row r="635">
      <c r="A635" s="97"/>
      <c r="B635" s="97"/>
      <c r="C635" s="98"/>
      <c r="D635" s="98"/>
      <c r="E635" s="97"/>
      <c r="F635" s="97"/>
      <c r="G635" s="100"/>
      <c r="H635" s="110"/>
      <c r="I635" s="113"/>
      <c r="J635" s="113"/>
      <c r="K635" s="113"/>
      <c r="L635" s="113"/>
    </row>
    <row r="636">
      <c r="A636" s="97"/>
      <c r="B636" s="97"/>
      <c r="C636" s="98"/>
      <c r="D636" s="98"/>
      <c r="E636" s="97"/>
      <c r="F636" s="97"/>
      <c r="G636" s="100"/>
      <c r="H636" s="110"/>
      <c r="I636" s="113"/>
      <c r="J636" s="113"/>
      <c r="K636" s="113"/>
      <c r="L636" s="113"/>
    </row>
    <row r="637">
      <c r="A637" s="97"/>
      <c r="B637" s="97"/>
      <c r="C637" s="98"/>
      <c r="D637" s="98"/>
      <c r="E637" s="97"/>
      <c r="F637" s="97"/>
      <c r="G637" s="100"/>
      <c r="H637" s="110"/>
      <c r="I637" s="113"/>
      <c r="J637" s="113"/>
      <c r="K637" s="113"/>
      <c r="L637" s="113"/>
    </row>
    <row r="638">
      <c r="A638" s="97"/>
      <c r="B638" s="97"/>
      <c r="C638" s="98"/>
      <c r="D638" s="98"/>
      <c r="E638" s="97"/>
      <c r="F638" s="97"/>
      <c r="G638" s="100"/>
      <c r="H638" s="110"/>
      <c r="I638" s="113"/>
      <c r="J638" s="113"/>
      <c r="K638" s="113"/>
      <c r="L638" s="113"/>
    </row>
    <row r="639">
      <c r="A639" s="97"/>
      <c r="B639" s="97"/>
      <c r="C639" s="98"/>
      <c r="D639" s="98"/>
      <c r="E639" s="97"/>
      <c r="F639" s="97"/>
      <c r="G639" s="100"/>
      <c r="H639" s="110"/>
      <c r="I639" s="113"/>
      <c r="J639" s="113"/>
      <c r="K639" s="113"/>
      <c r="L639" s="113"/>
    </row>
    <row r="640">
      <c r="A640" s="97"/>
      <c r="B640" s="97"/>
      <c r="C640" s="98"/>
      <c r="D640" s="98"/>
      <c r="E640" s="97"/>
      <c r="F640" s="97"/>
      <c r="G640" s="100"/>
      <c r="H640" s="110"/>
      <c r="I640" s="113"/>
      <c r="J640" s="113"/>
      <c r="K640" s="113"/>
      <c r="L640" s="113"/>
    </row>
    <row r="641">
      <c r="A641" s="97"/>
      <c r="B641" s="97"/>
      <c r="C641" s="98"/>
      <c r="D641" s="98"/>
      <c r="E641" s="97"/>
      <c r="F641" s="97"/>
      <c r="G641" s="100"/>
      <c r="H641" s="110"/>
      <c r="I641" s="113"/>
      <c r="J641" s="113"/>
      <c r="K641" s="113"/>
      <c r="L641" s="113"/>
    </row>
    <row r="642">
      <c r="A642" s="97"/>
      <c r="B642" s="97"/>
      <c r="C642" s="98"/>
      <c r="D642" s="98"/>
      <c r="E642" s="97"/>
      <c r="F642" s="97"/>
      <c r="G642" s="100"/>
      <c r="H642" s="110"/>
      <c r="I642" s="113"/>
      <c r="J642" s="113"/>
      <c r="K642" s="113"/>
      <c r="L642" s="113"/>
    </row>
    <row r="643">
      <c r="A643" s="97"/>
      <c r="B643" s="97"/>
      <c r="C643" s="98"/>
      <c r="D643" s="98"/>
      <c r="E643" s="97"/>
      <c r="F643" s="97"/>
      <c r="G643" s="100"/>
      <c r="H643" s="110"/>
      <c r="I643" s="113"/>
      <c r="J643" s="113"/>
      <c r="K643" s="113"/>
      <c r="L643" s="113"/>
    </row>
    <row r="644">
      <c r="A644" s="97"/>
      <c r="B644" s="97"/>
      <c r="C644" s="98"/>
      <c r="D644" s="98"/>
      <c r="E644" s="97"/>
      <c r="F644" s="97"/>
      <c r="G644" s="100"/>
      <c r="H644" s="110"/>
      <c r="I644" s="113"/>
      <c r="J644" s="113"/>
      <c r="K644" s="113"/>
      <c r="L644" s="113"/>
    </row>
    <row r="645">
      <c r="A645" s="97"/>
      <c r="B645" s="97"/>
      <c r="C645" s="98"/>
      <c r="D645" s="98"/>
      <c r="E645" s="97"/>
      <c r="F645" s="97"/>
      <c r="G645" s="100"/>
      <c r="H645" s="110"/>
      <c r="I645" s="113"/>
      <c r="J645" s="113"/>
      <c r="K645" s="113"/>
      <c r="L645" s="113"/>
    </row>
    <row r="646">
      <c r="A646" s="97"/>
      <c r="B646" s="97"/>
      <c r="C646" s="98"/>
      <c r="D646" s="98"/>
      <c r="E646" s="97"/>
      <c r="F646" s="97"/>
      <c r="G646" s="100"/>
      <c r="H646" s="110"/>
      <c r="I646" s="113"/>
      <c r="J646" s="113"/>
      <c r="K646" s="113"/>
      <c r="L646" s="113"/>
    </row>
    <row r="647">
      <c r="A647" s="97"/>
      <c r="B647" s="97"/>
      <c r="C647" s="98"/>
      <c r="D647" s="98"/>
      <c r="E647" s="97"/>
      <c r="F647" s="97"/>
      <c r="G647" s="100"/>
      <c r="H647" s="110"/>
      <c r="I647" s="113"/>
      <c r="J647" s="113"/>
      <c r="K647" s="113"/>
      <c r="L647" s="113"/>
    </row>
    <row r="648">
      <c r="A648" s="97"/>
      <c r="B648" s="97"/>
      <c r="C648" s="98"/>
      <c r="D648" s="98"/>
      <c r="E648" s="97"/>
      <c r="F648" s="97"/>
      <c r="G648" s="100"/>
      <c r="H648" s="110"/>
      <c r="I648" s="113"/>
      <c r="J648" s="113"/>
      <c r="K648" s="113"/>
      <c r="L648" s="113"/>
    </row>
    <row r="649">
      <c r="A649" s="97"/>
      <c r="B649" s="97"/>
      <c r="C649" s="98"/>
      <c r="D649" s="98"/>
      <c r="E649" s="97"/>
      <c r="F649" s="97"/>
      <c r="G649" s="100"/>
      <c r="H649" s="110"/>
      <c r="I649" s="113"/>
      <c r="J649" s="113"/>
      <c r="K649" s="113"/>
      <c r="L649" s="113"/>
    </row>
    <row r="650">
      <c r="A650" s="97"/>
      <c r="B650" s="97"/>
      <c r="C650" s="98"/>
      <c r="D650" s="98"/>
      <c r="E650" s="97"/>
      <c r="F650" s="97"/>
      <c r="G650" s="100"/>
      <c r="H650" s="110"/>
      <c r="I650" s="113"/>
      <c r="J650" s="113"/>
      <c r="K650" s="113"/>
      <c r="L650" s="113"/>
    </row>
    <row r="651">
      <c r="A651" s="97"/>
      <c r="B651" s="97"/>
      <c r="C651" s="98"/>
      <c r="D651" s="98"/>
      <c r="E651" s="97"/>
      <c r="F651" s="97"/>
      <c r="G651" s="100"/>
      <c r="H651" s="110"/>
      <c r="I651" s="113"/>
      <c r="J651" s="113"/>
      <c r="K651" s="113"/>
      <c r="L651" s="113"/>
    </row>
    <row r="652">
      <c r="A652" s="97"/>
      <c r="B652" s="97"/>
      <c r="C652" s="98"/>
      <c r="D652" s="98"/>
      <c r="E652" s="97"/>
      <c r="F652" s="97"/>
      <c r="G652" s="100"/>
      <c r="H652" s="110"/>
      <c r="I652" s="113"/>
      <c r="J652" s="113"/>
      <c r="K652" s="113"/>
      <c r="L652" s="113"/>
    </row>
    <row r="653">
      <c r="A653" s="97"/>
      <c r="B653" s="97"/>
      <c r="C653" s="98"/>
      <c r="D653" s="98"/>
      <c r="E653" s="97"/>
      <c r="F653" s="97"/>
      <c r="G653" s="100"/>
      <c r="H653" s="110"/>
      <c r="I653" s="113"/>
      <c r="J653" s="113"/>
      <c r="K653" s="113"/>
      <c r="L653" s="113"/>
    </row>
    <row r="654">
      <c r="A654" s="97"/>
      <c r="B654" s="97"/>
      <c r="C654" s="98"/>
      <c r="D654" s="98"/>
      <c r="E654" s="97"/>
      <c r="F654" s="97"/>
      <c r="G654" s="100"/>
      <c r="H654" s="110"/>
      <c r="I654" s="113"/>
      <c r="J654" s="113"/>
      <c r="K654" s="113"/>
      <c r="L654" s="113"/>
    </row>
    <row r="655">
      <c r="A655" s="97"/>
      <c r="B655" s="97"/>
      <c r="C655" s="98"/>
      <c r="D655" s="98"/>
      <c r="E655" s="97"/>
      <c r="F655" s="97"/>
      <c r="G655" s="100"/>
      <c r="H655" s="110"/>
      <c r="I655" s="113"/>
      <c r="J655" s="113"/>
      <c r="K655" s="113"/>
      <c r="L655" s="113"/>
    </row>
    <row r="656">
      <c r="A656" s="97"/>
      <c r="B656" s="97"/>
      <c r="C656" s="98"/>
      <c r="D656" s="98"/>
      <c r="E656" s="97"/>
      <c r="F656" s="97"/>
      <c r="G656" s="100"/>
      <c r="H656" s="110"/>
      <c r="I656" s="113"/>
      <c r="J656" s="113"/>
      <c r="K656" s="113"/>
      <c r="L656" s="113"/>
    </row>
    <row r="657">
      <c r="A657" s="97"/>
      <c r="B657" s="97"/>
      <c r="C657" s="98"/>
      <c r="D657" s="98"/>
      <c r="E657" s="97"/>
      <c r="F657" s="97"/>
      <c r="G657" s="100"/>
      <c r="H657" s="110"/>
      <c r="I657" s="113"/>
      <c r="J657" s="113"/>
      <c r="K657" s="113"/>
      <c r="L657" s="113"/>
    </row>
    <row r="658">
      <c r="A658" s="97"/>
      <c r="B658" s="97"/>
      <c r="C658" s="98"/>
      <c r="D658" s="98"/>
      <c r="E658" s="97"/>
      <c r="F658" s="97"/>
      <c r="G658" s="100"/>
      <c r="H658" s="110"/>
      <c r="I658" s="113"/>
      <c r="J658" s="113"/>
      <c r="K658" s="113"/>
      <c r="L658" s="113"/>
    </row>
    <row r="659">
      <c r="A659" s="97"/>
      <c r="B659" s="97"/>
      <c r="C659" s="98"/>
      <c r="D659" s="98"/>
      <c r="E659" s="97"/>
      <c r="F659" s="97"/>
      <c r="G659" s="100"/>
      <c r="H659" s="110"/>
      <c r="I659" s="113"/>
      <c r="J659" s="113"/>
      <c r="K659" s="113"/>
      <c r="L659" s="113"/>
    </row>
    <row r="660">
      <c r="A660" s="97"/>
      <c r="B660" s="97"/>
      <c r="C660" s="98"/>
      <c r="D660" s="98"/>
      <c r="E660" s="97"/>
      <c r="F660" s="97"/>
      <c r="G660" s="100"/>
      <c r="H660" s="110"/>
      <c r="I660" s="113"/>
      <c r="J660" s="113"/>
      <c r="K660" s="113"/>
      <c r="L660" s="113"/>
    </row>
    <row r="661">
      <c r="A661" s="97"/>
      <c r="B661" s="97"/>
      <c r="C661" s="98"/>
      <c r="D661" s="98"/>
      <c r="E661" s="97"/>
      <c r="F661" s="97"/>
      <c r="G661" s="100"/>
      <c r="H661" s="110"/>
      <c r="I661" s="113"/>
      <c r="J661" s="113"/>
      <c r="K661" s="113"/>
      <c r="L661" s="113"/>
    </row>
    <row r="662">
      <c r="A662" s="97"/>
      <c r="B662" s="97"/>
      <c r="C662" s="98"/>
      <c r="D662" s="98"/>
      <c r="E662" s="97"/>
      <c r="F662" s="97"/>
      <c r="G662" s="100"/>
      <c r="H662" s="110"/>
      <c r="I662" s="113"/>
      <c r="J662" s="113"/>
      <c r="K662" s="113"/>
      <c r="L662" s="113"/>
    </row>
    <row r="663">
      <c r="A663" s="97"/>
      <c r="B663" s="97"/>
      <c r="C663" s="98"/>
      <c r="D663" s="98"/>
      <c r="E663" s="97"/>
      <c r="F663" s="97"/>
      <c r="G663" s="100"/>
      <c r="H663" s="110"/>
      <c r="I663" s="113"/>
      <c r="J663" s="113"/>
      <c r="K663" s="113"/>
      <c r="L663" s="113"/>
    </row>
    <row r="664">
      <c r="A664" s="97"/>
      <c r="B664" s="97"/>
      <c r="C664" s="98"/>
      <c r="D664" s="98"/>
      <c r="E664" s="97"/>
      <c r="F664" s="97"/>
      <c r="G664" s="100"/>
      <c r="H664" s="110"/>
      <c r="I664" s="113"/>
      <c r="J664" s="113"/>
      <c r="K664" s="113"/>
      <c r="L664" s="113"/>
    </row>
    <row r="665">
      <c r="A665" s="97"/>
      <c r="B665" s="97"/>
      <c r="C665" s="98"/>
      <c r="D665" s="98"/>
      <c r="E665" s="97"/>
      <c r="F665" s="97"/>
      <c r="G665" s="100"/>
      <c r="H665" s="110"/>
      <c r="I665" s="113"/>
      <c r="J665" s="113"/>
      <c r="K665" s="113"/>
      <c r="L665" s="113"/>
    </row>
    <row r="666">
      <c r="A666" s="97"/>
      <c r="B666" s="97"/>
      <c r="C666" s="98"/>
      <c r="D666" s="98"/>
      <c r="E666" s="97"/>
      <c r="F666" s="97"/>
      <c r="G666" s="100"/>
      <c r="H666" s="110"/>
      <c r="I666" s="113"/>
      <c r="J666" s="113"/>
      <c r="K666" s="113"/>
      <c r="L666" s="113"/>
    </row>
    <row r="667">
      <c r="A667" s="97"/>
      <c r="B667" s="97"/>
      <c r="C667" s="98"/>
      <c r="D667" s="98"/>
      <c r="E667" s="97"/>
      <c r="F667" s="97"/>
      <c r="G667" s="100"/>
      <c r="H667" s="110"/>
      <c r="I667" s="113"/>
      <c r="J667" s="113"/>
      <c r="K667" s="113"/>
      <c r="L667" s="113"/>
    </row>
    <row r="668">
      <c r="A668" s="97"/>
      <c r="B668" s="97"/>
      <c r="C668" s="98"/>
      <c r="D668" s="98"/>
      <c r="E668" s="97"/>
      <c r="F668" s="97"/>
      <c r="G668" s="100"/>
      <c r="H668" s="110"/>
      <c r="I668" s="113"/>
      <c r="J668" s="113"/>
      <c r="K668" s="113"/>
      <c r="L668" s="113"/>
    </row>
    <row r="669">
      <c r="A669" s="97"/>
      <c r="B669" s="97"/>
      <c r="C669" s="98"/>
      <c r="D669" s="98"/>
      <c r="E669" s="97"/>
      <c r="F669" s="97"/>
      <c r="G669" s="100"/>
      <c r="H669" s="110"/>
      <c r="I669" s="113"/>
      <c r="J669" s="113"/>
      <c r="K669" s="113"/>
      <c r="L669" s="113"/>
    </row>
    <row r="670">
      <c r="A670" s="97"/>
      <c r="B670" s="97"/>
      <c r="C670" s="98"/>
      <c r="D670" s="98"/>
      <c r="E670" s="97"/>
      <c r="F670" s="97"/>
      <c r="G670" s="100"/>
      <c r="H670" s="110"/>
      <c r="I670" s="113"/>
      <c r="J670" s="113"/>
      <c r="K670" s="113"/>
      <c r="L670" s="113"/>
    </row>
    <row r="671">
      <c r="A671" s="97"/>
      <c r="B671" s="97"/>
      <c r="C671" s="98"/>
      <c r="D671" s="98"/>
      <c r="E671" s="97"/>
      <c r="F671" s="97"/>
      <c r="G671" s="100"/>
      <c r="H671" s="110"/>
      <c r="I671" s="113"/>
      <c r="J671" s="113"/>
      <c r="K671" s="113"/>
      <c r="L671" s="113"/>
    </row>
    <row r="672">
      <c r="A672" s="97"/>
      <c r="B672" s="97"/>
      <c r="C672" s="98"/>
      <c r="D672" s="98"/>
      <c r="E672" s="97"/>
      <c r="F672" s="97"/>
      <c r="G672" s="100"/>
      <c r="H672" s="110"/>
      <c r="I672" s="113"/>
      <c r="J672" s="113"/>
      <c r="K672" s="113"/>
      <c r="L672" s="113"/>
    </row>
    <row r="673">
      <c r="A673" s="97"/>
      <c r="B673" s="97"/>
      <c r="C673" s="98"/>
      <c r="D673" s="98"/>
      <c r="E673" s="97"/>
      <c r="F673" s="97"/>
      <c r="G673" s="100"/>
      <c r="H673" s="110"/>
      <c r="I673" s="113"/>
      <c r="J673" s="113"/>
      <c r="K673" s="113"/>
      <c r="L673" s="113"/>
    </row>
    <row r="674">
      <c r="A674" s="97"/>
      <c r="B674" s="97"/>
      <c r="C674" s="98"/>
      <c r="D674" s="98"/>
      <c r="E674" s="97"/>
      <c r="F674" s="97"/>
      <c r="G674" s="100"/>
      <c r="H674" s="110"/>
      <c r="I674" s="113"/>
      <c r="J674" s="113"/>
      <c r="K674" s="113"/>
      <c r="L674" s="113"/>
    </row>
    <row r="675">
      <c r="A675" s="97"/>
      <c r="B675" s="97"/>
      <c r="C675" s="98"/>
      <c r="D675" s="98"/>
      <c r="E675" s="97"/>
      <c r="F675" s="97"/>
      <c r="G675" s="100"/>
      <c r="H675" s="110"/>
      <c r="I675" s="113"/>
      <c r="J675" s="113"/>
      <c r="K675" s="113"/>
      <c r="L675" s="113"/>
    </row>
    <row r="676">
      <c r="A676" s="97"/>
      <c r="B676" s="97"/>
      <c r="C676" s="98"/>
      <c r="D676" s="98"/>
      <c r="E676" s="97"/>
      <c r="F676" s="97"/>
      <c r="G676" s="100"/>
      <c r="H676" s="110"/>
      <c r="I676" s="113"/>
      <c r="J676" s="113"/>
      <c r="K676" s="113"/>
      <c r="L676" s="113"/>
    </row>
    <row r="677">
      <c r="A677" s="97"/>
      <c r="B677" s="97"/>
      <c r="C677" s="98"/>
      <c r="D677" s="98"/>
      <c r="E677" s="97"/>
      <c r="F677" s="97"/>
      <c r="G677" s="100"/>
      <c r="H677" s="110"/>
      <c r="I677" s="113"/>
      <c r="J677" s="113"/>
      <c r="K677" s="113"/>
      <c r="L677" s="113"/>
    </row>
    <row r="678">
      <c r="A678" s="97"/>
      <c r="B678" s="97"/>
      <c r="C678" s="98"/>
      <c r="D678" s="98"/>
      <c r="E678" s="97"/>
      <c r="F678" s="97"/>
      <c r="G678" s="100"/>
      <c r="H678" s="110"/>
      <c r="I678" s="113"/>
      <c r="J678" s="113"/>
      <c r="K678" s="113"/>
      <c r="L678" s="113"/>
    </row>
    <row r="679">
      <c r="A679" s="97"/>
      <c r="B679" s="97"/>
      <c r="C679" s="98"/>
      <c r="D679" s="98"/>
      <c r="E679" s="97"/>
      <c r="F679" s="97"/>
      <c r="G679" s="100"/>
      <c r="H679" s="110"/>
      <c r="I679" s="113"/>
      <c r="J679" s="113"/>
      <c r="K679" s="113"/>
      <c r="L679" s="113"/>
    </row>
    <row r="680">
      <c r="A680" s="97"/>
      <c r="B680" s="97"/>
      <c r="C680" s="98"/>
      <c r="D680" s="98"/>
      <c r="E680" s="97"/>
      <c r="F680" s="97"/>
      <c r="G680" s="100"/>
      <c r="H680" s="110"/>
      <c r="I680" s="113"/>
      <c r="J680" s="113"/>
      <c r="K680" s="113"/>
      <c r="L680" s="113"/>
    </row>
    <row r="681">
      <c r="A681" s="97"/>
      <c r="B681" s="97"/>
      <c r="C681" s="98"/>
      <c r="D681" s="98"/>
      <c r="E681" s="97"/>
      <c r="F681" s="97"/>
      <c r="G681" s="100"/>
      <c r="H681" s="110"/>
      <c r="I681" s="113"/>
      <c r="J681" s="113"/>
      <c r="K681" s="113"/>
      <c r="L681" s="113"/>
    </row>
    <row r="682">
      <c r="A682" s="97"/>
      <c r="B682" s="97"/>
      <c r="C682" s="98"/>
      <c r="D682" s="98"/>
      <c r="E682" s="97"/>
      <c r="F682" s="97"/>
      <c r="G682" s="100"/>
      <c r="H682" s="110"/>
      <c r="I682" s="113"/>
      <c r="J682" s="113"/>
      <c r="K682" s="113"/>
      <c r="L682" s="113"/>
    </row>
    <row r="683">
      <c r="A683" s="97"/>
      <c r="B683" s="97"/>
      <c r="C683" s="98"/>
      <c r="D683" s="98"/>
      <c r="E683" s="97"/>
      <c r="F683" s="97"/>
      <c r="G683" s="100"/>
      <c r="H683" s="110"/>
      <c r="I683" s="113"/>
      <c r="J683" s="113"/>
      <c r="K683" s="113"/>
      <c r="L683" s="113"/>
    </row>
    <row r="684">
      <c r="A684" s="97"/>
      <c r="B684" s="97"/>
      <c r="C684" s="98"/>
      <c r="D684" s="98"/>
      <c r="E684" s="97"/>
      <c r="F684" s="97"/>
      <c r="G684" s="100"/>
      <c r="H684" s="110"/>
      <c r="I684" s="113"/>
      <c r="J684" s="113"/>
      <c r="K684" s="113"/>
      <c r="L684" s="113"/>
    </row>
    <row r="685">
      <c r="A685" s="97"/>
      <c r="B685" s="97"/>
      <c r="C685" s="98"/>
      <c r="D685" s="98"/>
      <c r="E685" s="97"/>
      <c r="F685" s="97"/>
      <c r="G685" s="100"/>
      <c r="H685" s="110"/>
      <c r="I685" s="113"/>
      <c r="J685" s="113"/>
      <c r="K685" s="113"/>
      <c r="L685" s="113"/>
    </row>
    <row r="686">
      <c r="A686" s="97"/>
      <c r="B686" s="97"/>
      <c r="C686" s="98"/>
      <c r="D686" s="98"/>
      <c r="E686" s="97"/>
      <c r="F686" s="97"/>
      <c r="G686" s="100"/>
      <c r="H686" s="110"/>
      <c r="I686" s="113"/>
      <c r="J686" s="113"/>
      <c r="K686" s="113"/>
      <c r="L686" s="113"/>
    </row>
    <row r="687">
      <c r="A687" s="97"/>
      <c r="B687" s="97"/>
      <c r="C687" s="98"/>
      <c r="D687" s="98"/>
      <c r="E687" s="97"/>
      <c r="F687" s="97"/>
      <c r="G687" s="100"/>
      <c r="H687" s="110"/>
      <c r="I687" s="113"/>
      <c r="J687" s="113"/>
      <c r="K687" s="113"/>
      <c r="L687" s="113"/>
    </row>
    <row r="688">
      <c r="A688" s="97"/>
      <c r="B688" s="97"/>
      <c r="C688" s="98"/>
      <c r="D688" s="98"/>
      <c r="E688" s="97"/>
      <c r="F688" s="97"/>
      <c r="G688" s="100"/>
      <c r="H688" s="110"/>
      <c r="I688" s="113"/>
      <c r="J688" s="113"/>
      <c r="K688" s="113"/>
      <c r="L688" s="113"/>
    </row>
    <row r="689">
      <c r="A689" s="97"/>
      <c r="B689" s="97"/>
      <c r="C689" s="98"/>
      <c r="D689" s="98"/>
      <c r="E689" s="97"/>
      <c r="F689" s="97"/>
      <c r="G689" s="100"/>
      <c r="H689" s="110"/>
      <c r="I689" s="113"/>
      <c r="J689" s="113"/>
      <c r="K689" s="113"/>
      <c r="L689" s="113"/>
    </row>
    <row r="690">
      <c r="A690" s="97"/>
      <c r="B690" s="97"/>
      <c r="C690" s="98"/>
      <c r="D690" s="98"/>
      <c r="E690" s="97"/>
      <c r="F690" s="97"/>
      <c r="G690" s="100"/>
      <c r="H690" s="110"/>
      <c r="I690" s="113"/>
      <c r="J690" s="113"/>
      <c r="K690" s="113"/>
      <c r="L690" s="113"/>
    </row>
    <row r="691">
      <c r="A691" s="97"/>
      <c r="B691" s="97"/>
      <c r="C691" s="98"/>
      <c r="D691" s="98"/>
      <c r="E691" s="97"/>
      <c r="F691" s="97"/>
      <c r="G691" s="100"/>
      <c r="H691" s="110"/>
      <c r="I691" s="113"/>
      <c r="J691" s="113"/>
      <c r="K691" s="113"/>
      <c r="L691" s="113"/>
    </row>
    <row r="692">
      <c r="A692" s="97"/>
      <c r="B692" s="97"/>
      <c r="C692" s="98"/>
      <c r="D692" s="98"/>
      <c r="E692" s="97"/>
      <c r="F692" s="97"/>
      <c r="G692" s="100"/>
      <c r="H692" s="110"/>
      <c r="I692" s="113"/>
      <c r="J692" s="113"/>
      <c r="K692" s="113"/>
      <c r="L692" s="113"/>
    </row>
    <row r="693">
      <c r="A693" s="97"/>
      <c r="B693" s="97"/>
      <c r="C693" s="98"/>
      <c r="D693" s="98"/>
      <c r="E693" s="97"/>
      <c r="F693" s="97"/>
      <c r="G693" s="100"/>
      <c r="H693" s="110"/>
      <c r="I693" s="113"/>
      <c r="J693" s="113"/>
      <c r="K693" s="113"/>
      <c r="L693" s="113"/>
    </row>
    <row r="694">
      <c r="A694" s="97"/>
      <c r="B694" s="97"/>
      <c r="C694" s="98"/>
      <c r="D694" s="98"/>
      <c r="E694" s="97"/>
      <c r="F694" s="97"/>
      <c r="G694" s="100"/>
      <c r="H694" s="110"/>
      <c r="I694" s="113"/>
      <c r="J694" s="113"/>
      <c r="K694" s="113"/>
      <c r="L694" s="113"/>
    </row>
    <row r="695">
      <c r="A695" s="97"/>
      <c r="B695" s="97"/>
      <c r="C695" s="98"/>
      <c r="D695" s="98"/>
      <c r="E695" s="97"/>
      <c r="F695" s="97"/>
      <c r="G695" s="100"/>
      <c r="H695" s="110"/>
      <c r="I695" s="113"/>
      <c r="J695" s="113"/>
      <c r="K695" s="113"/>
      <c r="L695" s="113"/>
    </row>
    <row r="696">
      <c r="A696" s="97"/>
      <c r="B696" s="97"/>
      <c r="C696" s="98"/>
      <c r="D696" s="98"/>
      <c r="E696" s="97"/>
      <c r="F696" s="97"/>
      <c r="G696" s="100"/>
      <c r="H696" s="110"/>
      <c r="I696" s="113"/>
      <c r="J696" s="113"/>
      <c r="K696" s="113"/>
      <c r="L696" s="113"/>
    </row>
    <row r="697">
      <c r="A697" s="97"/>
      <c r="B697" s="97"/>
      <c r="C697" s="98"/>
      <c r="D697" s="98"/>
      <c r="E697" s="97"/>
      <c r="F697" s="97"/>
      <c r="G697" s="100"/>
      <c r="H697" s="110"/>
      <c r="I697" s="113"/>
      <c r="J697" s="113"/>
      <c r="K697" s="113"/>
      <c r="L697" s="113"/>
    </row>
    <row r="698">
      <c r="A698" s="97"/>
      <c r="B698" s="97"/>
      <c r="C698" s="98"/>
      <c r="D698" s="98"/>
      <c r="E698" s="97"/>
      <c r="F698" s="97"/>
      <c r="G698" s="100"/>
      <c r="H698" s="110"/>
      <c r="I698" s="113"/>
      <c r="J698" s="113"/>
      <c r="K698" s="113"/>
      <c r="L698" s="113"/>
    </row>
    <row r="699">
      <c r="A699" s="97"/>
      <c r="B699" s="97"/>
      <c r="C699" s="98"/>
      <c r="D699" s="98"/>
      <c r="E699" s="97"/>
      <c r="F699" s="97"/>
      <c r="G699" s="100"/>
      <c r="H699" s="110"/>
      <c r="I699" s="113"/>
      <c r="J699" s="113"/>
      <c r="K699" s="113"/>
      <c r="L699" s="113"/>
    </row>
    <row r="700">
      <c r="A700" s="97"/>
      <c r="B700" s="97"/>
      <c r="C700" s="98"/>
      <c r="D700" s="98"/>
      <c r="E700" s="97"/>
      <c r="F700" s="97"/>
      <c r="G700" s="100"/>
      <c r="H700" s="110"/>
      <c r="I700" s="113"/>
      <c r="J700" s="113"/>
      <c r="K700" s="113"/>
      <c r="L700" s="113"/>
    </row>
    <row r="701">
      <c r="A701" s="97"/>
      <c r="B701" s="97"/>
      <c r="C701" s="98"/>
      <c r="D701" s="98"/>
      <c r="E701" s="97"/>
      <c r="F701" s="97"/>
      <c r="G701" s="100"/>
      <c r="H701" s="110"/>
      <c r="I701" s="113"/>
      <c r="J701" s="113"/>
      <c r="K701" s="113"/>
      <c r="L701" s="113"/>
    </row>
    <row r="702">
      <c r="A702" s="97"/>
      <c r="B702" s="97"/>
      <c r="C702" s="98"/>
      <c r="D702" s="98"/>
      <c r="E702" s="97"/>
      <c r="F702" s="97"/>
      <c r="G702" s="100"/>
      <c r="H702" s="110"/>
      <c r="I702" s="113"/>
      <c r="J702" s="113"/>
      <c r="K702" s="113"/>
      <c r="L702" s="113"/>
    </row>
    <row r="703">
      <c r="A703" s="97"/>
      <c r="B703" s="97"/>
      <c r="C703" s="98"/>
      <c r="D703" s="98"/>
      <c r="E703" s="97"/>
      <c r="F703" s="97"/>
      <c r="G703" s="100"/>
      <c r="H703" s="110"/>
      <c r="I703" s="113"/>
      <c r="J703" s="113"/>
      <c r="K703" s="113"/>
      <c r="L703" s="113"/>
    </row>
    <row r="704">
      <c r="A704" s="97"/>
      <c r="B704" s="97"/>
      <c r="C704" s="98"/>
      <c r="D704" s="98"/>
      <c r="E704" s="97"/>
      <c r="F704" s="97"/>
      <c r="G704" s="100"/>
      <c r="H704" s="110"/>
      <c r="I704" s="113"/>
      <c r="J704" s="113"/>
      <c r="K704" s="113"/>
      <c r="L704" s="113"/>
    </row>
    <row r="705">
      <c r="A705" s="97"/>
      <c r="B705" s="97"/>
      <c r="C705" s="98"/>
      <c r="D705" s="98"/>
      <c r="E705" s="97"/>
      <c r="F705" s="97"/>
      <c r="G705" s="100"/>
      <c r="H705" s="110"/>
      <c r="I705" s="113"/>
      <c r="J705" s="113"/>
      <c r="K705" s="113"/>
      <c r="L705" s="113"/>
    </row>
    <row r="706">
      <c r="A706" s="97"/>
      <c r="B706" s="97"/>
      <c r="C706" s="98"/>
      <c r="D706" s="98"/>
      <c r="E706" s="97"/>
      <c r="F706" s="97"/>
      <c r="G706" s="100"/>
      <c r="H706" s="110"/>
      <c r="I706" s="113"/>
      <c r="J706" s="113"/>
      <c r="K706" s="113"/>
      <c r="L706" s="113"/>
    </row>
    <row r="707">
      <c r="A707" s="97"/>
      <c r="B707" s="97"/>
      <c r="C707" s="98"/>
      <c r="D707" s="98"/>
      <c r="E707" s="97"/>
      <c r="F707" s="97"/>
      <c r="G707" s="100"/>
      <c r="H707" s="110"/>
      <c r="I707" s="113"/>
      <c r="J707" s="113"/>
      <c r="K707" s="113"/>
      <c r="L707" s="113"/>
    </row>
    <row r="708">
      <c r="A708" s="97"/>
      <c r="B708" s="97"/>
      <c r="C708" s="98"/>
      <c r="D708" s="98"/>
      <c r="E708" s="97"/>
      <c r="F708" s="97"/>
      <c r="G708" s="100"/>
      <c r="H708" s="110"/>
      <c r="I708" s="113"/>
      <c r="J708" s="113"/>
      <c r="K708" s="113"/>
      <c r="L708" s="113"/>
    </row>
    <row r="709">
      <c r="A709" s="97"/>
      <c r="B709" s="97"/>
      <c r="C709" s="98"/>
      <c r="D709" s="98"/>
      <c r="E709" s="97"/>
      <c r="F709" s="97"/>
      <c r="G709" s="100"/>
      <c r="H709" s="110"/>
      <c r="I709" s="113"/>
      <c r="J709" s="113"/>
      <c r="K709" s="113"/>
      <c r="L709" s="113"/>
    </row>
    <row r="710">
      <c r="A710" s="97"/>
      <c r="B710" s="97"/>
      <c r="C710" s="98"/>
      <c r="D710" s="98"/>
      <c r="E710" s="97"/>
      <c r="F710" s="97"/>
      <c r="G710" s="100"/>
      <c r="H710" s="110"/>
      <c r="I710" s="113"/>
      <c r="J710" s="113"/>
      <c r="K710" s="113"/>
      <c r="L710" s="113"/>
    </row>
    <row r="711">
      <c r="A711" s="97"/>
      <c r="B711" s="97"/>
      <c r="C711" s="98"/>
      <c r="D711" s="98"/>
      <c r="E711" s="97"/>
      <c r="F711" s="97"/>
      <c r="G711" s="100"/>
      <c r="H711" s="110"/>
      <c r="I711" s="113"/>
      <c r="J711" s="113"/>
      <c r="K711" s="113"/>
      <c r="L711" s="113"/>
    </row>
    <row r="712">
      <c r="A712" s="97"/>
      <c r="B712" s="97"/>
      <c r="C712" s="98"/>
      <c r="D712" s="98"/>
      <c r="E712" s="97"/>
      <c r="F712" s="97"/>
      <c r="G712" s="100"/>
      <c r="H712" s="110"/>
      <c r="I712" s="113"/>
      <c r="J712" s="113"/>
      <c r="K712" s="113"/>
      <c r="L712" s="113"/>
    </row>
    <row r="713">
      <c r="A713" s="97"/>
      <c r="B713" s="97"/>
      <c r="C713" s="98"/>
      <c r="D713" s="98"/>
      <c r="E713" s="97"/>
      <c r="F713" s="97"/>
      <c r="G713" s="100"/>
      <c r="H713" s="110"/>
      <c r="I713" s="113"/>
      <c r="J713" s="113"/>
      <c r="K713" s="113"/>
      <c r="L713" s="113"/>
    </row>
    <row r="714">
      <c r="A714" s="97"/>
      <c r="B714" s="97"/>
      <c r="C714" s="98"/>
      <c r="D714" s="98"/>
      <c r="E714" s="97"/>
      <c r="F714" s="97"/>
      <c r="G714" s="100"/>
      <c r="H714" s="110"/>
      <c r="I714" s="113"/>
      <c r="J714" s="113"/>
      <c r="K714" s="113"/>
      <c r="L714" s="113"/>
    </row>
    <row r="715">
      <c r="A715" s="97"/>
      <c r="B715" s="97"/>
      <c r="C715" s="98"/>
      <c r="D715" s="98"/>
      <c r="E715" s="97"/>
      <c r="F715" s="97"/>
      <c r="G715" s="100"/>
      <c r="H715" s="110"/>
      <c r="I715" s="113"/>
      <c r="J715" s="113"/>
      <c r="K715" s="113"/>
      <c r="L715" s="113"/>
    </row>
    <row r="716">
      <c r="A716" s="97"/>
      <c r="B716" s="97"/>
      <c r="C716" s="98"/>
      <c r="D716" s="98"/>
      <c r="E716" s="97"/>
      <c r="F716" s="97"/>
      <c r="G716" s="100"/>
      <c r="H716" s="110"/>
      <c r="I716" s="113"/>
      <c r="J716" s="113"/>
      <c r="K716" s="113"/>
      <c r="L716" s="113"/>
    </row>
    <row r="717">
      <c r="A717" s="97"/>
      <c r="B717" s="97"/>
      <c r="C717" s="98"/>
      <c r="D717" s="98"/>
      <c r="E717" s="97"/>
      <c r="F717" s="97"/>
      <c r="G717" s="100"/>
      <c r="H717" s="110"/>
      <c r="I717" s="113"/>
      <c r="J717" s="113"/>
      <c r="K717" s="113"/>
      <c r="L717" s="113"/>
    </row>
    <row r="718">
      <c r="A718" s="97"/>
      <c r="B718" s="97"/>
      <c r="C718" s="98"/>
      <c r="D718" s="98"/>
      <c r="E718" s="97"/>
      <c r="F718" s="97"/>
      <c r="G718" s="100"/>
      <c r="H718" s="110"/>
      <c r="I718" s="113"/>
      <c r="J718" s="113"/>
      <c r="K718" s="113"/>
      <c r="L718" s="113"/>
    </row>
    <row r="719">
      <c r="A719" s="97"/>
      <c r="B719" s="97"/>
      <c r="C719" s="98"/>
      <c r="D719" s="98"/>
      <c r="E719" s="97"/>
      <c r="F719" s="97"/>
      <c r="G719" s="100"/>
      <c r="H719" s="110"/>
      <c r="I719" s="113"/>
      <c r="J719" s="113"/>
      <c r="K719" s="113"/>
      <c r="L719" s="113"/>
    </row>
    <row r="720">
      <c r="A720" s="97"/>
      <c r="B720" s="97"/>
      <c r="C720" s="98"/>
      <c r="D720" s="98"/>
      <c r="E720" s="97"/>
      <c r="F720" s="97"/>
      <c r="G720" s="100"/>
      <c r="H720" s="110"/>
      <c r="I720" s="113"/>
      <c r="J720" s="113"/>
      <c r="K720" s="113"/>
      <c r="L720" s="113"/>
    </row>
    <row r="721">
      <c r="A721" s="97"/>
      <c r="B721" s="97"/>
      <c r="C721" s="98"/>
      <c r="D721" s="98"/>
      <c r="E721" s="97"/>
      <c r="F721" s="97"/>
      <c r="G721" s="100"/>
      <c r="H721" s="110"/>
      <c r="I721" s="113"/>
      <c r="J721" s="113"/>
      <c r="K721" s="113"/>
      <c r="L721" s="113"/>
    </row>
    <row r="722">
      <c r="A722" s="97"/>
      <c r="B722" s="97"/>
      <c r="C722" s="98"/>
      <c r="D722" s="98"/>
      <c r="E722" s="97"/>
      <c r="F722" s="97"/>
      <c r="G722" s="100"/>
      <c r="H722" s="110"/>
      <c r="I722" s="113"/>
      <c r="J722" s="113"/>
      <c r="K722" s="113"/>
      <c r="L722" s="113"/>
    </row>
    <row r="723">
      <c r="A723" s="97"/>
      <c r="B723" s="97"/>
      <c r="C723" s="98"/>
      <c r="D723" s="98"/>
      <c r="E723" s="97"/>
      <c r="F723" s="97"/>
      <c r="G723" s="100"/>
      <c r="H723" s="110"/>
      <c r="I723" s="113"/>
      <c r="J723" s="113"/>
      <c r="K723" s="113"/>
      <c r="L723" s="113"/>
    </row>
    <row r="724">
      <c r="A724" s="97"/>
      <c r="B724" s="97"/>
      <c r="C724" s="98"/>
      <c r="D724" s="98"/>
      <c r="E724" s="97"/>
      <c r="F724" s="97"/>
      <c r="G724" s="100"/>
      <c r="H724" s="110"/>
      <c r="I724" s="113"/>
      <c r="J724" s="113"/>
      <c r="K724" s="113"/>
      <c r="L724" s="113"/>
    </row>
    <row r="725">
      <c r="A725" s="97"/>
      <c r="B725" s="97"/>
      <c r="C725" s="98"/>
      <c r="D725" s="98"/>
      <c r="E725" s="97"/>
      <c r="F725" s="97"/>
      <c r="G725" s="100"/>
      <c r="H725" s="110"/>
      <c r="I725" s="113"/>
      <c r="J725" s="113"/>
      <c r="K725" s="113"/>
      <c r="L725" s="113"/>
    </row>
    <row r="726">
      <c r="A726" s="97"/>
      <c r="B726" s="97"/>
      <c r="C726" s="98"/>
      <c r="D726" s="98"/>
      <c r="E726" s="97"/>
      <c r="F726" s="97"/>
      <c r="G726" s="100"/>
      <c r="H726" s="110"/>
      <c r="I726" s="113"/>
      <c r="J726" s="113"/>
      <c r="K726" s="113"/>
      <c r="L726" s="113"/>
    </row>
    <row r="727">
      <c r="A727" s="97"/>
      <c r="B727" s="97"/>
      <c r="C727" s="98"/>
      <c r="D727" s="98"/>
      <c r="E727" s="97"/>
      <c r="F727" s="97"/>
      <c r="G727" s="100"/>
      <c r="H727" s="110"/>
      <c r="I727" s="113"/>
      <c r="J727" s="113"/>
      <c r="K727" s="113"/>
      <c r="L727" s="113"/>
    </row>
    <row r="728">
      <c r="A728" s="97"/>
      <c r="B728" s="97"/>
      <c r="C728" s="98"/>
      <c r="D728" s="98"/>
      <c r="E728" s="97"/>
      <c r="F728" s="97"/>
      <c r="G728" s="100"/>
      <c r="H728" s="110"/>
      <c r="I728" s="113"/>
      <c r="J728" s="113"/>
      <c r="K728" s="113"/>
      <c r="L728" s="113"/>
    </row>
    <row r="729">
      <c r="A729" s="97"/>
      <c r="B729" s="97"/>
      <c r="C729" s="98"/>
      <c r="D729" s="98"/>
      <c r="E729" s="97"/>
      <c r="F729" s="97"/>
      <c r="G729" s="100"/>
      <c r="H729" s="110"/>
      <c r="I729" s="113"/>
      <c r="J729" s="113"/>
      <c r="K729" s="113"/>
      <c r="L729" s="113"/>
    </row>
    <row r="730">
      <c r="A730" s="97"/>
      <c r="B730" s="97"/>
      <c r="C730" s="98"/>
      <c r="D730" s="98"/>
      <c r="E730" s="97"/>
      <c r="F730" s="97"/>
      <c r="G730" s="100"/>
      <c r="H730" s="110"/>
      <c r="I730" s="113"/>
      <c r="J730" s="113"/>
      <c r="K730" s="113"/>
      <c r="L730" s="113"/>
    </row>
    <row r="731">
      <c r="A731" s="97"/>
      <c r="B731" s="97"/>
      <c r="C731" s="98"/>
      <c r="D731" s="98"/>
      <c r="E731" s="97"/>
      <c r="F731" s="97"/>
      <c r="G731" s="100"/>
      <c r="H731" s="110"/>
      <c r="I731" s="113"/>
      <c r="J731" s="113"/>
      <c r="K731" s="113"/>
      <c r="L731" s="113"/>
    </row>
    <row r="732">
      <c r="A732" s="97"/>
      <c r="B732" s="97"/>
      <c r="C732" s="98"/>
      <c r="D732" s="98"/>
      <c r="E732" s="97"/>
      <c r="F732" s="97"/>
      <c r="G732" s="100"/>
      <c r="H732" s="110"/>
      <c r="I732" s="113"/>
      <c r="J732" s="113"/>
      <c r="K732" s="113"/>
      <c r="L732" s="113"/>
    </row>
    <row r="733">
      <c r="A733" s="97"/>
      <c r="B733" s="97"/>
      <c r="C733" s="98"/>
      <c r="D733" s="98"/>
      <c r="E733" s="97"/>
      <c r="F733" s="97"/>
      <c r="G733" s="100"/>
      <c r="H733" s="110"/>
      <c r="I733" s="113"/>
      <c r="J733" s="113"/>
      <c r="K733" s="113"/>
      <c r="L733" s="113"/>
    </row>
    <row r="734">
      <c r="A734" s="97"/>
      <c r="B734" s="97"/>
      <c r="C734" s="98"/>
      <c r="D734" s="98"/>
      <c r="E734" s="97"/>
      <c r="F734" s="97"/>
      <c r="G734" s="100"/>
      <c r="H734" s="110"/>
      <c r="I734" s="113"/>
      <c r="J734" s="113"/>
      <c r="K734" s="113"/>
      <c r="L734" s="113"/>
    </row>
    <row r="735">
      <c r="A735" s="97"/>
      <c r="B735" s="97"/>
      <c r="C735" s="98"/>
      <c r="D735" s="98"/>
      <c r="E735" s="97"/>
      <c r="F735" s="97"/>
      <c r="G735" s="100"/>
      <c r="H735" s="110"/>
      <c r="I735" s="113"/>
      <c r="J735" s="113"/>
      <c r="K735" s="113"/>
      <c r="L735" s="113"/>
    </row>
    <row r="736">
      <c r="A736" s="97"/>
      <c r="B736" s="97"/>
      <c r="C736" s="98"/>
      <c r="D736" s="98"/>
      <c r="E736" s="97"/>
      <c r="F736" s="97"/>
      <c r="G736" s="100"/>
      <c r="H736" s="110"/>
      <c r="I736" s="113"/>
      <c r="J736" s="113"/>
      <c r="K736" s="113"/>
      <c r="L736" s="113"/>
    </row>
    <row r="737">
      <c r="A737" s="97"/>
      <c r="B737" s="97"/>
      <c r="C737" s="98"/>
      <c r="D737" s="98"/>
      <c r="E737" s="97"/>
      <c r="F737" s="97"/>
      <c r="G737" s="100"/>
      <c r="H737" s="110"/>
      <c r="I737" s="113"/>
      <c r="J737" s="113"/>
      <c r="K737" s="113"/>
      <c r="L737" s="113"/>
    </row>
    <row r="738">
      <c r="A738" s="97"/>
      <c r="B738" s="97"/>
      <c r="C738" s="98"/>
      <c r="D738" s="98"/>
      <c r="E738" s="97"/>
      <c r="F738" s="97"/>
      <c r="G738" s="100"/>
      <c r="H738" s="110"/>
      <c r="I738" s="113"/>
      <c r="J738" s="113"/>
      <c r="K738" s="113"/>
      <c r="L738" s="113"/>
    </row>
    <row r="739">
      <c r="A739" s="97"/>
      <c r="B739" s="97"/>
      <c r="C739" s="98"/>
      <c r="D739" s="98"/>
      <c r="E739" s="97"/>
      <c r="F739" s="97"/>
      <c r="G739" s="100"/>
      <c r="H739" s="110"/>
      <c r="I739" s="113"/>
      <c r="J739" s="113"/>
      <c r="K739" s="113"/>
      <c r="L739" s="113"/>
    </row>
    <row r="740">
      <c r="A740" s="97"/>
      <c r="B740" s="97"/>
      <c r="C740" s="98"/>
      <c r="D740" s="98"/>
      <c r="E740" s="97"/>
      <c r="F740" s="97"/>
      <c r="G740" s="100"/>
      <c r="H740" s="110"/>
      <c r="I740" s="113"/>
      <c r="J740" s="113"/>
      <c r="K740" s="113"/>
      <c r="L740" s="113"/>
    </row>
    <row r="741">
      <c r="A741" s="97"/>
      <c r="B741" s="97"/>
      <c r="C741" s="98"/>
      <c r="D741" s="98"/>
      <c r="E741" s="97"/>
      <c r="F741" s="97"/>
      <c r="G741" s="100"/>
      <c r="H741" s="110"/>
      <c r="I741" s="113"/>
      <c r="J741" s="113"/>
      <c r="K741" s="113"/>
      <c r="L741" s="113"/>
    </row>
    <row r="742">
      <c r="A742" s="97"/>
      <c r="B742" s="97"/>
      <c r="C742" s="98"/>
      <c r="D742" s="98"/>
      <c r="E742" s="97"/>
      <c r="F742" s="97"/>
      <c r="G742" s="100"/>
      <c r="H742" s="110"/>
      <c r="I742" s="113"/>
      <c r="J742" s="113"/>
      <c r="K742" s="113"/>
      <c r="L742" s="113"/>
    </row>
    <row r="743">
      <c r="A743" s="97"/>
      <c r="B743" s="97"/>
      <c r="C743" s="98"/>
      <c r="D743" s="98"/>
      <c r="E743" s="97"/>
      <c r="F743" s="97"/>
      <c r="G743" s="100"/>
      <c r="H743" s="110"/>
      <c r="I743" s="113"/>
      <c r="J743" s="113"/>
      <c r="K743" s="113"/>
      <c r="L743" s="113"/>
    </row>
    <row r="744">
      <c r="A744" s="97"/>
      <c r="B744" s="97"/>
      <c r="C744" s="98"/>
      <c r="D744" s="98"/>
      <c r="E744" s="97"/>
      <c r="F744" s="97"/>
      <c r="G744" s="100"/>
      <c r="H744" s="110"/>
      <c r="I744" s="113"/>
      <c r="J744" s="113"/>
      <c r="K744" s="113"/>
      <c r="L744" s="113"/>
    </row>
    <row r="745">
      <c r="A745" s="97"/>
      <c r="B745" s="97"/>
      <c r="C745" s="98"/>
      <c r="D745" s="98"/>
      <c r="E745" s="97"/>
      <c r="F745" s="97"/>
      <c r="G745" s="100"/>
      <c r="H745" s="110"/>
      <c r="I745" s="113"/>
      <c r="J745" s="113"/>
      <c r="K745" s="113"/>
      <c r="L745" s="113"/>
    </row>
    <row r="746">
      <c r="A746" s="97"/>
      <c r="B746" s="97"/>
      <c r="C746" s="98"/>
      <c r="D746" s="98"/>
      <c r="E746" s="97"/>
      <c r="F746" s="97"/>
      <c r="G746" s="100"/>
      <c r="H746" s="110"/>
      <c r="I746" s="113"/>
      <c r="J746" s="113"/>
      <c r="K746" s="113"/>
      <c r="L746" s="113"/>
    </row>
    <row r="747">
      <c r="A747" s="97"/>
      <c r="B747" s="97"/>
      <c r="C747" s="98"/>
      <c r="D747" s="98"/>
      <c r="E747" s="97"/>
      <c r="F747" s="97"/>
      <c r="G747" s="100"/>
      <c r="H747" s="110"/>
      <c r="I747" s="113"/>
      <c r="J747" s="113"/>
      <c r="K747" s="113"/>
      <c r="L747" s="113"/>
    </row>
    <row r="748">
      <c r="A748" s="97"/>
      <c r="B748" s="97"/>
      <c r="C748" s="98"/>
      <c r="D748" s="98"/>
      <c r="E748" s="97"/>
      <c r="F748" s="97"/>
      <c r="G748" s="100"/>
      <c r="H748" s="110"/>
      <c r="I748" s="113"/>
      <c r="J748" s="113"/>
      <c r="K748" s="113"/>
      <c r="L748" s="113"/>
    </row>
    <row r="749">
      <c r="A749" s="97"/>
      <c r="B749" s="97"/>
      <c r="C749" s="98"/>
      <c r="D749" s="98"/>
      <c r="E749" s="97"/>
      <c r="F749" s="97"/>
      <c r="G749" s="100"/>
      <c r="H749" s="110"/>
      <c r="I749" s="113"/>
      <c r="J749" s="113"/>
      <c r="K749" s="113"/>
      <c r="L749" s="113"/>
    </row>
    <row r="750">
      <c r="A750" s="97"/>
      <c r="B750" s="97"/>
      <c r="C750" s="98"/>
      <c r="D750" s="98"/>
      <c r="E750" s="97"/>
      <c r="F750" s="97"/>
      <c r="G750" s="100"/>
      <c r="H750" s="110"/>
      <c r="I750" s="113"/>
      <c r="J750" s="113"/>
      <c r="K750" s="113"/>
      <c r="L750" s="113"/>
    </row>
    <row r="751">
      <c r="A751" s="97"/>
      <c r="B751" s="97"/>
      <c r="C751" s="98"/>
      <c r="D751" s="98"/>
      <c r="E751" s="97"/>
      <c r="F751" s="97"/>
      <c r="G751" s="100"/>
      <c r="H751" s="110"/>
      <c r="I751" s="113"/>
      <c r="J751" s="113"/>
      <c r="K751" s="113"/>
      <c r="L751" s="113"/>
    </row>
    <row r="752">
      <c r="A752" s="97"/>
      <c r="B752" s="97"/>
      <c r="C752" s="98"/>
      <c r="D752" s="98"/>
      <c r="E752" s="97"/>
      <c r="F752" s="97"/>
      <c r="G752" s="100"/>
      <c r="H752" s="110"/>
      <c r="I752" s="113"/>
      <c r="J752" s="113"/>
      <c r="K752" s="113"/>
      <c r="L752" s="113"/>
    </row>
    <row r="753">
      <c r="A753" s="97"/>
      <c r="B753" s="97"/>
      <c r="C753" s="98"/>
      <c r="D753" s="98"/>
      <c r="E753" s="97"/>
      <c r="F753" s="97"/>
      <c r="G753" s="100"/>
      <c r="H753" s="110"/>
      <c r="I753" s="113"/>
      <c r="J753" s="113"/>
      <c r="K753" s="113"/>
      <c r="L753" s="113"/>
    </row>
    <row r="754">
      <c r="A754" s="97"/>
      <c r="B754" s="97"/>
      <c r="C754" s="98"/>
      <c r="D754" s="98"/>
      <c r="E754" s="97"/>
      <c r="F754" s="97"/>
      <c r="G754" s="100"/>
      <c r="H754" s="110"/>
      <c r="I754" s="113"/>
      <c r="J754" s="113"/>
      <c r="K754" s="113"/>
      <c r="L754" s="113"/>
    </row>
    <row r="755">
      <c r="A755" s="97"/>
      <c r="B755" s="97"/>
      <c r="C755" s="98"/>
      <c r="D755" s="98"/>
      <c r="E755" s="97"/>
      <c r="F755" s="97"/>
      <c r="G755" s="100"/>
      <c r="H755" s="110"/>
      <c r="I755" s="113"/>
      <c r="J755" s="113"/>
      <c r="K755" s="113"/>
      <c r="L755" s="113"/>
    </row>
    <row r="756">
      <c r="A756" s="97"/>
      <c r="B756" s="97"/>
      <c r="C756" s="98"/>
      <c r="D756" s="98"/>
      <c r="E756" s="97"/>
      <c r="F756" s="97"/>
      <c r="G756" s="100"/>
      <c r="H756" s="110"/>
      <c r="I756" s="113"/>
      <c r="J756" s="113"/>
      <c r="K756" s="113"/>
      <c r="L756" s="113"/>
    </row>
    <row r="757">
      <c r="A757" s="97"/>
      <c r="B757" s="97"/>
      <c r="C757" s="98"/>
      <c r="D757" s="98"/>
      <c r="E757" s="97"/>
      <c r="F757" s="97"/>
      <c r="G757" s="100"/>
      <c r="H757" s="110"/>
      <c r="I757" s="113"/>
      <c r="J757" s="113"/>
      <c r="K757" s="113"/>
      <c r="L757" s="113"/>
    </row>
    <row r="758">
      <c r="A758" s="97"/>
      <c r="B758" s="97"/>
      <c r="C758" s="98"/>
      <c r="D758" s="98"/>
      <c r="E758" s="97"/>
      <c r="F758" s="97"/>
      <c r="G758" s="100"/>
      <c r="H758" s="110"/>
      <c r="I758" s="113"/>
      <c r="J758" s="113"/>
      <c r="K758" s="113"/>
      <c r="L758" s="113"/>
    </row>
    <row r="759">
      <c r="A759" s="97"/>
      <c r="B759" s="97"/>
      <c r="C759" s="98"/>
      <c r="D759" s="98"/>
      <c r="E759" s="97"/>
      <c r="F759" s="97"/>
      <c r="G759" s="100"/>
      <c r="H759" s="110"/>
      <c r="I759" s="113"/>
      <c r="J759" s="113"/>
      <c r="K759" s="113"/>
      <c r="L759" s="113"/>
    </row>
    <row r="760">
      <c r="A760" s="97"/>
      <c r="B760" s="97"/>
      <c r="C760" s="98"/>
      <c r="D760" s="98"/>
      <c r="E760" s="97"/>
      <c r="F760" s="97"/>
      <c r="G760" s="100"/>
      <c r="H760" s="110"/>
      <c r="I760" s="113"/>
      <c r="J760" s="113"/>
      <c r="K760" s="113"/>
      <c r="L760" s="113"/>
    </row>
    <row r="761">
      <c r="A761" s="97"/>
      <c r="B761" s="97"/>
      <c r="C761" s="98"/>
      <c r="D761" s="98"/>
      <c r="E761" s="97"/>
      <c r="F761" s="97"/>
      <c r="G761" s="100"/>
      <c r="H761" s="110"/>
      <c r="I761" s="113"/>
      <c r="J761" s="113"/>
      <c r="K761" s="113"/>
      <c r="L761" s="113"/>
    </row>
    <row r="762">
      <c r="A762" s="97"/>
      <c r="B762" s="97"/>
      <c r="C762" s="98"/>
      <c r="D762" s="98"/>
      <c r="E762" s="97"/>
      <c r="F762" s="97"/>
      <c r="G762" s="100"/>
      <c r="H762" s="110"/>
      <c r="I762" s="113"/>
      <c r="J762" s="113"/>
      <c r="K762" s="113"/>
      <c r="L762" s="113"/>
    </row>
    <row r="763">
      <c r="A763" s="97"/>
      <c r="B763" s="97"/>
      <c r="C763" s="98"/>
      <c r="D763" s="98"/>
      <c r="E763" s="97"/>
      <c r="F763" s="97"/>
      <c r="G763" s="100"/>
      <c r="H763" s="110"/>
      <c r="I763" s="113"/>
      <c r="J763" s="113"/>
      <c r="K763" s="113"/>
      <c r="L763" s="113"/>
    </row>
    <row r="764">
      <c r="A764" s="97"/>
      <c r="B764" s="97"/>
      <c r="C764" s="98"/>
      <c r="D764" s="98"/>
      <c r="E764" s="97"/>
      <c r="F764" s="97"/>
      <c r="G764" s="100"/>
      <c r="H764" s="110"/>
      <c r="I764" s="113"/>
      <c r="J764" s="113"/>
      <c r="K764" s="113"/>
      <c r="L764" s="113"/>
    </row>
    <row r="765">
      <c r="A765" s="97"/>
      <c r="B765" s="97"/>
      <c r="C765" s="98"/>
      <c r="D765" s="98"/>
      <c r="E765" s="97"/>
      <c r="F765" s="97"/>
      <c r="G765" s="100"/>
      <c r="H765" s="110"/>
      <c r="I765" s="113"/>
      <c r="J765" s="113"/>
      <c r="K765" s="113"/>
      <c r="L765" s="113"/>
    </row>
    <row r="766">
      <c r="A766" s="97"/>
      <c r="B766" s="97"/>
      <c r="C766" s="98"/>
      <c r="D766" s="98"/>
      <c r="E766" s="97"/>
      <c r="F766" s="97"/>
      <c r="G766" s="100"/>
      <c r="H766" s="110"/>
      <c r="I766" s="113"/>
      <c r="J766" s="113"/>
      <c r="K766" s="113"/>
      <c r="L766" s="113"/>
    </row>
    <row r="767">
      <c r="A767" s="97"/>
      <c r="B767" s="97"/>
      <c r="C767" s="98"/>
      <c r="D767" s="98"/>
      <c r="E767" s="97"/>
      <c r="F767" s="97"/>
      <c r="G767" s="100"/>
      <c r="H767" s="110"/>
      <c r="I767" s="113"/>
      <c r="J767" s="113"/>
      <c r="K767" s="113"/>
      <c r="L767" s="113"/>
    </row>
    <row r="768">
      <c r="A768" s="97"/>
      <c r="B768" s="97"/>
      <c r="C768" s="98"/>
      <c r="D768" s="98"/>
      <c r="E768" s="97"/>
      <c r="F768" s="97"/>
      <c r="G768" s="100"/>
      <c r="H768" s="110"/>
      <c r="I768" s="113"/>
      <c r="J768" s="113"/>
      <c r="K768" s="113"/>
      <c r="L768" s="113"/>
    </row>
    <row r="769">
      <c r="A769" s="97"/>
      <c r="B769" s="97"/>
      <c r="C769" s="98"/>
      <c r="D769" s="98"/>
      <c r="E769" s="97"/>
      <c r="F769" s="97"/>
      <c r="G769" s="100"/>
      <c r="H769" s="110"/>
      <c r="I769" s="113"/>
      <c r="J769" s="113"/>
      <c r="K769" s="113"/>
      <c r="L769" s="113"/>
    </row>
    <row r="770">
      <c r="A770" s="97"/>
      <c r="B770" s="97"/>
      <c r="C770" s="98"/>
      <c r="D770" s="98"/>
      <c r="E770" s="97"/>
      <c r="F770" s="97"/>
      <c r="G770" s="100"/>
      <c r="H770" s="110"/>
      <c r="I770" s="113"/>
      <c r="J770" s="113"/>
      <c r="K770" s="113"/>
      <c r="L770" s="113"/>
    </row>
    <row r="771">
      <c r="A771" s="97"/>
      <c r="B771" s="97"/>
      <c r="C771" s="98"/>
      <c r="D771" s="98"/>
      <c r="E771" s="97"/>
      <c r="F771" s="97"/>
      <c r="G771" s="100"/>
      <c r="H771" s="110"/>
      <c r="I771" s="113"/>
      <c r="J771" s="113"/>
      <c r="K771" s="113"/>
      <c r="L771" s="113"/>
    </row>
    <row r="772">
      <c r="A772" s="97"/>
      <c r="B772" s="97"/>
      <c r="C772" s="98"/>
      <c r="D772" s="98"/>
      <c r="E772" s="97"/>
      <c r="F772" s="97"/>
      <c r="G772" s="100"/>
      <c r="H772" s="110"/>
      <c r="I772" s="113"/>
      <c r="J772" s="113"/>
      <c r="K772" s="113"/>
      <c r="L772" s="113"/>
    </row>
    <row r="773">
      <c r="A773" s="97"/>
      <c r="B773" s="97"/>
      <c r="C773" s="98"/>
      <c r="D773" s="98"/>
      <c r="E773" s="97"/>
      <c r="F773" s="97"/>
      <c r="G773" s="100"/>
      <c r="H773" s="110"/>
      <c r="I773" s="113"/>
      <c r="J773" s="113"/>
      <c r="K773" s="113"/>
      <c r="L773" s="113"/>
    </row>
    <row r="774">
      <c r="A774" s="97"/>
      <c r="B774" s="97"/>
      <c r="C774" s="98"/>
      <c r="D774" s="98"/>
      <c r="E774" s="97"/>
      <c r="F774" s="97"/>
      <c r="G774" s="100"/>
      <c r="H774" s="110"/>
      <c r="I774" s="113"/>
      <c r="J774" s="113"/>
      <c r="K774" s="113"/>
      <c r="L774" s="113"/>
    </row>
    <row r="775">
      <c r="A775" s="97"/>
      <c r="B775" s="97"/>
      <c r="C775" s="98"/>
      <c r="D775" s="98"/>
      <c r="E775" s="97"/>
      <c r="F775" s="97"/>
      <c r="G775" s="100"/>
      <c r="H775" s="110"/>
      <c r="I775" s="113"/>
      <c r="J775" s="113"/>
      <c r="K775" s="113"/>
      <c r="L775" s="113"/>
    </row>
    <row r="776">
      <c r="A776" s="97"/>
      <c r="B776" s="97"/>
      <c r="C776" s="98"/>
      <c r="D776" s="98"/>
      <c r="E776" s="97"/>
      <c r="F776" s="97"/>
      <c r="G776" s="100"/>
      <c r="H776" s="110"/>
      <c r="I776" s="113"/>
      <c r="J776" s="113"/>
      <c r="K776" s="113"/>
      <c r="L776" s="113"/>
    </row>
    <row r="777">
      <c r="A777" s="97"/>
      <c r="B777" s="97"/>
      <c r="C777" s="98"/>
      <c r="D777" s="98"/>
      <c r="E777" s="97"/>
      <c r="F777" s="97"/>
      <c r="G777" s="100"/>
      <c r="H777" s="110"/>
      <c r="I777" s="113"/>
      <c r="J777" s="113"/>
      <c r="K777" s="113"/>
      <c r="L777" s="113"/>
    </row>
    <row r="778">
      <c r="A778" s="97"/>
      <c r="B778" s="97"/>
      <c r="C778" s="98"/>
      <c r="D778" s="98"/>
      <c r="E778" s="97"/>
      <c r="F778" s="97"/>
      <c r="G778" s="100"/>
      <c r="H778" s="110"/>
      <c r="I778" s="113"/>
      <c r="J778" s="113"/>
      <c r="K778" s="113"/>
      <c r="L778" s="113"/>
    </row>
    <row r="779">
      <c r="A779" s="97"/>
      <c r="B779" s="97"/>
      <c r="C779" s="98"/>
      <c r="D779" s="98"/>
      <c r="E779" s="97"/>
      <c r="F779" s="97"/>
      <c r="G779" s="100"/>
      <c r="H779" s="110"/>
      <c r="I779" s="113"/>
      <c r="J779" s="113"/>
      <c r="K779" s="113"/>
      <c r="L779" s="113"/>
    </row>
    <row r="780">
      <c r="A780" s="97"/>
      <c r="B780" s="97"/>
      <c r="C780" s="98"/>
      <c r="D780" s="98"/>
      <c r="E780" s="97"/>
      <c r="F780" s="97"/>
      <c r="G780" s="100"/>
      <c r="H780" s="110"/>
      <c r="I780" s="113"/>
      <c r="J780" s="113"/>
      <c r="K780" s="113"/>
      <c r="L780" s="113"/>
    </row>
    <row r="781">
      <c r="A781" s="97"/>
      <c r="B781" s="97"/>
      <c r="C781" s="98"/>
      <c r="D781" s="98"/>
      <c r="E781" s="97"/>
      <c r="F781" s="97"/>
      <c r="G781" s="100"/>
      <c r="H781" s="110"/>
      <c r="I781" s="113"/>
      <c r="J781" s="113"/>
      <c r="K781" s="113"/>
      <c r="L781" s="113"/>
    </row>
    <row r="782">
      <c r="A782" s="97"/>
      <c r="B782" s="97"/>
      <c r="C782" s="98"/>
      <c r="D782" s="98"/>
      <c r="E782" s="97"/>
      <c r="F782" s="97"/>
      <c r="G782" s="100"/>
      <c r="H782" s="110"/>
      <c r="I782" s="113"/>
      <c r="J782" s="113"/>
      <c r="K782" s="113"/>
      <c r="L782" s="113"/>
    </row>
    <row r="783">
      <c r="A783" s="97"/>
      <c r="B783" s="97"/>
      <c r="C783" s="98"/>
      <c r="D783" s="98"/>
      <c r="E783" s="97"/>
      <c r="F783" s="97"/>
      <c r="G783" s="100"/>
      <c r="H783" s="110"/>
      <c r="I783" s="113"/>
      <c r="J783" s="113"/>
      <c r="K783" s="113"/>
      <c r="L783" s="113"/>
    </row>
    <row r="784">
      <c r="A784" s="97"/>
      <c r="B784" s="97"/>
      <c r="C784" s="98"/>
      <c r="D784" s="98"/>
      <c r="E784" s="97"/>
      <c r="F784" s="97"/>
      <c r="G784" s="100"/>
      <c r="H784" s="110"/>
      <c r="I784" s="113"/>
      <c r="J784" s="113"/>
      <c r="K784" s="113"/>
      <c r="L784" s="113"/>
    </row>
    <row r="785">
      <c r="A785" s="97"/>
      <c r="B785" s="97"/>
      <c r="C785" s="98"/>
      <c r="D785" s="98"/>
      <c r="E785" s="97"/>
      <c r="F785" s="97"/>
      <c r="G785" s="100"/>
      <c r="H785" s="110"/>
      <c r="I785" s="113"/>
      <c r="J785" s="113"/>
      <c r="K785" s="113"/>
      <c r="L785" s="113"/>
    </row>
    <row r="786">
      <c r="A786" s="97"/>
      <c r="B786" s="97"/>
      <c r="C786" s="98"/>
      <c r="D786" s="98"/>
      <c r="E786" s="97"/>
      <c r="F786" s="97"/>
      <c r="G786" s="100"/>
      <c r="H786" s="110"/>
      <c r="I786" s="113"/>
      <c r="J786" s="113"/>
      <c r="K786" s="113"/>
      <c r="L786" s="113"/>
    </row>
    <row r="787">
      <c r="A787" s="97"/>
      <c r="B787" s="97"/>
      <c r="C787" s="98"/>
      <c r="D787" s="98"/>
      <c r="E787" s="97"/>
      <c r="F787" s="97"/>
      <c r="G787" s="100"/>
      <c r="H787" s="110"/>
      <c r="I787" s="113"/>
      <c r="J787" s="113"/>
      <c r="K787" s="113"/>
      <c r="L787" s="113"/>
    </row>
    <row r="788">
      <c r="A788" s="97"/>
      <c r="B788" s="97"/>
      <c r="C788" s="98"/>
      <c r="D788" s="98"/>
      <c r="E788" s="97"/>
      <c r="F788" s="97"/>
      <c r="G788" s="100"/>
      <c r="H788" s="110"/>
      <c r="I788" s="113"/>
      <c r="J788" s="113"/>
      <c r="K788" s="113"/>
      <c r="L788" s="113"/>
    </row>
    <row r="789">
      <c r="A789" s="97"/>
      <c r="B789" s="97"/>
      <c r="C789" s="98"/>
      <c r="D789" s="98"/>
      <c r="E789" s="97"/>
      <c r="F789" s="97"/>
      <c r="G789" s="100"/>
      <c r="H789" s="110"/>
      <c r="I789" s="113"/>
      <c r="J789" s="113"/>
      <c r="K789" s="113"/>
      <c r="L789" s="113"/>
    </row>
    <row r="790">
      <c r="A790" s="97"/>
      <c r="B790" s="97"/>
      <c r="C790" s="98"/>
      <c r="D790" s="98"/>
      <c r="E790" s="97"/>
      <c r="F790" s="97"/>
      <c r="G790" s="100"/>
      <c r="H790" s="110"/>
      <c r="I790" s="113"/>
      <c r="J790" s="113"/>
      <c r="K790" s="113"/>
      <c r="L790" s="113"/>
    </row>
    <row r="791">
      <c r="A791" s="97"/>
      <c r="B791" s="97"/>
      <c r="C791" s="98"/>
      <c r="D791" s="98"/>
      <c r="E791" s="97"/>
      <c r="F791" s="97"/>
      <c r="G791" s="100"/>
      <c r="H791" s="110"/>
      <c r="I791" s="113"/>
      <c r="J791" s="113"/>
      <c r="K791" s="113"/>
      <c r="L791" s="113"/>
    </row>
    <row r="792">
      <c r="A792" s="97"/>
      <c r="B792" s="97"/>
      <c r="C792" s="98"/>
      <c r="D792" s="98"/>
      <c r="E792" s="97"/>
      <c r="F792" s="97"/>
      <c r="G792" s="100"/>
      <c r="H792" s="110"/>
      <c r="I792" s="113"/>
      <c r="J792" s="113"/>
      <c r="K792" s="113"/>
      <c r="L792" s="113"/>
    </row>
    <row r="793">
      <c r="A793" s="97"/>
      <c r="B793" s="97"/>
      <c r="C793" s="98"/>
      <c r="D793" s="98"/>
      <c r="E793" s="97"/>
      <c r="F793" s="97"/>
      <c r="G793" s="100"/>
      <c r="H793" s="110"/>
      <c r="I793" s="113"/>
      <c r="J793" s="113"/>
      <c r="K793" s="113"/>
      <c r="L793" s="113"/>
    </row>
    <row r="794">
      <c r="A794" s="97"/>
      <c r="B794" s="97"/>
      <c r="C794" s="98"/>
      <c r="D794" s="98"/>
      <c r="E794" s="97"/>
      <c r="F794" s="97"/>
      <c r="G794" s="100"/>
      <c r="H794" s="110"/>
      <c r="I794" s="113"/>
      <c r="J794" s="113"/>
      <c r="K794" s="113"/>
      <c r="L794" s="113"/>
    </row>
    <row r="795">
      <c r="A795" s="97"/>
      <c r="B795" s="97"/>
      <c r="C795" s="98"/>
      <c r="D795" s="98"/>
      <c r="E795" s="97"/>
      <c r="F795" s="97"/>
      <c r="G795" s="100"/>
      <c r="H795" s="110"/>
      <c r="I795" s="113"/>
      <c r="J795" s="113"/>
      <c r="K795" s="113"/>
      <c r="L795" s="113"/>
    </row>
    <row r="796">
      <c r="A796" s="97"/>
      <c r="B796" s="97"/>
      <c r="C796" s="98"/>
      <c r="D796" s="98"/>
      <c r="E796" s="97"/>
      <c r="F796" s="97"/>
      <c r="G796" s="100"/>
      <c r="H796" s="110"/>
      <c r="I796" s="113"/>
      <c r="J796" s="113"/>
      <c r="K796" s="113"/>
      <c r="L796" s="113"/>
    </row>
    <row r="797">
      <c r="A797" s="97"/>
      <c r="B797" s="97"/>
      <c r="C797" s="98"/>
      <c r="D797" s="98"/>
      <c r="E797" s="97"/>
      <c r="F797" s="97"/>
      <c r="G797" s="100"/>
      <c r="H797" s="110"/>
      <c r="I797" s="113"/>
      <c r="J797" s="113"/>
      <c r="K797" s="113"/>
      <c r="L797" s="113"/>
    </row>
    <row r="798">
      <c r="A798" s="97"/>
      <c r="B798" s="97"/>
      <c r="C798" s="98"/>
      <c r="D798" s="98"/>
      <c r="E798" s="97"/>
      <c r="F798" s="97"/>
      <c r="G798" s="100"/>
      <c r="H798" s="110"/>
      <c r="I798" s="113"/>
      <c r="J798" s="113"/>
      <c r="K798" s="113"/>
      <c r="L798" s="113"/>
    </row>
    <row r="799">
      <c r="A799" s="97"/>
      <c r="B799" s="97"/>
      <c r="C799" s="98"/>
      <c r="D799" s="98"/>
      <c r="E799" s="97"/>
      <c r="F799" s="97"/>
      <c r="G799" s="100"/>
      <c r="H799" s="110"/>
      <c r="I799" s="113"/>
      <c r="J799" s="113"/>
      <c r="K799" s="113"/>
      <c r="L799" s="113"/>
    </row>
    <row r="800">
      <c r="A800" s="97"/>
      <c r="B800" s="97"/>
      <c r="C800" s="98"/>
      <c r="D800" s="98"/>
      <c r="E800" s="97"/>
      <c r="F800" s="97"/>
      <c r="G800" s="100"/>
      <c r="H800" s="110"/>
      <c r="I800" s="113"/>
      <c r="J800" s="113"/>
      <c r="K800" s="113"/>
      <c r="L800" s="113"/>
    </row>
    <row r="801">
      <c r="A801" s="97"/>
      <c r="B801" s="97"/>
      <c r="C801" s="98"/>
      <c r="D801" s="98"/>
      <c r="E801" s="97"/>
      <c r="F801" s="97"/>
      <c r="G801" s="100"/>
      <c r="H801" s="110"/>
      <c r="I801" s="113"/>
      <c r="J801" s="113"/>
      <c r="K801" s="113"/>
      <c r="L801" s="113"/>
    </row>
    <row r="802">
      <c r="A802" s="97"/>
      <c r="B802" s="97"/>
      <c r="C802" s="98"/>
      <c r="D802" s="98"/>
      <c r="E802" s="97"/>
      <c r="F802" s="97"/>
      <c r="G802" s="100"/>
      <c r="H802" s="110"/>
      <c r="I802" s="113"/>
      <c r="J802" s="113"/>
      <c r="K802" s="113"/>
      <c r="L802" s="113"/>
    </row>
    <row r="803">
      <c r="A803" s="97"/>
      <c r="B803" s="97"/>
      <c r="C803" s="98"/>
      <c r="D803" s="98"/>
      <c r="E803" s="97"/>
      <c r="F803" s="97"/>
      <c r="G803" s="100"/>
      <c r="H803" s="110"/>
      <c r="I803" s="113"/>
      <c r="J803" s="113"/>
      <c r="K803" s="113"/>
      <c r="L803" s="113"/>
    </row>
    <row r="804">
      <c r="A804" s="97"/>
      <c r="B804" s="97"/>
      <c r="C804" s="98"/>
      <c r="D804" s="98"/>
      <c r="E804" s="97"/>
      <c r="F804" s="97"/>
      <c r="G804" s="100"/>
      <c r="H804" s="110"/>
      <c r="I804" s="113"/>
      <c r="J804" s="113"/>
      <c r="K804" s="113"/>
      <c r="L804" s="113"/>
    </row>
    <row r="805">
      <c r="A805" s="97"/>
      <c r="B805" s="97"/>
      <c r="C805" s="98"/>
      <c r="D805" s="98"/>
      <c r="E805" s="97"/>
      <c r="F805" s="97"/>
      <c r="G805" s="100"/>
      <c r="H805" s="110"/>
      <c r="I805" s="113"/>
      <c r="J805" s="113"/>
      <c r="K805" s="113"/>
      <c r="L805" s="113"/>
    </row>
    <row r="806">
      <c r="A806" s="97"/>
      <c r="B806" s="97"/>
      <c r="C806" s="98"/>
      <c r="D806" s="98"/>
      <c r="E806" s="97"/>
      <c r="F806" s="97"/>
      <c r="G806" s="100"/>
      <c r="H806" s="110"/>
      <c r="I806" s="113"/>
      <c r="J806" s="113"/>
      <c r="K806" s="113"/>
      <c r="L806" s="113"/>
    </row>
    <row r="807">
      <c r="A807" s="97"/>
      <c r="B807" s="97"/>
      <c r="C807" s="98"/>
      <c r="D807" s="98"/>
      <c r="E807" s="97"/>
      <c r="F807" s="97"/>
      <c r="G807" s="100"/>
      <c r="H807" s="110"/>
      <c r="I807" s="113"/>
      <c r="J807" s="113"/>
      <c r="K807" s="113"/>
      <c r="L807" s="113"/>
    </row>
    <row r="808">
      <c r="A808" s="97"/>
      <c r="B808" s="97"/>
      <c r="C808" s="98"/>
      <c r="D808" s="98"/>
      <c r="E808" s="97"/>
      <c r="F808" s="97"/>
      <c r="G808" s="100"/>
      <c r="H808" s="110"/>
      <c r="I808" s="113"/>
      <c r="J808" s="113"/>
      <c r="K808" s="113"/>
      <c r="L808" s="113"/>
    </row>
    <row r="809">
      <c r="A809" s="97"/>
      <c r="B809" s="97"/>
      <c r="C809" s="98"/>
      <c r="D809" s="98"/>
      <c r="E809" s="97"/>
      <c r="F809" s="97"/>
      <c r="G809" s="100"/>
      <c r="H809" s="110"/>
      <c r="I809" s="113"/>
      <c r="J809" s="113"/>
      <c r="K809" s="113"/>
      <c r="L809" s="113"/>
    </row>
    <row r="810">
      <c r="A810" s="97"/>
      <c r="B810" s="97"/>
      <c r="C810" s="98"/>
      <c r="D810" s="98"/>
      <c r="E810" s="97"/>
      <c r="F810" s="97"/>
      <c r="G810" s="100"/>
      <c r="H810" s="110"/>
      <c r="I810" s="113"/>
      <c r="J810" s="113"/>
      <c r="K810" s="113"/>
      <c r="L810" s="113"/>
    </row>
    <row r="811">
      <c r="A811" s="97"/>
      <c r="B811" s="97"/>
      <c r="C811" s="98"/>
      <c r="D811" s="98"/>
      <c r="E811" s="97"/>
      <c r="F811" s="97"/>
      <c r="G811" s="100"/>
      <c r="H811" s="110"/>
      <c r="I811" s="113"/>
      <c r="J811" s="113"/>
      <c r="K811" s="113"/>
      <c r="L811" s="113"/>
    </row>
    <row r="812">
      <c r="A812" s="97"/>
      <c r="B812" s="97"/>
      <c r="C812" s="98"/>
      <c r="D812" s="98"/>
      <c r="E812" s="97"/>
      <c r="F812" s="97"/>
      <c r="G812" s="100"/>
      <c r="H812" s="110"/>
      <c r="I812" s="113"/>
      <c r="J812" s="113"/>
      <c r="K812" s="113"/>
      <c r="L812" s="113"/>
    </row>
    <row r="813">
      <c r="A813" s="97"/>
      <c r="B813" s="97"/>
      <c r="C813" s="98"/>
      <c r="D813" s="98"/>
      <c r="E813" s="97"/>
      <c r="F813" s="97"/>
      <c r="G813" s="100"/>
      <c r="H813" s="110"/>
      <c r="I813" s="113"/>
      <c r="J813" s="113"/>
      <c r="K813" s="113"/>
      <c r="L813" s="113"/>
    </row>
    <row r="814">
      <c r="A814" s="97"/>
      <c r="B814" s="97"/>
      <c r="C814" s="98"/>
      <c r="D814" s="98"/>
      <c r="E814" s="97"/>
      <c r="F814" s="97"/>
      <c r="G814" s="100"/>
      <c r="H814" s="110"/>
      <c r="I814" s="113"/>
      <c r="J814" s="113"/>
      <c r="K814" s="113"/>
      <c r="L814" s="113"/>
    </row>
    <row r="815">
      <c r="A815" s="97"/>
      <c r="B815" s="97"/>
      <c r="C815" s="98"/>
      <c r="D815" s="98"/>
      <c r="E815" s="97"/>
      <c r="F815" s="97"/>
      <c r="G815" s="100"/>
      <c r="H815" s="110"/>
      <c r="I815" s="113"/>
      <c r="J815" s="113"/>
      <c r="K815" s="113"/>
      <c r="L815" s="113"/>
    </row>
    <row r="816">
      <c r="A816" s="97"/>
      <c r="B816" s="97"/>
      <c r="C816" s="98"/>
      <c r="D816" s="98"/>
      <c r="E816" s="97"/>
      <c r="F816" s="97"/>
      <c r="G816" s="100"/>
      <c r="H816" s="110"/>
      <c r="I816" s="113"/>
      <c r="J816" s="113"/>
      <c r="K816" s="113"/>
      <c r="L816" s="113"/>
    </row>
    <row r="817">
      <c r="A817" s="97"/>
      <c r="B817" s="97"/>
      <c r="C817" s="98"/>
      <c r="D817" s="98"/>
      <c r="E817" s="97"/>
      <c r="F817" s="97"/>
      <c r="G817" s="100"/>
      <c r="H817" s="110"/>
      <c r="I817" s="113"/>
      <c r="J817" s="113"/>
      <c r="K817" s="113"/>
      <c r="L817" s="113"/>
    </row>
    <row r="818">
      <c r="A818" s="97"/>
      <c r="B818" s="97"/>
      <c r="C818" s="98"/>
      <c r="D818" s="98"/>
      <c r="E818" s="97"/>
      <c r="F818" s="97"/>
      <c r="G818" s="100"/>
      <c r="H818" s="110"/>
      <c r="I818" s="113"/>
      <c r="J818" s="113"/>
      <c r="K818" s="113"/>
      <c r="L818" s="113"/>
    </row>
    <row r="819">
      <c r="A819" s="97"/>
      <c r="B819" s="97"/>
      <c r="C819" s="98"/>
      <c r="D819" s="98"/>
      <c r="E819" s="97"/>
      <c r="F819" s="97"/>
      <c r="G819" s="100"/>
      <c r="H819" s="110"/>
      <c r="I819" s="113"/>
      <c r="J819" s="113"/>
      <c r="K819" s="113"/>
      <c r="L819" s="113"/>
    </row>
    <row r="820">
      <c r="A820" s="97"/>
      <c r="B820" s="97"/>
      <c r="C820" s="98"/>
      <c r="D820" s="98"/>
      <c r="E820" s="97"/>
      <c r="F820" s="97"/>
      <c r="G820" s="100"/>
      <c r="H820" s="110"/>
      <c r="I820" s="113"/>
      <c r="J820" s="113"/>
      <c r="K820" s="113"/>
      <c r="L820" s="113"/>
    </row>
    <row r="821">
      <c r="A821" s="97"/>
      <c r="B821" s="97"/>
      <c r="C821" s="98"/>
      <c r="D821" s="98"/>
      <c r="E821" s="97"/>
      <c r="F821" s="97"/>
      <c r="G821" s="100"/>
      <c r="H821" s="110"/>
      <c r="I821" s="113"/>
      <c r="J821" s="113"/>
      <c r="K821" s="113"/>
      <c r="L821" s="113"/>
    </row>
    <row r="822">
      <c r="A822" s="97"/>
      <c r="B822" s="97"/>
      <c r="C822" s="98"/>
      <c r="D822" s="98"/>
      <c r="E822" s="97"/>
      <c r="F822" s="97"/>
      <c r="G822" s="100"/>
      <c r="H822" s="110"/>
      <c r="I822" s="113"/>
      <c r="J822" s="113"/>
      <c r="K822" s="113"/>
      <c r="L822" s="113"/>
    </row>
    <row r="823">
      <c r="A823" s="97"/>
      <c r="B823" s="97"/>
      <c r="C823" s="98"/>
      <c r="D823" s="98"/>
      <c r="E823" s="97"/>
      <c r="F823" s="97"/>
      <c r="G823" s="100"/>
      <c r="H823" s="110"/>
      <c r="I823" s="113"/>
      <c r="J823" s="113"/>
      <c r="K823" s="113"/>
      <c r="L823" s="113"/>
    </row>
    <row r="824">
      <c r="A824" s="97"/>
      <c r="B824" s="97"/>
      <c r="C824" s="98"/>
      <c r="D824" s="98"/>
      <c r="E824" s="97"/>
      <c r="F824" s="97"/>
      <c r="G824" s="100"/>
      <c r="H824" s="110"/>
      <c r="I824" s="113"/>
      <c r="J824" s="113"/>
      <c r="K824" s="113"/>
      <c r="L824" s="113"/>
    </row>
    <row r="825">
      <c r="A825" s="97"/>
      <c r="B825" s="97"/>
      <c r="C825" s="98"/>
      <c r="D825" s="98"/>
      <c r="E825" s="97"/>
      <c r="F825" s="97"/>
      <c r="G825" s="100"/>
      <c r="H825" s="110"/>
      <c r="I825" s="113"/>
      <c r="J825" s="113"/>
      <c r="K825" s="113"/>
      <c r="L825" s="113"/>
    </row>
    <row r="826">
      <c r="A826" s="97"/>
      <c r="B826" s="97"/>
      <c r="C826" s="98"/>
      <c r="D826" s="98"/>
      <c r="E826" s="97"/>
      <c r="F826" s="97"/>
      <c r="G826" s="100"/>
      <c r="H826" s="110"/>
      <c r="I826" s="113"/>
      <c r="J826" s="113"/>
      <c r="K826" s="113"/>
      <c r="L826" s="113"/>
    </row>
    <row r="827">
      <c r="A827" s="97"/>
      <c r="B827" s="97"/>
      <c r="C827" s="98"/>
      <c r="D827" s="98"/>
      <c r="E827" s="97"/>
      <c r="F827" s="97"/>
      <c r="G827" s="100"/>
      <c r="H827" s="110"/>
      <c r="I827" s="113"/>
      <c r="J827" s="113"/>
      <c r="K827" s="113"/>
      <c r="L827" s="113"/>
    </row>
    <row r="828">
      <c r="A828" s="97"/>
      <c r="B828" s="97"/>
      <c r="C828" s="98"/>
      <c r="D828" s="98"/>
      <c r="E828" s="97"/>
      <c r="F828" s="97"/>
      <c r="G828" s="100"/>
      <c r="H828" s="110"/>
      <c r="I828" s="113"/>
      <c r="J828" s="113"/>
      <c r="K828" s="113"/>
      <c r="L828" s="113"/>
    </row>
    <row r="829">
      <c r="A829" s="97"/>
      <c r="B829" s="97"/>
      <c r="C829" s="98"/>
      <c r="D829" s="98"/>
      <c r="E829" s="97"/>
      <c r="F829" s="97"/>
      <c r="G829" s="100"/>
      <c r="H829" s="110"/>
      <c r="I829" s="113"/>
      <c r="J829" s="113"/>
      <c r="K829" s="113"/>
      <c r="L829" s="113"/>
    </row>
    <row r="830">
      <c r="A830" s="97"/>
      <c r="B830" s="97"/>
      <c r="C830" s="98"/>
      <c r="D830" s="98"/>
      <c r="E830" s="97"/>
      <c r="F830" s="97"/>
      <c r="G830" s="100"/>
      <c r="H830" s="110"/>
      <c r="I830" s="113"/>
      <c r="J830" s="113"/>
      <c r="K830" s="113"/>
      <c r="L830" s="113"/>
    </row>
    <row r="831">
      <c r="A831" s="97"/>
      <c r="B831" s="97"/>
      <c r="C831" s="98"/>
      <c r="D831" s="98"/>
      <c r="E831" s="97"/>
      <c r="F831" s="97"/>
      <c r="G831" s="100"/>
      <c r="H831" s="110"/>
      <c r="I831" s="113"/>
      <c r="J831" s="113"/>
      <c r="K831" s="113"/>
      <c r="L831" s="113"/>
    </row>
    <row r="832">
      <c r="A832" s="97"/>
      <c r="B832" s="97"/>
      <c r="C832" s="98"/>
      <c r="D832" s="98"/>
      <c r="E832" s="97"/>
      <c r="F832" s="97"/>
      <c r="G832" s="100"/>
      <c r="H832" s="110"/>
      <c r="I832" s="113"/>
      <c r="J832" s="113"/>
      <c r="K832" s="113"/>
      <c r="L832" s="113"/>
    </row>
    <row r="833">
      <c r="A833" s="97"/>
      <c r="B833" s="97"/>
      <c r="C833" s="98"/>
      <c r="D833" s="98"/>
      <c r="E833" s="97"/>
      <c r="F833" s="97"/>
      <c r="G833" s="100"/>
      <c r="H833" s="110"/>
      <c r="I833" s="113"/>
      <c r="J833" s="113"/>
      <c r="K833" s="113"/>
      <c r="L833" s="113"/>
    </row>
    <row r="834">
      <c r="A834" s="97"/>
      <c r="B834" s="97"/>
      <c r="C834" s="98"/>
      <c r="D834" s="98"/>
      <c r="E834" s="97"/>
      <c r="F834" s="97"/>
      <c r="G834" s="100"/>
      <c r="H834" s="110"/>
      <c r="I834" s="113"/>
      <c r="J834" s="113"/>
      <c r="K834" s="113"/>
      <c r="L834" s="113"/>
    </row>
    <row r="835">
      <c r="A835" s="97"/>
      <c r="B835" s="97"/>
      <c r="C835" s="98"/>
      <c r="D835" s="98"/>
      <c r="E835" s="97"/>
      <c r="F835" s="97"/>
      <c r="G835" s="100"/>
      <c r="H835" s="110"/>
      <c r="I835" s="113"/>
      <c r="J835" s="113"/>
      <c r="K835" s="113"/>
      <c r="L835" s="113"/>
    </row>
    <row r="836">
      <c r="A836" s="97"/>
      <c r="B836" s="97"/>
      <c r="C836" s="98"/>
      <c r="D836" s="98"/>
      <c r="E836" s="97"/>
      <c r="F836" s="97"/>
      <c r="G836" s="100"/>
      <c r="H836" s="110"/>
      <c r="I836" s="113"/>
      <c r="J836" s="113"/>
      <c r="K836" s="113"/>
      <c r="L836" s="113"/>
    </row>
    <row r="837">
      <c r="A837" s="97"/>
      <c r="B837" s="97"/>
      <c r="C837" s="98"/>
      <c r="D837" s="98"/>
      <c r="E837" s="97"/>
      <c r="F837" s="97"/>
      <c r="G837" s="100"/>
      <c r="H837" s="110"/>
      <c r="I837" s="113"/>
      <c r="J837" s="113"/>
      <c r="K837" s="113"/>
      <c r="L837" s="113"/>
    </row>
    <row r="838">
      <c r="A838" s="97"/>
      <c r="B838" s="97"/>
      <c r="C838" s="98"/>
      <c r="D838" s="98"/>
      <c r="E838" s="97"/>
      <c r="F838" s="97"/>
      <c r="G838" s="100"/>
      <c r="H838" s="110"/>
      <c r="I838" s="113"/>
      <c r="J838" s="113"/>
      <c r="K838" s="113"/>
      <c r="L838" s="113"/>
    </row>
    <row r="839">
      <c r="A839" s="97"/>
      <c r="B839" s="97"/>
      <c r="C839" s="98"/>
      <c r="D839" s="98"/>
      <c r="E839" s="97"/>
      <c r="F839" s="97"/>
      <c r="G839" s="100"/>
      <c r="H839" s="110"/>
      <c r="I839" s="113"/>
      <c r="J839" s="113"/>
      <c r="K839" s="113"/>
      <c r="L839" s="113"/>
    </row>
    <row r="840">
      <c r="A840" s="97"/>
      <c r="B840" s="97"/>
      <c r="C840" s="98"/>
      <c r="D840" s="98"/>
      <c r="E840" s="97"/>
      <c r="F840" s="97"/>
      <c r="G840" s="100"/>
      <c r="H840" s="110"/>
      <c r="I840" s="113"/>
      <c r="J840" s="113"/>
      <c r="K840" s="113"/>
      <c r="L840" s="113"/>
    </row>
    <row r="841">
      <c r="A841" s="97"/>
      <c r="B841" s="97"/>
      <c r="C841" s="98"/>
      <c r="D841" s="98"/>
      <c r="E841" s="97"/>
      <c r="F841" s="97"/>
      <c r="G841" s="100"/>
      <c r="H841" s="110"/>
      <c r="I841" s="113"/>
      <c r="J841" s="113"/>
      <c r="K841" s="113"/>
      <c r="L841" s="113"/>
    </row>
    <row r="842">
      <c r="A842" s="97"/>
      <c r="B842" s="97"/>
      <c r="C842" s="98"/>
      <c r="D842" s="98"/>
      <c r="E842" s="97"/>
      <c r="F842" s="97"/>
      <c r="G842" s="100"/>
      <c r="H842" s="110"/>
      <c r="I842" s="113"/>
      <c r="J842" s="113"/>
      <c r="K842" s="113"/>
      <c r="L842" s="113"/>
    </row>
    <row r="843">
      <c r="A843" s="97"/>
      <c r="B843" s="97"/>
      <c r="C843" s="98"/>
      <c r="D843" s="98"/>
      <c r="E843" s="97"/>
      <c r="F843" s="97"/>
      <c r="G843" s="100"/>
      <c r="H843" s="110"/>
      <c r="I843" s="113"/>
      <c r="J843" s="113"/>
      <c r="K843" s="113"/>
      <c r="L843" s="113"/>
    </row>
    <row r="844">
      <c r="A844" s="97"/>
      <c r="B844" s="97"/>
      <c r="C844" s="98"/>
      <c r="D844" s="98"/>
      <c r="E844" s="97"/>
      <c r="F844" s="97"/>
      <c r="G844" s="100"/>
      <c r="H844" s="110"/>
      <c r="I844" s="113"/>
      <c r="J844" s="113"/>
      <c r="K844" s="113"/>
      <c r="L844" s="113"/>
    </row>
    <row r="845">
      <c r="A845" s="97"/>
      <c r="B845" s="97"/>
      <c r="C845" s="98"/>
      <c r="D845" s="98"/>
      <c r="E845" s="97"/>
      <c r="F845" s="97"/>
      <c r="G845" s="100"/>
      <c r="H845" s="110"/>
      <c r="I845" s="113"/>
      <c r="J845" s="113"/>
      <c r="K845" s="113"/>
      <c r="L845" s="113"/>
    </row>
    <row r="846">
      <c r="A846" s="97"/>
      <c r="B846" s="97"/>
      <c r="C846" s="98"/>
      <c r="D846" s="98"/>
      <c r="E846" s="97"/>
      <c r="F846" s="97"/>
      <c r="G846" s="100"/>
      <c r="H846" s="110"/>
      <c r="I846" s="113"/>
      <c r="J846" s="113"/>
      <c r="K846" s="113"/>
      <c r="L846" s="113"/>
    </row>
    <row r="847">
      <c r="A847" s="97"/>
      <c r="B847" s="97"/>
      <c r="C847" s="98"/>
      <c r="D847" s="98"/>
      <c r="E847" s="97"/>
      <c r="F847" s="97"/>
      <c r="G847" s="100"/>
      <c r="H847" s="110"/>
      <c r="I847" s="113"/>
      <c r="J847" s="113"/>
      <c r="K847" s="113"/>
      <c r="L847" s="113"/>
    </row>
    <row r="848">
      <c r="A848" s="97"/>
      <c r="B848" s="97"/>
      <c r="C848" s="98"/>
      <c r="D848" s="98"/>
      <c r="E848" s="97"/>
      <c r="F848" s="97"/>
      <c r="G848" s="100"/>
      <c r="H848" s="110"/>
      <c r="I848" s="113"/>
      <c r="J848" s="113"/>
      <c r="K848" s="113"/>
      <c r="L848" s="113"/>
    </row>
    <row r="849">
      <c r="A849" s="97"/>
      <c r="B849" s="97"/>
      <c r="C849" s="98"/>
      <c r="D849" s="98"/>
      <c r="E849" s="97"/>
      <c r="F849" s="97"/>
      <c r="G849" s="100"/>
      <c r="H849" s="110"/>
      <c r="I849" s="113"/>
      <c r="J849" s="113"/>
      <c r="K849" s="113"/>
      <c r="L849" s="113"/>
    </row>
    <row r="850">
      <c r="A850" s="97"/>
      <c r="B850" s="97"/>
      <c r="C850" s="98"/>
      <c r="D850" s="98"/>
      <c r="E850" s="97"/>
      <c r="F850" s="97"/>
      <c r="G850" s="100"/>
      <c r="H850" s="110"/>
      <c r="I850" s="113"/>
      <c r="J850" s="113"/>
      <c r="K850" s="113"/>
      <c r="L850" s="113"/>
    </row>
    <row r="851">
      <c r="A851" s="97"/>
      <c r="B851" s="97"/>
      <c r="C851" s="98"/>
      <c r="D851" s="98"/>
      <c r="E851" s="97"/>
      <c r="F851" s="97"/>
      <c r="G851" s="100"/>
      <c r="H851" s="110"/>
      <c r="I851" s="113"/>
      <c r="J851" s="113"/>
      <c r="K851" s="113"/>
      <c r="L851" s="113"/>
    </row>
    <row r="852">
      <c r="A852" s="97"/>
      <c r="B852" s="97"/>
      <c r="C852" s="98"/>
      <c r="D852" s="98"/>
      <c r="E852" s="97"/>
      <c r="F852" s="97"/>
      <c r="G852" s="100"/>
      <c r="H852" s="110"/>
      <c r="I852" s="113"/>
      <c r="J852" s="113"/>
      <c r="K852" s="113"/>
      <c r="L852" s="113"/>
    </row>
    <row r="853">
      <c r="A853" s="97"/>
      <c r="B853" s="97"/>
      <c r="C853" s="98"/>
      <c r="D853" s="98"/>
      <c r="E853" s="97"/>
      <c r="F853" s="97"/>
      <c r="G853" s="100"/>
      <c r="H853" s="110"/>
      <c r="I853" s="113"/>
      <c r="J853" s="113"/>
      <c r="K853" s="113"/>
      <c r="L853" s="113"/>
    </row>
    <row r="854">
      <c r="A854" s="97"/>
      <c r="B854" s="97"/>
      <c r="C854" s="98"/>
      <c r="D854" s="98"/>
      <c r="E854" s="97"/>
      <c r="F854" s="97"/>
      <c r="G854" s="100"/>
      <c r="H854" s="110"/>
      <c r="I854" s="113"/>
      <c r="J854" s="113"/>
      <c r="K854" s="113"/>
      <c r="L854" s="113"/>
    </row>
    <row r="855">
      <c r="A855" s="97"/>
      <c r="B855" s="97"/>
      <c r="C855" s="98"/>
      <c r="D855" s="98"/>
      <c r="E855" s="97"/>
      <c r="F855" s="97"/>
      <c r="G855" s="100"/>
      <c r="H855" s="110"/>
      <c r="I855" s="113"/>
      <c r="J855" s="113"/>
      <c r="K855" s="113"/>
      <c r="L855" s="113"/>
    </row>
    <row r="856">
      <c r="A856" s="97"/>
      <c r="B856" s="97"/>
      <c r="C856" s="98"/>
      <c r="D856" s="98"/>
      <c r="E856" s="97"/>
      <c r="F856" s="97"/>
      <c r="G856" s="100"/>
      <c r="H856" s="110"/>
      <c r="I856" s="113"/>
      <c r="J856" s="113"/>
      <c r="K856" s="113"/>
      <c r="L856" s="113"/>
    </row>
    <row r="857">
      <c r="A857" s="97"/>
      <c r="B857" s="97"/>
      <c r="C857" s="98"/>
      <c r="D857" s="98"/>
      <c r="E857" s="97"/>
      <c r="F857" s="97"/>
      <c r="G857" s="100"/>
      <c r="H857" s="110"/>
      <c r="I857" s="113"/>
      <c r="J857" s="113"/>
      <c r="K857" s="113"/>
      <c r="L857" s="113"/>
    </row>
    <row r="858">
      <c r="A858" s="97"/>
      <c r="B858" s="97"/>
      <c r="C858" s="98"/>
      <c r="D858" s="98"/>
      <c r="E858" s="97"/>
      <c r="F858" s="97"/>
      <c r="G858" s="100"/>
      <c r="H858" s="110"/>
      <c r="I858" s="113"/>
      <c r="J858" s="113"/>
      <c r="K858" s="113"/>
      <c r="L858" s="113"/>
    </row>
    <row r="859">
      <c r="A859" s="97"/>
      <c r="B859" s="97"/>
      <c r="C859" s="98"/>
      <c r="D859" s="98"/>
      <c r="E859" s="97"/>
      <c r="F859" s="97"/>
      <c r="G859" s="100"/>
      <c r="H859" s="110"/>
      <c r="I859" s="113"/>
      <c r="J859" s="113"/>
      <c r="K859" s="113"/>
      <c r="L859" s="113"/>
    </row>
    <row r="860">
      <c r="A860" s="97"/>
      <c r="B860" s="97"/>
      <c r="C860" s="98"/>
      <c r="D860" s="98"/>
      <c r="E860" s="97"/>
      <c r="F860" s="97"/>
      <c r="G860" s="100"/>
      <c r="H860" s="110"/>
      <c r="I860" s="113"/>
      <c r="J860" s="113"/>
      <c r="K860" s="113"/>
      <c r="L860" s="113"/>
    </row>
    <row r="861">
      <c r="A861" s="97"/>
      <c r="B861" s="97"/>
      <c r="C861" s="98"/>
      <c r="D861" s="98"/>
      <c r="E861" s="97"/>
      <c r="F861" s="97"/>
      <c r="G861" s="100"/>
      <c r="H861" s="110"/>
      <c r="I861" s="113"/>
      <c r="J861" s="113"/>
      <c r="K861" s="113"/>
      <c r="L861" s="113"/>
    </row>
    <row r="862">
      <c r="A862" s="97"/>
      <c r="B862" s="97"/>
      <c r="C862" s="98"/>
      <c r="D862" s="98"/>
      <c r="E862" s="97"/>
      <c r="F862" s="97"/>
      <c r="G862" s="100"/>
      <c r="H862" s="110"/>
      <c r="I862" s="113"/>
      <c r="J862" s="113"/>
      <c r="K862" s="113"/>
      <c r="L862" s="113"/>
    </row>
    <row r="863">
      <c r="A863" s="97"/>
      <c r="B863" s="97"/>
      <c r="C863" s="98"/>
      <c r="D863" s="98"/>
      <c r="E863" s="97"/>
      <c r="F863" s="97"/>
      <c r="G863" s="100"/>
      <c r="H863" s="110"/>
      <c r="I863" s="113"/>
      <c r="J863" s="113"/>
      <c r="K863" s="113"/>
      <c r="L863" s="113"/>
    </row>
    <row r="864">
      <c r="A864" s="97"/>
      <c r="B864" s="97"/>
      <c r="C864" s="98"/>
      <c r="D864" s="98"/>
      <c r="E864" s="97"/>
      <c r="F864" s="97"/>
      <c r="G864" s="100"/>
      <c r="H864" s="110"/>
      <c r="I864" s="113"/>
      <c r="J864" s="113"/>
      <c r="K864" s="113"/>
      <c r="L864" s="113"/>
    </row>
    <row r="865">
      <c r="A865" s="97"/>
      <c r="B865" s="97"/>
      <c r="C865" s="98"/>
      <c r="D865" s="98"/>
      <c r="E865" s="97"/>
      <c r="F865" s="97"/>
      <c r="G865" s="100"/>
      <c r="H865" s="110"/>
      <c r="I865" s="113"/>
      <c r="J865" s="113"/>
      <c r="K865" s="113"/>
      <c r="L865" s="113"/>
    </row>
    <row r="866">
      <c r="A866" s="97"/>
      <c r="B866" s="97"/>
      <c r="C866" s="98"/>
      <c r="D866" s="98"/>
      <c r="E866" s="97"/>
      <c r="F866" s="97"/>
      <c r="G866" s="100"/>
      <c r="H866" s="110"/>
      <c r="I866" s="113"/>
      <c r="J866" s="113"/>
      <c r="K866" s="113"/>
      <c r="L866" s="113"/>
    </row>
    <row r="867">
      <c r="A867" s="97"/>
      <c r="B867" s="97"/>
      <c r="C867" s="98"/>
      <c r="D867" s="98"/>
      <c r="E867" s="97"/>
      <c r="F867" s="97"/>
      <c r="G867" s="100"/>
      <c r="H867" s="110"/>
      <c r="I867" s="113"/>
      <c r="J867" s="113"/>
      <c r="K867" s="113"/>
      <c r="L867" s="113"/>
    </row>
    <row r="868">
      <c r="A868" s="97"/>
      <c r="B868" s="97"/>
      <c r="C868" s="98"/>
      <c r="D868" s="98"/>
      <c r="E868" s="97"/>
      <c r="F868" s="97"/>
      <c r="G868" s="100"/>
      <c r="H868" s="110"/>
      <c r="I868" s="113"/>
      <c r="J868" s="113"/>
      <c r="K868" s="113"/>
      <c r="L868" s="113"/>
    </row>
    <row r="869">
      <c r="A869" s="97"/>
      <c r="B869" s="97"/>
      <c r="C869" s="98"/>
      <c r="D869" s="98"/>
      <c r="E869" s="97"/>
      <c r="F869" s="97"/>
      <c r="G869" s="100"/>
      <c r="H869" s="110"/>
      <c r="I869" s="113"/>
      <c r="J869" s="113"/>
      <c r="K869" s="113"/>
      <c r="L869" s="113"/>
    </row>
    <row r="870">
      <c r="A870" s="97"/>
      <c r="B870" s="97"/>
      <c r="C870" s="98"/>
      <c r="D870" s="98"/>
      <c r="E870" s="97"/>
      <c r="F870" s="97"/>
      <c r="G870" s="100"/>
      <c r="H870" s="110"/>
      <c r="I870" s="113"/>
      <c r="J870" s="113"/>
      <c r="K870" s="113"/>
      <c r="L870" s="113"/>
    </row>
    <row r="871">
      <c r="A871" s="97"/>
      <c r="B871" s="97"/>
      <c r="C871" s="98"/>
      <c r="D871" s="98"/>
      <c r="E871" s="97"/>
      <c r="F871" s="97"/>
      <c r="G871" s="100"/>
      <c r="H871" s="110"/>
      <c r="I871" s="113"/>
      <c r="J871" s="113"/>
      <c r="K871" s="113"/>
      <c r="L871" s="113"/>
    </row>
    <row r="872">
      <c r="A872" s="97"/>
      <c r="B872" s="97"/>
      <c r="C872" s="98"/>
      <c r="D872" s="98"/>
      <c r="E872" s="97"/>
      <c r="F872" s="97"/>
      <c r="G872" s="100"/>
      <c r="H872" s="110"/>
      <c r="I872" s="113"/>
      <c r="J872" s="113"/>
      <c r="K872" s="113"/>
      <c r="L872" s="113"/>
    </row>
    <row r="873">
      <c r="A873" s="97"/>
      <c r="B873" s="97"/>
      <c r="C873" s="98"/>
      <c r="D873" s="98"/>
      <c r="E873" s="97"/>
      <c r="F873" s="97"/>
      <c r="G873" s="100"/>
      <c r="H873" s="110"/>
      <c r="I873" s="113"/>
      <c r="J873" s="113"/>
      <c r="K873" s="113"/>
      <c r="L873" s="113"/>
    </row>
    <row r="874">
      <c r="A874" s="97"/>
      <c r="B874" s="97"/>
      <c r="C874" s="98"/>
      <c r="D874" s="98"/>
      <c r="E874" s="97"/>
      <c r="F874" s="97"/>
      <c r="G874" s="100"/>
      <c r="H874" s="110"/>
      <c r="I874" s="113"/>
      <c r="J874" s="113"/>
      <c r="K874" s="113"/>
      <c r="L874" s="113"/>
    </row>
    <row r="875">
      <c r="A875" s="97"/>
      <c r="B875" s="97"/>
      <c r="C875" s="98"/>
      <c r="D875" s="98"/>
      <c r="E875" s="97"/>
      <c r="F875" s="97"/>
      <c r="G875" s="100"/>
      <c r="H875" s="110"/>
      <c r="I875" s="113"/>
      <c r="J875" s="113"/>
      <c r="K875" s="113"/>
      <c r="L875" s="113"/>
    </row>
    <row r="876">
      <c r="A876" s="97"/>
      <c r="B876" s="97"/>
      <c r="C876" s="98"/>
      <c r="D876" s="98"/>
      <c r="E876" s="97"/>
      <c r="F876" s="97"/>
      <c r="G876" s="100"/>
      <c r="H876" s="110"/>
      <c r="I876" s="113"/>
      <c r="J876" s="113"/>
      <c r="K876" s="113"/>
      <c r="L876" s="113"/>
    </row>
    <row r="877">
      <c r="A877" s="97"/>
      <c r="B877" s="97"/>
      <c r="C877" s="98"/>
      <c r="D877" s="98"/>
      <c r="E877" s="97"/>
      <c r="F877" s="97"/>
      <c r="G877" s="100"/>
      <c r="H877" s="110"/>
      <c r="I877" s="113"/>
      <c r="J877" s="113"/>
      <c r="K877" s="113"/>
      <c r="L877" s="113"/>
    </row>
    <row r="878">
      <c r="A878" s="97"/>
      <c r="B878" s="97"/>
      <c r="C878" s="98"/>
      <c r="D878" s="98"/>
      <c r="E878" s="97"/>
      <c r="F878" s="97"/>
      <c r="G878" s="100"/>
      <c r="H878" s="110"/>
      <c r="I878" s="113"/>
      <c r="J878" s="113"/>
      <c r="K878" s="113"/>
      <c r="L878" s="113"/>
    </row>
    <row r="879">
      <c r="A879" s="97"/>
      <c r="B879" s="97"/>
      <c r="C879" s="98"/>
      <c r="D879" s="98"/>
      <c r="E879" s="97"/>
      <c r="F879" s="97"/>
      <c r="G879" s="100"/>
      <c r="H879" s="110"/>
      <c r="I879" s="113"/>
      <c r="J879" s="113"/>
      <c r="K879" s="113"/>
      <c r="L879" s="113"/>
    </row>
    <row r="880">
      <c r="A880" s="97"/>
      <c r="B880" s="97"/>
      <c r="C880" s="98"/>
      <c r="D880" s="98"/>
      <c r="E880" s="97"/>
      <c r="F880" s="97"/>
      <c r="G880" s="100"/>
      <c r="H880" s="110"/>
      <c r="I880" s="113"/>
      <c r="J880" s="113"/>
      <c r="K880" s="113"/>
      <c r="L880" s="113"/>
    </row>
    <row r="881">
      <c r="A881" s="97"/>
      <c r="B881" s="97"/>
      <c r="C881" s="98"/>
      <c r="D881" s="98"/>
      <c r="E881" s="97"/>
      <c r="F881" s="97"/>
      <c r="G881" s="100"/>
      <c r="H881" s="110"/>
      <c r="I881" s="113"/>
      <c r="J881" s="113"/>
      <c r="K881" s="113"/>
      <c r="L881" s="113"/>
    </row>
    <row r="882">
      <c r="A882" s="97"/>
      <c r="B882" s="97"/>
      <c r="C882" s="98"/>
      <c r="D882" s="98"/>
      <c r="E882" s="97"/>
      <c r="F882" s="97"/>
      <c r="G882" s="100"/>
      <c r="H882" s="110"/>
      <c r="I882" s="113"/>
      <c r="J882" s="113"/>
      <c r="K882" s="113"/>
      <c r="L882" s="113"/>
    </row>
    <row r="883">
      <c r="A883" s="97"/>
      <c r="B883" s="97"/>
      <c r="C883" s="98"/>
      <c r="D883" s="98"/>
      <c r="E883" s="97"/>
      <c r="F883" s="97"/>
      <c r="G883" s="100"/>
      <c r="H883" s="110"/>
      <c r="I883" s="113"/>
      <c r="J883" s="113"/>
      <c r="K883" s="113"/>
      <c r="L883" s="113"/>
    </row>
    <row r="884">
      <c r="A884" s="97"/>
      <c r="B884" s="97"/>
      <c r="C884" s="98"/>
      <c r="D884" s="98"/>
      <c r="E884" s="97"/>
      <c r="F884" s="97"/>
      <c r="G884" s="100"/>
      <c r="H884" s="110"/>
      <c r="I884" s="113"/>
      <c r="J884" s="113"/>
      <c r="K884" s="113"/>
      <c r="L884" s="113"/>
    </row>
    <row r="885">
      <c r="A885" s="97"/>
      <c r="B885" s="97"/>
      <c r="C885" s="98"/>
      <c r="D885" s="98"/>
      <c r="E885" s="97"/>
      <c r="F885" s="97"/>
      <c r="G885" s="100"/>
      <c r="H885" s="110"/>
      <c r="I885" s="113"/>
      <c r="J885" s="113"/>
      <c r="K885" s="113"/>
      <c r="L885" s="113"/>
    </row>
    <row r="886">
      <c r="A886" s="97"/>
      <c r="B886" s="97"/>
      <c r="C886" s="98"/>
      <c r="D886" s="98"/>
      <c r="E886" s="97"/>
      <c r="F886" s="97"/>
      <c r="G886" s="100"/>
      <c r="H886" s="110"/>
      <c r="I886" s="113"/>
      <c r="J886" s="113"/>
      <c r="K886" s="113"/>
      <c r="L886" s="113"/>
    </row>
    <row r="887">
      <c r="A887" s="97"/>
      <c r="B887" s="97"/>
      <c r="C887" s="98"/>
      <c r="D887" s="98"/>
      <c r="E887" s="97"/>
      <c r="F887" s="97"/>
      <c r="G887" s="100"/>
      <c r="H887" s="110"/>
      <c r="I887" s="113"/>
      <c r="J887" s="113"/>
      <c r="K887" s="113"/>
      <c r="L887" s="113"/>
    </row>
    <row r="888">
      <c r="A888" s="97"/>
      <c r="B888" s="97"/>
      <c r="C888" s="98"/>
      <c r="D888" s="98"/>
      <c r="E888" s="97"/>
      <c r="F888" s="97"/>
      <c r="G888" s="100"/>
      <c r="H888" s="110"/>
      <c r="I888" s="113"/>
      <c r="J888" s="113"/>
      <c r="K888" s="113"/>
      <c r="L888" s="113"/>
    </row>
    <row r="889">
      <c r="A889" s="97"/>
      <c r="B889" s="97"/>
      <c r="C889" s="98"/>
      <c r="D889" s="98"/>
      <c r="E889" s="97"/>
      <c r="F889" s="97"/>
      <c r="G889" s="100"/>
      <c r="H889" s="110"/>
      <c r="I889" s="113"/>
      <c r="J889" s="113"/>
      <c r="K889" s="113"/>
      <c r="L889" s="113"/>
    </row>
    <row r="890">
      <c r="A890" s="97"/>
      <c r="B890" s="97"/>
      <c r="C890" s="98"/>
      <c r="D890" s="98"/>
      <c r="E890" s="97"/>
      <c r="F890" s="97"/>
      <c r="G890" s="100"/>
      <c r="H890" s="110"/>
      <c r="I890" s="113"/>
      <c r="J890" s="113"/>
      <c r="K890" s="113"/>
      <c r="L890" s="113"/>
    </row>
    <row r="891">
      <c r="A891" s="97"/>
      <c r="B891" s="97"/>
      <c r="C891" s="98"/>
      <c r="D891" s="98"/>
      <c r="E891" s="97"/>
      <c r="F891" s="97"/>
      <c r="G891" s="100"/>
      <c r="H891" s="110"/>
      <c r="I891" s="113"/>
      <c r="J891" s="113"/>
      <c r="K891" s="113"/>
      <c r="L891" s="113"/>
    </row>
    <row r="892">
      <c r="A892" s="97"/>
      <c r="B892" s="97"/>
      <c r="C892" s="98"/>
      <c r="D892" s="98"/>
      <c r="E892" s="97"/>
      <c r="F892" s="97"/>
      <c r="G892" s="100"/>
      <c r="H892" s="110"/>
      <c r="I892" s="113"/>
      <c r="J892" s="113"/>
      <c r="K892" s="113"/>
      <c r="L892" s="113"/>
    </row>
    <row r="893">
      <c r="A893" s="97"/>
      <c r="B893" s="97"/>
      <c r="C893" s="98"/>
      <c r="D893" s="98"/>
      <c r="E893" s="97"/>
      <c r="F893" s="97"/>
      <c r="G893" s="100"/>
      <c r="H893" s="110"/>
      <c r="I893" s="113"/>
      <c r="J893" s="113"/>
      <c r="K893" s="113"/>
      <c r="L893" s="113"/>
    </row>
    <row r="894">
      <c r="A894" s="97"/>
      <c r="B894" s="97"/>
      <c r="C894" s="98"/>
      <c r="D894" s="98"/>
      <c r="E894" s="97"/>
      <c r="F894" s="97"/>
      <c r="G894" s="100"/>
      <c r="H894" s="110"/>
      <c r="I894" s="113"/>
      <c r="J894" s="113"/>
      <c r="K894" s="113"/>
      <c r="L894" s="113"/>
    </row>
    <row r="895">
      <c r="A895" s="97"/>
      <c r="B895" s="97"/>
      <c r="C895" s="98"/>
      <c r="D895" s="98"/>
      <c r="E895" s="97"/>
      <c r="F895" s="97"/>
      <c r="G895" s="100"/>
      <c r="H895" s="110"/>
      <c r="I895" s="113"/>
      <c r="J895" s="113"/>
      <c r="K895" s="113"/>
      <c r="L895" s="113"/>
    </row>
    <row r="896">
      <c r="A896" s="97"/>
      <c r="B896" s="97"/>
      <c r="C896" s="98"/>
      <c r="D896" s="98"/>
      <c r="E896" s="97"/>
      <c r="F896" s="97"/>
      <c r="G896" s="100"/>
      <c r="H896" s="110"/>
      <c r="I896" s="113"/>
      <c r="J896" s="113"/>
      <c r="K896" s="113"/>
      <c r="L896" s="113"/>
    </row>
    <row r="897">
      <c r="A897" s="97"/>
      <c r="B897" s="97"/>
      <c r="C897" s="98"/>
      <c r="D897" s="98"/>
      <c r="E897" s="97"/>
      <c r="F897" s="97"/>
      <c r="G897" s="100"/>
      <c r="H897" s="110"/>
      <c r="I897" s="113"/>
      <c r="J897" s="113"/>
      <c r="K897" s="113"/>
      <c r="L897" s="113"/>
    </row>
    <row r="898">
      <c r="A898" s="97"/>
      <c r="B898" s="97"/>
      <c r="C898" s="98"/>
      <c r="D898" s="98"/>
      <c r="E898" s="97"/>
      <c r="F898" s="97"/>
      <c r="G898" s="100"/>
      <c r="H898" s="110"/>
      <c r="I898" s="113"/>
      <c r="J898" s="113"/>
      <c r="K898" s="113"/>
      <c r="L898" s="113"/>
    </row>
    <row r="899">
      <c r="A899" s="97"/>
      <c r="B899" s="97"/>
      <c r="C899" s="98"/>
      <c r="D899" s="98"/>
      <c r="E899" s="97"/>
      <c r="F899" s="97"/>
      <c r="G899" s="100"/>
      <c r="H899" s="110"/>
      <c r="I899" s="113"/>
      <c r="J899" s="113"/>
      <c r="K899" s="113"/>
      <c r="L899" s="113"/>
    </row>
    <row r="900">
      <c r="A900" s="97"/>
      <c r="B900" s="97"/>
      <c r="C900" s="98"/>
      <c r="D900" s="98"/>
      <c r="E900" s="97"/>
      <c r="F900" s="97"/>
      <c r="G900" s="100"/>
      <c r="H900" s="110"/>
      <c r="I900" s="113"/>
      <c r="J900" s="113"/>
      <c r="K900" s="113"/>
      <c r="L900" s="113"/>
    </row>
    <row r="901">
      <c r="A901" s="97"/>
      <c r="B901" s="97"/>
      <c r="C901" s="98"/>
      <c r="D901" s="98"/>
      <c r="E901" s="97"/>
      <c r="F901" s="97"/>
      <c r="G901" s="100"/>
      <c r="H901" s="110"/>
      <c r="I901" s="113"/>
      <c r="J901" s="113"/>
      <c r="K901" s="113"/>
      <c r="L901" s="113"/>
    </row>
    <row r="902">
      <c r="A902" s="97"/>
      <c r="B902" s="97"/>
      <c r="C902" s="98"/>
      <c r="D902" s="98"/>
      <c r="E902" s="97"/>
      <c r="F902" s="97"/>
      <c r="G902" s="100"/>
      <c r="H902" s="110"/>
      <c r="I902" s="113"/>
      <c r="J902" s="113"/>
      <c r="K902" s="113"/>
      <c r="L902" s="113"/>
    </row>
    <row r="903">
      <c r="A903" s="97"/>
      <c r="B903" s="97"/>
      <c r="C903" s="98"/>
      <c r="D903" s="98"/>
      <c r="E903" s="97"/>
      <c r="F903" s="97"/>
      <c r="G903" s="100"/>
      <c r="H903" s="110"/>
      <c r="I903" s="113"/>
      <c r="J903" s="113"/>
      <c r="K903" s="113"/>
      <c r="L903" s="113"/>
    </row>
    <row r="904">
      <c r="A904" s="97"/>
      <c r="B904" s="97"/>
      <c r="C904" s="98"/>
      <c r="D904" s="98"/>
      <c r="E904" s="97"/>
      <c r="F904" s="97"/>
      <c r="G904" s="100"/>
      <c r="H904" s="110"/>
      <c r="I904" s="113"/>
      <c r="J904" s="113"/>
      <c r="K904" s="113"/>
      <c r="L904" s="113"/>
    </row>
    <row r="905">
      <c r="A905" s="97"/>
      <c r="B905" s="97"/>
      <c r="C905" s="98"/>
      <c r="D905" s="98"/>
      <c r="E905" s="97"/>
      <c r="F905" s="97"/>
      <c r="G905" s="100"/>
      <c r="H905" s="110"/>
      <c r="I905" s="113"/>
      <c r="J905" s="113"/>
      <c r="K905" s="113"/>
      <c r="L905" s="113"/>
    </row>
    <row r="906">
      <c r="A906" s="97"/>
      <c r="B906" s="97"/>
      <c r="C906" s="98"/>
      <c r="D906" s="98"/>
      <c r="E906" s="97"/>
      <c r="F906" s="97"/>
      <c r="G906" s="100"/>
      <c r="H906" s="110"/>
      <c r="I906" s="113"/>
      <c r="J906" s="113"/>
      <c r="K906" s="113"/>
      <c r="L906" s="113"/>
    </row>
    <row r="907">
      <c r="A907" s="97"/>
      <c r="B907" s="97"/>
      <c r="C907" s="98"/>
      <c r="D907" s="98"/>
      <c r="E907" s="97"/>
      <c r="F907" s="97"/>
      <c r="G907" s="100"/>
      <c r="H907" s="110"/>
      <c r="I907" s="113"/>
      <c r="J907" s="113"/>
      <c r="K907" s="113"/>
      <c r="L907" s="113"/>
    </row>
    <row r="908">
      <c r="A908" s="97"/>
      <c r="B908" s="97"/>
      <c r="C908" s="98"/>
      <c r="D908" s="98"/>
      <c r="E908" s="97"/>
      <c r="F908" s="97"/>
      <c r="G908" s="100"/>
      <c r="H908" s="110"/>
      <c r="I908" s="113"/>
      <c r="J908" s="113"/>
      <c r="K908" s="113"/>
      <c r="L908" s="113"/>
    </row>
    <row r="909">
      <c r="A909" s="97"/>
      <c r="B909" s="97"/>
      <c r="C909" s="98"/>
      <c r="D909" s="98"/>
      <c r="E909" s="97"/>
      <c r="F909" s="97"/>
      <c r="G909" s="100"/>
      <c r="H909" s="110"/>
      <c r="I909" s="113"/>
      <c r="J909" s="113"/>
      <c r="K909" s="113"/>
      <c r="L909" s="113"/>
    </row>
    <row r="910">
      <c r="A910" s="97"/>
      <c r="B910" s="97"/>
      <c r="C910" s="98"/>
      <c r="D910" s="98"/>
      <c r="E910" s="97"/>
      <c r="F910" s="97"/>
      <c r="G910" s="100"/>
      <c r="H910" s="110"/>
      <c r="I910" s="113"/>
      <c r="J910" s="113"/>
      <c r="K910" s="113"/>
      <c r="L910" s="113"/>
    </row>
    <row r="911">
      <c r="A911" s="97"/>
      <c r="B911" s="97"/>
      <c r="C911" s="98"/>
      <c r="D911" s="98"/>
      <c r="E911" s="97"/>
      <c r="F911" s="97"/>
      <c r="G911" s="100"/>
      <c r="H911" s="110"/>
      <c r="I911" s="113"/>
      <c r="J911" s="113"/>
      <c r="K911" s="113"/>
      <c r="L911" s="113"/>
    </row>
    <row r="912">
      <c r="A912" s="97"/>
      <c r="B912" s="97"/>
      <c r="C912" s="98"/>
      <c r="D912" s="98"/>
      <c r="E912" s="97"/>
      <c r="F912" s="97"/>
      <c r="G912" s="100"/>
      <c r="H912" s="110"/>
      <c r="I912" s="113"/>
      <c r="J912" s="113"/>
      <c r="K912" s="113"/>
      <c r="L912" s="113"/>
    </row>
    <row r="913">
      <c r="A913" s="97"/>
      <c r="B913" s="97"/>
      <c r="C913" s="98"/>
      <c r="D913" s="98"/>
      <c r="E913" s="97"/>
      <c r="F913" s="97"/>
      <c r="G913" s="100"/>
      <c r="H913" s="110"/>
      <c r="I913" s="113"/>
      <c r="J913" s="113"/>
      <c r="K913" s="113"/>
      <c r="L913" s="113"/>
    </row>
    <row r="914">
      <c r="A914" s="97"/>
      <c r="B914" s="97"/>
      <c r="C914" s="98"/>
      <c r="D914" s="98"/>
      <c r="E914" s="97"/>
      <c r="F914" s="97"/>
      <c r="G914" s="100"/>
      <c r="H914" s="110"/>
      <c r="I914" s="113"/>
      <c r="J914" s="113"/>
      <c r="K914" s="113"/>
      <c r="L914" s="113"/>
    </row>
    <row r="915">
      <c r="A915" s="97"/>
      <c r="B915" s="97"/>
      <c r="C915" s="98"/>
      <c r="D915" s="98"/>
      <c r="E915" s="97"/>
      <c r="F915" s="97"/>
      <c r="G915" s="100"/>
      <c r="H915" s="110"/>
      <c r="I915" s="113"/>
      <c r="J915" s="113"/>
      <c r="K915" s="113"/>
      <c r="L915" s="113"/>
    </row>
    <row r="916">
      <c r="A916" s="97"/>
      <c r="B916" s="97"/>
      <c r="C916" s="98"/>
      <c r="D916" s="98"/>
      <c r="E916" s="97"/>
      <c r="F916" s="97"/>
      <c r="G916" s="100"/>
      <c r="H916" s="110"/>
      <c r="I916" s="113"/>
      <c r="J916" s="113"/>
      <c r="K916" s="113"/>
      <c r="L916" s="113"/>
    </row>
    <row r="917">
      <c r="A917" s="97"/>
      <c r="B917" s="97"/>
      <c r="C917" s="98"/>
      <c r="D917" s="98"/>
      <c r="E917" s="97"/>
      <c r="F917" s="97"/>
      <c r="G917" s="100"/>
      <c r="H917" s="110"/>
      <c r="I917" s="113"/>
      <c r="J917" s="113"/>
      <c r="K917" s="113"/>
      <c r="L917" s="113"/>
    </row>
    <row r="918">
      <c r="A918" s="97"/>
      <c r="B918" s="97"/>
      <c r="C918" s="98"/>
      <c r="D918" s="98"/>
      <c r="E918" s="97"/>
      <c r="F918" s="97"/>
      <c r="G918" s="100"/>
      <c r="H918" s="110"/>
      <c r="I918" s="113"/>
      <c r="J918" s="113"/>
      <c r="K918" s="113"/>
      <c r="L918" s="113"/>
    </row>
    <row r="919">
      <c r="A919" s="97"/>
      <c r="B919" s="97"/>
      <c r="C919" s="98"/>
      <c r="D919" s="98"/>
      <c r="E919" s="97"/>
      <c r="F919" s="97"/>
      <c r="G919" s="100"/>
      <c r="H919" s="110"/>
      <c r="I919" s="113"/>
      <c r="J919" s="113"/>
      <c r="K919" s="113"/>
      <c r="L919" s="113"/>
    </row>
    <row r="920">
      <c r="A920" s="97"/>
      <c r="B920" s="97"/>
      <c r="C920" s="98"/>
      <c r="D920" s="98"/>
      <c r="E920" s="97"/>
      <c r="F920" s="97"/>
      <c r="G920" s="100"/>
      <c r="H920" s="110"/>
      <c r="I920" s="113"/>
      <c r="J920" s="113"/>
      <c r="K920" s="113"/>
      <c r="L920" s="113"/>
    </row>
    <row r="921">
      <c r="A921" s="97"/>
      <c r="B921" s="97"/>
      <c r="C921" s="98"/>
      <c r="D921" s="98"/>
      <c r="E921" s="97"/>
      <c r="F921" s="97"/>
      <c r="G921" s="100"/>
      <c r="H921" s="110"/>
      <c r="I921" s="113"/>
      <c r="J921" s="113"/>
      <c r="K921" s="113"/>
      <c r="L921" s="113"/>
    </row>
    <row r="922">
      <c r="A922" s="97"/>
      <c r="B922" s="97"/>
      <c r="C922" s="98"/>
      <c r="D922" s="98"/>
      <c r="E922" s="97"/>
      <c r="F922" s="97"/>
      <c r="G922" s="100"/>
      <c r="H922" s="110"/>
      <c r="I922" s="113"/>
      <c r="J922" s="113"/>
      <c r="K922" s="113"/>
      <c r="L922" s="113"/>
    </row>
    <row r="923">
      <c r="A923" s="97"/>
      <c r="B923" s="97"/>
      <c r="C923" s="98"/>
      <c r="D923" s="98"/>
      <c r="E923" s="97"/>
      <c r="F923" s="97"/>
      <c r="G923" s="100"/>
      <c r="H923" s="110"/>
      <c r="I923" s="113"/>
      <c r="J923" s="113"/>
      <c r="K923" s="113"/>
      <c r="L923" s="113"/>
    </row>
    <row r="924">
      <c r="A924" s="97"/>
      <c r="B924" s="97"/>
      <c r="C924" s="98"/>
      <c r="D924" s="98"/>
      <c r="E924" s="97"/>
      <c r="F924" s="97"/>
      <c r="G924" s="100"/>
      <c r="H924" s="110"/>
      <c r="I924" s="113"/>
      <c r="J924" s="113"/>
      <c r="K924" s="113"/>
      <c r="L924" s="113"/>
    </row>
    <row r="925">
      <c r="A925" s="97"/>
      <c r="B925" s="97"/>
      <c r="C925" s="98"/>
      <c r="D925" s="98"/>
      <c r="E925" s="97"/>
      <c r="F925" s="97"/>
      <c r="G925" s="100"/>
      <c r="H925" s="110"/>
      <c r="I925" s="113"/>
      <c r="J925" s="113"/>
      <c r="K925" s="113"/>
      <c r="L925" s="113"/>
    </row>
    <row r="926">
      <c r="A926" s="97"/>
      <c r="B926" s="97"/>
      <c r="C926" s="98"/>
      <c r="D926" s="98"/>
      <c r="E926" s="97"/>
      <c r="F926" s="97"/>
      <c r="G926" s="100"/>
      <c r="H926" s="110"/>
      <c r="I926" s="113"/>
      <c r="J926" s="113"/>
      <c r="K926" s="113"/>
      <c r="L926" s="113"/>
    </row>
    <row r="927">
      <c r="A927" s="97"/>
      <c r="B927" s="97"/>
      <c r="C927" s="98"/>
      <c r="D927" s="98"/>
      <c r="E927" s="97"/>
      <c r="F927" s="97"/>
      <c r="G927" s="100"/>
      <c r="H927" s="110"/>
      <c r="I927" s="113"/>
      <c r="J927" s="113"/>
      <c r="K927" s="113"/>
      <c r="L927" s="113"/>
    </row>
    <row r="928">
      <c r="A928" s="97"/>
      <c r="B928" s="97"/>
      <c r="C928" s="98"/>
      <c r="D928" s="98"/>
      <c r="E928" s="97"/>
      <c r="F928" s="97"/>
      <c r="G928" s="100"/>
      <c r="H928" s="110"/>
      <c r="I928" s="113"/>
      <c r="J928" s="113"/>
      <c r="K928" s="113"/>
      <c r="L928" s="113"/>
    </row>
    <row r="929">
      <c r="A929" s="97"/>
      <c r="B929" s="97"/>
      <c r="C929" s="98"/>
      <c r="D929" s="98"/>
      <c r="E929" s="97"/>
      <c r="F929" s="97"/>
      <c r="G929" s="100"/>
      <c r="H929" s="110"/>
      <c r="I929" s="113"/>
      <c r="J929" s="113"/>
      <c r="K929" s="113"/>
      <c r="L929" s="113"/>
    </row>
    <row r="930">
      <c r="A930" s="97"/>
      <c r="B930" s="97"/>
      <c r="C930" s="98"/>
      <c r="D930" s="98"/>
      <c r="E930" s="97"/>
      <c r="F930" s="97"/>
      <c r="G930" s="100"/>
      <c r="H930" s="110"/>
      <c r="I930" s="113"/>
      <c r="J930" s="113"/>
      <c r="K930" s="113"/>
      <c r="L930" s="113"/>
    </row>
    <row r="931">
      <c r="A931" s="97"/>
      <c r="B931" s="97"/>
      <c r="C931" s="98"/>
      <c r="D931" s="98"/>
      <c r="E931" s="97"/>
      <c r="F931" s="97"/>
      <c r="G931" s="100"/>
      <c r="H931" s="110"/>
      <c r="I931" s="113"/>
      <c r="J931" s="113"/>
      <c r="K931" s="113"/>
      <c r="L931" s="113"/>
    </row>
    <row r="932">
      <c r="A932" s="97"/>
      <c r="B932" s="97"/>
      <c r="C932" s="98"/>
      <c r="D932" s="98"/>
      <c r="E932" s="97"/>
      <c r="F932" s="97"/>
      <c r="G932" s="100"/>
      <c r="H932" s="110"/>
      <c r="I932" s="113"/>
      <c r="J932" s="113"/>
      <c r="K932" s="113"/>
      <c r="L932" s="113"/>
    </row>
    <row r="933">
      <c r="A933" s="97"/>
      <c r="B933" s="97"/>
      <c r="C933" s="98"/>
      <c r="D933" s="98"/>
      <c r="E933" s="97"/>
      <c r="F933" s="97"/>
      <c r="G933" s="100"/>
      <c r="H933" s="110"/>
      <c r="I933" s="113"/>
      <c r="J933" s="113"/>
      <c r="K933" s="113"/>
      <c r="L933" s="113"/>
    </row>
    <row r="934">
      <c r="A934" s="97"/>
      <c r="B934" s="97"/>
      <c r="C934" s="98"/>
      <c r="D934" s="98"/>
      <c r="E934" s="97"/>
      <c r="F934" s="97"/>
      <c r="G934" s="100"/>
      <c r="H934" s="110"/>
      <c r="I934" s="113"/>
      <c r="J934" s="113"/>
      <c r="K934" s="113"/>
      <c r="L934" s="113"/>
    </row>
    <row r="935">
      <c r="A935" s="97"/>
      <c r="B935" s="97"/>
      <c r="C935" s="98"/>
      <c r="D935" s="98"/>
      <c r="E935" s="97"/>
      <c r="F935" s="97"/>
      <c r="G935" s="100"/>
      <c r="H935" s="110"/>
      <c r="I935" s="113"/>
      <c r="J935" s="113"/>
      <c r="K935" s="113"/>
      <c r="L935" s="113"/>
    </row>
    <row r="936">
      <c r="A936" s="97"/>
      <c r="B936" s="97"/>
      <c r="C936" s="98"/>
      <c r="D936" s="98"/>
      <c r="E936" s="97"/>
      <c r="F936" s="97"/>
      <c r="G936" s="100"/>
      <c r="H936" s="110"/>
      <c r="I936" s="113"/>
      <c r="J936" s="113"/>
      <c r="K936" s="113"/>
      <c r="L936" s="113"/>
    </row>
    <row r="937">
      <c r="A937" s="97"/>
      <c r="B937" s="97"/>
      <c r="C937" s="98"/>
      <c r="D937" s="98"/>
      <c r="E937" s="97"/>
      <c r="F937" s="97"/>
      <c r="G937" s="100"/>
      <c r="H937" s="110"/>
      <c r="I937" s="113"/>
      <c r="J937" s="113"/>
      <c r="K937" s="113"/>
      <c r="L937" s="113"/>
    </row>
    <row r="938">
      <c r="A938" s="97"/>
      <c r="B938" s="97"/>
      <c r="C938" s="98"/>
      <c r="D938" s="98"/>
      <c r="E938" s="97"/>
      <c r="F938" s="97"/>
      <c r="G938" s="100"/>
      <c r="H938" s="110"/>
      <c r="I938" s="113"/>
      <c r="J938" s="113"/>
      <c r="K938" s="113"/>
      <c r="L938" s="113"/>
    </row>
    <row r="939">
      <c r="A939" s="97"/>
      <c r="B939" s="97"/>
      <c r="C939" s="98"/>
      <c r="D939" s="98"/>
      <c r="E939" s="97"/>
      <c r="F939" s="97"/>
      <c r="G939" s="100"/>
      <c r="H939" s="110"/>
      <c r="I939" s="113"/>
      <c r="J939" s="113"/>
      <c r="K939" s="113"/>
      <c r="L939" s="113"/>
    </row>
    <row r="940">
      <c r="A940" s="97"/>
      <c r="B940" s="97"/>
      <c r="C940" s="98"/>
      <c r="D940" s="98"/>
      <c r="E940" s="97"/>
      <c r="F940" s="97"/>
      <c r="G940" s="100"/>
      <c r="H940" s="110"/>
      <c r="I940" s="113"/>
      <c r="J940" s="113"/>
      <c r="K940" s="113"/>
      <c r="L940" s="113"/>
    </row>
    <row r="941">
      <c r="A941" s="97"/>
      <c r="B941" s="97"/>
      <c r="C941" s="98"/>
      <c r="D941" s="98"/>
      <c r="E941" s="97"/>
      <c r="F941" s="97"/>
      <c r="G941" s="100"/>
      <c r="H941" s="110"/>
      <c r="I941" s="113"/>
      <c r="J941" s="113"/>
      <c r="K941" s="113"/>
      <c r="L941" s="113"/>
    </row>
    <row r="942">
      <c r="A942" s="97"/>
      <c r="B942" s="97"/>
      <c r="C942" s="98"/>
      <c r="D942" s="98"/>
      <c r="E942" s="97"/>
      <c r="F942" s="97"/>
      <c r="G942" s="100"/>
      <c r="H942" s="110"/>
      <c r="I942" s="113"/>
      <c r="J942" s="113"/>
      <c r="K942" s="113"/>
      <c r="L942" s="113"/>
    </row>
    <row r="943">
      <c r="A943" s="97"/>
      <c r="B943" s="97"/>
      <c r="C943" s="98"/>
      <c r="D943" s="98"/>
      <c r="E943" s="97"/>
      <c r="F943" s="97"/>
      <c r="G943" s="100"/>
      <c r="H943" s="110"/>
      <c r="I943" s="113"/>
      <c r="J943" s="113"/>
      <c r="K943" s="113"/>
      <c r="L943" s="113"/>
    </row>
    <row r="944">
      <c r="A944" s="97"/>
      <c r="B944" s="97"/>
      <c r="C944" s="98"/>
      <c r="D944" s="98"/>
      <c r="E944" s="97"/>
      <c r="F944" s="97"/>
      <c r="G944" s="100"/>
      <c r="H944" s="110"/>
      <c r="I944" s="113"/>
      <c r="J944" s="113"/>
      <c r="K944" s="113"/>
      <c r="L944" s="113"/>
    </row>
    <row r="945">
      <c r="A945" s="97"/>
      <c r="B945" s="97"/>
      <c r="C945" s="98"/>
      <c r="D945" s="98"/>
      <c r="E945" s="97"/>
      <c r="F945" s="97"/>
      <c r="G945" s="100"/>
      <c r="H945" s="110"/>
      <c r="I945" s="113"/>
      <c r="J945" s="113"/>
      <c r="K945" s="113"/>
      <c r="L945" s="113"/>
    </row>
    <row r="946">
      <c r="A946" s="97"/>
      <c r="B946" s="97"/>
      <c r="C946" s="98"/>
      <c r="D946" s="98"/>
      <c r="E946" s="97"/>
      <c r="F946" s="97"/>
      <c r="G946" s="100"/>
      <c r="H946" s="110"/>
      <c r="I946" s="113"/>
      <c r="J946" s="113"/>
      <c r="K946" s="113"/>
      <c r="L946" s="113"/>
    </row>
    <row r="947">
      <c r="A947" s="97"/>
      <c r="B947" s="97"/>
      <c r="C947" s="98"/>
      <c r="D947" s="98"/>
      <c r="E947" s="97"/>
      <c r="F947" s="97"/>
      <c r="G947" s="100"/>
      <c r="H947" s="110"/>
      <c r="I947" s="113"/>
      <c r="J947" s="113"/>
      <c r="K947" s="113"/>
      <c r="L947" s="113"/>
    </row>
    <row r="948">
      <c r="A948" s="97"/>
      <c r="B948" s="97"/>
      <c r="C948" s="98"/>
      <c r="D948" s="98"/>
      <c r="E948" s="97"/>
      <c r="F948" s="97"/>
      <c r="G948" s="100"/>
      <c r="H948" s="110"/>
      <c r="I948" s="113"/>
      <c r="J948" s="113"/>
      <c r="K948" s="113"/>
      <c r="L948" s="113"/>
    </row>
    <row r="949">
      <c r="A949" s="97"/>
      <c r="B949" s="97"/>
      <c r="C949" s="98"/>
      <c r="D949" s="98"/>
      <c r="E949" s="97"/>
      <c r="F949" s="97"/>
      <c r="G949" s="100"/>
      <c r="H949" s="110"/>
      <c r="I949" s="113"/>
      <c r="J949" s="113"/>
      <c r="K949" s="113"/>
      <c r="L949" s="113"/>
    </row>
    <row r="950">
      <c r="A950" s="97"/>
      <c r="B950" s="97"/>
      <c r="C950" s="98"/>
      <c r="D950" s="98"/>
      <c r="E950" s="97"/>
      <c r="F950" s="97"/>
      <c r="G950" s="100"/>
      <c r="H950" s="110"/>
      <c r="I950" s="113"/>
      <c r="J950" s="113"/>
      <c r="K950" s="113"/>
      <c r="L950" s="113"/>
    </row>
    <row r="951">
      <c r="A951" s="97"/>
      <c r="B951" s="97"/>
      <c r="C951" s="98"/>
      <c r="D951" s="98"/>
      <c r="E951" s="97"/>
      <c r="F951" s="97"/>
      <c r="G951" s="100"/>
      <c r="H951" s="110"/>
      <c r="I951" s="113"/>
      <c r="J951" s="113"/>
      <c r="K951" s="113"/>
      <c r="L951" s="113"/>
    </row>
    <row r="952">
      <c r="A952" s="97"/>
      <c r="B952" s="97"/>
      <c r="C952" s="98"/>
      <c r="D952" s="98"/>
      <c r="E952" s="97"/>
      <c r="F952" s="97"/>
      <c r="G952" s="100"/>
      <c r="H952" s="110"/>
      <c r="I952" s="113"/>
      <c r="J952" s="113"/>
      <c r="K952" s="113"/>
      <c r="L952" s="113"/>
    </row>
    <row r="953">
      <c r="A953" s="97"/>
      <c r="B953" s="97"/>
      <c r="C953" s="98"/>
      <c r="D953" s="98"/>
      <c r="E953" s="97"/>
      <c r="F953" s="97"/>
      <c r="G953" s="100"/>
      <c r="H953" s="110"/>
      <c r="I953" s="113"/>
      <c r="J953" s="113"/>
      <c r="K953" s="113"/>
      <c r="L953" s="113"/>
    </row>
    <row r="954">
      <c r="A954" s="97"/>
      <c r="B954" s="97"/>
      <c r="C954" s="98"/>
      <c r="D954" s="98"/>
      <c r="E954" s="97"/>
      <c r="F954" s="97"/>
      <c r="G954" s="100"/>
      <c r="H954" s="110"/>
      <c r="I954" s="113"/>
      <c r="J954" s="113"/>
      <c r="K954" s="113"/>
      <c r="L954" s="113"/>
    </row>
    <row r="955">
      <c r="A955" s="97"/>
      <c r="B955" s="97"/>
      <c r="C955" s="98"/>
      <c r="D955" s="98"/>
      <c r="E955" s="97"/>
      <c r="F955" s="97"/>
      <c r="G955" s="100"/>
      <c r="H955" s="110"/>
      <c r="I955" s="113"/>
      <c r="J955" s="113"/>
      <c r="K955" s="113"/>
      <c r="L955" s="113"/>
    </row>
    <row r="956">
      <c r="A956" s="97"/>
      <c r="B956" s="97"/>
      <c r="C956" s="98"/>
      <c r="D956" s="98"/>
      <c r="E956" s="97"/>
      <c r="F956" s="97"/>
      <c r="G956" s="100"/>
      <c r="H956" s="110"/>
      <c r="I956" s="113"/>
      <c r="J956" s="113"/>
      <c r="K956" s="113"/>
      <c r="L956" s="113"/>
    </row>
    <row r="957">
      <c r="A957" s="97"/>
      <c r="B957" s="97"/>
      <c r="C957" s="98"/>
      <c r="D957" s="98"/>
      <c r="E957" s="97"/>
      <c r="F957" s="97"/>
      <c r="G957" s="100"/>
      <c r="H957" s="110"/>
      <c r="I957" s="113"/>
      <c r="J957" s="113"/>
      <c r="K957" s="113"/>
      <c r="L957" s="113"/>
    </row>
    <row r="958">
      <c r="A958" s="97"/>
      <c r="B958" s="97"/>
      <c r="C958" s="98"/>
      <c r="D958" s="98"/>
      <c r="E958" s="97"/>
      <c r="F958" s="97"/>
      <c r="G958" s="100"/>
      <c r="H958" s="110"/>
      <c r="I958" s="113"/>
      <c r="J958" s="113"/>
      <c r="K958" s="113"/>
      <c r="L958" s="113"/>
    </row>
    <row r="959">
      <c r="A959" s="97"/>
      <c r="B959" s="97"/>
      <c r="C959" s="98"/>
      <c r="D959" s="98"/>
      <c r="E959" s="97"/>
      <c r="F959" s="97"/>
      <c r="G959" s="100"/>
      <c r="H959" s="110"/>
      <c r="I959" s="113"/>
      <c r="J959" s="113"/>
      <c r="K959" s="113"/>
      <c r="L959" s="113"/>
    </row>
    <row r="960">
      <c r="A960" s="97"/>
      <c r="B960" s="97"/>
      <c r="C960" s="98"/>
      <c r="D960" s="98"/>
      <c r="E960" s="97"/>
      <c r="F960" s="97"/>
      <c r="G960" s="100"/>
      <c r="H960" s="110"/>
      <c r="I960" s="113"/>
      <c r="J960" s="113"/>
      <c r="K960" s="113"/>
      <c r="L960" s="113"/>
    </row>
    <row r="961">
      <c r="A961" s="97"/>
      <c r="B961" s="97"/>
      <c r="C961" s="98"/>
      <c r="D961" s="98"/>
      <c r="E961" s="97"/>
      <c r="F961" s="97"/>
      <c r="G961" s="100"/>
      <c r="H961" s="110"/>
      <c r="I961" s="113"/>
      <c r="J961" s="113"/>
      <c r="K961" s="113"/>
      <c r="L961" s="113"/>
    </row>
    <row r="962">
      <c r="A962" s="97"/>
      <c r="B962" s="97"/>
      <c r="C962" s="98"/>
      <c r="D962" s="98"/>
      <c r="E962" s="97"/>
      <c r="F962" s="97"/>
      <c r="G962" s="100"/>
      <c r="H962" s="110"/>
      <c r="I962" s="113"/>
      <c r="J962" s="113"/>
      <c r="K962" s="113"/>
      <c r="L962" s="113"/>
    </row>
    <row r="963">
      <c r="A963" s="97"/>
      <c r="B963" s="97"/>
      <c r="C963" s="98"/>
      <c r="D963" s="98"/>
      <c r="E963" s="97"/>
      <c r="F963" s="97"/>
      <c r="G963" s="100"/>
      <c r="H963" s="110"/>
      <c r="I963" s="113"/>
      <c r="J963" s="113"/>
      <c r="K963" s="113"/>
      <c r="L963" s="113"/>
    </row>
    <row r="964">
      <c r="A964" s="97"/>
      <c r="B964" s="97"/>
      <c r="C964" s="98"/>
      <c r="D964" s="98"/>
      <c r="E964" s="97"/>
      <c r="F964" s="97"/>
      <c r="G964" s="100"/>
      <c r="H964" s="110"/>
      <c r="I964" s="113"/>
      <c r="J964" s="113"/>
      <c r="K964" s="113"/>
      <c r="L964" s="113"/>
    </row>
    <row r="965">
      <c r="A965" s="97"/>
      <c r="B965" s="97"/>
      <c r="C965" s="98"/>
      <c r="D965" s="98"/>
      <c r="E965" s="97"/>
      <c r="F965" s="97"/>
      <c r="G965" s="100"/>
      <c r="H965" s="110"/>
      <c r="I965" s="113"/>
      <c r="J965" s="113"/>
      <c r="K965" s="113"/>
      <c r="L965" s="113"/>
    </row>
    <row r="966">
      <c r="A966" s="97"/>
      <c r="B966" s="97"/>
      <c r="C966" s="98"/>
      <c r="D966" s="98"/>
      <c r="E966" s="97"/>
      <c r="F966" s="97"/>
      <c r="G966" s="100"/>
      <c r="H966" s="110"/>
      <c r="I966" s="113"/>
      <c r="J966" s="113"/>
      <c r="K966" s="113"/>
      <c r="L966" s="113"/>
    </row>
    <row r="967">
      <c r="A967" s="97"/>
      <c r="B967" s="97"/>
      <c r="C967" s="98"/>
      <c r="D967" s="98"/>
      <c r="E967" s="97"/>
      <c r="F967" s="97"/>
      <c r="G967" s="100"/>
      <c r="H967" s="110"/>
      <c r="I967" s="113"/>
      <c r="J967" s="113"/>
      <c r="K967" s="113"/>
      <c r="L967" s="113"/>
    </row>
    <row r="968">
      <c r="A968" s="97"/>
      <c r="B968" s="97"/>
      <c r="C968" s="98"/>
      <c r="D968" s="98"/>
      <c r="E968" s="97"/>
      <c r="F968" s="97"/>
      <c r="G968" s="100"/>
      <c r="H968" s="110"/>
      <c r="I968" s="113"/>
      <c r="J968" s="113"/>
      <c r="K968" s="113"/>
      <c r="L968" s="113"/>
    </row>
    <row r="969">
      <c r="A969" s="97"/>
      <c r="B969" s="97"/>
      <c r="C969" s="98"/>
      <c r="D969" s="98"/>
      <c r="E969" s="97"/>
      <c r="F969" s="97"/>
      <c r="G969" s="100"/>
      <c r="H969" s="110"/>
      <c r="I969" s="113"/>
      <c r="J969" s="113"/>
      <c r="K969" s="113"/>
      <c r="L969" s="113"/>
    </row>
    <row r="970">
      <c r="A970" s="97"/>
      <c r="B970" s="97"/>
      <c r="C970" s="98"/>
      <c r="D970" s="98"/>
      <c r="E970" s="97"/>
      <c r="F970" s="97"/>
      <c r="G970" s="100"/>
      <c r="H970" s="110"/>
      <c r="I970" s="113"/>
      <c r="J970" s="113"/>
      <c r="K970" s="113"/>
      <c r="L970" s="113"/>
    </row>
    <row r="971">
      <c r="A971" s="97"/>
      <c r="B971" s="97"/>
      <c r="C971" s="98"/>
      <c r="D971" s="98"/>
      <c r="E971" s="97"/>
      <c r="F971" s="97"/>
      <c r="G971" s="100"/>
      <c r="H971" s="110"/>
      <c r="I971" s="113"/>
      <c r="J971" s="113"/>
      <c r="K971" s="113"/>
      <c r="L971" s="113"/>
    </row>
    <row r="972">
      <c r="A972" s="97"/>
      <c r="B972" s="97"/>
      <c r="C972" s="98"/>
      <c r="D972" s="98"/>
      <c r="E972" s="97"/>
      <c r="F972" s="97"/>
      <c r="G972" s="100"/>
      <c r="H972" s="110"/>
      <c r="I972" s="113"/>
      <c r="J972" s="113"/>
      <c r="K972" s="113"/>
      <c r="L972" s="113"/>
    </row>
    <row r="973">
      <c r="A973" s="97"/>
      <c r="B973" s="97"/>
      <c r="C973" s="98"/>
      <c r="D973" s="98"/>
      <c r="E973" s="97"/>
      <c r="F973" s="97"/>
      <c r="G973" s="100"/>
      <c r="H973" s="110"/>
      <c r="I973" s="113"/>
      <c r="J973" s="113"/>
      <c r="K973" s="113"/>
      <c r="L973" s="113"/>
    </row>
    <row r="974">
      <c r="A974" s="97"/>
      <c r="B974" s="97"/>
      <c r="C974" s="98"/>
      <c r="D974" s="98"/>
      <c r="E974" s="97"/>
      <c r="F974" s="97"/>
      <c r="G974" s="100"/>
      <c r="H974" s="110"/>
      <c r="I974" s="113"/>
      <c r="J974" s="113"/>
      <c r="K974" s="113"/>
      <c r="L974" s="113"/>
    </row>
    <row r="975">
      <c r="A975" s="97"/>
      <c r="B975" s="97"/>
      <c r="C975" s="98"/>
      <c r="D975" s="98"/>
      <c r="E975" s="97"/>
      <c r="F975" s="97"/>
      <c r="G975" s="100"/>
      <c r="H975" s="110"/>
      <c r="I975" s="113"/>
      <c r="J975" s="113"/>
      <c r="K975" s="113"/>
      <c r="L975" s="113"/>
    </row>
    <row r="976">
      <c r="A976" s="97"/>
      <c r="B976" s="97"/>
      <c r="C976" s="98"/>
      <c r="D976" s="98"/>
      <c r="E976" s="97"/>
      <c r="F976" s="97"/>
      <c r="G976" s="100"/>
      <c r="H976" s="110"/>
      <c r="I976" s="113"/>
      <c r="J976" s="113"/>
      <c r="K976" s="113"/>
      <c r="L976" s="113"/>
    </row>
    <row r="977">
      <c r="A977" s="97"/>
      <c r="B977" s="97"/>
      <c r="C977" s="98"/>
      <c r="D977" s="98"/>
      <c r="E977" s="97"/>
      <c r="F977" s="97"/>
      <c r="G977" s="100"/>
      <c r="H977" s="110"/>
      <c r="I977" s="113"/>
      <c r="J977" s="113"/>
      <c r="K977" s="113"/>
      <c r="L977" s="113"/>
    </row>
    <row r="978">
      <c r="A978" s="97"/>
      <c r="B978" s="97"/>
      <c r="C978" s="98"/>
      <c r="D978" s="98"/>
      <c r="E978" s="97"/>
      <c r="F978" s="97"/>
      <c r="G978" s="100"/>
      <c r="H978" s="110"/>
      <c r="I978" s="113"/>
      <c r="J978" s="113"/>
      <c r="K978" s="113"/>
      <c r="L978" s="113"/>
    </row>
    <row r="979">
      <c r="A979" s="97"/>
      <c r="B979" s="97"/>
      <c r="C979" s="98"/>
      <c r="D979" s="98"/>
      <c r="E979" s="97"/>
      <c r="F979" s="97"/>
      <c r="G979" s="100"/>
      <c r="H979" s="110"/>
      <c r="I979" s="113"/>
      <c r="J979" s="113"/>
      <c r="K979" s="113"/>
      <c r="L979" s="113"/>
    </row>
    <row r="980">
      <c r="A980" s="97"/>
      <c r="B980" s="97"/>
      <c r="C980" s="98"/>
      <c r="D980" s="98"/>
      <c r="E980" s="97"/>
      <c r="F980" s="97"/>
      <c r="G980" s="100"/>
      <c r="H980" s="110"/>
      <c r="I980" s="113"/>
      <c r="J980" s="113"/>
      <c r="K980" s="113"/>
      <c r="L980" s="113"/>
    </row>
    <row r="981">
      <c r="A981" s="97"/>
      <c r="B981" s="97"/>
      <c r="C981" s="98"/>
      <c r="D981" s="98"/>
      <c r="E981" s="97"/>
      <c r="F981" s="97"/>
      <c r="G981" s="100"/>
      <c r="H981" s="110"/>
      <c r="I981" s="113"/>
      <c r="J981" s="113"/>
      <c r="K981" s="113"/>
      <c r="L981" s="113"/>
    </row>
    <row r="982">
      <c r="A982" s="97"/>
      <c r="B982" s="97"/>
      <c r="C982" s="98"/>
      <c r="D982" s="98"/>
      <c r="E982" s="97"/>
      <c r="F982" s="97"/>
      <c r="G982" s="100"/>
      <c r="H982" s="110"/>
      <c r="I982" s="113"/>
      <c r="J982" s="113"/>
      <c r="K982" s="113"/>
      <c r="L982" s="113"/>
    </row>
    <row r="983">
      <c r="A983" s="97"/>
      <c r="B983" s="97"/>
      <c r="C983" s="98"/>
      <c r="D983" s="98"/>
      <c r="E983" s="97"/>
      <c r="F983" s="97"/>
      <c r="G983" s="100"/>
      <c r="H983" s="110"/>
      <c r="I983" s="113"/>
      <c r="J983" s="113"/>
      <c r="K983" s="113"/>
      <c r="L983" s="113"/>
    </row>
    <row r="984">
      <c r="A984" s="97"/>
      <c r="B984" s="97"/>
      <c r="C984" s="98"/>
      <c r="D984" s="98"/>
      <c r="E984" s="97"/>
      <c r="F984" s="97"/>
      <c r="G984" s="100"/>
      <c r="H984" s="110"/>
      <c r="I984" s="113"/>
      <c r="J984" s="113"/>
      <c r="K984" s="113"/>
      <c r="L984" s="113"/>
    </row>
    <row r="985">
      <c r="A985" s="97"/>
      <c r="B985" s="97"/>
      <c r="C985" s="98"/>
      <c r="D985" s="98"/>
      <c r="E985" s="97"/>
      <c r="F985" s="97"/>
      <c r="G985" s="100"/>
      <c r="H985" s="110"/>
      <c r="I985" s="113"/>
      <c r="J985" s="113"/>
      <c r="K985" s="113"/>
      <c r="L985" s="113"/>
    </row>
    <row r="986">
      <c r="A986" s="97"/>
      <c r="B986" s="97"/>
      <c r="C986" s="98"/>
      <c r="D986" s="98"/>
      <c r="E986" s="97"/>
      <c r="F986" s="97"/>
      <c r="G986" s="100"/>
      <c r="H986" s="110"/>
      <c r="I986" s="113"/>
      <c r="J986" s="113"/>
      <c r="K986" s="113"/>
      <c r="L986" s="113"/>
    </row>
    <row r="987">
      <c r="A987" s="97"/>
      <c r="B987" s="97"/>
      <c r="C987" s="98"/>
      <c r="D987" s="98"/>
      <c r="E987" s="97"/>
      <c r="F987" s="97"/>
      <c r="G987" s="100"/>
      <c r="H987" s="110"/>
      <c r="I987" s="113"/>
      <c r="J987" s="113"/>
      <c r="K987" s="113"/>
      <c r="L987" s="113"/>
    </row>
    <row r="988">
      <c r="A988" s="97"/>
      <c r="B988" s="97"/>
      <c r="C988" s="98"/>
      <c r="D988" s="98"/>
      <c r="E988" s="97"/>
      <c r="F988" s="97"/>
      <c r="G988" s="100"/>
      <c r="H988" s="110"/>
      <c r="I988" s="113"/>
      <c r="J988" s="113"/>
      <c r="K988" s="113"/>
      <c r="L988" s="113"/>
    </row>
    <row r="989">
      <c r="A989" s="97"/>
      <c r="B989" s="97"/>
      <c r="C989" s="98"/>
      <c r="D989" s="98"/>
      <c r="E989" s="97"/>
      <c r="F989" s="97"/>
      <c r="G989" s="100"/>
      <c r="H989" s="110"/>
      <c r="I989" s="113"/>
      <c r="J989" s="113"/>
      <c r="K989" s="113"/>
      <c r="L989" s="113"/>
    </row>
    <row r="990">
      <c r="A990" s="97"/>
      <c r="B990" s="97"/>
      <c r="C990" s="98"/>
      <c r="D990" s="98"/>
      <c r="E990" s="97"/>
      <c r="F990" s="97"/>
      <c r="G990" s="100"/>
      <c r="H990" s="110"/>
      <c r="I990" s="113"/>
      <c r="J990" s="113"/>
      <c r="K990" s="113"/>
      <c r="L990" s="113"/>
    </row>
    <row r="991">
      <c r="A991" s="97"/>
      <c r="B991" s="97"/>
      <c r="C991" s="98"/>
      <c r="D991" s="98"/>
      <c r="E991" s="97"/>
      <c r="F991" s="97"/>
      <c r="G991" s="100"/>
      <c r="H991" s="110"/>
      <c r="I991" s="113"/>
      <c r="J991" s="113"/>
      <c r="K991" s="113"/>
      <c r="L991" s="113"/>
    </row>
    <row r="992">
      <c r="A992" s="97"/>
      <c r="B992" s="97"/>
      <c r="C992" s="98"/>
      <c r="D992" s="98"/>
      <c r="E992" s="97"/>
      <c r="F992" s="97"/>
      <c r="G992" s="100"/>
      <c r="H992" s="110"/>
      <c r="I992" s="113"/>
      <c r="J992" s="113"/>
      <c r="K992" s="113"/>
      <c r="L992" s="113"/>
    </row>
    <row r="993">
      <c r="A993" s="97"/>
      <c r="B993" s="97"/>
      <c r="C993" s="98"/>
      <c r="D993" s="98"/>
      <c r="E993" s="97"/>
      <c r="F993" s="97"/>
      <c r="G993" s="100"/>
      <c r="H993" s="110"/>
      <c r="I993" s="113"/>
      <c r="J993" s="113"/>
      <c r="K993" s="113"/>
      <c r="L993" s="113"/>
    </row>
    <row r="994">
      <c r="A994" s="97"/>
      <c r="B994" s="97"/>
      <c r="C994" s="98"/>
      <c r="D994" s="98"/>
      <c r="E994" s="97"/>
      <c r="F994" s="97"/>
      <c r="G994" s="100"/>
      <c r="H994" s="110"/>
      <c r="I994" s="113"/>
      <c r="J994" s="113"/>
      <c r="K994" s="113"/>
      <c r="L994" s="113"/>
    </row>
    <row r="995">
      <c r="A995" s="97"/>
      <c r="B995" s="97"/>
      <c r="C995" s="98"/>
      <c r="D995" s="98"/>
      <c r="E995" s="97"/>
      <c r="F995" s="97"/>
      <c r="G995" s="100"/>
      <c r="H995" s="110"/>
      <c r="I995" s="113"/>
      <c r="J995" s="113"/>
      <c r="K995" s="113"/>
      <c r="L995" s="113"/>
    </row>
    <row r="996">
      <c r="A996" s="97"/>
      <c r="B996" s="97"/>
      <c r="C996" s="98"/>
      <c r="D996" s="98"/>
      <c r="E996" s="97"/>
      <c r="F996" s="97"/>
      <c r="G996" s="100"/>
      <c r="H996" s="110"/>
      <c r="I996" s="113"/>
      <c r="J996" s="113"/>
      <c r="K996" s="113"/>
      <c r="L996" s="113"/>
    </row>
    <row r="997">
      <c r="A997" s="97"/>
      <c r="B997" s="97"/>
      <c r="C997" s="98"/>
      <c r="D997" s="98"/>
      <c r="E997" s="97"/>
      <c r="F997" s="97"/>
      <c r="G997" s="100"/>
      <c r="H997" s="110"/>
      <c r="I997" s="113"/>
      <c r="J997" s="113"/>
      <c r="K997" s="113"/>
      <c r="L997" s="113"/>
    </row>
    <row r="998">
      <c r="A998" s="97"/>
      <c r="B998" s="97"/>
      <c r="C998" s="98"/>
      <c r="D998" s="98"/>
      <c r="E998" s="97"/>
      <c r="F998" s="97"/>
      <c r="G998" s="100"/>
      <c r="H998" s="110"/>
      <c r="I998" s="113"/>
      <c r="J998" s="113"/>
      <c r="K998" s="113"/>
      <c r="L998" s="113"/>
    </row>
    <row r="999">
      <c r="A999" s="97"/>
      <c r="B999" s="97"/>
      <c r="C999" s="98"/>
      <c r="D999" s="98"/>
      <c r="E999" s="97"/>
      <c r="F999" s="97"/>
      <c r="G999" s="100"/>
      <c r="H999" s="110"/>
      <c r="I999" s="113"/>
      <c r="J999" s="113"/>
      <c r="K999" s="113"/>
      <c r="L999" s="113"/>
    </row>
    <row r="1000">
      <c r="A1000" s="97"/>
      <c r="B1000" s="97"/>
      <c r="C1000" s="98"/>
      <c r="D1000" s="98"/>
      <c r="E1000" s="97"/>
      <c r="F1000" s="97"/>
      <c r="G1000" s="100"/>
      <c r="H1000" s="110"/>
      <c r="I1000" s="113"/>
      <c r="J1000" s="113"/>
      <c r="K1000" s="113"/>
      <c r="L1000" s="113"/>
    </row>
    <row r="1001">
      <c r="A1001" s="97"/>
      <c r="B1001" s="97"/>
      <c r="C1001" s="98"/>
      <c r="D1001" s="98"/>
      <c r="E1001" s="97"/>
      <c r="F1001" s="97"/>
      <c r="G1001" s="100"/>
      <c r="H1001" s="110"/>
      <c r="I1001" s="113"/>
      <c r="J1001" s="113"/>
      <c r="K1001" s="113"/>
      <c r="L1001" s="113"/>
    </row>
    <row r="1002">
      <c r="A1002" s="97"/>
      <c r="B1002" s="97"/>
      <c r="C1002" s="98"/>
      <c r="D1002" s="98"/>
      <c r="E1002" s="97"/>
      <c r="F1002" s="97"/>
      <c r="G1002" s="100"/>
      <c r="H1002" s="110"/>
      <c r="I1002" s="113"/>
      <c r="J1002" s="113"/>
      <c r="K1002" s="113"/>
      <c r="L1002" s="113"/>
    </row>
    <row r="1003">
      <c r="A1003" s="97"/>
      <c r="B1003" s="97"/>
      <c r="C1003" s="98"/>
      <c r="D1003" s="98"/>
      <c r="E1003" s="97"/>
      <c r="F1003" s="97"/>
      <c r="G1003" s="100"/>
      <c r="H1003" s="110"/>
      <c r="I1003" s="113"/>
      <c r="J1003" s="113"/>
      <c r="K1003" s="113"/>
      <c r="L1003" s="113"/>
    </row>
    <row r="1004">
      <c r="A1004" s="97"/>
      <c r="B1004" s="97"/>
      <c r="C1004" s="98"/>
      <c r="D1004" s="98"/>
      <c r="E1004" s="97"/>
      <c r="F1004" s="97"/>
      <c r="G1004" s="100"/>
      <c r="H1004" s="110"/>
      <c r="I1004" s="113"/>
      <c r="J1004" s="113"/>
      <c r="K1004" s="113"/>
      <c r="L1004" s="113"/>
    </row>
    <row r="1005">
      <c r="A1005" s="97"/>
      <c r="B1005" s="97"/>
      <c r="C1005" s="98"/>
      <c r="D1005" s="98"/>
      <c r="E1005" s="97"/>
      <c r="F1005" s="97"/>
      <c r="G1005" s="100"/>
      <c r="H1005" s="110"/>
      <c r="I1005" s="113"/>
      <c r="J1005" s="113"/>
      <c r="K1005" s="113"/>
      <c r="L1005" s="113"/>
    </row>
    <row r="1006">
      <c r="A1006" s="97"/>
      <c r="B1006" s="97"/>
      <c r="C1006" s="98"/>
      <c r="D1006" s="98"/>
      <c r="E1006" s="97"/>
      <c r="F1006" s="97"/>
      <c r="G1006" s="100"/>
      <c r="H1006" s="110"/>
      <c r="I1006" s="113"/>
      <c r="J1006" s="113"/>
      <c r="K1006" s="113"/>
      <c r="L1006" s="113"/>
    </row>
    <row r="1007">
      <c r="A1007" s="97"/>
      <c r="B1007" s="97"/>
      <c r="C1007" s="98"/>
      <c r="D1007" s="98"/>
      <c r="E1007" s="97"/>
      <c r="F1007" s="97"/>
      <c r="G1007" s="100"/>
      <c r="H1007" s="110"/>
      <c r="I1007" s="113"/>
      <c r="J1007" s="113"/>
      <c r="K1007" s="113"/>
      <c r="L1007" s="113"/>
    </row>
    <row r="1008">
      <c r="A1008" s="97"/>
      <c r="B1008" s="97"/>
      <c r="C1008" s="98"/>
      <c r="D1008" s="98"/>
      <c r="E1008" s="97"/>
      <c r="F1008" s="97"/>
      <c r="G1008" s="100"/>
      <c r="H1008" s="110"/>
      <c r="I1008" s="113"/>
      <c r="J1008" s="113"/>
      <c r="K1008" s="113"/>
      <c r="L1008" s="113"/>
    </row>
    <row r="1009">
      <c r="A1009" s="97"/>
      <c r="B1009" s="97"/>
      <c r="C1009" s="98"/>
      <c r="D1009" s="98"/>
      <c r="E1009" s="97"/>
      <c r="F1009" s="97"/>
      <c r="G1009" s="100"/>
      <c r="H1009" s="110"/>
      <c r="I1009" s="113"/>
      <c r="J1009" s="113"/>
      <c r="K1009" s="113"/>
      <c r="L1009" s="113"/>
    </row>
    <row r="1010">
      <c r="A1010" s="97"/>
      <c r="B1010" s="97"/>
      <c r="C1010" s="98"/>
      <c r="D1010" s="98"/>
      <c r="E1010" s="97"/>
      <c r="F1010" s="97"/>
      <c r="G1010" s="100"/>
      <c r="H1010" s="110"/>
      <c r="I1010" s="113"/>
      <c r="J1010" s="113"/>
      <c r="K1010" s="113"/>
      <c r="L1010" s="113"/>
    </row>
    <row r="1011">
      <c r="A1011" s="97"/>
      <c r="B1011" s="97"/>
      <c r="C1011" s="98"/>
      <c r="D1011" s="98"/>
      <c r="E1011" s="97"/>
      <c r="F1011" s="97"/>
      <c r="G1011" s="100"/>
      <c r="H1011" s="110"/>
      <c r="I1011" s="113"/>
      <c r="J1011" s="113"/>
      <c r="K1011" s="113"/>
      <c r="L1011" s="113"/>
    </row>
    <row r="1012">
      <c r="A1012" s="97"/>
      <c r="B1012" s="97"/>
      <c r="C1012" s="98"/>
      <c r="D1012" s="98"/>
      <c r="E1012" s="97"/>
      <c r="F1012" s="97"/>
      <c r="G1012" s="100"/>
      <c r="H1012" s="110"/>
      <c r="I1012" s="113"/>
      <c r="J1012" s="113"/>
      <c r="K1012" s="113"/>
      <c r="L1012" s="113"/>
    </row>
    <row r="1013">
      <c r="A1013" s="97"/>
      <c r="B1013" s="97"/>
      <c r="C1013" s="98"/>
      <c r="D1013" s="98"/>
      <c r="E1013" s="97"/>
      <c r="F1013" s="97"/>
      <c r="G1013" s="100"/>
      <c r="H1013" s="110"/>
      <c r="I1013" s="113"/>
      <c r="J1013" s="113"/>
      <c r="K1013" s="113"/>
      <c r="L1013" s="113"/>
    </row>
    <row r="1014">
      <c r="A1014" s="97"/>
      <c r="B1014" s="97"/>
      <c r="C1014" s="98"/>
      <c r="D1014" s="98"/>
      <c r="E1014" s="97"/>
      <c r="F1014" s="97"/>
      <c r="G1014" s="100"/>
      <c r="H1014" s="110"/>
      <c r="I1014" s="113"/>
      <c r="J1014" s="113"/>
      <c r="K1014" s="113"/>
      <c r="L1014" s="113"/>
    </row>
    <row r="1015">
      <c r="A1015" s="97"/>
      <c r="B1015" s="97"/>
      <c r="C1015" s="98"/>
      <c r="D1015" s="98"/>
      <c r="E1015" s="97"/>
      <c r="F1015" s="97"/>
      <c r="G1015" s="100"/>
      <c r="H1015" s="110"/>
      <c r="I1015" s="113"/>
      <c r="J1015" s="113"/>
      <c r="K1015" s="113"/>
      <c r="L1015" s="113"/>
    </row>
    <row r="1016">
      <c r="A1016" s="97"/>
      <c r="B1016" s="97"/>
      <c r="C1016" s="98"/>
      <c r="D1016" s="98"/>
      <c r="E1016" s="97"/>
      <c r="F1016" s="97"/>
      <c r="G1016" s="100"/>
      <c r="H1016" s="110"/>
      <c r="I1016" s="113"/>
      <c r="J1016" s="113"/>
      <c r="K1016" s="113"/>
      <c r="L1016" s="113"/>
    </row>
    <row r="1017">
      <c r="A1017" s="97"/>
      <c r="B1017" s="97"/>
      <c r="C1017" s="98"/>
      <c r="D1017" s="98"/>
      <c r="E1017" s="97"/>
      <c r="F1017" s="97"/>
      <c r="G1017" s="100"/>
      <c r="H1017" s="110"/>
      <c r="I1017" s="113"/>
      <c r="J1017" s="113"/>
      <c r="K1017" s="113"/>
      <c r="L1017" s="113"/>
    </row>
    <row r="1018">
      <c r="A1018" s="97"/>
      <c r="B1018" s="97"/>
      <c r="C1018" s="98"/>
      <c r="D1018" s="98"/>
      <c r="E1018" s="97"/>
      <c r="F1018" s="97"/>
      <c r="G1018" s="100"/>
      <c r="H1018" s="110"/>
      <c r="I1018" s="113"/>
      <c r="J1018" s="113"/>
      <c r="K1018" s="113"/>
      <c r="L1018" s="113"/>
    </row>
    <row r="1019">
      <c r="A1019" s="97"/>
      <c r="B1019" s="97"/>
      <c r="C1019" s="98"/>
      <c r="D1019" s="98"/>
      <c r="E1019" s="97"/>
      <c r="F1019" s="97"/>
      <c r="G1019" s="100"/>
      <c r="H1019" s="110"/>
      <c r="I1019" s="113"/>
      <c r="J1019" s="113"/>
      <c r="K1019" s="113"/>
      <c r="L1019" s="113"/>
    </row>
    <row r="1020">
      <c r="A1020" s="97"/>
      <c r="B1020" s="97"/>
      <c r="C1020" s="98"/>
      <c r="D1020" s="98"/>
      <c r="E1020" s="97"/>
      <c r="F1020" s="97"/>
      <c r="G1020" s="100"/>
      <c r="H1020" s="110"/>
      <c r="I1020" s="113"/>
      <c r="J1020" s="113"/>
      <c r="K1020" s="113"/>
      <c r="L1020" s="113"/>
    </row>
    <row r="1021">
      <c r="A1021" s="97"/>
      <c r="B1021" s="97"/>
      <c r="C1021" s="98"/>
      <c r="D1021" s="98"/>
      <c r="E1021" s="97"/>
      <c r="F1021" s="97"/>
      <c r="G1021" s="100"/>
      <c r="H1021" s="110"/>
      <c r="I1021" s="113"/>
      <c r="J1021" s="113"/>
      <c r="K1021" s="113"/>
      <c r="L1021" s="113"/>
    </row>
    <row r="1022">
      <c r="A1022" s="97"/>
      <c r="B1022" s="97"/>
      <c r="C1022" s="98"/>
      <c r="D1022" s="98"/>
      <c r="E1022" s="97"/>
      <c r="F1022" s="97"/>
      <c r="G1022" s="100"/>
      <c r="H1022" s="110"/>
      <c r="I1022" s="113"/>
      <c r="J1022" s="113"/>
      <c r="K1022" s="113"/>
      <c r="L1022" s="113"/>
    </row>
    <row r="1023">
      <c r="A1023" s="97"/>
      <c r="B1023" s="97"/>
      <c r="C1023" s="98"/>
      <c r="D1023" s="98"/>
      <c r="E1023" s="97"/>
      <c r="F1023" s="97"/>
      <c r="G1023" s="100"/>
      <c r="H1023" s="110"/>
      <c r="I1023" s="113"/>
      <c r="J1023" s="113"/>
      <c r="K1023" s="113"/>
      <c r="L1023" s="113"/>
    </row>
    <row r="1024">
      <c r="A1024" s="97"/>
      <c r="B1024" s="97"/>
      <c r="C1024" s="98"/>
      <c r="D1024" s="98"/>
      <c r="E1024" s="97"/>
      <c r="F1024" s="97"/>
      <c r="G1024" s="100"/>
      <c r="H1024" s="110"/>
      <c r="I1024" s="113"/>
      <c r="J1024" s="113"/>
      <c r="K1024" s="113"/>
      <c r="L1024" s="113"/>
    </row>
    <row r="1025">
      <c r="A1025" s="97"/>
      <c r="B1025" s="97"/>
      <c r="C1025" s="98"/>
      <c r="D1025" s="98"/>
      <c r="E1025" s="97"/>
      <c r="F1025" s="97"/>
      <c r="G1025" s="100"/>
      <c r="H1025" s="110"/>
      <c r="I1025" s="113"/>
      <c r="J1025" s="113"/>
      <c r="K1025" s="113"/>
      <c r="L1025" s="113"/>
    </row>
    <row r="1026">
      <c r="A1026" s="97"/>
      <c r="B1026" s="97"/>
      <c r="C1026" s="98"/>
      <c r="D1026" s="98"/>
      <c r="E1026" s="97"/>
      <c r="F1026" s="97"/>
      <c r="G1026" s="100"/>
      <c r="H1026" s="110"/>
      <c r="I1026" s="113"/>
      <c r="J1026" s="113"/>
      <c r="K1026" s="113"/>
      <c r="L1026" s="113"/>
    </row>
    <row r="1027">
      <c r="A1027" s="97"/>
      <c r="B1027" s="97"/>
      <c r="C1027" s="98"/>
      <c r="D1027" s="98"/>
      <c r="E1027" s="97"/>
      <c r="F1027" s="97"/>
      <c r="G1027" s="100"/>
      <c r="H1027" s="110"/>
      <c r="I1027" s="113"/>
      <c r="J1027" s="113"/>
      <c r="K1027" s="113"/>
      <c r="L1027" s="113"/>
    </row>
    <row r="1028">
      <c r="A1028" s="97"/>
      <c r="B1028" s="97"/>
      <c r="C1028" s="98"/>
      <c r="D1028" s="98"/>
      <c r="E1028" s="97"/>
      <c r="F1028" s="97"/>
      <c r="G1028" s="100"/>
      <c r="H1028" s="110"/>
      <c r="I1028" s="113"/>
      <c r="J1028" s="113"/>
      <c r="K1028" s="113"/>
      <c r="L1028" s="113"/>
    </row>
    <row r="1029">
      <c r="A1029" s="97"/>
      <c r="B1029" s="97"/>
      <c r="C1029" s="98"/>
      <c r="D1029" s="98"/>
      <c r="E1029" s="97"/>
      <c r="F1029" s="97"/>
      <c r="G1029" s="100"/>
      <c r="H1029" s="110"/>
      <c r="I1029" s="113"/>
      <c r="J1029" s="113"/>
      <c r="K1029" s="113"/>
      <c r="L1029" s="113"/>
    </row>
    <row r="1030">
      <c r="A1030" s="97"/>
      <c r="B1030" s="97"/>
      <c r="C1030" s="98"/>
      <c r="D1030" s="98"/>
      <c r="E1030" s="97"/>
      <c r="F1030" s="97"/>
      <c r="G1030" s="100"/>
      <c r="H1030" s="110"/>
      <c r="I1030" s="113"/>
      <c r="J1030" s="113"/>
      <c r="K1030" s="113"/>
      <c r="L1030" s="113"/>
    </row>
    <row r="1031">
      <c r="A1031" s="97"/>
      <c r="B1031" s="97"/>
      <c r="C1031" s="98"/>
      <c r="D1031" s="98"/>
      <c r="E1031" s="97"/>
      <c r="F1031" s="97"/>
      <c r="G1031" s="100"/>
      <c r="H1031" s="110"/>
      <c r="I1031" s="113"/>
      <c r="J1031" s="113"/>
      <c r="K1031" s="113"/>
      <c r="L1031" s="113"/>
    </row>
    <row r="1032">
      <c r="A1032" s="97"/>
      <c r="B1032" s="97"/>
      <c r="C1032" s="98"/>
      <c r="D1032" s="98"/>
      <c r="E1032" s="97"/>
      <c r="F1032" s="97"/>
      <c r="G1032" s="100"/>
      <c r="H1032" s="110"/>
      <c r="I1032" s="113"/>
      <c r="J1032" s="113"/>
      <c r="K1032" s="113"/>
      <c r="L1032" s="113"/>
    </row>
    <row r="1033">
      <c r="A1033" s="97"/>
      <c r="B1033" s="97"/>
      <c r="C1033" s="98"/>
      <c r="D1033" s="98"/>
      <c r="E1033" s="97"/>
      <c r="F1033" s="97"/>
      <c r="G1033" s="100"/>
      <c r="H1033" s="110"/>
      <c r="I1033" s="113"/>
      <c r="J1033" s="113"/>
      <c r="K1033" s="113"/>
      <c r="L1033" s="113"/>
    </row>
    <row r="1034">
      <c r="A1034" s="97"/>
      <c r="B1034" s="97"/>
      <c r="C1034" s="98"/>
      <c r="D1034" s="98"/>
      <c r="E1034" s="97"/>
      <c r="F1034" s="97"/>
      <c r="G1034" s="100"/>
      <c r="H1034" s="110"/>
      <c r="I1034" s="113"/>
      <c r="J1034" s="113"/>
      <c r="K1034" s="113"/>
      <c r="L1034" s="113"/>
    </row>
    <row r="1035">
      <c r="A1035" s="97"/>
      <c r="B1035" s="97"/>
      <c r="C1035" s="98"/>
      <c r="D1035" s="98"/>
      <c r="E1035" s="97"/>
      <c r="F1035" s="97"/>
      <c r="G1035" s="100"/>
      <c r="H1035" s="110"/>
      <c r="I1035" s="113"/>
      <c r="J1035" s="113"/>
      <c r="K1035" s="113"/>
      <c r="L1035" s="113"/>
    </row>
    <row r="1036">
      <c r="A1036" s="97"/>
      <c r="B1036" s="97"/>
      <c r="C1036" s="98"/>
      <c r="D1036" s="98"/>
      <c r="E1036" s="97"/>
      <c r="F1036" s="97"/>
      <c r="G1036" s="100"/>
      <c r="H1036" s="110"/>
      <c r="I1036" s="113"/>
      <c r="J1036" s="113"/>
      <c r="K1036" s="113"/>
      <c r="L1036" s="113"/>
    </row>
    <row r="1037">
      <c r="A1037" s="97"/>
      <c r="B1037" s="97"/>
      <c r="C1037" s="98"/>
      <c r="D1037" s="98"/>
      <c r="E1037" s="97"/>
      <c r="F1037" s="97"/>
      <c r="G1037" s="100"/>
      <c r="H1037" s="110"/>
      <c r="I1037" s="113"/>
      <c r="J1037" s="113"/>
      <c r="K1037" s="113"/>
      <c r="L1037" s="113"/>
    </row>
    <row r="1038">
      <c r="A1038" s="97"/>
      <c r="B1038" s="97"/>
      <c r="C1038" s="98"/>
      <c r="D1038" s="98"/>
      <c r="E1038" s="97"/>
      <c r="F1038" s="97"/>
      <c r="G1038" s="100"/>
      <c r="H1038" s="110"/>
      <c r="I1038" s="113"/>
      <c r="J1038" s="113"/>
      <c r="K1038" s="113"/>
      <c r="L1038" s="113"/>
    </row>
    <row r="1039">
      <c r="A1039" s="97"/>
      <c r="B1039" s="97"/>
      <c r="C1039" s="98"/>
      <c r="D1039" s="98"/>
      <c r="E1039" s="97"/>
      <c r="F1039" s="97"/>
      <c r="G1039" s="100"/>
      <c r="H1039" s="110"/>
      <c r="I1039" s="113"/>
      <c r="J1039" s="113"/>
      <c r="K1039" s="113"/>
      <c r="L1039" s="113"/>
    </row>
    <row r="1040">
      <c r="A1040" s="97"/>
      <c r="B1040" s="97"/>
      <c r="C1040" s="98"/>
      <c r="D1040" s="98"/>
      <c r="E1040" s="97"/>
      <c r="F1040" s="97"/>
      <c r="G1040" s="100"/>
      <c r="H1040" s="110"/>
      <c r="I1040" s="113"/>
      <c r="J1040" s="113"/>
      <c r="K1040" s="113"/>
      <c r="L1040" s="113"/>
    </row>
    <row r="1041">
      <c r="A1041" s="97"/>
      <c r="B1041" s="97"/>
      <c r="C1041" s="98"/>
      <c r="D1041" s="98"/>
      <c r="E1041" s="97"/>
      <c r="F1041" s="97"/>
      <c r="G1041" s="100"/>
      <c r="H1041" s="110"/>
      <c r="I1041" s="113"/>
      <c r="J1041" s="113"/>
      <c r="K1041" s="113"/>
      <c r="L1041" s="113"/>
    </row>
    <row r="1042">
      <c r="A1042" s="97"/>
      <c r="B1042" s="97"/>
      <c r="C1042" s="98"/>
      <c r="D1042" s="98"/>
      <c r="E1042" s="97"/>
      <c r="F1042" s="97"/>
      <c r="G1042" s="100"/>
      <c r="H1042" s="110"/>
      <c r="I1042" s="113"/>
      <c r="J1042" s="113"/>
      <c r="K1042" s="113"/>
      <c r="L1042" s="113"/>
    </row>
    <row r="1043">
      <c r="A1043" s="97"/>
      <c r="B1043" s="97"/>
      <c r="C1043" s="98"/>
      <c r="D1043" s="98"/>
      <c r="E1043" s="97"/>
      <c r="F1043" s="97"/>
      <c r="G1043" s="100"/>
      <c r="H1043" s="110"/>
      <c r="I1043" s="113"/>
      <c r="J1043" s="113"/>
      <c r="K1043" s="113"/>
      <c r="L1043" s="113"/>
    </row>
    <row r="1044">
      <c r="A1044" s="97"/>
      <c r="B1044" s="97"/>
      <c r="C1044" s="98"/>
      <c r="D1044" s="98"/>
      <c r="E1044" s="97"/>
      <c r="F1044" s="97"/>
      <c r="G1044" s="100"/>
      <c r="H1044" s="110"/>
      <c r="I1044" s="113"/>
      <c r="J1044" s="113"/>
      <c r="K1044" s="113"/>
      <c r="L1044" s="113"/>
    </row>
    <row r="1045">
      <c r="A1045" s="97"/>
      <c r="B1045" s="97"/>
      <c r="C1045" s="98"/>
      <c r="D1045" s="98"/>
      <c r="E1045" s="97"/>
      <c r="F1045" s="97"/>
      <c r="G1045" s="100"/>
      <c r="H1045" s="110"/>
      <c r="I1045" s="113"/>
      <c r="J1045" s="113"/>
      <c r="K1045" s="113"/>
      <c r="L1045" s="113"/>
    </row>
    <row r="1046">
      <c r="A1046" s="97"/>
      <c r="B1046" s="97"/>
      <c r="C1046" s="98"/>
      <c r="D1046" s="98"/>
      <c r="E1046" s="97"/>
      <c r="F1046" s="97"/>
      <c r="G1046" s="100"/>
      <c r="H1046" s="110"/>
      <c r="I1046" s="113"/>
      <c r="J1046" s="113"/>
      <c r="K1046" s="113"/>
      <c r="L1046" s="113"/>
    </row>
    <row r="1047">
      <c r="A1047" s="97"/>
      <c r="B1047" s="97"/>
      <c r="C1047" s="98"/>
      <c r="D1047" s="98"/>
      <c r="E1047" s="97"/>
      <c r="F1047" s="97"/>
      <c r="G1047" s="100"/>
      <c r="H1047" s="110"/>
      <c r="I1047" s="113"/>
      <c r="J1047" s="113"/>
      <c r="K1047" s="113"/>
      <c r="L1047" s="113"/>
    </row>
    <row r="1048">
      <c r="A1048" s="97"/>
      <c r="B1048" s="97"/>
      <c r="C1048" s="98"/>
      <c r="D1048" s="98"/>
      <c r="E1048" s="97"/>
      <c r="F1048" s="97"/>
      <c r="G1048" s="100"/>
      <c r="H1048" s="110"/>
      <c r="I1048" s="113"/>
      <c r="J1048" s="113"/>
      <c r="K1048" s="113"/>
      <c r="L1048" s="113"/>
    </row>
    <row r="1049">
      <c r="A1049" s="97"/>
      <c r="B1049" s="97"/>
      <c r="C1049" s="98"/>
      <c r="D1049" s="98"/>
      <c r="E1049" s="97"/>
      <c r="F1049" s="97"/>
      <c r="G1049" s="100"/>
      <c r="H1049" s="110"/>
      <c r="I1049" s="113"/>
      <c r="J1049" s="113"/>
      <c r="K1049" s="113"/>
      <c r="L1049" s="113"/>
    </row>
    <row r="1050">
      <c r="A1050" s="97"/>
      <c r="B1050" s="97"/>
      <c r="C1050" s="98"/>
      <c r="D1050" s="98"/>
      <c r="E1050" s="97"/>
      <c r="F1050" s="97"/>
      <c r="G1050" s="100"/>
      <c r="H1050" s="110"/>
      <c r="I1050" s="113"/>
      <c r="J1050" s="113"/>
      <c r="K1050" s="113"/>
      <c r="L1050" s="113"/>
    </row>
    <row r="1051">
      <c r="A1051" s="97"/>
      <c r="B1051" s="97"/>
      <c r="C1051" s="98"/>
      <c r="D1051" s="98"/>
      <c r="E1051" s="97"/>
      <c r="F1051" s="97"/>
      <c r="G1051" s="100"/>
      <c r="H1051" s="110"/>
      <c r="I1051" s="113"/>
      <c r="J1051" s="113"/>
      <c r="K1051" s="113"/>
      <c r="L1051" s="113"/>
    </row>
    <row r="1052">
      <c r="A1052" s="97"/>
      <c r="B1052" s="97"/>
      <c r="C1052" s="98"/>
      <c r="D1052" s="98"/>
      <c r="E1052" s="97"/>
      <c r="F1052" s="97"/>
      <c r="G1052" s="100"/>
      <c r="H1052" s="110"/>
      <c r="I1052" s="113"/>
      <c r="J1052" s="113"/>
      <c r="K1052" s="113"/>
      <c r="L1052" s="113"/>
    </row>
    <row r="1053">
      <c r="A1053" s="97"/>
      <c r="B1053" s="97"/>
      <c r="C1053" s="98"/>
      <c r="D1053" s="98"/>
      <c r="E1053" s="97"/>
      <c r="F1053" s="97"/>
      <c r="G1053" s="100"/>
      <c r="H1053" s="110"/>
      <c r="I1053" s="113"/>
      <c r="J1053" s="113"/>
      <c r="K1053" s="113"/>
      <c r="L1053" s="113"/>
    </row>
    <row r="1054">
      <c r="A1054" s="97"/>
      <c r="B1054" s="97"/>
      <c r="C1054" s="98"/>
      <c r="D1054" s="98"/>
      <c r="E1054" s="97"/>
      <c r="F1054" s="97"/>
      <c r="G1054" s="100"/>
      <c r="H1054" s="110"/>
      <c r="I1054" s="113"/>
      <c r="J1054" s="113"/>
      <c r="K1054" s="113"/>
      <c r="L1054" s="113"/>
    </row>
    <row r="1055">
      <c r="A1055" s="97"/>
      <c r="B1055" s="97"/>
      <c r="C1055" s="98"/>
      <c r="D1055" s="98"/>
      <c r="E1055" s="97"/>
      <c r="F1055" s="97"/>
      <c r="G1055" s="100"/>
      <c r="H1055" s="110"/>
      <c r="I1055" s="113"/>
      <c r="J1055" s="113"/>
      <c r="K1055" s="113"/>
      <c r="L1055" s="113"/>
    </row>
    <row r="1056">
      <c r="A1056" s="97"/>
      <c r="B1056" s="97"/>
      <c r="C1056" s="98"/>
      <c r="D1056" s="98"/>
      <c r="E1056" s="97"/>
      <c r="F1056" s="97"/>
      <c r="G1056" s="100"/>
      <c r="H1056" s="110"/>
      <c r="I1056" s="113"/>
      <c r="J1056" s="113"/>
      <c r="K1056" s="113"/>
      <c r="L1056" s="113"/>
    </row>
    <row r="1057">
      <c r="A1057" s="97"/>
      <c r="B1057" s="97"/>
      <c r="C1057" s="98"/>
      <c r="D1057" s="98"/>
      <c r="E1057" s="97"/>
      <c r="F1057" s="97"/>
      <c r="G1057" s="100"/>
      <c r="H1057" s="110"/>
      <c r="I1057" s="113"/>
      <c r="J1057" s="113"/>
      <c r="K1057" s="113"/>
      <c r="L1057" s="113"/>
    </row>
    <row r="1058">
      <c r="A1058" s="97"/>
      <c r="B1058" s="97"/>
      <c r="C1058" s="98"/>
      <c r="D1058" s="98"/>
      <c r="E1058" s="97"/>
      <c r="F1058" s="97"/>
      <c r="G1058" s="100"/>
      <c r="H1058" s="110"/>
      <c r="I1058" s="113"/>
      <c r="J1058" s="113"/>
      <c r="K1058" s="113"/>
      <c r="L1058" s="113"/>
    </row>
    <row r="1059">
      <c r="A1059" s="97"/>
      <c r="B1059" s="97"/>
      <c r="C1059" s="98"/>
      <c r="D1059" s="98"/>
      <c r="E1059" s="97"/>
      <c r="F1059" s="97"/>
      <c r="G1059" s="100"/>
      <c r="H1059" s="110"/>
      <c r="I1059" s="113"/>
      <c r="J1059" s="113"/>
      <c r="K1059" s="113"/>
      <c r="L1059" s="113"/>
    </row>
    <row r="1060">
      <c r="A1060" s="97"/>
      <c r="B1060" s="97"/>
      <c r="C1060" s="98"/>
      <c r="D1060" s="98"/>
      <c r="E1060" s="97"/>
      <c r="F1060" s="97"/>
      <c r="G1060" s="100"/>
      <c r="H1060" s="110"/>
      <c r="I1060" s="113"/>
      <c r="J1060" s="113"/>
      <c r="K1060" s="113"/>
      <c r="L1060" s="113"/>
    </row>
    <row r="1061">
      <c r="A1061" s="97"/>
      <c r="B1061" s="97"/>
      <c r="C1061" s="98"/>
      <c r="D1061" s="98"/>
      <c r="E1061" s="97"/>
      <c r="F1061" s="97"/>
      <c r="G1061" s="100"/>
      <c r="H1061" s="110"/>
      <c r="I1061" s="113"/>
      <c r="J1061" s="113"/>
      <c r="K1061" s="113"/>
      <c r="L1061" s="113"/>
    </row>
    <row r="1062">
      <c r="A1062" s="97"/>
      <c r="B1062" s="97"/>
      <c r="C1062" s="98"/>
      <c r="D1062" s="98"/>
      <c r="E1062" s="97"/>
      <c r="F1062" s="97"/>
      <c r="G1062" s="100"/>
      <c r="H1062" s="110"/>
      <c r="I1062" s="113"/>
      <c r="J1062" s="113"/>
      <c r="K1062" s="113"/>
      <c r="L1062" s="113"/>
    </row>
    <row r="1063">
      <c r="A1063" s="97"/>
      <c r="B1063" s="97"/>
      <c r="C1063" s="98"/>
      <c r="D1063" s="98"/>
      <c r="E1063" s="97"/>
      <c r="F1063" s="97"/>
      <c r="G1063" s="100"/>
      <c r="H1063" s="110"/>
      <c r="I1063" s="113"/>
      <c r="J1063" s="113"/>
      <c r="K1063" s="113"/>
      <c r="L1063" s="113"/>
    </row>
    <row r="1064">
      <c r="A1064" s="97"/>
      <c r="B1064" s="97"/>
      <c r="C1064" s="98"/>
      <c r="D1064" s="98"/>
      <c r="E1064" s="97"/>
      <c r="F1064" s="97"/>
      <c r="G1064" s="100"/>
      <c r="H1064" s="110"/>
      <c r="I1064" s="113"/>
      <c r="J1064" s="113"/>
      <c r="K1064" s="113"/>
      <c r="L1064" s="113"/>
    </row>
    <row r="1065">
      <c r="A1065" s="97"/>
      <c r="B1065" s="97"/>
      <c r="C1065" s="98"/>
      <c r="D1065" s="98"/>
      <c r="E1065" s="97"/>
      <c r="F1065" s="97"/>
      <c r="G1065" s="100"/>
      <c r="H1065" s="110"/>
      <c r="I1065" s="113"/>
      <c r="J1065" s="113"/>
      <c r="K1065" s="113"/>
      <c r="L1065" s="113"/>
    </row>
    <row r="1066">
      <c r="A1066" s="97"/>
      <c r="B1066" s="97"/>
      <c r="C1066" s="98"/>
      <c r="D1066" s="98"/>
      <c r="E1066" s="97"/>
      <c r="F1066" s="97"/>
      <c r="G1066" s="100"/>
      <c r="H1066" s="110"/>
      <c r="I1066" s="113"/>
      <c r="J1066" s="113"/>
      <c r="K1066" s="113"/>
      <c r="L1066" s="113"/>
    </row>
    <row r="1067">
      <c r="A1067" s="97"/>
      <c r="B1067" s="97"/>
      <c r="C1067" s="98"/>
      <c r="D1067" s="98"/>
      <c r="E1067" s="97"/>
      <c r="F1067" s="97"/>
      <c r="G1067" s="100"/>
      <c r="H1067" s="110"/>
      <c r="I1067" s="113"/>
      <c r="J1067" s="113"/>
      <c r="K1067" s="113"/>
      <c r="L1067" s="113"/>
    </row>
    <row r="1068">
      <c r="A1068" s="97"/>
      <c r="B1068" s="97"/>
      <c r="C1068" s="98"/>
      <c r="D1068" s="98"/>
      <c r="E1068" s="97"/>
      <c r="F1068" s="97"/>
      <c r="G1068" s="100"/>
      <c r="H1068" s="110"/>
      <c r="I1068" s="113"/>
      <c r="J1068" s="113"/>
      <c r="K1068" s="113"/>
      <c r="L1068" s="113"/>
    </row>
    <row r="1069">
      <c r="A1069" s="97"/>
      <c r="B1069" s="97"/>
      <c r="C1069" s="98"/>
      <c r="D1069" s="98"/>
      <c r="E1069" s="97"/>
      <c r="F1069" s="97"/>
      <c r="G1069" s="100"/>
      <c r="H1069" s="110"/>
      <c r="I1069" s="113"/>
      <c r="J1069" s="113"/>
      <c r="K1069" s="113"/>
      <c r="L1069" s="113"/>
    </row>
    <row r="1070">
      <c r="A1070" s="97"/>
      <c r="B1070" s="97"/>
      <c r="C1070" s="98"/>
      <c r="D1070" s="98"/>
      <c r="E1070" s="97"/>
      <c r="F1070" s="97"/>
      <c r="G1070" s="100"/>
      <c r="H1070" s="110"/>
      <c r="I1070" s="113"/>
      <c r="J1070" s="113"/>
      <c r="K1070" s="113"/>
      <c r="L1070" s="113"/>
    </row>
    <row r="1071">
      <c r="A1071" s="97"/>
      <c r="B1071" s="97"/>
      <c r="C1071" s="98"/>
      <c r="D1071" s="98"/>
      <c r="E1071" s="97"/>
      <c r="F1071" s="97"/>
      <c r="G1071" s="100"/>
      <c r="H1071" s="110"/>
      <c r="I1071" s="113"/>
      <c r="J1071" s="113"/>
      <c r="K1071" s="113"/>
      <c r="L1071" s="113"/>
    </row>
    <row r="1072">
      <c r="A1072" s="97"/>
      <c r="B1072" s="97"/>
      <c r="C1072" s="98"/>
      <c r="D1072" s="98"/>
      <c r="E1072" s="97"/>
      <c r="F1072" s="97"/>
      <c r="G1072" s="100"/>
      <c r="H1072" s="110"/>
      <c r="I1072" s="113"/>
      <c r="J1072" s="113"/>
      <c r="K1072" s="113"/>
      <c r="L1072" s="113"/>
    </row>
    <row r="1073">
      <c r="A1073" s="97"/>
      <c r="B1073" s="97"/>
      <c r="C1073" s="98"/>
      <c r="D1073" s="98"/>
      <c r="E1073" s="97"/>
      <c r="F1073" s="97"/>
      <c r="G1073" s="100"/>
      <c r="H1073" s="110"/>
      <c r="I1073" s="113"/>
      <c r="J1073" s="113"/>
      <c r="K1073" s="113"/>
      <c r="L1073" s="113"/>
    </row>
    <row r="1074">
      <c r="A1074" s="97"/>
      <c r="B1074" s="97"/>
      <c r="C1074" s="98"/>
      <c r="D1074" s="98"/>
      <c r="E1074" s="97"/>
      <c r="F1074" s="97"/>
      <c r="G1074" s="100"/>
      <c r="H1074" s="110"/>
      <c r="I1074" s="113"/>
      <c r="J1074" s="113"/>
      <c r="K1074" s="113"/>
      <c r="L1074" s="113"/>
    </row>
    <row r="1075">
      <c r="A1075" s="97"/>
      <c r="B1075" s="97"/>
      <c r="C1075" s="98"/>
      <c r="D1075" s="98"/>
      <c r="E1075" s="97"/>
      <c r="F1075" s="97"/>
      <c r="G1075" s="100"/>
      <c r="H1075" s="110"/>
      <c r="I1075" s="113"/>
      <c r="J1075" s="113"/>
      <c r="K1075" s="113"/>
      <c r="L1075" s="113"/>
    </row>
    <row r="1076">
      <c r="A1076" s="97"/>
      <c r="B1076" s="97"/>
      <c r="C1076" s="98"/>
      <c r="D1076" s="98"/>
      <c r="E1076" s="97"/>
      <c r="F1076" s="97"/>
      <c r="G1076" s="100"/>
      <c r="H1076" s="110"/>
      <c r="I1076" s="113"/>
      <c r="J1076" s="113"/>
      <c r="K1076" s="113"/>
      <c r="L1076" s="113"/>
    </row>
    <row r="1077">
      <c r="A1077" s="97"/>
      <c r="B1077" s="97"/>
      <c r="C1077" s="98"/>
      <c r="D1077" s="98"/>
      <c r="E1077" s="97"/>
      <c r="F1077" s="97"/>
      <c r="G1077" s="100"/>
      <c r="H1077" s="110"/>
      <c r="I1077" s="113"/>
      <c r="J1077" s="113"/>
      <c r="K1077" s="113"/>
      <c r="L1077" s="113"/>
    </row>
    <row r="1078">
      <c r="A1078" s="97"/>
      <c r="B1078" s="97"/>
      <c r="C1078" s="98"/>
      <c r="D1078" s="98"/>
      <c r="E1078" s="97"/>
      <c r="F1078" s="97"/>
      <c r="G1078" s="100"/>
      <c r="H1078" s="110"/>
      <c r="I1078" s="113"/>
      <c r="J1078" s="113"/>
      <c r="K1078" s="113"/>
      <c r="L1078" s="113"/>
    </row>
    <row r="1079">
      <c r="A1079" s="97"/>
      <c r="B1079" s="97"/>
      <c r="C1079" s="98"/>
      <c r="D1079" s="98"/>
      <c r="E1079" s="97"/>
      <c r="F1079" s="97"/>
      <c r="G1079" s="100"/>
      <c r="H1079" s="110"/>
      <c r="I1079" s="113"/>
      <c r="J1079" s="113"/>
      <c r="K1079" s="113"/>
      <c r="L1079" s="113"/>
    </row>
    <row r="1080">
      <c r="A1080" s="97"/>
      <c r="B1080" s="97"/>
      <c r="C1080" s="98"/>
      <c r="D1080" s="98"/>
      <c r="E1080" s="97"/>
      <c r="F1080" s="97"/>
      <c r="G1080" s="100"/>
      <c r="H1080" s="110"/>
      <c r="I1080" s="113"/>
      <c r="J1080" s="113"/>
      <c r="K1080" s="113"/>
      <c r="L1080" s="113"/>
    </row>
    <row r="1081">
      <c r="A1081" s="97"/>
      <c r="B1081" s="97"/>
      <c r="C1081" s="98"/>
      <c r="D1081" s="98"/>
      <c r="E1081" s="97"/>
      <c r="F1081" s="97"/>
      <c r="G1081" s="100"/>
      <c r="H1081" s="110"/>
      <c r="I1081" s="113"/>
      <c r="J1081" s="113"/>
      <c r="K1081" s="113"/>
      <c r="L1081" s="113"/>
    </row>
    <row r="1082">
      <c r="A1082" s="97"/>
      <c r="B1082" s="97"/>
      <c r="C1082" s="98"/>
      <c r="D1082" s="98"/>
      <c r="E1082" s="97"/>
      <c r="F1082" s="97"/>
      <c r="G1082" s="100"/>
      <c r="H1082" s="110"/>
      <c r="I1082" s="113"/>
      <c r="J1082" s="113"/>
      <c r="K1082" s="113"/>
      <c r="L1082" s="113"/>
    </row>
    <row r="1083">
      <c r="A1083" s="97"/>
      <c r="B1083" s="97"/>
      <c r="C1083" s="98"/>
      <c r="D1083" s="98"/>
      <c r="E1083" s="97"/>
      <c r="F1083" s="97"/>
      <c r="G1083" s="100"/>
      <c r="H1083" s="110"/>
      <c r="I1083" s="113"/>
      <c r="J1083" s="113"/>
      <c r="K1083" s="113"/>
      <c r="L1083" s="113"/>
    </row>
    <row r="1084">
      <c r="A1084" s="97"/>
      <c r="B1084" s="97"/>
      <c r="C1084" s="98"/>
      <c r="D1084" s="98"/>
      <c r="E1084" s="97"/>
      <c r="F1084" s="97"/>
      <c r="G1084" s="100"/>
      <c r="H1084" s="110"/>
      <c r="I1084" s="113"/>
      <c r="J1084" s="113"/>
      <c r="K1084" s="113"/>
      <c r="L1084" s="113"/>
    </row>
    <row r="1085">
      <c r="A1085" s="97"/>
      <c r="B1085" s="97"/>
      <c r="C1085" s="98"/>
      <c r="D1085" s="98"/>
      <c r="E1085" s="97"/>
      <c r="F1085" s="97"/>
      <c r="G1085" s="100"/>
      <c r="H1085" s="110"/>
      <c r="I1085" s="113"/>
      <c r="J1085" s="113"/>
      <c r="K1085" s="113"/>
      <c r="L1085" s="113"/>
    </row>
    <row r="1086">
      <c r="A1086" s="97"/>
      <c r="B1086" s="97"/>
      <c r="C1086" s="98"/>
      <c r="D1086" s="98"/>
      <c r="E1086" s="97"/>
      <c r="F1086" s="97"/>
      <c r="G1086" s="100"/>
      <c r="H1086" s="110"/>
      <c r="I1086" s="113"/>
      <c r="J1086" s="113"/>
      <c r="K1086" s="113"/>
      <c r="L1086" s="113"/>
    </row>
    <row r="1087">
      <c r="A1087" s="97"/>
      <c r="B1087" s="97"/>
      <c r="C1087" s="98"/>
      <c r="D1087" s="98"/>
      <c r="E1087" s="97"/>
      <c r="F1087" s="97"/>
      <c r="G1087" s="100"/>
      <c r="H1087" s="110"/>
      <c r="I1087" s="113"/>
      <c r="J1087" s="113"/>
      <c r="K1087" s="113"/>
      <c r="L1087" s="113"/>
    </row>
    <row r="1088">
      <c r="A1088" s="97"/>
      <c r="B1088" s="97"/>
      <c r="C1088" s="98"/>
      <c r="D1088" s="98"/>
      <c r="E1088" s="97"/>
      <c r="F1088" s="97"/>
      <c r="G1088" s="100"/>
      <c r="H1088" s="110"/>
      <c r="I1088" s="113"/>
      <c r="J1088" s="113"/>
      <c r="K1088" s="113"/>
      <c r="L1088" s="113"/>
    </row>
    <row r="1089">
      <c r="A1089" s="97"/>
      <c r="B1089" s="97"/>
      <c r="C1089" s="98"/>
      <c r="D1089" s="98"/>
      <c r="E1089" s="97"/>
      <c r="F1089" s="97"/>
      <c r="G1089" s="100"/>
      <c r="H1089" s="110"/>
      <c r="I1089" s="113"/>
      <c r="J1089" s="113"/>
      <c r="K1089" s="113"/>
      <c r="L1089" s="113"/>
    </row>
    <row r="1090">
      <c r="A1090" s="97"/>
      <c r="B1090" s="97"/>
      <c r="C1090" s="98"/>
      <c r="D1090" s="98"/>
      <c r="E1090" s="97"/>
      <c r="F1090" s="97"/>
      <c r="G1090" s="100"/>
      <c r="H1090" s="110"/>
      <c r="I1090" s="113"/>
      <c r="J1090" s="113"/>
      <c r="K1090" s="113"/>
      <c r="L1090" s="113"/>
    </row>
    <row r="1091">
      <c r="A1091" s="97"/>
      <c r="B1091" s="97"/>
      <c r="C1091" s="98"/>
      <c r="D1091" s="98"/>
      <c r="E1091" s="97"/>
      <c r="F1091" s="97"/>
      <c r="G1091" s="100"/>
      <c r="H1091" s="110"/>
      <c r="I1091" s="113"/>
      <c r="J1091" s="113"/>
      <c r="K1091" s="113"/>
      <c r="L1091" s="113"/>
    </row>
    <row r="1092">
      <c r="A1092" s="97"/>
      <c r="B1092" s="97"/>
      <c r="C1092" s="98"/>
      <c r="D1092" s="98"/>
      <c r="E1092" s="97"/>
      <c r="F1092" s="97"/>
      <c r="G1092" s="100"/>
      <c r="H1092" s="110"/>
      <c r="I1092" s="113"/>
      <c r="J1092" s="113"/>
      <c r="K1092" s="113"/>
      <c r="L1092" s="113"/>
    </row>
    <row r="1093">
      <c r="A1093" s="97"/>
      <c r="B1093" s="97"/>
      <c r="C1093" s="98"/>
      <c r="D1093" s="98"/>
      <c r="E1093" s="97"/>
      <c r="F1093" s="97"/>
      <c r="G1093" s="100"/>
      <c r="H1093" s="110"/>
      <c r="I1093" s="113"/>
      <c r="J1093" s="113"/>
      <c r="K1093" s="113"/>
      <c r="L1093" s="113"/>
    </row>
    <row r="1094">
      <c r="A1094" s="97"/>
      <c r="B1094" s="97"/>
      <c r="C1094" s="98"/>
      <c r="D1094" s="98"/>
      <c r="E1094" s="97"/>
      <c r="F1094" s="97"/>
      <c r="G1094" s="100"/>
      <c r="H1094" s="110"/>
      <c r="I1094" s="113"/>
      <c r="J1094" s="113"/>
      <c r="K1094" s="113"/>
      <c r="L1094" s="113"/>
    </row>
    <row r="1095">
      <c r="A1095" s="97"/>
      <c r="B1095" s="97"/>
      <c r="C1095" s="98"/>
      <c r="D1095" s="98"/>
      <c r="E1095" s="97"/>
      <c r="F1095" s="97"/>
      <c r="G1095" s="100"/>
      <c r="H1095" s="110"/>
      <c r="I1095" s="113"/>
      <c r="J1095" s="113"/>
      <c r="K1095" s="113"/>
      <c r="L1095" s="113"/>
    </row>
    <row r="1096">
      <c r="A1096" s="97"/>
      <c r="B1096" s="97"/>
      <c r="C1096" s="98"/>
      <c r="D1096" s="98"/>
      <c r="E1096" s="97"/>
      <c r="F1096" s="97"/>
      <c r="G1096" s="100"/>
      <c r="H1096" s="110"/>
      <c r="I1096" s="113"/>
      <c r="J1096" s="113"/>
      <c r="K1096" s="113"/>
      <c r="L1096" s="113"/>
    </row>
    <row r="1097">
      <c r="A1097" s="97"/>
      <c r="B1097" s="97"/>
      <c r="C1097" s="98"/>
      <c r="D1097" s="98"/>
      <c r="E1097" s="97"/>
      <c r="F1097" s="97"/>
      <c r="G1097" s="100"/>
      <c r="H1097" s="110"/>
      <c r="I1097" s="113"/>
      <c r="J1097" s="113"/>
      <c r="K1097" s="113"/>
      <c r="L1097" s="113"/>
    </row>
    <row r="1098">
      <c r="A1098" s="97"/>
      <c r="B1098" s="97"/>
      <c r="C1098" s="98"/>
      <c r="D1098" s="98"/>
      <c r="E1098" s="97"/>
      <c r="F1098" s="97"/>
      <c r="G1098" s="100"/>
      <c r="H1098" s="110"/>
      <c r="I1098" s="113"/>
      <c r="J1098" s="113"/>
      <c r="K1098" s="113"/>
      <c r="L1098" s="113"/>
    </row>
    <row r="1099">
      <c r="A1099" s="97"/>
      <c r="B1099" s="97"/>
      <c r="C1099" s="98"/>
      <c r="D1099" s="98"/>
      <c r="E1099" s="97"/>
      <c r="F1099" s="97"/>
      <c r="G1099" s="100"/>
      <c r="H1099" s="110"/>
      <c r="I1099" s="113"/>
      <c r="J1099" s="113"/>
      <c r="K1099" s="113"/>
      <c r="L1099" s="113"/>
    </row>
    <row r="1100">
      <c r="A1100" s="97"/>
      <c r="B1100" s="97"/>
      <c r="C1100" s="98"/>
      <c r="D1100" s="98"/>
      <c r="E1100" s="97"/>
      <c r="F1100" s="97"/>
      <c r="G1100" s="100"/>
      <c r="H1100" s="110"/>
      <c r="I1100" s="113"/>
      <c r="J1100" s="113"/>
      <c r="K1100" s="113"/>
      <c r="L1100" s="113"/>
    </row>
    <row r="1101">
      <c r="A1101" s="97"/>
      <c r="B1101" s="97"/>
      <c r="C1101" s="98"/>
      <c r="D1101" s="98"/>
      <c r="E1101" s="97"/>
      <c r="F1101" s="97"/>
      <c r="G1101" s="100"/>
      <c r="H1101" s="110"/>
      <c r="I1101" s="113"/>
      <c r="J1101" s="113"/>
      <c r="K1101" s="113"/>
      <c r="L1101" s="113"/>
    </row>
    <row r="1102">
      <c r="A1102" s="97"/>
      <c r="B1102" s="97"/>
      <c r="C1102" s="98"/>
      <c r="D1102" s="98"/>
      <c r="E1102" s="97"/>
      <c r="F1102" s="97"/>
      <c r="G1102" s="100"/>
      <c r="H1102" s="110"/>
      <c r="I1102" s="113"/>
      <c r="J1102" s="113"/>
      <c r="K1102" s="113"/>
      <c r="L1102" s="113"/>
    </row>
    <row r="1103">
      <c r="A1103" s="97"/>
      <c r="B1103" s="97"/>
      <c r="C1103" s="98"/>
      <c r="D1103" s="98"/>
      <c r="E1103" s="97"/>
      <c r="F1103" s="97"/>
      <c r="G1103" s="100"/>
      <c r="H1103" s="110"/>
      <c r="I1103" s="113"/>
      <c r="J1103" s="113"/>
      <c r="K1103" s="113"/>
      <c r="L1103" s="113"/>
    </row>
    <row r="1104">
      <c r="A1104" s="97"/>
      <c r="B1104" s="97"/>
      <c r="C1104" s="98"/>
      <c r="D1104" s="98"/>
      <c r="E1104" s="97"/>
      <c r="F1104" s="97"/>
      <c r="G1104" s="100"/>
      <c r="H1104" s="110"/>
      <c r="I1104" s="113"/>
      <c r="J1104" s="113"/>
      <c r="K1104" s="113"/>
      <c r="L1104" s="113"/>
    </row>
    <row r="1105">
      <c r="A1105" s="97"/>
      <c r="B1105" s="97"/>
      <c r="C1105" s="98"/>
      <c r="D1105" s="98"/>
      <c r="E1105" s="97"/>
      <c r="F1105" s="97"/>
      <c r="G1105" s="100"/>
      <c r="H1105" s="110"/>
      <c r="I1105" s="113"/>
      <c r="J1105" s="113"/>
      <c r="K1105" s="113"/>
      <c r="L1105" s="113"/>
    </row>
    <row r="1106">
      <c r="A1106" s="97"/>
      <c r="B1106" s="97"/>
      <c r="C1106" s="98"/>
      <c r="D1106" s="98"/>
      <c r="E1106" s="97"/>
      <c r="F1106" s="97"/>
      <c r="G1106" s="100"/>
      <c r="H1106" s="110"/>
      <c r="I1106" s="113"/>
      <c r="J1106" s="113"/>
      <c r="K1106" s="113"/>
      <c r="L1106" s="113"/>
    </row>
    <row r="1107">
      <c r="A1107" s="97"/>
      <c r="B1107" s="97"/>
      <c r="C1107" s="98"/>
      <c r="D1107" s="98"/>
      <c r="E1107" s="97"/>
      <c r="F1107" s="97"/>
      <c r="G1107" s="100"/>
      <c r="H1107" s="110"/>
      <c r="I1107" s="113"/>
      <c r="J1107" s="113"/>
      <c r="K1107" s="113"/>
      <c r="L1107" s="113"/>
    </row>
    <row r="1108">
      <c r="A1108" s="97"/>
      <c r="B1108" s="97"/>
      <c r="C1108" s="98"/>
      <c r="D1108" s="98"/>
      <c r="E1108" s="97"/>
      <c r="F1108" s="97"/>
      <c r="G1108" s="100"/>
      <c r="H1108" s="110"/>
      <c r="I1108" s="113"/>
      <c r="J1108" s="113"/>
      <c r="K1108" s="113"/>
      <c r="L1108" s="113"/>
    </row>
    <row r="1109">
      <c r="A1109" s="97"/>
      <c r="B1109" s="97"/>
      <c r="C1109" s="98"/>
      <c r="D1109" s="98"/>
      <c r="E1109" s="97"/>
      <c r="F1109" s="97"/>
      <c r="G1109" s="100"/>
      <c r="H1109" s="110"/>
      <c r="I1109" s="113"/>
      <c r="J1109" s="113"/>
      <c r="K1109" s="113"/>
      <c r="L1109" s="113"/>
    </row>
    <row r="1110">
      <c r="A1110" s="97"/>
      <c r="B1110" s="97"/>
      <c r="C1110" s="98"/>
      <c r="D1110" s="98"/>
      <c r="E1110" s="97"/>
      <c r="F1110" s="97"/>
      <c r="G1110" s="100"/>
      <c r="H1110" s="110"/>
      <c r="I1110" s="113"/>
      <c r="J1110" s="113"/>
      <c r="K1110" s="113"/>
      <c r="L1110" s="113"/>
    </row>
    <row r="1111">
      <c r="A1111" s="97"/>
      <c r="B1111" s="97"/>
      <c r="C1111" s="98"/>
      <c r="D1111" s="98"/>
      <c r="E1111" s="97"/>
      <c r="F1111" s="97"/>
      <c r="G1111" s="100"/>
      <c r="H1111" s="110"/>
      <c r="I1111" s="113"/>
      <c r="J1111" s="113"/>
      <c r="K1111" s="113"/>
      <c r="L1111" s="113"/>
    </row>
    <row r="1112">
      <c r="A1112" s="97"/>
      <c r="B1112" s="97"/>
      <c r="C1112" s="98"/>
      <c r="D1112" s="98"/>
      <c r="E1112" s="97"/>
      <c r="F1112" s="97"/>
      <c r="G1112" s="100"/>
      <c r="H1112" s="110"/>
      <c r="I1112" s="113"/>
      <c r="J1112" s="113"/>
      <c r="K1112" s="113"/>
      <c r="L1112" s="113"/>
    </row>
    <row r="1113">
      <c r="A1113" s="97"/>
      <c r="B1113" s="97"/>
      <c r="C1113" s="98"/>
      <c r="D1113" s="98"/>
      <c r="E1113" s="97"/>
      <c r="F1113" s="97"/>
      <c r="G1113" s="100"/>
      <c r="H1113" s="110"/>
      <c r="I1113" s="113"/>
      <c r="J1113" s="113"/>
      <c r="K1113" s="113"/>
      <c r="L1113" s="113"/>
    </row>
    <row r="1114">
      <c r="A1114" s="97"/>
      <c r="B1114" s="97"/>
      <c r="C1114" s="98"/>
      <c r="D1114" s="98"/>
      <c r="E1114" s="97"/>
      <c r="F1114" s="97"/>
      <c r="G1114" s="100"/>
      <c r="H1114" s="110"/>
      <c r="I1114" s="113"/>
      <c r="J1114" s="113"/>
      <c r="K1114" s="113"/>
      <c r="L1114" s="113"/>
    </row>
    <row r="1115">
      <c r="A1115" s="97"/>
      <c r="B1115" s="97"/>
      <c r="C1115" s="98"/>
      <c r="D1115" s="98"/>
      <c r="E1115" s="97"/>
      <c r="F1115" s="97"/>
      <c r="G1115" s="100"/>
      <c r="H1115" s="110"/>
      <c r="I1115" s="113"/>
      <c r="J1115" s="113"/>
      <c r="K1115" s="113"/>
      <c r="L1115" s="113"/>
    </row>
    <row r="1116">
      <c r="A1116" s="97"/>
      <c r="B1116" s="97"/>
      <c r="C1116" s="98"/>
      <c r="D1116" s="98"/>
      <c r="E1116" s="97"/>
      <c r="F1116" s="97"/>
      <c r="G1116" s="100"/>
      <c r="H1116" s="110"/>
      <c r="I1116" s="113"/>
      <c r="J1116" s="113"/>
      <c r="K1116" s="113"/>
      <c r="L1116" s="113"/>
    </row>
    <row r="1117">
      <c r="A1117" s="97"/>
      <c r="B1117" s="97"/>
      <c r="C1117" s="98"/>
      <c r="D1117" s="98"/>
      <c r="E1117" s="97"/>
      <c r="F1117" s="97"/>
      <c r="G1117" s="100"/>
      <c r="H1117" s="110"/>
      <c r="I1117" s="113"/>
      <c r="J1117" s="113"/>
      <c r="K1117" s="113"/>
      <c r="L1117" s="113"/>
    </row>
    <row r="1118">
      <c r="A1118" s="97"/>
      <c r="B1118" s="97"/>
      <c r="C1118" s="98"/>
      <c r="D1118" s="98"/>
      <c r="E1118" s="97"/>
      <c r="F1118" s="97"/>
      <c r="G1118" s="100"/>
      <c r="H1118" s="110"/>
      <c r="I1118" s="113"/>
      <c r="J1118" s="113"/>
      <c r="K1118" s="113"/>
      <c r="L1118" s="113"/>
    </row>
    <row r="1119">
      <c r="A1119" s="97"/>
      <c r="B1119" s="97"/>
      <c r="C1119" s="98"/>
      <c r="D1119" s="98"/>
      <c r="E1119" s="97"/>
      <c r="F1119" s="97"/>
      <c r="G1119" s="100"/>
      <c r="H1119" s="110"/>
      <c r="I1119" s="113"/>
      <c r="J1119" s="113"/>
      <c r="K1119" s="113"/>
      <c r="L1119" s="113"/>
    </row>
    <row r="1120">
      <c r="A1120" s="97"/>
      <c r="B1120" s="97"/>
      <c r="C1120" s="98"/>
      <c r="D1120" s="98"/>
      <c r="E1120" s="97"/>
      <c r="F1120" s="97"/>
      <c r="G1120" s="100"/>
      <c r="H1120" s="110"/>
      <c r="I1120" s="113"/>
      <c r="J1120" s="113"/>
      <c r="K1120" s="113"/>
      <c r="L1120" s="113"/>
    </row>
    <row r="1121">
      <c r="A1121" s="97"/>
      <c r="B1121" s="97"/>
      <c r="C1121" s="98"/>
      <c r="D1121" s="98"/>
      <c r="E1121" s="97"/>
      <c r="F1121" s="97"/>
      <c r="G1121" s="100"/>
      <c r="H1121" s="110"/>
      <c r="I1121" s="113"/>
      <c r="J1121" s="113"/>
      <c r="K1121" s="113"/>
      <c r="L1121" s="113"/>
    </row>
    <row r="1122">
      <c r="A1122" s="97"/>
      <c r="B1122" s="97"/>
      <c r="C1122" s="98"/>
      <c r="D1122" s="98"/>
      <c r="E1122" s="97"/>
      <c r="F1122" s="97"/>
      <c r="G1122" s="100"/>
      <c r="H1122" s="110"/>
      <c r="I1122" s="113"/>
      <c r="J1122" s="113"/>
      <c r="K1122" s="113"/>
      <c r="L1122" s="113"/>
    </row>
    <row r="1123">
      <c r="A1123" s="97"/>
      <c r="B1123" s="97"/>
      <c r="C1123" s="98"/>
      <c r="D1123" s="98"/>
      <c r="E1123" s="97"/>
      <c r="F1123" s="97"/>
      <c r="G1123" s="100"/>
      <c r="H1123" s="110"/>
      <c r="I1123" s="113"/>
      <c r="J1123" s="113"/>
      <c r="K1123" s="113"/>
      <c r="L1123" s="113"/>
    </row>
    <row r="1124">
      <c r="A1124" s="97"/>
      <c r="B1124" s="97"/>
      <c r="C1124" s="98"/>
      <c r="D1124" s="98"/>
      <c r="E1124" s="97"/>
      <c r="F1124" s="97"/>
      <c r="G1124" s="100"/>
      <c r="H1124" s="110"/>
      <c r="I1124" s="113"/>
      <c r="J1124" s="113"/>
      <c r="K1124" s="113"/>
      <c r="L1124" s="113"/>
    </row>
    <row r="1125">
      <c r="A1125" s="97"/>
      <c r="B1125" s="97"/>
      <c r="C1125" s="98"/>
      <c r="D1125" s="98"/>
      <c r="E1125" s="97"/>
      <c r="F1125" s="97"/>
      <c r="G1125" s="100"/>
      <c r="H1125" s="110"/>
      <c r="I1125" s="113"/>
      <c r="J1125" s="113"/>
      <c r="K1125" s="113"/>
      <c r="L1125" s="113"/>
    </row>
    <row r="1126">
      <c r="A1126" s="97"/>
      <c r="B1126" s="97"/>
      <c r="C1126" s="98"/>
      <c r="D1126" s="98"/>
      <c r="E1126" s="97"/>
      <c r="F1126" s="97"/>
      <c r="G1126" s="100"/>
      <c r="H1126" s="110"/>
      <c r="I1126" s="113"/>
      <c r="J1126" s="113"/>
      <c r="K1126" s="113"/>
      <c r="L1126" s="113"/>
    </row>
    <row r="1127">
      <c r="A1127" s="97"/>
      <c r="B1127" s="97"/>
      <c r="C1127" s="98"/>
      <c r="D1127" s="98"/>
      <c r="E1127" s="97"/>
      <c r="F1127" s="97"/>
      <c r="G1127" s="100"/>
      <c r="H1127" s="110"/>
      <c r="I1127" s="113"/>
      <c r="J1127" s="113"/>
      <c r="K1127" s="113"/>
      <c r="L1127" s="113"/>
    </row>
    <row r="1128">
      <c r="A1128" s="97"/>
      <c r="B1128" s="97"/>
      <c r="C1128" s="98"/>
      <c r="D1128" s="98"/>
      <c r="E1128" s="97"/>
      <c r="F1128" s="97"/>
      <c r="G1128" s="100"/>
      <c r="H1128" s="110"/>
      <c r="I1128" s="113"/>
      <c r="J1128" s="113"/>
      <c r="K1128" s="113"/>
      <c r="L1128" s="113"/>
    </row>
    <row r="1129">
      <c r="A1129" s="97"/>
      <c r="B1129" s="97"/>
      <c r="C1129" s="98"/>
      <c r="D1129" s="98"/>
      <c r="E1129" s="97"/>
      <c r="F1129" s="97"/>
      <c r="G1129" s="100"/>
      <c r="H1129" s="110"/>
      <c r="I1129" s="113"/>
      <c r="J1129" s="113"/>
      <c r="K1129" s="113"/>
      <c r="L1129" s="113"/>
    </row>
    <row r="1130">
      <c r="A1130" s="97"/>
      <c r="B1130" s="97"/>
      <c r="C1130" s="98"/>
      <c r="D1130" s="98"/>
      <c r="E1130" s="97"/>
      <c r="F1130" s="97"/>
      <c r="G1130" s="100"/>
      <c r="H1130" s="110"/>
      <c r="I1130" s="113"/>
      <c r="J1130" s="113"/>
      <c r="K1130" s="113"/>
      <c r="L1130" s="113"/>
    </row>
    <row r="1131">
      <c r="A1131" s="97"/>
      <c r="B1131" s="97"/>
      <c r="C1131" s="98"/>
      <c r="D1131" s="98"/>
      <c r="E1131" s="97"/>
      <c r="F1131" s="97"/>
      <c r="G1131" s="100"/>
      <c r="H1131" s="110"/>
      <c r="I1131" s="113"/>
      <c r="J1131" s="113"/>
      <c r="K1131" s="113"/>
      <c r="L1131" s="113"/>
    </row>
    <row r="1132">
      <c r="A1132" s="97"/>
      <c r="B1132" s="97"/>
      <c r="C1132" s="98"/>
      <c r="D1132" s="98"/>
      <c r="E1132" s="97"/>
      <c r="F1132" s="97"/>
      <c r="G1132" s="100"/>
      <c r="H1132" s="110"/>
      <c r="I1132" s="113"/>
      <c r="J1132" s="113"/>
      <c r="K1132" s="113"/>
      <c r="L1132" s="113"/>
    </row>
    <row r="1133">
      <c r="A1133" s="97"/>
      <c r="B1133" s="97"/>
      <c r="C1133" s="98"/>
      <c r="D1133" s="98"/>
      <c r="E1133" s="97"/>
      <c r="F1133" s="97"/>
      <c r="G1133" s="100"/>
      <c r="H1133" s="110"/>
      <c r="I1133" s="113"/>
      <c r="J1133" s="113"/>
      <c r="K1133" s="113"/>
      <c r="L1133" s="113"/>
    </row>
    <row r="1134">
      <c r="A1134" s="97"/>
      <c r="B1134" s="97"/>
      <c r="C1134" s="98"/>
      <c r="D1134" s="98"/>
      <c r="E1134" s="97"/>
      <c r="F1134" s="97"/>
      <c r="G1134" s="100"/>
      <c r="H1134" s="110"/>
      <c r="I1134" s="113"/>
      <c r="J1134" s="113"/>
      <c r="K1134" s="113"/>
      <c r="L1134" s="113"/>
    </row>
    <row r="1135">
      <c r="A1135" s="97"/>
      <c r="B1135" s="97"/>
      <c r="C1135" s="98"/>
      <c r="D1135" s="98"/>
      <c r="E1135" s="97"/>
      <c r="F1135" s="97"/>
      <c r="G1135" s="100"/>
      <c r="H1135" s="110"/>
      <c r="I1135" s="113"/>
      <c r="J1135" s="113"/>
      <c r="K1135" s="113"/>
      <c r="L1135" s="113"/>
    </row>
    <row r="1136">
      <c r="A1136" s="97"/>
      <c r="B1136" s="97"/>
      <c r="C1136" s="98"/>
      <c r="D1136" s="98"/>
      <c r="E1136" s="97"/>
      <c r="F1136" s="97"/>
      <c r="G1136" s="100"/>
      <c r="H1136" s="110"/>
      <c r="I1136" s="113"/>
      <c r="J1136" s="113"/>
      <c r="K1136" s="113"/>
      <c r="L1136" s="113"/>
    </row>
    <row r="1137">
      <c r="A1137" s="97"/>
      <c r="B1137" s="97"/>
      <c r="C1137" s="98"/>
      <c r="D1137" s="98"/>
      <c r="E1137" s="97"/>
      <c r="F1137" s="97"/>
      <c r="G1137" s="100"/>
      <c r="H1137" s="110"/>
      <c r="I1137" s="113"/>
      <c r="J1137" s="113"/>
      <c r="K1137" s="113"/>
      <c r="L1137" s="113"/>
    </row>
    <row r="1138">
      <c r="A1138" s="97"/>
      <c r="B1138" s="97"/>
      <c r="C1138" s="98"/>
      <c r="D1138" s="98"/>
      <c r="E1138" s="97"/>
      <c r="F1138" s="97"/>
      <c r="G1138" s="100"/>
      <c r="H1138" s="110"/>
      <c r="I1138" s="113"/>
      <c r="J1138" s="113"/>
      <c r="K1138" s="113"/>
      <c r="L1138" s="113"/>
    </row>
    <row r="1139">
      <c r="A1139" s="97"/>
      <c r="B1139" s="97"/>
      <c r="C1139" s="98"/>
      <c r="D1139" s="98"/>
      <c r="E1139" s="97"/>
      <c r="F1139" s="97"/>
      <c r="G1139" s="100"/>
      <c r="H1139" s="110"/>
      <c r="I1139" s="113"/>
      <c r="J1139" s="113"/>
      <c r="K1139" s="113"/>
      <c r="L1139" s="113"/>
    </row>
    <row r="1140">
      <c r="A1140" s="97"/>
      <c r="B1140" s="97"/>
      <c r="C1140" s="98"/>
      <c r="D1140" s="98"/>
      <c r="E1140" s="97"/>
      <c r="F1140" s="97"/>
      <c r="G1140" s="100"/>
      <c r="H1140" s="110"/>
      <c r="I1140" s="113"/>
      <c r="J1140" s="113"/>
      <c r="K1140" s="113"/>
      <c r="L1140" s="113"/>
    </row>
    <row r="1141">
      <c r="A1141" s="97"/>
      <c r="B1141" s="97"/>
      <c r="C1141" s="98"/>
      <c r="D1141" s="98"/>
      <c r="E1141" s="97"/>
      <c r="F1141" s="97"/>
      <c r="G1141" s="100"/>
      <c r="H1141" s="110"/>
      <c r="I1141" s="113"/>
      <c r="J1141" s="113"/>
      <c r="K1141" s="113"/>
      <c r="L1141" s="113"/>
    </row>
    <row r="1142">
      <c r="A1142" s="97"/>
      <c r="B1142" s="97"/>
      <c r="C1142" s="98"/>
      <c r="D1142" s="98"/>
      <c r="E1142" s="97"/>
      <c r="F1142" s="97"/>
      <c r="G1142" s="100"/>
      <c r="H1142" s="110"/>
      <c r="I1142" s="113"/>
      <c r="J1142" s="113"/>
      <c r="K1142" s="113"/>
      <c r="L1142" s="113"/>
    </row>
    <row r="1143">
      <c r="A1143" s="97"/>
      <c r="B1143" s="97"/>
      <c r="C1143" s="98"/>
      <c r="D1143" s="98"/>
      <c r="E1143" s="97"/>
      <c r="F1143" s="97"/>
      <c r="G1143" s="100"/>
      <c r="H1143" s="110"/>
      <c r="I1143" s="113"/>
      <c r="J1143" s="113"/>
      <c r="K1143" s="113"/>
      <c r="L1143" s="113"/>
    </row>
    <row r="1144">
      <c r="A1144" s="97"/>
      <c r="B1144" s="97"/>
      <c r="C1144" s="98"/>
      <c r="D1144" s="98"/>
      <c r="E1144" s="97"/>
      <c r="F1144" s="97"/>
      <c r="G1144" s="100"/>
      <c r="H1144" s="110"/>
      <c r="I1144" s="113"/>
      <c r="J1144" s="113"/>
      <c r="K1144" s="113"/>
      <c r="L1144" s="113"/>
    </row>
    <row r="1145">
      <c r="A1145" s="97"/>
      <c r="B1145" s="97"/>
      <c r="C1145" s="98"/>
      <c r="D1145" s="98"/>
      <c r="E1145" s="97"/>
      <c r="F1145" s="97"/>
      <c r="G1145" s="100"/>
      <c r="H1145" s="110"/>
      <c r="I1145" s="113"/>
      <c r="J1145" s="113"/>
      <c r="K1145" s="113"/>
      <c r="L1145" s="113"/>
    </row>
    <row r="1146">
      <c r="A1146" s="97"/>
      <c r="B1146" s="97"/>
      <c r="C1146" s="98"/>
      <c r="D1146" s="98"/>
      <c r="E1146" s="97"/>
      <c r="F1146" s="97"/>
      <c r="G1146" s="100"/>
      <c r="H1146" s="110"/>
      <c r="I1146" s="113"/>
      <c r="J1146" s="113"/>
      <c r="K1146" s="113"/>
      <c r="L1146" s="113"/>
    </row>
  </sheetData>
  <conditionalFormatting sqref="H1:L4">
    <cfRule type="expression" dxfId="12" priority="1">
      <formula>AND(D1&lt;&gt;"",H1="")</formula>
    </cfRule>
  </conditionalFormatting>
  <conditionalFormatting sqref="H5:H1146">
    <cfRule type="expression" dxfId="12" priority="2">
      <formula>AND(H5:H174="",D5:D174&lt;&gt;"")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88"/>
    <col customWidth="1" min="3" max="3" width="32.38"/>
    <col customWidth="1" min="4" max="4" width="11.75"/>
    <col customWidth="1" min="5" max="5" width="25.75"/>
    <col customWidth="1" min="6" max="6" width="16.25"/>
    <col customWidth="1" min="7" max="7" width="18.88"/>
    <col customWidth="1" min="8" max="8" width="22.25"/>
    <col customWidth="1" min="9" max="9" width="29.0"/>
    <col customWidth="1" min="10" max="12" width="18.88"/>
  </cols>
  <sheetData>
    <row r="1">
      <c r="A1" s="107" t="s">
        <v>71</v>
      </c>
      <c r="B1" s="108" t="s">
        <v>123</v>
      </c>
      <c r="C1" s="108" t="s">
        <v>124</v>
      </c>
      <c r="D1" s="107" t="s">
        <v>125</v>
      </c>
      <c r="E1" s="107" t="s">
        <v>126</v>
      </c>
      <c r="F1" s="109" t="s">
        <v>127</v>
      </c>
      <c r="G1" s="109" t="s">
        <v>72</v>
      </c>
      <c r="H1" s="109" t="s">
        <v>73</v>
      </c>
      <c r="I1" s="109" t="s">
        <v>74</v>
      </c>
      <c r="J1" s="1"/>
      <c r="K1" s="1"/>
      <c r="L1" s="1"/>
    </row>
    <row r="2">
      <c r="A2" s="110">
        <v>46199.716119432866</v>
      </c>
      <c r="B2" s="74" t="s">
        <v>128</v>
      </c>
      <c r="C2" s="74" t="s">
        <v>129</v>
      </c>
      <c r="D2" s="74" t="s">
        <v>130</v>
      </c>
      <c r="E2" s="1"/>
      <c r="F2" s="111" t="b">
        <v>1</v>
      </c>
      <c r="G2" s="111" t="b">
        <v>1</v>
      </c>
      <c r="H2" s="111" t="b">
        <v>1</v>
      </c>
      <c r="I2" s="1"/>
      <c r="J2" s="1"/>
      <c r="K2" s="1"/>
      <c r="L2" s="1"/>
    </row>
    <row r="3">
      <c r="A3" s="110">
        <v>46199.72369572917</v>
      </c>
      <c r="B3" s="74" t="s">
        <v>131</v>
      </c>
      <c r="C3" s="74" t="s">
        <v>121</v>
      </c>
      <c r="D3" s="74" t="s">
        <v>130</v>
      </c>
      <c r="E3" s="1"/>
      <c r="F3" s="111" t="b">
        <v>1</v>
      </c>
      <c r="G3" s="111" t="b">
        <v>1</v>
      </c>
      <c r="H3" s="111" t="b">
        <v>1</v>
      </c>
      <c r="I3" s="1"/>
      <c r="J3" s="1"/>
      <c r="K3" s="1"/>
      <c r="L3" s="1"/>
    </row>
    <row r="4">
      <c r="A4" s="110">
        <v>46199.724446886576</v>
      </c>
      <c r="B4" s="74" t="s">
        <v>132</v>
      </c>
      <c r="C4" s="74" t="s">
        <v>128</v>
      </c>
      <c r="D4" s="74" t="s">
        <v>130</v>
      </c>
      <c r="E4" s="1"/>
      <c r="F4" s="111" t="b">
        <v>1</v>
      </c>
      <c r="G4" s="111" t="b">
        <v>1</v>
      </c>
      <c r="H4" s="111" t="b">
        <v>1</v>
      </c>
      <c r="I4" s="1"/>
      <c r="J4" s="1"/>
      <c r="K4" s="1"/>
      <c r="L4" s="1"/>
    </row>
    <row r="5">
      <c r="A5" s="110">
        <v>46199.72695332176</v>
      </c>
      <c r="B5" s="74" t="s">
        <v>133</v>
      </c>
      <c r="C5" s="74" t="s">
        <v>103</v>
      </c>
      <c r="D5" s="74" t="s">
        <v>130</v>
      </c>
      <c r="E5" s="1"/>
      <c r="F5" s="111" t="b">
        <v>1</v>
      </c>
      <c r="G5" s="111" t="b">
        <v>1</v>
      </c>
      <c r="H5" s="111" t="b">
        <v>1</v>
      </c>
      <c r="I5" s="1"/>
      <c r="J5" s="1"/>
      <c r="K5" s="1"/>
      <c r="L5" s="1"/>
    </row>
    <row r="6">
      <c r="A6" s="110">
        <v>46199.73074601852</v>
      </c>
      <c r="B6" s="74" t="s">
        <v>134</v>
      </c>
      <c r="C6" s="74" t="s">
        <v>135</v>
      </c>
      <c r="D6" s="74" t="s">
        <v>130</v>
      </c>
      <c r="E6" s="74" t="s">
        <v>136</v>
      </c>
      <c r="F6" s="111" t="b">
        <v>1</v>
      </c>
      <c r="G6" s="111" t="b">
        <v>1</v>
      </c>
      <c r="H6" s="111" t="b">
        <v>1</v>
      </c>
      <c r="I6" s="74" t="s">
        <v>83</v>
      </c>
      <c r="J6" s="1"/>
      <c r="K6" s="1"/>
      <c r="L6" s="1"/>
    </row>
    <row r="7">
      <c r="A7" s="110">
        <v>46199.734127986114</v>
      </c>
      <c r="B7" s="74" t="s">
        <v>137</v>
      </c>
      <c r="C7" s="74" t="s">
        <v>138</v>
      </c>
      <c r="D7" s="112" t="s">
        <v>139</v>
      </c>
      <c r="E7" s="1"/>
      <c r="F7" s="111" t="b">
        <v>1</v>
      </c>
      <c r="G7" s="111" t="b">
        <v>1</v>
      </c>
      <c r="H7" s="111" t="b">
        <v>1</v>
      </c>
      <c r="I7" s="74" t="s">
        <v>97</v>
      </c>
      <c r="J7" s="1"/>
      <c r="K7" s="1"/>
      <c r="L7" s="1"/>
    </row>
    <row r="8">
      <c r="A8" s="110">
        <v>46199.73478525463</v>
      </c>
      <c r="B8" s="74" t="s">
        <v>140</v>
      </c>
      <c r="C8" s="74" t="s">
        <v>141</v>
      </c>
      <c r="D8" s="112" t="s">
        <v>139</v>
      </c>
      <c r="E8" s="1"/>
      <c r="F8" s="111" t="b">
        <v>1</v>
      </c>
      <c r="G8" s="111" t="b">
        <v>1</v>
      </c>
      <c r="H8" s="111" t="b">
        <v>1</v>
      </c>
      <c r="I8" s="74" t="s">
        <v>102</v>
      </c>
      <c r="J8" s="1"/>
      <c r="K8" s="1"/>
      <c r="L8" s="1"/>
    </row>
    <row r="9">
      <c r="A9" s="110">
        <v>46199.73762100695</v>
      </c>
      <c r="B9" s="74" t="s">
        <v>142</v>
      </c>
      <c r="C9" s="74" t="s">
        <v>143</v>
      </c>
      <c r="D9" s="74" t="s">
        <v>130</v>
      </c>
      <c r="E9" s="1"/>
      <c r="F9" s="111" t="b">
        <v>1</v>
      </c>
      <c r="G9" s="111" t="b">
        <v>1</v>
      </c>
      <c r="H9" s="111" t="b">
        <v>1</v>
      </c>
      <c r="I9" s="74" t="s">
        <v>118</v>
      </c>
      <c r="J9" s="1"/>
      <c r="K9" s="1"/>
      <c r="L9" s="1"/>
    </row>
    <row r="10">
      <c r="A10" s="110">
        <v>46199.73873866898</v>
      </c>
      <c r="B10" s="74" t="s">
        <v>144</v>
      </c>
      <c r="C10" s="74" t="s">
        <v>145</v>
      </c>
      <c r="D10" s="112" t="s">
        <v>139</v>
      </c>
      <c r="E10" s="1"/>
      <c r="F10" s="111" t="b">
        <v>1</v>
      </c>
      <c r="G10" s="111" t="b">
        <v>1</v>
      </c>
      <c r="H10" s="111" t="b">
        <v>1</v>
      </c>
      <c r="I10" s="74" t="s">
        <v>93</v>
      </c>
      <c r="J10" s="1"/>
      <c r="K10" s="1"/>
      <c r="L10" s="1"/>
    </row>
    <row r="11">
      <c r="A11" s="110">
        <v>46199.73882767362</v>
      </c>
      <c r="B11" s="74" t="s">
        <v>146</v>
      </c>
      <c r="C11" s="74" t="s">
        <v>112</v>
      </c>
      <c r="D11" s="112" t="s">
        <v>139</v>
      </c>
      <c r="E11" s="1"/>
      <c r="F11" s="111" t="b">
        <v>1</v>
      </c>
      <c r="G11" s="111" t="b">
        <v>1</v>
      </c>
      <c r="H11" s="111" t="b">
        <v>1</v>
      </c>
      <c r="I11" s="74" t="s">
        <v>147</v>
      </c>
      <c r="J11" s="1"/>
      <c r="K11" s="1"/>
      <c r="L11" s="1"/>
    </row>
    <row r="12">
      <c r="A12" s="110">
        <v>46199.7398043287</v>
      </c>
      <c r="B12" s="74" t="s">
        <v>148</v>
      </c>
      <c r="C12" s="74" t="s">
        <v>121</v>
      </c>
      <c r="D12" s="74" t="s">
        <v>130</v>
      </c>
      <c r="E12" s="1"/>
      <c r="F12" s="111" t="b">
        <v>1</v>
      </c>
      <c r="G12" s="111" t="b">
        <v>1</v>
      </c>
      <c r="H12" s="111" t="b">
        <v>1</v>
      </c>
      <c r="I12" s="74" t="s">
        <v>97</v>
      </c>
      <c r="J12" s="1"/>
      <c r="K12" s="1"/>
      <c r="L12" s="1"/>
    </row>
    <row r="13">
      <c r="A13" s="110">
        <v>46199.74193849537</v>
      </c>
      <c r="B13" s="74" t="s">
        <v>149</v>
      </c>
      <c r="C13" s="74" t="s">
        <v>150</v>
      </c>
      <c r="D13" s="74" t="s">
        <v>130</v>
      </c>
      <c r="E13" s="1"/>
      <c r="F13" s="111" t="b">
        <v>1</v>
      </c>
      <c r="G13" s="111" t="b">
        <v>1</v>
      </c>
      <c r="H13" s="111" t="b">
        <v>1</v>
      </c>
      <c r="I13" s="74" t="s">
        <v>81</v>
      </c>
      <c r="J13" s="1"/>
      <c r="K13" s="1"/>
      <c r="L13" s="1"/>
    </row>
    <row r="14">
      <c r="A14" s="110">
        <v>46199.742925625</v>
      </c>
      <c r="B14" s="74" t="s">
        <v>151</v>
      </c>
      <c r="C14" s="74" t="s">
        <v>152</v>
      </c>
      <c r="D14" s="74" t="s">
        <v>130</v>
      </c>
      <c r="E14" s="1"/>
      <c r="F14" s="111" t="b">
        <v>1</v>
      </c>
      <c r="G14" s="111" t="b">
        <v>1</v>
      </c>
      <c r="H14" s="111" t="b">
        <v>1</v>
      </c>
      <c r="I14" s="74" t="s">
        <v>81</v>
      </c>
      <c r="J14" s="1"/>
      <c r="K14" s="1"/>
      <c r="L14" s="1"/>
    </row>
    <row r="15">
      <c r="A15" s="110">
        <v>46199.74338384259</v>
      </c>
      <c r="B15" s="74" t="s">
        <v>128</v>
      </c>
      <c r="C15" s="74" t="s">
        <v>133</v>
      </c>
      <c r="D15" s="74" t="s">
        <v>130</v>
      </c>
      <c r="E15" s="1"/>
      <c r="F15" s="111" t="b">
        <v>1</v>
      </c>
      <c r="G15" s="111" t="b">
        <v>1</v>
      </c>
      <c r="H15" s="111" t="b">
        <v>1</v>
      </c>
      <c r="I15" s="74" t="s">
        <v>83</v>
      </c>
      <c r="J15" s="1"/>
      <c r="K15" s="1"/>
      <c r="L15" s="1"/>
    </row>
    <row r="16">
      <c r="A16" s="110">
        <v>46199.74831653935</v>
      </c>
      <c r="B16" s="74" t="s">
        <v>132</v>
      </c>
      <c r="C16" s="74" t="s">
        <v>103</v>
      </c>
      <c r="D16" s="112" t="s">
        <v>139</v>
      </c>
      <c r="E16" s="74" t="s">
        <v>153</v>
      </c>
      <c r="F16" s="111" t="b">
        <v>1</v>
      </c>
      <c r="G16" s="111" t="b">
        <v>1</v>
      </c>
      <c r="H16" s="111" t="b">
        <v>1</v>
      </c>
      <c r="I16" s="74" t="s">
        <v>97</v>
      </c>
      <c r="J16" s="1"/>
      <c r="K16" s="1"/>
      <c r="L16" s="1"/>
    </row>
    <row r="17">
      <c r="A17" s="110">
        <v>46199.7506369676</v>
      </c>
      <c r="B17" s="74" t="s">
        <v>154</v>
      </c>
      <c r="C17" s="74" t="s">
        <v>134</v>
      </c>
      <c r="D17" s="74" t="s">
        <v>130</v>
      </c>
      <c r="E17" s="1"/>
      <c r="F17" s="111" t="b">
        <v>1</v>
      </c>
      <c r="G17" s="111" t="b">
        <v>1</v>
      </c>
      <c r="H17" s="111" t="b">
        <v>1</v>
      </c>
      <c r="I17" s="74" t="s">
        <v>147</v>
      </c>
      <c r="J17" s="1"/>
      <c r="K17" s="1"/>
      <c r="L17" s="1"/>
    </row>
    <row r="18">
      <c r="A18" s="110">
        <v>46199.75119226852</v>
      </c>
      <c r="B18" s="74" t="s">
        <v>155</v>
      </c>
      <c r="C18" s="74" t="s">
        <v>156</v>
      </c>
      <c r="D18" s="112" t="s">
        <v>139</v>
      </c>
      <c r="E18" s="74" t="s">
        <v>157</v>
      </c>
      <c r="F18" s="111" t="b">
        <v>1</v>
      </c>
      <c r="G18" s="111" t="b">
        <v>1</v>
      </c>
      <c r="H18" s="111" t="b">
        <v>1</v>
      </c>
      <c r="I18" s="74" t="s">
        <v>118</v>
      </c>
      <c r="J18" s="1"/>
      <c r="K18" s="1"/>
      <c r="L18" s="1"/>
    </row>
    <row r="19">
      <c r="A19" s="110">
        <v>46199.75226861111</v>
      </c>
      <c r="B19" s="74" t="s">
        <v>144</v>
      </c>
      <c r="C19" s="74" t="s">
        <v>135</v>
      </c>
      <c r="D19" s="74" t="s">
        <v>130</v>
      </c>
      <c r="E19" s="74" t="s">
        <v>158</v>
      </c>
      <c r="F19" s="111" t="b">
        <v>1</v>
      </c>
      <c r="G19" s="111" t="b">
        <v>1</v>
      </c>
      <c r="H19" s="111" t="b">
        <v>1</v>
      </c>
      <c r="I19" s="74" t="s">
        <v>120</v>
      </c>
      <c r="J19" s="1"/>
      <c r="K19" s="1"/>
      <c r="L19" s="1"/>
    </row>
    <row r="20">
      <c r="A20" s="110">
        <v>46199.75825349537</v>
      </c>
      <c r="B20" s="74" t="s">
        <v>159</v>
      </c>
      <c r="C20" s="74" t="s">
        <v>133</v>
      </c>
      <c r="D20" s="74" t="s">
        <v>130</v>
      </c>
      <c r="E20" s="1"/>
      <c r="F20" s="111" t="b">
        <v>1</v>
      </c>
      <c r="G20" s="111" t="b">
        <v>1</v>
      </c>
      <c r="H20" s="111" t="b">
        <v>1</v>
      </c>
      <c r="I20" s="74" t="s">
        <v>98</v>
      </c>
      <c r="J20" s="1"/>
      <c r="K20" s="1"/>
      <c r="L20" s="1"/>
    </row>
    <row r="21">
      <c r="A21" s="110">
        <v>46199.76257947917</v>
      </c>
      <c r="B21" s="74" t="s">
        <v>137</v>
      </c>
      <c r="C21" s="74" t="s">
        <v>132</v>
      </c>
      <c r="D21" s="74" t="s">
        <v>130</v>
      </c>
      <c r="E21" s="1"/>
      <c r="F21" s="111" t="b">
        <v>1</v>
      </c>
      <c r="G21" s="111" t="b">
        <v>1</v>
      </c>
      <c r="H21" s="111" t="b">
        <v>1</v>
      </c>
      <c r="I21" s="74" t="s">
        <v>118</v>
      </c>
      <c r="J21" s="1"/>
      <c r="K21" s="1"/>
      <c r="L21" s="1"/>
    </row>
    <row r="22">
      <c r="A22" s="110">
        <v>46199.762821111115</v>
      </c>
      <c r="B22" s="74" t="s">
        <v>160</v>
      </c>
      <c r="C22" s="74" t="s">
        <v>161</v>
      </c>
      <c r="D22" s="112" t="s">
        <v>139</v>
      </c>
      <c r="E22" s="1"/>
      <c r="F22" s="111" t="b">
        <v>1</v>
      </c>
      <c r="G22" s="111" t="b">
        <v>1</v>
      </c>
      <c r="H22" s="111" t="b">
        <v>1</v>
      </c>
      <c r="I22" s="74" t="s">
        <v>118</v>
      </c>
      <c r="J22" s="1"/>
      <c r="K22" s="1"/>
      <c r="L22" s="1"/>
    </row>
    <row r="23">
      <c r="A23" s="110">
        <v>46199.768145636575</v>
      </c>
      <c r="B23" s="74" t="s">
        <v>142</v>
      </c>
      <c r="C23" s="74" t="s">
        <v>145</v>
      </c>
      <c r="D23" s="112" t="s">
        <v>139</v>
      </c>
      <c r="E23" s="1"/>
      <c r="F23" s="111" t="b">
        <v>1</v>
      </c>
      <c r="G23" s="111" t="b">
        <v>1</v>
      </c>
      <c r="H23" s="111" t="b">
        <v>1</v>
      </c>
      <c r="I23" s="74" t="s">
        <v>83</v>
      </c>
      <c r="J23" s="1"/>
      <c r="K23" s="1"/>
      <c r="L23" s="1"/>
    </row>
    <row r="24">
      <c r="A24" s="110">
        <v>46199.77055681713</v>
      </c>
      <c r="B24" s="74" t="s">
        <v>162</v>
      </c>
      <c r="C24" s="74" t="s">
        <v>140</v>
      </c>
      <c r="D24" s="74" t="s">
        <v>130</v>
      </c>
      <c r="E24" s="1"/>
      <c r="F24" s="111" t="b">
        <v>1</v>
      </c>
      <c r="G24" s="111" t="b">
        <v>1</v>
      </c>
      <c r="H24" s="111" t="b">
        <v>1</v>
      </c>
      <c r="I24" s="74" t="s">
        <v>83</v>
      </c>
      <c r="J24" s="1"/>
      <c r="K24" s="1"/>
      <c r="L24" s="1"/>
    </row>
    <row r="25">
      <c r="A25" s="110">
        <v>46199.77235693287</v>
      </c>
      <c r="B25" s="74" t="s">
        <v>163</v>
      </c>
      <c r="C25" s="74" t="s">
        <v>149</v>
      </c>
      <c r="D25" s="112" t="s">
        <v>139</v>
      </c>
      <c r="E25" s="1"/>
      <c r="F25" s="111" t="b">
        <v>1</v>
      </c>
      <c r="G25" s="111" t="b">
        <v>1</v>
      </c>
      <c r="H25" s="111" t="b">
        <v>1</v>
      </c>
      <c r="I25" s="74" t="s">
        <v>81</v>
      </c>
      <c r="J25" s="1"/>
      <c r="K25" s="1"/>
      <c r="L25" s="1"/>
    </row>
    <row r="26">
      <c r="A26" s="110">
        <v>46199.773141701386</v>
      </c>
      <c r="B26" s="74" t="s">
        <v>103</v>
      </c>
      <c r="C26" s="74" t="s">
        <v>154</v>
      </c>
      <c r="D26" s="112" t="s">
        <v>139</v>
      </c>
      <c r="E26" s="1"/>
      <c r="F26" s="111" t="b">
        <v>1</v>
      </c>
      <c r="G26" s="111" t="b">
        <v>1</v>
      </c>
      <c r="H26" s="111" t="b">
        <v>1</v>
      </c>
      <c r="I26" s="74" t="s">
        <v>87</v>
      </c>
      <c r="J26" s="1"/>
      <c r="K26" s="1"/>
      <c r="L26" s="1"/>
    </row>
    <row r="27">
      <c r="A27" s="110">
        <v>46199.77678447917</v>
      </c>
      <c r="B27" s="74" t="s">
        <v>148</v>
      </c>
      <c r="C27" s="74" t="s">
        <v>134</v>
      </c>
      <c r="D27" s="112" t="s">
        <v>139</v>
      </c>
      <c r="E27" s="1"/>
      <c r="F27" s="111" t="b">
        <v>1</v>
      </c>
      <c r="G27" s="111" t="b">
        <v>1</v>
      </c>
      <c r="H27" s="111" t="b">
        <v>1</v>
      </c>
      <c r="I27" s="74" t="s">
        <v>95</v>
      </c>
      <c r="J27" s="1"/>
      <c r="K27" s="1"/>
      <c r="L27" s="1"/>
    </row>
    <row r="28">
      <c r="A28" s="110">
        <v>46199.78231686343</v>
      </c>
      <c r="B28" s="74" t="s">
        <v>164</v>
      </c>
      <c r="C28" s="74" t="s">
        <v>108</v>
      </c>
      <c r="D28" s="74" t="s">
        <v>130</v>
      </c>
      <c r="E28" s="74" t="s">
        <v>165</v>
      </c>
      <c r="F28" s="111" t="b">
        <v>1</v>
      </c>
      <c r="G28" s="111" t="b">
        <v>1</v>
      </c>
      <c r="H28" s="111" t="b">
        <v>1</v>
      </c>
      <c r="I28" s="74" t="s">
        <v>147</v>
      </c>
      <c r="J28" s="1"/>
      <c r="K28" s="1"/>
      <c r="L28" s="1"/>
    </row>
    <row r="29">
      <c r="A29" s="110">
        <v>46199.788281354166</v>
      </c>
      <c r="B29" s="74" t="s">
        <v>145</v>
      </c>
      <c r="C29" s="74" t="s">
        <v>151</v>
      </c>
      <c r="D29" s="74" t="s">
        <v>130</v>
      </c>
      <c r="E29" s="1"/>
      <c r="F29" s="111" t="b">
        <v>1</v>
      </c>
      <c r="G29" s="111" t="b">
        <v>1</v>
      </c>
      <c r="H29" s="111" t="b">
        <v>1</v>
      </c>
      <c r="I29" s="74" t="s">
        <v>85</v>
      </c>
      <c r="J29" s="1"/>
      <c r="K29" s="1"/>
      <c r="L29" s="1"/>
    </row>
    <row r="30">
      <c r="A30" s="110">
        <v>46199.79183340278</v>
      </c>
      <c r="B30" s="74" t="s">
        <v>75</v>
      </c>
      <c r="C30" s="74" t="s">
        <v>103</v>
      </c>
      <c r="D30" s="74" t="s">
        <v>130</v>
      </c>
      <c r="E30" s="1"/>
      <c r="F30" s="111" t="b">
        <v>1</v>
      </c>
      <c r="G30" s="111" t="b">
        <v>1</v>
      </c>
      <c r="H30" s="111" t="b">
        <v>1</v>
      </c>
      <c r="I30" s="74" t="s">
        <v>102</v>
      </c>
      <c r="J30" s="1"/>
      <c r="K30" s="1"/>
      <c r="L30" s="1"/>
    </row>
    <row r="31">
      <c r="A31" s="110">
        <v>46199.79283162037</v>
      </c>
      <c r="B31" s="74" t="s">
        <v>133</v>
      </c>
      <c r="C31" s="74" t="s">
        <v>166</v>
      </c>
      <c r="D31" s="112" t="s">
        <v>139</v>
      </c>
      <c r="E31" s="74" t="s">
        <v>167</v>
      </c>
      <c r="F31" s="111" t="b">
        <v>1</v>
      </c>
      <c r="G31" s="111" t="b">
        <v>1</v>
      </c>
      <c r="H31" s="111" t="b">
        <v>1</v>
      </c>
      <c r="I31" s="74" t="s">
        <v>102</v>
      </c>
      <c r="J31" s="1"/>
      <c r="K31" s="1"/>
      <c r="L31" s="1"/>
    </row>
    <row r="32">
      <c r="A32" s="110">
        <v>46199.79287672453</v>
      </c>
      <c r="B32" s="74" t="s">
        <v>164</v>
      </c>
      <c r="C32" s="74" t="s">
        <v>154</v>
      </c>
      <c r="D32" s="74" t="s">
        <v>130</v>
      </c>
      <c r="E32" s="74" t="s">
        <v>165</v>
      </c>
      <c r="F32" s="111" t="b">
        <v>1</v>
      </c>
      <c r="G32" s="111" t="b">
        <v>1</v>
      </c>
      <c r="H32" s="111" t="b">
        <v>1</v>
      </c>
      <c r="I32" s="74" t="s">
        <v>99</v>
      </c>
      <c r="J32" s="1"/>
      <c r="K32" s="1"/>
      <c r="L32" s="1"/>
    </row>
    <row r="33">
      <c r="A33" s="110">
        <v>46199.79412365741</v>
      </c>
      <c r="B33" s="74" t="s">
        <v>137</v>
      </c>
      <c r="C33" s="74" t="s">
        <v>163</v>
      </c>
      <c r="D33" s="74" t="s">
        <v>130</v>
      </c>
      <c r="E33" s="1"/>
      <c r="F33" s="111" t="b">
        <v>1</v>
      </c>
      <c r="G33" s="111" t="b">
        <v>1</v>
      </c>
      <c r="H33" s="111" t="b">
        <v>1</v>
      </c>
      <c r="I33" s="74" t="s">
        <v>81</v>
      </c>
      <c r="J33" s="1"/>
      <c r="K33" s="1"/>
      <c r="L33" s="1"/>
    </row>
    <row r="34">
      <c r="A34" s="110">
        <v>46199.80883645834</v>
      </c>
      <c r="B34" s="74" t="s">
        <v>168</v>
      </c>
      <c r="C34" s="74" t="s">
        <v>150</v>
      </c>
      <c r="D34" s="74" t="s">
        <v>130</v>
      </c>
      <c r="E34" s="1"/>
      <c r="F34" s="111" t="b">
        <v>1</v>
      </c>
      <c r="G34" s="111" t="b">
        <v>1</v>
      </c>
      <c r="H34" s="111" t="b">
        <v>1</v>
      </c>
      <c r="I34" s="74" t="s">
        <v>84</v>
      </c>
      <c r="J34" s="1"/>
      <c r="K34" s="1"/>
      <c r="L34" s="1"/>
    </row>
    <row r="35">
      <c r="A35" s="110">
        <v>46199.81611868055</v>
      </c>
      <c r="B35" s="74" t="s">
        <v>164</v>
      </c>
      <c r="C35" s="74" t="s">
        <v>133</v>
      </c>
      <c r="D35" s="112" t="s">
        <v>139</v>
      </c>
      <c r="E35" s="74" t="s">
        <v>165</v>
      </c>
      <c r="F35" s="111" t="b">
        <v>1</v>
      </c>
      <c r="G35" s="111" t="b">
        <v>1</v>
      </c>
      <c r="H35" s="111" t="b">
        <v>1</v>
      </c>
      <c r="I35" s="74" t="s">
        <v>147</v>
      </c>
      <c r="J35" s="1"/>
      <c r="K35" s="1"/>
      <c r="L35" s="1"/>
    </row>
    <row r="36">
      <c r="A36" s="110">
        <v>46199.8245153125</v>
      </c>
      <c r="B36" s="74" t="s">
        <v>169</v>
      </c>
      <c r="C36" s="74" t="s">
        <v>164</v>
      </c>
      <c r="D36" s="74" t="s">
        <v>130</v>
      </c>
      <c r="E36" s="1"/>
      <c r="F36" s="111" t="b">
        <v>1</v>
      </c>
      <c r="G36" s="111" t="b">
        <v>1</v>
      </c>
      <c r="H36" s="111" t="b">
        <v>1</v>
      </c>
      <c r="I36" s="74" t="s">
        <v>81</v>
      </c>
      <c r="J36" s="1"/>
      <c r="K36" s="1"/>
      <c r="L36" s="1"/>
    </row>
    <row r="37">
      <c r="A37" s="110">
        <v>46199.82627790509</v>
      </c>
      <c r="B37" s="74" t="s">
        <v>170</v>
      </c>
      <c r="C37" s="74" t="s">
        <v>171</v>
      </c>
      <c r="D37" s="112" t="s">
        <v>139</v>
      </c>
      <c r="E37" s="1"/>
      <c r="F37" s="111" t="b">
        <v>1</v>
      </c>
      <c r="G37" s="111" t="b">
        <v>1</v>
      </c>
      <c r="H37" s="111" t="b">
        <v>1</v>
      </c>
      <c r="I37" s="74" t="s">
        <v>97</v>
      </c>
      <c r="J37" s="1"/>
      <c r="K37" s="1"/>
      <c r="L37" s="1"/>
    </row>
    <row r="38">
      <c r="A38" s="110">
        <v>46199.82753579861</v>
      </c>
      <c r="B38" s="74" t="s">
        <v>154</v>
      </c>
      <c r="C38" s="74" t="s">
        <v>140</v>
      </c>
      <c r="D38" s="112" t="s">
        <v>139</v>
      </c>
      <c r="E38" s="1"/>
      <c r="F38" s="111" t="b">
        <v>1</v>
      </c>
      <c r="G38" s="111" t="b">
        <v>1</v>
      </c>
      <c r="H38" s="111" t="b">
        <v>1</v>
      </c>
      <c r="I38" s="74" t="s">
        <v>87</v>
      </c>
      <c r="J38" s="1"/>
      <c r="K38" s="1"/>
      <c r="L38" s="1"/>
    </row>
    <row r="39">
      <c r="A39" s="110">
        <v>46199.83411844907</v>
      </c>
      <c r="B39" s="74" t="s">
        <v>172</v>
      </c>
      <c r="C39" s="74" t="s">
        <v>103</v>
      </c>
      <c r="D39" s="112" t="s">
        <v>139</v>
      </c>
      <c r="E39" s="74" t="s">
        <v>173</v>
      </c>
      <c r="F39" s="111" t="b">
        <v>1</v>
      </c>
      <c r="G39" s="111" t="b">
        <v>1</v>
      </c>
      <c r="H39" s="111" t="b">
        <v>1</v>
      </c>
      <c r="I39" s="74" t="s">
        <v>106</v>
      </c>
      <c r="J39" s="1"/>
      <c r="K39" s="1"/>
      <c r="L39" s="1"/>
    </row>
    <row r="40">
      <c r="A40" s="110">
        <v>46199.841129340275</v>
      </c>
      <c r="B40" s="74" t="s">
        <v>174</v>
      </c>
      <c r="C40" s="74" t="s">
        <v>131</v>
      </c>
      <c r="D40" s="112" t="s">
        <v>139</v>
      </c>
      <c r="E40" s="74" t="s">
        <v>175</v>
      </c>
      <c r="F40" s="111" t="b">
        <v>1</v>
      </c>
      <c r="G40" s="111" t="b">
        <v>1</v>
      </c>
      <c r="H40" s="111" t="b">
        <v>1</v>
      </c>
      <c r="I40" s="74" t="s">
        <v>102</v>
      </c>
      <c r="J40" s="1"/>
      <c r="K40" s="1"/>
      <c r="L40" s="1"/>
    </row>
    <row r="41">
      <c r="A41" s="110">
        <v>46199.84586153935</v>
      </c>
      <c r="B41" s="74" t="s">
        <v>176</v>
      </c>
      <c r="C41" s="74" t="s">
        <v>154</v>
      </c>
      <c r="D41" s="112" t="s">
        <v>139</v>
      </c>
      <c r="E41" s="1"/>
      <c r="F41" s="111" t="b">
        <v>1</v>
      </c>
      <c r="G41" s="111" t="b">
        <v>1</v>
      </c>
      <c r="H41" s="111" t="b">
        <v>1</v>
      </c>
      <c r="I41" s="74" t="s">
        <v>97</v>
      </c>
      <c r="J41" s="1"/>
      <c r="K41" s="1"/>
      <c r="L41" s="1"/>
    </row>
    <row r="42">
      <c r="A42" s="110">
        <v>46199.85149666667</v>
      </c>
      <c r="B42" s="74" t="s">
        <v>169</v>
      </c>
      <c r="C42" s="74" t="s">
        <v>171</v>
      </c>
      <c r="D42" s="74" t="s">
        <v>130</v>
      </c>
      <c r="E42" s="1"/>
      <c r="F42" s="111" t="b">
        <v>1</v>
      </c>
      <c r="G42" s="111" t="b">
        <v>1</v>
      </c>
      <c r="H42" s="111" t="b">
        <v>1</v>
      </c>
      <c r="I42" s="74" t="s">
        <v>93</v>
      </c>
      <c r="J42" s="1"/>
      <c r="K42" s="1"/>
      <c r="L42" s="1"/>
    </row>
    <row r="43">
      <c r="A43" s="110">
        <v>46199.85449493055</v>
      </c>
      <c r="B43" s="74" t="s">
        <v>159</v>
      </c>
      <c r="C43" s="74" t="s">
        <v>177</v>
      </c>
      <c r="D43" s="74" t="s">
        <v>130</v>
      </c>
      <c r="E43" s="1"/>
      <c r="F43" s="111" t="b">
        <v>1</v>
      </c>
      <c r="G43" s="111" t="b">
        <v>1</v>
      </c>
      <c r="H43" s="111" t="b">
        <v>1</v>
      </c>
      <c r="I43" s="74" t="s">
        <v>93</v>
      </c>
      <c r="J43" s="1"/>
      <c r="K43" s="1"/>
      <c r="L43" s="1"/>
    </row>
    <row r="44">
      <c r="A44" s="110">
        <v>46199.855468298614</v>
      </c>
      <c r="B44" s="74" t="s">
        <v>178</v>
      </c>
      <c r="C44" s="74" t="s">
        <v>141</v>
      </c>
      <c r="D44" s="112" t="s">
        <v>139</v>
      </c>
      <c r="E44" s="1"/>
      <c r="F44" s="111" t="b">
        <v>1</v>
      </c>
      <c r="G44" s="111" t="b">
        <v>1</v>
      </c>
      <c r="H44" s="111" t="b">
        <v>1</v>
      </c>
      <c r="I44" s="74" t="s">
        <v>97</v>
      </c>
      <c r="J44" s="1"/>
      <c r="K44" s="1"/>
      <c r="L44" s="1"/>
    </row>
    <row r="45">
      <c r="A45" s="110">
        <v>46199.85756179398</v>
      </c>
      <c r="B45" s="74" t="s">
        <v>176</v>
      </c>
      <c r="C45" s="74" t="s">
        <v>151</v>
      </c>
      <c r="D45" s="74" t="s">
        <v>130</v>
      </c>
      <c r="E45" s="1"/>
      <c r="F45" s="111" t="b">
        <v>1</v>
      </c>
      <c r="G45" s="111" t="b">
        <v>1</v>
      </c>
      <c r="H45" s="111" t="b">
        <v>1</v>
      </c>
      <c r="I45" s="74" t="s">
        <v>81</v>
      </c>
      <c r="J45" s="1"/>
      <c r="K45" s="1"/>
      <c r="L45" s="1"/>
    </row>
    <row r="46">
      <c r="A46" s="110">
        <v>46199.85926541667</v>
      </c>
      <c r="B46" s="74" t="s">
        <v>170</v>
      </c>
      <c r="C46" s="74" t="s">
        <v>179</v>
      </c>
      <c r="D46" s="112" t="s">
        <v>139</v>
      </c>
      <c r="E46" s="1"/>
      <c r="F46" s="111" t="b">
        <v>1</v>
      </c>
      <c r="G46" s="111" t="b">
        <v>1</v>
      </c>
      <c r="H46" s="111" t="b">
        <v>1</v>
      </c>
      <c r="I46" s="74" t="s">
        <v>83</v>
      </c>
      <c r="J46" s="1"/>
      <c r="K46" s="1"/>
      <c r="L46" s="1"/>
    </row>
    <row r="47">
      <c r="A47" s="110">
        <v>46199.866030833335</v>
      </c>
      <c r="B47" s="74" t="s">
        <v>131</v>
      </c>
      <c r="C47" s="74" t="s">
        <v>180</v>
      </c>
      <c r="D47" s="74" t="s">
        <v>130</v>
      </c>
      <c r="E47" s="1"/>
      <c r="F47" s="111" t="b">
        <v>1</v>
      </c>
      <c r="G47" s="111" t="b">
        <v>1</v>
      </c>
      <c r="H47" s="111" t="b">
        <v>1</v>
      </c>
      <c r="I47" s="74" t="s">
        <v>85</v>
      </c>
      <c r="J47" s="1"/>
      <c r="K47" s="1"/>
      <c r="L47" s="1"/>
    </row>
    <row r="48">
      <c r="A48" s="110">
        <v>46199.88218261574</v>
      </c>
      <c r="B48" s="74" t="s">
        <v>171</v>
      </c>
      <c r="C48" s="74" t="s">
        <v>140</v>
      </c>
      <c r="D48" s="112" t="s">
        <v>139</v>
      </c>
      <c r="E48" s="1"/>
      <c r="F48" s="111" t="b">
        <v>1</v>
      </c>
      <c r="G48" s="111" t="b">
        <v>1</v>
      </c>
      <c r="H48" s="111" t="b">
        <v>1</v>
      </c>
      <c r="I48" s="74" t="s">
        <v>147</v>
      </c>
      <c r="J48" s="1"/>
      <c r="K48" s="1"/>
      <c r="L48" s="1"/>
    </row>
    <row r="49">
      <c r="A49" s="110">
        <v>46199.88336284722</v>
      </c>
      <c r="B49" s="74" t="s">
        <v>178</v>
      </c>
      <c r="C49" s="74" t="s">
        <v>181</v>
      </c>
      <c r="D49" s="112" t="s">
        <v>139</v>
      </c>
      <c r="E49" s="1"/>
      <c r="F49" s="111" t="b">
        <v>1</v>
      </c>
      <c r="G49" s="111" t="b">
        <v>1</v>
      </c>
      <c r="H49" s="111" t="b">
        <v>1</v>
      </c>
      <c r="I49" s="74" t="s">
        <v>93</v>
      </c>
      <c r="J49" s="1"/>
      <c r="K49" s="1"/>
      <c r="L49" s="1"/>
    </row>
    <row r="50">
      <c r="A50" s="110">
        <v>46199.88585777778</v>
      </c>
      <c r="B50" s="74" t="s">
        <v>169</v>
      </c>
      <c r="C50" s="74" t="s">
        <v>176</v>
      </c>
      <c r="D50" s="112" t="s">
        <v>139</v>
      </c>
      <c r="E50" s="1"/>
      <c r="F50" s="111" t="b">
        <v>1</v>
      </c>
      <c r="G50" s="111" t="b">
        <v>1</v>
      </c>
      <c r="H50" s="111" t="b">
        <v>1</v>
      </c>
      <c r="I50" s="74" t="s">
        <v>83</v>
      </c>
      <c r="J50" s="1"/>
      <c r="K50" s="1"/>
      <c r="L50" s="1"/>
    </row>
    <row r="51">
      <c r="A51" s="110">
        <v>46199.902677418984</v>
      </c>
      <c r="B51" s="74" t="s">
        <v>180</v>
      </c>
      <c r="C51" s="74" t="s">
        <v>182</v>
      </c>
      <c r="D51" s="74" t="s">
        <v>130</v>
      </c>
      <c r="E51" s="74" t="s">
        <v>157</v>
      </c>
      <c r="F51" s="111" t="b">
        <v>1</v>
      </c>
      <c r="G51" s="111" t="b">
        <v>1</v>
      </c>
      <c r="H51" s="111" t="b">
        <v>1</v>
      </c>
      <c r="I51" s="74" t="s">
        <v>147</v>
      </c>
      <c r="J51" s="1"/>
      <c r="K51" s="1"/>
      <c r="L51" s="1"/>
    </row>
    <row r="52">
      <c r="A52" s="110">
        <v>46199.90567506944</v>
      </c>
      <c r="B52" s="74" t="s">
        <v>183</v>
      </c>
      <c r="C52" s="74" t="s">
        <v>184</v>
      </c>
      <c r="D52" s="112" t="s">
        <v>139</v>
      </c>
      <c r="E52" s="74" t="s">
        <v>167</v>
      </c>
      <c r="F52" s="111" t="b">
        <v>1</v>
      </c>
      <c r="G52" s="111" t="b">
        <v>1</v>
      </c>
      <c r="H52" s="111" t="b">
        <v>1</v>
      </c>
      <c r="I52" s="74" t="s">
        <v>85</v>
      </c>
      <c r="J52" s="1"/>
      <c r="K52" s="1"/>
      <c r="L52" s="1"/>
    </row>
    <row r="53">
      <c r="A53" s="110">
        <v>46199.91360086805</v>
      </c>
      <c r="B53" s="74" t="s">
        <v>181</v>
      </c>
      <c r="C53" s="74" t="s">
        <v>185</v>
      </c>
      <c r="D53" s="112" t="s">
        <v>139</v>
      </c>
      <c r="E53" s="1"/>
      <c r="F53" s="111" t="b">
        <v>1</v>
      </c>
      <c r="G53" s="111" t="b">
        <v>1</v>
      </c>
      <c r="H53" s="111" t="b">
        <v>1</v>
      </c>
      <c r="I53" s="74" t="s">
        <v>83</v>
      </c>
      <c r="J53" s="1"/>
      <c r="K53" s="1"/>
      <c r="L53" s="1"/>
    </row>
    <row r="54">
      <c r="A54" s="110">
        <v>46199.91393502315</v>
      </c>
      <c r="B54" s="74" t="s">
        <v>169</v>
      </c>
      <c r="C54" s="74" t="s">
        <v>75</v>
      </c>
      <c r="D54" s="74" t="s">
        <v>130</v>
      </c>
      <c r="E54" s="74" t="s">
        <v>167</v>
      </c>
      <c r="F54" s="111" t="b">
        <v>1</v>
      </c>
      <c r="G54" s="111" t="b">
        <v>1</v>
      </c>
      <c r="H54" s="111" t="b">
        <v>1</v>
      </c>
      <c r="I54" s="74" t="s">
        <v>102</v>
      </c>
      <c r="J54" s="1"/>
      <c r="K54" s="1"/>
      <c r="L54" s="1"/>
    </row>
    <row r="55">
      <c r="A55" s="110">
        <v>46199.92002160879</v>
      </c>
      <c r="B55" s="74" t="s">
        <v>182</v>
      </c>
      <c r="C55" s="74" t="s">
        <v>140</v>
      </c>
      <c r="D55" s="74" t="s">
        <v>130</v>
      </c>
      <c r="E55" s="1"/>
      <c r="F55" s="111" t="b">
        <v>1</v>
      </c>
      <c r="G55" s="111" t="b">
        <v>1</v>
      </c>
      <c r="H55" s="111" t="b">
        <v>1</v>
      </c>
      <c r="I55" s="74" t="s">
        <v>87</v>
      </c>
      <c r="J55" s="1"/>
      <c r="K55" s="1"/>
      <c r="L55" s="1"/>
    </row>
    <row r="56">
      <c r="A56" s="110">
        <v>46199.924121296295</v>
      </c>
      <c r="B56" s="74" t="s">
        <v>180</v>
      </c>
      <c r="C56" s="74" t="s">
        <v>186</v>
      </c>
      <c r="D56" s="112" t="s">
        <v>139</v>
      </c>
      <c r="E56" s="74" t="s">
        <v>187</v>
      </c>
      <c r="F56" s="111" t="b">
        <v>1</v>
      </c>
      <c r="G56" s="111" t="b">
        <v>1</v>
      </c>
      <c r="H56" s="111" t="b">
        <v>1</v>
      </c>
      <c r="I56" s="74" t="s">
        <v>102</v>
      </c>
      <c r="J56" s="1"/>
      <c r="K56" s="1"/>
      <c r="L56" s="1"/>
    </row>
    <row r="57">
      <c r="A57" s="110">
        <v>46199.93196398148</v>
      </c>
      <c r="B57" s="74" t="s">
        <v>122</v>
      </c>
      <c r="C57" s="74" t="s">
        <v>188</v>
      </c>
      <c r="D57" s="74" t="s">
        <v>130</v>
      </c>
      <c r="E57" s="74" t="s">
        <v>189</v>
      </c>
      <c r="F57" s="111" t="b">
        <v>1</v>
      </c>
      <c r="G57" s="111" t="b">
        <v>1</v>
      </c>
      <c r="H57" s="111" t="b">
        <v>1</v>
      </c>
      <c r="I57" s="74" t="s">
        <v>85</v>
      </c>
      <c r="J57" s="1"/>
      <c r="K57" s="1"/>
      <c r="L57" s="1"/>
    </row>
    <row r="58">
      <c r="A58" s="110">
        <v>46199.93313677084</v>
      </c>
      <c r="B58" s="74" t="s">
        <v>171</v>
      </c>
      <c r="C58" s="74" t="s">
        <v>185</v>
      </c>
      <c r="D58" s="74" t="s">
        <v>130</v>
      </c>
      <c r="E58" s="1"/>
      <c r="F58" s="111" t="b">
        <v>1</v>
      </c>
      <c r="G58" s="111" t="b">
        <v>1</v>
      </c>
      <c r="H58" s="111" t="b">
        <v>1</v>
      </c>
      <c r="I58" s="74" t="s">
        <v>81</v>
      </c>
      <c r="J58" s="1"/>
      <c r="K58" s="1"/>
      <c r="L58" s="1"/>
    </row>
    <row r="59">
      <c r="A59" s="110">
        <v>46199.94541050926</v>
      </c>
      <c r="B59" s="74" t="s">
        <v>190</v>
      </c>
      <c r="C59" s="74" t="s">
        <v>168</v>
      </c>
      <c r="D59" s="112" t="s">
        <v>139</v>
      </c>
      <c r="E59" s="1"/>
      <c r="F59" s="111" t="b">
        <v>1</v>
      </c>
      <c r="G59" s="111" t="b">
        <v>1</v>
      </c>
      <c r="H59" s="111" t="b">
        <v>1</v>
      </c>
      <c r="I59" s="74" t="s">
        <v>87</v>
      </c>
      <c r="J59" s="1"/>
      <c r="K59" s="1"/>
      <c r="L59" s="1"/>
    </row>
    <row r="60">
      <c r="A60" s="110">
        <v>46199.94621351852</v>
      </c>
      <c r="B60" s="74" t="s">
        <v>176</v>
      </c>
      <c r="C60" s="74" t="s">
        <v>122</v>
      </c>
      <c r="D60" s="74" t="s">
        <v>130</v>
      </c>
      <c r="E60" s="1"/>
      <c r="F60" s="111" t="b">
        <v>1</v>
      </c>
      <c r="G60" s="111" t="b">
        <v>1</v>
      </c>
      <c r="H60" s="111" t="b">
        <v>1</v>
      </c>
      <c r="I60" s="74" t="s">
        <v>87</v>
      </c>
      <c r="J60" s="1"/>
      <c r="K60" s="1"/>
      <c r="L60" s="1"/>
    </row>
    <row r="61">
      <c r="A61" s="110">
        <v>46199.94901261574</v>
      </c>
      <c r="B61" s="74" t="s">
        <v>191</v>
      </c>
      <c r="C61" s="74" t="s">
        <v>181</v>
      </c>
      <c r="D61" s="112" t="s">
        <v>139</v>
      </c>
      <c r="E61" s="74" t="s">
        <v>192</v>
      </c>
      <c r="F61" s="111" t="b">
        <v>1</v>
      </c>
      <c r="G61" s="111" t="b">
        <v>1</v>
      </c>
      <c r="H61" s="111" t="b">
        <v>1</v>
      </c>
      <c r="I61" s="74" t="s">
        <v>97</v>
      </c>
      <c r="J61" s="1"/>
      <c r="K61" s="1"/>
      <c r="L61" s="1"/>
    </row>
    <row r="62">
      <c r="A62" s="110">
        <v>46199.9491499537</v>
      </c>
      <c r="B62" s="74" t="s">
        <v>91</v>
      </c>
      <c r="C62" s="74" t="s">
        <v>188</v>
      </c>
      <c r="D62" s="74" t="s">
        <v>130</v>
      </c>
      <c r="E62" s="1"/>
      <c r="F62" s="111" t="b">
        <v>1</v>
      </c>
      <c r="G62" s="111" t="b">
        <v>1</v>
      </c>
      <c r="H62" s="111" t="b">
        <v>1</v>
      </c>
      <c r="I62" s="74" t="s">
        <v>87</v>
      </c>
      <c r="J62" s="1"/>
      <c r="K62" s="1"/>
      <c r="L62" s="1"/>
    </row>
    <row r="63">
      <c r="A63" s="110">
        <v>46199.9519024537</v>
      </c>
      <c r="B63" s="74" t="s">
        <v>186</v>
      </c>
      <c r="C63" s="74" t="s">
        <v>151</v>
      </c>
      <c r="D63" s="74" t="s">
        <v>130</v>
      </c>
      <c r="E63" s="1"/>
      <c r="F63" s="111" t="b">
        <v>1</v>
      </c>
      <c r="G63" s="111" t="b">
        <v>1</v>
      </c>
      <c r="H63" s="111" t="b">
        <v>1</v>
      </c>
      <c r="I63" s="74" t="s">
        <v>102</v>
      </c>
      <c r="J63" s="1"/>
      <c r="K63" s="1"/>
      <c r="L63" s="1"/>
    </row>
    <row r="64">
      <c r="A64" s="110">
        <v>46199.9539659838</v>
      </c>
      <c r="B64" s="74" t="s">
        <v>171</v>
      </c>
      <c r="C64" s="74" t="s">
        <v>193</v>
      </c>
      <c r="D64" s="112" t="s">
        <v>139</v>
      </c>
      <c r="E64" s="1"/>
      <c r="F64" s="111" t="b">
        <v>1</v>
      </c>
      <c r="G64" s="111" t="b">
        <v>1</v>
      </c>
      <c r="H64" s="111" t="b">
        <v>1</v>
      </c>
      <c r="I64" s="74" t="s">
        <v>81</v>
      </c>
      <c r="J64" s="1"/>
      <c r="K64" s="1"/>
      <c r="L64" s="1"/>
    </row>
    <row r="65">
      <c r="A65" s="110">
        <v>46199.9581399537</v>
      </c>
      <c r="B65" s="74" t="s">
        <v>194</v>
      </c>
      <c r="C65" s="74" t="s">
        <v>195</v>
      </c>
      <c r="D65" s="112" t="s">
        <v>139</v>
      </c>
      <c r="E65" s="1"/>
      <c r="F65" s="111" t="b">
        <v>1</v>
      </c>
      <c r="G65" s="111" t="b">
        <v>1</v>
      </c>
      <c r="H65" s="111" t="b">
        <v>1</v>
      </c>
      <c r="I65" s="74" t="s">
        <v>102</v>
      </c>
      <c r="J65" s="1"/>
      <c r="K65" s="1"/>
      <c r="L65" s="1"/>
    </row>
    <row r="66">
      <c r="A66" s="110">
        <v>46199.96187859954</v>
      </c>
      <c r="B66" s="74" t="s">
        <v>190</v>
      </c>
      <c r="C66" s="74" t="s">
        <v>196</v>
      </c>
      <c r="D66" s="112" t="s">
        <v>139</v>
      </c>
      <c r="E66" s="1"/>
      <c r="F66" s="111" t="b">
        <v>1</v>
      </c>
      <c r="G66" s="111" t="b">
        <v>1</v>
      </c>
      <c r="H66" s="111" t="b">
        <v>1</v>
      </c>
      <c r="I66" s="74" t="s">
        <v>83</v>
      </c>
      <c r="J66" s="1"/>
      <c r="K66" s="1"/>
      <c r="L66" s="1"/>
    </row>
    <row r="67">
      <c r="A67" s="110">
        <v>46199.96757778936</v>
      </c>
      <c r="B67" s="74" t="s">
        <v>137</v>
      </c>
      <c r="C67" s="74" t="s">
        <v>197</v>
      </c>
      <c r="D67" s="112" t="s">
        <v>139</v>
      </c>
      <c r="E67" s="1"/>
      <c r="F67" s="111" t="b">
        <v>1</v>
      </c>
      <c r="G67" s="111" t="b">
        <v>1</v>
      </c>
      <c r="H67" s="111" t="b">
        <v>1</v>
      </c>
      <c r="I67" s="74" t="s">
        <v>93</v>
      </c>
      <c r="J67" s="1"/>
      <c r="K67" s="1"/>
      <c r="L67" s="1"/>
    </row>
    <row r="68">
      <c r="A68" s="110">
        <v>46199.97498392361</v>
      </c>
      <c r="B68" s="74" t="s">
        <v>193</v>
      </c>
      <c r="C68" s="74" t="s">
        <v>132</v>
      </c>
      <c r="D68" s="112" t="s">
        <v>139</v>
      </c>
      <c r="E68" s="1"/>
      <c r="F68" s="111" t="b">
        <v>1</v>
      </c>
      <c r="G68" s="111" t="b">
        <v>1</v>
      </c>
      <c r="H68" s="111" t="b">
        <v>1</v>
      </c>
      <c r="I68" s="74" t="s">
        <v>99</v>
      </c>
      <c r="J68" s="1"/>
      <c r="K68" s="1"/>
      <c r="L68" s="1"/>
    </row>
    <row r="69">
      <c r="A69" s="110">
        <v>46199.977214467595</v>
      </c>
      <c r="B69" s="74" t="s">
        <v>191</v>
      </c>
      <c r="C69" s="74" t="s">
        <v>91</v>
      </c>
      <c r="D69" s="112" t="s">
        <v>139</v>
      </c>
      <c r="E69" s="74" t="s">
        <v>192</v>
      </c>
      <c r="F69" s="111" t="b">
        <v>1</v>
      </c>
      <c r="G69" s="111" t="b">
        <v>1</v>
      </c>
      <c r="H69" s="111" t="b">
        <v>1</v>
      </c>
      <c r="I69" s="74" t="s">
        <v>147</v>
      </c>
      <c r="J69" s="1"/>
      <c r="K69" s="1"/>
      <c r="L69" s="1"/>
    </row>
    <row r="70">
      <c r="A70" s="110">
        <v>46199.98250209491</v>
      </c>
      <c r="B70" s="74" t="s">
        <v>190</v>
      </c>
      <c r="C70" s="74" t="s">
        <v>198</v>
      </c>
      <c r="D70" s="112" t="s">
        <v>139</v>
      </c>
      <c r="E70" s="1"/>
      <c r="F70" s="111" t="b">
        <v>1</v>
      </c>
      <c r="G70" s="111" t="b">
        <v>1</v>
      </c>
      <c r="H70" s="111" t="b">
        <v>1</v>
      </c>
      <c r="I70" s="74" t="s">
        <v>85</v>
      </c>
      <c r="J70" s="1"/>
      <c r="K70" s="1"/>
      <c r="L70" s="1"/>
    </row>
    <row r="71">
      <c r="A71" s="110">
        <v>46199.982590810185</v>
      </c>
      <c r="B71" s="74" t="s">
        <v>199</v>
      </c>
      <c r="C71" s="74" t="s">
        <v>200</v>
      </c>
      <c r="D71" s="74" t="s">
        <v>130</v>
      </c>
      <c r="E71" s="1"/>
      <c r="F71" s="111" t="b">
        <v>1</v>
      </c>
      <c r="G71" s="111" t="b">
        <v>1</v>
      </c>
      <c r="H71" s="111" t="b">
        <v>1</v>
      </c>
      <c r="I71" s="74" t="s">
        <v>85</v>
      </c>
      <c r="J71" s="1"/>
      <c r="K71" s="1"/>
      <c r="L71" s="1"/>
    </row>
    <row r="72">
      <c r="A72" s="110">
        <v>46199.98498440972</v>
      </c>
      <c r="B72" s="74" t="s">
        <v>185</v>
      </c>
      <c r="C72" s="74" t="s">
        <v>196</v>
      </c>
      <c r="D72" s="74" t="s">
        <v>130</v>
      </c>
      <c r="E72" s="74" t="s">
        <v>201</v>
      </c>
      <c r="F72" s="111" t="b">
        <v>1</v>
      </c>
      <c r="G72" s="111" t="b">
        <v>1</v>
      </c>
      <c r="H72" s="111" t="b">
        <v>1</v>
      </c>
      <c r="I72" s="74" t="s">
        <v>202</v>
      </c>
      <c r="J72" s="1"/>
      <c r="K72" s="1"/>
      <c r="L72" s="1"/>
    </row>
    <row r="73">
      <c r="A73" s="110">
        <v>46199.98519577546</v>
      </c>
      <c r="B73" s="74" t="s">
        <v>135</v>
      </c>
      <c r="C73" s="74" t="s">
        <v>141</v>
      </c>
      <c r="D73" s="74" t="s">
        <v>130</v>
      </c>
      <c r="E73" s="1"/>
      <c r="F73" s="111" t="b">
        <v>1</v>
      </c>
      <c r="G73" s="111" t="b">
        <v>1</v>
      </c>
      <c r="H73" s="111" t="b">
        <v>1</v>
      </c>
      <c r="I73" s="74" t="s">
        <v>81</v>
      </c>
      <c r="J73" s="1"/>
      <c r="K73" s="1"/>
      <c r="L73" s="1"/>
    </row>
    <row r="74">
      <c r="A74" s="110">
        <v>46199.987069317125</v>
      </c>
      <c r="B74" s="74" t="s">
        <v>168</v>
      </c>
      <c r="C74" s="74" t="s">
        <v>172</v>
      </c>
      <c r="D74" s="112" t="s">
        <v>139</v>
      </c>
      <c r="E74" s="1"/>
      <c r="F74" s="111" t="b">
        <v>1</v>
      </c>
      <c r="G74" s="111" t="b">
        <v>1</v>
      </c>
      <c r="H74" s="111" t="b">
        <v>1</v>
      </c>
      <c r="I74" s="74" t="s">
        <v>147</v>
      </c>
      <c r="J74" s="1"/>
      <c r="K74" s="1"/>
      <c r="L74" s="1"/>
    </row>
    <row r="75">
      <c r="A75" s="110">
        <v>46199.98747760417</v>
      </c>
      <c r="B75" s="74" t="s">
        <v>193</v>
      </c>
      <c r="C75" s="74" t="s">
        <v>96</v>
      </c>
      <c r="D75" s="74" t="s">
        <v>130</v>
      </c>
      <c r="E75" s="1"/>
      <c r="F75" s="111" t="b">
        <v>1</v>
      </c>
      <c r="G75" s="111" t="b">
        <v>1</v>
      </c>
      <c r="H75" s="111" t="b">
        <v>1</v>
      </c>
      <c r="I75" s="74" t="s">
        <v>147</v>
      </c>
      <c r="J75" s="1"/>
      <c r="K75" s="1"/>
      <c r="L75" s="1"/>
    </row>
    <row r="76">
      <c r="A76" s="110">
        <v>46199.99078883102</v>
      </c>
      <c r="B76" s="74" t="s">
        <v>132</v>
      </c>
      <c r="C76" s="74" t="s">
        <v>177</v>
      </c>
      <c r="D76" s="74" t="s">
        <v>130</v>
      </c>
      <c r="E76" s="1"/>
      <c r="F76" s="111" t="b">
        <v>1</v>
      </c>
      <c r="G76" s="111" t="b">
        <v>1</v>
      </c>
      <c r="H76" s="111" t="b">
        <v>1</v>
      </c>
      <c r="I76" s="74" t="s">
        <v>106</v>
      </c>
      <c r="J76" s="1"/>
      <c r="K76" s="1"/>
      <c r="L76" s="1"/>
    </row>
    <row r="77">
      <c r="A77" s="110">
        <v>46199.99665832176</v>
      </c>
      <c r="B77" s="74" t="s">
        <v>166</v>
      </c>
      <c r="C77" s="74" t="s">
        <v>191</v>
      </c>
      <c r="D77" s="112" t="s">
        <v>139</v>
      </c>
      <c r="E77" s="1"/>
      <c r="F77" s="111" t="b">
        <v>1</v>
      </c>
      <c r="G77" s="111" t="b">
        <v>1</v>
      </c>
      <c r="H77" s="111" t="b">
        <v>1</v>
      </c>
      <c r="I77" s="74" t="s">
        <v>118</v>
      </c>
      <c r="J77" s="1"/>
      <c r="K77" s="1"/>
      <c r="L77" s="1"/>
    </row>
    <row r="78">
      <c r="A78" s="110">
        <v>46200.00027766204</v>
      </c>
      <c r="B78" s="74" t="s">
        <v>178</v>
      </c>
      <c r="C78" s="74" t="s">
        <v>203</v>
      </c>
      <c r="D78" s="74" t="s">
        <v>130</v>
      </c>
      <c r="E78" s="1"/>
      <c r="F78" s="111" t="b">
        <v>1</v>
      </c>
      <c r="G78" s="111" t="b">
        <v>1</v>
      </c>
      <c r="H78" s="111" t="b">
        <v>1</v>
      </c>
      <c r="I78" s="74" t="s">
        <v>102</v>
      </c>
      <c r="J78" s="1"/>
      <c r="K78" s="1"/>
      <c r="L78" s="1"/>
    </row>
    <row r="79">
      <c r="A79" s="110">
        <v>46200.00098019676</v>
      </c>
      <c r="B79" s="74" t="s">
        <v>152</v>
      </c>
      <c r="C79" s="74" t="s">
        <v>204</v>
      </c>
      <c r="D79" s="112" t="s">
        <v>139</v>
      </c>
      <c r="E79" s="1"/>
      <c r="F79" s="111" t="b">
        <v>1</v>
      </c>
      <c r="G79" s="111" t="b">
        <v>1</v>
      </c>
      <c r="H79" s="111" t="b">
        <v>1</v>
      </c>
      <c r="I79" s="74" t="s">
        <v>147</v>
      </c>
      <c r="J79" s="1"/>
      <c r="K79" s="1"/>
      <c r="L79" s="1"/>
    </row>
    <row r="80">
      <c r="A80" s="110">
        <v>46200.00413395833</v>
      </c>
      <c r="B80" s="74" t="s">
        <v>190</v>
      </c>
      <c r="C80" s="74" t="s">
        <v>199</v>
      </c>
      <c r="D80" s="74" t="s">
        <v>130</v>
      </c>
      <c r="E80" s="1"/>
      <c r="F80" s="111" t="b">
        <v>1</v>
      </c>
      <c r="G80" s="111" t="b">
        <v>1</v>
      </c>
      <c r="H80" s="111" t="b">
        <v>1</v>
      </c>
      <c r="I80" s="74" t="s">
        <v>93</v>
      </c>
      <c r="J80" s="1"/>
      <c r="K80" s="1"/>
      <c r="L80" s="1"/>
    </row>
    <row r="81">
      <c r="A81" s="110">
        <v>46200.0050425463</v>
      </c>
      <c r="B81" s="74" t="s">
        <v>200</v>
      </c>
      <c r="C81" s="74" t="s">
        <v>185</v>
      </c>
      <c r="D81" s="74" t="s">
        <v>130</v>
      </c>
      <c r="E81" s="74" t="s">
        <v>157</v>
      </c>
      <c r="F81" s="111" t="b">
        <v>1</v>
      </c>
      <c r="G81" s="111" t="b">
        <v>1</v>
      </c>
      <c r="H81" s="111" t="b">
        <v>1</v>
      </c>
      <c r="I81" s="74" t="s">
        <v>202</v>
      </c>
      <c r="J81" s="1"/>
      <c r="K81" s="1"/>
      <c r="L81" s="1"/>
    </row>
    <row r="82">
      <c r="A82" s="110">
        <v>46200.0082840625</v>
      </c>
      <c r="B82" s="74" t="s">
        <v>198</v>
      </c>
      <c r="C82" s="74" t="s">
        <v>197</v>
      </c>
      <c r="D82" s="74" t="s">
        <v>130</v>
      </c>
      <c r="E82" s="1"/>
      <c r="F82" s="111" t="b">
        <v>1</v>
      </c>
      <c r="G82" s="111" t="b">
        <v>1</v>
      </c>
      <c r="H82" s="111" t="b">
        <v>1</v>
      </c>
      <c r="I82" s="74" t="s">
        <v>83</v>
      </c>
      <c r="J82" s="1"/>
      <c r="K82" s="1"/>
      <c r="L82" s="1"/>
    </row>
    <row r="83">
      <c r="A83" s="110">
        <v>46200.00875415509</v>
      </c>
      <c r="B83" s="74" t="s">
        <v>168</v>
      </c>
      <c r="C83" s="74" t="s">
        <v>143</v>
      </c>
      <c r="D83" s="74" t="s">
        <v>130</v>
      </c>
      <c r="E83" s="1"/>
      <c r="F83" s="111" t="b">
        <v>1</v>
      </c>
      <c r="G83" s="111" t="b">
        <v>1</v>
      </c>
      <c r="H83" s="111" t="b">
        <v>1</v>
      </c>
      <c r="I83" s="74" t="s">
        <v>202</v>
      </c>
      <c r="J83" s="1"/>
      <c r="K83" s="1"/>
      <c r="L83" s="1"/>
    </row>
    <row r="84">
      <c r="A84" s="110">
        <v>46200.009146296296</v>
      </c>
      <c r="B84" s="74" t="s">
        <v>196</v>
      </c>
      <c r="C84" s="74" t="s">
        <v>194</v>
      </c>
      <c r="D84" s="112" t="s">
        <v>139</v>
      </c>
      <c r="E84" s="1"/>
      <c r="F84" s="111" t="b">
        <v>1</v>
      </c>
      <c r="G84" s="111" t="b">
        <v>1</v>
      </c>
      <c r="H84" s="111" t="b">
        <v>1</v>
      </c>
      <c r="I84" s="74" t="s">
        <v>93</v>
      </c>
      <c r="J84" s="1"/>
      <c r="K84" s="1"/>
      <c r="L84" s="1"/>
    </row>
    <row r="85">
      <c r="A85" s="110">
        <v>46200.013620937505</v>
      </c>
      <c r="B85" s="74" t="s">
        <v>205</v>
      </c>
      <c r="C85" s="74" t="s">
        <v>177</v>
      </c>
      <c r="D85" s="112" t="s">
        <v>139</v>
      </c>
      <c r="E85" s="1"/>
      <c r="F85" s="111" t="b">
        <v>1</v>
      </c>
      <c r="G85" s="111" t="b">
        <v>1</v>
      </c>
      <c r="H85" s="111" t="b">
        <v>1</v>
      </c>
      <c r="I85" s="74" t="s">
        <v>118</v>
      </c>
      <c r="J85" s="1"/>
      <c r="K85" s="1"/>
      <c r="L85" s="1"/>
    </row>
    <row r="86">
      <c r="A86" s="110">
        <v>46200.01880503472</v>
      </c>
      <c r="B86" s="74" t="s">
        <v>204</v>
      </c>
      <c r="C86" s="74" t="s">
        <v>190</v>
      </c>
      <c r="D86" s="74" t="s">
        <v>130</v>
      </c>
      <c r="E86" s="1"/>
      <c r="F86" s="111" t="b">
        <v>1</v>
      </c>
      <c r="G86" s="111" t="b">
        <v>1</v>
      </c>
      <c r="H86" s="111" t="b">
        <v>1</v>
      </c>
      <c r="I86" s="74" t="s">
        <v>87</v>
      </c>
      <c r="J86" s="1"/>
      <c r="K86" s="1"/>
      <c r="L86" s="1"/>
    </row>
    <row r="87">
      <c r="A87" s="110">
        <v>46200.01941554398</v>
      </c>
      <c r="B87" s="74" t="s">
        <v>135</v>
      </c>
      <c r="C87" s="74" t="s">
        <v>206</v>
      </c>
      <c r="D87" s="112" t="s">
        <v>139</v>
      </c>
      <c r="E87" s="1"/>
      <c r="F87" s="111" t="b">
        <v>1</v>
      </c>
      <c r="G87" s="111" t="b">
        <v>1</v>
      </c>
      <c r="H87" s="111" t="b">
        <v>1</v>
      </c>
      <c r="I87" s="74" t="s">
        <v>118</v>
      </c>
      <c r="J87" s="1"/>
      <c r="K87" s="1"/>
      <c r="L87" s="1"/>
    </row>
    <row r="88">
      <c r="A88" s="110">
        <v>46200.02331413195</v>
      </c>
      <c r="B88" s="74" t="s">
        <v>199</v>
      </c>
      <c r="C88" s="74" t="s">
        <v>198</v>
      </c>
      <c r="D88" s="74" t="s">
        <v>130</v>
      </c>
      <c r="E88" s="1"/>
      <c r="F88" s="111" t="b">
        <v>1</v>
      </c>
      <c r="G88" s="111" t="b">
        <v>1</v>
      </c>
      <c r="H88" s="111" t="b">
        <v>1</v>
      </c>
      <c r="I88" s="74" t="s">
        <v>106</v>
      </c>
      <c r="J88" s="1"/>
      <c r="K88" s="1"/>
      <c r="L88" s="1"/>
    </row>
    <row r="89">
      <c r="A89" s="110">
        <v>46200.02566399306</v>
      </c>
      <c r="B89" s="74" t="s">
        <v>174</v>
      </c>
      <c r="C89" s="74" t="s">
        <v>166</v>
      </c>
      <c r="D89" s="112" t="s">
        <v>139</v>
      </c>
      <c r="E89" s="74" t="s">
        <v>207</v>
      </c>
      <c r="F89" s="111" t="b">
        <v>1</v>
      </c>
      <c r="G89" s="111" t="b">
        <v>1</v>
      </c>
      <c r="H89" s="111" t="b">
        <v>1</v>
      </c>
      <c r="I89" s="74" t="s">
        <v>95</v>
      </c>
      <c r="J89" s="1"/>
      <c r="K89" s="1"/>
      <c r="L89" s="1"/>
    </row>
    <row r="90">
      <c r="A90" s="110">
        <v>46200.02623635417</v>
      </c>
      <c r="B90" s="74" t="s">
        <v>162</v>
      </c>
      <c r="C90" s="74" t="s">
        <v>152</v>
      </c>
      <c r="D90" s="112" t="s">
        <v>139</v>
      </c>
      <c r="E90" s="1"/>
      <c r="F90" s="111" t="b">
        <v>1</v>
      </c>
      <c r="G90" s="111" t="b">
        <v>1</v>
      </c>
      <c r="H90" s="111" t="b">
        <v>1</v>
      </c>
      <c r="I90" s="74" t="s">
        <v>84</v>
      </c>
      <c r="J90" s="1"/>
      <c r="K90" s="1"/>
      <c r="L90" s="1"/>
    </row>
    <row r="91">
      <c r="A91" s="110">
        <v>46200.026717245375</v>
      </c>
      <c r="B91" s="74" t="s">
        <v>208</v>
      </c>
      <c r="C91" s="74" t="s">
        <v>205</v>
      </c>
      <c r="D91" s="74" t="s">
        <v>130</v>
      </c>
      <c r="E91" s="74" t="s">
        <v>209</v>
      </c>
      <c r="F91" s="111" t="b">
        <v>1</v>
      </c>
      <c r="G91" s="111" t="b">
        <v>1</v>
      </c>
      <c r="H91" s="111" t="b">
        <v>1</v>
      </c>
      <c r="I91" s="74" t="s">
        <v>97</v>
      </c>
      <c r="J91" s="1"/>
      <c r="K91" s="1"/>
      <c r="L91" s="1"/>
    </row>
    <row r="92">
      <c r="A92" s="110">
        <v>46200.035176226855</v>
      </c>
      <c r="B92" s="74" t="s">
        <v>210</v>
      </c>
      <c r="C92" s="74" t="s">
        <v>197</v>
      </c>
      <c r="D92" s="112" t="s">
        <v>139</v>
      </c>
      <c r="E92" s="1"/>
      <c r="F92" s="111" t="b">
        <v>1</v>
      </c>
      <c r="G92" s="111" t="b">
        <v>1</v>
      </c>
      <c r="H92" s="111" t="b">
        <v>1</v>
      </c>
      <c r="I92" s="74" t="s">
        <v>84</v>
      </c>
      <c r="J92" s="1"/>
      <c r="K92" s="1"/>
      <c r="L92" s="1"/>
    </row>
    <row r="93">
      <c r="A93" s="110">
        <v>46200.036536875</v>
      </c>
      <c r="B93" s="74" t="s">
        <v>185</v>
      </c>
      <c r="C93" s="74" t="s">
        <v>203</v>
      </c>
      <c r="D93" s="112" t="s">
        <v>139</v>
      </c>
      <c r="E93" s="74" t="s">
        <v>211</v>
      </c>
      <c r="F93" s="111" t="b">
        <v>1</v>
      </c>
      <c r="G93" s="111" t="b">
        <v>1</v>
      </c>
      <c r="H93" s="111" t="b">
        <v>1</v>
      </c>
      <c r="I93" s="74" t="s">
        <v>79</v>
      </c>
      <c r="J93" s="1"/>
      <c r="K93" s="1"/>
      <c r="L93" s="1"/>
    </row>
    <row r="94">
      <c r="A94" s="110">
        <v>46200.04319673611</v>
      </c>
      <c r="B94" s="74" t="s">
        <v>194</v>
      </c>
      <c r="C94" s="74" t="s">
        <v>199</v>
      </c>
      <c r="D94" s="74" t="s">
        <v>130</v>
      </c>
      <c r="E94" s="1"/>
      <c r="F94" s="111" t="b">
        <v>1</v>
      </c>
      <c r="G94" s="111" t="b">
        <v>1</v>
      </c>
      <c r="H94" s="111" t="b">
        <v>1</v>
      </c>
      <c r="I94" s="74" t="s">
        <v>95</v>
      </c>
      <c r="J94" s="1"/>
      <c r="K94" s="1"/>
      <c r="L94" s="1"/>
    </row>
    <row r="95">
      <c r="A95" s="110">
        <v>46200.04357171296</v>
      </c>
      <c r="B95" s="74" t="s">
        <v>193</v>
      </c>
      <c r="C95" s="74" t="s">
        <v>205</v>
      </c>
      <c r="D95" s="112" t="s">
        <v>139</v>
      </c>
      <c r="E95" s="1"/>
      <c r="F95" s="111" t="b">
        <v>1</v>
      </c>
      <c r="G95" s="111" t="b">
        <v>1</v>
      </c>
      <c r="H95" s="111" t="b">
        <v>1</v>
      </c>
      <c r="I95" s="74" t="s">
        <v>83</v>
      </c>
      <c r="J95" s="1"/>
      <c r="K95" s="1"/>
      <c r="L95" s="1"/>
    </row>
    <row r="96">
      <c r="A96" s="110">
        <v>46200.04831481482</v>
      </c>
      <c r="B96" s="74" t="s">
        <v>206</v>
      </c>
      <c r="C96" s="74" t="s">
        <v>174</v>
      </c>
      <c r="D96" s="74" t="s">
        <v>130</v>
      </c>
      <c r="E96" s="1"/>
      <c r="F96" s="111" t="b">
        <v>1</v>
      </c>
      <c r="G96" s="111" t="b">
        <v>1</v>
      </c>
      <c r="H96" s="111" t="b">
        <v>1</v>
      </c>
      <c r="I96" s="74" t="s">
        <v>83</v>
      </c>
      <c r="J96" s="1"/>
      <c r="K96" s="1"/>
      <c r="L96" s="1"/>
    </row>
    <row r="97">
      <c r="A97" s="110">
        <v>46200.06123944445</v>
      </c>
      <c r="B97" s="74" t="s">
        <v>198</v>
      </c>
      <c r="C97" s="74" t="s">
        <v>176</v>
      </c>
      <c r="D97" s="112" t="s">
        <v>139</v>
      </c>
      <c r="E97" s="1"/>
      <c r="F97" s="111" t="b">
        <v>1</v>
      </c>
      <c r="G97" s="111" t="b">
        <v>1</v>
      </c>
      <c r="H97" s="111" t="b">
        <v>1</v>
      </c>
      <c r="I97" s="74" t="s">
        <v>202</v>
      </c>
      <c r="J97" s="1"/>
      <c r="K97" s="1"/>
      <c r="L97" s="1"/>
    </row>
    <row r="98">
      <c r="A98" s="110">
        <v>46200.06349559028</v>
      </c>
      <c r="B98" s="74" t="s">
        <v>205</v>
      </c>
      <c r="C98" s="74" t="s">
        <v>210</v>
      </c>
      <c r="D98" s="74" t="s">
        <v>130</v>
      </c>
      <c r="E98" s="1"/>
      <c r="F98" s="111" t="b">
        <v>1</v>
      </c>
      <c r="G98" s="111" t="b">
        <v>1</v>
      </c>
      <c r="H98" s="111" t="b">
        <v>1</v>
      </c>
      <c r="I98" s="74" t="s">
        <v>85</v>
      </c>
      <c r="J98" s="1"/>
      <c r="K98" s="1"/>
      <c r="L98" s="1"/>
    </row>
    <row r="99">
      <c r="A99" s="110">
        <v>46200.07490983796</v>
      </c>
      <c r="B99" s="74" t="s">
        <v>212</v>
      </c>
      <c r="C99" s="74" t="s">
        <v>206</v>
      </c>
      <c r="D99" s="112" t="s">
        <v>139</v>
      </c>
      <c r="E99" s="1"/>
      <c r="F99" s="111" t="b">
        <v>1</v>
      </c>
      <c r="G99" s="111" t="b">
        <v>1</v>
      </c>
      <c r="H99" s="111" t="b">
        <v>1</v>
      </c>
      <c r="I99" s="74" t="s">
        <v>99</v>
      </c>
      <c r="J99" s="1"/>
      <c r="K99" s="1"/>
      <c r="L99" s="1"/>
    </row>
    <row r="100">
      <c r="A100" s="110">
        <v>46200.07701657407</v>
      </c>
      <c r="B100" s="74" t="s">
        <v>186</v>
      </c>
      <c r="C100" s="74" t="s">
        <v>198</v>
      </c>
      <c r="D100" s="112" t="s">
        <v>139</v>
      </c>
      <c r="E100" s="1"/>
      <c r="F100" s="111" t="b">
        <v>1</v>
      </c>
      <c r="G100" s="111" t="b">
        <v>1</v>
      </c>
      <c r="H100" s="111" t="b">
        <v>1</v>
      </c>
      <c r="I100" s="74" t="s">
        <v>147</v>
      </c>
      <c r="J100" s="1"/>
      <c r="K100" s="1"/>
      <c r="L100" s="1"/>
    </row>
    <row r="101">
      <c r="A101" s="110">
        <v>46200.08740211806</v>
      </c>
      <c r="B101" s="74" t="s">
        <v>145</v>
      </c>
      <c r="C101" s="74" t="s">
        <v>199</v>
      </c>
      <c r="D101" s="112" t="s">
        <v>139</v>
      </c>
      <c r="E101" s="1"/>
      <c r="F101" s="111" t="b">
        <v>1</v>
      </c>
      <c r="G101" s="111" t="b">
        <v>1</v>
      </c>
      <c r="H101" s="111" t="b">
        <v>1</v>
      </c>
      <c r="I101" s="74" t="s">
        <v>118</v>
      </c>
      <c r="J101" s="1"/>
      <c r="K101" s="1"/>
      <c r="L101" s="1"/>
    </row>
    <row r="102">
      <c r="A102" s="110">
        <v>46200.13513414352</v>
      </c>
      <c r="B102" s="74" t="s">
        <v>164</v>
      </c>
      <c r="C102" s="74" t="s">
        <v>196</v>
      </c>
      <c r="D102" s="112" t="s">
        <v>139</v>
      </c>
      <c r="E102" s="74" t="s">
        <v>213</v>
      </c>
      <c r="F102" s="111" t="b">
        <v>1</v>
      </c>
      <c r="G102" s="111" t="b">
        <v>1</v>
      </c>
      <c r="H102" s="111" t="b">
        <v>1</v>
      </c>
      <c r="I102" s="74" t="s">
        <v>81</v>
      </c>
      <c r="J102" s="1"/>
      <c r="K102" s="1"/>
      <c r="L102" s="1"/>
    </row>
    <row r="103">
      <c r="A103" s="110">
        <v>46200.13900248843</v>
      </c>
      <c r="B103" s="74" t="s">
        <v>145</v>
      </c>
      <c r="C103" s="74" t="s">
        <v>163</v>
      </c>
      <c r="D103" s="112" t="s">
        <v>139</v>
      </c>
      <c r="E103" s="1"/>
      <c r="F103" s="111" t="b">
        <v>1</v>
      </c>
      <c r="G103" s="111" t="b">
        <v>1</v>
      </c>
      <c r="H103" s="111" t="b">
        <v>1</v>
      </c>
      <c r="I103" s="74" t="s">
        <v>90</v>
      </c>
      <c r="J103" s="1"/>
      <c r="K103" s="1"/>
      <c r="L103" s="1"/>
    </row>
    <row r="104">
      <c r="A104" s="110">
        <v>46200.15150774305</v>
      </c>
      <c r="B104" s="74" t="s">
        <v>163</v>
      </c>
      <c r="C104" s="74" t="s">
        <v>196</v>
      </c>
      <c r="D104" s="74" t="s">
        <v>130</v>
      </c>
      <c r="E104" s="1"/>
      <c r="F104" s="111" t="b">
        <v>1</v>
      </c>
      <c r="G104" s="111" t="b">
        <v>1</v>
      </c>
      <c r="H104" s="111" t="b">
        <v>1</v>
      </c>
      <c r="I104" s="74" t="s">
        <v>147</v>
      </c>
      <c r="J104" s="1"/>
      <c r="K104" s="1"/>
      <c r="L104" s="1"/>
    </row>
    <row r="105">
      <c r="A105" s="110">
        <v>46200.20350570602</v>
      </c>
      <c r="B105" s="74" t="s">
        <v>163</v>
      </c>
      <c r="C105" s="74" t="s">
        <v>160</v>
      </c>
      <c r="D105" s="112" t="s">
        <v>139</v>
      </c>
      <c r="E105" s="1"/>
      <c r="F105" s="111" t="b">
        <v>1</v>
      </c>
      <c r="G105" s="111" t="b">
        <v>1</v>
      </c>
      <c r="H105" s="111" t="b">
        <v>1</v>
      </c>
      <c r="I105" s="74" t="s">
        <v>81</v>
      </c>
      <c r="J105" s="1"/>
      <c r="K105" s="1"/>
      <c r="L105" s="1"/>
    </row>
    <row r="106">
      <c r="A106" s="110">
        <v>46200.27002708333</v>
      </c>
      <c r="B106" s="74" t="s">
        <v>144</v>
      </c>
      <c r="C106" s="74" t="s">
        <v>142</v>
      </c>
      <c r="D106" s="74" t="s">
        <v>130</v>
      </c>
      <c r="E106" s="1"/>
      <c r="F106" s="111" t="b">
        <v>1</v>
      </c>
      <c r="G106" s="111" t="b">
        <v>1</v>
      </c>
      <c r="H106" s="111" t="b">
        <v>1</v>
      </c>
      <c r="I106" s="74" t="s">
        <v>97</v>
      </c>
      <c r="J106" s="1"/>
      <c r="K106" s="1"/>
      <c r="L106" s="1"/>
    </row>
    <row r="107">
      <c r="A107" s="110">
        <v>46200.295837858794</v>
      </c>
      <c r="B107" s="74" t="s">
        <v>160</v>
      </c>
      <c r="C107" s="74" t="s">
        <v>214</v>
      </c>
      <c r="D107" s="74" t="s">
        <v>130</v>
      </c>
      <c r="E107" s="1"/>
      <c r="F107" s="111" t="b">
        <v>1</v>
      </c>
      <c r="G107" s="111" t="b">
        <v>1</v>
      </c>
      <c r="H107" s="111" t="b">
        <v>1</v>
      </c>
      <c r="I107" s="74" t="s">
        <v>118</v>
      </c>
      <c r="J107" s="1"/>
      <c r="K107" s="1"/>
      <c r="L107" s="1"/>
    </row>
    <row r="108">
      <c r="A108" s="110">
        <v>46200.29713306713</v>
      </c>
      <c r="B108" s="74" t="s">
        <v>215</v>
      </c>
      <c r="C108" s="74" t="s">
        <v>172</v>
      </c>
      <c r="D108" s="74" t="s">
        <v>130</v>
      </c>
      <c r="E108" s="74" t="s">
        <v>216</v>
      </c>
      <c r="F108" s="111" t="b">
        <v>1</v>
      </c>
      <c r="G108" s="111" t="b">
        <v>1</v>
      </c>
      <c r="H108" s="111" t="b">
        <v>1</v>
      </c>
      <c r="I108" s="74" t="s">
        <v>106</v>
      </c>
      <c r="J108" s="1"/>
      <c r="K108" s="1"/>
      <c r="L108" s="1"/>
    </row>
    <row r="109">
      <c r="A109" s="110">
        <v>46200.31867759259</v>
      </c>
      <c r="B109" s="74" t="s">
        <v>160</v>
      </c>
      <c r="C109" s="74" t="s">
        <v>168</v>
      </c>
      <c r="D109" s="112" t="s">
        <v>139</v>
      </c>
      <c r="E109" s="1"/>
      <c r="F109" s="111" t="b">
        <v>1</v>
      </c>
      <c r="G109" s="111" t="b">
        <v>1</v>
      </c>
      <c r="H109" s="111" t="b">
        <v>1</v>
      </c>
      <c r="I109" s="74" t="s">
        <v>99</v>
      </c>
      <c r="J109" s="1"/>
      <c r="K109" s="1"/>
      <c r="L109" s="1"/>
    </row>
    <row r="110">
      <c r="A110" s="110">
        <v>46200.35424170139</v>
      </c>
      <c r="B110" s="74" t="s">
        <v>180</v>
      </c>
      <c r="C110" s="74" t="s">
        <v>160</v>
      </c>
      <c r="D110" s="112" t="s">
        <v>139</v>
      </c>
      <c r="E110" s="74" t="s">
        <v>167</v>
      </c>
      <c r="F110" s="111" t="b">
        <v>1</v>
      </c>
      <c r="G110" s="111" t="b">
        <v>1</v>
      </c>
      <c r="H110" s="111" t="b">
        <v>1</v>
      </c>
      <c r="I110" s="74" t="s">
        <v>98</v>
      </c>
      <c r="J110" s="1"/>
      <c r="K110" s="1"/>
      <c r="L110" s="1"/>
    </row>
    <row r="111">
      <c r="A111" s="110">
        <v>46200.39556252315</v>
      </c>
      <c r="B111" s="74" t="s">
        <v>195</v>
      </c>
      <c r="C111" s="74" t="s">
        <v>193</v>
      </c>
      <c r="D111" s="112" t="s">
        <v>139</v>
      </c>
      <c r="E111" s="1"/>
      <c r="F111" s="111" t="b">
        <v>1</v>
      </c>
      <c r="G111" s="111" t="b">
        <v>1</v>
      </c>
      <c r="H111" s="111" t="b">
        <v>1</v>
      </c>
      <c r="I111" s="74" t="s">
        <v>95</v>
      </c>
      <c r="J111" s="1"/>
      <c r="K111" s="1"/>
      <c r="L111" s="1"/>
    </row>
    <row r="112">
      <c r="A112" s="110">
        <v>46200.422817858795</v>
      </c>
      <c r="B112" s="74" t="s">
        <v>217</v>
      </c>
      <c r="C112" s="74" t="s">
        <v>174</v>
      </c>
      <c r="D112" s="74" t="s">
        <v>130</v>
      </c>
      <c r="E112" s="1"/>
      <c r="F112" s="111" t="b">
        <v>1</v>
      </c>
      <c r="G112" s="111" t="b">
        <v>1</v>
      </c>
      <c r="H112" s="111" t="b">
        <v>1</v>
      </c>
      <c r="I112" s="74" t="s">
        <v>98</v>
      </c>
      <c r="J112" s="1"/>
      <c r="K112" s="1"/>
      <c r="L112" s="1"/>
    </row>
    <row r="113">
      <c r="A113" s="110">
        <v>46200.429747372684</v>
      </c>
      <c r="B113" s="74" t="s">
        <v>218</v>
      </c>
      <c r="C113" s="74" t="s">
        <v>129</v>
      </c>
      <c r="D113" s="112" t="s">
        <v>139</v>
      </c>
      <c r="E113" s="1"/>
      <c r="F113" s="111" t="b">
        <v>1</v>
      </c>
      <c r="G113" s="111" t="b">
        <v>1</v>
      </c>
      <c r="H113" s="111" t="b">
        <v>1</v>
      </c>
      <c r="I113" s="74" t="s">
        <v>95</v>
      </c>
      <c r="J113" s="1"/>
      <c r="K113" s="1"/>
      <c r="L113" s="1"/>
    </row>
    <row r="114">
      <c r="A114" s="110">
        <v>46200.43631981481</v>
      </c>
      <c r="B114" s="74" t="s">
        <v>121</v>
      </c>
      <c r="C114" s="74" t="s">
        <v>219</v>
      </c>
      <c r="D114" s="112" t="s">
        <v>139</v>
      </c>
      <c r="E114" s="74" t="s">
        <v>220</v>
      </c>
      <c r="F114" s="111" t="b">
        <v>1</v>
      </c>
      <c r="G114" s="111" t="b">
        <v>1</v>
      </c>
      <c r="H114" s="111" t="b">
        <v>1</v>
      </c>
      <c r="I114" s="74" t="s">
        <v>147</v>
      </c>
      <c r="J114" s="1"/>
      <c r="K114" s="1"/>
      <c r="L114" s="1"/>
    </row>
    <row r="115">
      <c r="A115" s="110">
        <v>46200.443723564815</v>
      </c>
      <c r="B115" s="74" t="s">
        <v>184</v>
      </c>
      <c r="C115" s="74" t="s">
        <v>221</v>
      </c>
      <c r="D115" s="112" t="s">
        <v>139</v>
      </c>
      <c r="E115" s="1"/>
      <c r="F115" s="111" t="b">
        <v>1</v>
      </c>
      <c r="G115" s="111" t="b">
        <v>1</v>
      </c>
      <c r="H115" s="111" t="b">
        <v>1</v>
      </c>
      <c r="I115" s="74" t="s">
        <v>118</v>
      </c>
      <c r="J115" s="1"/>
      <c r="K115" s="1"/>
      <c r="L115" s="1"/>
    </row>
    <row r="116">
      <c r="A116" s="110">
        <v>46200.45465693287</v>
      </c>
      <c r="B116" s="74" t="s">
        <v>180</v>
      </c>
      <c r="C116" s="74" t="s">
        <v>121</v>
      </c>
      <c r="D116" s="74" t="s">
        <v>130</v>
      </c>
      <c r="E116" s="74" t="s">
        <v>167</v>
      </c>
      <c r="F116" s="111" t="b">
        <v>1</v>
      </c>
      <c r="G116" s="111" t="b">
        <v>1</v>
      </c>
      <c r="H116" s="111" t="b">
        <v>1</v>
      </c>
      <c r="I116" s="74" t="s">
        <v>106</v>
      </c>
      <c r="J116" s="1"/>
      <c r="K116" s="1"/>
      <c r="L116" s="1"/>
    </row>
    <row r="117">
      <c r="A117" s="110">
        <v>46200.46480108796</v>
      </c>
      <c r="B117" s="74" t="s">
        <v>219</v>
      </c>
      <c r="C117" s="74" t="s">
        <v>144</v>
      </c>
      <c r="D117" s="74" t="s">
        <v>130</v>
      </c>
      <c r="E117" s="1"/>
      <c r="F117" s="111" t="b">
        <v>1</v>
      </c>
      <c r="G117" s="111" t="b">
        <v>1</v>
      </c>
      <c r="H117" s="111" t="b">
        <v>1</v>
      </c>
      <c r="I117" s="74" t="s">
        <v>97</v>
      </c>
      <c r="J117" s="1"/>
      <c r="K117" s="1"/>
      <c r="L117" s="1"/>
    </row>
    <row r="118">
      <c r="A118" s="110">
        <v>46200.48100774306</v>
      </c>
      <c r="B118" s="74" t="s">
        <v>178</v>
      </c>
      <c r="C118" s="74" t="s">
        <v>129</v>
      </c>
      <c r="D118" s="112" t="s">
        <v>139</v>
      </c>
      <c r="E118" s="1"/>
      <c r="F118" s="111" t="b">
        <v>1</v>
      </c>
      <c r="G118" s="111" t="b">
        <v>1</v>
      </c>
      <c r="H118" s="111" t="b">
        <v>1</v>
      </c>
      <c r="I118" s="74" t="s">
        <v>81</v>
      </c>
      <c r="J118" s="1"/>
      <c r="K118" s="1"/>
      <c r="L118" s="1"/>
    </row>
    <row r="119">
      <c r="A119" s="110">
        <v>46200.48298722222</v>
      </c>
      <c r="B119" s="74" t="s">
        <v>170</v>
      </c>
      <c r="C119" s="74" t="s">
        <v>121</v>
      </c>
      <c r="D119" s="74" t="s">
        <v>130</v>
      </c>
      <c r="E119" s="1"/>
      <c r="F119" s="111" t="b">
        <v>1</v>
      </c>
      <c r="G119" s="111" t="b">
        <v>1</v>
      </c>
      <c r="H119" s="111" t="b">
        <v>1</v>
      </c>
      <c r="I119" s="74" t="s">
        <v>85</v>
      </c>
      <c r="J119" s="1"/>
      <c r="K119" s="1"/>
      <c r="L119" s="1"/>
    </row>
    <row r="120">
      <c r="A120" s="110">
        <v>46200.48809248843</v>
      </c>
      <c r="B120" s="74" t="s">
        <v>222</v>
      </c>
      <c r="C120" s="74" t="s">
        <v>223</v>
      </c>
      <c r="D120" s="112" t="s">
        <v>139</v>
      </c>
      <c r="E120" s="1"/>
      <c r="F120" s="111" t="b">
        <v>1</v>
      </c>
      <c r="G120" s="111" t="b">
        <v>1</v>
      </c>
      <c r="H120" s="111" t="b">
        <v>1</v>
      </c>
      <c r="I120" s="74" t="s">
        <v>83</v>
      </c>
      <c r="J120" s="1"/>
      <c r="K120" s="1"/>
      <c r="L120" s="1"/>
    </row>
    <row r="121">
      <c r="A121" s="110">
        <v>46200.49373732639</v>
      </c>
      <c r="B121" s="74" t="s">
        <v>161</v>
      </c>
      <c r="C121" s="74" t="s">
        <v>172</v>
      </c>
      <c r="D121" s="74" t="s">
        <v>130</v>
      </c>
      <c r="E121" s="1"/>
      <c r="F121" s="111" t="b">
        <v>1</v>
      </c>
      <c r="G121" s="111" t="b">
        <v>1</v>
      </c>
      <c r="H121" s="111" t="b">
        <v>1</v>
      </c>
      <c r="I121" s="74" t="s">
        <v>97</v>
      </c>
      <c r="J121" s="1"/>
      <c r="K121" s="1"/>
      <c r="L121" s="1"/>
    </row>
    <row r="122">
      <c r="A122" s="110">
        <v>46200.50583135417</v>
      </c>
      <c r="B122" s="74" t="s">
        <v>144</v>
      </c>
      <c r="C122" s="74" t="s">
        <v>170</v>
      </c>
      <c r="D122" s="112" t="s">
        <v>139</v>
      </c>
      <c r="E122" s="1"/>
      <c r="F122" s="111" t="b">
        <v>1</v>
      </c>
      <c r="G122" s="111" t="b">
        <v>1</v>
      </c>
      <c r="H122" s="111" t="b">
        <v>1</v>
      </c>
      <c r="I122" s="74" t="s">
        <v>85</v>
      </c>
      <c r="J122" s="1"/>
      <c r="K122" s="1"/>
      <c r="L122" s="1"/>
    </row>
    <row r="123">
      <c r="A123" s="110">
        <v>46200.50713585648</v>
      </c>
      <c r="B123" s="74" t="s">
        <v>129</v>
      </c>
      <c r="C123" s="74" t="s">
        <v>141</v>
      </c>
      <c r="D123" s="74" t="s">
        <v>130</v>
      </c>
      <c r="E123" s="74" t="s">
        <v>157</v>
      </c>
      <c r="F123" s="111" t="b">
        <v>1</v>
      </c>
      <c r="G123" s="111" t="b">
        <v>1</v>
      </c>
      <c r="H123" s="111" t="b">
        <v>1</v>
      </c>
      <c r="I123" s="74" t="s">
        <v>87</v>
      </c>
      <c r="J123" s="1"/>
      <c r="K123" s="1"/>
      <c r="L123" s="1"/>
    </row>
    <row r="124">
      <c r="A124" s="110">
        <v>46200.51446355324</v>
      </c>
      <c r="B124" s="74" t="s">
        <v>219</v>
      </c>
      <c r="C124" s="74" t="s">
        <v>218</v>
      </c>
      <c r="D124" s="112" t="s">
        <v>139</v>
      </c>
      <c r="E124" s="1"/>
      <c r="F124" s="111" t="b">
        <v>1</v>
      </c>
      <c r="G124" s="111" t="b">
        <v>1</v>
      </c>
      <c r="H124" s="111" t="b">
        <v>1</v>
      </c>
      <c r="I124" s="74" t="s">
        <v>83</v>
      </c>
      <c r="J124" s="1"/>
      <c r="K124" s="1"/>
      <c r="L124" s="1"/>
    </row>
    <row r="125">
      <c r="A125" s="110">
        <v>46200.51482074074</v>
      </c>
      <c r="B125" s="74" t="s">
        <v>128</v>
      </c>
      <c r="C125" s="74" t="s">
        <v>161</v>
      </c>
      <c r="D125" s="112" t="s">
        <v>139</v>
      </c>
      <c r="E125" s="1"/>
      <c r="F125" s="111" t="b">
        <v>1</v>
      </c>
      <c r="G125" s="111" t="b">
        <v>1</v>
      </c>
      <c r="H125" s="111" t="b">
        <v>1</v>
      </c>
      <c r="I125" s="74" t="s">
        <v>106</v>
      </c>
      <c r="J125" s="1"/>
      <c r="K125" s="1"/>
      <c r="L125" s="1"/>
    </row>
    <row r="126">
      <c r="A126" s="110">
        <v>46200.52255059028</v>
      </c>
      <c r="B126" s="74" t="s">
        <v>155</v>
      </c>
      <c r="C126" s="74" t="s">
        <v>224</v>
      </c>
      <c r="D126" s="112" t="s">
        <v>139</v>
      </c>
      <c r="E126" s="74" t="s">
        <v>157</v>
      </c>
      <c r="F126" s="111" t="b">
        <v>1</v>
      </c>
      <c r="G126" s="111" t="b">
        <v>1</v>
      </c>
      <c r="H126" s="111" t="b">
        <v>1</v>
      </c>
      <c r="I126" s="74" t="s">
        <v>87</v>
      </c>
      <c r="J126" s="1"/>
      <c r="K126" s="1"/>
      <c r="L126" s="1"/>
    </row>
    <row r="127">
      <c r="A127" s="110">
        <v>46200.52545606482</v>
      </c>
      <c r="B127" s="74" t="s">
        <v>210</v>
      </c>
      <c r="C127" s="74" t="s">
        <v>129</v>
      </c>
      <c r="D127" s="112" t="s">
        <v>139</v>
      </c>
      <c r="E127" s="1"/>
      <c r="F127" s="111" t="b">
        <v>1</v>
      </c>
      <c r="G127" s="111" t="b">
        <v>1</v>
      </c>
      <c r="H127" s="111" t="b">
        <v>1</v>
      </c>
      <c r="I127" s="74" t="s">
        <v>87</v>
      </c>
      <c r="J127" s="1"/>
      <c r="K127" s="1"/>
      <c r="L127" s="1"/>
    </row>
    <row r="128">
      <c r="A128" s="110">
        <v>46200.525769687505</v>
      </c>
      <c r="B128" s="74" t="s">
        <v>135</v>
      </c>
      <c r="C128" s="74" t="s">
        <v>131</v>
      </c>
      <c r="D128" s="74" t="s">
        <v>130</v>
      </c>
      <c r="E128" s="1"/>
      <c r="F128" s="111" t="b">
        <v>1</v>
      </c>
      <c r="G128" s="111" t="b">
        <v>1</v>
      </c>
      <c r="H128" s="111" t="b">
        <v>1</v>
      </c>
      <c r="I128" s="74" t="s">
        <v>120</v>
      </c>
      <c r="J128" s="1"/>
      <c r="K128" s="1"/>
      <c r="L128" s="1"/>
    </row>
    <row r="129">
      <c r="A129" s="110">
        <v>46200.525894398146</v>
      </c>
      <c r="B129" s="74" t="s">
        <v>225</v>
      </c>
      <c r="C129" s="74" t="s">
        <v>226</v>
      </c>
      <c r="D129" s="74" t="s">
        <v>130</v>
      </c>
      <c r="E129" s="1"/>
      <c r="F129" s="111" t="b">
        <v>1</v>
      </c>
      <c r="G129" s="111" t="b">
        <v>1</v>
      </c>
      <c r="H129" s="111" t="b">
        <v>1</v>
      </c>
      <c r="I129" s="74" t="s">
        <v>97</v>
      </c>
      <c r="J129" s="1"/>
      <c r="K129" s="1"/>
      <c r="L129" s="1"/>
    </row>
    <row r="130">
      <c r="A130" s="110">
        <v>46200.540829826394</v>
      </c>
      <c r="B130" s="74" t="s">
        <v>184</v>
      </c>
      <c r="C130" s="74" t="s">
        <v>128</v>
      </c>
      <c r="D130" s="74" t="s">
        <v>130</v>
      </c>
      <c r="E130" s="1"/>
      <c r="F130" s="111" t="b">
        <v>1</v>
      </c>
      <c r="G130" s="111" t="b">
        <v>1</v>
      </c>
      <c r="H130" s="111" t="b">
        <v>1</v>
      </c>
      <c r="I130" s="74" t="s">
        <v>93</v>
      </c>
      <c r="J130" s="1"/>
      <c r="K130" s="1"/>
      <c r="L130" s="1"/>
    </row>
    <row r="131">
      <c r="A131" s="110">
        <v>46200.54579822917</v>
      </c>
      <c r="B131" s="74" t="s">
        <v>170</v>
      </c>
      <c r="C131" s="74" t="s">
        <v>218</v>
      </c>
      <c r="D131" s="112" t="s">
        <v>139</v>
      </c>
      <c r="E131" s="1"/>
      <c r="F131" s="111" t="b">
        <v>1</v>
      </c>
      <c r="G131" s="111" t="b">
        <v>1</v>
      </c>
      <c r="H131" s="111" t="b">
        <v>1</v>
      </c>
      <c r="I131" s="74" t="s">
        <v>118</v>
      </c>
      <c r="J131" s="1"/>
      <c r="K131" s="1"/>
      <c r="L131" s="1"/>
    </row>
    <row r="132">
      <c r="A132" s="110">
        <v>46200.55293839121</v>
      </c>
      <c r="B132" s="74" t="s">
        <v>131</v>
      </c>
      <c r="C132" s="74" t="s">
        <v>210</v>
      </c>
      <c r="D132" s="112" t="s">
        <v>139</v>
      </c>
      <c r="E132" s="1"/>
      <c r="F132" s="111" t="b">
        <v>1</v>
      </c>
      <c r="G132" s="111" t="b">
        <v>1</v>
      </c>
      <c r="H132" s="111" t="b">
        <v>1</v>
      </c>
      <c r="I132" s="74" t="s">
        <v>87</v>
      </c>
      <c r="J132" s="1"/>
      <c r="K132" s="1"/>
      <c r="L132" s="1"/>
    </row>
    <row r="133">
      <c r="A133" s="110">
        <v>46200.559536354165</v>
      </c>
      <c r="B133" s="74" t="s">
        <v>226</v>
      </c>
      <c r="C133" s="74" t="s">
        <v>155</v>
      </c>
      <c r="D133" s="112" t="s">
        <v>139</v>
      </c>
      <c r="E133" s="74" t="s">
        <v>227</v>
      </c>
      <c r="F133" s="111" t="b">
        <v>1</v>
      </c>
      <c r="G133" s="111" t="b">
        <v>1</v>
      </c>
      <c r="H133" s="111" t="b">
        <v>1</v>
      </c>
      <c r="I133" s="74" t="s">
        <v>81</v>
      </c>
      <c r="J133" s="1"/>
      <c r="K133" s="1"/>
      <c r="L133" s="1"/>
    </row>
    <row r="134">
      <c r="A134" s="110">
        <v>46200.5691474537</v>
      </c>
      <c r="B134" s="74" t="s">
        <v>210</v>
      </c>
      <c r="C134" s="74" t="s">
        <v>181</v>
      </c>
      <c r="D134" s="74" t="s">
        <v>130</v>
      </c>
      <c r="E134" s="1"/>
      <c r="F134" s="111" t="b">
        <v>1</v>
      </c>
      <c r="G134" s="111" t="b">
        <v>1</v>
      </c>
      <c r="H134" s="111" t="b">
        <v>1</v>
      </c>
      <c r="I134" s="74" t="s">
        <v>84</v>
      </c>
      <c r="J134" s="1"/>
      <c r="K134" s="1"/>
      <c r="L134" s="1"/>
    </row>
    <row r="135">
      <c r="A135" s="110">
        <v>46200.58779921297</v>
      </c>
      <c r="B135" s="74" t="s">
        <v>155</v>
      </c>
      <c r="C135" s="74" t="s">
        <v>228</v>
      </c>
      <c r="D135" s="112" t="s">
        <v>139</v>
      </c>
      <c r="E135" s="74" t="s">
        <v>157</v>
      </c>
      <c r="F135" s="111" t="b">
        <v>1</v>
      </c>
      <c r="G135" s="111" t="b">
        <v>1</v>
      </c>
      <c r="H135" s="111" t="b">
        <v>1</v>
      </c>
      <c r="I135" s="74" t="s">
        <v>93</v>
      </c>
      <c r="J135" s="1"/>
      <c r="K135" s="1"/>
      <c r="L135" s="1"/>
    </row>
    <row r="136">
      <c r="A136" s="110">
        <v>46200.5894274537</v>
      </c>
      <c r="B136" s="74" t="s">
        <v>219</v>
      </c>
      <c r="C136" s="74" t="s">
        <v>177</v>
      </c>
      <c r="D136" s="112" t="s">
        <v>139</v>
      </c>
      <c r="E136" s="1"/>
      <c r="F136" s="111" t="b">
        <v>1</v>
      </c>
      <c r="G136" s="111" t="b">
        <v>1</v>
      </c>
      <c r="H136" s="111" t="b">
        <v>1</v>
      </c>
      <c r="I136" s="74" t="s">
        <v>120</v>
      </c>
      <c r="J136" s="1"/>
      <c r="K136" s="1"/>
      <c r="L136" s="1"/>
    </row>
    <row r="137">
      <c r="A137" s="110">
        <v>46200.61282729167</v>
      </c>
      <c r="B137" s="74" t="s">
        <v>184</v>
      </c>
      <c r="C137" s="74" t="s">
        <v>181</v>
      </c>
      <c r="D137" s="112" t="s">
        <v>139</v>
      </c>
      <c r="E137" s="1"/>
      <c r="F137" s="111" t="b">
        <v>1</v>
      </c>
      <c r="G137" s="111" t="b">
        <v>1</v>
      </c>
      <c r="H137" s="111" t="b">
        <v>1</v>
      </c>
      <c r="I137" s="74" t="s">
        <v>102</v>
      </c>
      <c r="J137" s="1"/>
      <c r="K137" s="1"/>
      <c r="L137" s="1"/>
    </row>
    <row r="138">
      <c r="A138" s="110">
        <v>46200.63622608796</v>
      </c>
      <c r="B138" s="74" t="s">
        <v>218</v>
      </c>
      <c r="C138" s="74" t="s">
        <v>112</v>
      </c>
      <c r="D138" s="74" t="s">
        <v>130</v>
      </c>
      <c r="E138" s="1"/>
      <c r="F138" s="111" t="b">
        <v>1</v>
      </c>
      <c r="G138" s="111" t="b">
        <v>1</v>
      </c>
      <c r="H138" s="111" t="b">
        <v>1</v>
      </c>
      <c r="I138" s="74" t="s">
        <v>84</v>
      </c>
      <c r="J138" s="1"/>
      <c r="K138" s="1"/>
      <c r="L138" s="1"/>
    </row>
    <row r="139">
      <c r="A139" s="110">
        <v>46200.67453229167</v>
      </c>
      <c r="B139" s="74" t="s">
        <v>225</v>
      </c>
      <c r="C139" s="74" t="s">
        <v>119</v>
      </c>
      <c r="D139" s="74" t="s">
        <v>130</v>
      </c>
      <c r="E139" s="1"/>
      <c r="F139" s="111" t="b">
        <v>1</v>
      </c>
      <c r="G139" s="111" t="b">
        <v>1</v>
      </c>
      <c r="H139" s="111" t="b">
        <v>1</v>
      </c>
      <c r="I139" s="74" t="s">
        <v>87</v>
      </c>
      <c r="J139" s="1"/>
      <c r="K139" s="1"/>
      <c r="L139" s="1"/>
    </row>
    <row r="140">
      <c r="A140" s="110">
        <v>46200.688855092594</v>
      </c>
      <c r="B140" s="74" t="s">
        <v>218</v>
      </c>
      <c r="C140" s="74" t="s">
        <v>217</v>
      </c>
      <c r="D140" s="112" t="s">
        <v>139</v>
      </c>
      <c r="E140" s="1"/>
      <c r="F140" s="111" t="b">
        <v>1</v>
      </c>
      <c r="G140" s="111" t="b">
        <v>1</v>
      </c>
      <c r="H140" s="111" t="b">
        <v>1</v>
      </c>
      <c r="I140" s="74" t="s">
        <v>147</v>
      </c>
      <c r="J140" s="1"/>
      <c r="K140" s="1"/>
      <c r="L140" s="1"/>
    </row>
    <row r="141">
      <c r="A141" s="110">
        <v>46200.69265471065</v>
      </c>
      <c r="B141" s="74" t="s">
        <v>191</v>
      </c>
      <c r="C141" s="74" t="s">
        <v>219</v>
      </c>
      <c r="D141" s="112" t="s">
        <v>139</v>
      </c>
      <c r="E141" s="74" t="s">
        <v>192</v>
      </c>
      <c r="F141" s="111" t="b">
        <v>1</v>
      </c>
      <c r="G141" s="111" t="b">
        <v>1</v>
      </c>
      <c r="H141" s="111" t="b">
        <v>1</v>
      </c>
      <c r="I141" s="74" t="s">
        <v>84</v>
      </c>
      <c r="J141" s="1"/>
      <c r="K141" s="1"/>
      <c r="L141" s="1"/>
    </row>
    <row r="142">
      <c r="A142" s="110">
        <v>46200.71790511574</v>
      </c>
      <c r="B142" s="74" t="s">
        <v>119</v>
      </c>
      <c r="C142" s="74" t="s">
        <v>191</v>
      </c>
      <c r="D142" s="112" t="s">
        <v>139</v>
      </c>
      <c r="E142" s="1"/>
      <c r="F142" s="111" t="b">
        <v>1</v>
      </c>
      <c r="G142" s="111" t="b">
        <v>1</v>
      </c>
      <c r="H142" s="111" t="b">
        <v>1</v>
      </c>
      <c r="I142" s="74" t="s">
        <v>95</v>
      </c>
      <c r="J142" s="1"/>
      <c r="K142" s="1"/>
      <c r="L142" s="1"/>
    </row>
    <row r="143">
      <c r="A143" s="110">
        <v>46200.73351837963</v>
      </c>
      <c r="B143" s="74" t="s">
        <v>217</v>
      </c>
      <c r="C143" s="74" t="s">
        <v>208</v>
      </c>
      <c r="D143" s="112" t="s">
        <v>139</v>
      </c>
      <c r="E143" s="1"/>
      <c r="F143" s="111" t="b">
        <v>1</v>
      </c>
      <c r="G143" s="111" t="b">
        <v>1</v>
      </c>
      <c r="H143" s="111" t="b">
        <v>1</v>
      </c>
      <c r="I143" s="74" t="s">
        <v>83</v>
      </c>
      <c r="J143" s="1"/>
      <c r="K143" s="1"/>
      <c r="L143" s="1"/>
    </row>
    <row r="144">
      <c r="A144" s="110">
        <v>46200.745629212965</v>
      </c>
      <c r="B144" s="74" t="s">
        <v>186</v>
      </c>
      <c r="C144" s="74" t="s">
        <v>229</v>
      </c>
      <c r="D144" s="112" t="s">
        <v>139</v>
      </c>
      <c r="E144" s="1"/>
      <c r="F144" s="111" t="b">
        <v>1</v>
      </c>
      <c r="G144" s="111" t="b">
        <v>1</v>
      </c>
      <c r="H144" s="111" t="b">
        <v>1</v>
      </c>
      <c r="I144" s="74" t="s">
        <v>93</v>
      </c>
      <c r="J144" s="1"/>
      <c r="K144" s="1"/>
      <c r="L144" s="1"/>
    </row>
    <row r="145">
      <c r="A145" s="110">
        <v>46200.775004814815</v>
      </c>
      <c r="B145" s="74" t="s">
        <v>178</v>
      </c>
      <c r="C145" s="74" t="s">
        <v>224</v>
      </c>
      <c r="D145" s="74" t="s">
        <v>130</v>
      </c>
      <c r="E145" s="1"/>
      <c r="F145" s="111" t="b">
        <v>1</v>
      </c>
      <c r="G145" s="111" t="b">
        <v>1</v>
      </c>
      <c r="H145" s="111" t="b">
        <v>1</v>
      </c>
      <c r="I145" s="74" t="s">
        <v>99</v>
      </c>
      <c r="J145" s="1"/>
      <c r="K145" s="1"/>
      <c r="L145" s="1"/>
    </row>
    <row r="146">
      <c r="A146" s="110">
        <v>46200.80090858796</v>
      </c>
      <c r="B146" s="74" t="s">
        <v>159</v>
      </c>
      <c r="C146" s="74" t="s">
        <v>204</v>
      </c>
      <c r="D146" s="112" t="s">
        <v>139</v>
      </c>
      <c r="E146" s="1"/>
      <c r="F146" s="111" t="b">
        <v>1</v>
      </c>
      <c r="G146" s="111" t="b">
        <v>1</v>
      </c>
      <c r="H146" s="111" t="b">
        <v>1</v>
      </c>
      <c r="I146" s="74" t="s">
        <v>87</v>
      </c>
      <c r="J146" s="1"/>
      <c r="K146" s="1"/>
      <c r="L146" s="1"/>
    </row>
    <row r="147">
      <c r="A147" s="110">
        <v>46200.804463125</v>
      </c>
      <c r="B147" s="74" t="s">
        <v>151</v>
      </c>
      <c r="C147" s="74" t="s">
        <v>226</v>
      </c>
      <c r="D147" s="112" t="s">
        <v>139</v>
      </c>
      <c r="E147" s="1"/>
      <c r="F147" s="111" t="b">
        <v>1</v>
      </c>
      <c r="G147" s="111" t="b">
        <v>1</v>
      </c>
      <c r="H147" s="111" t="b">
        <v>1</v>
      </c>
      <c r="I147" s="74" t="s">
        <v>95</v>
      </c>
      <c r="J147" s="1"/>
      <c r="K147" s="1"/>
      <c r="L147" s="1"/>
    </row>
    <row r="148">
      <c r="A148" s="110">
        <v>46200.82855414352</v>
      </c>
      <c r="B148" s="74" t="s">
        <v>230</v>
      </c>
      <c r="C148" s="74" t="s">
        <v>162</v>
      </c>
      <c r="D148" s="74" t="s">
        <v>130</v>
      </c>
      <c r="E148" s="1"/>
      <c r="F148" s="111" t="b">
        <v>1</v>
      </c>
      <c r="G148" s="111" t="b">
        <v>1</v>
      </c>
      <c r="H148" s="111" t="b">
        <v>1</v>
      </c>
      <c r="I148" s="74" t="s">
        <v>118</v>
      </c>
      <c r="J148" s="1"/>
      <c r="K148" s="1"/>
      <c r="L148" s="1"/>
    </row>
    <row r="149">
      <c r="A149" s="110">
        <v>46200.83117741898</v>
      </c>
      <c r="B149" s="74" t="s">
        <v>226</v>
      </c>
      <c r="C149" s="74" t="s">
        <v>186</v>
      </c>
      <c r="D149" s="74" t="s">
        <v>130</v>
      </c>
      <c r="E149" s="74" t="s">
        <v>227</v>
      </c>
      <c r="F149" s="111" t="b">
        <v>1</v>
      </c>
      <c r="G149" s="111" t="b">
        <v>1</v>
      </c>
      <c r="H149" s="111" t="b">
        <v>1</v>
      </c>
      <c r="I149" s="74" t="s">
        <v>93</v>
      </c>
      <c r="J149" s="1"/>
      <c r="K149" s="1"/>
      <c r="L149" s="1"/>
    </row>
    <row r="150">
      <c r="A150" s="110">
        <v>46200.85170135417</v>
      </c>
      <c r="B150" s="74" t="s">
        <v>230</v>
      </c>
      <c r="C150" s="74" t="s">
        <v>117</v>
      </c>
      <c r="D150" s="112" t="s">
        <v>139</v>
      </c>
      <c r="E150" s="1"/>
      <c r="F150" s="111" t="b">
        <v>1</v>
      </c>
      <c r="G150" s="111" t="b">
        <v>1</v>
      </c>
      <c r="H150" s="111" t="b">
        <v>1</v>
      </c>
      <c r="I150" s="74" t="s">
        <v>87</v>
      </c>
      <c r="J150" s="1"/>
      <c r="K150" s="1"/>
      <c r="L150" s="1"/>
    </row>
    <row r="151">
      <c r="A151" s="110">
        <v>46200.862901319444</v>
      </c>
      <c r="B151" s="74" t="s">
        <v>230</v>
      </c>
      <c r="C151" s="74" t="s">
        <v>214</v>
      </c>
      <c r="D151" s="74" t="s">
        <v>130</v>
      </c>
      <c r="E151" s="1"/>
      <c r="F151" s="111" t="b">
        <v>1</v>
      </c>
      <c r="G151" s="111" t="b">
        <v>1</v>
      </c>
      <c r="H151" s="111" t="b">
        <v>1</v>
      </c>
      <c r="I151" s="74" t="s">
        <v>147</v>
      </c>
      <c r="J151" s="1"/>
      <c r="K151" s="1"/>
      <c r="L151" s="1"/>
    </row>
    <row r="152">
      <c r="A152" s="110">
        <v>46200.867251296295</v>
      </c>
      <c r="B152" s="74" t="s">
        <v>231</v>
      </c>
      <c r="C152" s="74" t="s">
        <v>232</v>
      </c>
      <c r="D152" s="112" t="s">
        <v>139</v>
      </c>
      <c r="E152" s="1"/>
      <c r="F152" s="111" t="b">
        <v>1</v>
      </c>
      <c r="G152" s="111" t="b">
        <v>1</v>
      </c>
      <c r="H152" s="111" t="b">
        <v>1</v>
      </c>
      <c r="I152" s="74" t="s">
        <v>85</v>
      </c>
      <c r="J152" s="1"/>
      <c r="K152" s="1"/>
      <c r="L152" s="1"/>
    </row>
    <row r="153">
      <c r="A153" s="110">
        <v>46200.8776864699</v>
      </c>
      <c r="B153" s="74" t="s">
        <v>204</v>
      </c>
      <c r="C153" s="74" t="s">
        <v>119</v>
      </c>
      <c r="D153" s="112" t="s">
        <v>139</v>
      </c>
      <c r="E153" s="1"/>
      <c r="F153" s="111" t="b">
        <v>1</v>
      </c>
      <c r="G153" s="111" t="b">
        <v>1</v>
      </c>
      <c r="H153" s="111" t="b">
        <v>1</v>
      </c>
      <c r="I153" s="74" t="s">
        <v>98</v>
      </c>
      <c r="J153" s="1"/>
      <c r="K153" s="1"/>
      <c r="L153" s="1"/>
    </row>
    <row r="154">
      <c r="A154" s="110">
        <v>46200.87888965278</v>
      </c>
      <c r="B154" s="74" t="s">
        <v>184</v>
      </c>
      <c r="C154" s="74" t="s">
        <v>233</v>
      </c>
      <c r="D154" s="112" t="s">
        <v>139</v>
      </c>
      <c r="E154" s="1"/>
      <c r="F154" s="111" t="b">
        <v>1</v>
      </c>
      <c r="G154" s="111" t="b">
        <v>1</v>
      </c>
      <c r="H154" s="111" t="b">
        <v>1</v>
      </c>
      <c r="I154" s="74" t="s">
        <v>102</v>
      </c>
      <c r="J154" s="1"/>
      <c r="K154" s="1"/>
      <c r="L154" s="1"/>
    </row>
    <row r="155">
      <c r="A155" s="110">
        <v>46200.88386614583</v>
      </c>
      <c r="B155" s="74" t="s">
        <v>197</v>
      </c>
      <c r="C155" s="74" t="s">
        <v>230</v>
      </c>
      <c r="D155" s="112" t="s">
        <v>139</v>
      </c>
      <c r="E155" s="1"/>
      <c r="F155" s="111" t="b">
        <v>1</v>
      </c>
      <c r="G155" s="111" t="b">
        <v>1</v>
      </c>
      <c r="H155" s="111" t="b">
        <v>1</v>
      </c>
      <c r="I155" s="74" t="s">
        <v>85</v>
      </c>
      <c r="J155" s="1"/>
      <c r="K155" s="1"/>
      <c r="L155" s="1"/>
    </row>
    <row r="156">
      <c r="A156" s="110">
        <v>46200.88799292824</v>
      </c>
      <c r="B156" s="74" t="s">
        <v>117</v>
      </c>
      <c r="C156" s="74" t="s">
        <v>215</v>
      </c>
      <c r="D156" s="112" t="s">
        <v>139</v>
      </c>
      <c r="E156" s="1"/>
      <c r="F156" s="111" t="b">
        <v>1</v>
      </c>
      <c r="G156" s="111" t="b">
        <v>1</v>
      </c>
      <c r="H156" s="111" t="b">
        <v>1</v>
      </c>
      <c r="I156" s="74" t="s">
        <v>118</v>
      </c>
      <c r="J156" s="1"/>
      <c r="K156" s="1"/>
      <c r="L156" s="1"/>
    </row>
    <row r="157">
      <c r="A157" s="110">
        <v>46200.899203368055</v>
      </c>
      <c r="B157" s="74" t="s">
        <v>230</v>
      </c>
      <c r="C157" s="74" t="s">
        <v>174</v>
      </c>
      <c r="D157" s="74" t="s">
        <v>130</v>
      </c>
      <c r="E157" s="1"/>
      <c r="F157" s="111" t="b">
        <v>1</v>
      </c>
      <c r="G157" s="111" t="b">
        <v>1</v>
      </c>
      <c r="H157" s="111" t="b">
        <v>1</v>
      </c>
      <c r="I157" s="74" t="s">
        <v>147</v>
      </c>
      <c r="J157" s="1"/>
      <c r="K157" s="1"/>
      <c r="L157" s="1"/>
    </row>
    <row r="158">
      <c r="A158" s="110">
        <v>46200.90048611111</v>
      </c>
      <c r="B158" s="74" t="s">
        <v>233</v>
      </c>
      <c r="C158" s="74" t="s">
        <v>117</v>
      </c>
      <c r="D158" s="74" t="s">
        <v>130</v>
      </c>
      <c r="E158" s="1"/>
      <c r="F158" s="111" t="b">
        <v>1</v>
      </c>
      <c r="G158" s="111" t="b">
        <v>1</v>
      </c>
      <c r="H158" s="111" t="b">
        <v>1</v>
      </c>
      <c r="I158" s="74" t="s">
        <v>87</v>
      </c>
      <c r="J158" s="1"/>
      <c r="K158" s="1"/>
      <c r="L158" s="1"/>
    </row>
    <row r="159">
      <c r="A159" s="110">
        <v>46200.91848315972</v>
      </c>
      <c r="B159" s="74" t="s">
        <v>233</v>
      </c>
      <c r="C159" s="74" t="s">
        <v>197</v>
      </c>
      <c r="D159" s="74" t="s">
        <v>130</v>
      </c>
      <c r="E159" s="1"/>
      <c r="F159" s="111" t="b">
        <v>1</v>
      </c>
      <c r="G159" s="111" t="b">
        <v>1</v>
      </c>
      <c r="H159" s="111" t="b">
        <v>1</v>
      </c>
      <c r="I159" s="74" t="s">
        <v>97</v>
      </c>
      <c r="J159" s="1"/>
      <c r="K159" s="1"/>
      <c r="L159" s="1"/>
    </row>
    <row r="160">
      <c r="A160" s="110">
        <v>46200.9212658912</v>
      </c>
      <c r="B160" s="74" t="s">
        <v>215</v>
      </c>
      <c r="C160" s="74" t="s">
        <v>223</v>
      </c>
      <c r="D160" s="112" t="s">
        <v>139</v>
      </c>
      <c r="E160" s="1"/>
      <c r="F160" s="111" t="b">
        <v>1</v>
      </c>
      <c r="G160" s="111" t="b">
        <v>1</v>
      </c>
      <c r="H160" s="111" t="b">
        <v>1</v>
      </c>
      <c r="I160" s="74" t="s">
        <v>202</v>
      </c>
      <c r="J160" s="1"/>
      <c r="K160" s="1"/>
      <c r="L160" s="1"/>
    </row>
    <row r="161">
      <c r="A161" s="110">
        <v>46200.96636850694</v>
      </c>
      <c r="B161" s="74" t="s">
        <v>223</v>
      </c>
      <c r="C161" s="74" t="s">
        <v>234</v>
      </c>
      <c r="D161" s="112" t="s">
        <v>139</v>
      </c>
      <c r="E161" s="1"/>
      <c r="F161" s="111" t="b">
        <v>1</v>
      </c>
      <c r="G161" s="111" t="b">
        <v>1</v>
      </c>
      <c r="H161" s="111" t="b">
        <v>1</v>
      </c>
      <c r="I161" s="74" t="s">
        <v>87</v>
      </c>
      <c r="J161" s="1"/>
      <c r="K161" s="1"/>
      <c r="L161" s="1"/>
    </row>
    <row r="162">
      <c r="A162" s="110">
        <v>46200.976197384254</v>
      </c>
      <c r="B162" s="74" t="s">
        <v>235</v>
      </c>
      <c r="C162" s="74" t="s">
        <v>166</v>
      </c>
      <c r="D162" s="74" t="s">
        <v>130</v>
      </c>
      <c r="E162" s="1"/>
      <c r="F162" s="111" t="b">
        <v>1</v>
      </c>
      <c r="G162" s="111" t="b">
        <v>1</v>
      </c>
      <c r="H162" s="111" t="b">
        <v>1</v>
      </c>
      <c r="I162" s="74" t="s">
        <v>85</v>
      </c>
      <c r="J162" s="1"/>
      <c r="K162" s="1"/>
      <c r="L162" s="1"/>
    </row>
    <row r="163">
      <c r="A163" s="110">
        <v>46200.99585690972</v>
      </c>
      <c r="B163" s="74" t="s">
        <v>235</v>
      </c>
      <c r="C163" s="74" t="s">
        <v>234</v>
      </c>
      <c r="D163" s="74" t="s">
        <v>130</v>
      </c>
      <c r="E163" s="74" t="s">
        <v>236</v>
      </c>
      <c r="F163" s="111" t="b">
        <v>1</v>
      </c>
      <c r="G163" s="111" t="b">
        <v>1</v>
      </c>
      <c r="H163" s="111" t="b">
        <v>1</v>
      </c>
      <c r="I163" s="74" t="s">
        <v>83</v>
      </c>
      <c r="J163" s="1"/>
      <c r="K163" s="1"/>
      <c r="L163" s="1"/>
    </row>
    <row r="164">
      <c r="A164" s="110">
        <v>46201.006045138885</v>
      </c>
      <c r="B164" s="74" t="s">
        <v>217</v>
      </c>
      <c r="C164" s="74" t="s">
        <v>143</v>
      </c>
      <c r="D164" s="112" t="s">
        <v>139</v>
      </c>
      <c r="E164" s="1"/>
      <c r="F164" s="111" t="b">
        <v>1</v>
      </c>
      <c r="G164" s="111" t="b">
        <v>1</v>
      </c>
      <c r="H164" s="111" t="b">
        <v>1</v>
      </c>
      <c r="I164" s="74" t="s">
        <v>97</v>
      </c>
      <c r="J164" s="1"/>
      <c r="K164" s="1"/>
      <c r="L164" s="1"/>
    </row>
    <row r="165">
      <c r="A165" s="110">
        <v>46201.04780696759</v>
      </c>
      <c r="B165" s="74" t="s">
        <v>226</v>
      </c>
      <c r="C165" s="74" t="s">
        <v>237</v>
      </c>
      <c r="D165" s="74" t="s">
        <v>130</v>
      </c>
      <c r="E165" s="74" t="s">
        <v>175</v>
      </c>
      <c r="F165" s="111" t="b">
        <v>1</v>
      </c>
      <c r="G165" s="111" t="b">
        <v>1</v>
      </c>
      <c r="H165" s="111" t="b">
        <v>1</v>
      </c>
      <c r="I165" s="74" t="s">
        <v>85</v>
      </c>
      <c r="J165" s="1"/>
      <c r="K165" s="1"/>
      <c r="L165" s="1"/>
    </row>
    <row r="166">
      <c r="A166" s="110">
        <v>46201.06390055556</v>
      </c>
      <c r="B166" s="74" t="s">
        <v>224</v>
      </c>
      <c r="C166" s="74" t="s">
        <v>143</v>
      </c>
      <c r="D166" s="74" t="s">
        <v>130</v>
      </c>
      <c r="E166" s="74" t="s">
        <v>167</v>
      </c>
      <c r="F166" s="111" t="b">
        <v>1</v>
      </c>
      <c r="G166" s="111" t="b">
        <v>1</v>
      </c>
      <c r="H166" s="111" t="b">
        <v>1</v>
      </c>
      <c r="I166" s="74" t="s">
        <v>98</v>
      </c>
      <c r="J166" s="1"/>
      <c r="K166" s="1"/>
      <c r="L166" s="1"/>
    </row>
    <row r="167">
      <c r="A167" s="110">
        <v>46201.30891565973</v>
      </c>
      <c r="B167" s="74" t="s">
        <v>117</v>
      </c>
      <c r="C167" s="74" t="s">
        <v>238</v>
      </c>
      <c r="D167" s="74" t="s">
        <v>130</v>
      </c>
      <c r="E167" s="1"/>
      <c r="F167" s="111" t="b">
        <v>1</v>
      </c>
      <c r="G167" s="111" t="b">
        <v>1</v>
      </c>
      <c r="H167" s="111" t="b">
        <v>1</v>
      </c>
      <c r="I167" s="74" t="s">
        <v>93</v>
      </c>
      <c r="J167" s="1"/>
      <c r="K167" s="1"/>
      <c r="L167" s="1"/>
    </row>
    <row r="168">
      <c r="A168" s="110">
        <v>46201.34162445602</v>
      </c>
      <c r="B168" s="74" t="s">
        <v>229</v>
      </c>
      <c r="C168" s="74" t="s">
        <v>238</v>
      </c>
      <c r="D168" s="112" t="s">
        <v>139</v>
      </c>
      <c r="E168" s="74" t="s">
        <v>157</v>
      </c>
      <c r="F168" s="111" t="b">
        <v>1</v>
      </c>
      <c r="G168" s="111" t="b">
        <v>1</v>
      </c>
      <c r="H168" s="111" t="b">
        <v>1</v>
      </c>
      <c r="I168" s="74" t="s">
        <v>95</v>
      </c>
      <c r="J168" s="1"/>
      <c r="K168" s="1"/>
      <c r="L168" s="1"/>
    </row>
    <row r="169">
      <c r="A169" s="110">
        <v>46201.344608217594</v>
      </c>
      <c r="B169" s="74" t="s">
        <v>110</v>
      </c>
      <c r="C169" s="74" t="s">
        <v>117</v>
      </c>
      <c r="D169" s="112" t="s">
        <v>139</v>
      </c>
      <c r="E169" s="1"/>
      <c r="F169" s="111" t="b">
        <v>1</v>
      </c>
      <c r="G169" s="111" t="b">
        <v>1</v>
      </c>
      <c r="H169" s="111" t="b">
        <v>1</v>
      </c>
      <c r="I169" s="74" t="s">
        <v>102</v>
      </c>
      <c r="J169" s="1"/>
      <c r="K169" s="1"/>
      <c r="L169" s="1"/>
    </row>
    <row r="170">
      <c r="A170" s="110">
        <v>46201.35067472223</v>
      </c>
      <c r="B170" s="74" t="s">
        <v>111</v>
      </c>
      <c r="C170" s="74" t="s">
        <v>239</v>
      </c>
      <c r="D170" s="74" t="s">
        <v>130</v>
      </c>
      <c r="E170" s="1"/>
      <c r="F170" s="111" t="b">
        <v>1</v>
      </c>
      <c r="G170" s="111" t="b">
        <v>1</v>
      </c>
      <c r="H170" s="111" t="b">
        <v>1</v>
      </c>
      <c r="I170" s="74" t="s">
        <v>83</v>
      </c>
      <c r="J170" s="1"/>
      <c r="K170" s="1"/>
      <c r="L170" s="1"/>
    </row>
    <row r="171">
      <c r="A171" s="110">
        <v>46201.36154216435</v>
      </c>
      <c r="B171" s="74" t="s">
        <v>195</v>
      </c>
      <c r="C171" s="74" t="s">
        <v>110</v>
      </c>
      <c r="D171" s="112" t="s">
        <v>139</v>
      </c>
      <c r="E171" s="1"/>
      <c r="F171" s="111" t="b">
        <v>1</v>
      </c>
      <c r="G171" s="111" t="b">
        <v>1</v>
      </c>
      <c r="H171" s="111" t="b">
        <v>1</v>
      </c>
      <c r="I171" s="74" t="s">
        <v>81</v>
      </c>
      <c r="J171" s="1"/>
      <c r="K171" s="1"/>
      <c r="L171" s="1"/>
    </row>
    <row r="172">
      <c r="A172" s="110">
        <v>46201.37719438657</v>
      </c>
      <c r="B172" s="74" t="s">
        <v>231</v>
      </c>
      <c r="C172" s="74" t="s">
        <v>239</v>
      </c>
      <c r="D172" s="112" t="s">
        <v>139</v>
      </c>
      <c r="E172" s="1"/>
      <c r="F172" s="111" t="b">
        <v>1</v>
      </c>
      <c r="G172" s="111" t="b">
        <v>1</v>
      </c>
      <c r="H172" s="111" t="b">
        <v>1</v>
      </c>
      <c r="I172" s="74" t="s">
        <v>106</v>
      </c>
      <c r="J172" s="1"/>
      <c r="K172" s="1"/>
      <c r="L172" s="1"/>
    </row>
    <row r="173">
      <c r="A173" s="110">
        <v>46201.37880564815</v>
      </c>
      <c r="B173" s="74" t="s">
        <v>215</v>
      </c>
      <c r="C173" s="74" t="s">
        <v>195</v>
      </c>
      <c r="D173" s="74" t="s">
        <v>130</v>
      </c>
      <c r="E173" s="74" t="s">
        <v>240</v>
      </c>
      <c r="F173" s="111" t="b">
        <v>1</v>
      </c>
      <c r="G173" s="111" t="b">
        <v>1</v>
      </c>
      <c r="H173" s="111" t="b">
        <v>1</v>
      </c>
      <c r="I173" s="74" t="s">
        <v>95</v>
      </c>
      <c r="J173" s="1"/>
      <c r="K173" s="1"/>
      <c r="L173" s="1"/>
    </row>
    <row r="174">
      <c r="A174" s="110">
        <v>46201.41446598379</v>
      </c>
      <c r="B174" s="74" t="s">
        <v>238</v>
      </c>
      <c r="C174" s="74" t="s">
        <v>235</v>
      </c>
      <c r="D174" s="74" t="s">
        <v>130</v>
      </c>
      <c r="E174" s="1"/>
      <c r="F174" s="111" t="b">
        <v>1</v>
      </c>
      <c r="G174" s="111" t="b">
        <v>1</v>
      </c>
      <c r="H174" s="111" t="b">
        <v>1</v>
      </c>
      <c r="I174" s="74" t="s">
        <v>118</v>
      </c>
      <c r="J174" s="1"/>
      <c r="K174" s="1"/>
      <c r="L174" s="1"/>
    </row>
    <row r="175">
      <c r="A175" s="110">
        <v>46201.43971068287</v>
      </c>
      <c r="B175" s="74" t="s">
        <v>241</v>
      </c>
      <c r="C175" s="74" t="s">
        <v>214</v>
      </c>
      <c r="D175" s="112" t="s">
        <v>139</v>
      </c>
      <c r="E175" s="74" t="s">
        <v>136</v>
      </c>
      <c r="F175" s="111" t="b">
        <v>1</v>
      </c>
      <c r="G175" s="111" t="b">
        <v>1</v>
      </c>
      <c r="H175" s="111" t="b">
        <v>1</v>
      </c>
      <c r="I175" s="74" t="s">
        <v>81</v>
      </c>
      <c r="J175" s="1"/>
      <c r="K175" s="1"/>
      <c r="L175" s="1"/>
    </row>
    <row r="176">
      <c r="A176" s="110">
        <v>46201.458271724536</v>
      </c>
      <c r="B176" s="74" t="s">
        <v>172</v>
      </c>
      <c r="C176" s="74" t="s">
        <v>222</v>
      </c>
      <c r="D176" s="74" t="s">
        <v>130</v>
      </c>
      <c r="E176" s="74" t="s">
        <v>173</v>
      </c>
      <c r="F176" s="111" t="b">
        <v>1</v>
      </c>
      <c r="G176" s="111" t="b">
        <v>1</v>
      </c>
      <c r="H176" s="111" t="b">
        <v>1</v>
      </c>
      <c r="I176" s="74" t="s">
        <v>97</v>
      </c>
      <c r="J176" s="1"/>
      <c r="K176" s="1"/>
      <c r="L176" s="1"/>
    </row>
    <row r="177">
      <c r="A177" s="110">
        <v>46201.46452592593</v>
      </c>
      <c r="B177" s="74" t="s">
        <v>242</v>
      </c>
      <c r="C177" s="74" t="s">
        <v>111</v>
      </c>
      <c r="D177" s="112" t="s">
        <v>139</v>
      </c>
      <c r="E177" s="1"/>
      <c r="F177" s="111" t="b">
        <v>1</v>
      </c>
      <c r="G177" s="111" t="b">
        <v>1</v>
      </c>
      <c r="H177" s="111" t="b">
        <v>1</v>
      </c>
      <c r="I177" s="74" t="s">
        <v>147</v>
      </c>
      <c r="J177" s="1"/>
      <c r="K177" s="1"/>
      <c r="L177" s="1"/>
    </row>
    <row r="178">
      <c r="A178" s="110">
        <v>46201.46599657407</v>
      </c>
      <c r="B178" s="74" t="s">
        <v>116</v>
      </c>
      <c r="C178" s="74" t="s">
        <v>243</v>
      </c>
      <c r="D178" s="112" t="s">
        <v>139</v>
      </c>
      <c r="E178" s="74" t="s">
        <v>192</v>
      </c>
      <c r="F178" s="111" t="b">
        <v>1</v>
      </c>
      <c r="G178" s="111" t="b">
        <v>1</v>
      </c>
      <c r="H178" s="111" t="b">
        <v>1</v>
      </c>
      <c r="I178" s="74" t="s">
        <v>102</v>
      </c>
      <c r="J178" s="1"/>
      <c r="K178" s="1"/>
      <c r="L178" s="1"/>
    </row>
    <row r="179">
      <c r="A179" s="110">
        <v>46201.49165949074</v>
      </c>
      <c r="B179" s="74" t="s">
        <v>222</v>
      </c>
      <c r="C179" s="74" t="s">
        <v>116</v>
      </c>
      <c r="D179" s="74" t="s">
        <v>130</v>
      </c>
      <c r="E179" s="1"/>
      <c r="F179" s="111" t="b">
        <v>1</v>
      </c>
      <c r="G179" s="111" t="b">
        <v>1</v>
      </c>
      <c r="H179" s="111" t="b">
        <v>1</v>
      </c>
      <c r="I179" s="74" t="s">
        <v>118</v>
      </c>
      <c r="J179" s="1"/>
      <c r="K179" s="1"/>
      <c r="L179" s="1"/>
    </row>
    <row r="180">
      <c r="A180" s="110">
        <v>46201.532623437495</v>
      </c>
      <c r="B180" s="74" t="s">
        <v>212</v>
      </c>
      <c r="C180" s="74" t="s">
        <v>223</v>
      </c>
      <c r="D180" s="74" t="s">
        <v>130</v>
      </c>
      <c r="E180" s="1"/>
      <c r="F180" s="111" t="b">
        <v>1</v>
      </c>
      <c r="G180" s="111" t="b">
        <v>1</v>
      </c>
      <c r="H180" s="111" t="b">
        <v>1</v>
      </c>
      <c r="I180" s="74" t="s">
        <v>102</v>
      </c>
      <c r="J180" s="1"/>
      <c r="K180" s="1"/>
      <c r="L180" s="1"/>
    </row>
    <row r="181">
      <c r="A181" s="110">
        <v>46201.53369902778</v>
      </c>
      <c r="B181" s="74" t="s">
        <v>244</v>
      </c>
      <c r="C181" s="74" t="s">
        <v>245</v>
      </c>
      <c r="D181" s="74" t="s">
        <v>130</v>
      </c>
      <c r="E181" s="1"/>
      <c r="F181" s="111" t="b">
        <v>1</v>
      </c>
      <c r="G181" s="111" t="b">
        <v>1</v>
      </c>
      <c r="H181" s="111" t="b">
        <v>1</v>
      </c>
      <c r="I181" s="74" t="s">
        <v>102</v>
      </c>
      <c r="J181" s="1"/>
      <c r="K181" s="1"/>
      <c r="L181" s="1"/>
    </row>
    <row r="182">
      <c r="A182" s="110">
        <v>46201.53600581019</v>
      </c>
      <c r="B182" s="74" t="s">
        <v>235</v>
      </c>
      <c r="C182" s="74" t="s">
        <v>88</v>
      </c>
      <c r="D182" s="74" t="s">
        <v>130</v>
      </c>
      <c r="E182" s="74" t="s">
        <v>246</v>
      </c>
      <c r="F182" s="111" t="b">
        <v>1</v>
      </c>
      <c r="G182" s="111" t="b">
        <v>1</v>
      </c>
      <c r="H182" s="111" t="b">
        <v>1</v>
      </c>
      <c r="I182" s="74" t="s">
        <v>85</v>
      </c>
      <c r="J182" s="1"/>
      <c r="K182" s="1"/>
      <c r="L182" s="1"/>
    </row>
    <row r="183">
      <c r="A183" s="110">
        <v>46201.54609152778</v>
      </c>
      <c r="B183" s="74" t="s">
        <v>235</v>
      </c>
      <c r="C183" s="74" t="s">
        <v>247</v>
      </c>
      <c r="D183" s="74" t="s">
        <v>130</v>
      </c>
      <c r="E183" s="74" t="s">
        <v>167</v>
      </c>
      <c r="F183" s="111" t="b">
        <v>1</v>
      </c>
      <c r="G183" s="111" t="b">
        <v>1</v>
      </c>
      <c r="H183" s="111" t="b">
        <v>1</v>
      </c>
      <c r="I183" s="74" t="s">
        <v>85</v>
      </c>
      <c r="J183" s="1"/>
      <c r="K183" s="1"/>
      <c r="L183" s="1"/>
    </row>
    <row r="184">
      <c r="A184" s="110">
        <v>46201.5553119213</v>
      </c>
      <c r="B184" s="74" t="s">
        <v>112</v>
      </c>
      <c r="C184" s="74" t="s">
        <v>111</v>
      </c>
      <c r="D184" s="112" t="s">
        <v>139</v>
      </c>
      <c r="E184" s="1"/>
      <c r="F184" s="111" t="b">
        <v>1</v>
      </c>
      <c r="G184" s="111" t="b">
        <v>1</v>
      </c>
      <c r="H184" s="111" t="b">
        <v>1</v>
      </c>
      <c r="I184" s="74" t="s">
        <v>98</v>
      </c>
      <c r="J184" s="1"/>
      <c r="K184" s="1"/>
      <c r="L184" s="1"/>
    </row>
    <row r="185">
      <c r="A185" s="110">
        <v>46201.55837939815</v>
      </c>
      <c r="B185" s="74" t="s">
        <v>248</v>
      </c>
      <c r="C185" s="74" t="s">
        <v>244</v>
      </c>
      <c r="D185" s="74" t="s">
        <v>130</v>
      </c>
      <c r="E185" s="1"/>
      <c r="F185" s="111" t="b">
        <v>1</v>
      </c>
      <c r="G185" s="111" t="b">
        <v>1</v>
      </c>
      <c r="H185" s="111" t="b">
        <v>1</v>
      </c>
      <c r="I185" s="74" t="s">
        <v>102</v>
      </c>
      <c r="J185" s="1"/>
      <c r="K185" s="1"/>
      <c r="L185" s="1"/>
    </row>
    <row r="186">
      <c r="A186" s="110">
        <v>46201.559046712966</v>
      </c>
      <c r="B186" s="74" t="s">
        <v>247</v>
      </c>
      <c r="C186" s="74" t="s">
        <v>205</v>
      </c>
      <c r="D186" s="74" t="s">
        <v>130</v>
      </c>
      <c r="E186" s="1"/>
      <c r="F186" s="111" t="b">
        <v>1</v>
      </c>
      <c r="G186" s="111" t="b">
        <v>1</v>
      </c>
      <c r="H186" s="111" t="b">
        <v>1</v>
      </c>
      <c r="I186" s="74" t="s">
        <v>102</v>
      </c>
      <c r="J186" s="1"/>
      <c r="K186" s="1"/>
      <c r="L186" s="1"/>
    </row>
    <row r="187">
      <c r="A187" s="110">
        <v>46201.568171527775</v>
      </c>
      <c r="B187" s="74" t="s">
        <v>248</v>
      </c>
      <c r="C187" s="74" t="s">
        <v>247</v>
      </c>
      <c r="D187" s="74" t="s">
        <v>130</v>
      </c>
      <c r="E187" s="1"/>
      <c r="F187" s="111" t="b">
        <v>1</v>
      </c>
      <c r="G187" s="111" t="b">
        <v>1</v>
      </c>
      <c r="H187" s="111" t="b">
        <v>1</v>
      </c>
      <c r="I187" s="74" t="s">
        <v>202</v>
      </c>
      <c r="J187" s="1"/>
      <c r="K187" s="1"/>
      <c r="L187" s="1"/>
    </row>
    <row r="188">
      <c r="A188" s="110">
        <v>46201.57737591435</v>
      </c>
      <c r="B188" s="74" t="s">
        <v>244</v>
      </c>
      <c r="C188" s="74" t="s">
        <v>115</v>
      </c>
      <c r="D188" s="112" t="s">
        <v>139</v>
      </c>
      <c r="E188" s="1"/>
      <c r="F188" s="111" t="b">
        <v>1</v>
      </c>
      <c r="G188" s="111" t="b">
        <v>1</v>
      </c>
      <c r="H188" s="111" t="b">
        <v>1</v>
      </c>
      <c r="I188" s="74" t="s">
        <v>147</v>
      </c>
      <c r="J188" s="1"/>
      <c r="K188" s="1"/>
      <c r="L188" s="1"/>
    </row>
    <row r="189">
      <c r="A189" s="110">
        <v>46201.59259971065</v>
      </c>
      <c r="B189" s="74" t="s">
        <v>243</v>
      </c>
      <c r="C189" s="74" t="s">
        <v>225</v>
      </c>
      <c r="D189" s="112" t="s">
        <v>139</v>
      </c>
      <c r="E189" s="74" t="s">
        <v>249</v>
      </c>
      <c r="F189" s="111" t="b">
        <v>1</v>
      </c>
      <c r="G189" s="111" t="b">
        <v>1</v>
      </c>
      <c r="H189" s="111" t="b">
        <v>1</v>
      </c>
      <c r="I189" s="74" t="s">
        <v>147</v>
      </c>
      <c r="J189" s="1"/>
      <c r="K189" s="1"/>
      <c r="L189" s="1"/>
    </row>
    <row r="190">
      <c r="A190" s="110">
        <v>46201.60178070602</v>
      </c>
      <c r="B190" s="74" t="s">
        <v>244</v>
      </c>
      <c r="C190" s="74" t="s">
        <v>250</v>
      </c>
      <c r="D190" s="74" t="s">
        <v>130</v>
      </c>
      <c r="E190" s="1"/>
      <c r="F190" s="111" t="b">
        <v>1</v>
      </c>
      <c r="G190" s="111" t="b">
        <v>1</v>
      </c>
      <c r="H190" s="111" t="b">
        <v>1</v>
      </c>
      <c r="I190" s="74" t="s">
        <v>81</v>
      </c>
      <c r="J190" s="1"/>
      <c r="K190" s="1"/>
      <c r="L190" s="1"/>
    </row>
    <row r="191">
      <c r="A191" s="110">
        <v>46201.60508862269</v>
      </c>
      <c r="B191" s="74" t="s">
        <v>251</v>
      </c>
      <c r="C191" s="74" t="s">
        <v>105</v>
      </c>
      <c r="D191" s="112" t="s">
        <v>139</v>
      </c>
      <c r="E191" s="74" t="s">
        <v>252</v>
      </c>
      <c r="F191" s="111" t="b">
        <v>1</v>
      </c>
      <c r="G191" s="111" t="b">
        <v>1</v>
      </c>
      <c r="H191" s="111" t="b">
        <v>1</v>
      </c>
      <c r="I191" s="74" t="s">
        <v>87</v>
      </c>
      <c r="J191" s="1"/>
      <c r="K191" s="1"/>
      <c r="L191" s="1"/>
    </row>
    <row r="192">
      <c r="A192" s="110">
        <v>46201.60542466435</v>
      </c>
      <c r="B192" s="74" t="s">
        <v>134</v>
      </c>
      <c r="C192" s="74" t="s">
        <v>242</v>
      </c>
      <c r="D192" s="74" t="s">
        <v>130</v>
      </c>
      <c r="E192" s="74" t="s">
        <v>165</v>
      </c>
      <c r="F192" s="111" t="b">
        <v>1</v>
      </c>
      <c r="G192" s="111" t="b">
        <v>1</v>
      </c>
      <c r="H192" s="111" t="b">
        <v>1</v>
      </c>
      <c r="I192" s="74" t="s">
        <v>85</v>
      </c>
      <c r="J192" s="1"/>
      <c r="K192" s="1"/>
      <c r="L192" s="1"/>
    </row>
    <row r="193">
      <c r="A193" s="110">
        <v>46201.61550001157</v>
      </c>
      <c r="B193" s="74" t="s">
        <v>134</v>
      </c>
      <c r="C193" s="74" t="s">
        <v>244</v>
      </c>
      <c r="D193" s="74" t="s">
        <v>130</v>
      </c>
      <c r="E193" s="74" t="s">
        <v>167</v>
      </c>
      <c r="F193" s="111" t="b">
        <v>1</v>
      </c>
      <c r="G193" s="111" t="b">
        <v>1</v>
      </c>
      <c r="H193" s="111" t="b">
        <v>1</v>
      </c>
      <c r="I193" s="74" t="s">
        <v>83</v>
      </c>
      <c r="J193" s="1"/>
      <c r="K193" s="1"/>
      <c r="L193" s="1"/>
    </row>
    <row r="194">
      <c r="A194" s="110">
        <v>46201.65062339121</v>
      </c>
      <c r="B194" s="74" t="s">
        <v>143</v>
      </c>
      <c r="C194" s="74" t="s">
        <v>152</v>
      </c>
      <c r="D194" s="112" t="s">
        <v>139</v>
      </c>
      <c r="E194" s="1"/>
      <c r="F194" s="111" t="b">
        <v>1</v>
      </c>
      <c r="G194" s="111" t="b">
        <v>1</v>
      </c>
      <c r="H194" s="111" t="b">
        <v>1</v>
      </c>
      <c r="I194" s="74" t="s">
        <v>147</v>
      </c>
      <c r="J194" s="1"/>
      <c r="K194" s="1"/>
      <c r="L194" s="1"/>
    </row>
    <row r="195">
      <c r="A195" s="110">
        <v>46201.66287626157</v>
      </c>
      <c r="B195" s="74" t="s">
        <v>111</v>
      </c>
      <c r="C195" s="74" t="s">
        <v>248</v>
      </c>
      <c r="D195" s="112" t="s">
        <v>139</v>
      </c>
      <c r="E195" s="1"/>
      <c r="F195" s="111" t="b">
        <v>1</v>
      </c>
      <c r="G195" s="111" t="b">
        <v>1</v>
      </c>
      <c r="H195" s="111" t="b">
        <v>1</v>
      </c>
      <c r="I195" s="74" t="s">
        <v>83</v>
      </c>
      <c r="J195" s="1"/>
      <c r="K195" s="1"/>
      <c r="L195" s="1"/>
    </row>
    <row r="196">
      <c r="A196" s="110">
        <v>46201.66999865741</v>
      </c>
      <c r="B196" s="74" t="s">
        <v>253</v>
      </c>
      <c r="C196" s="74" t="s">
        <v>243</v>
      </c>
      <c r="D196" s="74" t="s">
        <v>130</v>
      </c>
      <c r="E196" s="74" t="s">
        <v>254</v>
      </c>
      <c r="F196" s="111" t="b">
        <v>1</v>
      </c>
      <c r="G196" s="111" t="b">
        <v>1</v>
      </c>
      <c r="H196" s="111" t="b">
        <v>1</v>
      </c>
      <c r="I196" s="74" t="s">
        <v>99</v>
      </c>
      <c r="J196" s="1"/>
      <c r="K196" s="1"/>
      <c r="L196" s="1"/>
    </row>
    <row r="197">
      <c r="A197" s="110">
        <v>46201.67574039352</v>
      </c>
      <c r="B197" s="74" t="s">
        <v>245</v>
      </c>
      <c r="C197" s="74" t="s">
        <v>248</v>
      </c>
      <c r="D197" s="74" t="s">
        <v>130</v>
      </c>
      <c r="E197" s="1"/>
      <c r="F197" s="111" t="b">
        <v>1</v>
      </c>
      <c r="G197" s="111" t="b">
        <v>1</v>
      </c>
      <c r="H197" s="111" t="b">
        <v>1</v>
      </c>
      <c r="I197" s="74" t="s">
        <v>202</v>
      </c>
      <c r="J197" s="1"/>
      <c r="K197" s="1"/>
      <c r="L197" s="1"/>
    </row>
    <row r="198">
      <c r="A198" s="110">
        <v>46201.68860784722</v>
      </c>
      <c r="B198" s="74" t="s">
        <v>233</v>
      </c>
      <c r="C198" s="74" t="s">
        <v>250</v>
      </c>
      <c r="D198" s="74" t="s">
        <v>130</v>
      </c>
      <c r="E198" s="1"/>
      <c r="F198" s="111" t="b">
        <v>1</v>
      </c>
      <c r="G198" s="111" t="b">
        <v>1</v>
      </c>
      <c r="H198" s="111" t="b">
        <v>1</v>
      </c>
      <c r="I198" s="74" t="s">
        <v>95</v>
      </c>
      <c r="J198" s="1"/>
      <c r="K198" s="1"/>
      <c r="L198" s="1"/>
    </row>
    <row r="199">
      <c r="A199" s="110">
        <v>46201.6954784375</v>
      </c>
      <c r="B199" s="74" t="s">
        <v>253</v>
      </c>
      <c r="C199" s="74" t="s">
        <v>88</v>
      </c>
      <c r="D199" s="112" t="s">
        <v>139</v>
      </c>
      <c r="E199" s="74" t="s">
        <v>255</v>
      </c>
      <c r="F199" s="111" t="b">
        <v>1</v>
      </c>
      <c r="G199" s="111" t="b">
        <v>1</v>
      </c>
      <c r="H199" s="1"/>
      <c r="I199" s="74" t="s">
        <v>79</v>
      </c>
      <c r="J199" s="1"/>
      <c r="K199" s="1"/>
      <c r="L199" s="1"/>
    </row>
    <row r="200">
      <c r="A200" s="110">
        <v>46201.711797615746</v>
      </c>
      <c r="B200" s="74" t="s">
        <v>233</v>
      </c>
      <c r="C200" s="74" t="s">
        <v>243</v>
      </c>
      <c r="D200" s="112" t="s">
        <v>139</v>
      </c>
      <c r="E200" s="1"/>
      <c r="F200" s="111" t="b">
        <v>1</v>
      </c>
      <c r="G200" s="111" t="b">
        <v>1</v>
      </c>
      <c r="H200" s="111" t="b">
        <v>1</v>
      </c>
      <c r="I200" s="74" t="s">
        <v>81</v>
      </c>
      <c r="J200" s="1"/>
      <c r="K200" s="1"/>
      <c r="L200" s="1"/>
    </row>
    <row r="201">
      <c r="A201" s="110">
        <v>46201.72024613426</v>
      </c>
      <c r="B201" s="74" t="s">
        <v>222</v>
      </c>
      <c r="C201" s="74" t="s">
        <v>256</v>
      </c>
      <c r="D201" s="112" t="s">
        <v>139</v>
      </c>
      <c r="E201" s="1"/>
      <c r="F201" s="111" t="b">
        <v>1</v>
      </c>
      <c r="G201" s="111" t="b">
        <v>1</v>
      </c>
      <c r="H201" s="111" t="b">
        <v>1</v>
      </c>
      <c r="I201" s="74" t="s">
        <v>85</v>
      </c>
      <c r="J201" s="1"/>
      <c r="K201" s="1"/>
      <c r="L201" s="1"/>
    </row>
    <row r="202">
      <c r="A202" s="110">
        <v>46201.73732152778</v>
      </c>
      <c r="B202" s="74" t="s">
        <v>223</v>
      </c>
      <c r="C202" s="74" t="s">
        <v>245</v>
      </c>
      <c r="D202" s="112" t="s">
        <v>139</v>
      </c>
      <c r="E202" s="1"/>
      <c r="F202" s="111" t="b">
        <v>1</v>
      </c>
      <c r="G202" s="111" t="b">
        <v>1</v>
      </c>
      <c r="H202" s="111" t="b">
        <v>1</v>
      </c>
      <c r="I202" s="74" t="s">
        <v>97</v>
      </c>
      <c r="J202" s="1"/>
      <c r="K202" s="1"/>
      <c r="L202" s="1"/>
    </row>
    <row r="203">
      <c r="A203" s="110">
        <v>46201.74431657407</v>
      </c>
      <c r="B203" s="74" t="s">
        <v>256</v>
      </c>
      <c r="C203" s="74" t="s">
        <v>241</v>
      </c>
      <c r="D203" s="74" t="s">
        <v>130</v>
      </c>
      <c r="E203" s="74" t="s">
        <v>192</v>
      </c>
      <c r="F203" s="111" t="b">
        <v>1</v>
      </c>
      <c r="G203" s="111" t="b">
        <v>1</v>
      </c>
      <c r="H203" s="111" t="b">
        <v>1</v>
      </c>
      <c r="I203" s="74" t="s">
        <v>118</v>
      </c>
      <c r="J203" s="1"/>
      <c r="K203" s="1"/>
      <c r="L203" s="1"/>
    </row>
    <row r="204">
      <c r="A204" s="110">
        <v>46201.76248547454</v>
      </c>
      <c r="B204" s="74" t="s">
        <v>111</v>
      </c>
      <c r="C204" s="74" t="s">
        <v>182</v>
      </c>
      <c r="D204" s="112" t="s">
        <v>139</v>
      </c>
      <c r="E204" s="1"/>
      <c r="F204" s="111" t="b">
        <v>1</v>
      </c>
      <c r="G204" s="111" t="b">
        <v>1</v>
      </c>
      <c r="H204" s="111" t="b">
        <v>1</v>
      </c>
      <c r="I204" s="74" t="s">
        <v>90</v>
      </c>
      <c r="J204" s="1"/>
      <c r="K204" s="1"/>
      <c r="L204" s="1"/>
    </row>
    <row r="205">
      <c r="A205" s="110">
        <v>46201.76710967593</v>
      </c>
      <c r="B205" s="74" t="s">
        <v>224</v>
      </c>
      <c r="C205" s="74" t="s">
        <v>238</v>
      </c>
      <c r="D205" s="74" t="s">
        <v>130</v>
      </c>
      <c r="E205" s="74" t="s">
        <v>167</v>
      </c>
      <c r="F205" s="111" t="b">
        <v>1</v>
      </c>
      <c r="G205" s="111" t="b">
        <v>1</v>
      </c>
      <c r="H205" s="111" t="b">
        <v>1</v>
      </c>
      <c r="I205" s="74" t="s">
        <v>83</v>
      </c>
      <c r="J205" s="1"/>
      <c r="K205" s="1"/>
      <c r="L205" s="1"/>
    </row>
    <row r="206">
      <c r="A206" s="110">
        <v>46201.77205184028</v>
      </c>
      <c r="B206" s="74" t="s">
        <v>241</v>
      </c>
      <c r="C206" s="74" t="s">
        <v>257</v>
      </c>
      <c r="D206" s="112" t="s">
        <v>139</v>
      </c>
      <c r="E206" s="1"/>
      <c r="F206" s="111" t="b">
        <v>1</v>
      </c>
      <c r="G206" s="111" t="b">
        <v>1</v>
      </c>
      <c r="H206" s="111" t="b">
        <v>1</v>
      </c>
      <c r="I206" s="74" t="s">
        <v>118</v>
      </c>
      <c r="J206" s="1"/>
      <c r="K206" s="1"/>
      <c r="L206" s="1"/>
    </row>
    <row r="207">
      <c r="A207" s="110">
        <v>46201.804229166664</v>
      </c>
      <c r="B207" s="74" t="s">
        <v>238</v>
      </c>
      <c r="C207" s="74" t="s">
        <v>258</v>
      </c>
      <c r="D207" s="74" t="s">
        <v>130</v>
      </c>
      <c r="E207" s="1"/>
      <c r="F207" s="111" t="b">
        <v>1</v>
      </c>
      <c r="G207" s="111" t="b">
        <v>1</v>
      </c>
      <c r="H207" s="111" t="b">
        <v>1</v>
      </c>
      <c r="I207" s="74" t="s">
        <v>118</v>
      </c>
      <c r="J207" s="1"/>
      <c r="K207" s="1"/>
      <c r="L207" s="1"/>
    </row>
    <row r="208">
      <c r="A208" s="110">
        <v>46201.82669354166</v>
      </c>
      <c r="B208" s="74" t="s">
        <v>256</v>
      </c>
      <c r="C208" s="74" t="s">
        <v>225</v>
      </c>
      <c r="D208" s="112" t="s">
        <v>139</v>
      </c>
      <c r="E208" s="74" t="s">
        <v>192</v>
      </c>
      <c r="F208" s="111" t="b">
        <v>1</v>
      </c>
      <c r="G208" s="111" t="b">
        <v>1</v>
      </c>
      <c r="H208" s="111" t="b">
        <v>1</v>
      </c>
      <c r="I208" s="74" t="s">
        <v>118</v>
      </c>
      <c r="J208" s="1"/>
      <c r="K208" s="1"/>
      <c r="L208" s="1"/>
    </row>
    <row r="209">
      <c r="A209" s="110">
        <v>46201.84931775463</v>
      </c>
      <c r="B209" s="74" t="s">
        <v>152</v>
      </c>
      <c r="C209" s="74" t="s">
        <v>245</v>
      </c>
      <c r="D209" s="74" t="s">
        <v>130</v>
      </c>
      <c r="E209" s="1"/>
      <c r="F209" s="111" t="b">
        <v>1</v>
      </c>
      <c r="G209" s="111" t="b">
        <v>1</v>
      </c>
      <c r="H209" s="111" t="b">
        <v>1</v>
      </c>
      <c r="I209" s="74" t="s">
        <v>81</v>
      </c>
      <c r="J209" s="1"/>
      <c r="K209" s="1"/>
      <c r="L209" s="1"/>
    </row>
    <row r="210">
      <c r="A210" s="110">
        <v>46201.851373854166</v>
      </c>
      <c r="B210" s="74" t="s">
        <v>256</v>
      </c>
      <c r="C210" s="74" t="s">
        <v>166</v>
      </c>
      <c r="D210" s="74" t="s">
        <v>130</v>
      </c>
      <c r="E210" s="74" t="s">
        <v>259</v>
      </c>
      <c r="F210" s="111" t="b">
        <v>1</v>
      </c>
      <c r="G210" s="111" t="b">
        <v>1</v>
      </c>
      <c r="H210" s="111" t="b">
        <v>1</v>
      </c>
      <c r="I210" s="74" t="s">
        <v>90</v>
      </c>
      <c r="J210" s="1"/>
      <c r="K210" s="1"/>
      <c r="L210" s="1"/>
    </row>
    <row r="211">
      <c r="A211" s="110">
        <v>46201.87799512732</v>
      </c>
      <c r="B211" s="74" t="s">
        <v>260</v>
      </c>
      <c r="C211" s="74" t="s">
        <v>162</v>
      </c>
      <c r="D211" s="112" t="s">
        <v>139</v>
      </c>
      <c r="E211" s="74" t="s">
        <v>236</v>
      </c>
      <c r="F211" s="111" t="b">
        <v>1</v>
      </c>
      <c r="G211" s="111" t="b">
        <v>1</v>
      </c>
      <c r="H211" s="111" t="b">
        <v>1</v>
      </c>
      <c r="I211" s="74" t="s">
        <v>93</v>
      </c>
      <c r="J211" s="1"/>
      <c r="K211" s="1"/>
      <c r="L211" s="1"/>
    </row>
    <row r="212">
      <c r="A212" s="110">
        <v>46201.90047163195</v>
      </c>
      <c r="B212" s="74" t="s">
        <v>247</v>
      </c>
      <c r="C212" s="74" t="s">
        <v>256</v>
      </c>
      <c r="D212" s="74" t="s">
        <v>130</v>
      </c>
      <c r="E212" s="1"/>
      <c r="F212" s="111" t="b">
        <v>1</v>
      </c>
      <c r="G212" s="111" t="b">
        <v>1</v>
      </c>
      <c r="H212" s="111" t="b">
        <v>1</v>
      </c>
      <c r="I212" s="74" t="s">
        <v>102</v>
      </c>
      <c r="J212" s="1"/>
      <c r="K212" s="1"/>
      <c r="L212" s="1"/>
    </row>
    <row r="213">
      <c r="A213" s="110">
        <v>46201.921442604165</v>
      </c>
      <c r="B213" s="74" t="s">
        <v>110</v>
      </c>
      <c r="C213" s="74" t="s">
        <v>215</v>
      </c>
      <c r="D213" s="74" t="s">
        <v>130</v>
      </c>
      <c r="E213" s="1"/>
      <c r="F213" s="111" t="b">
        <v>1</v>
      </c>
      <c r="G213" s="111" t="b">
        <v>1</v>
      </c>
      <c r="H213" s="111" t="b">
        <v>1</v>
      </c>
      <c r="I213" s="74" t="s">
        <v>79</v>
      </c>
      <c r="J213" s="1"/>
      <c r="K213" s="1"/>
      <c r="L213" s="1"/>
    </row>
    <row r="214">
      <c r="A214" s="110">
        <v>46201.93784966435</v>
      </c>
      <c r="B214" s="74" t="s">
        <v>206</v>
      </c>
      <c r="C214" s="74" t="s">
        <v>261</v>
      </c>
      <c r="D214" s="112" t="s">
        <v>139</v>
      </c>
      <c r="E214" s="1"/>
      <c r="F214" s="111" t="b">
        <v>1</v>
      </c>
      <c r="G214" s="111" t="b">
        <v>1</v>
      </c>
      <c r="H214" s="111" t="b">
        <v>1</v>
      </c>
      <c r="I214" s="74" t="s">
        <v>81</v>
      </c>
      <c r="J214" s="1"/>
      <c r="K214" s="1"/>
      <c r="L214" s="1"/>
    </row>
    <row r="215">
      <c r="A215" s="110">
        <v>46201.938850046296</v>
      </c>
      <c r="B215" s="74" t="s">
        <v>155</v>
      </c>
      <c r="C215" s="74" t="s">
        <v>200</v>
      </c>
      <c r="D215" s="112" t="s">
        <v>139</v>
      </c>
      <c r="E215" s="74" t="s">
        <v>157</v>
      </c>
      <c r="F215" s="111" t="b">
        <v>1</v>
      </c>
      <c r="G215" s="111" t="b">
        <v>1</v>
      </c>
      <c r="H215" s="111" t="b">
        <v>1</v>
      </c>
      <c r="I215" s="74" t="s">
        <v>202</v>
      </c>
      <c r="J215" s="1"/>
      <c r="K215" s="1"/>
      <c r="L215" s="1"/>
    </row>
    <row r="216">
      <c r="A216" s="110">
        <v>46201.94955884259</v>
      </c>
      <c r="B216" s="74" t="s">
        <v>260</v>
      </c>
      <c r="C216" s="74" t="s">
        <v>228</v>
      </c>
      <c r="D216" s="74" t="s">
        <v>130</v>
      </c>
      <c r="E216" s="74" t="s">
        <v>236</v>
      </c>
      <c r="F216" s="111" t="b">
        <v>1</v>
      </c>
      <c r="G216" s="111" t="b">
        <v>1</v>
      </c>
      <c r="H216" s="111" t="b">
        <v>1</v>
      </c>
      <c r="I216" s="74" t="s">
        <v>95</v>
      </c>
      <c r="J216" s="1"/>
      <c r="K216" s="1"/>
      <c r="L216" s="1"/>
    </row>
    <row r="217">
      <c r="A217" s="110">
        <v>46201.952836550925</v>
      </c>
      <c r="B217" s="74" t="s">
        <v>258</v>
      </c>
      <c r="C217" s="74" t="s">
        <v>212</v>
      </c>
      <c r="D217" s="74" t="s">
        <v>130</v>
      </c>
      <c r="E217" s="1"/>
      <c r="F217" s="111" t="b">
        <v>1</v>
      </c>
      <c r="G217" s="111" t="b">
        <v>1</v>
      </c>
      <c r="H217" s="111" t="b">
        <v>1</v>
      </c>
      <c r="I217" s="74" t="s">
        <v>97</v>
      </c>
      <c r="J217" s="1"/>
      <c r="K217" s="1"/>
      <c r="L217" s="1"/>
    </row>
    <row r="218">
      <c r="A218" s="110">
        <v>46201.98679260416</v>
      </c>
      <c r="B218" s="74" t="s">
        <v>232</v>
      </c>
      <c r="C218" s="74" t="s">
        <v>262</v>
      </c>
      <c r="D218" s="112" t="s">
        <v>139</v>
      </c>
      <c r="E218" s="74" t="s">
        <v>157</v>
      </c>
      <c r="F218" s="111" t="b">
        <v>1</v>
      </c>
      <c r="G218" s="111" t="b">
        <v>1</v>
      </c>
      <c r="H218" s="111" t="b">
        <v>1</v>
      </c>
      <c r="I218" s="74" t="s">
        <v>81</v>
      </c>
      <c r="J218" s="1"/>
      <c r="K218" s="1"/>
      <c r="L218" s="1"/>
    </row>
    <row r="219">
      <c r="A219" s="110">
        <v>46201.98830236111</v>
      </c>
      <c r="B219" s="74" t="s">
        <v>148</v>
      </c>
      <c r="C219" s="74" t="s">
        <v>105</v>
      </c>
      <c r="D219" s="112" t="s">
        <v>139</v>
      </c>
      <c r="E219" s="1"/>
      <c r="F219" s="111" t="b">
        <v>1</v>
      </c>
      <c r="G219" s="111" t="b">
        <v>1</v>
      </c>
      <c r="H219" s="111" t="b">
        <v>1</v>
      </c>
      <c r="I219" s="74" t="s">
        <v>120</v>
      </c>
      <c r="J219" s="1"/>
      <c r="K219" s="1"/>
      <c r="L219" s="1"/>
    </row>
    <row r="220">
      <c r="A220" s="110">
        <v>46202.00065538194</v>
      </c>
      <c r="B220" s="74" t="s">
        <v>224</v>
      </c>
      <c r="C220" s="74" t="s">
        <v>258</v>
      </c>
      <c r="D220" s="112" t="s">
        <v>139</v>
      </c>
      <c r="E220" s="74" t="s">
        <v>167</v>
      </c>
      <c r="F220" s="111" t="b">
        <v>1</v>
      </c>
      <c r="G220" s="111" t="b">
        <v>1</v>
      </c>
      <c r="H220" s="111" t="b">
        <v>1</v>
      </c>
      <c r="I220" s="74" t="s">
        <v>99</v>
      </c>
      <c r="J220" s="1"/>
      <c r="K220" s="1"/>
      <c r="L220" s="1"/>
    </row>
    <row r="221">
      <c r="A221" s="110">
        <v>46202.00332743056</v>
      </c>
      <c r="B221" s="74" t="s">
        <v>148</v>
      </c>
      <c r="C221" s="74" t="s">
        <v>262</v>
      </c>
      <c r="D221" s="74" t="s">
        <v>130</v>
      </c>
      <c r="E221" s="1"/>
      <c r="F221" s="111" t="b">
        <v>1</v>
      </c>
      <c r="G221" s="111" t="b">
        <v>1</v>
      </c>
      <c r="H221" s="111" t="b">
        <v>1</v>
      </c>
      <c r="I221" s="74" t="s">
        <v>84</v>
      </c>
      <c r="J221" s="1"/>
      <c r="K221" s="1"/>
      <c r="L221" s="1"/>
    </row>
    <row r="222">
      <c r="A222" s="110">
        <v>46202.39014483796</v>
      </c>
      <c r="B222" s="74" t="s">
        <v>179</v>
      </c>
      <c r="C222" s="74" t="s">
        <v>225</v>
      </c>
      <c r="D222" s="112" t="s">
        <v>139</v>
      </c>
      <c r="E222" s="1"/>
      <c r="F222" s="111" t="b">
        <v>1</v>
      </c>
      <c r="G222" s="111" t="b">
        <v>1</v>
      </c>
      <c r="H222" s="111" t="b">
        <v>1</v>
      </c>
      <c r="I222" s="74" t="s">
        <v>83</v>
      </c>
      <c r="J222" s="1"/>
      <c r="K222" s="1"/>
      <c r="L222" s="1"/>
    </row>
    <row r="223">
      <c r="A223" s="110">
        <v>46202.44201076389</v>
      </c>
      <c r="B223" s="74" t="s">
        <v>242</v>
      </c>
      <c r="C223" s="74" t="s">
        <v>204</v>
      </c>
      <c r="D223" s="74" t="s">
        <v>130</v>
      </c>
      <c r="E223" s="1"/>
      <c r="F223" s="111" t="b">
        <v>1</v>
      </c>
      <c r="G223" s="111" t="b">
        <v>1</v>
      </c>
      <c r="H223" s="111" t="b">
        <v>1</v>
      </c>
      <c r="I223" s="74" t="s">
        <v>87</v>
      </c>
      <c r="J223" s="1"/>
      <c r="K223" s="1"/>
      <c r="L223" s="1"/>
    </row>
    <row r="224">
      <c r="A224" s="110">
        <v>46202.46612037037</v>
      </c>
      <c r="B224" s="74" t="s">
        <v>242</v>
      </c>
      <c r="C224" s="74" t="s">
        <v>177</v>
      </c>
      <c r="D224" s="112" t="s">
        <v>139</v>
      </c>
      <c r="E224" s="1"/>
      <c r="F224" s="111" t="b">
        <v>1</v>
      </c>
      <c r="G224" s="111" t="b">
        <v>1</v>
      </c>
      <c r="H224" s="111" t="b">
        <v>1</v>
      </c>
      <c r="I224" s="74" t="s">
        <v>83</v>
      </c>
      <c r="J224" s="1"/>
      <c r="K224" s="1"/>
      <c r="L224" s="1"/>
    </row>
    <row r="225">
      <c r="A225" s="110">
        <v>46202.49449228009</v>
      </c>
      <c r="B225" s="74" t="s">
        <v>263</v>
      </c>
      <c r="C225" s="74" t="s">
        <v>141</v>
      </c>
      <c r="D225" s="112" t="s">
        <v>139</v>
      </c>
      <c r="E225" s="1"/>
      <c r="F225" s="111" t="b">
        <v>1</v>
      </c>
      <c r="G225" s="111" t="b">
        <v>1</v>
      </c>
      <c r="H225" s="111" t="b">
        <v>1</v>
      </c>
      <c r="I225" s="74" t="s">
        <v>147</v>
      </c>
      <c r="J225" s="1"/>
      <c r="K225" s="1"/>
      <c r="L225" s="1"/>
    </row>
    <row r="226">
      <c r="A226" s="110">
        <v>46202.51571690972</v>
      </c>
      <c r="B226" s="74" t="s">
        <v>206</v>
      </c>
      <c r="C226" s="74" t="s">
        <v>264</v>
      </c>
      <c r="D226" s="74" t="s">
        <v>130</v>
      </c>
      <c r="E226" s="1"/>
      <c r="F226" s="111" t="b">
        <v>1</v>
      </c>
      <c r="G226" s="111" t="b">
        <v>1</v>
      </c>
      <c r="H226" s="111" t="b">
        <v>1</v>
      </c>
      <c r="I226" s="74" t="s">
        <v>81</v>
      </c>
      <c r="J226" s="1"/>
      <c r="K226" s="1"/>
      <c r="L226" s="1"/>
    </row>
    <row r="227">
      <c r="A227" s="110">
        <v>46202.52694048611</v>
      </c>
      <c r="B227" s="74" t="s">
        <v>150</v>
      </c>
      <c r="C227" s="74" t="s">
        <v>265</v>
      </c>
      <c r="D227" s="74" t="s">
        <v>130</v>
      </c>
      <c r="E227" s="74" t="s">
        <v>266</v>
      </c>
      <c r="F227" s="111" t="b">
        <v>1</v>
      </c>
      <c r="G227" s="111" t="b">
        <v>1</v>
      </c>
      <c r="H227" s="111" t="b">
        <v>1</v>
      </c>
      <c r="I227" s="74" t="s">
        <v>83</v>
      </c>
      <c r="J227" s="1"/>
      <c r="K227" s="1"/>
      <c r="L227" s="1"/>
    </row>
    <row r="228">
      <c r="A228" s="110">
        <v>46202.542659687504</v>
      </c>
      <c r="B228" s="74" t="s">
        <v>263</v>
      </c>
      <c r="C228" s="74" t="s">
        <v>150</v>
      </c>
      <c r="D228" s="74" t="s">
        <v>130</v>
      </c>
      <c r="E228" s="1"/>
      <c r="F228" s="111" t="b">
        <v>1</v>
      </c>
      <c r="G228" s="111" t="b">
        <v>1</v>
      </c>
      <c r="H228" s="111" t="b">
        <v>1</v>
      </c>
      <c r="I228" s="74" t="s">
        <v>93</v>
      </c>
      <c r="J228" s="1"/>
      <c r="K228" s="1"/>
      <c r="L228" s="1"/>
    </row>
    <row r="229">
      <c r="A229" s="110">
        <v>46202.570461261574</v>
      </c>
      <c r="B229" s="74" t="s">
        <v>242</v>
      </c>
      <c r="C229" s="74" t="s">
        <v>248</v>
      </c>
      <c r="D229" s="74" t="s">
        <v>130</v>
      </c>
      <c r="E229" s="1"/>
      <c r="F229" s="111" t="b">
        <v>1</v>
      </c>
      <c r="G229" s="111" t="b">
        <v>1</v>
      </c>
      <c r="H229" s="111" t="b">
        <v>1</v>
      </c>
      <c r="I229" s="74" t="s">
        <v>81</v>
      </c>
      <c r="J229" s="1"/>
      <c r="K229" s="1"/>
      <c r="L229" s="1"/>
    </row>
    <row r="230">
      <c r="A230" s="110">
        <v>46202.58516633102</v>
      </c>
      <c r="B230" s="74" t="s">
        <v>267</v>
      </c>
      <c r="C230" s="74" t="s">
        <v>261</v>
      </c>
      <c r="D230" s="74" t="s">
        <v>130</v>
      </c>
      <c r="E230" s="74" t="s">
        <v>268</v>
      </c>
      <c r="F230" s="111" t="b">
        <v>1</v>
      </c>
      <c r="G230" s="111" t="b">
        <v>1</v>
      </c>
      <c r="H230" s="111" t="b">
        <v>1</v>
      </c>
      <c r="I230" s="74" t="s">
        <v>95</v>
      </c>
      <c r="J230" s="1"/>
      <c r="K230" s="1"/>
      <c r="L230" s="1"/>
    </row>
    <row r="231">
      <c r="A231" s="110">
        <v>46202.61599546296</v>
      </c>
      <c r="B231" s="74" t="s">
        <v>146</v>
      </c>
      <c r="C231" s="74" t="s">
        <v>269</v>
      </c>
      <c r="D231" s="112" t="s">
        <v>139</v>
      </c>
      <c r="E231" s="1"/>
      <c r="F231" s="111" t="b">
        <v>1</v>
      </c>
      <c r="G231" s="111" t="b">
        <v>1</v>
      </c>
      <c r="H231" s="111" t="b">
        <v>1</v>
      </c>
      <c r="I231" s="74" t="s">
        <v>118</v>
      </c>
      <c r="J231" s="1"/>
      <c r="K231" s="1"/>
      <c r="L231" s="1"/>
    </row>
    <row r="232">
      <c r="A232" s="110">
        <v>46202.64706084491</v>
      </c>
      <c r="B232" s="74" t="s">
        <v>138</v>
      </c>
      <c r="C232" s="74" t="s">
        <v>162</v>
      </c>
      <c r="D232" s="112" t="s">
        <v>139</v>
      </c>
      <c r="E232" s="1"/>
      <c r="F232" s="111" t="b">
        <v>1</v>
      </c>
      <c r="G232" s="111" t="b">
        <v>1</v>
      </c>
      <c r="H232" s="111" t="b">
        <v>1</v>
      </c>
      <c r="I232" s="74" t="s">
        <v>97</v>
      </c>
      <c r="J232" s="1"/>
      <c r="K232" s="1"/>
      <c r="L232" s="1"/>
    </row>
    <row r="233">
      <c r="A233" s="110">
        <v>46202.64901496528</v>
      </c>
      <c r="B233" s="74" t="s">
        <v>149</v>
      </c>
      <c r="C233" s="74" t="s">
        <v>265</v>
      </c>
      <c r="D233" s="112" t="s">
        <v>139</v>
      </c>
      <c r="E233" s="1"/>
      <c r="F233" s="111" t="b">
        <v>1</v>
      </c>
      <c r="G233" s="111" t="b">
        <v>1</v>
      </c>
      <c r="H233" s="111" t="b">
        <v>1</v>
      </c>
      <c r="I233" s="74" t="s">
        <v>93</v>
      </c>
      <c r="J233" s="1"/>
      <c r="K233" s="1"/>
      <c r="L233" s="1"/>
    </row>
    <row r="234">
      <c r="A234" s="110">
        <v>46202.660049212966</v>
      </c>
      <c r="B234" s="74" t="s">
        <v>253</v>
      </c>
      <c r="C234" s="74" t="s">
        <v>269</v>
      </c>
      <c r="D234" s="112" t="s">
        <v>139</v>
      </c>
      <c r="E234" s="74" t="s">
        <v>270</v>
      </c>
      <c r="F234" s="111" t="b">
        <v>1</v>
      </c>
      <c r="G234" s="111" t="b">
        <v>1</v>
      </c>
      <c r="H234" s="111" t="b">
        <v>1</v>
      </c>
      <c r="I234" s="74" t="s">
        <v>202</v>
      </c>
      <c r="J234" s="1"/>
      <c r="K234" s="1"/>
      <c r="L234" s="1"/>
    </row>
    <row r="235">
      <c r="A235" s="110">
        <v>46202.67082517361</v>
      </c>
      <c r="B235" s="74" t="s">
        <v>261</v>
      </c>
      <c r="C235" s="74" t="s">
        <v>146</v>
      </c>
      <c r="D235" s="74" t="s">
        <v>130</v>
      </c>
      <c r="E235" s="74" t="s">
        <v>192</v>
      </c>
      <c r="F235" s="111" t="b">
        <v>1</v>
      </c>
      <c r="G235" s="111" t="b">
        <v>1</v>
      </c>
      <c r="H235" s="111" t="b">
        <v>1</v>
      </c>
      <c r="I235" s="74" t="s">
        <v>85</v>
      </c>
      <c r="J235" s="1"/>
      <c r="K235" s="1"/>
      <c r="L235" s="1"/>
    </row>
    <row r="236">
      <c r="A236" s="110">
        <v>46202.67897609954</v>
      </c>
      <c r="B236" s="74" t="s">
        <v>271</v>
      </c>
      <c r="C236" s="74" t="s">
        <v>253</v>
      </c>
      <c r="D236" s="74" t="s">
        <v>130</v>
      </c>
      <c r="E236" s="1"/>
      <c r="F236" s="111" t="b">
        <v>1</v>
      </c>
      <c r="G236" s="111" t="b">
        <v>1</v>
      </c>
      <c r="H236" s="111" t="b">
        <v>1</v>
      </c>
      <c r="I236" s="74" t="s">
        <v>118</v>
      </c>
      <c r="J236" s="1"/>
      <c r="K236" s="1"/>
      <c r="L236" s="1"/>
    </row>
    <row r="237">
      <c r="A237" s="110">
        <v>46202.681094155094</v>
      </c>
      <c r="B237" s="74" t="s">
        <v>251</v>
      </c>
      <c r="C237" s="74" t="s">
        <v>149</v>
      </c>
      <c r="D237" s="112" t="s">
        <v>139</v>
      </c>
      <c r="E237" s="74" t="s">
        <v>236</v>
      </c>
      <c r="F237" s="111" t="b">
        <v>1</v>
      </c>
      <c r="G237" s="111" t="b">
        <v>1</v>
      </c>
      <c r="H237" s="111" t="b">
        <v>1</v>
      </c>
      <c r="I237" s="74" t="s">
        <v>106</v>
      </c>
      <c r="J237" s="1"/>
      <c r="K237" s="1"/>
      <c r="L237" s="1"/>
    </row>
    <row r="238">
      <c r="A238" s="110">
        <v>46202.701284062496</v>
      </c>
      <c r="B238" s="74" t="s">
        <v>271</v>
      </c>
      <c r="C238" s="74" t="s">
        <v>194</v>
      </c>
      <c r="D238" s="74" t="s">
        <v>130</v>
      </c>
      <c r="E238" s="1"/>
      <c r="F238" s="111" t="b">
        <v>1</v>
      </c>
      <c r="G238" s="111" t="b">
        <v>1</v>
      </c>
      <c r="H238" s="111" t="b">
        <v>1</v>
      </c>
      <c r="I238" s="74" t="s">
        <v>90</v>
      </c>
      <c r="J238" s="1"/>
      <c r="K238" s="1"/>
      <c r="L238" s="1"/>
    </row>
    <row r="239">
      <c r="A239" s="110">
        <v>46202.70370042824</v>
      </c>
      <c r="B239" s="74" t="s">
        <v>267</v>
      </c>
      <c r="C239" s="74" t="s">
        <v>115</v>
      </c>
      <c r="D239" s="74" t="s">
        <v>130</v>
      </c>
      <c r="E239" s="74" t="s">
        <v>268</v>
      </c>
      <c r="F239" s="111" t="b">
        <v>1</v>
      </c>
      <c r="G239" s="111" t="b">
        <v>1</v>
      </c>
      <c r="H239" s="111" t="b">
        <v>1</v>
      </c>
      <c r="I239" s="74" t="s">
        <v>95</v>
      </c>
      <c r="J239" s="1"/>
      <c r="K239" s="1"/>
      <c r="L239" s="1"/>
    </row>
    <row r="240">
      <c r="A240" s="110">
        <v>46202.73566167824</v>
      </c>
      <c r="B240" s="74" t="s">
        <v>217</v>
      </c>
      <c r="C240" s="74" t="s">
        <v>161</v>
      </c>
      <c r="D240" s="74" t="s">
        <v>130</v>
      </c>
      <c r="E240" s="1"/>
      <c r="F240" s="111" t="b">
        <v>1</v>
      </c>
      <c r="G240" s="111" t="b">
        <v>1</v>
      </c>
      <c r="H240" s="111" t="b">
        <v>1</v>
      </c>
      <c r="I240" s="74" t="s">
        <v>85</v>
      </c>
      <c r="J240" s="1"/>
      <c r="K240" s="1"/>
      <c r="L240" s="1"/>
    </row>
    <row r="241">
      <c r="A241" s="110">
        <v>46202.738177453706</v>
      </c>
      <c r="B241" s="74" t="s">
        <v>194</v>
      </c>
      <c r="C241" s="74" t="s">
        <v>253</v>
      </c>
      <c r="D241" s="112" t="s">
        <v>139</v>
      </c>
      <c r="E241" s="1"/>
      <c r="F241" s="111" t="b">
        <v>1</v>
      </c>
      <c r="G241" s="111" t="b">
        <v>1</v>
      </c>
      <c r="H241" s="111" t="b">
        <v>1</v>
      </c>
      <c r="I241" s="74" t="s">
        <v>120</v>
      </c>
      <c r="J241" s="1"/>
      <c r="K241" s="1"/>
      <c r="L241" s="1"/>
    </row>
    <row r="242">
      <c r="A242" s="110">
        <v>46202.76020387732</v>
      </c>
      <c r="B242" s="74" t="s">
        <v>159</v>
      </c>
      <c r="C242" s="74" t="s">
        <v>247</v>
      </c>
      <c r="D242" s="112" t="s">
        <v>139</v>
      </c>
      <c r="E242" s="1"/>
      <c r="F242" s="111" t="b">
        <v>1</v>
      </c>
      <c r="G242" s="111" t="b">
        <v>1</v>
      </c>
      <c r="H242" s="111" t="b">
        <v>1</v>
      </c>
      <c r="I242" s="74" t="s">
        <v>93</v>
      </c>
      <c r="J242" s="1"/>
      <c r="K242" s="1"/>
      <c r="L242" s="1"/>
    </row>
    <row r="243">
      <c r="A243" s="110">
        <v>46202.774398622685</v>
      </c>
      <c r="B243" s="74" t="s">
        <v>222</v>
      </c>
      <c r="C243" s="74" t="s">
        <v>203</v>
      </c>
      <c r="D243" s="112" t="s">
        <v>139</v>
      </c>
      <c r="E243" s="1"/>
      <c r="F243" s="111" t="b">
        <v>1</v>
      </c>
      <c r="G243" s="111" t="b">
        <v>1</v>
      </c>
      <c r="H243" s="111" t="b">
        <v>1</v>
      </c>
      <c r="I243" s="74" t="s">
        <v>81</v>
      </c>
      <c r="J243" s="1"/>
      <c r="K243" s="1"/>
      <c r="L243" s="1"/>
    </row>
    <row r="244">
      <c r="A244" s="110">
        <v>46202.80236534722</v>
      </c>
      <c r="B244" s="74" t="s">
        <v>156</v>
      </c>
      <c r="C244" s="74" t="s">
        <v>272</v>
      </c>
      <c r="D244" s="112" t="s">
        <v>139</v>
      </c>
      <c r="E244" s="1"/>
      <c r="F244" s="111" t="b">
        <v>1</v>
      </c>
      <c r="G244" s="111" t="b">
        <v>1</v>
      </c>
      <c r="H244" s="111" t="b">
        <v>1</v>
      </c>
      <c r="I244" s="74" t="s">
        <v>147</v>
      </c>
      <c r="J244" s="1"/>
      <c r="K244" s="1"/>
      <c r="L244" s="1"/>
    </row>
    <row r="245">
      <c r="A245" s="110">
        <v>46202.80624892361</v>
      </c>
      <c r="B245" s="74" t="s">
        <v>273</v>
      </c>
      <c r="C245" s="74" t="s">
        <v>274</v>
      </c>
      <c r="D245" s="74" t="s">
        <v>130</v>
      </c>
      <c r="E245" s="74" t="s">
        <v>249</v>
      </c>
      <c r="F245" s="111" t="b">
        <v>1</v>
      </c>
      <c r="G245" s="111" t="b">
        <v>1</v>
      </c>
      <c r="H245" s="111" t="b">
        <v>1</v>
      </c>
      <c r="I245" s="74" t="s">
        <v>83</v>
      </c>
      <c r="J245" s="1"/>
      <c r="K245" s="1"/>
      <c r="L245" s="1"/>
    </row>
    <row r="246">
      <c r="A246" s="110">
        <v>46202.832577905094</v>
      </c>
      <c r="B246" s="74" t="s">
        <v>272</v>
      </c>
      <c r="C246" s="74" t="s">
        <v>229</v>
      </c>
      <c r="D246" s="112" t="s">
        <v>139</v>
      </c>
      <c r="E246" s="1"/>
      <c r="F246" s="111" t="b">
        <v>1</v>
      </c>
      <c r="G246" s="111" t="b">
        <v>1</v>
      </c>
      <c r="H246" s="111" t="b">
        <v>1</v>
      </c>
      <c r="I246" s="74" t="s">
        <v>84</v>
      </c>
      <c r="J246" s="1"/>
      <c r="K246" s="1"/>
      <c r="L246" s="1"/>
    </row>
    <row r="247">
      <c r="A247" s="110">
        <v>46202.84953153935</v>
      </c>
      <c r="B247" s="74" t="s">
        <v>137</v>
      </c>
      <c r="C247" s="74" t="s">
        <v>169</v>
      </c>
      <c r="D247" s="74" t="s">
        <v>130</v>
      </c>
      <c r="E247" s="1"/>
      <c r="F247" s="111" t="b">
        <v>1</v>
      </c>
      <c r="G247" s="111" t="b">
        <v>1</v>
      </c>
      <c r="H247" s="111" t="b">
        <v>1</v>
      </c>
      <c r="I247" s="74" t="s">
        <v>102</v>
      </c>
      <c r="J247" s="1"/>
      <c r="K247" s="1"/>
      <c r="L247" s="1"/>
    </row>
    <row r="248">
      <c r="A248" s="110">
        <v>46202.854975636576</v>
      </c>
      <c r="B248" s="74" t="s">
        <v>229</v>
      </c>
      <c r="C248" s="74" t="s">
        <v>257</v>
      </c>
      <c r="D248" s="112" t="s">
        <v>139</v>
      </c>
      <c r="E248" s="74" t="s">
        <v>157</v>
      </c>
      <c r="F248" s="111" t="b">
        <v>1</v>
      </c>
      <c r="G248" s="111" t="b">
        <v>1</v>
      </c>
      <c r="H248" s="111" t="b">
        <v>1</v>
      </c>
      <c r="I248" s="74" t="s">
        <v>87</v>
      </c>
      <c r="J248" s="1"/>
      <c r="K248" s="1"/>
      <c r="L248" s="1"/>
    </row>
    <row r="249">
      <c r="A249" s="110">
        <v>46202.87622472222</v>
      </c>
      <c r="B249" s="74" t="s">
        <v>275</v>
      </c>
      <c r="C249" s="74" t="s">
        <v>119</v>
      </c>
      <c r="D249" s="112" t="s">
        <v>139</v>
      </c>
      <c r="E249" s="1"/>
      <c r="F249" s="111" t="b">
        <v>1</v>
      </c>
      <c r="G249" s="111" t="b">
        <v>1</v>
      </c>
      <c r="H249" s="111" t="b">
        <v>1</v>
      </c>
      <c r="I249" s="74" t="s">
        <v>87</v>
      </c>
      <c r="J249" s="1"/>
      <c r="K249" s="1"/>
      <c r="L249" s="1"/>
    </row>
    <row r="250">
      <c r="A250" s="110">
        <v>46202.88651523148</v>
      </c>
      <c r="B250" s="74" t="s">
        <v>269</v>
      </c>
      <c r="C250" s="74" t="s">
        <v>119</v>
      </c>
      <c r="D250" s="74" t="s">
        <v>130</v>
      </c>
      <c r="E250" s="1"/>
      <c r="F250" s="111" t="b">
        <v>1</v>
      </c>
      <c r="G250" s="111" t="b">
        <v>1</v>
      </c>
      <c r="H250" s="111" t="b">
        <v>1</v>
      </c>
      <c r="I250" s="74" t="s">
        <v>83</v>
      </c>
      <c r="J250" s="1"/>
      <c r="K250" s="1"/>
      <c r="L250" s="1"/>
    </row>
    <row r="251">
      <c r="A251" s="110">
        <v>46202.889512395835</v>
      </c>
      <c r="B251" s="74" t="s">
        <v>241</v>
      </c>
      <c r="C251" s="74" t="s">
        <v>108</v>
      </c>
      <c r="D251" s="74" t="s">
        <v>130</v>
      </c>
      <c r="E251" s="74" t="s">
        <v>276</v>
      </c>
      <c r="F251" s="111" t="b">
        <v>1</v>
      </c>
      <c r="G251" s="111" t="b">
        <v>1</v>
      </c>
      <c r="H251" s="111" t="b">
        <v>1</v>
      </c>
      <c r="I251" s="74" t="s">
        <v>118</v>
      </c>
      <c r="J251" s="1"/>
      <c r="K251" s="1"/>
      <c r="L251" s="1"/>
    </row>
    <row r="252">
      <c r="A252" s="110">
        <v>46202.89688871527</v>
      </c>
      <c r="B252" s="74" t="s">
        <v>257</v>
      </c>
      <c r="C252" s="74" t="s">
        <v>271</v>
      </c>
      <c r="D252" s="112" t="s">
        <v>139</v>
      </c>
      <c r="E252" s="74" t="s">
        <v>277</v>
      </c>
      <c r="F252" s="111" t="b">
        <v>1</v>
      </c>
      <c r="G252" s="111" t="b">
        <v>1</v>
      </c>
      <c r="H252" s="111" t="b">
        <v>1</v>
      </c>
      <c r="I252" s="74" t="s">
        <v>93</v>
      </c>
      <c r="J252" s="1"/>
      <c r="K252" s="1"/>
      <c r="L252" s="1"/>
    </row>
    <row r="253">
      <c r="A253" s="110">
        <v>46202.90636569445</v>
      </c>
      <c r="B253" s="74" t="s">
        <v>273</v>
      </c>
      <c r="C253" s="74" t="s">
        <v>275</v>
      </c>
      <c r="D253" s="112" t="s">
        <v>139</v>
      </c>
      <c r="E253" s="74" t="s">
        <v>249</v>
      </c>
      <c r="F253" s="111" t="b">
        <v>1</v>
      </c>
      <c r="G253" s="111" t="b">
        <v>1</v>
      </c>
      <c r="H253" s="111" t="b">
        <v>1</v>
      </c>
      <c r="I253" s="74" t="s">
        <v>85</v>
      </c>
      <c r="J253" s="1"/>
      <c r="K253" s="1"/>
      <c r="L253" s="1"/>
    </row>
    <row r="254">
      <c r="A254" s="110">
        <v>46202.907711921296</v>
      </c>
      <c r="B254" s="74" t="s">
        <v>228</v>
      </c>
      <c r="C254" s="74" t="s">
        <v>269</v>
      </c>
      <c r="D254" s="112" t="s">
        <v>139</v>
      </c>
      <c r="E254" s="1"/>
      <c r="F254" s="111" t="b">
        <v>1</v>
      </c>
      <c r="G254" s="111" t="b">
        <v>1</v>
      </c>
      <c r="H254" s="111" t="b">
        <v>1</v>
      </c>
      <c r="I254" s="74" t="s">
        <v>81</v>
      </c>
      <c r="J254" s="1"/>
      <c r="K254" s="1"/>
      <c r="L254" s="1"/>
    </row>
    <row r="255">
      <c r="A255" s="110">
        <v>46202.90772041667</v>
      </c>
      <c r="B255" s="74" t="s">
        <v>241</v>
      </c>
      <c r="C255" s="74" t="s">
        <v>258</v>
      </c>
      <c r="D255" s="74" t="s">
        <v>130</v>
      </c>
      <c r="E255" s="74" t="s">
        <v>136</v>
      </c>
      <c r="F255" s="111" t="b">
        <v>1</v>
      </c>
      <c r="G255" s="111" t="b">
        <v>1</v>
      </c>
      <c r="H255" s="111" t="b">
        <v>1</v>
      </c>
      <c r="I255" s="74" t="s">
        <v>87</v>
      </c>
      <c r="J255" s="1"/>
      <c r="K255" s="1"/>
      <c r="L255" s="1"/>
    </row>
    <row r="256">
      <c r="A256" s="110">
        <v>46202.92507921296</v>
      </c>
      <c r="B256" s="74" t="s">
        <v>261</v>
      </c>
      <c r="C256" s="74" t="s">
        <v>273</v>
      </c>
      <c r="D256" s="74" t="s">
        <v>130</v>
      </c>
      <c r="E256" s="74" t="s">
        <v>192</v>
      </c>
      <c r="F256" s="111" t="b">
        <v>1</v>
      </c>
      <c r="G256" s="111" t="b">
        <v>1</v>
      </c>
      <c r="H256" s="111" t="b">
        <v>1</v>
      </c>
      <c r="I256" s="74" t="s">
        <v>87</v>
      </c>
      <c r="J256" s="1"/>
      <c r="K256" s="1"/>
      <c r="L256" s="1"/>
    </row>
    <row r="257">
      <c r="A257" s="110">
        <v>46202.92967149305</v>
      </c>
      <c r="B257" s="74" t="s">
        <v>237</v>
      </c>
      <c r="C257" s="74" t="s">
        <v>278</v>
      </c>
      <c r="D257" s="74" t="s">
        <v>130</v>
      </c>
      <c r="E257" s="74" t="s">
        <v>157</v>
      </c>
      <c r="F257" s="111" t="b">
        <v>1</v>
      </c>
      <c r="G257" s="111" t="b">
        <v>1</v>
      </c>
      <c r="H257" s="111" t="b">
        <v>1</v>
      </c>
      <c r="I257" s="74" t="s">
        <v>83</v>
      </c>
      <c r="J257" s="1"/>
      <c r="K257" s="1"/>
      <c r="L257" s="1"/>
    </row>
    <row r="258">
      <c r="A258" s="110">
        <v>46202.93682177083</v>
      </c>
      <c r="B258" s="74" t="s">
        <v>179</v>
      </c>
      <c r="C258" s="74" t="s">
        <v>269</v>
      </c>
      <c r="D258" s="74" t="s">
        <v>130</v>
      </c>
      <c r="E258" s="1"/>
      <c r="F258" s="111" t="b">
        <v>1</v>
      </c>
      <c r="G258" s="111" t="b">
        <v>1</v>
      </c>
      <c r="H258" s="111" t="b">
        <v>1</v>
      </c>
      <c r="I258" s="74" t="s">
        <v>118</v>
      </c>
      <c r="J258" s="1"/>
      <c r="K258" s="1"/>
      <c r="L258" s="1"/>
    </row>
    <row r="259">
      <c r="A259" s="110">
        <v>46202.942047557866</v>
      </c>
      <c r="B259" s="74" t="s">
        <v>229</v>
      </c>
      <c r="C259" s="74" t="s">
        <v>258</v>
      </c>
      <c r="D259" s="74" t="s">
        <v>130</v>
      </c>
      <c r="E259" s="74" t="s">
        <v>157</v>
      </c>
      <c r="F259" s="111" t="b">
        <v>1</v>
      </c>
      <c r="G259" s="111" t="b">
        <v>1</v>
      </c>
      <c r="H259" s="111" t="b">
        <v>1</v>
      </c>
      <c r="I259" s="74" t="s">
        <v>98</v>
      </c>
      <c r="J259" s="1"/>
      <c r="K259" s="1"/>
      <c r="L259" s="1"/>
    </row>
    <row r="260">
      <c r="A260" s="110">
        <v>46202.95197274306</v>
      </c>
      <c r="B260" s="74" t="s">
        <v>279</v>
      </c>
      <c r="C260" s="74" t="s">
        <v>280</v>
      </c>
      <c r="D260" s="112" t="s">
        <v>139</v>
      </c>
      <c r="E260" s="1"/>
      <c r="F260" s="111" t="b">
        <v>1</v>
      </c>
      <c r="G260" s="111" t="b">
        <v>1</v>
      </c>
      <c r="H260" s="111" t="b">
        <v>1</v>
      </c>
      <c r="I260" s="74" t="s">
        <v>81</v>
      </c>
      <c r="J260" s="1"/>
      <c r="K260" s="1"/>
      <c r="L260" s="1"/>
    </row>
    <row r="261">
      <c r="A261" s="110">
        <v>46202.955201770834</v>
      </c>
      <c r="B261" s="74" t="s">
        <v>183</v>
      </c>
      <c r="C261" s="74" t="s">
        <v>237</v>
      </c>
      <c r="D261" s="74" t="s">
        <v>130</v>
      </c>
      <c r="E261" s="74" t="s">
        <v>157</v>
      </c>
      <c r="F261" s="111" t="b">
        <v>1</v>
      </c>
      <c r="G261" s="111" t="b">
        <v>1</v>
      </c>
      <c r="H261" s="111" t="b">
        <v>1</v>
      </c>
      <c r="I261" s="74" t="s">
        <v>84</v>
      </c>
      <c r="J261" s="1"/>
      <c r="K261" s="1"/>
      <c r="L261" s="1"/>
    </row>
    <row r="262">
      <c r="A262" s="110">
        <v>46202.95597488426</v>
      </c>
      <c r="B262" s="74" t="s">
        <v>275</v>
      </c>
      <c r="C262" s="74" t="s">
        <v>281</v>
      </c>
      <c r="D262" s="74" t="s">
        <v>130</v>
      </c>
      <c r="E262" s="1"/>
      <c r="F262" s="111" t="b">
        <v>1</v>
      </c>
      <c r="G262" s="111" t="b">
        <v>1</v>
      </c>
      <c r="H262" s="111" t="b">
        <v>1</v>
      </c>
      <c r="I262" s="74" t="s">
        <v>81</v>
      </c>
      <c r="J262" s="1"/>
      <c r="K262" s="1"/>
      <c r="L262" s="1"/>
    </row>
    <row r="263">
      <c r="A263" s="110">
        <v>46202.96051957176</v>
      </c>
      <c r="B263" s="74" t="s">
        <v>271</v>
      </c>
      <c r="C263" s="74" t="s">
        <v>228</v>
      </c>
      <c r="D263" s="74" t="s">
        <v>130</v>
      </c>
      <c r="E263" s="1"/>
      <c r="F263" s="111" t="b">
        <v>1</v>
      </c>
      <c r="G263" s="111" t="b">
        <v>1</v>
      </c>
      <c r="H263" s="111" t="b">
        <v>1</v>
      </c>
      <c r="I263" s="74" t="s">
        <v>87</v>
      </c>
      <c r="J263" s="1"/>
      <c r="K263" s="1"/>
      <c r="L263" s="1"/>
    </row>
    <row r="264">
      <c r="A264" s="110">
        <v>46202.987779953706</v>
      </c>
      <c r="B264" s="74" t="s">
        <v>275</v>
      </c>
      <c r="C264" s="74" t="s">
        <v>282</v>
      </c>
      <c r="D264" s="74" t="s">
        <v>130</v>
      </c>
      <c r="E264" s="1"/>
      <c r="F264" s="111" t="b">
        <v>1</v>
      </c>
      <c r="G264" s="111" t="b">
        <v>1</v>
      </c>
      <c r="H264" s="111" t="b">
        <v>1</v>
      </c>
      <c r="I264" s="74" t="s">
        <v>81</v>
      </c>
      <c r="J264" s="1"/>
      <c r="K264" s="1"/>
      <c r="L264" s="1"/>
    </row>
    <row r="265">
      <c r="A265" s="110">
        <v>46202.98859678241</v>
      </c>
      <c r="B265" s="74" t="s">
        <v>283</v>
      </c>
      <c r="C265" s="74" t="s">
        <v>271</v>
      </c>
      <c r="D265" s="112" t="s">
        <v>139</v>
      </c>
      <c r="E265" s="74" t="s">
        <v>157</v>
      </c>
      <c r="F265" s="111" t="b">
        <v>1</v>
      </c>
      <c r="G265" s="111" t="b">
        <v>1</v>
      </c>
      <c r="H265" s="111" t="b">
        <v>1</v>
      </c>
      <c r="I265" s="74" t="s">
        <v>85</v>
      </c>
      <c r="J265" s="1"/>
      <c r="K265" s="1"/>
      <c r="L265" s="1"/>
    </row>
    <row r="266">
      <c r="A266" s="110">
        <v>46203.013407488426</v>
      </c>
      <c r="B266" s="74" t="s">
        <v>122</v>
      </c>
      <c r="C266" s="74" t="s">
        <v>284</v>
      </c>
      <c r="D266" s="74" t="s">
        <v>130</v>
      </c>
      <c r="E266" s="74" t="s">
        <v>157</v>
      </c>
      <c r="F266" s="111" t="b">
        <v>1</v>
      </c>
      <c r="G266" s="111" t="b">
        <v>1</v>
      </c>
      <c r="H266" s="111" t="b">
        <v>1</v>
      </c>
      <c r="I266" s="74" t="s">
        <v>87</v>
      </c>
      <c r="J266" s="1"/>
      <c r="K266" s="1"/>
      <c r="L266" s="1"/>
    </row>
    <row r="267">
      <c r="A267" s="110">
        <v>46203.03583658565</v>
      </c>
      <c r="B267" s="74" t="s">
        <v>237</v>
      </c>
      <c r="C267" s="74" t="s">
        <v>112</v>
      </c>
      <c r="D267" s="74" t="s">
        <v>130</v>
      </c>
      <c r="E267" s="74" t="s">
        <v>157</v>
      </c>
      <c r="F267" s="111" t="b">
        <v>1</v>
      </c>
      <c r="G267" s="111" t="b">
        <v>1</v>
      </c>
      <c r="H267" s="111" t="b">
        <v>1</v>
      </c>
      <c r="I267" s="74" t="s">
        <v>87</v>
      </c>
      <c r="J267" s="1"/>
      <c r="K267" s="1"/>
      <c r="L267" s="1"/>
    </row>
    <row r="268">
      <c r="A268" s="110">
        <v>46203.03789118056</v>
      </c>
      <c r="B268" s="74" t="s">
        <v>282</v>
      </c>
      <c r="C268" s="74" t="s">
        <v>285</v>
      </c>
      <c r="D268" s="74" t="s">
        <v>130</v>
      </c>
      <c r="E268" s="1"/>
      <c r="F268" s="111" t="b">
        <v>1</v>
      </c>
      <c r="G268" s="111" t="b">
        <v>1</v>
      </c>
      <c r="H268" s="111" t="b">
        <v>1</v>
      </c>
      <c r="I268" s="74" t="s">
        <v>93</v>
      </c>
      <c r="J268" s="1"/>
      <c r="K268" s="1"/>
      <c r="L268" s="1"/>
    </row>
    <row r="269">
      <c r="A269" s="110">
        <v>46203.04813789352</v>
      </c>
      <c r="B269" s="74" t="s">
        <v>286</v>
      </c>
      <c r="C269" s="74" t="s">
        <v>287</v>
      </c>
      <c r="D269" s="112" t="s">
        <v>139</v>
      </c>
      <c r="E269" s="74" t="s">
        <v>157</v>
      </c>
      <c r="F269" s="111" t="b">
        <v>1</v>
      </c>
      <c r="G269" s="111" t="b">
        <v>1</v>
      </c>
      <c r="H269" s="111" t="b">
        <v>1</v>
      </c>
      <c r="I269" s="74" t="s">
        <v>147</v>
      </c>
      <c r="J269" s="1"/>
      <c r="K269" s="1"/>
      <c r="L269" s="1"/>
    </row>
    <row r="270">
      <c r="A270" s="110">
        <v>46203.06525273148</v>
      </c>
      <c r="B270" s="74" t="s">
        <v>279</v>
      </c>
      <c r="C270" s="74" t="s">
        <v>105</v>
      </c>
      <c r="D270" s="112" t="s">
        <v>139</v>
      </c>
      <c r="E270" s="1"/>
      <c r="F270" s="111" t="b">
        <v>1</v>
      </c>
      <c r="G270" s="111" t="b">
        <v>1</v>
      </c>
      <c r="H270" s="111" t="b">
        <v>1</v>
      </c>
      <c r="I270" s="74" t="s">
        <v>87</v>
      </c>
      <c r="J270" s="1"/>
      <c r="K270" s="1"/>
      <c r="L270" s="1"/>
    </row>
    <row r="271">
      <c r="A271" s="110">
        <v>46203.09481525463</v>
      </c>
      <c r="B271" s="74" t="s">
        <v>288</v>
      </c>
      <c r="C271" s="74" t="s">
        <v>285</v>
      </c>
      <c r="D271" s="74" t="s">
        <v>130</v>
      </c>
      <c r="E271" s="74" t="s">
        <v>175</v>
      </c>
      <c r="F271" s="111" t="b">
        <v>1</v>
      </c>
      <c r="G271" s="111" t="b">
        <v>1</v>
      </c>
      <c r="H271" s="111" t="b">
        <v>1</v>
      </c>
      <c r="I271" s="74" t="s">
        <v>202</v>
      </c>
      <c r="J271" s="1"/>
      <c r="K271" s="1"/>
      <c r="L271" s="1"/>
    </row>
    <row r="272">
      <c r="A272" s="110">
        <v>46203.380365046294</v>
      </c>
      <c r="B272" s="74" t="s">
        <v>261</v>
      </c>
      <c r="C272" s="74" t="s">
        <v>289</v>
      </c>
      <c r="D272" s="74" t="s">
        <v>130</v>
      </c>
      <c r="E272" s="74" t="s">
        <v>192</v>
      </c>
      <c r="F272" s="111" t="b">
        <v>1</v>
      </c>
      <c r="G272" s="111" t="b">
        <v>1</v>
      </c>
      <c r="H272" s="111" t="b">
        <v>1</v>
      </c>
      <c r="I272" s="74" t="s">
        <v>102</v>
      </c>
      <c r="J272" s="1"/>
      <c r="K272" s="1"/>
      <c r="L272" s="1"/>
    </row>
    <row r="273">
      <c r="A273" s="110">
        <v>46203.47747304398</v>
      </c>
      <c r="B273" s="74" t="s">
        <v>290</v>
      </c>
      <c r="C273" s="74" t="s">
        <v>291</v>
      </c>
      <c r="D273" s="74" t="s">
        <v>130</v>
      </c>
      <c r="E273" s="1"/>
      <c r="F273" s="111" t="b">
        <v>1</v>
      </c>
      <c r="G273" s="111" t="b">
        <v>1</v>
      </c>
      <c r="H273" s="111" t="b">
        <v>1</v>
      </c>
      <c r="I273" s="74" t="s">
        <v>87</v>
      </c>
      <c r="J273" s="1"/>
      <c r="K273" s="1"/>
      <c r="L273" s="1"/>
    </row>
    <row r="274">
      <c r="A274" s="110">
        <v>46203.490440520836</v>
      </c>
      <c r="B274" s="74" t="s">
        <v>289</v>
      </c>
      <c r="C274" s="74" t="s">
        <v>290</v>
      </c>
      <c r="D274" s="74" t="s">
        <v>130</v>
      </c>
      <c r="E274" s="1"/>
      <c r="F274" s="111" t="b">
        <v>1</v>
      </c>
      <c r="G274" s="111" t="b">
        <v>1</v>
      </c>
      <c r="H274" s="111" t="b">
        <v>1</v>
      </c>
      <c r="I274" s="74" t="s">
        <v>118</v>
      </c>
      <c r="J274" s="1"/>
      <c r="K274" s="1"/>
      <c r="L274" s="1"/>
    </row>
    <row r="275">
      <c r="A275" s="110">
        <v>46203.50466943287</v>
      </c>
      <c r="B275" s="74" t="s">
        <v>251</v>
      </c>
      <c r="C275" s="74" t="s">
        <v>263</v>
      </c>
      <c r="D275" s="112" t="s">
        <v>139</v>
      </c>
      <c r="E275" s="74" t="s">
        <v>292</v>
      </c>
      <c r="F275" s="111" t="b">
        <v>1</v>
      </c>
      <c r="G275" s="111" t="b">
        <v>1</v>
      </c>
      <c r="H275" s="111" t="b">
        <v>1</v>
      </c>
      <c r="I275" s="74" t="s">
        <v>85</v>
      </c>
      <c r="J275" s="1"/>
      <c r="K275" s="1"/>
      <c r="L275" s="1"/>
    </row>
    <row r="276">
      <c r="A276" s="110">
        <v>46203.50940744213</v>
      </c>
      <c r="B276" s="74" t="s">
        <v>267</v>
      </c>
      <c r="C276" s="74" t="s">
        <v>291</v>
      </c>
      <c r="D276" s="112" t="s">
        <v>139</v>
      </c>
      <c r="E276" s="74" t="s">
        <v>268</v>
      </c>
      <c r="F276" s="111" t="b">
        <v>1</v>
      </c>
      <c r="G276" s="111" t="b">
        <v>1</v>
      </c>
      <c r="H276" s="111" t="b">
        <v>1</v>
      </c>
      <c r="I276" s="74" t="s">
        <v>120</v>
      </c>
      <c r="J276" s="1"/>
      <c r="K276" s="1"/>
      <c r="L276" s="1"/>
    </row>
    <row r="277">
      <c r="A277" s="110">
        <v>46203.51274443287</v>
      </c>
      <c r="B277" s="74" t="s">
        <v>290</v>
      </c>
      <c r="C277" s="74" t="s">
        <v>293</v>
      </c>
      <c r="D277" s="74" t="s">
        <v>130</v>
      </c>
      <c r="E277" s="1"/>
      <c r="F277" s="111" t="b">
        <v>1</v>
      </c>
      <c r="G277" s="111" t="b">
        <v>1</v>
      </c>
      <c r="H277" s="111" t="b">
        <v>1</v>
      </c>
      <c r="I277" s="74" t="s">
        <v>97</v>
      </c>
      <c r="J277" s="1"/>
      <c r="K277" s="1"/>
      <c r="L277" s="1"/>
    </row>
    <row r="278">
      <c r="A278" s="110">
        <v>46203.526401111114</v>
      </c>
      <c r="B278" s="74" t="s">
        <v>290</v>
      </c>
      <c r="C278" s="74" t="s">
        <v>263</v>
      </c>
      <c r="D278" s="112" t="s">
        <v>139</v>
      </c>
      <c r="E278" s="1"/>
      <c r="F278" s="111" t="b">
        <v>1</v>
      </c>
      <c r="G278" s="111" t="b">
        <v>1</v>
      </c>
      <c r="H278" s="111" t="b">
        <v>1</v>
      </c>
      <c r="I278" s="74" t="s">
        <v>84</v>
      </c>
      <c r="J278" s="1"/>
      <c r="K278" s="1"/>
      <c r="L278" s="1"/>
    </row>
    <row r="279">
      <c r="A279" s="110">
        <v>46203.58016604166</v>
      </c>
      <c r="B279" s="74" t="s">
        <v>294</v>
      </c>
      <c r="C279" s="74" t="s">
        <v>115</v>
      </c>
      <c r="D279" s="112" t="s">
        <v>139</v>
      </c>
      <c r="E279" s="1"/>
      <c r="F279" s="111" t="b">
        <v>1</v>
      </c>
      <c r="G279" s="111" t="b">
        <v>1</v>
      </c>
      <c r="H279" s="111" t="b">
        <v>1</v>
      </c>
      <c r="I279" s="74" t="s">
        <v>147</v>
      </c>
      <c r="J279" s="1"/>
      <c r="K279" s="1"/>
      <c r="L279" s="1"/>
    </row>
    <row r="280">
      <c r="A280" s="110">
        <v>46203.63187557871</v>
      </c>
      <c r="B280" s="74" t="s">
        <v>138</v>
      </c>
      <c r="C280" s="74" t="s">
        <v>264</v>
      </c>
      <c r="D280" s="74" t="s">
        <v>130</v>
      </c>
      <c r="E280" s="1"/>
      <c r="F280" s="111" t="b">
        <v>1</v>
      </c>
      <c r="G280" s="111" t="b">
        <v>1</v>
      </c>
      <c r="H280" s="111" t="b">
        <v>1</v>
      </c>
      <c r="I280" s="74" t="s">
        <v>93</v>
      </c>
      <c r="J280" s="1"/>
      <c r="K280" s="1"/>
      <c r="L280" s="1"/>
    </row>
    <row r="281">
      <c r="A281" s="110">
        <v>46203.715277905096</v>
      </c>
      <c r="B281" s="74" t="s">
        <v>289</v>
      </c>
      <c r="C281" s="74" t="s">
        <v>146</v>
      </c>
      <c r="D281" s="112" t="s">
        <v>139</v>
      </c>
      <c r="E281" s="1"/>
      <c r="F281" s="111" t="b">
        <v>1</v>
      </c>
      <c r="G281" s="111" t="b">
        <v>1</v>
      </c>
      <c r="H281" s="111" t="b">
        <v>1</v>
      </c>
      <c r="I281" s="74" t="s">
        <v>202</v>
      </c>
      <c r="J281" s="1"/>
      <c r="K281" s="1"/>
      <c r="L281" s="1"/>
    </row>
    <row r="282">
      <c r="A282" s="110">
        <v>46203.74817532407</v>
      </c>
      <c r="B282" s="74" t="s">
        <v>208</v>
      </c>
      <c r="C282" s="74" t="s">
        <v>156</v>
      </c>
      <c r="D282" s="74" t="s">
        <v>130</v>
      </c>
      <c r="E282" s="74" t="s">
        <v>295</v>
      </c>
      <c r="F282" s="111" t="b">
        <v>1</v>
      </c>
      <c r="G282" s="111" t="b">
        <v>1</v>
      </c>
      <c r="H282" s="111" t="b">
        <v>1</v>
      </c>
      <c r="I282" s="74" t="s">
        <v>98</v>
      </c>
      <c r="J282" s="1"/>
      <c r="K282" s="1"/>
      <c r="L282" s="1"/>
    </row>
    <row r="283">
      <c r="A283" s="110">
        <v>46203.79320168981</v>
      </c>
      <c r="B283" s="74" t="s">
        <v>296</v>
      </c>
      <c r="C283" s="74" t="s">
        <v>100</v>
      </c>
      <c r="D283" s="112" t="s">
        <v>139</v>
      </c>
      <c r="E283" s="1"/>
      <c r="F283" s="111" t="b">
        <v>1</v>
      </c>
      <c r="G283" s="111" t="b">
        <v>1</v>
      </c>
      <c r="H283" s="111" t="b">
        <v>1</v>
      </c>
      <c r="I283" s="74" t="s">
        <v>118</v>
      </c>
      <c r="J283" s="1"/>
      <c r="K283" s="1"/>
      <c r="L283" s="1"/>
    </row>
    <row r="284">
      <c r="A284" s="110">
        <v>46203.795133287036</v>
      </c>
      <c r="B284" s="74" t="s">
        <v>108</v>
      </c>
      <c r="C284" s="74" t="s">
        <v>274</v>
      </c>
      <c r="D284" s="74" t="s">
        <v>130</v>
      </c>
      <c r="E284" s="1"/>
      <c r="F284" s="111" t="b">
        <v>1</v>
      </c>
      <c r="G284" s="111" t="b">
        <v>1</v>
      </c>
      <c r="H284" s="111" t="b">
        <v>1</v>
      </c>
      <c r="I284" s="74" t="s">
        <v>98</v>
      </c>
      <c r="J284" s="1"/>
      <c r="K284" s="1"/>
      <c r="L284" s="1"/>
    </row>
    <row r="285">
      <c r="A285" s="110">
        <v>46203.83141932871</v>
      </c>
      <c r="B285" s="74" t="s">
        <v>280</v>
      </c>
      <c r="C285" s="74" t="s">
        <v>274</v>
      </c>
      <c r="D285" s="74" t="s">
        <v>130</v>
      </c>
      <c r="E285" s="1"/>
      <c r="F285" s="111" t="b">
        <v>1</v>
      </c>
      <c r="G285" s="111" t="b">
        <v>1</v>
      </c>
      <c r="H285" s="111" t="b">
        <v>1</v>
      </c>
      <c r="I285" s="74" t="s">
        <v>87</v>
      </c>
      <c r="J285" s="1"/>
      <c r="K285" s="1"/>
      <c r="L285" s="1"/>
    </row>
    <row r="286">
      <c r="A286" s="110">
        <v>46203.84233197916</v>
      </c>
      <c r="B286" s="74" t="s">
        <v>148</v>
      </c>
      <c r="C286" s="74" t="s">
        <v>289</v>
      </c>
      <c r="D286" s="112" t="s">
        <v>139</v>
      </c>
      <c r="E286" s="1"/>
      <c r="F286" s="111" t="b">
        <v>1</v>
      </c>
      <c r="G286" s="111" t="b">
        <v>1</v>
      </c>
      <c r="H286" s="111" t="b">
        <v>1</v>
      </c>
      <c r="I286" s="74" t="s">
        <v>87</v>
      </c>
      <c r="J286" s="1"/>
      <c r="K286" s="1"/>
      <c r="L286" s="1"/>
    </row>
    <row r="287">
      <c r="A287" s="110">
        <v>46203.856101909725</v>
      </c>
      <c r="B287" s="74" t="s">
        <v>122</v>
      </c>
      <c r="C287" s="74" t="s">
        <v>282</v>
      </c>
      <c r="D287" s="112" t="s">
        <v>139</v>
      </c>
      <c r="E287" s="74" t="s">
        <v>297</v>
      </c>
      <c r="F287" s="111" t="b">
        <v>1</v>
      </c>
      <c r="G287" s="111" t="b">
        <v>1</v>
      </c>
      <c r="H287" s="111" t="b">
        <v>1</v>
      </c>
      <c r="I287" s="74" t="s">
        <v>90</v>
      </c>
      <c r="J287" s="1"/>
      <c r="K287" s="1"/>
      <c r="L287" s="1"/>
    </row>
    <row r="288">
      <c r="A288" s="110">
        <v>46203.857857766205</v>
      </c>
      <c r="B288" s="74" t="s">
        <v>294</v>
      </c>
      <c r="C288" s="74" t="s">
        <v>257</v>
      </c>
      <c r="D288" s="112" t="s">
        <v>139</v>
      </c>
      <c r="E288" s="1"/>
      <c r="F288" s="111" t="b">
        <v>1</v>
      </c>
      <c r="G288" s="111" t="b">
        <v>1</v>
      </c>
      <c r="H288" s="111" t="b">
        <v>1</v>
      </c>
      <c r="I288" s="74" t="s">
        <v>81</v>
      </c>
      <c r="J288" s="1"/>
      <c r="K288" s="1"/>
      <c r="L288" s="1"/>
    </row>
    <row r="289">
      <c r="A289" s="110">
        <v>46203.8872602662</v>
      </c>
      <c r="B289" s="74" t="s">
        <v>161</v>
      </c>
      <c r="C289" s="74" t="s">
        <v>232</v>
      </c>
      <c r="D289" s="74" t="s">
        <v>130</v>
      </c>
      <c r="E289" s="1"/>
      <c r="F289" s="111" t="b">
        <v>1</v>
      </c>
      <c r="G289" s="111" t="b">
        <v>1</v>
      </c>
      <c r="H289" s="111" t="b">
        <v>1</v>
      </c>
      <c r="I289" s="74" t="s">
        <v>83</v>
      </c>
      <c r="J289" s="1"/>
      <c r="K289" s="1"/>
      <c r="L289" s="1"/>
    </row>
    <row r="290">
      <c r="A290" s="110">
        <v>46203.895935775465</v>
      </c>
      <c r="B290" s="74" t="s">
        <v>282</v>
      </c>
      <c r="C290" s="74" t="s">
        <v>264</v>
      </c>
      <c r="D290" s="74" t="s">
        <v>130</v>
      </c>
      <c r="E290" s="1"/>
      <c r="F290" s="111" t="b">
        <v>1</v>
      </c>
      <c r="G290" s="111" t="b">
        <v>1</v>
      </c>
      <c r="H290" s="111" t="b">
        <v>1</v>
      </c>
      <c r="I290" s="74" t="s">
        <v>147</v>
      </c>
      <c r="J290" s="1"/>
      <c r="K290" s="1"/>
      <c r="L290" s="1"/>
    </row>
    <row r="291">
      <c r="A291" s="110">
        <v>46203.91089236111</v>
      </c>
      <c r="B291" s="74" t="s">
        <v>275</v>
      </c>
      <c r="C291" s="74" t="s">
        <v>214</v>
      </c>
      <c r="D291" s="74" t="s">
        <v>130</v>
      </c>
      <c r="E291" s="1"/>
      <c r="F291" s="111" t="b">
        <v>1</v>
      </c>
      <c r="G291" s="111" t="b">
        <v>1</v>
      </c>
      <c r="H291" s="111" t="b">
        <v>1</v>
      </c>
      <c r="I291" s="74" t="s">
        <v>95</v>
      </c>
      <c r="J291" s="1"/>
      <c r="K291" s="1"/>
      <c r="L291" s="1"/>
    </row>
    <row r="292">
      <c r="A292" s="110">
        <v>46203.92227821759</v>
      </c>
      <c r="B292" s="74" t="s">
        <v>280</v>
      </c>
      <c r="C292" s="74" t="s">
        <v>298</v>
      </c>
      <c r="D292" s="112" t="s">
        <v>139</v>
      </c>
      <c r="E292" s="1"/>
      <c r="F292" s="111" t="b">
        <v>1</v>
      </c>
      <c r="G292" s="111" t="b">
        <v>1</v>
      </c>
      <c r="H292" s="111" t="b">
        <v>1</v>
      </c>
      <c r="I292" s="74" t="s">
        <v>81</v>
      </c>
      <c r="J292" s="1"/>
      <c r="K292" s="1"/>
      <c r="L292" s="1"/>
    </row>
    <row r="293">
      <c r="A293" s="110">
        <v>46203.93615893519</v>
      </c>
      <c r="B293" s="74" t="s">
        <v>281</v>
      </c>
      <c r="C293" s="74" t="s">
        <v>282</v>
      </c>
      <c r="D293" s="112" t="s">
        <v>139</v>
      </c>
      <c r="E293" s="1"/>
      <c r="F293" s="111" t="b">
        <v>1</v>
      </c>
      <c r="G293" s="111" t="b">
        <v>1</v>
      </c>
      <c r="H293" s="111" t="b">
        <v>1</v>
      </c>
      <c r="I293" s="74" t="s">
        <v>93</v>
      </c>
      <c r="J293" s="1"/>
      <c r="K293" s="1"/>
      <c r="L293" s="1"/>
    </row>
    <row r="294">
      <c r="A294" s="110">
        <v>46203.960249421296</v>
      </c>
      <c r="B294" s="74" t="s">
        <v>281</v>
      </c>
      <c r="C294" s="74" t="s">
        <v>200</v>
      </c>
      <c r="D294" s="112" t="s">
        <v>139</v>
      </c>
      <c r="E294" s="1"/>
      <c r="F294" s="111" t="b">
        <v>1</v>
      </c>
      <c r="G294" s="111" t="b">
        <v>1</v>
      </c>
      <c r="H294" s="111" t="b">
        <v>1</v>
      </c>
      <c r="I294" s="74" t="s">
        <v>102</v>
      </c>
      <c r="J294" s="1"/>
      <c r="K294" s="1"/>
      <c r="L294" s="1"/>
    </row>
    <row r="295">
      <c r="A295" s="110">
        <v>46203.961185775464</v>
      </c>
      <c r="B295" s="74" t="s">
        <v>289</v>
      </c>
      <c r="C295" s="74" t="s">
        <v>280</v>
      </c>
      <c r="D295" s="74" t="s">
        <v>130</v>
      </c>
      <c r="E295" s="1"/>
      <c r="F295" s="111" t="b">
        <v>1</v>
      </c>
      <c r="G295" s="111" t="b">
        <v>1</v>
      </c>
      <c r="H295" s="111" t="b">
        <v>1</v>
      </c>
      <c r="I295" s="74" t="s">
        <v>95</v>
      </c>
      <c r="J295" s="1"/>
      <c r="K295" s="1"/>
      <c r="L295" s="1"/>
    </row>
    <row r="296">
      <c r="A296" s="110">
        <v>46203.97305894676</v>
      </c>
      <c r="B296" s="74" t="s">
        <v>278</v>
      </c>
      <c r="C296" s="74" t="s">
        <v>100</v>
      </c>
      <c r="D296" s="74" t="s">
        <v>130</v>
      </c>
      <c r="E296" s="74" t="s">
        <v>299</v>
      </c>
      <c r="F296" s="111" t="b">
        <v>1</v>
      </c>
      <c r="G296" s="111" t="b">
        <v>1</v>
      </c>
      <c r="H296" s="111" t="b">
        <v>1</v>
      </c>
      <c r="I296" s="74" t="s">
        <v>90</v>
      </c>
      <c r="J296" s="1"/>
      <c r="K296" s="1"/>
      <c r="L296" s="1"/>
    </row>
    <row r="297">
      <c r="A297" s="110">
        <v>46203.98753644676</v>
      </c>
      <c r="B297" s="74" t="s">
        <v>284</v>
      </c>
      <c r="C297" s="74" t="s">
        <v>100</v>
      </c>
      <c r="D297" s="112" t="s">
        <v>139</v>
      </c>
      <c r="E297" s="1"/>
      <c r="F297" s="111" t="b">
        <v>1</v>
      </c>
      <c r="G297" s="111" t="b">
        <v>1</v>
      </c>
      <c r="H297" s="111" t="b">
        <v>1</v>
      </c>
      <c r="I297" s="74" t="s">
        <v>97</v>
      </c>
      <c r="J297" s="1"/>
      <c r="K297" s="1"/>
      <c r="L297" s="1"/>
    </row>
    <row r="298">
      <c r="A298" s="110">
        <v>46203.99659188658</v>
      </c>
      <c r="B298" s="74" t="s">
        <v>296</v>
      </c>
      <c r="C298" s="74" t="s">
        <v>278</v>
      </c>
      <c r="D298" s="112" t="s">
        <v>139</v>
      </c>
      <c r="E298" s="1"/>
      <c r="F298" s="111" t="b">
        <v>1</v>
      </c>
      <c r="G298" s="111" t="b">
        <v>1</v>
      </c>
      <c r="H298" s="111" t="b">
        <v>1</v>
      </c>
      <c r="I298" s="74" t="s">
        <v>83</v>
      </c>
      <c r="J298" s="1"/>
      <c r="K298" s="1"/>
      <c r="L298" s="1"/>
    </row>
    <row r="299">
      <c r="A299" s="110">
        <v>46204.00538138889</v>
      </c>
      <c r="B299" s="74" t="s">
        <v>257</v>
      </c>
      <c r="C299" s="74" t="s">
        <v>288</v>
      </c>
      <c r="D299" s="74" t="s">
        <v>130</v>
      </c>
      <c r="E299" s="74" t="s">
        <v>192</v>
      </c>
      <c r="F299" s="111" t="b">
        <v>1</v>
      </c>
      <c r="G299" s="111" t="b">
        <v>1</v>
      </c>
      <c r="H299" s="111" t="b">
        <v>1</v>
      </c>
      <c r="I299" s="74" t="s">
        <v>93</v>
      </c>
      <c r="J299" s="1"/>
      <c r="K299" s="1"/>
      <c r="L299" s="1"/>
    </row>
    <row r="300">
      <c r="A300" s="110">
        <v>46204.03176398148</v>
      </c>
      <c r="B300" s="74" t="s">
        <v>284</v>
      </c>
      <c r="C300" s="74" t="s">
        <v>105</v>
      </c>
      <c r="D300" s="112" t="s">
        <v>139</v>
      </c>
      <c r="E300" s="1"/>
      <c r="F300" s="111" t="b">
        <v>1</v>
      </c>
      <c r="G300" s="111" t="b">
        <v>1</v>
      </c>
      <c r="H300" s="111" t="b">
        <v>1</v>
      </c>
      <c r="I300" s="74" t="s">
        <v>98</v>
      </c>
      <c r="J300" s="1"/>
      <c r="K300" s="1"/>
      <c r="L300" s="1"/>
    </row>
    <row r="301">
      <c r="A301" s="110">
        <v>46204.03450224537</v>
      </c>
      <c r="B301" s="74" t="s">
        <v>296</v>
      </c>
      <c r="C301" s="74" t="s">
        <v>288</v>
      </c>
      <c r="D301" s="112" t="s">
        <v>139</v>
      </c>
      <c r="E301" s="1"/>
      <c r="F301" s="111" t="b">
        <v>1</v>
      </c>
      <c r="G301" s="111" t="b">
        <v>1</v>
      </c>
      <c r="H301" s="111" t="b">
        <v>1</v>
      </c>
      <c r="I301" s="74" t="s">
        <v>120</v>
      </c>
      <c r="J301" s="1"/>
      <c r="K301" s="1"/>
      <c r="L301" s="1"/>
    </row>
    <row r="302">
      <c r="A302" s="110">
        <v>46204.063207812505</v>
      </c>
      <c r="B302" s="74" t="s">
        <v>208</v>
      </c>
      <c r="C302" s="74" t="s">
        <v>285</v>
      </c>
      <c r="D302" s="112" t="s">
        <v>139</v>
      </c>
      <c r="E302" s="74" t="s">
        <v>300</v>
      </c>
      <c r="F302" s="111" t="b">
        <v>1</v>
      </c>
      <c r="G302" s="111" t="b">
        <v>1</v>
      </c>
      <c r="H302" s="111" t="b">
        <v>1</v>
      </c>
      <c r="I302" s="74" t="s">
        <v>102</v>
      </c>
      <c r="J302" s="1"/>
      <c r="K302" s="1"/>
      <c r="L302" s="1"/>
    </row>
    <row r="303">
      <c r="A303" s="110">
        <v>46204.32871994213</v>
      </c>
      <c r="B303" s="74" t="s">
        <v>138</v>
      </c>
      <c r="C303" s="74" t="s">
        <v>293</v>
      </c>
      <c r="D303" s="112" t="s">
        <v>139</v>
      </c>
      <c r="E303" s="1"/>
      <c r="F303" s="111" t="b">
        <v>1</v>
      </c>
      <c r="G303" s="111" t="b">
        <v>1</v>
      </c>
      <c r="H303" s="111" t="b">
        <v>1</v>
      </c>
      <c r="I303" s="74" t="s">
        <v>84</v>
      </c>
      <c r="J303" s="1"/>
      <c r="K303" s="1"/>
      <c r="L303" s="1"/>
    </row>
    <row r="304">
      <c r="A304" s="110">
        <v>46204.388506979165</v>
      </c>
      <c r="B304" s="74" t="s">
        <v>183</v>
      </c>
      <c r="C304" s="74" t="s">
        <v>293</v>
      </c>
      <c r="D304" s="112" t="s">
        <v>139</v>
      </c>
      <c r="E304" s="74" t="s">
        <v>301</v>
      </c>
      <c r="F304" s="111" t="b">
        <v>1</v>
      </c>
      <c r="G304" s="111" t="b">
        <v>1</v>
      </c>
      <c r="H304" s="111" t="b">
        <v>1</v>
      </c>
      <c r="I304" s="74" t="s">
        <v>118</v>
      </c>
      <c r="J304" s="1"/>
      <c r="K304" s="1"/>
      <c r="L304" s="1"/>
    </row>
    <row r="305">
      <c r="A305" s="110">
        <v>46204.400679548606</v>
      </c>
      <c r="B305" s="74" t="s">
        <v>263</v>
      </c>
      <c r="C305" s="74" t="s">
        <v>159</v>
      </c>
      <c r="D305" s="74" t="s">
        <v>130</v>
      </c>
      <c r="E305" s="1"/>
      <c r="F305" s="111" t="b">
        <v>1</v>
      </c>
      <c r="G305" s="111" t="b">
        <v>1</v>
      </c>
      <c r="H305" s="111" t="b">
        <v>1</v>
      </c>
      <c r="I305" s="74" t="s">
        <v>81</v>
      </c>
      <c r="J305" s="1"/>
      <c r="K305" s="1"/>
      <c r="L305" s="1"/>
    </row>
    <row r="306">
      <c r="A306" s="110">
        <v>46204.48509802083</v>
      </c>
      <c r="B306" s="74" t="s">
        <v>302</v>
      </c>
      <c r="C306" s="74" t="s">
        <v>303</v>
      </c>
      <c r="D306" s="112" t="s">
        <v>139</v>
      </c>
      <c r="E306" s="1"/>
      <c r="F306" s="111" t="b">
        <v>1</v>
      </c>
      <c r="G306" s="111" t="b">
        <v>1</v>
      </c>
      <c r="H306" s="111" t="b">
        <v>1</v>
      </c>
      <c r="I306" s="74" t="s">
        <v>85</v>
      </c>
      <c r="J306" s="1"/>
      <c r="K306" s="1"/>
      <c r="L306" s="1"/>
    </row>
    <row r="307">
      <c r="A307" s="110">
        <v>46204.501234456024</v>
      </c>
      <c r="B307" s="74" t="s">
        <v>149</v>
      </c>
      <c r="C307" s="74" t="s">
        <v>291</v>
      </c>
      <c r="D307" s="74" t="s">
        <v>130</v>
      </c>
      <c r="E307" s="1"/>
      <c r="F307" s="111" t="b">
        <v>1</v>
      </c>
      <c r="G307" s="111" t="b">
        <v>1</v>
      </c>
      <c r="H307" s="111" t="b">
        <v>1</v>
      </c>
      <c r="I307" s="74" t="s">
        <v>102</v>
      </c>
      <c r="J307" s="1"/>
      <c r="K307" s="1"/>
      <c r="L307" s="1"/>
    </row>
    <row r="308">
      <c r="A308" s="110">
        <v>46204.53144446759</v>
      </c>
      <c r="B308" s="74" t="s">
        <v>291</v>
      </c>
      <c r="C308" s="74" t="s">
        <v>150</v>
      </c>
      <c r="D308" s="112" t="s">
        <v>139</v>
      </c>
      <c r="E308" s="1"/>
      <c r="F308" s="111" t="b">
        <v>1</v>
      </c>
      <c r="G308" s="111" t="b">
        <v>1</v>
      </c>
      <c r="H308" s="111" t="b">
        <v>1</v>
      </c>
      <c r="I308" s="74" t="s">
        <v>83</v>
      </c>
      <c r="J308" s="1"/>
      <c r="K308" s="1"/>
      <c r="L308" s="1"/>
    </row>
    <row r="309">
      <c r="A309" s="110">
        <v>46204.55828733796</v>
      </c>
      <c r="B309" s="74" t="s">
        <v>303</v>
      </c>
      <c r="C309" s="74" t="s">
        <v>156</v>
      </c>
      <c r="D309" s="112" t="s">
        <v>139</v>
      </c>
      <c r="E309" s="1"/>
      <c r="F309" s="111" t="b">
        <v>1</v>
      </c>
      <c r="G309" s="111" t="b">
        <v>1</v>
      </c>
      <c r="H309" s="111" t="b">
        <v>1</v>
      </c>
      <c r="I309" s="74" t="s">
        <v>118</v>
      </c>
      <c r="J309" s="1"/>
      <c r="K309" s="1"/>
      <c r="L309" s="1"/>
    </row>
    <row r="310">
      <c r="A310" s="110">
        <v>46204.606989085645</v>
      </c>
      <c r="B310" s="74" t="s">
        <v>195</v>
      </c>
      <c r="C310" s="74" t="s">
        <v>294</v>
      </c>
      <c r="D310" s="74" t="s">
        <v>130</v>
      </c>
      <c r="E310" s="1"/>
      <c r="F310" s="111" t="b">
        <v>1</v>
      </c>
      <c r="G310" s="111" t="b">
        <v>1</v>
      </c>
      <c r="H310" s="111" t="b">
        <v>1</v>
      </c>
      <c r="I310" s="74" t="s">
        <v>147</v>
      </c>
      <c r="J310" s="1"/>
      <c r="K310" s="1"/>
      <c r="L310" s="1"/>
    </row>
    <row r="311">
      <c r="A311" s="110">
        <v>46204.61865590278</v>
      </c>
      <c r="B311" s="74" t="s">
        <v>142</v>
      </c>
      <c r="C311" s="74" t="s">
        <v>296</v>
      </c>
      <c r="D311" s="112" t="s">
        <v>139</v>
      </c>
      <c r="E311" s="1"/>
      <c r="F311" s="111" t="b">
        <v>1</v>
      </c>
      <c r="G311" s="111" t="b">
        <v>1</v>
      </c>
      <c r="H311" s="111" t="b">
        <v>1</v>
      </c>
      <c r="I311" s="74" t="s">
        <v>87</v>
      </c>
      <c r="J311" s="1"/>
      <c r="K311" s="1"/>
      <c r="L311" s="1"/>
    </row>
    <row r="312">
      <c r="A312" s="110">
        <v>46204.644586215276</v>
      </c>
      <c r="B312" s="74" t="s">
        <v>212</v>
      </c>
      <c r="C312" s="74" t="s">
        <v>208</v>
      </c>
      <c r="D312" s="112" t="s">
        <v>139</v>
      </c>
      <c r="E312" s="1"/>
      <c r="F312" s="111" t="b">
        <v>1</v>
      </c>
      <c r="G312" s="111" t="b">
        <v>1</v>
      </c>
      <c r="H312" s="111" t="b">
        <v>1</v>
      </c>
      <c r="I312" s="74" t="s">
        <v>97</v>
      </c>
      <c r="J312" s="1"/>
      <c r="K312" s="1"/>
      <c r="L312" s="1"/>
    </row>
    <row r="313">
      <c r="A313" s="110">
        <v>46204.66756533565</v>
      </c>
      <c r="B313" s="74" t="s">
        <v>94</v>
      </c>
      <c r="C313" s="74" t="s">
        <v>302</v>
      </c>
      <c r="D313" s="74" t="s">
        <v>130</v>
      </c>
      <c r="E313" s="1"/>
      <c r="F313" s="111" t="b">
        <v>1</v>
      </c>
      <c r="G313" s="111" t="b">
        <v>1</v>
      </c>
      <c r="H313" s="111" t="b">
        <v>1</v>
      </c>
      <c r="I313" s="74" t="s">
        <v>93</v>
      </c>
      <c r="J313" s="1"/>
      <c r="K313" s="1"/>
      <c r="L313" s="1"/>
    </row>
    <row r="314">
      <c r="A314" s="110">
        <v>46204.682240486116</v>
      </c>
      <c r="B314" s="74" t="s">
        <v>212</v>
      </c>
      <c r="C314" s="74" t="s">
        <v>296</v>
      </c>
      <c r="D314" s="112" t="s">
        <v>139</v>
      </c>
      <c r="E314" s="1"/>
      <c r="F314" s="111" t="b">
        <v>1</v>
      </c>
      <c r="G314" s="111" t="b">
        <v>1</v>
      </c>
      <c r="H314" s="111" t="b">
        <v>1</v>
      </c>
      <c r="I314" s="74" t="s">
        <v>84</v>
      </c>
      <c r="J314" s="1"/>
      <c r="K314" s="1"/>
      <c r="L314" s="1"/>
    </row>
    <row r="315">
      <c r="A315" s="110">
        <v>46204.775284375</v>
      </c>
      <c r="B315" s="74" t="s">
        <v>156</v>
      </c>
      <c r="C315" s="74" t="s">
        <v>274</v>
      </c>
      <c r="D315" s="112" t="s">
        <v>139</v>
      </c>
      <c r="E315" s="1"/>
      <c r="F315" s="111" t="b">
        <v>1</v>
      </c>
      <c r="G315" s="111" t="b">
        <v>1</v>
      </c>
      <c r="H315" s="111" t="b">
        <v>1</v>
      </c>
      <c r="I315" s="74" t="s">
        <v>79</v>
      </c>
      <c r="J315" s="1"/>
      <c r="K315" s="1"/>
      <c r="L315" s="1"/>
    </row>
    <row r="316">
      <c r="A316" s="110">
        <v>46204.78911232638</v>
      </c>
      <c r="B316" s="74" t="s">
        <v>115</v>
      </c>
      <c r="C316" s="74" t="s">
        <v>146</v>
      </c>
      <c r="D316" s="112" t="s">
        <v>139</v>
      </c>
      <c r="E316" s="1"/>
      <c r="F316" s="111" t="b">
        <v>1</v>
      </c>
      <c r="G316" s="111" t="b">
        <v>1</v>
      </c>
      <c r="H316" s="111" t="b">
        <v>1</v>
      </c>
      <c r="I316" s="74" t="s">
        <v>97</v>
      </c>
      <c r="J316" s="1"/>
      <c r="K316" s="1"/>
      <c r="L316" s="1"/>
    </row>
    <row r="317">
      <c r="A317" s="110">
        <v>46204.85066965278</v>
      </c>
      <c r="B317" s="74" t="s">
        <v>273</v>
      </c>
      <c r="C317" s="74" t="s">
        <v>286</v>
      </c>
      <c r="D317" s="112" t="s">
        <v>139</v>
      </c>
      <c r="E317" s="74" t="s">
        <v>249</v>
      </c>
      <c r="F317" s="111" t="b">
        <v>1</v>
      </c>
      <c r="G317" s="111" t="b">
        <v>1</v>
      </c>
      <c r="H317" s="111" t="b">
        <v>1</v>
      </c>
      <c r="I317" s="74" t="s">
        <v>81</v>
      </c>
      <c r="J317" s="1"/>
      <c r="K317" s="1"/>
      <c r="L317" s="1"/>
    </row>
    <row r="318">
      <c r="A318" s="110">
        <v>46204.8730930787</v>
      </c>
      <c r="B318" s="74" t="s">
        <v>203</v>
      </c>
      <c r="C318" s="74" t="s">
        <v>239</v>
      </c>
      <c r="D318" s="74" t="s">
        <v>130</v>
      </c>
      <c r="E318" s="74" t="s">
        <v>167</v>
      </c>
      <c r="F318" s="111" t="b">
        <v>1</v>
      </c>
      <c r="G318" s="111" t="b">
        <v>1</v>
      </c>
      <c r="H318" s="111" t="b">
        <v>1</v>
      </c>
      <c r="I318" s="74" t="s">
        <v>83</v>
      </c>
      <c r="J318" s="1"/>
      <c r="K318" s="1"/>
      <c r="L318" s="1"/>
    </row>
    <row r="319">
      <c r="A319" s="110">
        <v>46204.890136875</v>
      </c>
      <c r="B319" s="74" t="s">
        <v>273</v>
      </c>
      <c r="C319" s="74" t="s">
        <v>203</v>
      </c>
      <c r="D319" s="74" t="s">
        <v>130</v>
      </c>
      <c r="E319" s="74" t="s">
        <v>249</v>
      </c>
      <c r="F319" s="111" t="b">
        <v>1</v>
      </c>
      <c r="G319" s="111" t="b">
        <v>1</v>
      </c>
      <c r="H319" s="111" t="b">
        <v>1</v>
      </c>
      <c r="I319" s="74" t="s">
        <v>102</v>
      </c>
      <c r="J319" s="1"/>
      <c r="K319" s="1"/>
      <c r="L319" s="1"/>
    </row>
    <row r="320">
      <c r="A320" s="110">
        <v>46204.89990827546</v>
      </c>
      <c r="B320" s="74" t="s">
        <v>239</v>
      </c>
      <c r="C320" s="74" t="s">
        <v>304</v>
      </c>
      <c r="D320" s="74" t="s">
        <v>130</v>
      </c>
      <c r="E320" s="74" t="s">
        <v>268</v>
      </c>
      <c r="F320" s="111" t="b">
        <v>1</v>
      </c>
      <c r="G320" s="111" t="b">
        <v>1</v>
      </c>
      <c r="H320" s="111" t="b">
        <v>1</v>
      </c>
      <c r="I320" s="74" t="s">
        <v>81</v>
      </c>
      <c r="J320" s="1"/>
      <c r="K320" s="1"/>
      <c r="L320" s="1"/>
    </row>
    <row r="321">
      <c r="A321" s="110">
        <v>46204.93261469908</v>
      </c>
      <c r="B321" s="74" t="s">
        <v>182</v>
      </c>
      <c r="C321" s="74" t="s">
        <v>278</v>
      </c>
      <c r="D321" s="112" t="s">
        <v>139</v>
      </c>
      <c r="E321" s="1"/>
      <c r="F321" s="111" t="b">
        <v>1</v>
      </c>
      <c r="G321" s="111" t="b">
        <v>1</v>
      </c>
      <c r="H321" s="111" t="b">
        <v>1</v>
      </c>
      <c r="I321" s="74" t="s">
        <v>98</v>
      </c>
      <c r="J321" s="1"/>
      <c r="K321" s="1"/>
      <c r="L321" s="1"/>
    </row>
    <row r="322">
      <c r="A322" s="110">
        <v>46204.954633518515</v>
      </c>
      <c r="B322" s="74" t="s">
        <v>304</v>
      </c>
      <c r="C322" s="74" t="s">
        <v>232</v>
      </c>
      <c r="D322" s="74" t="s">
        <v>130</v>
      </c>
      <c r="E322" s="1"/>
      <c r="F322" s="111" t="b">
        <v>1</v>
      </c>
      <c r="G322" s="111" t="b">
        <v>1</v>
      </c>
      <c r="H322" s="111" t="b">
        <v>1</v>
      </c>
      <c r="I322" s="74" t="s">
        <v>97</v>
      </c>
      <c r="J322" s="1"/>
      <c r="K322" s="1"/>
      <c r="L322" s="1"/>
    </row>
    <row r="323">
      <c r="A323" s="110">
        <v>46204.998590717594</v>
      </c>
      <c r="B323" s="74" t="s">
        <v>237</v>
      </c>
      <c r="C323" s="74" t="s">
        <v>200</v>
      </c>
      <c r="D323" s="112" t="s">
        <v>139</v>
      </c>
      <c r="E323" s="74" t="s">
        <v>157</v>
      </c>
      <c r="F323" s="111" t="b">
        <v>1</v>
      </c>
      <c r="G323" s="111" t="b">
        <v>1</v>
      </c>
      <c r="H323" s="111" t="b">
        <v>1</v>
      </c>
      <c r="I323" s="74" t="s">
        <v>79</v>
      </c>
      <c r="J323" s="1"/>
      <c r="K323" s="1"/>
      <c r="L323" s="1"/>
    </row>
    <row r="324">
      <c r="A324" s="110">
        <v>46205.01135961806</v>
      </c>
      <c r="B324" s="74" t="s">
        <v>305</v>
      </c>
      <c r="C324" s="74" t="s">
        <v>306</v>
      </c>
      <c r="D324" s="74" t="s">
        <v>130</v>
      </c>
      <c r="E324" s="74" t="s">
        <v>192</v>
      </c>
      <c r="F324" s="111" t="b">
        <v>1</v>
      </c>
      <c r="G324" s="111" t="b">
        <v>1</v>
      </c>
      <c r="H324" s="111" t="b">
        <v>1</v>
      </c>
      <c r="I324" s="74" t="s">
        <v>147</v>
      </c>
      <c r="J324" s="1"/>
      <c r="K324" s="1"/>
      <c r="L324" s="1"/>
    </row>
    <row r="325">
      <c r="A325" s="110">
        <v>46205.03266361111</v>
      </c>
      <c r="B325" s="74" t="s">
        <v>287</v>
      </c>
      <c r="C325" s="74" t="s">
        <v>112</v>
      </c>
      <c r="D325" s="74" t="s">
        <v>130</v>
      </c>
      <c r="E325" s="1"/>
      <c r="F325" s="111" t="b">
        <v>1</v>
      </c>
      <c r="G325" s="111" t="b">
        <v>1</v>
      </c>
      <c r="H325" s="111" t="b">
        <v>1</v>
      </c>
      <c r="I325" s="74" t="s">
        <v>97</v>
      </c>
      <c r="J325" s="1"/>
      <c r="K325" s="1"/>
      <c r="L325" s="1"/>
    </row>
    <row r="326">
      <c r="A326" s="110">
        <v>46205.03566789352</v>
      </c>
      <c r="B326" s="74" t="s">
        <v>278</v>
      </c>
      <c r="C326" s="74" t="s">
        <v>250</v>
      </c>
      <c r="D326" s="74" t="s">
        <v>130</v>
      </c>
      <c r="E326" s="1"/>
      <c r="F326" s="111" t="b">
        <v>1</v>
      </c>
      <c r="G326" s="111" t="b">
        <v>1</v>
      </c>
      <c r="H326" s="111" t="b">
        <v>1</v>
      </c>
      <c r="I326" s="74" t="s">
        <v>85</v>
      </c>
      <c r="J326" s="1"/>
      <c r="K326" s="1"/>
      <c r="L326" s="1"/>
    </row>
    <row r="327">
      <c r="A327" s="110">
        <v>46205.05547291666</v>
      </c>
      <c r="B327" s="74" t="s">
        <v>281</v>
      </c>
      <c r="C327" s="74" t="s">
        <v>306</v>
      </c>
      <c r="D327" s="74" t="s">
        <v>130</v>
      </c>
      <c r="E327" s="1"/>
      <c r="F327" s="111" t="b">
        <v>1</v>
      </c>
      <c r="G327" s="111" t="b">
        <v>1</v>
      </c>
      <c r="H327" s="111" t="b">
        <v>1</v>
      </c>
      <c r="I327" s="74" t="s">
        <v>95</v>
      </c>
      <c r="J327" s="1"/>
      <c r="K327" s="1"/>
      <c r="L327" s="1"/>
    </row>
    <row r="328">
      <c r="A328" s="110">
        <v>46205.05776877315</v>
      </c>
      <c r="B328" s="74" t="s">
        <v>283</v>
      </c>
      <c r="C328" s="74" t="s">
        <v>262</v>
      </c>
      <c r="D328" s="74" t="s">
        <v>130</v>
      </c>
      <c r="E328" s="74" t="s">
        <v>157</v>
      </c>
      <c r="F328" s="111" t="b">
        <v>1</v>
      </c>
      <c r="G328" s="111" t="b">
        <v>1</v>
      </c>
      <c r="H328" s="111" t="b">
        <v>1</v>
      </c>
      <c r="I328" s="74" t="s">
        <v>83</v>
      </c>
      <c r="J328" s="1"/>
      <c r="K328" s="1"/>
      <c r="L328" s="1"/>
    </row>
    <row r="329">
      <c r="A329" s="110">
        <v>46205.0656246875</v>
      </c>
      <c r="B329" s="74" t="s">
        <v>250</v>
      </c>
      <c r="C329" s="74" t="s">
        <v>285</v>
      </c>
      <c r="D329" s="112" t="s">
        <v>139</v>
      </c>
      <c r="E329" s="74" t="s">
        <v>157</v>
      </c>
      <c r="F329" s="111" t="b">
        <v>1</v>
      </c>
      <c r="G329" s="111" t="b">
        <v>1</v>
      </c>
      <c r="H329" s="111" t="b">
        <v>1</v>
      </c>
      <c r="I329" s="74" t="s">
        <v>98</v>
      </c>
      <c r="J329" s="1"/>
      <c r="K329" s="1"/>
      <c r="L329" s="1"/>
    </row>
    <row r="330">
      <c r="A330" s="110">
        <v>46205.13358775463</v>
      </c>
      <c r="B330" s="74" t="s">
        <v>89</v>
      </c>
      <c r="C330" s="74" t="s">
        <v>305</v>
      </c>
      <c r="D330" s="112" t="s">
        <v>139</v>
      </c>
      <c r="E330" s="1"/>
      <c r="F330" s="111" t="b">
        <v>1</v>
      </c>
      <c r="G330" s="111" t="b">
        <v>1</v>
      </c>
      <c r="H330" s="111" t="b">
        <v>1</v>
      </c>
      <c r="I330" s="74" t="s">
        <v>93</v>
      </c>
      <c r="J330" s="1"/>
      <c r="K330" s="1"/>
      <c r="L330" s="1"/>
    </row>
    <row r="331">
      <c r="A331" s="110">
        <v>46205.33010853009</v>
      </c>
      <c r="B331" s="74" t="s">
        <v>307</v>
      </c>
      <c r="C331" s="74" t="s">
        <v>231</v>
      </c>
      <c r="D331" s="74" t="s">
        <v>130</v>
      </c>
      <c r="E331" s="1"/>
      <c r="F331" s="111" t="b">
        <v>1</v>
      </c>
      <c r="G331" s="111" t="b">
        <v>1</v>
      </c>
      <c r="H331" s="111" t="b">
        <v>1</v>
      </c>
      <c r="I331" s="74" t="s">
        <v>97</v>
      </c>
      <c r="J331" s="1"/>
      <c r="K331" s="1"/>
      <c r="L331" s="1"/>
    </row>
    <row r="332">
      <c r="A332" s="110">
        <v>46205.37484388889</v>
      </c>
      <c r="B332" s="74" t="s">
        <v>182</v>
      </c>
      <c r="C332" s="74" t="s">
        <v>307</v>
      </c>
      <c r="D332" s="112" t="s">
        <v>139</v>
      </c>
      <c r="E332" s="74" t="s">
        <v>308</v>
      </c>
      <c r="F332" s="111" t="b">
        <v>1</v>
      </c>
      <c r="G332" s="111" t="b">
        <v>1</v>
      </c>
      <c r="H332" s="111" t="b">
        <v>1</v>
      </c>
      <c r="I332" s="74" t="s">
        <v>97</v>
      </c>
      <c r="J332" s="1"/>
      <c r="K332" s="1"/>
      <c r="L332" s="1"/>
    </row>
    <row r="333">
      <c r="A333" s="110">
        <v>46205.38994083334</v>
      </c>
      <c r="B333" s="74" t="s">
        <v>183</v>
      </c>
      <c r="C333" s="74" t="s">
        <v>138</v>
      </c>
      <c r="D333" s="74" t="s">
        <v>130</v>
      </c>
      <c r="E333" s="74" t="s">
        <v>309</v>
      </c>
      <c r="F333" s="111" t="b">
        <v>1</v>
      </c>
      <c r="G333" s="111" t="b">
        <v>1</v>
      </c>
      <c r="H333" s="111" t="b">
        <v>1</v>
      </c>
      <c r="I333" s="74" t="s">
        <v>118</v>
      </c>
      <c r="J333" s="1"/>
      <c r="K333" s="1"/>
      <c r="L333" s="1"/>
    </row>
    <row r="334">
      <c r="A334" s="110">
        <v>46205.411411574074</v>
      </c>
      <c r="B334" s="74" t="s">
        <v>303</v>
      </c>
      <c r="C334" s="74" t="s">
        <v>231</v>
      </c>
      <c r="D334" s="112" t="s">
        <v>139</v>
      </c>
      <c r="E334" s="1"/>
      <c r="F334" s="111" t="b">
        <v>1</v>
      </c>
      <c r="G334" s="111" t="b">
        <v>1</v>
      </c>
      <c r="H334" s="111" t="b">
        <v>1</v>
      </c>
      <c r="I334" s="74" t="s">
        <v>120</v>
      </c>
      <c r="J334" s="1"/>
      <c r="K334" s="1"/>
      <c r="L334" s="1"/>
    </row>
    <row r="335">
      <c r="A335" s="110">
        <v>46205.418156747684</v>
      </c>
      <c r="B335" s="74" t="s">
        <v>307</v>
      </c>
      <c r="C335" s="74" t="s">
        <v>293</v>
      </c>
      <c r="D335" s="112" t="s">
        <v>139</v>
      </c>
      <c r="E335" s="1"/>
      <c r="F335" s="111" t="b">
        <v>1</v>
      </c>
      <c r="G335" s="111" t="b">
        <v>1</v>
      </c>
      <c r="H335" s="111" t="b">
        <v>1</v>
      </c>
      <c r="I335" s="74" t="s">
        <v>99</v>
      </c>
      <c r="J335" s="1"/>
      <c r="K335" s="1"/>
      <c r="L335" s="1"/>
    </row>
    <row r="336">
      <c r="A336" s="110">
        <v>46205.447111898146</v>
      </c>
      <c r="B336" s="74" t="s">
        <v>183</v>
      </c>
      <c r="C336" s="74" t="s">
        <v>302</v>
      </c>
      <c r="D336" s="112" t="s">
        <v>139</v>
      </c>
      <c r="E336" s="74" t="s">
        <v>310</v>
      </c>
      <c r="F336" s="111" t="b">
        <v>1</v>
      </c>
      <c r="G336" s="111" t="b">
        <v>1</v>
      </c>
      <c r="H336" s="111" t="b">
        <v>1</v>
      </c>
      <c r="I336" s="74" t="s">
        <v>87</v>
      </c>
      <c r="J336" s="1"/>
      <c r="K336" s="1"/>
      <c r="L336" s="1"/>
    </row>
    <row r="337">
      <c r="A337" s="110">
        <v>46205.490360173615</v>
      </c>
      <c r="B337" s="74" t="s">
        <v>231</v>
      </c>
      <c r="C337" s="74" t="s">
        <v>290</v>
      </c>
      <c r="D337" s="74" t="s">
        <v>130</v>
      </c>
      <c r="E337" s="1"/>
      <c r="F337" s="111" t="b">
        <v>1</v>
      </c>
      <c r="G337" s="111" t="b">
        <v>1</v>
      </c>
      <c r="H337" s="111" t="b">
        <v>1</v>
      </c>
      <c r="I337" s="74" t="s">
        <v>79</v>
      </c>
      <c r="J337" s="1"/>
      <c r="K337" s="1"/>
      <c r="L337" s="1"/>
    </row>
    <row r="338">
      <c r="A338" s="110">
        <v>46205.514548148145</v>
      </c>
      <c r="B338" s="74" t="s">
        <v>302</v>
      </c>
      <c r="C338" s="74" t="s">
        <v>311</v>
      </c>
      <c r="D338" s="74" t="s">
        <v>130</v>
      </c>
      <c r="E338" s="1"/>
      <c r="F338" s="111" t="b">
        <v>1</v>
      </c>
      <c r="G338" s="111" t="b">
        <v>1</v>
      </c>
      <c r="H338" s="111" t="b">
        <v>1</v>
      </c>
      <c r="I338" s="74" t="s">
        <v>97</v>
      </c>
      <c r="J338" s="1"/>
      <c r="K338" s="1"/>
      <c r="L338" s="1"/>
    </row>
    <row r="339">
      <c r="A339" s="110">
        <v>46205.51891459491</v>
      </c>
      <c r="B339" s="74" t="s">
        <v>307</v>
      </c>
      <c r="C339" s="74" t="s">
        <v>96</v>
      </c>
      <c r="D339" s="112" t="s">
        <v>139</v>
      </c>
      <c r="E339" s="1"/>
      <c r="F339" s="111" t="b">
        <v>1</v>
      </c>
      <c r="G339" s="111" t="b">
        <v>1</v>
      </c>
      <c r="H339" s="111" t="b">
        <v>1</v>
      </c>
      <c r="I339" s="74" t="s">
        <v>99</v>
      </c>
      <c r="J339" s="1"/>
      <c r="K339" s="1"/>
      <c r="L339" s="1"/>
    </row>
    <row r="340">
      <c r="A340" s="110">
        <v>46205.52862059028</v>
      </c>
      <c r="B340" s="74" t="s">
        <v>293</v>
      </c>
      <c r="C340" s="74" t="s">
        <v>188</v>
      </c>
      <c r="D340" s="74" t="s">
        <v>130</v>
      </c>
      <c r="E340" s="74" t="s">
        <v>157</v>
      </c>
      <c r="F340" s="111" t="b">
        <v>1</v>
      </c>
      <c r="G340" s="111" t="b">
        <v>1</v>
      </c>
      <c r="H340" s="111" t="b">
        <v>1</v>
      </c>
      <c r="I340" s="74" t="s">
        <v>106</v>
      </c>
      <c r="J340" s="1"/>
      <c r="K340" s="1"/>
      <c r="L340" s="1"/>
    </row>
    <row r="341">
      <c r="A341" s="110">
        <v>46205.543514074074</v>
      </c>
      <c r="B341" s="74" t="s">
        <v>311</v>
      </c>
      <c r="C341" s="74" t="s">
        <v>96</v>
      </c>
      <c r="D341" s="74" t="s">
        <v>130</v>
      </c>
      <c r="E341" s="74" t="s">
        <v>312</v>
      </c>
      <c r="F341" s="111" t="b">
        <v>1</v>
      </c>
      <c r="G341" s="111" t="b">
        <v>1</v>
      </c>
      <c r="H341" s="111" t="b">
        <v>1</v>
      </c>
      <c r="I341" s="74" t="s">
        <v>97</v>
      </c>
      <c r="J341" s="1"/>
      <c r="K341" s="1"/>
      <c r="L341" s="1"/>
    </row>
    <row r="342">
      <c r="A342" s="110">
        <v>46205.56117584491</v>
      </c>
      <c r="B342" s="74" t="s">
        <v>313</v>
      </c>
      <c r="C342" s="74" t="s">
        <v>96</v>
      </c>
      <c r="D342" s="74" t="s">
        <v>130</v>
      </c>
      <c r="E342" s="1"/>
      <c r="F342" s="111" t="b">
        <v>1</v>
      </c>
      <c r="G342" s="111" t="b">
        <v>1</v>
      </c>
      <c r="H342" s="111" t="b">
        <v>1</v>
      </c>
      <c r="I342" s="74" t="s">
        <v>120</v>
      </c>
      <c r="J342" s="1"/>
      <c r="K342" s="1"/>
      <c r="L342" s="1"/>
    </row>
    <row r="343">
      <c r="A343" s="110">
        <v>46205.582107291666</v>
      </c>
      <c r="B343" s="74" t="s">
        <v>228</v>
      </c>
      <c r="C343" s="74" t="s">
        <v>313</v>
      </c>
      <c r="D343" s="74" t="s">
        <v>130</v>
      </c>
      <c r="E343" s="1"/>
      <c r="F343" s="111" t="b">
        <v>1</v>
      </c>
      <c r="G343" s="111" t="b">
        <v>1</v>
      </c>
      <c r="H343" s="111" t="b">
        <v>1</v>
      </c>
      <c r="I343" s="74" t="s">
        <v>93</v>
      </c>
      <c r="J343" s="1"/>
      <c r="K343" s="1"/>
      <c r="L343" s="1"/>
    </row>
    <row r="344">
      <c r="A344" s="110">
        <v>46205.58224549769</v>
      </c>
      <c r="B344" s="74" t="s">
        <v>303</v>
      </c>
      <c r="C344" s="74" t="s">
        <v>96</v>
      </c>
      <c r="D344" s="74" t="s">
        <v>130</v>
      </c>
      <c r="E344" s="1"/>
      <c r="F344" s="111" t="b">
        <v>1</v>
      </c>
      <c r="G344" s="111" t="b">
        <v>1</v>
      </c>
      <c r="H344" s="111" t="b">
        <v>1</v>
      </c>
      <c r="I344" s="74" t="s">
        <v>147</v>
      </c>
      <c r="J344" s="1"/>
      <c r="K344" s="1"/>
      <c r="L344" s="1"/>
    </row>
    <row r="345">
      <c r="A345" s="110">
        <v>46205.61119431713</v>
      </c>
      <c r="B345" s="74" t="s">
        <v>313</v>
      </c>
      <c r="C345" s="74" t="s">
        <v>303</v>
      </c>
      <c r="D345" s="74" t="s">
        <v>130</v>
      </c>
      <c r="E345" s="1"/>
      <c r="F345" s="111" t="b">
        <v>1</v>
      </c>
      <c r="G345" s="111" t="b">
        <v>1</v>
      </c>
      <c r="H345" s="111" t="b">
        <v>1</v>
      </c>
      <c r="I345" s="74" t="s">
        <v>93</v>
      </c>
      <c r="J345" s="1"/>
      <c r="K345" s="1"/>
      <c r="L345" s="1"/>
    </row>
    <row r="346">
      <c r="A346" s="110">
        <v>46205.678739421295</v>
      </c>
      <c r="B346" s="74" t="s">
        <v>314</v>
      </c>
      <c r="C346" s="74" t="s">
        <v>311</v>
      </c>
      <c r="D346" s="112" t="s">
        <v>139</v>
      </c>
      <c r="E346" s="74" t="s">
        <v>167</v>
      </c>
      <c r="F346" s="111" t="b">
        <v>1</v>
      </c>
      <c r="G346" s="111" t="b">
        <v>1</v>
      </c>
      <c r="H346" s="111" t="b">
        <v>1</v>
      </c>
      <c r="I346" s="74" t="s">
        <v>97</v>
      </c>
      <c r="J346" s="1"/>
      <c r="K346" s="1"/>
      <c r="L346" s="1"/>
    </row>
    <row r="347">
      <c r="A347" s="110">
        <v>46205.68752209491</v>
      </c>
      <c r="B347" s="74" t="s">
        <v>272</v>
      </c>
      <c r="C347" s="74" t="s">
        <v>281</v>
      </c>
      <c r="D347" s="112" t="s">
        <v>139</v>
      </c>
      <c r="E347" s="74" t="s">
        <v>167</v>
      </c>
      <c r="F347" s="111" t="b">
        <v>1</v>
      </c>
      <c r="G347" s="111" t="b">
        <v>1</v>
      </c>
      <c r="H347" s="111" t="b">
        <v>1</v>
      </c>
      <c r="I347" s="74" t="s">
        <v>83</v>
      </c>
      <c r="J347" s="1"/>
      <c r="K347" s="1"/>
      <c r="L347" s="1"/>
    </row>
    <row r="348">
      <c r="A348" s="110">
        <v>46205.713600393516</v>
      </c>
      <c r="B348" s="74" t="s">
        <v>179</v>
      </c>
      <c r="C348" s="74" t="s">
        <v>116</v>
      </c>
      <c r="D348" s="74" t="s">
        <v>130</v>
      </c>
      <c r="E348" s="1"/>
      <c r="F348" s="111" t="b">
        <v>1</v>
      </c>
      <c r="G348" s="111" t="b">
        <v>1</v>
      </c>
      <c r="H348" s="111" t="b">
        <v>1</v>
      </c>
      <c r="I348" s="74" t="s">
        <v>97</v>
      </c>
      <c r="J348" s="1"/>
      <c r="K348" s="1"/>
      <c r="L348" s="1"/>
    </row>
    <row r="349">
      <c r="A349" s="110">
        <v>46205.7320106713</v>
      </c>
      <c r="B349" s="74" t="s">
        <v>272</v>
      </c>
      <c r="C349" s="74" t="s">
        <v>265</v>
      </c>
      <c r="D349" s="112" t="s">
        <v>139</v>
      </c>
      <c r="E349" s="1"/>
      <c r="F349" s="111" t="b">
        <v>1</v>
      </c>
      <c r="G349" s="111" t="b">
        <v>1</v>
      </c>
      <c r="H349" s="111" t="b">
        <v>1</v>
      </c>
      <c r="I349" s="74" t="s">
        <v>99</v>
      </c>
      <c r="J349" s="1"/>
      <c r="K349" s="1"/>
      <c r="L349" s="1"/>
    </row>
    <row r="350">
      <c r="A350" s="110">
        <v>46205.74136731481</v>
      </c>
      <c r="B350" s="74" t="s">
        <v>315</v>
      </c>
      <c r="C350" s="74" t="s">
        <v>260</v>
      </c>
      <c r="D350" s="74" t="s">
        <v>130</v>
      </c>
      <c r="E350" s="1"/>
      <c r="F350" s="111" t="b">
        <v>1</v>
      </c>
      <c r="G350" s="111" t="b">
        <v>1</v>
      </c>
      <c r="H350" s="111" t="b">
        <v>1</v>
      </c>
      <c r="I350" s="74" t="s">
        <v>147</v>
      </c>
      <c r="J350" s="1"/>
      <c r="K350" s="1"/>
      <c r="L350" s="1"/>
    </row>
    <row r="351">
      <c r="A351" s="110">
        <v>46205.78306582176</v>
      </c>
      <c r="B351" s="74" t="s">
        <v>294</v>
      </c>
      <c r="C351" s="74" t="s">
        <v>315</v>
      </c>
      <c r="D351" s="74" t="s">
        <v>130</v>
      </c>
      <c r="E351" s="1"/>
      <c r="F351" s="111" t="b">
        <v>1</v>
      </c>
      <c r="G351" s="111" t="b">
        <v>1</v>
      </c>
      <c r="H351" s="111" t="b">
        <v>1</v>
      </c>
      <c r="I351" s="74" t="s">
        <v>93</v>
      </c>
      <c r="J351" s="1"/>
      <c r="K351" s="1"/>
      <c r="L351" s="1"/>
    </row>
    <row r="352">
      <c r="A352" s="110">
        <v>46205.80091888889</v>
      </c>
      <c r="B352" s="74" t="s">
        <v>280</v>
      </c>
      <c r="C352" s="74" t="s">
        <v>315</v>
      </c>
      <c r="D352" s="74" t="s">
        <v>130</v>
      </c>
      <c r="E352" s="1"/>
      <c r="F352" s="111" t="b">
        <v>1</v>
      </c>
      <c r="G352" s="111" t="b">
        <v>1</v>
      </c>
      <c r="H352" s="111" t="b">
        <v>1</v>
      </c>
      <c r="I352" s="74" t="s">
        <v>99</v>
      </c>
      <c r="J352" s="1"/>
      <c r="K352" s="1"/>
      <c r="L352" s="1"/>
    </row>
    <row r="353">
      <c r="A353" s="110">
        <v>46205.82828447917</v>
      </c>
      <c r="B353" s="74" t="s">
        <v>245</v>
      </c>
      <c r="C353" s="74" t="s">
        <v>274</v>
      </c>
      <c r="D353" s="112" t="s">
        <v>139</v>
      </c>
      <c r="E353" s="1"/>
      <c r="F353" s="111" t="b">
        <v>1</v>
      </c>
      <c r="G353" s="111" t="b">
        <v>1</v>
      </c>
      <c r="H353" s="111" t="b">
        <v>1</v>
      </c>
      <c r="I353" s="74" t="s">
        <v>93</v>
      </c>
      <c r="J353" s="1"/>
      <c r="K353" s="1"/>
      <c r="L353" s="1"/>
    </row>
    <row r="354">
      <c r="A354" s="110">
        <v>46205.88204377315</v>
      </c>
      <c r="B354" s="74" t="s">
        <v>298</v>
      </c>
      <c r="C354" s="74" t="s">
        <v>101</v>
      </c>
      <c r="D354" s="112" t="s">
        <v>139</v>
      </c>
      <c r="E354" s="74" t="s">
        <v>316</v>
      </c>
      <c r="F354" s="111" t="b">
        <v>1</v>
      </c>
      <c r="G354" s="111" t="b">
        <v>1</v>
      </c>
      <c r="H354" s="111" t="b">
        <v>1</v>
      </c>
      <c r="I354" s="74" t="s">
        <v>93</v>
      </c>
      <c r="J354" s="1"/>
      <c r="K354" s="1"/>
      <c r="L354" s="1"/>
    </row>
    <row r="355">
      <c r="A355" s="110">
        <v>46205.90785471065</v>
      </c>
      <c r="B355" s="74" t="s">
        <v>104</v>
      </c>
      <c r="C355" s="74" t="s">
        <v>287</v>
      </c>
      <c r="D355" s="74" t="s">
        <v>130</v>
      </c>
      <c r="E355" s="1"/>
      <c r="F355" s="111" t="b">
        <v>1</v>
      </c>
      <c r="G355" s="111" t="b">
        <v>1</v>
      </c>
      <c r="H355" s="111" t="b">
        <v>1</v>
      </c>
      <c r="I355" s="74" t="s">
        <v>120</v>
      </c>
      <c r="J355" s="1"/>
      <c r="K355" s="1"/>
      <c r="L355" s="1"/>
    </row>
    <row r="356">
      <c r="A356" s="110">
        <v>46205.91776725695</v>
      </c>
      <c r="B356" s="74" t="s">
        <v>110</v>
      </c>
      <c r="C356" s="74" t="s">
        <v>214</v>
      </c>
      <c r="D356" s="74" t="s">
        <v>130</v>
      </c>
      <c r="E356" s="1"/>
      <c r="F356" s="111" t="b">
        <v>1</v>
      </c>
      <c r="G356" s="111" t="b">
        <v>1</v>
      </c>
      <c r="H356" s="111" t="b">
        <v>1</v>
      </c>
      <c r="I356" s="74" t="s">
        <v>102</v>
      </c>
      <c r="J356" s="1"/>
      <c r="K356" s="1"/>
      <c r="L356" s="1"/>
    </row>
    <row r="357">
      <c r="A357" s="110">
        <v>46205.93340466435</v>
      </c>
      <c r="B357" s="74" t="s">
        <v>279</v>
      </c>
      <c r="C357" s="74" t="s">
        <v>298</v>
      </c>
      <c r="D357" s="112" t="s">
        <v>139</v>
      </c>
      <c r="E357" s="74" t="s">
        <v>167</v>
      </c>
      <c r="F357" s="111" t="b">
        <v>1</v>
      </c>
      <c r="G357" s="111" t="b">
        <v>1</v>
      </c>
      <c r="H357" s="111" t="b">
        <v>1</v>
      </c>
      <c r="I357" s="74" t="s">
        <v>99</v>
      </c>
      <c r="J357" s="1"/>
      <c r="K357" s="1"/>
      <c r="L357" s="1"/>
    </row>
    <row r="358">
      <c r="A358" s="110">
        <v>46205.93662648148</v>
      </c>
      <c r="B358" s="74" t="s">
        <v>287</v>
      </c>
      <c r="C358" s="74" t="s">
        <v>110</v>
      </c>
      <c r="D358" s="74" t="s">
        <v>130</v>
      </c>
      <c r="E358" s="1"/>
      <c r="F358" s="111" t="b">
        <v>1</v>
      </c>
      <c r="G358" s="111" t="b">
        <v>1</v>
      </c>
      <c r="H358" s="111" t="b">
        <v>1</v>
      </c>
      <c r="I358" s="74" t="s">
        <v>84</v>
      </c>
      <c r="J358" s="1"/>
      <c r="K358" s="1"/>
      <c r="L358" s="1"/>
    </row>
    <row r="359">
      <c r="A359" s="110">
        <v>46205.93972542824</v>
      </c>
      <c r="B359" s="74" t="s">
        <v>104</v>
      </c>
      <c r="C359" s="74" t="s">
        <v>113</v>
      </c>
      <c r="D359" s="74" t="s">
        <v>130</v>
      </c>
      <c r="E359" s="1"/>
      <c r="F359" s="111" t="b">
        <v>1</v>
      </c>
      <c r="G359" s="111" t="b">
        <v>1</v>
      </c>
      <c r="H359" s="111" t="b">
        <v>1</v>
      </c>
      <c r="I359" s="74" t="s">
        <v>147</v>
      </c>
      <c r="J359" s="1"/>
      <c r="K359" s="1"/>
      <c r="L359" s="1"/>
    </row>
    <row r="360">
      <c r="A360" s="110">
        <v>46205.96262284722</v>
      </c>
      <c r="B360" s="74" t="s">
        <v>298</v>
      </c>
      <c r="C360" s="74" t="s">
        <v>104</v>
      </c>
      <c r="D360" s="74" t="s">
        <v>130</v>
      </c>
      <c r="E360" s="74" t="s">
        <v>317</v>
      </c>
      <c r="F360" s="111" t="b">
        <v>1</v>
      </c>
      <c r="G360" s="111" t="b">
        <v>1</v>
      </c>
      <c r="H360" s="111" t="b">
        <v>1</v>
      </c>
      <c r="I360" s="74" t="s">
        <v>87</v>
      </c>
      <c r="J360" s="1"/>
      <c r="K360" s="1"/>
      <c r="L360" s="1"/>
    </row>
    <row r="361">
      <c r="A361" s="110">
        <v>46205.963775543976</v>
      </c>
      <c r="B361" s="74" t="s">
        <v>302</v>
      </c>
      <c r="C361" s="74" t="s">
        <v>122</v>
      </c>
      <c r="D361" s="112" t="s">
        <v>139</v>
      </c>
      <c r="E361" s="1"/>
      <c r="F361" s="111" t="b">
        <v>1</v>
      </c>
      <c r="G361" s="111" t="b">
        <v>1</v>
      </c>
      <c r="H361" s="111" t="b">
        <v>1</v>
      </c>
      <c r="I361" s="74" t="s">
        <v>98</v>
      </c>
      <c r="J361" s="1"/>
      <c r="K361" s="1"/>
      <c r="L361" s="1"/>
    </row>
    <row r="362">
      <c r="A362" s="110">
        <v>46205.981977777774</v>
      </c>
      <c r="B362" s="74" t="s">
        <v>287</v>
      </c>
      <c r="C362" s="74" t="s">
        <v>283</v>
      </c>
      <c r="D362" s="112" t="s">
        <v>139</v>
      </c>
      <c r="E362" s="74" t="s">
        <v>318</v>
      </c>
      <c r="F362" s="111" t="b">
        <v>1</v>
      </c>
      <c r="G362" s="111" t="b">
        <v>1</v>
      </c>
      <c r="H362" s="111" t="b">
        <v>1</v>
      </c>
      <c r="I362" s="74" t="s">
        <v>147</v>
      </c>
      <c r="J362" s="1"/>
      <c r="K362" s="1"/>
      <c r="L362" s="1"/>
    </row>
    <row r="363">
      <c r="A363" s="110">
        <v>46206.016928240744</v>
      </c>
      <c r="B363" s="74" t="s">
        <v>232</v>
      </c>
      <c r="C363" s="74" t="s">
        <v>306</v>
      </c>
      <c r="D363" s="74" t="s">
        <v>130</v>
      </c>
      <c r="E363" s="74" t="s">
        <v>157</v>
      </c>
      <c r="F363" s="111" t="b">
        <v>1</v>
      </c>
      <c r="G363" s="111" t="b">
        <v>1</v>
      </c>
      <c r="H363" s="111" t="b">
        <v>1</v>
      </c>
      <c r="I363" s="74" t="s">
        <v>81</v>
      </c>
      <c r="J363" s="1"/>
      <c r="K363" s="1"/>
      <c r="L363" s="1"/>
    </row>
    <row r="364">
      <c r="A364" s="110">
        <v>46206.04430039352</v>
      </c>
      <c r="B364" s="74" t="s">
        <v>283</v>
      </c>
      <c r="C364" s="74" t="s">
        <v>306</v>
      </c>
      <c r="D364" s="112" t="s">
        <v>139</v>
      </c>
      <c r="E364" s="74" t="s">
        <v>157</v>
      </c>
      <c r="F364" s="111" t="b">
        <v>1</v>
      </c>
      <c r="G364" s="111" t="b">
        <v>1</v>
      </c>
      <c r="H364" s="111" t="b">
        <v>1</v>
      </c>
      <c r="I364" s="74" t="s">
        <v>84</v>
      </c>
      <c r="J364" s="1"/>
      <c r="K364" s="1"/>
      <c r="L364" s="1"/>
    </row>
    <row r="365">
      <c r="A365" s="110">
        <v>46206.048594050924</v>
      </c>
      <c r="B365" s="74" t="s">
        <v>305</v>
      </c>
      <c r="C365" s="74" t="s">
        <v>260</v>
      </c>
      <c r="D365" s="74" t="s">
        <v>130</v>
      </c>
      <c r="E365" s="74" t="s">
        <v>192</v>
      </c>
      <c r="F365" s="111" t="b">
        <v>1</v>
      </c>
      <c r="G365" s="111" t="b">
        <v>1</v>
      </c>
      <c r="H365" s="111" t="b">
        <v>1</v>
      </c>
      <c r="I365" s="74" t="s">
        <v>202</v>
      </c>
      <c r="J365" s="1"/>
      <c r="K365" s="1"/>
      <c r="L365" s="1"/>
    </row>
    <row r="366">
      <c r="A366" s="110">
        <v>46206.06509802083</v>
      </c>
      <c r="B366" s="74" t="s">
        <v>294</v>
      </c>
      <c r="C366" s="74" t="s">
        <v>306</v>
      </c>
      <c r="D366" s="74" t="s">
        <v>130</v>
      </c>
      <c r="E366" s="74" t="s">
        <v>157</v>
      </c>
      <c r="F366" s="111" t="b">
        <v>1</v>
      </c>
      <c r="G366" s="111" t="b">
        <v>1</v>
      </c>
      <c r="H366" s="111" t="b">
        <v>1</v>
      </c>
      <c r="I366" s="74" t="s">
        <v>93</v>
      </c>
      <c r="J366" s="1"/>
      <c r="K366" s="1"/>
      <c r="L366" s="1"/>
    </row>
    <row r="367">
      <c r="A367" s="110">
        <v>46206.14433572917</v>
      </c>
      <c r="B367" s="74" t="s">
        <v>279</v>
      </c>
      <c r="C367" s="74" t="s">
        <v>89</v>
      </c>
      <c r="D367" s="74" t="s">
        <v>130</v>
      </c>
      <c r="E367" s="1"/>
      <c r="F367" s="111" t="b">
        <v>1</v>
      </c>
      <c r="G367" s="111" t="b">
        <v>1</v>
      </c>
      <c r="H367" s="111" t="b">
        <v>1</v>
      </c>
      <c r="I367" s="74" t="s">
        <v>93</v>
      </c>
      <c r="J367" s="1"/>
      <c r="K367" s="1"/>
      <c r="L367" s="1"/>
    </row>
    <row r="368">
      <c r="A368" s="110">
        <v>46206.32071018519</v>
      </c>
      <c r="B368" s="74" t="s">
        <v>305</v>
      </c>
      <c r="C368" s="74" t="s">
        <v>319</v>
      </c>
      <c r="D368" s="112" t="s">
        <v>139</v>
      </c>
      <c r="E368" s="74" t="s">
        <v>192</v>
      </c>
      <c r="F368" s="111" t="b">
        <v>1</v>
      </c>
      <c r="G368" s="111" t="b">
        <v>1</v>
      </c>
      <c r="H368" s="111" t="b">
        <v>1</v>
      </c>
      <c r="I368" s="74" t="s">
        <v>97</v>
      </c>
      <c r="J368" s="1"/>
      <c r="K368" s="1"/>
      <c r="L368" s="1"/>
    </row>
    <row r="369">
      <c r="A369" s="110">
        <v>46206.36418491898</v>
      </c>
      <c r="B369" s="74" t="s">
        <v>319</v>
      </c>
      <c r="C369" s="74" t="s">
        <v>251</v>
      </c>
      <c r="D369" s="74" t="s">
        <v>130</v>
      </c>
      <c r="E369" s="1"/>
      <c r="F369" s="111" t="b">
        <v>1</v>
      </c>
      <c r="G369" s="111" t="b">
        <v>1</v>
      </c>
      <c r="H369" s="111" t="b">
        <v>1</v>
      </c>
      <c r="I369" s="74" t="s">
        <v>81</v>
      </c>
      <c r="J369" s="1"/>
      <c r="K369" s="1"/>
      <c r="L369" s="1"/>
    </row>
    <row r="370">
      <c r="A370" s="110">
        <v>46206.39882188657</v>
      </c>
      <c r="B370" s="74" t="s">
        <v>319</v>
      </c>
      <c r="C370" s="74" t="s">
        <v>267</v>
      </c>
      <c r="D370" s="112" t="s">
        <v>139</v>
      </c>
      <c r="E370" s="1"/>
      <c r="F370" s="111" t="b">
        <v>1</v>
      </c>
      <c r="G370" s="111" t="b">
        <v>1</v>
      </c>
      <c r="H370" s="111" t="b">
        <v>1</v>
      </c>
      <c r="I370" s="74" t="s">
        <v>102</v>
      </c>
      <c r="J370" s="1"/>
      <c r="K370" s="1"/>
      <c r="L370" s="1"/>
    </row>
    <row r="371">
      <c r="A371" s="110">
        <v>46206.449788530095</v>
      </c>
      <c r="B371" s="74" t="s">
        <v>307</v>
      </c>
      <c r="C371" s="74" t="s">
        <v>114</v>
      </c>
      <c r="D371" s="112" t="s">
        <v>139</v>
      </c>
      <c r="E371" s="1"/>
      <c r="F371" s="111" t="b">
        <v>1</v>
      </c>
      <c r="G371" s="111" t="b">
        <v>1</v>
      </c>
      <c r="H371" s="111" t="b">
        <v>1</v>
      </c>
      <c r="I371" s="74" t="s">
        <v>97</v>
      </c>
      <c r="J371" s="1"/>
      <c r="K371" s="1"/>
      <c r="L371" s="1"/>
    </row>
    <row r="372">
      <c r="A372" s="110">
        <v>46206.48089392361</v>
      </c>
      <c r="B372" s="74" t="s">
        <v>314</v>
      </c>
      <c r="C372" s="74" t="s">
        <v>114</v>
      </c>
      <c r="D372" s="74" t="s">
        <v>130</v>
      </c>
      <c r="E372" s="1"/>
      <c r="F372" s="111" t="b">
        <v>1</v>
      </c>
      <c r="G372" s="111" t="b">
        <v>1</v>
      </c>
      <c r="H372" s="111" t="b">
        <v>1</v>
      </c>
      <c r="I372" s="74" t="s">
        <v>84</v>
      </c>
      <c r="J372" s="1"/>
      <c r="K372" s="1"/>
      <c r="L372" s="1"/>
    </row>
    <row r="373">
      <c r="A373" s="110">
        <v>46206.497343298615</v>
      </c>
      <c r="B373" s="74" t="s">
        <v>234</v>
      </c>
      <c r="C373" s="74" t="s">
        <v>291</v>
      </c>
      <c r="D373" s="112" t="s">
        <v>139</v>
      </c>
      <c r="E373" s="1"/>
      <c r="F373" s="111" t="b">
        <v>1</v>
      </c>
      <c r="G373" s="111" t="b">
        <v>1</v>
      </c>
      <c r="H373" s="111" t="b">
        <v>1</v>
      </c>
      <c r="I373" s="74" t="s">
        <v>147</v>
      </c>
      <c r="J373" s="1"/>
      <c r="K373" s="1"/>
      <c r="L373" s="1"/>
    </row>
    <row r="374">
      <c r="A374" s="110">
        <v>46206.513686307866</v>
      </c>
      <c r="B374" s="74" t="s">
        <v>108</v>
      </c>
      <c r="C374" s="74" t="s">
        <v>243</v>
      </c>
      <c r="D374" s="112" t="s">
        <v>139</v>
      </c>
      <c r="E374" s="1"/>
      <c r="F374" s="111" t="b">
        <v>1</v>
      </c>
      <c r="G374" s="111" t="b">
        <v>1</v>
      </c>
      <c r="H374" s="111" t="b">
        <v>1</v>
      </c>
      <c r="I374" s="74" t="s">
        <v>83</v>
      </c>
      <c r="J374" s="1"/>
      <c r="K374" s="1"/>
      <c r="L374" s="1"/>
    </row>
    <row r="375">
      <c r="A375" s="110">
        <v>46206.52105592593</v>
      </c>
      <c r="B375" s="74" t="s">
        <v>320</v>
      </c>
      <c r="C375" s="74" t="s">
        <v>314</v>
      </c>
      <c r="D375" s="112" t="s">
        <v>139</v>
      </c>
      <c r="E375" s="1"/>
      <c r="F375" s="111" t="b">
        <v>1</v>
      </c>
      <c r="G375" s="111" t="b">
        <v>1</v>
      </c>
      <c r="H375" s="111" t="b">
        <v>1</v>
      </c>
      <c r="I375" s="74" t="s">
        <v>87</v>
      </c>
      <c r="J375" s="1"/>
      <c r="K375" s="1"/>
      <c r="L375" s="1"/>
    </row>
    <row r="376">
      <c r="A376" s="110">
        <v>46206.52190320602</v>
      </c>
      <c r="B376" s="74" t="s">
        <v>114</v>
      </c>
      <c r="C376" s="74" t="s">
        <v>101</v>
      </c>
      <c r="D376" s="74" t="s">
        <v>130</v>
      </c>
      <c r="E376" s="1"/>
      <c r="F376" s="111" t="b">
        <v>1</v>
      </c>
      <c r="G376" s="111" t="b">
        <v>1</v>
      </c>
      <c r="H376" s="111" t="b">
        <v>1</v>
      </c>
      <c r="I376" s="74" t="s">
        <v>87</v>
      </c>
      <c r="J376" s="1"/>
      <c r="K376" s="1"/>
      <c r="L376" s="1"/>
    </row>
    <row r="377">
      <c r="A377" s="110">
        <v>46206.54472052083</v>
      </c>
      <c r="B377" s="74" t="s">
        <v>321</v>
      </c>
      <c r="C377" s="74" t="s">
        <v>108</v>
      </c>
      <c r="D377" s="74" t="s">
        <v>130</v>
      </c>
      <c r="E377" s="1"/>
      <c r="F377" s="111" t="b">
        <v>1</v>
      </c>
      <c r="G377" s="111" t="b">
        <v>1</v>
      </c>
      <c r="H377" s="111" t="b">
        <v>1</v>
      </c>
      <c r="I377" s="74" t="s">
        <v>87</v>
      </c>
      <c r="J377" s="1"/>
      <c r="K377" s="1"/>
      <c r="L377" s="1"/>
    </row>
    <row r="378">
      <c r="A378" s="110">
        <v>46206.545399421295</v>
      </c>
      <c r="B378" s="74" t="s">
        <v>320</v>
      </c>
      <c r="C378" s="74" t="s">
        <v>221</v>
      </c>
      <c r="D378" s="112" t="s">
        <v>139</v>
      </c>
      <c r="E378" s="74" t="s">
        <v>322</v>
      </c>
      <c r="F378" s="111" t="b">
        <v>1</v>
      </c>
      <c r="G378" s="111" t="b">
        <v>1</v>
      </c>
      <c r="H378" s="111" t="b">
        <v>1</v>
      </c>
      <c r="I378" s="74" t="s">
        <v>120</v>
      </c>
      <c r="J378" s="1"/>
      <c r="K378" s="1"/>
      <c r="L378" s="1"/>
    </row>
    <row r="379">
      <c r="A379" s="110">
        <v>46206.57438856481</v>
      </c>
      <c r="B379" s="74" t="s">
        <v>321</v>
      </c>
      <c r="C379" s="74" t="s">
        <v>221</v>
      </c>
      <c r="D379" s="112" t="s">
        <v>139</v>
      </c>
      <c r="E379" s="1"/>
      <c r="F379" s="111" t="b">
        <v>1</v>
      </c>
      <c r="G379" s="111" t="b">
        <v>1</v>
      </c>
      <c r="H379" s="111" t="b">
        <v>1</v>
      </c>
      <c r="I379" s="74" t="s">
        <v>83</v>
      </c>
      <c r="J379" s="1"/>
      <c r="K379" s="1"/>
      <c r="L379" s="1"/>
    </row>
    <row r="380">
      <c r="A380" s="110">
        <v>46206.57775684028</v>
      </c>
      <c r="B380" s="74" t="s">
        <v>239</v>
      </c>
      <c r="C380" s="74" t="s">
        <v>114</v>
      </c>
      <c r="D380" s="74" t="s">
        <v>130</v>
      </c>
      <c r="E380" s="74" t="s">
        <v>268</v>
      </c>
      <c r="F380" s="111" t="b">
        <v>1</v>
      </c>
      <c r="G380" s="111" t="b">
        <v>1</v>
      </c>
      <c r="H380" s="111" t="b">
        <v>1</v>
      </c>
      <c r="I380" s="74" t="s">
        <v>102</v>
      </c>
      <c r="J380" s="1"/>
      <c r="K380" s="1"/>
      <c r="L380" s="1"/>
    </row>
    <row r="381">
      <c r="A381" s="110">
        <v>46206.590194143515</v>
      </c>
      <c r="B381" s="74" t="s">
        <v>284</v>
      </c>
      <c r="C381" s="74" t="s">
        <v>321</v>
      </c>
      <c r="D381" s="74" t="s">
        <v>130</v>
      </c>
      <c r="E381" s="1"/>
      <c r="F381" s="111" t="b">
        <v>1</v>
      </c>
      <c r="G381" s="111" t="b">
        <v>1</v>
      </c>
      <c r="H381" s="111" t="b">
        <v>1</v>
      </c>
      <c r="I381" s="74" t="s">
        <v>97</v>
      </c>
      <c r="J381" s="1"/>
      <c r="K381" s="1"/>
      <c r="L381" s="1"/>
    </row>
    <row r="382">
      <c r="A382" s="110">
        <v>46206.60311384259</v>
      </c>
      <c r="B382" s="74" t="s">
        <v>304</v>
      </c>
      <c r="C382" s="74" t="s">
        <v>320</v>
      </c>
      <c r="D382" s="74" t="s">
        <v>130</v>
      </c>
      <c r="E382" s="1"/>
      <c r="F382" s="111" t="b">
        <v>1</v>
      </c>
      <c r="G382" s="111" t="b">
        <v>1</v>
      </c>
      <c r="H382" s="111" t="b">
        <v>1</v>
      </c>
      <c r="I382" s="74" t="s">
        <v>118</v>
      </c>
      <c r="J382" s="1"/>
      <c r="K382" s="1"/>
      <c r="L382" s="1"/>
    </row>
    <row r="383">
      <c r="A383" s="110">
        <v>46206.62379277778</v>
      </c>
      <c r="B383" s="74" t="s">
        <v>284</v>
      </c>
      <c r="C383" s="74" t="s">
        <v>94</v>
      </c>
      <c r="D383" s="112" t="s">
        <v>139</v>
      </c>
      <c r="E383" s="1"/>
      <c r="F383" s="111" t="b">
        <v>1</v>
      </c>
      <c r="G383" s="111" t="b">
        <v>1</v>
      </c>
      <c r="H383" s="111" t="b">
        <v>1</v>
      </c>
      <c r="I383" s="74" t="s">
        <v>118</v>
      </c>
      <c r="J383" s="1"/>
      <c r="K383" s="1"/>
      <c r="L383" s="1"/>
    </row>
    <row r="384">
      <c r="A384" s="110">
        <v>46206.64626579861</v>
      </c>
      <c r="B384" s="74" t="s">
        <v>286</v>
      </c>
      <c r="C384" s="74" t="s">
        <v>260</v>
      </c>
      <c r="D384" s="112" t="s">
        <v>139</v>
      </c>
      <c r="E384" s="74" t="s">
        <v>167</v>
      </c>
      <c r="F384" s="111" t="b">
        <v>1</v>
      </c>
      <c r="G384" s="111" t="b">
        <v>1</v>
      </c>
      <c r="H384" s="111" t="b">
        <v>1</v>
      </c>
      <c r="I384" s="74" t="s">
        <v>97</v>
      </c>
      <c r="J384" s="1"/>
      <c r="K384" s="1"/>
      <c r="L384" s="1"/>
    </row>
    <row r="385">
      <c r="A385" s="110">
        <v>46206.656166574074</v>
      </c>
      <c r="B385" s="74" t="s">
        <v>251</v>
      </c>
      <c r="C385" s="74" t="s">
        <v>101</v>
      </c>
      <c r="D385" s="112" t="s">
        <v>139</v>
      </c>
      <c r="E385" s="74" t="s">
        <v>323</v>
      </c>
      <c r="F385" s="111" t="b">
        <v>1</v>
      </c>
      <c r="G385" s="111" t="b">
        <v>1</v>
      </c>
      <c r="H385" s="111" t="b">
        <v>1</v>
      </c>
      <c r="I385" s="74" t="s">
        <v>93</v>
      </c>
      <c r="J385" s="1"/>
      <c r="K385" s="1"/>
      <c r="L385" s="1"/>
    </row>
    <row r="386">
      <c r="A386" s="110">
        <v>46206.66483152778</v>
      </c>
      <c r="B386" s="74" t="s">
        <v>298</v>
      </c>
      <c r="C386" s="74" t="s">
        <v>286</v>
      </c>
      <c r="D386" s="74" t="s">
        <v>130</v>
      </c>
      <c r="E386" s="74" t="s">
        <v>167</v>
      </c>
      <c r="F386" s="111" t="b">
        <v>1</v>
      </c>
      <c r="G386" s="111" t="b">
        <v>1</v>
      </c>
      <c r="H386" s="111" t="b">
        <v>1</v>
      </c>
      <c r="I386" s="74" t="s">
        <v>95</v>
      </c>
      <c r="J386" s="1"/>
      <c r="K386" s="1"/>
      <c r="L386" s="1"/>
    </row>
    <row r="387">
      <c r="A387" s="110">
        <v>46206.682645567125</v>
      </c>
      <c r="B387" s="74" t="s">
        <v>320</v>
      </c>
      <c r="C387" s="74" t="s">
        <v>113</v>
      </c>
      <c r="D387" s="74" t="s">
        <v>130</v>
      </c>
      <c r="E387" s="74" t="s">
        <v>324</v>
      </c>
      <c r="F387" s="111" t="b">
        <v>1</v>
      </c>
      <c r="G387" s="111" t="b">
        <v>1</v>
      </c>
      <c r="H387" s="111" t="b">
        <v>1</v>
      </c>
      <c r="I387" s="74" t="s">
        <v>120</v>
      </c>
      <c r="J387" s="1"/>
      <c r="K387" s="1"/>
      <c r="L387" s="1"/>
    </row>
    <row r="388">
      <c r="A388" s="110">
        <v>46206.706535300924</v>
      </c>
      <c r="B388" s="74" t="s">
        <v>234</v>
      </c>
      <c r="C388" s="74" t="s">
        <v>113</v>
      </c>
      <c r="D388" s="74" t="s">
        <v>130</v>
      </c>
      <c r="E388" s="1"/>
      <c r="F388" s="111" t="b">
        <v>1</v>
      </c>
      <c r="G388" s="111" t="b">
        <v>1</v>
      </c>
      <c r="H388" s="111" t="b">
        <v>1</v>
      </c>
      <c r="I388" s="74" t="s">
        <v>81</v>
      </c>
      <c r="J388" s="1"/>
      <c r="K388" s="1"/>
      <c r="L388" s="1"/>
    </row>
    <row r="389">
      <c r="A389" s="110">
        <v>46206.72819486111</v>
      </c>
      <c r="B389" s="74" t="s">
        <v>144</v>
      </c>
      <c r="C389" s="74" t="s">
        <v>262</v>
      </c>
      <c r="D389" s="74" t="s">
        <v>130</v>
      </c>
      <c r="E389" s="1"/>
      <c r="F389" s="111" t="b">
        <v>1</v>
      </c>
      <c r="G389" s="111" t="b">
        <v>1</v>
      </c>
      <c r="H389" s="111" t="b">
        <v>1</v>
      </c>
      <c r="I389" s="74" t="s">
        <v>95</v>
      </c>
      <c r="J389" s="1"/>
      <c r="K389" s="1"/>
      <c r="L389" s="1"/>
    </row>
    <row r="390">
      <c r="A390" s="110">
        <v>46206.728961817134</v>
      </c>
      <c r="B390" s="74" t="s">
        <v>141</v>
      </c>
      <c r="C390" s="74" t="s">
        <v>143</v>
      </c>
      <c r="D390" s="112" t="s">
        <v>139</v>
      </c>
      <c r="E390" s="74" t="s">
        <v>325</v>
      </c>
      <c r="F390" s="111" t="b">
        <v>1</v>
      </c>
      <c r="G390" s="111" t="b">
        <v>1</v>
      </c>
      <c r="H390" s="111" t="b">
        <v>1</v>
      </c>
      <c r="I390" s="74" t="s">
        <v>102</v>
      </c>
      <c r="J390" s="1"/>
      <c r="K390" s="1"/>
      <c r="L390" s="1"/>
    </row>
    <row r="391">
      <c r="A391" s="110">
        <v>46206.730301944444</v>
      </c>
      <c r="B391" s="74" t="s">
        <v>156</v>
      </c>
      <c r="C391" s="74" t="s">
        <v>320</v>
      </c>
      <c r="D391" s="112" t="s">
        <v>139</v>
      </c>
      <c r="E391" s="1"/>
      <c r="F391" s="111" t="b">
        <v>1</v>
      </c>
      <c r="G391" s="111" t="b">
        <v>1</v>
      </c>
      <c r="H391" s="111" t="b">
        <v>1</v>
      </c>
      <c r="I391" s="74" t="s">
        <v>99</v>
      </c>
      <c r="J391" s="1"/>
      <c r="K391" s="1"/>
      <c r="L391" s="1"/>
    </row>
    <row r="392">
      <c r="A392" s="110">
        <v>46206.73084965278</v>
      </c>
      <c r="B392" s="74" t="s">
        <v>231</v>
      </c>
      <c r="C392" s="74" t="s">
        <v>185</v>
      </c>
      <c r="D392" s="112" t="s">
        <v>139</v>
      </c>
      <c r="E392" s="1"/>
      <c r="F392" s="111" t="b">
        <v>1</v>
      </c>
      <c r="G392" s="111" t="b">
        <v>1</v>
      </c>
      <c r="H392" s="111" t="b">
        <v>1</v>
      </c>
      <c r="I392" s="74" t="s">
        <v>81</v>
      </c>
      <c r="J392" s="1"/>
      <c r="K392" s="1"/>
      <c r="L392" s="1"/>
    </row>
    <row r="393">
      <c r="A393" s="110">
        <v>46206.736444525464</v>
      </c>
      <c r="B393" s="74" t="s">
        <v>145</v>
      </c>
      <c r="C393" s="74" t="s">
        <v>197</v>
      </c>
      <c r="D393" s="112" t="s">
        <v>139</v>
      </c>
      <c r="E393" s="74" t="s">
        <v>326</v>
      </c>
      <c r="F393" s="111" t="b">
        <v>1</v>
      </c>
      <c r="G393" s="111" t="b">
        <v>1</v>
      </c>
      <c r="H393" s="111" t="b">
        <v>1</v>
      </c>
      <c r="I393" s="74" t="s">
        <v>83</v>
      </c>
      <c r="J393" s="1"/>
      <c r="K393" s="1"/>
      <c r="L393" s="1"/>
    </row>
    <row r="394">
      <c r="A394" s="110">
        <v>46206.742885694446</v>
      </c>
      <c r="B394" s="74" t="s">
        <v>144</v>
      </c>
      <c r="C394" s="74" t="s">
        <v>178</v>
      </c>
      <c r="D394" s="112" t="s">
        <v>139</v>
      </c>
      <c r="E394" s="1"/>
      <c r="F394" s="111" t="b">
        <v>1</v>
      </c>
      <c r="G394" s="111" t="b">
        <v>1</v>
      </c>
      <c r="H394" s="111" t="b">
        <v>1</v>
      </c>
      <c r="I394" s="74" t="s">
        <v>83</v>
      </c>
      <c r="J394" s="1"/>
      <c r="K394" s="1"/>
      <c r="L394" s="1"/>
    </row>
    <row r="395">
      <c r="A395" s="110">
        <v>46206.7431477662</v>
      </c>
      <c r="B395" s="74" t="s">
        <v>141</v>
      </c>
      <c r="C395" s="74" t="s">
        <v>238</v>
      </c>
      <c r="D395" s="74" t="s">
        <v>130</v>
      </c>
      <c r="E395" s="74" t="s">
        <v>165</v>
      </c>
      <c r="F395" s="111" t="b">
        <v>1</v>
      </c>
      <c r="G395" s="111" t="b">
        <v>1</v>
      </c>
      <c r="H395" s="111" t="b">
        <v>1</v>
      </c>
      <c r="I395" s="74" t="s">
        <v>120</v>
      </c>
      <c r="J395" s="1"/>
      <c r="K395" s="1"/>
      <c r="L395" s="1"/>
    </row>
    <row r="396">
      <c r="A396" s="110">
        <v>46206.74614013889</v>
      </c>
      <c r="B396" s="74" t="s">
        <v>152</v>
      </c>
      <c r="C396" s="74" t="s">
        <v>131</v>
      </c>
      <c r="D396" s="112" t="s">
        <v>139</v>
      </c>
      <c r="E396" s="1"/>
      <c r="F396" s="111" t="b">
        <v>1</v>
      </c>
      <c r="G396" s="111" t="b">
        <v>1</v>
      </c>
      <c r="H396" s="111" t="b">
        <v>1</v>
      </c>
      <c r="I396" s="74" t="s">
        <v>102</v>
      </c>
      <c r="J396" s="1"/>
      <c r="K396" s="1"/>
      <c r="L396" s="1"/>
    </row>
    <row r="397">
      <c r="A397" s="110">
        <v>46206.74775076389</v>
      </c>
      <c r="B397" s="74" t="s">
        <v>203</v>
      </c>
      <c r="C397" s="74" t="s">
        <v>217</v>
      </c>
      <c r="D397" s="112" t="s">
        <v>139</v>
      </c>
      <c r="E397" s="1"/>
      <c r="F397" s="111" t="b">
        <v>1</v>
      </c>
      <c r="G397" s="111" t="b">
        <v>1</v>
      </c>
      <c r="H397" s="111" t="b">
        <v>1</v>
      </c>
      <c r="I397" s="74" t="s">
        <v>99</v>
      </c>
      <c r="J397" s="1"/>
      <c r="K397" s="1"/>
      <c r="L397" s="1"/>
    </row>
    <row r="398">
      <c r="A398" s="110">
        <v>46206.75352974537</v>
      </c>
      <c r="B398" s="74" t="s">
        <v>156</v>
      </c>
      <c r="C398" s="74" t="s">
        <v>257</v>
      </c>
      <c r="D398" s="74" t="s">
        <v>130</v>
      </c>
      <c r="E398" s="1"/>
      <c r="F398" s="111" t="b">
        <v>1</v>
      </c>
      <c r="G398" s="111" t="b">
        <v>1</v>
      </c>
      <c r="H398" s="111" t="b">
        <v>1</v>
      </c>
      <c r="I398" s="74" t="s">
        <v>87</v>
      </c>
      <c r="J398" s="1"/>
      <c r="K398" s="1"/>
      <c r="L398" s="1"/>
    </row>
    <row r="399">
      <c r="A399" s="110">
        <v>46206.775592986116</v>
      </c>
      <c r="B399" s="74" t="s">
        <v>148</v>
      </c>
      <c r="C399" s="74" t="s">
        <v>274</v>
      </c>
      <c r="D399" s="74" t="s">
        <v>130</v>
      </c>
      <c r="E399" s="1"/>
      <c r="F399" s="111" t="b">
        <v>1</v>
      </c>
      <c r="G399" s="111" t="b">
        <v>1</v>
      </c>
      <c r="H399" s="111" t="b">
        <v>1</v>
      </c>
      <c r="I399" s="74" t="s">
        <v>79</v>
      </c>
      <c r="J399" s="1"/>
      <c r="K399" s="1"/>
      <c r="L399" s="1"/>
    </row>
    <row r="400">
      <c r="A400" s="110">
        <v>46206.77867356481</v>
      </c>
      <c r="B400" s="74" t="s">
        <v>208</v>
      </c>
      <c r="C400" s="74" t="s">
        <v>182</v>
      </c>
      <c r="D400" s="112" t="s">
        <v>139</v>
      </c>
      <c r="E400" s="74" t="s">
        <v>327</v>
      </c>
      <c r="F400" s="111" t="b">
        <v>1</v>
      </c>
      <c r="G400" s="111" t="b">
        <v>1</v>
      </c>
      <c r="H400" s="111" t="b">
        <v>1</v>
      </c>
      <c r="I400" s="74" t="s">
        <v>87</v>
      </c>
      <c r="J400" s="1"/>
      <c r="K400" s="1"/>
      <c r="L400" s="1"/>
    </row>
    <row r="401">
      <c r="A401" s="110">
        <v>46206.781137314814</v>
      </c>
      <c r="B401" s="74" t="s">
        <v>128</v>
      </c>
      <c r="C401" s="74" t="s">
        <v>151</v>
      </c>
      <c r="D401" s="74" t="s">
        <v>130</v>
      </c>
      <c r="E401" s="1"/>
      <c r="F401" s="111" t="b">
        <v>1</v>
      </c>
      <c r="G401" s="111" t="b">
        <v>1</v>
      </c>
      <c r="H401" s="111" t="b">
        <v>1</v>
      </c>
      <c r="I401" s="74" t="s">
        <v>81</v>
      </c>
      <c r="J401" s="1"/>
      <c r="K401" s="1"/>
      <c r="L401" s="1"/>
    </row>
    <row r="402">
      <c r="A402" s="110">
        <v>46206.784910682865</v>
      </c>
      <c r="B402" s="74" t="s">
        <v>180</v>
      </c>
      <c r="C402" s="74" t="s">
        <v>257</v>
      </c>
      <c r="D402" s="74" t="s">
        <v>130</v>
      </c>
      <c r="E402" s="74" t="s">
        <v>157</v>
      </c>
      <c r="F402" s="111" t="b">
        <v>1</v>
      </c>
      <c r="G402" s="111" t="b">
        <v>1</v>
      </c>
      <c r="H402" s="111" t="b">
        <v>1</v>
      </c>
      <c r="I402" s="74" t="s">
        <v>93</v>
      </c>
      <c r="J402" s="1"/>
      <c r="K402" s="1"/>
      <c r="L402" s="1"/>
    </row>
    <row r="403">
      <c r="A403" s="110">
        <v>46206.785188043985</v>
      </c>
      <c r="B403" s="74" t="s">
        <v>185</v>
      </c>
      <c r="C403" s="74" t="s">
        <v>203</v>
      </c>
      <c r="D403" s="112" t="s">
        <v>139</v>
      </c>
      <c r="E403" s="74" t="s">
        <v>328</v>
      </c>
      <c r="F403" s="111" t="b">
        <v>1</v>
      </c>
      <c r="G403" s="111" t="b">
        <v>1</v>
      </c>
      <c r="H403" s="111" t="b">
        <v>1</v>
      </c>
      <c r="I403" s="74" t="s">
        <v>79</v>
      </c>
      <c r="J403" s="1"/>
      <c r="K403" s="1"/>
      <c r="L403" s="1"/>
    </row>
    <row r="404">
      <c r="A404" s="110">
        <v>46206.78816733796</v>
      </c>
      <c r="B404" s="74" t="s">
        <v>197</v>
      </c>
      <c r="C404" s="74" t="s">
        <v>141</v>
      </c>
      <c r="D404" s="112" t="s">
        <v>139</v>
      </c>
      <c r="E404" s="1"/>
      <c r="F404" s="111" t="b">
        <v>1</v>
      </c>
      <c r="G404" s="111" t="b">
        <v>1</v>
      </c>
      <c r="H404" s="111" t="b">
        <v>1</v>
      </c>
      <c r="I404" s="74" t="s">
        <v>106</v>
      </c>
      <c r="J404" s="1"/>
      <c r="K404" s="1"/>
      <c r="L404" s="1"/>
    </row>
    <row r="405">
      <c r="A405" s="110">
        <v>46206.79203266204</v>
      </c>
      <c r="B405" s="74" t="s">
        <v>178</v>
      </c>
      <c r="C405" s="74" t="s">
        <v>184</v>
      </c>
      <c r="D405" s="112" t="s">
        <v>139</v>
      </c>
      <c r="E405" s="1"/>
      <c r="F405" s="111" t="b">
        <v>1</v>
      </c>
      <c r="G405" s="111" t="b">
        <v>1</v>
      </c>
      <c r="H405" s="111" t="b">
        <v>1</v>
      </c>
      <c r="I405" s="74" t="s">
        <v>99</v>
      </c>
      <c r="J405" s="1"/>
      <c r="K405" s="1"/>
      <c r="L405" s="1"/>
    </row>
    <row r="406">
      <c r="A406" s="110">
        <v>46206.79484858796</v>
      </c>
      <c r="B406" s="74" t="s">
        <v>128</v>
      </c>
      <c r="C406" s="74" t="s">
        <v>182</v>
      </c>
      <c r="D406" s="74" t="s">
        <v>130</v>
      </c>
      <c r="E406" s="1"/>
      <c r="F406" s="111" t="b">
        <v>1</v>
      </c>
      <c r="G406" s="111" t="b">
        <v>1</v>
      </c>
      <c r="H406" s="111" t="b">
        <v>1</v>
      </c>
      <c r="I406" s="74" t="s">
        <v>93</v>
      </c>
      <c r="J406" s="1"/>
      <c r="K406" s="1"/>
      <c r="L406" s="1"/>
    </row>
    <row r="407">
      <c r="A407" s="110">
        <v>46206.80152259259</v>
      </c>
      <c r="B407" s="74" t="s">
        <v>180</v>
      </c>
      <c r="C407" s="74" t="s">
        <v>208</v>
      </c>
      <c r="D407" s="74" t="s">
        <v>130</v>
      </c>
      <c r="E407" s="74" t="s">
        <v>167</v>
      </c>
      <c r="F407" s="111" t="b">
        <v>1</v>
      </c>
      <c r="G407" s="111" t="b">
        <v>1</v>
      </c>
      <c r="H407" s="111" t="b">
        <v>1</v>
      </c>
      <c r="I407" s="74" t="s">
        <v>106</v>
      </c>
      <c r="J407" s="1"/>
      <c r="K407" s="1"/>
      <c r="L407" s="1"/>
    </row>
    <row r="408">
      <c r="A408" s="110">
        <v>46206.80611071759</v>
      </c>
      <c r="B408" s="74" t="s">
        <v>257</v>
      </c>
      <c r="C408" s="74" t="s">
        <v>144</v>
      </c>
      <c r="D408" s="74" t="s">
        <v>130</v>
      </c>
      <c r="E408" s="74" t="s">
        <v>192</v>
      </c>
      <c r="F408" s="111" t="b">
        <v>1</v>
      </c>
      <c r="G408" s="111" t="b">
        <v>1</v>
      </c>
      <c r="H408" s="111" t="b">
        <v>1</v>
      </c>
      <c r="I408" s="74" t="s">
        <v>120</v>
      </c>
      <c r="J408" s="1"/>
      <c r="K408" s="1"/>
      <c r="L408" s="1"/>
    </row>
    <row r="409">
      <c r="A409" s="110">
        <v>46206.81031916667</v>
      </c>
      <c r="B409" s="74" t="s">
        <v>166</v>
      </c>
      <c r="C409" s="74" t="s">
        <v>148</v>
      </c>
      <c r="D409" s="112" t="s">
        <v>139</v>
      </c>
      <c r="E409" s="1"/>
      <c r="F409" s="111" t="b">
        <v>1</v>
      </c>
      <c r="G409" s="111" t="b">
        <v>1</v>
      </c>
      <c r="H409" s="111" t="b">
        <v>1</v>
      </c>
      <c r="I409" s="74" t="s">
        <v>102</v>
      </c>
      <c r="J409" s="1"/>
      <c r="K409" s="1"/>
      <c r="L409" s="1"/>
    </row>
    <row r="410">
      <c r="A410" s="110">
        <v>46206.82854381944</v>
      </c>
      <c r="B410" s="74" t="s">
        <v>178</v>
      </c>
      <c r="C410" s="74" t="s">
        <v>166</v>
      </c>
      <c r="D410" s="74" t="s">
        <v>130</v>
      </c>
      <c r="E410" s="1"/>
      <c r="F410" s="111" t="b">
        <v>1</v>
      </c>
      <c r="G410" s="111" t="b">
        <v>1</v>
      </c>
      <c r="H410" s="111" t="b">
        <v>1</v>
      </c>
      <c r="I410" s="74" t="s">
        <v>85</v>
      </c>
      <c r="J410" s="1"/>
      <c r="K410" s="1"/>
      <c r="L410" s="1"/>
    </row>
    <row r="411">
      <c r="A411" s="110">
        <v>46206.83049075231</v>
      </c>
      <c r="B411" s="74" t="s">
        <v>180</v>
      </c>
      <c r="C411" s="74" t="s">
        <v>225</v>
      </c>
      <c r="D411" s="112" t="s">
        <v>139</v>
      </c>
      <c r="E411" s="74" t="s">
        <v>157</v>
      </c>
      <c r="F411" s="111" t="b">
        <v>1</v>
      </c>
      <c r="G411" s="111" t="b">
        <v>1</v>
      </c>
      <c r="H411" s="111" t="b">
        <v>1</v>
      </c>
      <c r="I411" s="74" t="s">
        <v>90</v>
      </c>
      <c r="J411" s="1"/>
      <c r="K411" s="1"/>
      <c r="L411" s="1"/>
    </row>
    <row r="412">
      <c r="A412" s="110">
        <v>46206.85798994213</v>
      </c>
      <c r="B412" s="74" t="s">
        <v>152</v>
      </c>
      <c r="C412" s="74" t="s">
        <v>248</v>
      </c>
      <c r="D412" s="74" t="s">
        <v>130</v>
      </c>
      <c r="E412" s="1"/>
      <c r="F412" s="111" t="b">
        <v>1</v>
      </c>
      <c r="G412" s="111" t="b">
        <v>1</v>
      </c>
      <c r="H412" s="111" t="b">
        <v>1</v>
      </c>
      <c r="I412" s="74" t="s">
        <v>84</v>
      </c>
      <c r="J412" s="1"/>
      <c r="K412" s="1"/>
      <c r="L412" s="1"/>
    </row>
    <row r="413">
      <c r="A413" s="110">
        <v>46206.85819945602</v>
      </c>
      <c r="B413" s="74" t="s">
        <v>198</v>
      </c>
      <c r="C413" s="74" t="s">
        <v>196</v>
      </c>
      <c r="D413" s="112" t="s">
        <v>139</v>
      </c>
      <c r="E413" s="1"/>
      <c r="F413" s="111" t="b">
        <v>1</v>
      </c>
      <c r="G413" s="111" t="b">
        <v>1</v>
      </c>
      <c r="H413" s="111" t="b">
        <v>1</v>
      </c>
      <c r="I413" s="74" t="s">
        <v>98</v>
      </c>
      <c r="J413" s="1"/>
      <c r="K413" s="1"/>
      <c r="L413" s="1"/>
    </row>
    <row r="414">
      <c r="A414" s="110">
        <v>46206.86032121528</v>
      </c>
      <c r="B414" s="74" t="s">
        <v>178</v>
      </c>
      <c r="C414" s="74" t="s">
        <v>185</v>
      </c>
      <c r="D414" s="112" t="s">
        <v>139</v>
      </c>
      <c r="E414" s="1"/>
      <c r="F414" s="111" t="b">
        <v>1</v>
      </c>
      <c r="G414" s="111" t="b">
        <v>1</v>
      </c>
      <c r="H414" s="111" t="b">
        <v>1</v>
      </c>
      <c r="I414" s="74" t="s">
        <v>84</v>
      </c>
      <c r="J414" s="1"/>
      <c r="K414" s="1"/>
      <c r="L414" s="1"/>
    </row>
    <row r="415">
      <c r="A415" s="110">
        <v>46206.86199561342</v>
      </c>
      <c r="B415" s="74" t="s">
        <v>257</v>
      </c>
      <c r="C415" s="74" t="s">
        <v>117</v>
      </c>
      <c r="D415" s="112" t="s">
        <v>139</v>
      </c>
      <c r="E415" s="74" t="s">
        <v>329</v>
      </c>
      <c r="F415" s="111" t="b">
        <v>1</v>
      </c>
      <c r="G415" s="111" t="b">
        <v>1</v>
      </c>
      <c r="H415" s="111" t="b">
        <v>1</v>
      </c>
      <c r="I415" s="74" t="s">
        <v>83</v>
      </c>
      <c r="J415" s="1"/>
      <c r="K415" s="1"/>
      <c r="L415" s="1"/>
    </row>
    <row r="416">
      <c r="A416" s="110">
        <v>46206.869969189815</v>
      </c>
      <c r="B416" s="74" t="s">
        <v>131</v>
      </c>
      <c r="C416" s="74" t="s">
        <v>132</v>
      </c>
      <c r="D416" s="74" t="s">
        <v>130</v>
      </c>
      <c r="E416" s="1"/>
      <c r="F416" s="111" t="b">
        <v>1</v>
      </c>
      <c r="G416" s="111" t="b">
        <v>1</v>
      </c>
      <c r="H416" s="111" t="b">
        <v>1</v>
      </c>
      <c r="I416" s="74" t="s">
        <v>118</v>
      </c>
      <c r="J416" s="1"/>
      <c r="K416" s="1"/>
      <c r="L416" s="1"/>
    </row>
    <row r="417">
      <c r="A417" s="110">
        <v>46206.882018854165</v>
      </c>
      <c r="B417" s="74" t="s">
        <v>181</v>
      </c>
      <c r="C417" s="74" t="s">
        <v>257</v>
      </c>
      <c r="D417" s="74" t="s">
        <v>130</v>
      </c>
      <c r="E417" s="1"/>
      <c r="F417" s="111" t="b">
        <v>1</v>
      </c>
      <c r="G417" s="111" t="b">
        <v>1</v>
      </c>
      <c r="H417" s="111" t="b">
        <v>1</v>
      </c>
      <c r="I417" s="74" t="s">
        <v>102</v>
      </c>
      <c r="J417" s="1"/>
      <c r="K417" s="1"/>
      <c r="L417" s="1"/>
    </row>
    <row r="418">
      <c r="A418" s="110">
        <v>46206.883973819444</v>
      </c>
      <c r="B418" s="74" t="s">
        <v>184</v>
      </c>
      <c r="C418" s="74" t="s">
        <v>248</v>
      </c>
      <c r="D418" s="74" t="s">
        <v>130</v>
      </c>
      <c r="E418" s="1"/>
      <c r="F418" s="111" t="b">
        <v>1</v>
      </c>
      <c r="G418" s="111" t="b">
        <v>1</v>
      </c>
      <c r="H418" s="111" t="b">
        <v>1</v>
      </c>
      <c r="I418" s="74" t="s">
        <v>81</v>
      </c>
      <c r="J418" s="1"/>
      <c r="K418" s="1"/>
      <c r="L418" s="1"/>
    </row>
    <row r="419">
      <c r="A419" s="110">
        <v>46206.88656943287</v>
      </c>
      <c r="B419" s="74" t="s">
        <v>178</v>
      </c>
      <c r="C419" s="74" t="s">
        <v>198</v>
      </c>
      <c r="D419" s="112" t="s">
        <v>139</v>
      </c>
      <c r="E419" s="1"/>
      <c r="F419" s="111" t="b">
        <v>1</v>
      </c>
      <c r="G419" s="111" t="b">
        <v>1</v>
      </c>
      <c r="H419" s="111" t="b">
        <v>1</v>
      </c>
      <c r="I419" s="74" t="s">
        <v>87</v>
      </c>
      <c r="J419" s="1"/>
      <c r="K419" s="1"/>
      <c r="L419" s="1"/>
    </row>
    <row r="420">
      <c r="A420" s="110">
        <v>46206.9002812963</v>
      </c>
      <c r="B420" s="74" t="s">
        <v>181</v>
      </c>
      <c r="C420" s="74" t="s">
        <v>166</v>
      </c>
      <c r="D420" s="112" t="s">
        <v>139</v>
      </c>
      <c r="E420" s="1"/>
      <c r="F420" s="111" t="b">
        <v>1</v>
      </c>
      <c r="G420" s="111" t="b">
        <v>1</v>
      </c>
      <c r="H420" s="111" t="b">
        <v>1</v>
      </c>
      <c r="I420" s="74" t="s">
        <v>98</v>
      </c>
      <c r="J420" s="1"/>
      <c r="K420" s="1"/>
      <c r="L420" s="1"/>
    </row>
    <row r="421">
      <c r="A421" s="110">
        <v>46206.908516979165</v>
      </c>
      <c r="B421" s="74" t="s">
        <v>275</v>
      </c>
      <c r="C421" s="74" t="s">
        <v>198</v>
      </c>
      <c r="D421" s="74" t="s">
        <v>130</v>
      </c>
      <c r="E421" s="1"/>
      <c r="F421" s="111" t="b">
        <v>1</v>
      </c>
      <c r="G421" s="111" t="b">
        <v>1</v>
      </c>
      <c r="H421" s="111" t="b">
        <v>1</v>
      </c>
      <c r="I421" s="74" t="s">
        <v>106</v>
      </c>
      <c r="J421" s="1"/>
      <c r="K421" s="1"/>
      <c r="L421" s="1"/>
    </row>
    <row r="422">
      <c r="A422" s="110">
        <v>46206.916814525466</v>
      </c>
      <c r="B422" s="74" t="s">
        <v>181</v>
      </c>
      <c r="C422" s="74" t="s">
        <v>230</v>
      </c>
      <c r="D422" s="74" t="s">
        <v>130</v>
      </c>
      <c r="E422" s="1"/>
      <c r="F422" s="111" t="b">
        <v>1</v>
      </c>
      <c r="G422" s="111" t="b">
        <v>1</v>
      </c>
      <c r="H422" s="111" t="b">
        <v>1</v>
      </c>
      <c r="I422" s="74" t="s">
        <v>98</v>
      </c>
      <c r="J422" s="1"/>
      <c r="K422" s="1"/>
      <c r="L422" s="1"/>
    </row>
    <row r="423">
      <c r="A423" s="110">
        <v>46206.921774814815</v>
      </c>
      <c r="B423" s="74" t="s">
        <v>188</v>
      </c>
      <c r="C423" s="74" t="s">
        <v>134</v>
      </c>
      <c r="D423" s="112" t="s">
        <v>139</v>
      </c>
      <c r="E423" s="74" t="s">
        <v>192</v>
      </c>
      <c r="F423" s="111" t="b">
        <v>1</v>
      </c>
      <c r="G423" s="111" t="b">
        <v>1</v>
      </c>
      <c r="H423" s="111" t="b">
        <v>1</v>
      </c>
      <c r="I423" s="74" t="s">
        <v>87</v>
      </c>
      <c r="J423" s="1"/>
      <c r="K423" s="1"/>
      <c r="L423" s="1"/>
    </row>
    <row r="424">
      <c r="A424" s="110">
        <v>46206.93103662037</v>
      </c>
      <c r="B424" s="74" t="s">
        <v>193</v>
      </c>
      <c r="C424" s="74" t="s">
        <v>181</v>
      </c>
      <c r="D424" s="74" t="s">
        <v>130</v>
      </c>
      <c r="E424" s="1"/>
      <c r="F424" s="111" t="b">
        <v>1</v>
      </c>
      <c r="G424" s="111" t="b">
        <v>1</v>
      </c>
      <c r="H424" s="111" t="b">
        <v>1</v>
      </c>
      <c r="I424" s="74" t="s">
        <v>84</v>
      </c>
      <c r="J424" s="1"/>
      <c r="K424" s="1"/>
      <c r="L424" s="1"/>
    </row>
    <row r="425">
      <c r="A425" s="110">
        <v>46206.93291829861</v>
      </c>
      <c r="B425" s="74" t="s">
        <v>135</v>
      </c>
      <c r="C425" s="74" t="s">
        <v>230</v>
      </c>
      <c r="D425" s="74" t="s">
        <v>130</v>
      </c>
      <c r="E425" s="1"/>
      <c r="F425" s="111" t="b">
        <v>1</v>
      </c>
      <c r="G425" s="111" t="b">
        <v>1</v>
      </c>
      <c r="H425" s="111" t="b">
        <v>1</v>
      </c>
      <c r="I425" s="74" t="s">
        <v>97</v>
      </c>
      <c r="J425" s="1"/>
      <c r="K425" s="1"/>
      <c r="L425" s="1"/>
    </row>
    <row r="426">
      <c r="A426" s="110">
        <v>46206.93676715277</v>
      </c>
      <c r="B426" s="74" t="s">
        <v>172</v>
      </c>
      <c r="C426" s="74" t="s">
        <v>275</v>
      </c>
      <c r="D426" s="74" t="s">
        <v>130</v>
      </c>
      <c r="E426" s="74" t="s">
        <v>330</v>
      </c>
      <c r="F426" s="111" t="b">
        <v>1</v>
      </c>
      <c r="G426" s="111" t="b">
        <v>1</v>
      </c>
      <c r="H426" s="111" t="b">
        <v>1</v>
      </c>
      <c r="I426" s="74" t="s">
        <v>79</v>
      </c>
      <c r="J426" s="1"/>
      <c r="K426" s="1"/>
      <c r="L426" s="1"/>
    </row>
    <row r="427">
      <c r="A427" s="110">
        <v>46206.93811567129</v>
      </c>
      <c r="B427" s="74" t="s">
        <v>190</v>
      </c>
      <c r="C427" s="74" t="s">
        <v>188</v>
      </c>
      <c r="D427" s="112" t="s">
        <v>139</v>
      </c>
      <c r="E427" s="1"/>
      <c r="F427" s="111" t="b">
        <v>1</v>
      </c>
      <c r="G427" s="111" t="b">
        <v>1</v>
      </c>
      <c r="H427" s="111" t="b">
        <v>1</v>
      </c>
      <c r="I427" s="74" t="s">
        <v>81</v>
      </c>
      <c r="J427" s="1"/>
      <c r="K427" s="1"/>
      <c r="L427" s="1"/>
    </row>
    <row r="428">
      <c r="A428" s="110">
        <v>46206.94487446759</v>
      </c>
      <c r="B428" s="74" t="s">
        <v>230</v>
      </c>
      <c r="C428" s="74" t="s">
        <v>193</v>
      </c>
      <c r="D428" s="74" t="s">
        <v>130</v>
      </c>
      <c r="E428" s="1"/>
      <c r="F428" s="111" t="b">
        <v>1</v>
      </c>
      <c r="G428" s="111" t="b">
        <v>1</v>
      </c>
      <c r="H428" s="111" t="b">
        <v>1</v>
      </c>
      <c r="I428" s="74" t="s">
        <v>147</v>
      </c>
      <c r="J428" s="1"/>
      <c r="K428" s="1"/>
      <c r="L428" s="1"/>
    </row>
    <row r="429">
      <c r="A429" s="110">
        <v>46206.94969760417</v>
      </c>
      <c r="B429" s="74" t="s">
        <v>180</v>
      </c>
      <c r="C429" s="74" t="s">
        <v>224</v>
      </c>
      <c r="D429" s="74" t="s">
        <v>130</v>
      </c>
      <c r="E429" s="74" t="s">
        <v>157</v>
      </c>
      <c r="F429" s="111" t="b">
        <v>1</v>
      </c>
      <c r="G429" s="111" t="b">
        <v>1</v>
      </c>
      <c r="H429" s="111" t="b">
        <v>1</v>
      </c>
      <c r="I429" s="74" t="s">
        <v>147</v>
      </c>
      <c r="J429" s="1"/>
      <c r="K429" s="1"/>
      <c r="L429" s="1"/>
    </row>
    <row r="430">
      <c r="A430" s="110">
        <v>46206.950307638894</v>
      </c>
      <c r="B430" s="74" t="s">
        <v>141</v>
      </c>
      <c r="C430" s="74" t="s">
        <v>190</v>
      </c>
      <c r="D430" s="112" t="s">
        <v>139</v>
      </c>
      <c r="E430" s="1"/>
      <c r="F430" s="111" t="b">
        <v>1</v>
      </c>
      <c r="G430" s="111" t="b">
        <v>1</v>
      </c>
      <c r="H430" s="111" t="b">
        <v>1</v>
      </c>
      <c r="I430" s="74" t="s">
        <v>118</v>
      </c>
      <c r="J430" s="1"/>
      <c r="K430" s="1"/>
      <c r="L430" s="1"/>
    </row>
    <row r="431">
      <c r="A431" s="110">
        <v>46206.95500732639</v>
      </c>
      <c r="B431" s="74" t="s">
        <v>230</v>
      </c>
      <c r="C431" s="74" t="s">
        <v>188</v>
      </c>
      <c r="D431" s="74" t="s">
        <v>130</v>
      </c>
      <c r="E431" s="1"/>
      <c r="F431" s="111" t="b">
        <v>1</v>
      </c>
      <c r="G431" s="111" t="b">
        <v>1</v>
      </c>
      <c r="H431" s="111" t="b">
        <v>1</v>
      </c>
      <c r="I431" s="74" t="s">
        <v>79</v>
      </c>
      <c r="J431" s="1"/>
      <c r="K431" s="1"/>
      <c r="L431" s="1"/>
    </row>
    <row r="432">
      <c r="A432" s="110">
        <v>46206.96091429398</v>
      </c>
      <c r="B432" s="74" t="s">
        <v>193</v>
      </c>
      <c r="C432" s="74" t="s">
        <v>134</v>
      </c>
      <c r="D432" s="112" t="s">
        <v>139</v>
      </c>
      <c r="E432" s="1"/>
      <c r="F432" s="111" t="b">
        <v>1</v>
      </c>
      <c r="G432" s="111" t="b">
        <v>1</v>
      </c>
      <c r="H432" s="111" t="b">
        <v>1</v>
      </c>
      <c r="I432" s="74" t="s">
        <v>90</v>
      </c>
      <c r="J432" s="1"/>
      <c r="K432" s="1"/>
      <c r="L432" s="1"/>
    </row>
    <row r="433">
      <c r="A433" s="110">
        <v>46206.968449004635</v>
      </c>
      <c r="B433" s="74" t="s">
        <v>230</v>
      </c>
      <c r="C433" s="74" t="s">
        <v>223</v>
      </c>
      <c r="D433" s="74" t="s">
        <v>130</v>
      </c>
      <c r="E433" s="1"/>
      <c r="F433" s="111" t="b">
        <v>1</v>
      </c>
      <c r="G433" s="111" t="b">
        <v>1</v>
      </c>
      <c r="H433" s="111" t="b">
        <v>1</v>
      </c>
      <c r="I433" s="74" t="s">
        <v>93</v>
      </c>
      <c r="J433" s="1"/>
      <c r="K433" s="1"/>
      <c r="L433" s="1"/>
    </row>
    <row r="434">
      <c r="A434" s="110">
        <v>46206.97361396991</v>
      </c>
      <c r="B434" s="74" t="s">
        <v>191</v>
      </c>
      <c r="C434" s="74" t="s">
        <v>193</v>
      </c>
      <c r="D434" s="112" t="s">
        <v>139</v>
      </c>
      <c r="E434" s="74" t="s">
        <v>192</v>
      </c>
      <c r="F434" s="111" t="b">
        <v>1</v>
      </c>
      <c r="G434" s="111" t="b">
        <v>1</v>
      </c>
      <c r="H434" s="111" t="b">
        <v>1</v>
      </c>
      <c r="I434" s="74" t="s">
        <v>97</v>
      </c>
      <c r="J434" s="1"/>
      <c r="K434" s="1"/>
      <c r="L434" s="1"/>
    </row>
    <row r="435">
      <c r="A435" s="110">
        <v>46206.97405087963</v>
      </c>
      <c r="B435" s="74" t="s">
        <v>172</v>
      </c>
      <c r="C435" s="74" t="s">
        <v>91</v>
      </c>
      <c r="D435" s="74" t="s">
        <v>130</v>
      </c>
      <c r="E435" s="74" t="s">
        <v>330</v>
      </c>
      <c r="F435" s="111" t="b">
        <v>1</v>
      </c>
      <c r="G435" s="111" t="b">
        <v>1</v>
      </c>
      <c r="H435" s="111" t="b">
        <v>1</v>
      </c>
      <c r="I435" s="74" t="s">
        <v>97</v>
      </c>
      <c r="J435" s="1"/>
      <c r="K435" s="1"/>
      <c r="L435" s="1"/>
    </row>
    <row r="436">
      <c r="A436" s="110">
        <v>46206.996054930554</v>
      </c>
      <c r="B436" s="74" t="s">
        <v>191</v>
      </c>
      <c r="C436" s="74" t="s">
        <v>223</v>
      </c>
      <c r="D436" s="74" t="s">
        <v>130</v>
      </c>
      <c r="E436" s="74" t="s">
        <v>192</v>
      </c>
      <c r="F436" s="111" t="b">
        <v>1</v>
      </c>
      <c r="G436" s="111" t="b">
        <v>1</v>
      </c>
      <c r="H436" s="111" t="b">
        <v>1</v>
      </c>
      <c r="I436" s="74" t="s">
        <v>84</v>
      </c>
      <c r="J436" s="1"/>
      <c r="K436" s="1"/>
      <c r="L436" s="1"/>
    </row>
    <row r="437">
      <c r="A437" s="110">
        <v>46206.99965048611</v>
      </c>
      <c r="B437" s="74" t="s">
        <v>193</v>
      </c>
      <c r="C437" s="74" t="s">
        <v>91</v>
      </c>
      <c r="D437" s="74" t="s">
        <v>130</v>
      </c>
      <c r="E437" s="1"/>
      <c r="F437" s="111" t="b">
        <v>1</v>
      </c>
      <c r="G437" s="111" t="b">
        <v>1</v>
      </c>
      <c r="H437" s="111" t="b">
        <v>1</v>
      </c>
      <c r="I437" s="74" t="s">
        <v>120</v>
      </c>
      <c r="J437" s="1"/>
      <c r="K437" s="1"/>
      <c r="L437" s="1"/>
    </row>
    <row r="438">
      <c r="A438" s="110">
        <v>46207.0173078125</v>
      </c>
      <c r="B438" s="74" t="s">
        <v>191</v>
      </c>
      <c r="C438" s="74" t="s">
        <v>208</v>
      </c>
      <c r="D438" s="74" t="s">
        <v>130</v>
      </c>
      <c r="E438" s="74" t="s">
        <v>192</v>
      </c>
      <c r="F438" s="111" t="b">
        <v>1</v>
      </c>
      <c r="G438" s="111" t="b">
        <v>1</v>
      </c>
      <c r="H438" s="111" t="b">
        <v>1</v>
      </c>
      <c r="I438" s="74" t="s">
        <v>83</v>
      </c>
      <c r="J438" s="1"/>
      <c r="K438" s="1"/>
      <c r="L438" s="1"/>
    </row>
    <row r="439">
      <c r="A439" s="110">
        <v>46207.022748958334</v>
      </c>
      <c r="B439" s="74" t="s">
        <v>196</v>
      </c>
      <c r="C439" s="74" t="s">
        <v>112</v>
      </c>
      <c r="D439" s="74" t="s">
        <v>130</v>
      </c>
      <c r="E439" s="1"/>
      <c r="F439" s="111" t="b">
        <v>1</v>
      </c>
      <c r="G439" s="111" t="b">
        <v>1</v>
      </c>
      <c r="H439" s="111" t="b">
        <v>1</v>
      </c>
      <c r="I439" s="74" t="s">
        <v>202</v>
      </c>
      <c r="J439" s="1"/>
      <c r="K439" s="1"/>
      <c r="L439" s="1"/>
    </row>
    <row r="440">
      <c r="A440" s="110">
        <v>46207.03556495371</v>
      </c>
      <c r="B440" s="74" t="s">
        <v>191</v>
      </c>
      <c r="C440" s="74" t="s">
        <v>162</v>
      </c>
      <c r="D440" s="74" t="s">
        <v>130</v>
      </c>
      <c r="E440" s="74" t="s">
        <v>192</v>
      </c>
      <c r="F440" s="111" t="b">
        <v>1</v>
      </c>
      <c r="G440" s="111" t="b">
        <v>1</v>
      </c>
      <c r="H440" s="111" t="b">
        <v>1</v>
      </c>
      <c r="I440" s="74" t="s">
        <v>202</v>
      </c>
      <c r="J440" s="1"/>
      <c r="K440" s="1"/>
      <c r="L440" s="1"/>
    </row>
    <row r="441">
      <c r="A441" s="110">
        <v>46207.04217126158</v>
      </c>
      <c r="B441" s="74" t="s">
        <v>205</v>
      </c>
      <c r="C441" s="74" t="s">
        <v>206</v>
      </c>
      <c r="D441" s="112" t="s">
        <v>139</v>
      </c>
      <c r="E441" s="1"/>
      <c r="F441" s="111" t="b">
        <v>1</v>
      </c>
      <c r="G441" s="111" t="b">
        <v>1</v>
      </c>
      <c r="H441" s="111" t="b">
        <v>1</v>
      </c>
      <c r="I441" s="74" t="s">
        <v>147</v>
      </c>
      <c r="J441" s="1"/>
      <c r="K441" s="1"/>
      <c r="L441" s="1"/>
    </row>
    <row r="442">
      <c r="A442" s="110">
        <v>46207.04335516204</v>
      </c>
      <c r="B442" s="74" t="s">
        <v>191</v>
      </c>
      <c r="C442" s="74" t="s">
        <v>196</v>
      </c>
      <c r="D442" s="112" t="s">
        <v>139</v>
      </c>
      <c r="E442" s="74" t="s">
        <v>192</v>
      </c>
      <c r="F442" s="111" t="b">
        <v>1</v>
      </c>
      <c r="G442" s="111" t="b">
        <v>1</v>
      </c>
      <c r="H442" s="111" t="b">
        <v>1</v>
      </c>
      <c r="I442" s="74" t="s">
        <v>85</v>
      </c>
      <c r="J442" s="1"/>
      <c r="K442" s="1"/>
      <c r="L442" s="1"/>
    </row>
    <row r="443">
      <c r="A443" s="110">
        <v>46207.06821442129</v>
      </c>
      <c r="B443" s="74" t="s">
        <v>145</v>
      </c>
      <c r="C443" s="74" t="s">
        <v>131</v>
      </c>
      <c r="D443" s="74" t="s">
        <v>130</v>
      </c>
      <c r="E443" s="74" t="s">
        <v>331</v>
      </c>
      <c r="F443" s="111" t="b">
        <v>1</v>
      </c>
      <c r="G443" s="111" t="b">
        <v>1</v>
      </c>
      <c r="H443" s="111" t="b">
        <v>1</v>
      </c>
      <c r="I443" s="74" t="s">
        <v>147</v>
      </c>
      <c r="J443" s="1"/>
      <c r="K443" s="1"/>
      <c r="L443" s="1"/>
    </row>
    <row r="444">
      <c r="A444" s="110">
        <v>46207.09110413195</v>
      </c>
      <c r="B444" s="74" t="s">
        <v>196</v>
      </c>
      <c r="C444" s="74" t="s">
        <v>156</v>
      </c>
      <c r="D444" s="112" t="s">
        <v>139</v>
      </c>
      <c r="E444" s="1"/>
      <c r="F444" s="111" t="b">
        <v>1</v>
      </c>
      <c r="G444" s="111" t="b">
        <v>1</v>
      </c>
      <c r="H444" s="111" t="b">
        <v>1</v>
      </c>
      <c r="I444" s="74" t="s">
        <v>202</v>
      </c>
      <c r="J444" s="1"/>
      <c r="K444" s="1"/>
      <c r="L444" s="1"/>
    </row>
    <row r="445">
      <c r="A445" s="110">
        <v>46207.10362019676</v>
      </c>
      <c r="B445" s="74" t="s">
        <v>196</v>
      </c>
      <c r="C445" s="74" t="s">
        <v>285</v>
      </c>
      <c r="D445" s="74" t="s">
        <v>130</v>
      </c>
      <c r="E445" s="1"/>
      <c r="F445" s="111" t="b">
        <v>1</v>
      </c>
      <c r="G445" s="111" t="b">
        <v>1</v>
      </c>
      <c r="H445" s="111" t="b">
        <v>1</v>
      </c>
      <c r="I445" s="74" t="s">
        <v>85</v>
      </c>
      <c r="J445" s="1"/>
      <c r="K445" s="1"/>
      <c r="L445" s="1"/>
    </row>
    <row r="446">
      <c r="A446" s="110">
        <v>46207.30036523148</v>
      </c>
      <c r="B446" s="74" t="s">
        <v>154</v>
      </c>
      <c r="C446" s="74" t="s">
        <v>172</v>
      </c>
      <c r="D446" s="74" t="s">
        <v>130</v>
      </c>
      <c r="E446" s="1"/>
      <c r="F446" s="111" t="b">
        <v>1</v>
      </c>
      <c r="G446" s="111" t="b">
        <v>1</v>
      </c>
      <c r="H446" s="111" t="b">
        <v>1</v>
      </c>
      <c r="I446" s="74" t="s">
        <v>106</v>
      </c>
      <c r="J446" s="1"/>
      <c r="K446" s="1"/>
      <c r="L446" s="1"/>
    </row>
    <row r="447">
      <c r="A447" s="110">
        <v>46207.353538877316</v>
      </c>
      <c r="B447" s="74" t="s">
        <v>137</v>
      </c>
      <c r="C447" s="74" t="s">
        <v>180</v>
      </c>
      <c r="D447" s="74" t="s">
        <v>130</v>
      </c>
      <c r="E447" s="1"/>
      <c r="F447" s="111" t="b">
        <v>1</v>
      </c>
      <c r="G447" s="111" t="b">
        <v>1</v>
      </c>
      <c r="H447" s="111" t="b">
        <v>1</v>
      </c>
      <c r="I447" s="74" t="s">
        <v>106</v>
      </c>
      <c r="J447" s="1"/>
      <c r="K447" s="1"/>
      <c r="L447" s="1"/>
    </row>
    <row r="448">
      <c r="A448" s="110">
        <v>46207.36960366898</v>
      </c>
      <c r="B448" s="74" t="s">
        <v>154</v>
      </c>
      <c r="C448" s="74" t="s">
        <v>145</v>
      </c>
      <c r="D448" s="112" t="s">
        <v>139</v>
      </c>
      <c r="E448" s="1"/>
      <c r="F448" s="111" t="b">
        <v>1</v>
      </c>
      <c r="G448" s="111" t="b">
        <v>1</v>
      </c>
      <c r="H448" s="111" t="b">
        <v>1</v>
      </c>
      <c r="I448" s="74" t="s">
        <v>93</v>
      </c>
      <c r="J448" s="1"/>
      <c r="K448" s="1"/>
      <c r="L448" s="1"/>
    </row>
    <row r="449">
      <c r="A449" s="110">
        <v>46207.388435960645</v>
      </c>
      <c r="B449" s="74" t="s">
        <v>210</v>
      </c>
      <c r="C449" s="74" t="s">
        <v>154</v>
      </c>
      <c r="D449" s="74" t="s">
        <v>130</v>
      </c>
      <c r="E449" s="1"/>
      <c r="F449" s="111" t="b">
        <v>1</v>
      </c>
      <c r="G449" s="111" t="b">
        <v>1</v>
      </c>
      <c r="H449" s="111" t="b">
        <v>1</v>
      </c>
      <c r="I449" s="74" t="s">
        <v>79</v>
      </c>
      <c r="J449" s="1"/>
      <c r="K449" s="1"/>
      <c r="L449" s="1"/>
    </row>
    <row r="450">
      <c r="A450" s="110">
        <v>46207.39489755787</v>
      </c>
      <c r="B450" s="74" t="s">
        <v>140</v>
      </c>
      <c r="C450" s="74" t="s">
        <v>145</v>
      </c>
      <c r="D450" s="112" t="s">
        <v>139</v>
      </c>
      <c r="E450" s="1"/>
      <c r="F450" s="111" t="b">
        <v>1</v>
      </c>
      <c r="G450" s="111" t="b">
        <v>1</v>
      </c>
      <c r="H450" s="111" t="b">
        <v>1</v>
      </c>
      <c r="I450" s="74" t="s">
        <v>95</v>
      </c>
      <c r="J450" s="1"/>
      <c r="K450" s="1"/>
      <c r="L450" s="1"/>
    </row>
    <row r="451">
      <c r="A451" s="110">
        <v>46207.408342152776</v>
      </c>
      <c r="B451" s="74" t="s">
        <v>185</v>
      </c>
      <c r="C451" s="74" t="s">
        <v>174</v>
      </c>
      <c r="D451" s="74" t="s">
        <v>130</v>
      </c>
      <c r="E451" s="74" t="s">
        <v>192</v>
      </c>
      <c r="F451" s="111" t="b">
        <v>1</v>
      </c>
      <c r="G451" s="111" t="b">
        <v>1</v>
      </c>
      <c r="H451" s="111" t="b">
        <v>1</v>
      </c>
      <c r="I451" s="74" t="s">
        <v>120</v>
      </c>
      <c r="J451" s="1"/>
      <c r="K451" s="1"/>
      <c r="L451" s="1"/>
    </row>
    <row r="452">
      <c r="A452" s="110">
        <v>46207.41003351852</v>
      </c>
      <c r="B452" s="74" t="s">
        <v>293</v>
      </c>
      <c r="C452" s="74" t="s">
        <v>242</v>
      </c>
      <c r="D452" s="112" t="s">
        <v>139</v>
      </c>
      <c r="E452" s="74" t="s">
        <v>157</v>
      </c>
      <c r="F452" s="111" t="b">
        <v>1</v>
      </c>
      <c r="G452" s="111" t="b">
        <v>1</v>
      </c>
      <c r="H452" s="111" t="b">
        <v>1</v>
      </c>
      <c r="I452" s="74" t="s">
        <v>202</v>
      </c>
      <c r="J452" s="1"/>
      <c r="K452" s="1"/>
      <c r="L452" s="1"/>
    </row>
    <row r="453">
      <c r="A453" s="110">
        <v>46207.420477858795</v>
      </c>
      <c r="B453" s="74" t="s">
        <v>154</v>
      </c>
      <c r="C453" s="74" t="s">
        <v>159</v>
      </c>
      <c r="D453" s="112" t="s">
        <v>139</v>
      </c>
      <c r="E453" s="1"/>
      <c r="F453" s="111" t="b">
        <v>1</v>
      </c>
      <c r="G453" s="111" t="b">
        <v>1</v>
      </c>
      <c r="H453" s="111" t="b">
        <v>1</v>
      </c>
      <c r="I453" s="74" t="s">
        <v>120</v>
      </c>
      <c r="J453" s="1"/>
      <c r="K453" s="1"/>
      <c r="L453" s="1"/>
    </row>
    <row r="454">
      <c r="A454" s="110">
        <v>46207.4343090162</v>
      </c>
      <c r="B454" s="74" t="s">
        <v>185</v>
      </c>
      <c r="C454" s="74" t="s">
        <v>145</v>
      </c>
      <c r="D454" s="112" t="s">
        <v>139</v>
      </c>
      <c r="E454" s="74" t="s">
        <v>332</v>
      </c>
      <c r="F454" s="111" t="b">
        <v>1</v>
      </c>
      <c r="G454" s="111" t="b">
        <v>1</v>
      </c>
      <c r="H454" s="111" t="b">
        <v>1</v>
      </c>
      <c r="I454" s="74" t="s">
        <v>87</v>
      </c>
      <c r="J454" s="1"/>
      <c r="K454" s="1"/>
      <c r="L454" s="1"/>
    </row>
    <row r="455">
      <c r="A455" s="110">
        <v>46207.43733003472</v>
      </c>
      <c r="B455" s="74" t="s">
        <v>242</v>
      </c>
      <c r="C455" s="74" t="s">
        <v>205</v>
      </c>
      <c r="D455" s="74" t="s">
        <v>130</v>
      </c>
      <c r="E455" s="1"/>
      <c r="F455" s="111" t="b">
        <v>1</v>
      </c>
      <c r="G455" s="111" t="b">
        <v>1</v>
      </c>
      <c r="H455" s="111" t="b">
        <v>1</v>
      </c>
      <c r="I455" s="74" t="s">
        <v>102</v>
      </c>
      <c r="J455" s="1"/>
      <c r="K455" s="1"/>
      <c r="L455" s="1"/>
    </row>
    <row r="456">
      <c r="A456" s="110">
        <v>46207.45193484954</v>
      </c>
      <c r="B456" s="74" t="s">
        <v>159</v>
      </c>
      <c r="C456" s="74" t="s">
        <v>242</v>
      </c>
      <c r="D456" s="74" t="s">
        <v>130</v>
      </c>
      <c r="E456" s="1"/>
      <c r="F456" s="111" t="b">
        <v>1</v>
      </c>
      <c r="G456" s="111" t="b">
        <v>1</v>
      </c>
      <c r="H456" s="111" t="b">
        <v>1</v>
      </c>
      <c r="I456" s="74" t="s">
        <v>147</v>
      </c>
      <c r="J456" s="1"/>
      <c r="K456" s="1"/>
      <c r="L456" s="1"/>
    </row>
    <row r="457">
      <c r="A457" s="110">
        <v>46207.46423961806</v>
      </c>
      <c r="B457" s="74" t="s">
        <v>205</v>
      </c>
      <c r="C457" s="74" t="s">
        <v>293</v>
      </c>
      <c r="D457" s="112" t="s">
        <v>139</v>
      </c>
      <c r="E457" s="1"/>
      <c r="F457" s="111" t="b">
        <v>1</v>
      </c>
      <c r="G457" s="111" t="b">
        <v>1</v>
      </c>
      <c r="H457" s="111" t="b">
        <v>1</v>
      </c>
      <c r="I457" s="74" t="s">
        <v>118</v>
      </c>
      <c r="J457" s="1"/>
      <c r="K457" s="1"/>
      <c r="L457" s="1"/>
    </row>
    <row r="458">
      <c r="A458" s="110">
        <v>46207.48831859954</v>
      </c>
      <c r="B458" s="74" t="s">
        <v>206</v>
      </c>
      <c r="C458" s="74" t="s">
        <v>171</v>
      </c>
      <c r="D458" s="112" t="s">
        <v>139</v>
      </c>
      <c r="E458" s="1"/>
      <c r="F458" s="111" t="b">
        <v>1</v>
      </c>
      <c r="G458" s="111" t="b">
        <v>1</v>
      </c>
      <c r="H458" s="111" t="b">
        <v>1</v>
      </c>
      <c r="I458" s="74" t="s">
        <v>118</v>
      </c>
      <c r="J458" s="1"/>
      <c r="K458" s="1"/>
      <c r="L458" s="1"/>
    </row>
    <row r="459">
      <c r="A459" s="110">
        <v>46207.492756168984</v>
      </c>
      <c r="B459" s="74" t="s">
        <v>242</v>
      </c>
      <c r="C459" s="74" t="s">
        <v>245</v>
      </c>
      <c r="D459" s="74" t="s">
        <v>130</v>
      </c>
      <c r="E459" s="1"/>
      <c r="F459" s="111" t="b">
        <v>1</v>
      </c>
      <c r="G459" s="111" t="b">
        <v>1</v>
      </c>
      <c r="H459" s="111" t="b">
        <v>1</v>
      </c>
      <c r="I459" s="74" t="s">
        <v>90</v>
      </c>
      <c r="J459" s="1"/>
      <c r="K459" s="1"/>
      <c r="L459" s="1"/>
    </row>
    <row r="460">
      <c r="A460" s="110">
        <v>46207.50099076389</v>
      </c>
      <c r="B460" s="74" t="s">
        <v>160</v>
      </c>
      <c r="C460" s="74" t="s">
        <v>205</v>
      </c>
      <c r="D460" s="112" t="s">
        <v>139</v>
      </c>
      <c r="E460" s="1"/>
      <c r="F460" s="111" t="b">
        <v>1</v>
      </c>
      <c r="G460" s="111" t="b">
        <v>1</v>
      </c>
      <c r="H460" s="111" t="b">
        <v>1</v>
      </c>
      <c r="I460" s="74" t="s">
        <v>83</v>
      </c>
      <c r="J460" s="1"/>
      <c r="K460" s="1"/>
      <c r="L460" s="1"/>
    </row>
    <row r="461">
      <c r="A461" s="110">
        <v>46207.504398414356</v>
      </c>
      <c r="B461" s="74" t="s">
        <v>206</v>
      </c>
      <c r="C461" s="74" t="s">
        <v>197</v>
      </c>
      <c r="D461" s="74" t="s">
        <v>130</v>
      </c>
      <c r="E461" s="1"/>
      <c r="F461" s="111" t="b">
        <v>1</v>
      </c>
      <c r="G461" s="111" t="b">
        <v>1</v>
      </c>
      <c r="H461" s="111" t="b">
        <v>1</v>
      </c>
      <c r="I461" s="74" t="s">
        <v>81</v>
      </c>
      <c r="J461" s="1"/>
      <c r="K461" s="1"/>
      <c r="L461" s="1"/>
    </row>
    <row r="462">
      <c r="A462" s="110">
        <v>46207.51581648148</v>
      </c>
      <c r="B462" s="74" t="s">
        <v>164</v>
      </c>
      <c r="C462" s="74" t="s">
        <v>154</v>
      </c>
      <c r="D462" s="74" t="s">
        <v>130</v>
      </c>
      <c r="E462" s="74" t="s">
        <v>249</v>
      </c>
      <c r="F462" s="111" t="b">
        <v>1</v>
      </c>
      <c r="G462" s="111" t="b">
        <v>1</v>
      </c>
      <c r="H462" s="111" t="b">
        <v>1</v>
      </c>
      <c r="I462" s="74" t="s">
        <v>85</v>
      </c>
      <c r="J462" s="1"/>
      <c r="K462" s="1"/>
      <c r="L462" s="1"/>
    </row>
    <row r="463">
      <c r="A463" s="110">
        <v>46207.52572609954</v>
      </c>
      <c r="B463" s="74" t="s">
        <v>206</v>
      </c>
      <c r="C463" s="74" t="s">
        <v>242</v>
      </c>
      <c r="D463" s="74" t="s">
        <v>130</v>
      </c>
      <c r="E463" s="1"/>
      <c r="F463" s="111" t="b">
        <v>1</v>
      </c>
      <c r="G463" s="111" t="b">
        <v>1</v>
      </c>
      <c r="H463" s="111" t="b">
        <v>1</v>
      </c>
      <c r="I463" s="74" t="s">
        <v>98</v>
      </c>
      <c r="J463" s="1"/>
      <c r="K463" s="1"/>
      <c r="L463" s="1"/>
    </row>
    <row r="464">
      <c r="A464" s="110">
        <v>46207.53221578704</v>
      </c>
      <c r="B464" s="74" t="s">
        <v>140</v>
      </c>
      <c r="C464" s="74" t="s">
        <v>164</v>
      </c>
      <c r="D464" s="74" t="s">
        <v>130</v>
      </c>
      <c r="E464" s="1"/>
      <c r="F464" s="111" t="b">
        <v>1</v>
      </c>
      <c r="G464" s="111" t="b">
        <v>1</v>
      </c>
      <c r="H464" s="111" t="b">
        <v>1</v>
      </c>
      <c r="I464" s="74" t="s">
        <v>83</v>
      </c>
      <c r="J464" s="1"/>
      <c r="K464" s="1"/>
      <c r="L464" s="1"/>
    </row>
    <row r="465">
      <c r="A465" s="110">
        <v>46207.558690254635</v>
      </c>
      <c r="B465" s="74" t="s">
        <v>206</v>
      </c>
      <c r="C465" s="74" t="s">
        <v>128</v>
      </c>
      <c r="D465" s="74" t="s">
        <v>130</v>
      </c>
      <c r="E465" s="1"/>
      <c r="F465" s="111" t="b">
        <v>1</v>
      </c>
      <c r="G465" s="111" t="b">
        <v>1</v>
      </c>
      <c r="H465" s="111" t="b">
        <v>1</v>
      </c>
      <c r="I465" s="74" t="s">
        <v>202</v>
      </c>
      <c r="J465" s="1"/>
      <c r="K465" s="1"/>
      <c r="L465" s="1"/>
    </row>
    <row r="466">
      <c r="A466" s="110">
        <v>46207.57374216436</v>
      </c>
      <c r="B466" s="74" t="s">
        <v>138</v>
      </c>
      <c r="C466" s="74" t="s">
        <v>181</v>
      </c>
      <c r="D466" s="112" t="s">
        <v>139</v>
      </c>
      <c r="E466" s="1"/>
      <c r="F466" s="111" t="b">
        <v>1</v>
      </c>
      <c r="G466" s="111" t="b">
        <v>1</v>
      </c>
      <c r="H466" s="111" t="b">
        <v>1</v>
      </c>
      <c r="I466" s="74" t="s">
        <v>83</v>
      </c>
      <c r="J466" s="1"/>
      <c r="K466" s="1"/>
      <c r="L466" s="1"/>
    </row>
    <row r="467">
      <c r="A467" s="110">
        <v>46207.62595582176</v>
      </c>
      <c r="B467" s="74" t="s">
        <v>156</v>
      </c>
      <c r="C467" s="74" t="s">
        <v>217</v>
      </c>
      <c r="D467" s="112" t="s">
        <v>139</v>
      </c>
      <c r="E467" s="1"/>
      <c r="F467" s="111" t="b">
        <v>1</v>
      </c>
      <c r="G467" s="111" t="b">
        <v>1</v>
      </c>
      <c r="H467" s="111" t="b">
        <v>1</v>
      </c>
      <c r="I467" s="74" t="s">
        <v>87</v>
      </c>
      <c r="J467" s="1"/>
      <c r="K467" s="1"/>
      <c r="L467" s="1"/>
    </row>
    <row r="468">
      <c r="A468" s="110">
        <v>46207.660540185185</v>
      </c>
      <c r="B468" s="74" t="s">
        <v>172</v>
      </c>
      <c r="C468" s="74" t="s">
        <v>140</v>
      </c>
      <c r="D468" s="112" t="s">
        <v>139</v>
      </c>
      <c r="E468" s="74" t="s">
        <v>330</v>
      </c>
      <c r="F468" s="111" t="b">
        <v>1</v>
      </c>
      <c r="G468" s="111" t="b">
        <v>1</v>
      </c>
      <c r="H468" s="111" t="b">
        <v>1</v>
      </c>
      <c r="I468" s="74" t="s">
        <v>118</v>
      </c>
      <c r="J468" s="1"/>
      <c r="K468" s="1"/>
      <c r="L468" s="1"/>
    </row>
    <row r="469">
      <c r="A469" s="110">
        <v>46207.67269306713</v>
      </c>
      <c r="B469" s="74" t="s">
        <v>128</v>
      </c>
      <c r="C469" s="74" t="s">
        <v>163</v>
      </c>
      <c r="D469" s="74" t="s">
        <v>130</v>
      </c>
      <c r="E469" s="1"/>
      <c r="F469" s="111" t="b">
        <v>1</v>
      </c>
      <c r="G469" s="111" t="b">
        <v>1</v>
      </c>
      <c r="H469" s="111" t="b">
        <v>1</v>
      </c>
      <c r="I469" s="74" t="s">
        <v>85</v>
      </c>
      <c r="J469" s="1"/>
      <c r="K469" s="1"/>
      <c r="L469" s="1"/>
    </row>
    <row r="470">
      <c r="A470" s="110">
        <v>46207.691309560185</v>
      </c>
      <c r="B470" s="74" t="s">
        <v>163</v>
      </c>
      <c r="C470" s="74" t="s">
        <v>159</v>
      </c>
      <c r="D470" s="74" t="s">
        <v>130</v>
      </c>
      <c r="E470" s="1"/>
      <c r="F470" s="111" t="b">
        <v>1</v>
      </c>
      <c r="G470" s="111" t="b">
        <v>1</v>
      </c>
      <c r="H470" s="111" t="b">
        <v>1</v>
      </c>
      <c r="I470" s="74" t="s">
        <v>102</v>
      </c>
      <c r="J470" s="1"/>
      <c r="K470" s="1"/>
      <c r="L470" s="1"/>
    </row>
    <row r="471">
      <c r="A471" s="110">
        <v>46207.70334623843</v>
      </c>
      <c r="B471" s="74" t="s">
        <v>151</v>
      </c>
      <c r="C471" s="74" t="s">
        <v>231</v>
      </c>
      <c r="D471" s="112" t="s">
        <v>139</v>
      </c>
      <c r="E471" s="1"/>
      <c r="F471" s="111" t="b">
        <v>1</v>
      </c>
      <c r="G471" s="111" t="b">
        <v>1</v>
      </c>
      <c r="H471" s="111" t="b">
        <v>1</v>
      </c>
      <c r="I471" s="74" t="s">
        <v>83</v>
      </c>
      <c r="J471" s="1"/>
      <c r="K471" s="1"/>
      <c r="L471" s="1"/>
    </row>
    <row r="472">
      <c r="A472" s="110">
        <v>46207.70519152778</v>
      </c>
      <c r="B472" s="74" t="s">
        <v>163</v>
      </c>
      <c r="C472" s="74" t="s">
        <v>223</v>
      </c>
      <c r="D472" s="74" t="s">
        <v>130</v>
      </c>
      <c r="E472" s="1"/>
      <c r="F472" s="111" t="b">
        <v>1</v>
      </c>
      <c r="G472" s="111" t="b">
        <v>1</v>
      </c>
      <c r="H472" s="111" t="b">
        <v>1</v>
      </c>
      <c r="I472" s="74" t="s">
        <v>97</v>
      </c>
      <c r="J472" s="1"/>
      <c r="K472" s="1"/>
      <c r="L472" s="1"/>
    </row>
    <row r="473">
      <c r="A473" s="110">
        <v>46207.718669814814</v>
      </c>
      <c r="B473" s="74" t="s">
        <v>228</v>
      </c>
      <c r="C473" s="74" t="s">
        <v>225</v>
      </c>
      <c r="D473" s="112" t="s">
        <v>139</v>
      </c>
      <c r="E473" s="1"/>
      <c r="F473" s="111" t="b">
        <v>1</v>
      </c>
      <c r="G473" s="111" t="b">
        <v>1</v>
      </c>
      <c r="H473" s="111" t="b">
        <v>1</v>
      </c>
      <c r="I473" s="74" t="s">
        <v>118</v>
      </c>
      <c r="J473" s="1"/>
      <c r="K473" s="1"/>
      <c r="L473" s="1"/>
    </row>
    <row r="474">
      <c r="A474" s="110">
        <v>46207.72931672454</v>
      </c>
      <c r="B474" s="74" t="s">
        <v>163</v>
      </c>
      <c r="C474" s="74" t="s">
        <v>228</v>
      </c>
      <c r="D474" s="74" t="s">
        <v>130</v>
      </c>
      <c r="E474" s="1"/>
      <c r="F474" s="111" t="b">
        <v>1</v>
      </c>
      <c r="G474" s="111" t="b">
        <v>1</v>
      </c>
      <c r="H474" s="111" t="b">
        <v>1</v>
      </c>
      <c r="I474" s="74" t="s">
        <v>202</v>
      </c>
      <c r="J474" s="1"/>
      <c r="K474" s="1"/>
      <c r="L474" s="1"/>
    </row>
    <row r="475">
      <c r="A475" s="110">
        <v>46207.73149199074</v>
      </c>
      <c r="B475" s="74" t="s">
        <v>231</v>
      </c>
      <c r="C475" s="74" t="s">
        <v>115</v>
      </c>
      <c r="D475" s="74" t="s">
        <v>130</v>
      </c>
      <c r="E475" s="1"/>
      <c r="F475" s="111" t="b">
        <v>1</v>
      </c>
      <c r="G475" s="111" t="b">
        <v>1</v>
      </c>
      <c r="H475" s="111" t="b">
        <v>1</v>
      </c>
      <c r="I475" s="74" t="s">
        <v>120</v>
      </c>
      <c r="J475" s="1"/>
      <c r="K475" s="1"/>
      <c r="L475" s="1"/>
    </row>
    <row r="476">
      <c r="A476" s="110">
        <v>46207.74221996528</v>
      </c>
      <c r="B476" s="74" t="s">
        <v>225</v>
      </c>
      <c r="C476" s="74" t="s">
        <v>231</v>
      </c>
      <c r="D476" s="74" t="s">
        <v>130</v>
      </c>
      <c r="E476" s="1"/>
      <c r="F476" s="111" t="b">
        <v>1</v>
      </c>
      <c r="G476" s="111" t="b">
        <v>1</v>
      </c>
      <c r="H476" s="111" t="b">
        <v>1</v>
      </c>
      <c r="I476" s="74" t="s">
        <v>202</v>
      </c>
      <c r="J476" s="1"/>
      <c r="K476" s="1"/>
      <c r="L476" s="1"/>
    </row>
    <row r="477">
      <c r="A477" s="110">
        <v>46207.76190982639</v>
      </c>
      <c r="B477" s="74" t="s">
        <v>231</v>
      </c>
      <c r="C477" s="74" t="s">
        <v>105</v>
      </c>
      <c r="D477" s="112" t="s">
        <v>139</v>
      </c>
      <c r="E477" s="1"/>
      <c r="F477" s="111" t="b">
        <v>1</v>
      </c>
      <c r="G477" s="111" t="b">
        <v>1</v>
      </c>
      <c r="H477" s="111" t="b">
        <v>1</v>
      </c>
      <c r="I477" s="74" t="s">
        <v>97</v>
      </c>
      <c r="J477" s="1"/>
      <c r="K477" s="1"/>
      <c r="L477" s="1"/>
    </row>
    <row r="478">
      <c r="A478" s="110">
        <v>46207.79540166666</v>
      </c>
      <c r="B478" s="74" t="s">
        <v>225</v>
      </c>
      <c r="C478" s="74" t="s">
        <v>283</v>
      </c>
      <c r="D478" s="74" t="s">
        <v>130</v>
      </c>
      <c r="E478" s="1"/>
      <c r="F478" s="111" t="b">
        <v>1</v>
      </c>
      <c r="G478" s="111" t="b">
        <v>1</v>
      </c>
      <c r="H478" s="111" t="b">
        <v>1</v>
      </c>
      <c r="I478" s="74" t="s">
        <v>93</v>
      </c>
      <c r="J478" s="1"/>
      <c r="K478" s="1"/>
      <c r="L478" s="1"/>
    </row>
    <row r="479">
      <c r="A479" s="110">
        <v>46207.81189964121</v>
      </c>
      <c r="B479" s="74" t="s">
        <v>225</v>
      </c>
      <c r="C479" s="74" t="s">
        <v>258</v>
      </c>
      <c r="D479" s="112" t="s">
        <v>139</v>
      </c>
      <c r="E479" s="1"/>
      <c r="F479" s="111" t="b">
        <v>1</v>
      </c>
      <c r="G479" s="111" t="b">
        <v>1</v>
      </c>
      <c r="H479" s="111" t="b">
        <v>1</v>
      </c>
      <c r="I479" s="74" t="s">
        <v>97</v>
      </c>
      <c r="J479" s="1"/>
      <c r="K479" s="1"/>
      <c r="L479" s="1"/>
    </row>
    <row r="480">
      <c r="A480" s="110">
        <v>46207.83822722222</v>
      </c>
      <c r="B480" s="74" t="s">
        <v>156</v>
      </c>
      <c r="C480" s="74" t="s">
        <v>159</v>
      </c>
      <c r="D480" s="74" t="s">
        <v>130</v>
      </c>
      <c r="E480" s="1"/>
      <c r="F480" s="111" t="b">
        <v>1</v>
      </c>
      <c r="G480" s="111" t="b">
        <v>1</v>
      </c>
      <c r="H480" s="111" t="b">
        <v>1</v>
      </c>
      <c r="I480" s="74" t="s">
        <v>95</v>
      </c>
      <c r="J480" s="1"/>
      <c r="K480" s="1"/>
      <c r="L480" s="1"/>
    </row>
    <row r="481">
      <c r="A481" s="110">
        <v>46207.89809686343</v>
      </c>
      <c r="B481" s="74" t="s">
        <v>163</v>
      </c>
      <c r="C481" s="74" t="s">
        <v>166</v>
      </c>
      <c r="D481" s="74" t="s">
        <v>130</v>
      </c>
      <c r="E481" s="1"/>
      <c r="F481" s="111" t="b">
        <v>1</v>
      </c>
      <c r="G481" s="111" t="b">
        <v>1</v>
      </c>
      <c r="H481" s="111" t="b">
        <v>1</v>
      </c>
      <c r="I481" s="74" t="s">
        <v>93</v>
      </c>
      <c r="J481" s="1"/>
      <c r="K481" s="1"/>
      <c r="L481" s="1"/>
    </row>
    <row r="482">
      <c r="A482" s="110">
        <v>46207.90766003472</v>
      </c>
      <c r="B482" s="74" t="s">
        <v>223</v>
      </c>
      <c r="C482" s="74" t="s">
        <v>275</v>
      </c>
      <c r="D482" s="74" t="s">
        <v>130</v>
      </c>
      <c r="E482" s="1"/>
      <c r="F482" s="111" t="b">
        <v>1</v>
      </c>
      <c r="G482" s="111" t="b">
        <v>1</v>
      </c>
      <c r="H482" s="111" t="b">
        <v>1</v>
      </c>
      <c r="I482" s="74" t="s">
        <v>97</v>
      </c>
      <c r="J482" s="1"/>
      <c r="K482" s="1"/>
      <c r="L482" s="1"/>
    </row>
    <row r="483">
      <c r="A483" s="110">
        <v>46207.92431585648</v>
      </c>
      <c r="B483" s="74" t="s">
        <v>135</v>
      </c>
      <c r="C483" s="74" t="s">
        <v>238</v>
      </c>
      <c r="D483" s="112" t="s">
        <v>139</v>
      </c>
      <c r="E483" s="1"/>
      <c r="F483" s="111" t="b">
        <v>1</v>
      </c>
      <c r="G483" s="111" t="b">
        <v>1</v>
      </c>
      <c r="H483" s="111" t="b">
        <v>1</v>
      </c>
      <c r="I483" s="74" t="s">
        <v>102</v>
      </c>
      <c r="J483" s="1"/>
      <c r="K483" s="1"/>
      <c r="L483" s="1"/>
    </row>
    <row r="484">
      <c r="A484" s="110">
        <v>46207.93850703703</v>
      </c>
      <c r="B484" s="74" t="s">
        <v>260</v>
      </c>
      <c r="C484" s="74" t="s">
        <v>166</v>
      </c>
      <c r="D484" s="74" t="s">
        <v>130</v>
      </c>
      <c r="E484" s="74" t="s">
        <v>236</v>
      </c>
      <c r="F484" s="111" t="b">
        <v>1</v>
      </c>
      <c r="G484" s="111" t="b">
        <v>1</v>
      </c>
      <c r="H484" s="111" t="b">
        <v>1</v>
      </c>
      <c r="I484" s="74" t="s">
        <v>87</v>
      </c>
      <c r="J484" s="1"/>
      <c r="K484" s="1"/>
      <c r="L484" s="1"/>
    </row>
    <row r="485">
      <c r="A485" s="110">
        <v>46207.950615625</v>
      </c>
      <c r="B485" s="74" t="s">
        <v>238</v>
      </c>
      <c r="C485" s="74" t="s">
        <v>132</v>
      </c>
      <c r="D485" s="112" t="s">
        <v>139</v>
      </c>
      <c r="E485" s="1"/>
      <c r="F485" s="111" t="b">
        <v>1</v>
      </c>
      <c r="G485" s="111" t="b">
        <v>1</v>
      </c>
      <c r="H485" s="111" t="b">
        <v>1</v>
      </c>
      <c r="I485" s="74" t="s">
        <v>90</v>
      </c>
      <c r="J485" s="1"/>
      <c r="K485" s="1"/>
      <c r="L485" s="1"/>
    </row>
    <row r="486">
      <c r="A486" s="110">
        <v>46207.964288993055</v>
      </c>
      <c r="B486" s="74" t="s">
        <v>283</v>
      </c>
      <c r="C486" s="74" t="s">
        <v>162</v>
      </c>
      <c r="D486" s="112" t="s">
        <v>139</v>
      </c>
      <c r="E486" s="74" t="s">
        <v>333</v>
      </c>
      <c r="F486" s="111" t="b">
        <v>1</v>
      </c>
      <c r="G486" s="111" t="b">
        <v>1</v>
      </c>
      <c r="H486" s="111" t="b">
        <v>1</v>
      </c>
      <c r="I486" s="74" t="s">
        <v>85</v>
      </c>
      <c r="J486" s="1"/>
      <c r="K486" s="1"/>
      <c r="L486" s="1"/>
    </row>
    <row r="487">
      <c r="A487" s="110">
        <v>46207.96878876157</v>
      </c>
      <c r="B487" s="74" t="s">
        <v>135</v>
      </c>
      <c r="C487" s="74" t="s">
        <v>275</v>
      </c>
      <c r="D487" s="112" t="s">
        <v>139</v>
      </c>
      <c r="E487" s="1"/>
      <c r="F487" s="111" t="b">
        <v>1</v>
      </c>
      <c r="G487" s="111" t="b">
        <v>1</v>
      </c>
      <c r="H487" s="111" t="b">
        <v>1</v>
      </c>
      <c r="I487" s="74" t="s">
        <v>98</v>
      </c>
      <c r="J487" s="1"/>
      <c r="K487" s="1"/>
      <c r="L487" s="1"/>
    </row>
    <row r="488">
      <c r="A488" s="110">
        <v>46208.01737048611</v>
      </c>
      <c r="B488" s="74" t="s">
        <v>275</v>
      </c>
      <c r="C488" s="74" t="s">
        <v>162</v>
      </c>
      <c r="D488" s="74" t="s">
        <v>130</v>
      </c>
      <c r="E488" s="1"/>
      <c r="F488" s="111" t="b">
        <v>1</v>
      </c>
      <c r="G488" s="111" t="b">
        <v>1</v>
      </c>
      <c r="H488" s="111" t="b">
        <v>1</v>
      </c>
      <c r="I488" s="74" t="s">
        <v>84</v>
      </c>
      <c r="J488" s="1"/>
      <c r="K488" s="1"/>
      <c r="L488" s="1"/>
    </row>
    <row r="489">
      <c r="A489" s="110">
        <v>46208.05102063657</v>
      </c>
      <c r="B489" s="74" t="s">
        <v>294</v>
      </c>
      <c r="C489" s="74" t="s">
        <v>285</v>
      </c>
      <c r="D489" s="112" t="s">
        <v>139</v>
      </c>
      <c r="E489" s="1"/>
      <c r="F489" s="111" t="b">
        <v>1</v>
      </c>
      <c r="G489" s="111" t="b">
        <v>1</v>
      </c>
      <c r="H489" s="111" t="b">
        <v>1</v>
      </c>
      <c r="I489" s="74" t="s">
        <v>95</v>
      </c>
      <c r="J489" s="1"/>
      <c r="K489" s="1"/>
      <c r="L489" s="1"/>
    </row>
    <row r="490">
      <c r="A490" s="110">
        <v>46208.0646375463</v>
      </c>
      <c r="B490" s="74" t="s">
        <v>294</v>
      </c>
      <c r="C490" s="74" t="s">
        <v>224</v>
      </c>
      <c r="D490" s="112" t="s">
        <v>139</v>
      </c>
      <c r="E490" s="1"/>
      <c r="F490" s="111" t="b">
        <v>1</v>
      </c>
      <c r="G490" s="111" t="b">
        <v>1</v>
      </c>
      <c r="H490" s="111" t="b">
        <v>1</v>
      </c>
      <c r="I490" s="74" t="s">
        <v>202</v>
      </c>
      <c r="J490" s="1"/>
      <c r="K490" s="1"/>
      <c r="L490" s="1"/>
    </row>
    <row r="491">
      <c r="A491" s="110">
        <v>46208.27422063657</v>
      </c>
      <c r="B491" s="74" t="s">
        <v>253</v>
      </c>
      <c r="C491" s="74" t="s">
        <v>238</v>
      </c>
      <c r="D491" s="74" t="s">
        <v>130</v>
      </c>
      <c r="E491" s="74" t="s">
        <v>334</v>
      </c>
      <c r="F491" s="111" t="b">
        <v>1</v>
      </c>
      <c r="G491" s="111" t="b">
        <v>1</v>
      </c>
      <c r="H491" s="111" t="b">
        <v>1</v>
      </c>
      <c r="I491" s="74" t="s">
        <v>84</v>
      </c>
      <c r="J491" s="1"/>
      <c r="K491" s="1"/>
      <c r="L491" s="1"/>
    </row>
    <row r="492">
      <c r="A492" s="110">
        <v>46208.37383462963</v>
      </c>
      <c r="B492" s="74" t="s">
        <v>152</v>
      </c>
      <c r="C492" s="74" t="s">
        <v>171</v>
      </c>
      <c r="D492" s="74" t="s">
        <v>130</v>
      </c>
      <c r="E492" s="1"/>
      <c r="F492" s="111" t="b">
        <v>1</v>
      </c>
      <c r="G492" s="111" t="b">
        <v>1</v>
      </c>
      <c r="H492" s="111" t="b">
        <v>1</v>
      </c>
      <c r="I492" s="74" t="s">
        <v>118</v>
      </c>
      <c r="J492" s="1"/>
      <c r="K492" s="1"/>
      <c r="L492" s="1"/>
    </row>
    <row r="493">
      <c r="A493" s="110">
        <v>46208.38844321759</v>
      </c>
      <c r="B493" s="74" t="s">
        <v>307</v>
      </c>
      <c r="C493" s="74" t="s">
        <v>293</v>
      </c>
      <c r="D493" s="112" t="s">
        <v>139</v>
      </c>
      <c r="E493" s="1"/>
      <c r="F493" s="111" t="b">
        <v>1</v>
      </c>
      <c r="G493" s="111" t="b">
        <v>1</v>
      </c>
      <c r="H493" s="111" t="b">
        <v>1</v>
      </c>
      <c r="I493" s="74" t="s">
        <v>120</v>
      </c>
      <c r="J493" s="1"/>
      <c r="K493" s="1"/>
      <c r="L493" s="1"/>
    </row>
    <row r="494">
      <c r="A494" s="110">
        <v>46208.39604129629</v>
      </c>
      <c r="B494" s="74" t="s">
        <v>159</v>
      </c>
      <c r="C494" s="74" t="s">
        <v>152</v>
      </c>
      <c r="D494" s="74" t="s">
        <v>130</v>
      </c>
      <c r="E494" s="1"/>
      <c r="F494" s="111" t="b">
        <v>1</v>
      </c>
      <c r="G494" s="111" t="b">
        <v>1</v>
      </c>
      <c r="H494" s="111" t="b">
        <v>1</v>
      </c>
      <c r="I494" s="74" t="s">
        <v>84</v>
      </c>
      <c r="J494" s="1"/>
      <c r="K494" s="1"/>
      <c r="L494" s="1"/>
    </row>
    <row r="495">
      <c r="A495" s="110">
        <v>46208.424456990746</v>
      </c>
      <c r="B495" s="74" t="s">
        <v>164</v>
      </c>
      <c r="C495" s="74" t="s">
        <v>132</v>
      </c>
      <c r="D495" s="112" t="s">
        <v>139</v>
      </c>
      <c r="E495" s="74" t="s">
        <v>249</v>
      </c>
      <c r="F495" s="111" t="b">
        <v>1</v>
      </c>
      <c r="G495" s="111" t="b">
        <v>1</v>
      </c>
      <c r="H495" s="111" t="b">
        <v>1</v>
      </c>
      <c r="I495" s="74" t="s">
        <v>81</v>
      </c>
      <c r="J495" s="1"/>
      <c r="K495" s="1"/>
      <c r="L495" s="1"/>
    </row>
    <row r="496">
      <c r="A496" s="110">
        <v>46208.424835972226</v>
      </c>
      <c r="B496" s="74" t="s">
        <v>171</v>
      </c>
      <c r="C496" s="74" t="s">
        <v>174</v>
      </c>
      <c r="D496" s="74" t="s">
        <v>130</v>
      </c>
      <c r="E496" s="1"/>
      <c r="F496" s="111" t="b">
        <v>1</v>
      </c>
      <c r="G496" s="111" t="b">
        <v>1</v>
      </c>
      <c r="H496" s="111" t="b">
        <v>1</v>
      </c>
      <c r="I496" s="74" t="s">
        <v>93</v>
      </c>
      <c r="J496" s="1"/>
      <c r="K496" s="1"/>
      <c r="L496" s="1"/>
    </row>
    <row r="497">
      <c r="A497" s="110">
        <v>46208.46643082176</v>
      </c>
      <c r="B497" s="74" t="s">
        <v>210</v>
      </c>
      <c r="C497" s="74" t="s">
        <v>171</v>
      </c>
      <c r="D497" s="74" t="s">
        <v>130</v>
      </c>
      <c r="E497" s="1"/>
      <c r="F497" s="111" t="b">
        <v>1</v>
      </c>
      <c r="G497" s="111" t="b">
        <v>1</v>
      </c>
      <c r="H497" s="111" t="b">
        <v>1</v>
      </c>
      <c r="I497" s="74" t="s">
        <v>118</v>
      </c>
      <c r="J497" s="1"/>
      <c r="K497" s="1"/>
      <c r="L497" s="1"/>
    </row>
    <row r="498">
      <c r="A498" s="110">
        <v>46208.46667086806</v>
      </c>
      <c r="B498" s="74" t="s">
        <v>94</v>
      </c>
      <c r="C498" s="74" t="s">
        <v>132</v>
      </c>
      <c r="D498" s="112" t="s">
        <v>139</v>
      </c>
      <c r="E498" s="1"/>
      <c r="F498" s="111" t="b">
        <v>1</v>
      </c>
      <c r="G498" s="111" t="b">
        <v>1</v>
      </c>
      <c r="H498" s="111" t="b">
        <v>1</v>
      </c>
      <c r="I498" s="74" t="s">
        <v>202</v>
      </c>
      <c r="J498" s="1"/>
      <c r="K498" s="1"/>
      <c r="L498" s="1"/>
    </row>
    <row r="499">
      <c r="A499" s="110">
        <v>46208.47378310185</v>
      </c>
      <c r="B499" s="74" t="s">
        <v>144</v>
      </c>
      <c r="C499" s="74" t="s">
        <v>108</v>
      </c>
      <c r="D499" s="74" t="s">
        <v>130</v>
      </c>
      <c r="E499" s="1"/>
      <c r="F499" s="111" t="b">
        <v>1</v>
      </c>
      <c r="G499" s="111" t="b">
        <v>1</v>
      </c>
      <c r="H499" s="111" t="b">
        <v>1</v>
      </c>
      <c r="I499" s="74" t="s">
        <v>106</v>
      </c>
      <c r="J499" s="1"/>
      <c r="K499" s="1"/>
      <c r="L499" s="1"/>
    </row>
    <row r="500">
      <c r="A500" s="110">
        <v>46208.478575347224</v>
      </c>
      <c r="B500" s="74" t="s">
        <v>293</v>
      </c>
      <c r="C500" s="74" t="s">
        <v>94</v>
      </c>
      <c r="D500" s="74" t="s">
        <v>130</v>
      </c>
      <c r="E500" s="74" t="s">
        <v>157</v>
      </c>
      <c r="F500" s="111" t="b">
        <v>1</v>
      </c>
      <c r="G500" s="111" t="b">
        <v>1</v>
      </c>
      <c r="H500" s="111" t="b">
        <v>1</v>
      </c>
      <c r="I500" s="74" t="s">
        <v>102</v>
      </c>
      <c r="J500" s="1"/>
      <c r="K500" s="1"/>
      <c r="L500" s="1"/>
    </row>
    <row r="501">
      <c r="A501" s="110">
        <v>46208.48635489584</v>
      </c>
      <c r="B501" s="74" t="s">
        <v>150</v>
      </c>
      <c r="C501" s="74" t="s">
        <v>171</v>
      </c>
      <c r="D501" s="112" t="s">
        <v>139</v>
      </c>
      <c r="E501" s="1"/>
      <c r="F501" s="111" t="b">
        <v>1</v>
      </c>
      <c r="G501" s="111" t="b">
        <v>1</v>
      </c>
      <c r="H501" s="111" t="b">
        <v>1</v>
      </c>
      <c r="I501" s="74" t="s">
        <v>90</v>
      </c>
      <c r="J501" s="1"/>
      <c r="K501" s="1"/>
      <c r="L501" s="1"/>
    </row>
    <row r="502">
      <c r="A502" s="110">
        <v>46208.50308091435</v>
      </c>
      <c r="B502" s="74" t="s">
        <v>144</v>
      </c>
      <c r="C502" s="74" t="s">
        <v>253</v>
      </c>
      <c r="D502" s="74" t="s">
        <v>130</v>
      </c>
      <c r="E502" s="1"/>
      <c r="F502" s="111" t="b">
        <v>1</v>
      </c>
      <c r="G502" s="111" t="b">
        <v>1</v>
      </c>
      <c r="H502" s="111" t="b">
        <v>1</v>
      </c>
      <c r="I502" s="74" t="s">
        <v>102</v>
      </c>
      <c r="J502" s="1"/>
      <c r="K502" s="1"/>
      <c r="L502" s="1"/>
    </row>
    <row r="503">
      <c r="A503" s="110">
        <v>46208.510261793985</v>
      </c>
      <c r="B503" s="74" t="s">
        <v>94</v>
      </c>
      <c r="C503" s="74" t="s">
        <v>128</v>
      </c>
      <c r="D503" s="74" t="s">
        <v>130</v>
      </c>
      <c r="E503" s="1"/>
      <c r="F503" s="111" t="b">
        <v>1</v>
      </c>
      <c r="G503" s="111" t="b">
        <v>1</v>
      </c>
      <c r="H503" s="111" t="b">
        <v>1</v>
      </c>
      <c r="I503" s="74" t="s">
        <v>118</v>
      </c>
      <c r="J503" s="1"/>
      <c r="K503" s="1"/>
      <c r="L503" s="1"/>
    </row>
    <row r="504">
      <c r="A504" s="110">
        <v>46208.528058310185</v>
      </c>
      <c r="B504" s="74" t="s">
        <v>253</v>
      </c>
      <c r="C504" s="74" t="s">
        <v>210</v>
      </c>
      <c r="D504" s="74" t="s">
        <v>130</v>
      </c>
      <c r="E504" s="74" t="s">
        <v>335</v>
      </c>
      <c r="F504" s="111" t="b">
        <v>1</v>
      </c>
      <c r="G504" s="111" t="b">
        <v>1</v>
      </c>
      <c r="H504" s="111" t="b">
        <v>1</v>
      </c>
      <c r="I504" s="74" t="s">
        <v>93</v>
      </c>
      <c r="J504" s="1"/>
      <c r="K504" s="1"/>
      <c r="L504" s="1"/>
    </row>
    <row r="505">
      <c r="A505" s="110">
        <v>46208.54918050926</v>
      </c>
      <c r="B505" s="74" t="s">
        <v>205</v>
      </c>
      <c r="C505" s="74" t="s">
        <v>303</v>
      </c>
      <c r="D505" s="112" t="s">
        <v>139</v>
      </c>
      <c r="E505" s="1"/>
      <c r="F505" s="111" t="b">
        <v>1</v>
      </c>
      <c r="G505" s="111" t="b">
        <v>1</v>
      </c>
      <c r="H505" s="111" t="b">
        <v>1</v>
      </c>
      <c r="I505" s="74" t="s">
        <v>106</v>
      </c>
      <c r="J505" s="1"/>
      <c r="K505" s="1"/>
      <c r="L505" s="1"/>
    </row>
    <row r="506">
      <c r="A506" s="110">
        <v>46208.553434560185</v>
      </c>
      <c r="B506" s="74" t="s">
        <v>253</v>
      </c>
      <c r="C506" s="74" t="s">
        <v>112</v>
      </c>
      <c r="D506" s="74" t="s">
        <v>130</v>
      </c>
      <c r="E506" s="74" t="s">
        <v>334</v>
      </c>
      <c r="F506" s="111" t="b">
        <v>1</v>
      </c>
      <c r="G506" s="111" t="b">
        <v>1</v>
      </c>
      <c r="H506" s="111" t="b">
        <v>1</v>
      </c>
      <c r="I506" s="74" t="s">
        <v>102</v>
      </c>
      <c r="J506" s="1"/>
      <c r="K506" s="1"/>
      <c r="L506" s="1"/>
    </row>
    <row r="507">
      <c r="A507" s="110">
        <v>46208.59081167824</v>
      </c>
      <c r="B507" s="74" t="s">
        <v>253</v>
      </c>
      <c r="C507" s="74" t="s">
        <v>160</v>
      </c>
      <c r="D507" s="74" t="s">
        <v>130</v>
      </c>
      <c r="E507" s="74" t="s">
        <v>334</v>
      </c>
      <c r="F507" s="111" t="b">
        <v>1</v>
      </c>
      <c r="G507" s="111" t="b">
        <v>1</v>
      </c>
      <c r="H507" s="111" t="b">
        <v>1</v>
      </c>
      <c r="I507" s="74" t="s">
        <v>81</v>
      </c>
      <c r="J507" s="1"/>
      <c r="K507" s="1"/>
      <c r="L507" s="1"/>
    </row>
    <row r="508">
      <c r="A508" s="110">
        <v>46208.59159358796</v>
      </c>
      <c r="B508" s="74" t="s">
        <v>302</v>
      </c>
      <c r="C508" s="74" t="s">
        <v>197</v>
      </c>
      <c r="D508" s="74" t="s">
        <v>130</v>
      </c>
      <c r="E508" s="74" t="s">
        <v>157</v>
      </c>
      <c r="F508" s="111" t="b">
        <v>1</v>
      </c>
      <c r="G508" s="111" t="b">
        <v>1</v>
      </c>
      <c r="H508" s="111" t="b">
        <v>1</v>
      </c>
      <c r="I508" s="74" t="s">
        <v>85</v>
      </c>
      <c r="J508" s="1"/>
      <c r="K508" s="1"/>
      <c r="L508" s="1"/>
    </row>
    <row r="509">
      <c r="A509" s="110">
        <v>46208.59362130787</v>
      </c>
      <c r="B509" s="74" t="s">
        <v>215</v>
      </c>
      <c r="C509" s="74" t="s">
        <v>289</v>
      </c>
      <c r="D509" s="74" t="s">
        <v>130</v>
      </c>
      <c r="E509" s="74" t="s">
        <v>336</v>
      </c>
      <c r="F509" s="111" t="b">
        <v>1</v>
      </c>
      <c r="G509" s="111" t="b">
        <v>1</v>
      </c>
      <c r="H509" s="111" t="b">
        <v>1</v>
      </c>
      <c r="I509" s="74" t="s">
        <v>97</v>
      </c>
      <c r="J509" s="1"/>
      <c r="K509" s="1"/>
      <c r="L509" s="1"/>
    </row>
    <row r="510">
      <c r="A510" s="110">
        <v>46208.60782619213</v>
      </c>
      <c r="B510" s="74" t="s">
        <v>197</v>
      </c>
      <c r="C510" s="74" t="s">
        <v>164</v>
      </c>
      <c r="D510" s="74" t="s">
        <v>130</v>
      </c>
      <c r="E510" s="1"/>
      <c r="F510" s="111" t="b">
        <v>1</v>
      </c>
      <c r="G510" s="111" t="b">
        <v>1</v>
      </c>
      <c r="H510" s="111" t="b">
        <v>1</v>
      </c>
      <c r="I510" s="74" t="s">
        <v>85</v>
      </c>
      <c r="J510" s="1"/>
      <c r="K510" s="1"/>
      <c r="L510" s="1"/>
    </row>
    <row r="511">
      <c r="A511" s="110">
        <v>46208.60936166666</v>
      </c>
      <c r="B511" s="74" t="s">
        <v>143</v>
      </c>
      <c r="C511" s="74" t="s">
        <v>302</v>
      </c>
      <c r="D511" s="112" t="s">
        <v>139</v>
      </c>
      <c r="E511" s="1"/>
      <c r="F511" s="111" t="b">
        <v>1</v>
      </c>
      <c r="G511" s="111" t="b">
        <v>1</v>
      </c>
      <c r="H511" s="111" t="b">
        <v>1</v>
      </c>
      <c r="I511" s="74" t="s">
        <v>90</v>
      </c>
      <c r="J511" s="1"/>
      <c r="K511" s="1"/>
      <c r="L511" s="1"/>
    </row>
    <row r="512">
      <c r="A512" s="110">
        <v>46208.61312783565</v>
      </c>
      <c r="B512" s="74" t="s">
        <v>150</v>
      </c>
      <c r="C512" s="74" t="s">
        <v>289</v>
      </c>
      <c r="D512" s="112" t="s">
        <v>139</v>
      </c>
      <c r="E512" s="1"/>
      <c r="F512" s="111" t="b">
        <v>1</v>
      </c>
      <c r="G512" s="111" t="b">
        <v>1</v>
      </c>
      <c r="H512" s="111" t="b">
        <v>1</v>
      </c>
      <c r="I512" s="74" t="s">
        <v>118</v>
      </c>
      <c r="J512" s="1"/>
      <c r="K512" s="1"/>
      <c r="L512" s="1"/>
    </row>
    <row r="513">
      <c r="A513" s="110">
        <v>46208.62260849537</v>
      </c>
      <c r="B513" s="74" t="s">
        <v>235</v>
      </c>
      <c r="C513" s="74" t="s">
        <v>303</v>
      </c>
      <c r="D513" s="112" t="s">
        <v>139</v>
      </c>
      <c r="E513" s="74" t="s">
        <v>167</v>
      </c>
      <c r="F513" s="111" t="b">
        <v>1</v>
      </c>
      <c r="G513" s="111" t="b">
        <v>1</v>
      </c>
      <c r="H513" s="111" t="b">
        <v>1</v>
      </c>
      <c r="I513" s="74" t="s">
        <v>87</v>
      </c>
      <c r="J513" s="1"/>
      <c r="K513" s="1"/>
      <c r="L513" s="1"/>
    </row>
    <row r="514">
      <c r="A514" s="110">
        <v>46208.63919605324</v>
      </c>
      <c r="B514" s="74" t="s">
        <v>143</v>
      </c>
      <c r="C514" s="74" t="s">
        <v>150</v>
      </c>
      <c r="D514" s="74" t="s">
        <v>130</v>
      </c>
      <c r="E514" s="1"/>
      <c r="F514" s="111" t="b">
        <v>1</v>
      </c>
      <c r="G514" s="111" t="b">
        <v>1</v>
      </c>
      <c r="H514" s="111" t="b">
        <v>1</v>
      </c>
      <c r="I514" s="74" t="s">
        <v>202</v>
      </c>
      <c r="J514" s="1"/>
      <c r="K514" s="1"/>
      <c r="L514" s="1"/>
    </row>
    <row r="515">
      <c r="A515" s="110">
        <v>46208.64333400463</v>
      </c>
      <c r="B515" s="74" t="s">
        <v>235</v>
      </c>
      <c r="C515" s="74" t="s">
        <v>204</v>
      </c>
      <c r="D515" s="74" t="s">
        <v>130</v>
      </c>
      <c r="E515" s="74" t="s">
        <v>167</v>
      </c>
      <c r="F515" s="111" t="b">
        <v>1</v>
      </c>
      <c r="G515" s="111" t="b">
        <v>1</v>
      </c>
      <c r="H515" s="111" t="b">
        <v>1</v>
      </c>
      <c r="I515" s="74" t="s">
        <v>84</v>
      </c>
      <c r="J515" s="1"/>
      <c r="K515" s="1"/>
      <c r="L515" s="1"/>
    </row>
    <row r="516">
      <c r="A516" s="110">
        <v>46208.6527296875</v>
      </c>
      <c r="B516" s="74" t="s">
        <v>170</v>
      </c>
      <c r="C516" s="74" t="s">
        <v>238</v>
      </c>
      <c r="D516" s="112" t="s">
        <v>139</v>
      </c>
      <c r="E516" s="1"/>
      <c r="F516" s="111" t="b">
        <v>1</v>
      </c>
      <c r="G516" s="111" t="b">
        <v>1</v>
      </c>
      <c r="H516" s="111" t="b">
        <v>1</v>
      </c>
      <c r="I516" s="74" t="s">
        <v>83</v>
      </c>
      <c r="J516" s="1"/>
      <c r="K516" s="1"/>
      <c r="L516" s="1"/>
    </row>
    <row r="517">
      <c r="A517" s="110">
        <v>46208.666297523145</v>
      </c>
      <c r="B517" s="74" t="s">
        <v>204</v>
      </c>
      <c r="C517" s="74" t="s">
        <v>284</v>
      </c>
      <c r="D517" s="112" t="s">
        <v>139</v>
      </c>
      <c r="E517" s="1"/>
      <c r="F517" s="111" t="b">
        <v>1</v>
      </c>
      <c r="G517" s="111" t="b">
        <v>1</v>
      </c>
      <c r="H517" s="111" t="b">
        <v>1</v>
      </c>
      <c r="I517" s="74" t="s">
        <v>90</v>
      </c>
      <c r="J517" s="1"/>
      <c r="K517" s="1"/>
      <c r="L517" s="1"/>
    </row>
    <row r="518">
      <c r="A518" s="110">
        <v>46208.67522644676</v>
      </c>
      <c r="B518" s="74" t="s">
        <v>245</v>
      </c>
      <c r="C518" s="74" t="s">
        <v>204</v>
      </c>
      <c r="D518" s="74" t="s">
        <v>130</v>
      </c>
      <c r="E518" s="1"/>
      <c r="F518" s="111" t="b">
        <v>1</v>
      </c>
      <c r="G518" s="111" t="b">
        <v>1</v>
      </c>
      <c r="H518" s="111" t="b">
        <v>1</v>
      </c>
      <c r="I518" s="74" t="s">
        <v>87</v>
      </c>
      <c r="J518" s="1"/>
      <c r="K518" s="1"/>
      <c r="L518" s="1"/>
    </row>
    <row r="519">
      <c r="A519" s="110">
        <v>46208.69958540509</v>
      </c>
      <c r="B519" s="74" t="s">
        <v>241</v>
      </c>
      <c r="C519" s="74" t="s">
        <v>164</v>
      </c>
      <c r="D519" s="74" t="s">
        <v>130</v>
      </c>
      <c r="E519" s="74" t="s">
        <v>136</v>
      </c>
      <c r="F519" s="111" t="b">
        <v>1</v>
      </c>
      <c r="G519" s="111" t="b">
        <v>1</v>
      </c>
      <c r="H519" s="111" t="b">
        <v>1</v>
      </c>
      <c r="I519" s="74" t="s">
        <v>81</v>
      </c>
      <c r="J519" s="1"/>
      <c r="K519" s="1"/>
      <c r="L519" s="1"/>
    </row>
    <row r="520">
      <c r="A520" s="110">
        <v>46208.73979892361</v>
      </c>
      <c r="B520" s="74" t="s">
        <v>245</v>
      </c>
      <c r="C520" s="74" t="s">
        <v>169</v>
      </c>
      <c r="D520" s="74" t="s">
        <v>130</v>
      </c>
      <c r="E520" s="1"/>
      <c r="F520" s="111" t="b">
        <v>1</v>
      </c>
      <c r="G520" s="111" t="b">
        <v>1</v>
      </c>
      <c r="H520" s="111" t="b">
        <v>1</v>
      </c>
      <c r="I520" s="74" t="s">
        <v>81</v>
      </c>
      <c r="J520" s="1"/>
      <c r="K520" s="1"/>
      <c r="L520" s="1"/>
    </row>
    <row r="521">
      <c r="A521" s="110">
        <v>46208.751497731486</v>
      </c>
      <c r="B521" s="74" t="s">
        <v>148</v>
      </c>
      <c r="C521" s="74" t="s">
        <v>263</v>
      </c>
      <c r="D521" s="112" t="s">
        <v>139</v>
      </c>
      <c r="E521" s="74" t="s">
        <v>337</v>
      </c>
      <c r="F521" s="111" t="b">
        <v>1</v>
      </c>
      <c r="G521" s="111" t="b">
        <v>1</v>
      </c>
      <c r="H521" s="111" t="b">
        <v>1</v>
      </c>
      <c r="I521" s="74" t="s">
        <v>83</v>
      </c>
      <c r="J521" s="1"/>
      <c r="K521" s="1"/>
      <c r="L521" s="1"/>
    </row>
    <row r="522">
      <c r="A522" s="110">
        <v>46208.76610435185</v>
      </c>
      <c r="B522" s="74" t="s">
        <v>161</v>
      </c>
      <c r="C522" s="74" t="s">
        <v>169</v>
      </c>
      <c r="D522" s="112" t="s">
        <v>139</v>
      </c>
      <c r="E522" s="1"/>
      <c r="F522" s="111" t="b">
        <v>1</v>
      </c>
      <c r="G522" s="111" t="b">
        <v>1</v>
      </c>
      <c r="H522" s="111" t="b">
        <v>1</v>
      </c>
      <c r="I522" s="74" t="s">
        <v>106</v>
      </c>
      <c r="J522" s="1"/>
      <c r="K522" s="1"/>
      <c r="L522" s="1"/>
    </row>
    <row r="523">
      <c r="A523" s="110">
        <v>46208.76711869213</v>
      </c>
      <c r="B523" s="74" t="s">
        <v>245</v>
      </c>
      <c r="C523" s="74" t="s">
        <v>296</v>
      </c>
      <c r="D523" s="74" t="s">
        <v>130</v>
      </c>
      <c r="E523" s="1"/>
      <c r="F523" s="111" t="b">
        <v>1</v>
      </c>
      <c r="G523" s="111" t="b">
        <v>1</v>
      </c>
      <c r="H523" s="111" t="b">
        <v>1</v>
      </c>
      <c r="I523" s="74" t="s">
        <v>85</v>
      </c>
      <c r="J523" s="1"/>
      <c r="K523" s="1"/>
      <c r="L523" s="1"/>
    </row>
    <row r="524">
      <c r="A524" s="110">
        <v>46208.77545114583</v>
      </c>
      <c r="B524" s="74" t="s">
        <v>289</v>
      </c>
      <c r="C524" s="74" t="s">
        <v>161</v>
      </c>
      <c r="D524" s="74" t="s">
        <v>130</v>
      </c>
      <c r="E524" s="1"/>
      <c r="F524" s="111" t="b">
        <v>1</v>
      </c>
      <c r="G524" s="111" t="b">
        <v>1</v>
      </c>
      <c r="H524" s="111" t="b">
        <v>1</v>
      </c>
      <c r="I524" s="74" t="s">
        <v>99</v>
      </c>
      <c r="J524" s="1"/>
      <c r="K524" s="1"/>
      <c r="L524" s="1"/>
    </row>
    <row r="525">
      <c r="A525" s="110">
        <v>46208.79618446759</v>
      </c>
      <c r="B525" s="74" t="s">
        <v>296</v>
      </c>
      <c r="C525" s="74" t="s">
        <v>117</v>
      </c>
      <c r="D525" s="74" t="s">
        <v>130</v>
      </c>
      <c r="E525" s="1"/>
      <c r="F525" s="111" t="b">
        <v>1</v>
      </c>
      <c r="G525" s="111" t="b">
        <v>1</v>
      </c>
      <c r="H525" s="111" t="b">
        <v>1</v>
      </c>
      <c r="I525" s="74" t="s">
        <v>87</v>
      </c>
      <c r="J525" s="1"/>
      <c r="K525" s="1"/>
      <c r="L525" s="1"/>
    </row>
    <row r="526">
      <c r="A526" s="110">
        <v>46208.800479756945</v>
      </c>
      <c r="B526" s="74" t="s">
        <v>137</v>
      </c>
      <c r="C526" s="74" t="s">
        <v>244</v>
      </c>
      <c r="D526" s="74" t="s">
        <v>130</v>
      </c>
      <c r="E526" s="1"/>
      <c r="F526" s="111" t="b">
        <v>1</v>
      </c>
      <c r="G526" s="111" t="b">
        <v>1</v>
      </c>
      <c r="H526" s="111" t="b">
        <v>1</v>
      </c>
      <c r="I526" s="74" t="s">
        <v>95</v>
      </c>
      <c r="J526" s="1"/>
      <c r="K526" s="1"/>
      <c r="L526" s="1"/>
    </row>
    <row r="527">
      <c r="A527" s="110">
        <v>46208.801844155096</v>
      </c>
      <c r="B527" s="74" t="s">
        <v>241</v>
      </c>
      <c r="C527" s="74" t="s">
        <v>284</v>
      </c>
      <c r="D527" s="112" t="s">
        <v>139</v>
      </c>
      <c r="E527" s="74" t="s">
        <v>136</v>
      </c>
      <c r="F527" s="111" t="b">
        <v>1</v>
      </c>
      <c r="G527" s="111" t="b">
        <v>1</v>
      </c>
      <c r="H527" s="111" t="b">
        <v>1</v>
      </c>
      <c r="I527" s="74" t="s">
        <v>87</v>
      </c>
      <c r="J527" s="1"/>
      <c r="K527" s="1"/>
      <c r="L527" s="1"/>
    </row>
    <row r="528">
      <c r="A528" s="110">
        <v>46208.81977956019</v>
      </c>
      <c r="B528" s="74" t="s">
        <v>296</v>
      </c>
      <c r="C528" s="74" t="s">
        <v>274</v>
      </c>
      <c r="D528" s="74" t="s">
        <v>130</v>
      </c>
      <c r="E528" s="1"/>
      <c r="F528" s="111" t="b">
        <v>1</v>
      </c>
      <c r="G528" s="111" t="b">
        <v>1</v>
      </c>
      <c r="H528" s="111" t="b">
        <v>1</v>
      </c>
      <c r="I528" s="74" t="s">
        <v>87</v>
      </c>
      <c r="J528" s="1"/>
      <c r="K528" s="1"/>
      <c r="L528" s="1"/>
    </row>
    <row r="529">
      <c r="A529" s="110">
        <v>46208.851389247684</v>
      </c>
      <c r="B529" s="74" t="s">
        <v>241</v>
      </c>
      <c r="C529" s="74" t="s">
        <v>184</v>
      </c>
      <c r="D529" s="112" t="s">
        <v>139</v>
      </c>
      <c r="E529" s="74" t="s">
        <v>136</v>
      </c>
      <c r="F529" s="111" t="b">
        <v>1</v>
      </c>
      <c r="G529" s="111" t="b">
        <v>1</v>
      </c>
      <c r="H529" s="111" t="b">
        <v>1</v>
      </c>
      <c r="I529" s="74" t="s">
        <v>118</v>
      </c>
      <c r="J529" s="1"/>
      <c r="K529" s="1"/>
      <c r="L529" s="1"/>
    </row>
    <row r="530">
      <c r="A530" s="110">
        <v>46208.857037662034</v>
      </c>
      <c r="B530" s="74" t="s">
        <v>137</v>
      </c>
      <c r="C530" s="74" t="s">
        <v>296</v>
      </c>
      <c r="D530" s="112" t="s">
        <v>139</v>
      </c>
      <c r="E530" s="1"/>
      <c r="F530" s="111" t="b">
        <v>1</v>
      </c>
      <c r="G530" s="111" t="b">
        <v>1</v>
      </c>
      <c r="H530" s="111" t="b">
        <v>1</v>
      </c>
      <c r="I530" s="74" t="s">
        <v>98</v>
      </c>
      <c r="J530" s="1"/>
      <c r="K530" s="1"/>
      <c r="L530" s="1"/>
    </row>
    <row r="531">
      <c r="A531" s="110">
        <v>46208.882213136574</v>
      </c>
      <c r="B531" s="74" t="s">
        <v>183</v>
      </c>
      <c r="C531" s="74" t="s">
        <v>289</v>
      </c>
      <c r="D531" s="74" t="s">
        <v>130</v>
      </c>
      <c r="E531" s="74" t="s">
        <v>167</v>
      </c>
      <c r="F531" s="111" t="b">
        <v>1</v>
      </c>
      <c r="G531" s="111" t="b">
        <v>1</v>
      </c>
      <c r="H531" s="111" t="b">
        <v>1</v>
      </c>
      <c r="I531" s="74" t="s">
        <v>147</v>
      </c>
      <c r="J531" s="1"/>
      <c r="K531" s="1"/>
      <c r="L531" s="1"/>
    </row>
    <row r="532">
      <c r="A532" s="110">
        <v>46208.89620949074</v>
      </c>
      <c r="B532" s="74" t="s">
        <v>289</v>
      </c>
      <c r="C532" s="74" t="s">
        <v>260</v>
      </c>
      <c r="D532" s="112" t="s">
        <v>139</v>
      </c>
      <c r="E532" s="1"/>
      <c r="F532" s="111" t="b">
        <v>1</v>
      </c>
      <c r="G532" s="111" t="b">
        <v>1</v>
      </c>
      <c r="H532" s="111" t="b">
        <v>1</v>
      </c>
      <c r="I532" s="74" t="s">
        <v>99</v>
      </c>
      <c r="J532" s="1"/>
      <c r="K532" s="1"/>
      <c r="L532" s="1"/>
    </row>
    <row r="533">
      <c r="A533" s="110">
        <v>46208.91286505787</v>
      </c>
      <c r="B533" s="74" t="s">
        <v>287</v>
      </c>
      <c r="C533" s="74" t="s">
        <v>176</v>
      </c>
      <c r="D533" s="74" t="s">
        <v>130</v>
      </c>
      <c r="E533" s="1"/>
      <c r="F533" s="111" t="b">
        <v>1</v>
      </c>
      <c r="G533" s="111" t="b">
        <v>1</v>
      </c>
      <c r="H533" s="111" t="b">
        <v>1</v>
      </c>
      <c r="I533" s="74" t="s">
        <v>83</v>
      </c>
      <c r="J533" s="1"/>
      <c r="K533" s="1"/>
      <c r="L533" s="1"/>
    </row>
    <row r="534">
      <c r="A534" s="110">
        <v>46208.91664376158</v>
      </c>
      <c r="B534" s="74" t="s">
        <v>184</v>
      </c>
      <c r="C534" s="74" t="s">
        <v>260</v>
      </c>
      <c r="D534" s="112" t="s">
        <v>139</v>
      </c>
      <c r="E534" s="1"/>
      <c r="F534" s="111" t="b">
        <v>1</v>
      </c>
      <c r="G534" s="111" t="b">
        <v>1</v>
      </c>
      <c r="H534" s="111" t="b">
        <v>1</v>
      </c>
      <c r="I534" s="74" t="s">
        <v>118</v>
      </c>
      <c r="J534" s="1"/>
      <c r="K534" s="1"/>
      <c r="L534" s="1"/>
    </row>
    <row r="535">
      <c r="A535" s="110">
        <v>46208.92757728009</v>
      </c>
      <c r="B535" s="74" t="s">
        <v>261</v>
      </c>
      <c r="C535" s="74" t="s">
        <v>228</v>
      </c>
      <c r="D535" s="74" t="s">
        <v>130</v>
      </c>
      <c r="E535" s="74" t="s">
        <v>192</v>
      </c>
      <c r="F535" s="111" t="b">
        <v>1</v>
      </c>
      <c r="G535" s="111" t="b">
        <v>1</v>
      </c>
      <c r="H535" s="111" t="b">
        <v>1</v>
      </c>
      <c r="I535" s="74" t="s">
        <v>85</v>
      </c>
      <c r="J535" s="1"/>
      <c r="K535" s="1"/>
      <c r="L535" s="1"/>
    </row>
    <row r="536">
      <c r="A536" s="110">
        <v>46208.94781399306</v>
      </c>
      <c r="B536" s="74" t="s">
        <v>162</v>
      </c>
      <c r="C536" s="74" t="s">
        <v>176</v>
      </c>
      <c r="D536" s="74" t="s">
        <v>130</v>
      </c>
      <c r="E536" s="1"/>
      <c r="F536" s="111" t="b">
        <v>1</v>
      </c>
      <c r="G536" s="111" t="b">
        <v>1</v>
      </c>
      <c r="H536" s="111" t="b">
        <v>1</v>
      </c>
      <c r="I536" s="74" t="s">
        <v>120</v>
      </c>
      <c r="J536" s="1"/>
      <c r="K536" s="1"/>
      <c r="L536" s="1"/>
    </row>
    <row r="537">
      <c r="A537" s="110">
        <v>46208.96214621528</v>
      </c>
      <c r="B537" s="74" t="s">
        <v>170</v>
      </c>
      <c r="C537" s="74" t="s">
        <v>162</v>
      </c>
      <c r="D537" s="74" t="s">
        <v>130</v>
      </c>
      <c r="E537" s="1"/>
      <c r="F537" s="111" t="b">
        <v>1</v>
      </c>
      <c r="G537" s="111" t="b">
        <v>1</v>
      </c>
      <c r="H537" s="111" t="b">
        <v>1</v>
      </c>
      <c r="I537" s="74" t="s">
        <v>147</v>
      </c>
      <c r="J537" s="1"/>
      <c r="K537" s="1"/>
      <c r="L537" s="1"/>
    </row>
    <row r="538">
      <c r="A538" s="110">
        <v>46208.97426436342</v>
      </c>
      <c r="B538" s="74" t="s">
        <v>170</v>
      </c>
      <c r="C538" s="74" t="s">
        <v>135</v>
      </c>
      <c r="D538" s="74" t="s">
        <v>130</v>
      </c>
      <c r="E538" s="1"/>
      <c r="F538" s="111" t="b">
        <v>1</v>
      </c>
      <c r="G538" s="111" t="b">
        <v>1</v>
      </c>
      <c r="H538" s="111" t="b">
        <v>1</v>
      </c>
      <c r="I538" s="74" t="s">
        <v>118</v>
      </c>
      <c r="J538" s="1"/>
      <c r="K538" s="1"/>
      <c r="L538" s="1"/>
    </row>
    <row r="539">
      <c r="A539" s="110">
        <v>46208.98618979167</v>
      </c>
      <c r="B539" s="74" t="s">
        <v>140</v>
      </c>
      <c r="C539" s="74" t="s">
        <v>212</v>
      </c>
      <c r="D539" s="74" t="s">
        <v>130</v>
      </c>
      <c r="E539" s="1"/>
      <c r="F539" s="111" t="b">
        <v>1</v>
      </c>
      <c r="G539" s="111" t="b">
        <v>1</v>
      </c>
      <c r="H539" s="111" t="b">
        <v>1</v>
      </c>
      <c r="I539" s="74" t="s">
        <v>106</v>
      </c>
      <c r="J539" s="1"/>
      <c r="K539" s="1"/>
      <c r="L539" s="1"/>
    </row>
    <row r="540">
      <c r="A540" s="110">
        <v>46208.98880547454</v>
      </c>
      <c r="B540" s="74" t="s">
        <v>176</v>
      </c>
      <c r="C540" s="74" t="s">
        <v>217</v>
      </c>
      <c r="D540" s="74" t="s">
        <v>130</v>
      </c>
      <c r="E540" s="1"/>
      <c r="F540" s="111" t="b">
        <v>1</v>
      </c>
      <c r="G540" s="111" t="b">
        <v>1</v>
      </c>
      <c r="H540" s="111" t="b">
        <v>1</v>
      </c>
      <c r="I540" s="74" t="s">
        <v>84</v>
      </c>
      <c r="J540" s="1"/>
      <c r="K540" s="1"/>
      <c r="L540" s="1"/>
    </row>
    <row r="541">
      <c r="A541" s="110">
        <v>46209.01052539352</v>
      </c>
      <c r="B541" s="74" t="s">
        <v>135</v>
      </c>
      <c r="C541" s="74" t="s">
        <v>140</v>
      </c>
      <c r="D541" s="112" t="s">
        <v>139</v>
      </c>
      <c r="E541" s="1"/>
      <c r="F541" s="111" t="b">
        <v>1</v>
      </c>
      <c r="G541" s="111" t="b">
        <v>1</v>
      </c>
      <c r="H541" s="111" t="b">
        <v>1</v>
      </c>
      <c r="I541" s="74" t="s">
        <v>93</v>
      </c>
      <c r="J541" s="1"/>
      <c r="K541" s="1"/>
      <c r="L541" s="1"/>
    </row>
    <row r="542">
      <c r="A542" s="110">
        <v>46209.389709027775</v>
      </c>
      <c r="B542" s="74" t="s">
        <v>183</v>
      </c>
      <c r="C542" s="74" t="s">
        <v>184</v>
      </c>
      <c r="D542" s="112" t="s">
        <v>139</v>
      </c>
      <c r="E542" s="74" t="s">
        <v>167</v>
      </c>
      <c r="F542" s="111" t="b">
        <v>1</v>
      </c>
      <c r="G542" s="111" t="b">
        <v>1</v>
      </c>
      <c r="H542" s="111" t="b">
        <v>1</v>
      </c>
      <c r="I542" s="74" t="s">
        <v>202</v>
      </c>
      <c r="J542" s="1"/>
      <c r="K542" s="1"/>
      <c r="L542" s="1"/>
    </row>
    <row r="543">
      <c r="A543" s="110">
        <v>46209.41934893519</v>
      </c>
      <c r="B543" s="74" t="s">
        <v>261</v>
      </c>
      <c r="C543" s="74" t="s">
        <v>217</v>
      </c>
      <c r="D543" s="112" t="s">
        <v>139</v>
      </c>
      <c r="E543" s="74" t="s">
        <v>192</v>
      </c>
      <c r="F543" s="111" t="b">
        <v>1</v>
      </c>
      <c r="G543" s="111" t="b">
        <v>1</v>
      </c>
      <c r="H543" s="111" t="b">
        <v>1</v>
      </c>
      <c r="I543" s="74" t="s">
        <v>102</v>
      </c>
      <c r="J543" s="1"/>
      <c r="K543" s="1"/>
      <c r="L543" s="1"/>
    </row>
    <row r="544">
      <c r="A544" s="110">
        <v>46209.45073146991</v>
      </c>
      <c r="B544" s="74" t="s">
        <v>293</v>
      </c>
      <c r="C544" s="74" t="s">
        <v>321</v>
      </c>
      <c r="D544" s="74" t="s">
        <v>130</v>
      </c>
      <c r="E544" s="74" t="s">
        <v>157</v>
      </c>
      <c r="F544" s="111" t="b">
        <v>1</v>
      </c>
      <c r="G544" s="111" t="b">
        <v>1</v>
      </c>
      <c r="H544" s="111" t="b">
        <v>1</v>
      </c>
      <c r="I544" s="74" t="s">
        <v>93</v>
      </c>
      <c r="J544" s="1"/>
      <c r="K544" s="1"/>
      <c r="L544" s="1"/>
    </row>
    <row r="545">
      <c r="A545" s="110">
        <v>46209.468473125</v>
      </c>
      <c r="B545" s="74" t="s">
        <v>269</v>
      </c>
      <c r="C545" s="74" t="s">
        <v>321</v>
      </c>
      <c r="D545" s="74" t="s">
        <v>130</v>
      </c>
      <c r="E545" s="1"/>
      <c r="F545" s="111" t="b">
        <v>1</v>
      </c>
      <c r="G545" s="111" t="b">
        <v>1</v>
      </c>
      <c r="H545" s="111" t="b">
        <v>1</v>
      </c>
      <c r="I545" s="74" t="s">
        <v>147</v>
      </c>
      <c r="J545" s="1"/>
      <c r="K545" s="1"/>
      <c r="L545" s="1"/>
    </row>
    <row r="546">
      <c r="A546" s="110">
        <v>46209.48598527777</v>
      </c>
      <c r="B546" s="74" t="s">
        <v>269</v>
      </c>
      <c r="C546" s="74" t="s">
        <v>204</v>
      </c>
      <c r="D546" s="112" t="s">
        <v>139</v>
      </c>
      <c r="E546" s="1"/>
      <c r="F546" s="111" t="b">
        <v>1</v>
      </c>
      <c r="G546" s="111" t="b">
        <v>1</v>
      </c>
      <c r="H546" s="111" t="b">
        <v>1</v>
      </c>
      <c r="I546" s="74" t="s">
        <v>84</v>
      </c>
      <c r="J546" s="1"/>
      <c r="K546" s="1"/>
      <c r="L546" s="1"/>
    </row>
    <row r="547">
      <c r="A547" s="110">
        <v>46209.48782966435</v>
      </c>
      <c r="B547" s="74" t="s">
        <v>321</v>
      </c>
      <c r="C547" s="74" t="s">
        <v>183</v>
      </c>
      <c r="D547" s="74" t="s">
        <v>130</v>
      </c>
      <c r="E547" s="1"/>
      <c r="F547" s="111" t="b">
        <v>1</v>
      </c>
      <c r="G547" s="111" t="b">
        <v>1</v>
      </c>
      <c r="H547" s="111" t="b">
        <v>1</v>
      </c>
      <c r="I547" s="74" t="s">
        <v>81</v>
      </c>
      <c r="J547" s="1"/>
      <c r="K547" s="1"/>
      <c r="L547" s="1"/>
    </row>
    <row r="548">
      <c r="A548" s="110">
        <v>46209.490740740745</v>
      </c>
      <c r="B548" s="74" t="s">
        <v>251</v>
      </c>
      <c r="C548" s="74" t="s">
        <v>237</v>
      </c>
      <c r="D548" s="112" t="s">
        <v>139</v>
      </c>
      <c r="E548" s="74" t="s">
        <v>338</v>
      </c>
      <c r="F548" s="111" t="b">
        <v>1</v>
      </c>
      <c r="G548" s="111" t="b">
        <v>1</v>
      </c>
      <c r="H548" s="111" t="b">
        <v>1</v>
      </c>
      <c r="I548" s="74" t="s">
        <v>102</v>
      </c>
      <c r="J548" s="1"/>
      <c r="K548" s="1"/>
      <c r="L548" s="1"/>
    </row>
    <row r="549">
      <c r="A549" s="110">
        <v>46209.502531516206</v>
      </c>
      <c r="B549" s="74" t="s">
        <v>143</v>
      </c>
      <c r="C549" s="74" t="s">
        <v>261</v>
      </c>
      <c r="D549" s="74" t="s">
        <v>130</v>
      </c>
      <c r="E549" s="1"/>
      <c r="F549" s="111" t="b">
        <v>1</v>
      </c>
      <c r="G549" s="111" t="b">
        <v>1</v>
      </c>
      <c r="H549" s="111" t="b">
        <v>1</v>
      </c>
      <c r="I549" s="74" t="s">
        <v>85</v>
      </c>
      <c r="J549" s="1"/>
      <c r="K549" s="1"/>
      <c r="L549" s="1"/>
    </row>
    <row r="550">
      <c r="A550" s="110">
        <v>46209.51532849537</v>
      </c>
      <c r="B550" s="74" t="s">
        <v>269</v>
      </c>
      <c r="C550" s="74" t="s">
        <v>290</v>
      </c>
      <c r="D550" s="112" t="s">
        <v>139</v>
      </c>
      <c r="E550" s="1"/>
      <c r="F550" s="111" t="b">
        <v>1</v>
      </c>
      <c r="G550" s="111" t="b">
        <v>1</v>
      </c>
      <c r="H550" s="111" t="b">
        <v>1</v>
      </c>
      <c r="I550" s="74" t="s">
        <v>147</v>
      </c>
      <c r="J550" s="1"/>
      <c r="K550" s="1"/>
      <c r="L550" s="1"/>
    </row>
    <row r="551">
      <c r="A551" s="110">
        <v>46209.51639802083</v>
      </c>
      <c r="B551" s="74" t="s">
        <v>143</v>
      </c>
      <c r="C551" s="74" t="s">
        <v>121</v>
      </c>
      <c r="D551" s="74" t="s">
        <v>130</v>
      </c>
      <c r="E551" s="1"/>
      <c r="F551" s="111" t="b">
        <v>1</v>
      </c>
      <c r="G551" s="111" t="b">
        <v>1</v>
      </c>
      <c r="H551" s="111" t="b">
        <v>1</v>
      </c>
      <c r="I551" s="74" t="s">
        <v>99</v>
      </c>
      <c r="J551" s="1"/>
      <c r="K551" s="1"/>
      <c r="L551" s="1"/>
    </row>
    <row r="552">
      <c r="A552" s="110">
        <v>46209.52842248842</v>
      </c>
      <c r="B552" s="74" t="s">
        <v>269</v>
      </c>
      <c r="C552" s="74" t="s">
        <v>172</v>
      </c>
      <c r="D552" s="74" t="s">
        <v>130</v>
      </c>
      <c r="E552" s="1"/>
      <c r="F552" s="111" t="b">
        <v>1</v>
      </c>
      <c r="G552" s="111" t="b">
        <v>1</v>
      </c>
      <c r="H552" s="111" t="b">
        <v>1</v>
      </c>
      <c r="I552" s="74" t="s">
        <v>81</v>
      </c>
      <c r="J552" s="1"/>
      <c r="K552" s="1"/>
      <c r="L552" s="1"/>
    </row>
    <row r="553">
      <c r="A553" s="110">
        <v>46209.53342702547</v>
      </c>
      <c r="B553" s="74" t="s">
        <v>241</v>
      </c>
      <c r="C553" s="74" t="s">
        <v>260</v>
      </c>
      <c r="D553" s="74" t="s">
        <v>130</v>
      </c>
      <c r="E553" s="74" t="s">
        <v>136</v>
      </c>
      <c r="F553" s="111" t="b">
        <v>1</v>
      </c>
      <c r="G553" s="111" t="b">
        <v>1</v>
      </c>
      <c r="H553" s="111" t="b">
        <v>1</v>
      </c>
      <c r="I553" s="74" t="s">
        <v>90</v>
      </c>
      <c r="J553" s="1"/>
      <c r="K553" s="1"/>
      <c r="L553" s="1"/>
    </row>
    <row r="554">
      <c r="A554" s="110">
        <v>46209.535955740736</v>
      </c>
      <c r="B554" s="74" t="s">
        <v>267</v>
      </c>
      <c r="C554" s="74" t="s">
        <v>248</v>
      </c>
      <c r="D554" s="112" t="s">
        <v>139</v>
      </c>
      <c r="E554" s="74" t="s">
        <v>268</v>
      </c>
      <c r="F554" s="111" t="b">
        <v>1</v>
      </c>
      <c r="G554" s="111" t="b">
        <v>1</v>
      </c>
      <c r="H554" s="111" t="b">
        <v>1</v>
      </c>
      <c r="I554" s="74" t="s">
        <v>120</v>
      </c>
      <c r="J554" s="1"/>
      <c r="K554" s="1"/>
      <c r="L554" s="1"/>
    </row>
    <row r="555">
      <c r="A555" s="110">
        <v>46209.55307741898</v>
      </c>
      <c r="B555" s="74" t="s">
        <v>269</v>
      </c>
      <c r="C555" s="74" t="s">
        <v>260</v>
      </c>
      <c r="D555" s="74" t="s">
        <v>130</v>
      </c>
      <c r="E555" s="1"/>
      <c r="F555" s="111" t="b">
        <v>1</v>
      </c>
      <c r="G555" s="111" t="b">
        <v>1</v>
      </c>
      <c r="H555" s="111" t="b">
        <v>1</v>
      </c>
      <c r="I555" s="74" t="s">
        <v>85</v>
      </c>
      <c r="J555" s="1"/>
      <c r="K555" s="1"/>
      <c r="L555" s="1"/>
    </row>
    <row r="556">
      <c r="A556" s="110">
        <v>46209.556340752315</v>
      </c>
      <c r="B556" s="74" t="s">
        <v>226</v>
      </c>
      <c r="C556" s="74" t="s">
        <v>241</v>
      </c>
      <c r="D556" s="112" t="s">
        <v>139</v>
      </c>
      <c r="E556" s="74" t="s">
        <v>175</v>
      </c>
      <c r="F556" s="111" t="b">
        <v>1</v>
      </c>
      <c r="G556" s="111" t="b">
        <v>1</v>
      </c>
      <c r="H556" s="111" t="b">
        <v>1</v>
      </c>
      <c r="I556" s="74" t="s">
        <v>79</v>
      </c>
      <c r="J556" s="1"/>
      <c r="K556" s="1"/>
      <c r="L556" s="1"/>
    </row>
    <row r="557">
      <c r="A557" s="110">
        <v>46209.566055497686</v>
      </c>
      <c r="B557" s="74" t="s">
        <v>296</v>
      </c>
      <c r="C557" s="74" t="s">
        <v>290</v>
      </c>
      <c r="D557" s="74" t="s">
        <v>130</v>
      </c>
      <c r="E557" s="1"/>
      <c r="F557" s="111" t="b">
        <v>1</v>
      </c>
      <c r="G557" s="111" t="b">
        <v>1</v>
      </c>
      <c r="H557" s="111" t="b">
        <v>1</v>
      </c>
      <c r="I557" s="74" t="s">
        <v>84</v>
      </c>
      <c r="J557" s="1"/>
      <c r="K557" s="1"/>
      <c r="L557" s="1"/>
    </row>
    <row r="558">
      <c r="A558" s="110">
        <v>46209.57155115741</v>
      </c>
      <c r="B558" s="74" t="s">
        <v>210</v>
      </c>
      <c r="C558" s="74" t="s">
        <v>248</v>
      </c>
      <c r="D558" s="74" t="s">
        <v>130</v>
      </c>
      <c r="E558" s="1"/>
      <c r="F558" s="111" t="b">
        <v>1</v>
      </c>
      <c r="G558" s="111" t="b">
        <v>1</v>
      </c>
      <c r="H558" s="111" t="b">
        <v>1</v>
      </c>
      <c r="I558" s="74" t="s">
        <v>102</v>
      </c>
      <c r="J558" s="1"/>
      <c r="K558" s="1"/>
      <c r="L558" s="1"/>
    </row>
    <row r="559">
      <c r="A559" s="110">
        <v>46209.581677511575</v>
      </c>
      <c r="B559" s="74" t="s">
        <v>226</v>
      </c>
      <c r="C559" s="74" t="s">
        <v>244</v>
      </c>
      <c r="D559" s="112" t="s">
        <v>139</v>
      </c>
      <c r="E559" s="74" t="s">
        <v>227</v>
      </c>
      <c r="F559" s="111" t="b">
        <v>1</v>
      </c>
      <c r="G559" s="111" t="b">
        <v>1</v>
      </c>
      <c r="H559" s="111" t="b">
        <v>1</v>
      </c>
      <c r="I559" s="74" t="s">
        <v>147</v>
      </c>
      <c r="J559" s="1"/>
      <c r="K559" s="1"/>
      <c r="L559" s="1"/>
    </row>
    <row r="560">
      <c r="A560" s="110">
        <v>46209.59853822917</v>
      </c>
      <c r="B560" s="74" t="s">
        <v>226</v>
      </c>
      <c r="C560" s="74" t="s">
        <v>210</v>
      </c>
      <c r="D560" s="112" t="s">
        <v>139</v>
      </c>
      <c r="E560" s="74" t="s">
        <v>268</v>
      </c>
      <c r="F560" s="111" t="b">
        <v>1</v>
      </c>
      <c r="G560" s="111" t="b">
        <v>1</v>
      </c>
      <c r="H560" s="111" t="b">
        <v>1</v>
      </c>
      <c r="I560" s="74" t="s">
        <v>99</v>
      </c>
      <c r="J560" s="1"/>
      <c r="K560" s="1"/>
      <c r="L560" s="1"/>
    </row>
    <row r="561">
      <c r="A561" s="110">
        <v>46209.6046896412</v>
      </c>
      <c r="B561" s="74" t="s">
        <v>244</v>
      </c>
      <c r="C561" s="74" t="s">
        <v>248</v>
      </c>
      <c r="D561" s="112" t="s">
        <v>139</v>
      </c>
      <c r="E561" s="74" t="s">
        <v>339</v>
      </c>
      <c r="F561" s="111" t="b">
        <v>1</v>
      </c>
      <c r="G561" s="111" t="b">
        <v>1</v>
      </c>
      <c r="H561" s="111" t="b">
        <v>1</v>
      </c>
      <c r="I561" s="74" t="s">
        <v>79</v>
      </c>
      <c r="J561" s="1"/>
      <c r="K561" s="1"/>
      <c r="L561" s="1"/>
    </row>
    <row r="562">
      <c r="A562" s="110">
        <v>46209.613467048606</v>
      </c>
      <c r="B562" s="74" t="s">
        <v>226</v>
      </c>
      <c r="C562" s="74" t="s">
        <v>290</v>
      </c>
      <c r="D562" s="74" t="s">
        <v>130</v>
      </c>
      <c r="E562" s="74" t="s">
        <v>268</v>
      </c>
      <c r="F562" s="111" t="b">
        <v>1</v>
      </c>
      <c r="G562" s="111" t="b">
        <v>1</v>
      </c>
      <c r="H562" s="111" t="b">
        <v>1</v>
      </c>
      <c r="I562" s="74" t="s">
        <v>93</v>
      </c>
      <c r="J562" s="1"/>
      <c r="K562" s="1"/>
      <c r="L562" s="1"/>
    </row>
    <row r="563">
      <c r="A563" s="110">
        <v>46209.62229144676</v>
      </c>
      <c r="B563" s="74" t="s">
        <v>294</v>
      </c>
      <c r="C563" s="74" t="s">
        <v>168</v>
      </c>
      <c r="D563" s="74" t="s">
        <v>130</v>
      </c>
      <c r="E563" s="1"/>
      <c r="F563" s="111" t="b">
        <v>1</v>
      </c>
      <c r="G563" s="111" t="b">
        <v>1</v>
      </c>
      <c r="H563" s="111" t="b">
        <v>1</v>
      </c>
      <c r="I563" s="74" t="s">
        <v>93</v>
      </c>
      <c r="J563" s="1"/>
      <c r="K563" s="1"/>
      <c r="L563" s="1"/>
    </row>
    <row r="564">
      <c r="A564" s="110">
        <v>46209.63252359953</v>
      </c>
      <c r="B564" s="74" t="s">
        <v>138</v>
      </c>
      <c r="C564" s="74" t="s">
        <v>290</v>
      </c>
      <c r="D564" s="74" t="s">
        <v>130</v>
      </c>
      <c r="E564" s="1"/>
      <c r="F564" s="111" t="b">
        <v>1</v>
      </c>
      <c r="G564" s="111" t="b">
        <v>1</v>
      </c>
      <c r="H564" s="111" t="b">
        <v>1</v>
      </c>
      <c r="I564" s="74" t="s">
        <v>98</v>
      </c>
      <c r="J564" s="1"/>
      <c r="K564" s="1"/>
      <c r="L564" s="1"/>
    </row>
    <row r="565">
      <c r="A565" s="110">
        <v>46209.66325961806</v>
      </c>
      <c r="B565" s="74" t="s">
        <v>290</v>
      </c>
      <c r="C565" s="74" t="s">
        <v>313</v>
      </c>
      <c r="D565" s="112" t="s">
        <v>139</v>
      </c>
      <c r="E565" s="1"/>
      <c r="F565" s="111" t="b">
        <v>1</v>
      </c>
      <c r="G565" s="111" t="b">
        <v>1</v>
      </c>
      <c r="H565" s="111" t="b">
        <v>1</v>
      </c>
      <c r="I565" s="74" t="s">
        <v>79</v>
      </c>
      <c r="J565" s="1"/>
      <c r="K565" s="1"/>
      <c r="L565" s="1"/>
    </row>
    <row r="566">
      <c r="A566" s="110">
        <v>46209.68451520833</v>
      </c>
      <c r="B566" s="74" t="s">
        <v>176</v>
      </c>
      <c r="C566" s="74" t="s">
        <v>321</v>
      </c>
      <c r="D566" s="74" t="s">
        <v>130</v>
      </c>
      <c r="E566" s="1"/>
      <c r="F566" s="111" t="b">
        <v>1</v>
      </c>
      <c r="G566" s="111" t="b">
        <v>1</v>
      </c>
      <c r="H566" s="111" t="b">
        <v>1</v>
      </c>
      <c r="I566" s="74" t="s">
        <v>87</v>
      </c>
      <c r="J566" s="1"/>
      <c r="K566" s="1"/>
      <c r="L566" s="1"/>
    </row>
    <row r="567">
      <c r="A567" s="110">
        <v>46209.689909293986</v>
      </c>
      <c r="B567" s="74" t="s">
        <v>313</v>
      </c>
      <c r="C567" s="74" t="s">
        <v>115</v>
      </c>
      <c r="D567" s="74" t="s">
        <v>130</v>
      </c>
      <c r="E567" s="1"/>
      <c r="F567" s="111" t="b">
        <v>1</v>
      </c>
      <c r="G567" s="111" t="b">
        <v>1</v>
      </c>
      <c r="H567" s="111" t="b">
        <v>1</v>
      </c>
      <c r="I567" s="74" t="s">
        <v>97</v>
      </c>
      <c r="J567" s="1"/>
      <c r="K567" s="1"/>
      <c r="L567" s="1"/>
    </row>
    <row r="568">
      <c r="A568" s="110">
        <v>46209.70909733797</v>
      </c>
      <c r="B568" s="74" t="s">
        <v>176</v>
      </c>
      <c r="C568" s="74" t="s">
        <v>307</v>
      </c>
      <c r="D568" s="112" t="s">
        <v>139</v>
      </c>
      <c r="E568" s="1"/>
      <c r="F568" s="111" t="b">
        <v>1</v>
      </c>
      <c r="G568" s="111" t="b">
        <v>1</v>
      </c>
      <c r="H568" s="111" t="b">
        <v>1</v>
      </c>
      <c r="I568" s="74" t="s">
        <v>90</v>
      </c>
      <c r="J568" s="1"/>
      <c r="K568" s="1"/>
      <c r="L568" s="1"/>
    </row>
    <row r="569">
      <c r="A569" s="110">
        <v>46209.74834519676</v>
      </c>
      <c r="B569" s="74" t="s">
        <v>307</v>
      </c>
      <c r="C569" s="74" t="s">
        <v>146</v>
      </c>
      <c r="D569" s="112" t="s">
        <v>139</v>
      </c>
      <c r="E569" s="1"/>
      <c r="F569" s="111" t="b">
        <v>1</v>
      </c>
      <c r="G569" s="111" t="b">
        <v>1</v>
      </c>
      <c r="H569" s="111" t="b">
        <v>1</v>
      </c>
      <c r="I569" s="74" t="s">
        <v>98</v>
      </c>
      <c r="J569" s="1"/>
      <c r="K569" s="1"/>
      <c r="L569" s="1"/>
    </row>
    <row r="570">
      <c r="A570" s="110">
        <v>46209.78442026621</v>
      </c>
      <c r="B570" s="74" t="s">
        <v>319</v>
      </c>
      <c r="C570" s="74" t="s">
        <v>274</v>
      </c>
      <c r="D570" s="112" t="s">
        <v>139</v>
      </c>
      <c r="E570" s="1"/>
      <c r="F570" s="111" t="b">
        <v>1</v>
      </c>
      <c r="G570" s="111" t="b">
        <v>1</v>
      </c>
      <c r="H570" s="111" t="b">
        <v>1</v>
      </c>
      <c r="I570" s="74" t="s">
        <v>202</v>
      </c>
      <c r="J570" s="1"/>
      <c r="K570" s="1"/>
      <c r="L570" s="1"/>
    </row>
    <row r="571">
      <c r="A571" s="110">
        <v>46209.788096793985</v>
      </c>
      <c r="B571" s="74" t="s">
        <v>294</v>
      </c>
      <c r="C571" s="74" t="s">
        <v>129</v>
      </c>
      <c r="D571" s="74" t="s">
        <v>130</v>
      </c>
      <c r="E571" s="1"/>
      <c r="F571" s="111" t="b">
        <v>1</v>
      </c>
      <c r="G571" s="111" t="b">
        <v>1</v>
      </c>
      <c r="H571" s="111" t="b">
        <v>1</v>
      </c>
      <c r="I571" s="74" t="s">
        <v>90</v>
      </c>
      <c r="J571" s="1"/>
      <c r="K571" s="1"/>
      <c r="L571" s="1"/>
    </row>
    <row r="572">
      <c r="A572" s="110">
        <v>46209.7926825926</v>
      </c>
      <c r="B572" s="74" t="s">
        <v>169</v>
      </c>
      <c r="C572" s="74" t="s">
        <v>168</v>
      </c>
      <c r="D572" s="112" t="s">
        <v>139</v>
      </c>
      <c r="E572" s="1"/>
      <c r="F572" s="111" t="b">
        <v>1</v>
      </c>
      <c r="G572" s="111" t="b">
        <v>1</v>
      </c>
      <c r="H572" s="111" t="b">
        <v>1</v>
      </c>
      <c r="I572" s="74" t="s">
        <v>79</v>
      </c>
      <c r="J572" s="1"/>
      <c r="K572" s="1"/>
      <c r="L572" s="1"/>
    </row>
    <row r="573">
      <c r="A573" s="110">
        <v>46209.80677109954</v>
      </c>
      <c r="B573" s="74" t="s">
        <v>169</v>
      </c>
      <c r="C573" s="74" t="s">
        <v>148</v>
      </c>
      <c r="D573" s="112" t="s">
        <v>139</v>
      </c>
      <c r="E573" s="1"/>
      <c r="F573" s="111" t="b">
        <v>1</v>
      </c>
      <c r="G573" s="111" t="b">
        <v>1</v>
      </c>
      <c r="H573" s="111" t="b">
        <v>1</v>
      </c>
      <c r="I573" s="74" t="s">
        <v>102</v>
      </c>
      <c r="J573" s="1"/>
      <c r="K573" s="1"/>
      <c r="L573" s="1"/>
    </row>
    <row r="574">
      <c r="A574" s="110">
        <v>46209.82944216435</v>
      </c>
      <c r="B574" s="74" t="s">
        <v>319</v>
      </c>
      <c r="C574" s="74" t="s">
        <v>129</v>
      </c>
      <c r="D574" s="112" t="s">
        <v>139</v>
      </c>
      <c r="E574" s="1"/>
      <c r="F574" s="111" t="b">
        <v>1</v>
      </c>
      <c r="G574" s="111" t="b">
        <v>1</v>
      </c>
      <c r="H574" s="111" t="b">
        <v>1</v>
      </c>
      <c r="I574" s="74" t="s">
        <v>93</v>
      </c>
      <c r="J574" s="1"/>
      <c r="K574" s="1"/>
      <c r="L574" s="1"/>
    </row>
    <row r="575">
      <c r="A575" s="110">
        <v>46209.84780930556</v>
      </c>
      <c r="B575" s="74" t="s">
        <v>129</v>
      </c>
      <c r="C575" s="74" t="s">
        <v>151</v>
      </c>
      <c r="D575" s="74" t="s">
        <v>130</v>
      </c>
      <c r="E575" s="74" t="s">
        <v>167</v>
      </c>
      <c r="F575" s="111" t="b">
        <v>1</v>
      </c>
      <c r="G575" s="111" t="b">
        <v>1</v>
      </c>
      <c r="H575" s="111" t="b">
        <v>1</v>
      </c>
      <c r="I575" s="74" t="s">
        <v>87</v>
      </c>
      <c r="J575" s="1"/>
      <c r="K575" s="1"/>
      <c r="L575" s="1"/>
    </row>
    <row r="576">
      <c r="A576" s="110">
        <v>46209.8562185301</v>
      </c>
      <c r="B576" s="74" t="s">
        <v>131</v>
      </c>
      <c r="C576" s="74" t="s">
        <v>129</v>
      </c>
      <c r="D576" s="74" t="s">
        <v>130</v>
      </c>
      <c r="E576" s="1"/>
      <c r="F576" s="111" t="b">
        <v>1</v>
      </c>
      <c r="G576" s="111" t="b">
        <v>1</v>
      </c>
      <c r="H576" s="111" t="b">
        <v>1</v>
      </c>
      <c r="I576" s="74" t="s">
        <v>202</v>
      </c>
      <c r="J576" s="1"/>
      <c r="K576" s="1"/>
      <c r="L576" s="1"/>
    </row>
    <row r="577">
      <c r="A577" s="110">
        <v>46209.87578265046</v>
      </c>
      <c r="B577" s="74" t="s">
        <v>215</v>
      </c>
      <c r="C577" s="74" t="s">
        <v>131</v>
      </c>
      <c r="D577" s="74" t="s">
        <v>130</v>
      </c>
      <c r="E577" s="74" t="s">
        <v>175</v>
      </c>
      <c r="F577" s="111" t="b">
        <v>1</v>
      </c>
      <c r="G577" s="111" t="b">
        <v>1</v>
      </c>
      <c r="H577" s="111" t="b">
        <v>1</v>
      </c>
      <c r="I577" s="74" t="s">
        <v>120</v>
      </c>
      <c r="J577" s="1"/>
      <c r="K577" s="1"/>
      <c r="L577" s="1"/>
    </row>
    <row r="578">
      <c r="A578" s="110">
        <v>46209.89819175926</v>
      </c>
      <c r="B578" s="74" t="s">
        <v>267</v>
      </c>
      <c r="C578" s="74" t="s">
        <v>273</v>
      </c>
      <c r="D578" s="112" t="s">
        <v>139</v>
      </c>
      <c r="E578" s="74" t="s">
        <v>268</v>
      </c>
      <c r="F578" s="111" t="b">
        <v>1</v>
      </c>
      <c r="G578" s="111" t="b">
        <v>1</v>
      </c>
      <c r="H578" s="111" t="b">
        <v>1</v>
      </c>
      <c r="I578" s="74" t="s">
        <v>79</v>
      </c>
      <c r="J578" s="1"/>
      <c r="K578" s="1"/>
      <c r="L578" s="1"/>
    </row>
    <row r="579">
      <c r="A579" s="110">
        <v>46209.91824732639</v>
      </c>
      <c r="B579" s="74" t="s">
        <v>129</v>
      </c>
      <c r="C579" s="74" t="s">
        <v>223</v>
      </c>
      <c r="D579" s="74" t="s">
        <v>130</v>
      </c>
      <c r="E579" s="74" t="s">
        <v>167</v>
      </c>
      <c r="F579" s="111" t="b">
        <v>1</v>
      </c>
      <c r="G579" s="111" t="b">
        <v>1</v>
      </c>
      <c r="H579" s="111" t="b">
        <v>1</v>
      </c>
      <c r="I579" s="74" t="s">
        <v>90</v>
      </c>
      <c r="J579" s="1"/>
      <c r="K579" s="1"/>
      <c r="L579" s="1"/>
    </row>
    <row r="580">
      <c r="A580" s="110">
        <v>46209.93774329861</v>
      </c>
      <c r="B580" s="74" t="s">
        <v>215</v>
      </c>
      <c r="C580" s="74" t="s">
        <v>168</v>
      </c>
      <c r="D580" s="74" t="s">
        <v>130</v>
      </c>
      <c r="E580" s="74" t="s">
        <v>175</v>
      </c>
      <c r="F580" s="111" t="b">
        <v>1</v>
      </c>
      <c r="G580" s="111" t="b">
        <v>1</v>
      </c>
      <c r="H580" s="111" t="b">
        <v>1</v>
      </c>
      <c r="I580" s="74" t="s">
        <v>147</v>
      </c>
      <c r="J580" s="1"/>
      <c r="K580" s="1"/>
      <c r="L580" s="1"/>
    </row>
    <row r="581">
      <c r="A581" s="110">
        <v>46209.94661770834</v>
      </c>
      <c r="B581" s="74" t="s">
        <v>190</v>
      </c>
      <c r="C581" s="74" t="s">
        <v>224</v>
      </c>
      <c r="D581" s="74" t="s">
        <v>130</v>
      </c>
      <c r="E581" s="1"/>
      <c r="F581" s="111" t="b">
        <v>1</v>
      </c>
      <c r="G581" s="111" t="b">
        <v>1</v>
      </c>
      <c r="H581" s="111" t="b">
        <v>1</v>
      </c>
      <c r="I581" s="74" t="s">
        <v>147</v>
      </c>
      <c r="J581" s="1"/>
      <c r="K581" s="1"/>
      <c r="L581" s="1"/>
    </row>
    <row r="582">
      <c r="A582" s="110">
        <v>46209.95784263889</v>
      </c>
      <c r="B582" s="74" t="s">
        <v>271</v>
      </c>
      <c r="C582" s="74" t="s">
        <v>237</v>
      </c>
      <c r="D582" s="112" t="s">
        <v>139</v>
      </c>
      <c r="E582" s="1"/>
      <c r="F582" s="111" t="b">
        <v>1</v>
      </c>
      <c r="G582" s="111" t="b">
        <v>1</v>
      </c>
      <c r="H582" s="111" t="b">
        <v>1</v>
      </c>
      <c r="I582" s="74" t="s">
        <v>83</v>
      </c>
      <c r="J582" s="1"/>
      <c r="K582" s="1"/>
      <c r="L582" s="1"/>
    </row>
    <row r="583">
      <c r="A583" s="110">
        <v>46209.96567961806</v>
      </c>
      <c r="B583" s="74" t="s">
        <v>190</v>
      </c>
      <c r="C583" s="74" t="s">
        <v>284</v>
      </c>
      <c r="D583" s="74" t="s">
        <v>130</v>
      </c>
      <c r="E583" s="1"/>
      <c r="F583" s="111" t="b">
        <v>1</v>
      </c>
      <c r="G583" s="111" t="b">
        <v>1</v>
      </c>
      <c r="H583" s="111" t="b">
        <v>1</v>
      </c>
      <c r="I583" s="74" t="s">
        <v>95</v>
      </c>
      <c r="J583" s="1"/>
      <c r="K583" s="1"/>
      <c r="L583" s="1"/>
    </row>
    <row r="584">
      <c r="A584" s="110">
        <v>46209.972096122685</v>
      </c>
      <c r="B584" s="74" t="s">
        <v>267</v>
      </c>
      <c r="C584" s="74" t="s">
        <v>212</v>
      </c>
      <c r="D584" s="74" t="s">
        <v>130</v>
      </c>
      <c r="E584" s="1"/>
      <c r="F584" s="111" t="b">
        <v>1</v>
      </c>
      <c r="G584" s="111" t="b">
        <v>1</v>
      </c>
      <c r="H584" s="111" t="b">
        <v>1</v>
      </c>
      <c r="I584" s="74" t="s">
        <v>93</v>
      </c>
      <c r="J584" s="1"/>
      <c r="K584" s="1"/>
      <c r="L584" s="1"/>
    </row>
    <row r="585">
      <c r="A585" s="110">
        <v>46209.98482900463</v>
      </c>
      <c r="B585" s="74" t="s">
        <v>271</v>
      </c>
      <c r="C585" s="74" t="s">
        <v>233</v>
      </c>
      <c r="D585" s="112" t="s">
        <v>139</v>
      </c>
      <c r="E585" s="1"/>
      <c r="F585" s="111" t="b">
        <v>1</v>
      </c>
      <c r="G585" s="111" t="b">
        <v>1</v>
      </c>
      <c r="H585" s="111" t="b">
        <v>1</v>
      </c>
      <c r="I585" s="74" t="s">
        <v>120</v>
      </c>
      <c r="J585" s="1"/>
      <c r="K585" s="1"/>
      <c r="L585" s="1"/>
    </row>
    <row r="586">
      <c r="A586" s="110">
        <v>46209.988544074076</v>
      </c>
      <c r="B586" s="74" t="s">
        <v>247</v>
      </c>
      <c r="C586" s="74" t="s">
        <v>190</v>
      </c>
      <c r="D586" s="112" t="s">
        <v>139</v>
      </c>
      <c r="E586" s="1"/>
      <c r="F586" s="111" t="b">
        <v>1</v>
      </c>
      <c r="G586" s="111" t="b">
        <v>1</v>
      </c>
      <c r="H586" s="111" t="b">
        <v>1</v>
      </c>
      <c r="I586" s="74" t="s">
        <v>83</v>
      </c>
      <c r="J586" s="1"/>
      <c r="K586" s="1"/>
      <c r="L586" s="1"/>
    </row>
    <row r="587">
      <c r="A587" s="110">
        <v>46210.00500841435</v>
      </c>
      <c r="B587" s="74" t="s">
        <v>195</v>
      </c>
      <c r="C587" s="74" t="s">
        <v>258</v>
      </c>
      <c r="D587" s="112" t="s">
        <v>139</v>
      </c>
      <c r="E587" s="1"/>
      <c r="F587" s="111" t="b">
        <v>1</v>
      </c>
      <c r="G587" s="111" t="b">
        <v>1</v>
      </c>
      <c r="H587" s="111" t="b">
        <v>1</v>
      </c>
      <c r="I587" s="74" t="s">
        <v>202</v>
      </c>
      <c r="J587" s="1"/>
      <c r="K587" s="1"/>
      <c r="L587" s="1"/>
    </row>
    <row r="588">
      <c r="A588" s="110">
        <v>46210.01607769676</v>
      </c>
      <c r="B588" s="74" t="s">
        <v>138</v>
      </c>
      <c r="C588" s="74" t="s">
        <v>279</v>
      </c>
      <c r="D588" s="112" t="s">
        <v>139</v>
      </c>
      <c r="E588" s="1"/>
      <c r="F588" s="111" t="b">
        <v>1</v>
      </c>
      <c r="G588" s="111" t="b">
        <v>1</v>
      </c>
      <c r="H588" s="111" t="b">
        <v>1</v>
      </c>
      <c r="I588" s="74" t="s">
        <v>102</v>
      </c>
      <c r="J588" s="1"/>
      <c r="K588" s="1"/>
      <c r="L588" s="1"/>
    </row>
    <row r="589">
      <c r="A589" s="110">
        <v>46210.021938680555</v>
      </c>
      <c r="B589" s="74" t="s">
        <v>284</v>
      </c>
      <c r="C589" s="74" t="s">
        <v>170</v>
      </c>
      <c r="D589" s="112" t="s">
        <v>139</v>
      </c>
      <c r="E589" s="1"/>
      <c r="F589" s="111" t="b">
        <v>1</v>
      </c>
      <c r="G589" s="111" t="b">
        <v>1</v>
      </c>
      <c r="H589" s="111" t="b">
        <v>1</v>
      </c>
      <c r="I589" s="74" t="s">
        <v>90</v>
      </c>
      <c r="J589" s="1"/>
      <c r="K589" s="1"/>
      <c r="L589" s="1"/>
    </row>
    <row r="590">
      <c r="A590" s="110">
        <v>46210.0248222338</v>
      </c>
      <c r="B590" s="74" t="s">
        <v>271</v>
      </c>
      <c r="C590" s="74" t="s">
        <v>195</v>
      </c>
      <c r="D590" s="112" t="s">
        <v>139</v>
      </c>
      <c r="E590" s="1"/>
      <c r="F590" s="111" t="b">
        <v>1</v>
      </c>
      <c r="G590" s="111" t="b">
        <v>1</v>
      </c>
      <c r="H590" s="111" t="b">
        <v>1</v>
      </c>
      <c r="I590" s="74" t="s">
        <v>97</v>
      </c>
      <c r="J590" s="1"/>
      <c r="K590" s="1"/>
      <c r="L590" s="1"/>
    </row>
    <row r="591">
      <c r="A591" s="110">
        <v>46210.034536481486</v>
      </c>
      <c r="B591" s="74" t="s">
        <v>224</v>
      </c>
      <c r="C591" s="74" t="s">
        <v>285</v>
      </c>
      <c r="D591" s="74" t="s">
        <v>130</v>
      </c>
      <c r="E591" s="74" t="s">
        <v>167</v>
      </c>
      <c r="F591" s="111" t="b">
        <v>1</v>
      </c>
      <c r="G591" s="111" t="b">
        <v>1</v>
      </c>
      <c r="H591" s="111" t="b">
        <v>1</v>
      </c>
      <c r="I591" s="74" t="s">
        <v>85</v>
      </c>
      <c r="J591" s="1"/>
      <c r="K591" s="1"/>
      <c r="L591" s="1"/>
    </row>
    <row r="592">
      <c r="A592" s="110">
        <v>46210.04161069445</v>
      </c>
      <c r="B592" s="74" t="s">
        <v>284</v>
      </c>
      <c r="C592" s="74" t="s">
        <v>237</v>
      </c>
      <c r="D592" s="112" t="s">
        <v>139</v>
      </c>
      <c r="E592" s="1"/>
      <c r="F592" s="111" t="b">
        <v>1</v>
      </c>
      <c r="G592" s="111" t="b">
        <v>1</v>
      </c>
      <c r="H592" s="111" t="b">
        <v>1</v>
      </c>
      <c r="I592" s="74" t="s">
        <v>84</v>
      </c>
      <c r="J592" s="1"/>
      <c r="K592" s="1"/>
      <c r="L592" s="1"/>
    </row>
    <row r="593">
      <c r="A593" s="110">
        <v>46210.11719662037</v>
      </c>
      <c r="B593" s="74" t="s">
        <v>148</v>
      </c>
      <c r="C593" s="74" t="s">
        <v>305</v>
      </c>
      <c r="D593" s="74" t="s">
        <v>130</v>
      </c>
      <c r="E593" s="1"/>
      <c r="F593" s="111" t="b">
        <v>1</v>
      </c>
      <c r="G593" s="111" t="b">
        <v>1</v>
      </c>
      <c r="H593" s="111" t="b">
        <v>1</v>
      </c>
      <c r="I593" s="74" t="s">
        <v>106</v>
      </c>
      <c r="J593" s="1"/>
      <c r="K593" s="1"/>
      <c r="L593" s="1"/>
    </row>
    <row r="594">
      <c r="A594" s="110">
        <v>46210.210619108795</v>
      </c>
      <c r="B594" s="74" t="s">
        <v>160</v>
      </c>
      <c r="C594" s="74" t="s">
        <v>263</v>
      </c>
      <c r="D594" s="74" t="s">
        <v>130</v>
      </c>
      <c r="E594" s="1"/>
      <c r="F594" s="111" t="b">
        <v>1</v>
      </c>
      <c r="G594" s="111" t="b">
        <v>1</v>
      </c>
      <c r="H594" s="111" t="b">
        <v>1</v>
      </c>
      <c r="I594" s="74" t="s">
        <v>84</v>
      </c>
      <c r="J594" s="1"/>
      <c r="K594" s="1"/>
      <c r="L594" s="1"/>
    </row>
    <row r="595">
      <c r="A595" s="110">
        <v>46210.398740370365</v>
      </c>
      <c r="B595" s="74" t="s">
        <v>149</v>
      </c>
      <c r="C595" s="74" t="s">
        <v>319</v>
      </c>
      <c r="D595" s="112" t="s">
        <v>139</v>
      </c>
      <c r="E595" s="1"/>
      <c r="F595" s="111" t="b">
        <v>1</v>
      </c>
      <c r="G595" s="111" t="b">
        <v>1</v>
      </c>
      <c r="H595" s="111" t="b">
        <v>1</v>
      </c>
      <c r="I595" s="74" t="s">
        <v>81</v>
      </c>
      <c r="J595" s="1"/>
      <c r="K595" s="1"/>
      <c r="L595" s="1"/>
    </row>
    <row r="596">
      <c r="A596" s="110">
        <v>46210.409590752315</v>
      </c>
      <c r="B596" s="74" t="s">
        <v>182</v>
      </c>
      <c r="C596" s="74" t="s">
        <v>177</v>
      </c>
      <c r="D596" s="74" t="s">
        <v>130</v>
      </c>
      <c r="E596" s="1"/>
      <c r="F596" s="111" t="b">
        <v>1</v>
      </c>
      <c r="G596" s="111" t="b">
        <v>1</v>
      </c>
      <c r="H596" s="111" t="b">
        <v>1</v>
      </c>
      <c r="I596" s="74" t="s">
        <v>147</v>
      </c>
      <c r="J596" s="1"/>
      <c r="K596" s="1"/>
      <c r="L596" s="1"/>
    </row>
    <row r="597">
      <c r="A597" s="110">
        <v>46210.43993273148</v>
      </c>
      <c r="B597" s="74" t="s">
        <v>138</v>
      </c>
      <c r="C597" s="74" t="s">
        <v>177</v>
      </c>
      <c r="D597" s="112" t="s">
        <v>139</v>
      </c>
      <c r="E597" s="1"/>
      <c r="F597" s="111" t="b">
        <v>1</v>
      </c>
      <c r="G597" s="111" t="b">
        <v>1</v>
      </c>
      <c r="H597" s="111" t="b">
        <v>1</v>
      </c>
      <c r="I597" s="74" t="s">
        <v>98</v>
      </c>
      <c r="J597" s="1"/>
      <c r="K597" s="1"/>
      <c r="L597" s="1"/>
    </row>
    <row r="598">
      <c r="A598" s="110">
        <v>46210.480865254634</v>
      </c>
      <c r="B598" s="74" t="s">
        <v>177</v>
      </c>
      <c r="C598" s="74" t="s">
        <v>204</v>
      </c>
      <c r="D598" s="112" t="s">
        <v>139</v>
      </c>
      <c r="E598" s="1"/>
      <c r="F598" s="111" t="b">
        <v>1</v>
      </c>
      <c r="G598" s="111" t="b">
        <v>1</v>
      </c>
      <c r="H598" s="111" t="b">
        <v>1</v>
      </c>
      <c r="I598" s="74" t="s">
        <v>97</v>
      </c>
      <c r="J598" s="1"/>
      <c r="K598" s="1"/>
      <c r="L598" s="1"/>
    </row>
    <row r="599">
      <c r="A599" s="110">
        <v>46210.49202981481</v>
      </c>
      <c r="B599" s="74" t="s">
        <v>247</v>
      </c>
      <c r="C599" s="74" t="s">
        <v>149</v>
      </c>
      <c r="D599" s="112" t="s">
        <v>139</v>
      </c>
      <c r="E599" s="1"/>
      <c r="F599" s="111" t="b">
        <v>1</v>
      </c>
      <c r="G599" s="111" t="b">
        <v>1</v>
      </c>
      <c r="H599" s="111" t="b">
        <v>1</v>
      </c>
      <c r="I599" s="74" t="s">
        <v>118</v>
      </c>
      <c r="J599" s="1"/>
      <c r="K599" s="1"/>
      <c r="L599" s="1"/>
    </row>
    <row r="600">
      <c r="A600" s="110">
        <v>46210.49527408565</v>
      </c>
      <c r="B600" s="74" t="s">
        <v>237</v>
      </c>
      <c r="C600" s="74" t="s">
        <v>177</v>
      </c>
      <c r="D600" s="74" t="s">
        <v>130</v>
      </c>
      <c r="E600" s="74" t="s">
        <v>157</v>
      </c>
      <c r="F600" s="111" t="b">
        <v>1</v>
      </c>
      <c r="G600" s="111" t="b">
        <v>1</v>
      </c>
      <c r="H600" s="111" t="b">
        <v>1</v>
      </c>
      <c r="I600" s="74" t="s">
        <v>81</v>
      </c>
      <c r="J600" s="1"/>
      <c r="K600" s="1"/>
      <c r="L600" s="1"/>
    </row>
    <row r="601">
      <c r="A601" s="110">
        <v>46210.525029780096</v>
      </c>
      <c r="B601" s="74" t="s">
        <v>234</v>
      </c>
      <c r="C601" s="74" t="s">
        <v>321</v>
      </c>
      <c r="D601" s="112" t="s">
        <v>139</v>
      </c>
      <c r="E601" s="1"/>
      <c r="F601" s="111" t="b">
        <v>1</v>
      </c>
      <c r="G601" s="111" t="b">
        <v>1</v>
      </c>
      <c r="H601" s="111" t="b">
        <v>1</v>
      </c>
      <c r="I601" s="74" t="s">
        <v>118</v>
      </c>
      <c r="J601" s="1"/>
      <c r="K601" s="1"/>
      <c r="L601" s="1"/>
    </row>
    <row r="602">
      <c r="A602" s="110">
        <v>46210.54370034722</v>
      </c>
      <c r="B602" s="74" t="s">
        <v>150</v>
      </c>
      <c r="C602" s="74" t="s">
        <v>291</v>
      </c>
      <c r="D602" s="112" t="s">
        <v>139</v>
      </c>
      <c r="E602" s="1"/>
      <c r="F602" s="111" t="b">
        <v>1</v>
      </c>
      <c r="G602" s="111" t="b">
        <v>1</v>
      </c>
      <c r="H602" s="111" t="b">
        <v>1</v>
      </c>
      <c r="I602" s="74" t="s">
        <v>120</v>
      </c>
      <c r="J602" s="1"/>
      <c r="K602" s="1"/>
      <c r="L602" s="1"/>
    </row>
    <row r="603">
      <c r="A603" s="110">
        <v>46210.55929510416</v>
      </c>
      <c r="B603" s="74" t="s">
        <v>150</v>
      </c>
      <c r="C603" s="74" t="s">
        <v>234</v>
      </c>
      <c r="D603" s="112" t="s">
        <v>139</v>
      </c>
      <c r="E603" s="1"/>
      <c r="F603" s="111" t="b">
        <v>1</v>
      </c>
      <c r="G603" s="111" t="b">
        <v>1</v>
      </c>
      <c r="H603" s="111" t="b">
        <v>1</v>
      </c>
      <c r="I603" s="74" t="s">
        <v>84</v>
      </c>
      <c r="J603" s="1"/>
      <c r="K603" s="1"/>
      <c r="L603" s="1"/>
    </row>
    <row r="604">
      <c r="A604" s="110">
        <v>46210.61456450231</v>
      </c>
      <c r="B604" s="74" t="s">
        <v>160</v>
      </c>
      <c r="C604" s="74" t="s">
        <v>228</v>
      </c>
      <c r="D604" s="112" t="s">
        <v>139</v>
      </c>
      <c r="E604" s="1"/>
      <c r="F604" s="111" t="b">
        <v>1</v>
      </c>
      <c r="G604" s="111" t="b">
        <v>1</v>
      </c>
      <c r="H604" s="111" t="b">
        <v>1</v>
      </c>
      <c r="I604" s="74" t="s">
        <v>95</v>
      </c>
      <c r="J604" s="1"/>
      <c r="K604" s="1"/>
      <c r="L604" s="1"/>
    </row>
    <row r="605">
      <c r="A605" s="110">
        <v>46210.621946886575</v>
      </c>
      <c r="B605" s="74" t="s">
        <v>149</v>
      </c>
      <c r="C605" s="74" t="s">
        <v>226</v>
      </c>
      <c r="D605" s="112" t="s">
        <v>139</v>
      </c>
      <c r="E605" s="1"/>
      <c r="F605" s="111" t="b">
        <v>1</v>
      </c>
      <c r="G605" s="111" t="b">
        <v>1</v>
      </c>
      <c r="H605" s="111" t="b">
        <v>1</v>
      </c>
      <c r="I605" s="74" t="s">
        <v>83</v>
      </c>
      <c r="J605" s="1"/>
      <c r="K605" s="1"/>
      <c r="L605" s="1"/>
    </row>
    <row r="606">
      <c r="A606" s="110">
        <v>46210.62662234953</v>
      </c>
      <c r="B606" s="74" t="s">
        <v>183</v>
      </c>
      <c r="C606" s="74" t="s">
        <v>261</v>
      </c>
      <c r="D606" s="74" t="s">
        <v>130</v>
      </c>
      <c r="E606" s="74" t="s">
        <v>340</v>
      </c>
      <c r="F606" s="111" t="b">
        <v>1</v>
      </c>
      <c r="G606" s="111" t="b">
        <v>1</v>
      </c>
      <c r="H606" s="111" t="b">
        <v>1</v>
      </c>
      <c r="I606" s="74" t="s">
        <v>99</v>
      </c>
      <c r="J606" s="1"/>
      <c r="K606" s="1"/>
      <c r="L606" s="1"/>
    </row>
    <row r="607">
      <c r="A607" s="110">
        <v>46210.657007835645</v>
      </c>
      <c r="B607" s="74" t="s">
        <v>155</v>
      </c>
      <c r="C607" s="74" t="s">
        <v>149</v>
      </c>
      <c r="D607" s="74" t="s">
        <v>130</v>
      </c>
      <c r="E607" s="74" t="s">
        <v>157</v>
      </c>
      <c r="F607" s="111" t="b">
        <v>1</v>
      </c>
      <c r="G607" s="111" t="b">
        <v>1</v>
      </c>
      <c r="H607" s="111" t="b">
        <v>1</v>
      </c>
      <c r="I607" s="74" t="s">
        <v>98</v>
      </c>
      <c r="J607" s="1"/>
      <c r="K607" s="1"/>
      <c r="L607" s="1"/>
    </row>
    <row r="608">
      <c r="A608" s="110">
        <v>46210.65941626157</v>
      </c>
      <c r="B608" s="74" t="s">
        <v>291</v>
      </c>
      <c r="C608" s="74" t="s">
        <v>232</v>
      </c>
      <c r="D608" s="112" t="s">
        <v>139</v>
      </c>
      <c r="E608" s="1"/>
      <c r="F608" s="111" t="b">
        <v>1</v>
      </c>
      <c r="G608" s="111" t="b">
        <v>1</v>
      </c>
      <c r="H608" s="111" t="b">
        <v>1</v>
      </c>
      <c r="I608" s="74" t="s">
        <v>95</v>
      </c>
      <c r="J608" s="1"/>
      <c r="K608" s="1"/>
      <c r="L608" s="1"/>
    </row>
    <row r="609">
      <c r="A609" s="110">
        <v>46210.664952314815</v>
      </c>
      <c r="B609" s="74" t="s">
        <v>160</v>
      </c>
      <c r="C609" s="74" t="s">
        <v>177</v>
      </c>
      <c r="D609" s="74" t="s">
        <v>130</v>
      </c>
      <c r="E609" s="1"/>
      <c r="F609" s="111" t="b">
        <v>1</v>
      </c>
      <c r="G609" s="111" t="b">
        <v>1</v>
      </c>
      <c r="H609" s="111" t="b">
        <v>1</v>
      </c>
      <c r="I609" s="74" t="s">
        <v>95</v>
      </c>
      <c r="J609" s="1"/>
      <c r="K609" s="1"/>
      <c r="L609" s="1"/>
    </row>
    <row r="610">
      <c r="A610" s="110">
        <v>46210.709593113424</v>
      </c>
      <c r="B610" s="74" t="s">
        <v>141</v>
      </c>
      <c r="C610" s="74" t="s">
        <v>194</v>
      </c>
      <c r="D610" s="74" t="s">
        <v>130</v>
      </c>
      <c r="E610" s="74" t="s">
        <v>165</v>
      </c>
      <c r="F610" s="111" t="b">
        <v>1</v>
      </c>
      <c r="G610" s="111" t="b">
        <v>1</v>
      </c>
      <c r="H610" s="111" t="b">
        <v>1</v>
      </c>
      <c r="I610" s="74" t="s">
        <v>102</v>
      </c>
      <c r="J610" s="1"/>
      <c r="K610" s="1"/>
      <c r="L610" s="1"/>
    </row>
    <row r="611">
      <c r="A611" s="110">
        <v>46210.72841565972</v>
      </c>
      <c r="B611" s="74" t="s">
        <v>315</v>
      </c>
      <c r="C611" s="74" t="s">
        <v>271</v>
      </c>
      <c r="D611" s="74" t="s">
        <v>130</v>
      </c>
      <c r="E611" s="1"/>
      <c r="F611" s="111" t="b">
        <v>1</v>
      </c>
      <c r="G611" s="111" t="b">
        <v>1</v>
      </c>
      <c r="H611" s="111" t="b">
        <v>1</v>
      </c>
      <c r="I611" s="74" t="s">
        <v>79</v>
      </c>
      <c r="J611" s="1"/>
      <c r="K611" s="1"/>
      <c r="L611" s="1"/>
    </row>
    <row r="612">
      <c r="A612" s="110">
        <v>46210.75697886574</v>
      </c>
      <c r="B612" s="74" t="s">
        <v>315</v>
      </c>
      <c r="C612" s="74" t="s">
        <v>215</v>
      </c>
      <c r="D612" s="74" t="s">
        <v>130</v>
      </c>
      <c r="E612" s="1"/>
      <c r="F612" s="111" t="b">
        <v>1</v>
      </c>
      <c r="G612" s="111" t="b">
        <v>1</v>
      </c>
      <c r="H612" s="111" t="b">
        <v>1</v>
      </c>
      <c r="I612" s="74" t="s">
        <v>93</v>
      </c>
      <c r="J612" s="1"/>
      <c r="K612" s="1"/>
      <c r="L612" s="1"/>
    </row>
    <row r="613">
      <c r="A613" s="110">
        <v>46210.78382747685</v>
      </c>
      <c r="B613" s="74" t="s">
        <v>271</v>
      </c>
      <c r="C613" s="74" t="s">
        <v>274</v>
      </c>
      <c r="D613" s="74" t="s">
        <v>130</v>
      </c>
      <c r="E613" s="1"/>
      <c r="F613" s="111" t="b">
        <v>1</v>
      </c>
      <c r="G613" s="111" t="b">
        <v>1</v>
      </c>
      <c r="H613" s="111" t="b">
        <v>1</v>
      </c>
      <c r="I613" s="74" t="s">
        <v>81</v>
      </c>
      <c r="J613" s="1"/>
      <c r="K613" s="1"/>
      <c r="L613" s="1"/>
    </row>
    <row r="614">
      <c r="A614" s="110">
        <v>46210.79450157407</v>
      </c>
      <c r="B614" s="74" t="s">
        <v>233</v>
      </c>
      <c r="C614" s="74" t="s">
        <v>263</v>
      </c>
      <c r="D614" s="74" t="s">
        <v>130</v>
      </c>
      <c r="E614" s="1"/>
      <c r="F614" s="111" t="b">
        <v>1</v>
      </c>
      <c r="G614" s="111" t="b">
        <v>1</v>
      </c>
      <c r="H614" s="111" t="b">
        <v>1</v>
      </c>
      <c r="I614" s="74" t="s">
        <v>85</v>
      </c>
      <c r="J614" s="1"/>
      <c r="K614" s="1"/>
      <c r="L614" s="1"/>
    </row>
    <row r="615">
      <c r="A615" s="110">
        <v>46210.82711413194</v>
      </c>
      <c r="B615" s="74" t="s">
        <v>237</v>
      </c>
      <c r="C615" s="74" t="s">
        <v>263</v>
      </c>
      <c r="D615" s="74" t="s">
        <v>130</v>
      </c>
      <c r="E615" s="74" t="s">
        <v>157</v>
      </c>
      <c r="F615" s="111" t="b">
        <v>1</v>
      </c>
      <c r="G615" s="111" t="b">
        <v>1</v>
      </c>
      <c r="H615" s="111" t="b">
        <v>1</v>
      </c>
      <c r="I615" s="74" t="s">
        <v>79</v>
      </c>
      <c r="J615" s="1"/>
      <c r="K615" s="1"/>
      <c r="L615" s="1"/>
    </row>
    <row r="616">
      <c r="A616" s="110">
        <v>46210.85874909722</v>
      </c>
      <c r="B616" s="74" t="s">
        <v>256</v>
      </c>
      <c r="C616" s="74" t="s">
        <v>263</v>
      </c>
      <c r="D616" s="74" t="s">
        <v>130</v>
      </c>
      <c r="E616" s="74" t="s">
        <v>192</v>
      </c>
      <c r="F616" s="111" t="b">
        <v>1</v>
      </c>
      <c r="G616" s="111" t="b">
        <v>1</v>
      </c>
      <c r="H616" s="111" t="b">
        <v>1</v>
      </c>
      <c r="I616" s="74" t="s">
        <v>147</v>
      </c>
      <c r="J616" s="1"/>
      <c r="K616" s="1"/>
      <c r="L616" s="1"/>
    </row>
    <row r="617">
      <c r="A617" s="110">
        <v>46210.85968523148</v>
      </c>
      <c r="B617" s="74" t="s">
        <v>224</v>
      </c>
      <c r="C617" s="74" t="s">
        <v>245</v>
      </c>
      <c r="D617" s="74" t="s">
        <v>130</v>
      </c>
      <c r="E617" s="74" t="s">
        <v>167</v>
      </c>
      <c r="F617" s="111" t="b">
        <v>1</v>
      </c>
      <c r="G617" s="111" t="b">
        <v>1</v>
      </c>
      <c r="H617" s="111" t="b">
        <v>1</v>
      </c>
      <c r="I617" s="74" t="s">
        <v>85</v>
      </c>
      <c r="J617" s="1"/>
      <c r="K617" s="1"/>
      <c r="L617" s="1"/>
    </row>
    <row r="618">
      <c r="A618" s="110">
        <v>46210.87791460648</v>
      </c>
      <c r="B618" s="74" t="s">
        <v>218</v>
      </c>
      <c r="C618" s="74" t="s">
        <v>215</v>
      </c>
      <c r="D618" s="112" t="s">
        <v>139</v>
      </c>
      <c r="E618" s="1"/>
      <c r="F618" s="111" t="b">
        <v>1</v>
      </c>
      <c r="G618" s="111" t="b">
        <v>1</v>
      </c>
      <c r="H618" s="111" t="b">
        <v>1</v>
      </c>
      <c r="I618" s="74" t="s">
        <v>120</v>
      </c>
      <c r="J618" s="1"/>
      <c r="K618" s="1"/>
      <c r="L618" s="1"/>
    </row>
    <row r="619">
      <c r="A619" s="110">
        <v>46210.88616563658</v>
      </c>
      <c r="B619" s="74" t="s">
        <v>286</v>
      </c>
      <c r="C619" s="74" t="s">
        <v>282</v>
      </c>
      <c r="D619" s="112" t="s">
        <v>139</v>
      </c>
      <c r="E619" s="74" t="s">
        <v>341</v>
      </c>
      <c r="F619" s="111" t="b">
        <v>1</v>
      </c>
      <c r="G619" s="111" t="b">
        <v>1</v>
      </c>
      <c r="H619" s="111" t="b">
        <v>1</v>
      </c>
      <c r="I619" s="74" t="s">
        <v>202</v>
      </c>
      <c r="J619" s="1"/>
      <c r="K619" s="1"/>
      <c r="L619" s="1"/>
    </row>
    <row r="620">
      <c r="A620" s="110">
        <v>46210.88765568287</v>
      </c>
      <c r="B620" s="74" t="s">
        <v>214</v>
      </c>
      <c r="C620" s="74" t="s">
        <v>218</v>
      </c>
      <c r="D620" s="74" t="s">
        <v>130</v>
      </c>
      <c r="E620" s="74" t="s">
        <v>167</v>
      </c>
      <c r="F620" s="111" t="b">
        <v>1</v>
      </c>
      <c r="G620" s="111" t="b">
        <v>1</v>
      </c>
      <c r="H620" s="111" t="b">
        <v>1</v>
      </c>
      <c r="I620" s="74" t="s">
        <v>85</v>
      </c>
      <c r="J620" s="1"/>
      <c r="K620" s="1"/>
      <c r="L620" s="1"/>
    </row>
    <row r="621">
      <c r="A621" s="110">
        <v>46210.918313472226</v>
      </c>
      <c r="B621" s="74" t="s">
        <v>214</v>
      </c>
      <c r="C621" s="74" t="s">
        <v>282</v>
      </c>
      <c r="D621" s="112" t="s">
        <v>139</v>
      </c>
      <c r="E621" s="74" t="s">
        <v>167</v>
      </c>
      <c r="F621" s="111" t="b">
        <v>1</v>
      </c>
      <c r="G621" s="111" t="b">
        <v>1</v>
      </c>
      <c r="H621" s="111" t="b">
        <v>1</v>
      </c>
      <c r="I621" s="74" t="s">
        <v>118</v>
      </c>
      <c r="J621" s="1"/>
      <c r="K621" s="1"/>
      <c r="L621" s="1"/>
    </row>
    <row r="622">
      <c r="A622" s="110">
        <v>46210.92801815972</v>
      </c>
      <c r="B622" s="74" t="s">
        <v>247</v>
      </c>
      <c r="C622" s="74" t="s">
        <v>179</v>
      </c>
      <c r="D622" s="74" t="s">
        <v>130</v>
      </c>
      <c r="E622" s="1"/>
      <c r="F622" s="111" t="b">
        <v>1</v>
      </c>
      <c r="G622" s="111" t="b">
        <v>1</v>
      </c>
      <c r="H622" s="111" t="b">
        <v>1</v>
      </c>
      <c r="I622" s="74" t="s">
        <v>93</v>
      </c>
      <c r="J622" s="1"/>
      <c r="K622" s="1"/>
      <c r="L622" s="1"/>
    </row>
    <row r="623">
      <c r="A623" s="110">
        <v>46210.9296016088</v>
      </c>
      <c r="B623" s="74" t="s">
        <v>267</v>
      </c>
      <c r="C623" s="74" t="s">
        <v>302</v>
      </c>
      <c r="D623" s="74" t="s">
        <v>130</v>
      </c>
      <c r="E623" s="74" t="s">
        <v>268</v>
      </c>
      <c r="F623" s="111" t="b">
        <v>1</v>
      </c>
      <c r="G623" s="111" t="b">
        <v>1</v>
      </c>
      <c r="H623" s="111" t="b">
        <v>1</v>
      </c>
      <c r="I623" s="74" t="s">
        <v>87</v>
      </c>
      <c r="J623" s="1"/>
      <c r="K623" s="1"/>
      <c r="L623" s="1"/>
    </row>
    <row r="624">
      <c r="A624" s="110">
        <v>46210.93773321759</v>
      </c>
      <c r="B624" s="74" t="s">
        <v>279</v>
      </c>
      <c r="C624" s="74" t="s">
        <v>228</v>
      </c>
      <c r="D624" s="74" t="s">
        <v>130</v>
      </c>
      <c r="E624" s="1"/>
      <c r="F624" s="111" t="b">
        <v>1</v>
      </c>
      <c r="G624" s="111" t="b">
        <v>1</v>
      </c>
      <c r="H624" s="111" t="b">
        <v>1</v>
      </c>
      <c r="I624" s="74" t="s">
        <v>83</v>
      </c>
      <c r="J624" s="1"/>
      <c r="K624" s="1"/>
      <c r="L624" s="1"/>
    </row>
    <row r="625">
      <c r="A625" s="110">
        <v>46210.93908971065</v>
      </c>
      <c r="B625" s="74" t="s">
        <v>280</v>
      </c>
      <c r="C625" s="74" t="s">
        <v>174</v>
      </c>
      <c r="D625" s="74" t="s">
        <v>130</v>
      </c>
      <c r="E625" s="1"/>
      <c r="F625" s="111" t="b">
        <v>1</v>
      </c>
      <c r="G625" s="111" t="b">
        <v>1</v>
      </c>
      <c r="H625" s="111" t="b">
        <v>1</v>
      </c>
      <c r="I625" s="74" t="s">
        <v>90</v>
      </c>
      <c r="J625" s="1"/>
      <c r="K625" s="1"/>
      <c r="L625" s="1"/>
    </row>
    <row r="626">
      <c r="A626" s="110">
        <v>46210.94954288194</v>
      </c>
      <c r="B626" s="74" t="s">
        <v>183</v>
      </c>
      <c r="C626" s="74" t="s">
        <v>247</v>
      </c>
      <c r="D626" s="112" t="s">
        <v>139</v>
      </c>
      <c r="E626" s="74" t="s">
        <v>167</v>
      </c>
      <c r="F626" s="111" t="b">
        <v>1</v>
      </c>
      <c r="G626" s="111" t="b">
        <v>1</v>
      </c>
      <c r="H626" s="111" t="b">
        <v>1</v>
      </c>
      <c r="I626" s="74" t="s">
        <v>102</v>
      </c>
      <c r="J626" s="1"/>
      <c r="K626" s="1"/>
      <c r="L626" s="1"/>
    </row>
    <row r="627">
      <c r="A627" s="110">
        <v>46210.971687743055</v>
      </c>
      <c r="B627" s="74" t="s">
        <v>302</v>
      </c>
      <c r="C627" s="74" t="s">
        <v>179</v>
      </c>
      <c r="D627" s="112" t="s">
        <v>139</v>
      </c>
      <c r="E627" s="1"/>
      <c r="F627" s="111" t="b">
        <v>1</v>
      </c>
      <c r="G627" s="111" t="b">
        <v>1</v>
      </c>
      <c r="H627" s="111" t="b">
        <v>1</v>
      </c>
      <c r="I627" s="74" t="s">
        <v>98</v>
      </c>
      <c r="J627" s="1"/>
      <c r="K627" s="1"/>
      <c r="L627" s="1"/>
    </row>
    <row r="628">
      <c r="A628" s="110">
        <v>46210.98596854167</v>
      </c>
      <c r="B628" s="74" t="s">
        <v>247</v>
      </c>
      <c r="C628" s="74" t="s">
        <v>287</v>
      </c>
      <c r="D628" s="112" t="s">
        <v>139</v>
      </c>
      <c r="E628" s="1"/>
      <c r="F628" s="111" t="b">
        <v>1</v>
      </c>
      <c r="G628" s="111" t="b">
        <v>1</v>
      </c>
      <c r="H628" s="111" t="b">
        <v>1</v>
      </c>
      <c r="I628" s="74" t="s">
        <v>87</v>
      </c>
      <c r="J628" s="1"/>
      <c r="K628" s="1"/>
      <c r="L628" s="1"/>
    </row>
    <row r="629">
      <c r="A629" s="110">
        <v>46211.00026767361</v>
      </c>
      <c r="B629" s="74" t="s">
        <v>198</v>
      </c>
      <c r="C629" s="74" t="s">
        <v>200</v>
      </c>
      <c r="D629" s="112" t="s">
        <v>139</v>
      </c>
      <c r="E629" s="74" t="s">
        <v>165</v>
      </c>
      <c r="F629" s="111" t="b">
        <v>1</v>
      </c>
      <c r="G629" s="111" t="b">
        <v>1</v>
      </c>
      <c r="H629" s="111" t="b">
        <v>1</v>
      </c>
      <c r="I629" s="74" t="s">
        <v>83</v>
      </c>
      <c r="J629" s="1"/>
      <c r="K629" s="1"/>
      <c r="L629" s="1"/>
    </row>
    <row r="630">
      <c r="A630" s="110">
        <v>46211.025245717596</v>
      </c>
      <c r="B630" s="74" t="s">
        <v>278</v>
      </c>
      <c r="C630" s="74" t="s">
        <v>198</v>
      </c>
      <c r="D630" s="112" t="s">
        <v>139</v>
      </c>
      <c r="E630" s="74" t="s">
        <v>157</v>
      </c>
      <c r="F630" s="111" t="b">
        <v>1</v>
      </c>
      <c r="G630" s="111" t="b">
        <v>1</v>
      </c>
      <c r="H630" s="111" t="b">
        <v>1</v>
      </c>
      <c r="I630" s="74" t="s">
        <v>85</v>
      </c>
      <c r="J630" s="1"/>
      <c r="K630" s="1"/>
      <c r="L630" s="1"/>
    </row>
    <row r="631">
      <c r="A631" s="110">
        <v>46211.34043658565</v>
      </c>
      <c r="B631" s="74" t="s">
        <v>138</v>
      </c>
      <c r="C631" s="74" t="s">
        <v>244</v>
      </c>
      <c r="D631" s="112" t="s">
        <v>139</v>
      </c>
      <c r="E631" s="1"/>
      <c r="F631" s="111" t="b">
        <v>1</v>
      </c>
      <c r="G631" s="111" t="b">
        <v>1</v>
      </c>
      <c r="H631" s="111" t="b">
        <v>1</v>
      </c>
      <c r="I631" s="74" t="s">
        <v>147</v>
      </c>
      <c r="J631" s="1"/>
      <c r="K631" s="1"/>
      <c r="L631" s="1"/>
    </row>
    <row r="632">
      <c r="A632" s="110">
        <v>46211.38711311342</v>
      </c>
      <c r="B632" s="74" t="s">
        <v>314</v>
      </c>
      <c r="C632" s="74" t="s">
        <v>244</v>
      </c>
      <c r="D632" s="74" t="s">
        <v>130</v>
      </c>
      <c r="E632" s="1"/>
      <c r="F632" s="111" t="b">
        <v>1</v>
      </c>
      <c r="G632" s="111" t="b">
        <v>1</v>
      </c>
      <c r="H632" s="111" t="b">
        <v>1</v>
      </c>
      <c r="I632" s="74" t="s">
        <v>102</v>
      </c>
      <c r="J632" s="1"/>
      <c r="K632" s="1"/>
      <c r="L632" s="1"/>
    </row>
    <row r="633">
      <c r="A633" s="110">
        <v>46211.514873356486</v>
      </c>
      <c r="B633" s="74" t="s">
        <v>174</v>
      </c>
      <c r="C633" s="74" t="s">
        <v>222</v>
      </c>
      <c r="D633" s="112" t="s">
        <v>139</v>
      </c>
      <c r="E633" s="74" t="s">
        <v>165</v>
      </c>
      <c r="F633" s="111" t="b">
        <v>1</v>
      </c>
      <c r="G633" s="111" t="b">
        <v>1</v>
      </c>
      <c r="H633" s="111" t="b">
        <v>1</v>
      </c>
      <c r="I633" s="74" t="s">
        <v>99</v>
      </c>
      <c r="J633" s="1"/>
      <c r="K633" s="1"/>
      <c r="L633" s="1"/>
    </row>
    <row r="634">
      <c r="A634" s="110">
        <v>46211.522975960645</v>
      </c>
      <c r="B634" s="74" t="s">
        <v>291</v>
      </c>
      <c r="C634" s="74" t="s">
        <v>214</v>
      </c>
      <c r="D634" s="112" t="s">
        <v>139</v>
      </c>
      <c r="E634" s="1"/>
      <c r="F634" s="111" t="b">
        <v>1</v>
      </c>
      <c r="G634" s="111" t="b">
        <v>1</v>
      </c>
      <c r="H634" s="111" t="b">
        <v>1</v>
      </c>
      <c r="I634" s="74" t="s">
        <v>147</v>
      </c>
      <c r="J634" s="1"/>
      <c r="K634" s="1"/>
      <c r="L634" s="1"/>
    </row>
    <row r="635">
      <c r="A635" s="110">
        <v>46211.537783148146</v>
      </c>
      <c r="B635" s="74" t="s">
        <v>219</v>
      </c>
      <c r="C635" s="74" t="s">
        <v>174</v>
      </c>
      <c r="D635" s="112" t="s">
        <v>139</v>
      </c>
      <c r="E635" s="74" t="s">
        <v>342</v>
      </c>
      <c r="F635" s="111" t="b">
        <v>1</v>
      </c>
      <c r="G635" s="111" t="b">
        <v>1</v>
      </c>
      <c r="H635" s="111" t="b">
        <v>1</v>
      </c>
      <c r="I635" s="74" t="s">
        <v>93</v>
      </c>
      <c r="J635" s="1"/>
      <c r="K635" s="1"/>
      <c r="L635" s="1"/>
    </row>
    <row r="636">
      <c r="A636" s="110">
        <v>46211.566461319446</v>
      </c>
      <c r="B636" s="74" t="s">
        <v>219</v>
      </c>
      <c r="C636" s="74" t="s">
        <v>103</v>
      </c>
      <c r="D636" s="74" t="s">
        <v>130</v>
      </c>
      <c r="E636" s="1"/>
      <c r="F636" s="111" t="b">
        <v>1</v>
      </c>
      <c r="G636" s="111" t="b">
        <v>1</v>
      </c>
      <c r="H636" s="1"/>
      <c r="I636" s="74" t="s">
        <v>147</v>
      </c>
      <c r="J636" s="1"/>
      <c r="K636" s="1"/>
      <c r="L636" s="1"/>
    </row>
    <row r="637">
      <c r="A637" s="110">
        <v>46211.5866745949</v>
      </c>
      <c r="B637" s="74" t="s">
        <v>219</v>
      </c>
      <c r="C637" s="74" t="s">
        <v>222</v>
      </c>
      <c r="D637" s="112" t="s">
        <v>139</v>
      </c>
      <c r="E637" s="1"/>
      <c r="F637" s="111" t="b">
        <v>1</v>
      </c>
      <c r="G637" s="111" t="b">
        <v>1</v>
      </c>
      <c r="H637" s="111" t="b">
        <v>1</v>
      </c>
      <c r="I637" s="74" t="s">
        <v>81</v>
      </c>
      <c r="J637" s="1"/>
      <c r="K637" s="1"/>
      <c r="L637" s="1"/>
    </row>
    <row r="638">
      <c r="A638" s="110">
        <v>46211.59872596065</v>
      </c>
      <c r="B638" s="74" t="s">
        <v>142</v>
      </c>
      <c r="C638" s="74" t="s">
        <v>272</v>
      </c>
      <c r="D638" s="74" t="s">
        <v>130</v>
      </c>
      <c r="E638" s="74" t="s">
        <v>175</v>
      </c>
      <c r="F638" s="111" t="b">
        <v>1</v>
      </c>
      <c r="G638" s="111" t="b">
        <v>1</v>
      </c>
      <c r="H638" s="111" t="b">
        <v>1</v>
      </c>
      <c r="I638" s="74" t="s">
        <v>90</v>
      </c>
      <c r="J638" s="1"/>
      <c r="K638" s="1"/>
      <c r="L638" s="1"/>
    </row>
    <row r="639">
      <c r="A639" s="110">
        <v>46211.61619880787</v>
      </c>
      <c r="B639" s="74" t="s">
        <v>222</v>
      </c>
      <c r="C639" s="74" t="s">
        <v>311</v>
      </c>
      <c r="D639" s="112" t="s">
        <v>139</v>
      </c>
      <c r="E639" s="1"/>
      <c r="F639" s="111" t="b">
        <v>1</v>
      </c>
      <c r="G639" s="111" t="b">
        <v>1</v>
      </c>
      <c r="H639" s="111" t="b">
        <v>1</v>
      </c>
      <c r="I639" s="74" t="s">
        <v>202</v>
      </c>
      <c r="J639" s="1"/>
      <c r="K639" s="1"/>
      <c r="L639" s="1"/>
    </row>
    <row r="640">
      <c r="A640" s="110">
        <v>46211.62434174768</v>
      </c>
      <c r="B640" s="74" t="s">
        <v>142</v>
      </c>
      <c r="C640" s="74" t="s">
        <v>214</v>
      </c>
      <c r="D640" s="74" t="s">
        <v>130</v>
      </c>
      <c r="E640" s="74" t="s">
        <v>268</v>
      </c>
      <c r="F640" s="111" t="b">
        <v>1</v>
      </c>
      <c r="G640" s="111" t="b">
        <v>1</v>
      </c>
      <c r="H640" s="111" t="b">
        <v>1</v>
      </c>
      <c r="I640" s="74" t="s">
        <v>118</v>
      </c>
      <c r="J640" s="1"/>
      <c r="K640" s="1"/>
      <c r="L640" s="1"/>
    </row>
    <row r="641">
      <c r="A641" s="110">
        <v>46211.642457326394</v>
      </c>
      <c r="B641" s="74" t="s">
        <v>261</v>
      </c>
      <c r="C641" s="74" t="s">
        <v>272</v>
      </c>
      <c r="D641" s="112" t="s">
        <v>139</v>
      </c>
      <c r="E641" s="1"/>
      <c r="F641" s="111" t="b">
        <v>1</v>
      </c>
      <c r="G641" s="111" t="b">
        <v>1</v>
      </c>
      <c r="H641" s="111" t="b">
        <v>1</v>
      </c>
      <c r="I641" s="74" t="s">
        <v>147</v>
      </c>
      <c r="J641" s="1"/>
      <c r="K641" s="1"/>
      <c r="L641" s="1"/>
    </row>
    <row r="642">
      <c r="A642" s="110">
        <v>46211.663662569445</v>
      </c>
      <c r="B642" s="74" t="s">
        <v>142</v>
      </c>
      <c r="C642" s="74" t="s">
        <v>320</v>
      </c>
      <c r="D642" s="74" t="s">
        <v>130</v>
      </c>
      <c r="E642" s="74" t="s">
        <v>268</v>
      </c>
      <c r="F642" s="111" t="b">
        <v>1</v>
      </c>
      <c r="G642" s="111" t="b">
        <v>1</v>
      </c>
      <c r="H642" s="111" t="b">
        <v>1</v>
      </c>
      <c r="I642" s="74" t="s">
        <v>85</v>
      </c>
      <c r="J642" s="1"/>
      <c r="K642" s="1"/>
      <c r="L642" s="1"/>
    </row>
    <row r="643">
      <c r="A643" s="110">
        <v>46211.68275245371</v>
      </c>
      <c r="B643" s="74" t="s">
        <v>243</v>
      </c>
      <c r="C643" s="74" t="s">
        <v>314</v>
      </c>
      <c r="D643" s="74" t="s">
        <v>130</v>
      </c>
      <c r="E643" s="1"/>
      <c r="F643" s="111" t="b">
        <v>1</v>
      </c>
      <c r="G643" s="111" t="b">
        <v>1</v>
      </c>
      <c r="H643" s="111" t="b">
        <v>1</v>
      </c>
      <c r="I643" s="74" t="s">
        <v>90</v>
      </c>
      <c r="J643" s="1"/>
      <c r="K643" s="1"/>
      <c r="L643" s="1"/>
    </row>
    <row r="644">
      <c r="A644" s="110">
        <v>46211.68366440972</v>
      </c>
      <c r="B644" s="74" t="s">
        <v>195</v>
      </c>
      <c r="C644" s="74" t="s">
        <v>219</v>
      </c>
      <c r="D644" s="112" t="s">
        <v>139</v>
      </c>
      <c r="E644" s="1"/>
      <c r="F644" s="111" t="b">
        <v>1</v>
      </c>
      <c r="G644" s="111" t="b">
        <v>1</v>
      </c>
      <c r="H644" s="111" t="b">
        <v>1</v>
      </c>
      <c r="I644" s="74" t="s">
        <v>81</v>
      </c>
      <c r="J644" s="1"/>
      <c r="K644" s="1"/>
      <c r="L644" s="1"/>
    </row>
    <row r="645">
      <c r="A645" s="110">
        <v>46211.69123237269</v>
      </c>
      <c r="B645" s="74" t="s">
        <v>142</v>
      </c>
      <c r="C645" s="74" t="s">
        <v>146</v>
      </c>
      <c r="D645" s="112" t="s">
        <v>139</v>
      </c>
      <c r="E645" s="74" t="s">
        <v>268</v>
      </c>
      <c r="F645" s="111" t="b">
        <v>1</v>
      </c>
      <c r="G645" s="111" t="b">
        <v>1</v>
      </c>
      <c r="H645" s="111" t="b">
        <v>1</v>
      </c>
      <c r="I645" s="74" t="s">
        <v>118</v>
      </c>
      <c r="J645" s="1"/>
      <c r="K645" s="1"/>
      <c r="L645" s="1"/>
    </row>
    <row r="646">
      <c r="A646" s="110">
        <v>46211.716684363426</v>
      </c>
      <c r="B646" s="74" t="s">
        <v>219</v>
      </c>
      <c r="C646" s="74" t="s">
        <v>142</v>
      </c>
      <c r="D646" s="112" t="s">
        <v>139</v>
      </c>
      <c r="E646" s="1"/>
      <c r="F646" s="111" t="b">
        <v>1</v>
      </c>
      <c r="G646" s="111" t="b">
        <v>1</v>
      </c>
      <c r="H646" s="111" t="b">
        <v>1</v>
      </c>
      <c r="I646" s="74" t="s">
        <v>83</v>
      </c>
      <c r="J646" s="1"/>
      <c r="K646" s="1"/>
      <c r="L646" s="1"/>
    </row>
    <row r="647">
      <c r="A647" s="110">
        <v>46211.72641944444</v>
      </c>
      <c r="B647" s="74" t="s">
        <v>243</v>
      </c>
      <c r="C647" s="74" t="s">
        <v>146</v>
      </c>
      <c r="D647" s="112" t="s">
        <v>139</v>
      </c>
      <c r="E647" s="74" t="s">
        <v>249</v>
      </c>
      <c r="F647" s="111" t="b">
        <v>1</v>
      </c>
      <c r="G647" s="111" t="b">
        <v>1</v>
      </c>
      <c r="H647" s="111" t="b">
        <v>1</v>
      </c>
      <c r="I647" s="74" t="s">
        <v>98</v>
      </c>
      <c r="J647" s="1"/>
      <c r="K647" s="1"/>
      <c r="L647" s="1"/>
    </row>
    <row r="648">
      <c r="A648" s="110">
        <v>46211.727915358795</v>
      </c>
      <c r="B648" s="74" t="s">
        <v>251</v>
      </c>
      <c r="C648" s="74" t="s">
        <v>218</v>
      </c>
      <c r="D648" s="74" t="s">
        <v>130</v>
      </c>
      <c r="E648" s="74" t="s">
        <v>343</v>
      </c>
      <c r="F648" s="111" t="b">
        <v>1</v>
      </c>
      <c r="G648" s="111" t="b">
        <v>1</v>
      </c>
      <c r="H648" s="111" t="b">
        <v>1</v>
      </c>
      <c r="I648" s="74" t="s">
        <v>97</v>
      </c>
      <c r="J648" s="1"/>
      <c r="K648" s="1"/>
      <c r="L648" s="1"/>
    </row>
    <row r="649">
      <c r="A649" s="110">
        <v>46211.751841122685</v>
      </c>
      <c r="B649" s="74" t="s">
        <v>152</v>
      </c>
      <c r="C649" s="74" t="s">
        <v>208</v>
      </c>
      <c r="D649" s="112" t="s">
        <v>139</v>
      </c>
      <c r="E649" s="1"/>
      <c r="F649" s="111" t="b">
        <v>1</v>
      </c>
      <c r="G649" s="111" t="b">
        <v>1</v>
      </c>
      <c r="H649" s="111" t="b">
        <v>1</v>
      </c>
      <c r="I649" s="74" t="s">
        <v>120</v>
      </c>
      <c r="J649" s="1"/>
      <c r="K649" s="1"/>
      <c r="L649" s="1"/>
    </row>
    <row r="650">
      <c r="A650" s="110">
        <v>46211.76504799769</v>
      </c>
      <c r="B650" s="74" t="s">
        <v>278</v>
      </c>
      <c r="C650" s="74" t="s">
        <v>214</v>
      </c>
      <c r="D650" s="112" t="s">
        <v>139</v>
      </c>
      <c r="E650" s="1"/>
      <c r="F650" s="111" t="b">
        <v>1</v>
      </c>
      <c r="G650" s="111" t="b">
        <v>1</v>
      </c>
      <c r="H650" s="111" t="b">
        <v>1</v>
      </c>
      <c r="I650" s="74" t="s">
        <v>85</v>
      </c>
      <c r="J650" s="1"/>
      <c r="K650" s="1"/>
      <c r="L650" s="1"/>
    </row>
    <row r="651">
      <c r="A651" s="110">
        <v>46211.774125625</v>
      </c>
      <c r="B651" s="74" t="s">
        <v>307</v>
      </c>
      <c r="C651" s="74" t="s">
        <v>243</v>
      </c>
      <c r="D651" s="112" t="s">
        <v>139</v>
      </c>
      <c r="E651" s="1"/>
      <c r="F651" s="111" t="b">
        <v>1</v>
      </c>
      <c r="G651" s="111" t="b">
        <v>1</v>
      </c>
      <c r="H651" s="111" t="b">
        <v>1</v>
      </c>
      <c r="I651" s="74" t="s">
        <v>87</v>
      </c>
      <c r="J651" s="1"/>
      <c r="K651" s="1"/>
      <c r="L651" s="1"/>
    </row>
    <row r="652">
      <c r="A652" s="110">
        <v>46211.78141538195</v>
      </c>
      <c r="B652" s="74" t="s">
        <v>203</v>
      </c>
      <c r="C652" s="74" t="s">
        <v>280</v>
      </c>
      <c r="D652" s="112" t="s">
        <v>139</v>
      </c>
      <c r="E652" s="1"/>
      <c r="F652" s="111" t="b">
        <v>1</v>
      </c>
      <c r="G652" s="111" t="b">
        <v>1</v>
      </c>
      <c r="H652" s="111" t="b">
        <v>1</v>
      </c>
      <c r="I652" s="74" t="s">
        <v>83</v>
      </c>
      <c r="J652" s="1"/>
      <c r="K652" s="1"/>
      <c r="L652" s="1"/>
    </row>
    <row r="653">
      <c r="A653" s="110">
        <v>46211.78674966435</v>
      </c>
      <c r="B653" s="74" t="s">
        <v>89</v>
      </c>
      <c r="C653" s="74" t="s">
        <v>294</v>
      </c>
      <c r="D653" s="74" t="s">
        <v>130</v>
      </c>
      <c r="E653" s="1"/>
      <c r="F653" s="111" t="b">
        <v>1</v>
      </c>
      <c r="G653" s="111" t="b">
        <v>1</v>
      </c>
      <c r="H653" s="111" t="b">
        <v>1</v>
      </c>
      <c r="I653" s="74" t="s">
        <v>120</v>
      </c>
      <c r="J653" s="1"/>
      <c r="K653" s="1"/>
      <c r="L653" s="1"/>
    </row>
    <row r="654">
      <c r="A654" s="110">
        <v>46211.78691603009</v>
      </c>
      <c r="B654" s="74" t="s">
        <v>233</v>
      </c>
      <c r="C654" s="74" t="s">
        <v>278</v>
      </c>
      <c r="D654" s="74" t="s">
        <v>130</v>
      </c>
      <c r="E654" s="74" t="s">
        <v>157</v>
      </c>
      <c r="F654" s="111" t="b">
        <v>1</v>
      </c>
      <c r="G654" s="111" t="b">
        <v>1</v>
      </c>
      <c r="H654" s="111" t="b">
        <v>1</v>
      </c>
      <c r="I654" s="74" t="s">
        <v>93</v>
      </c>
      <c r="J654" s="1"/>
      <c r="K654" s="1"/>
      <c r="L654" s="1"/>
    </row>
    <row r="655">
      <c r="A655" s="110">
        <v>46211.79814135417</v>
      </c>
      <c r="B655" s="74" t="s">
        <v>89</v>
      </c>
      <c r="C655" s="74" t="s">
        <v>233</v>
      </c>
      <c r="D655" s="74" t="s">
        <v>130</v>
      </c>
      <c r="E655" s="74" t="s">
        <v>167</v>
      </c>
      <c r="F655" s="111" t="b">
        <v>1</v>
      </c>
      <c r="G655" s="111" t="b">
        <v>1</v>
      </c>
      <c r="H655" s="111" t="b">
        <v>1</v>
      </c>
      <c r="I655" s="74" t="s">
        <v>102</v>
      </c>
      <c r="J655" s="1"/>
      <c r="K655" s="1"/>
      <c r="L655" s="1"/>
    </row>
    <row r="656">
      <c r="A656" s="110">
        <v>46211.809442673606</v>
      </c>
      <c r="B656" s="74" t="s">
        <v>280</v>
      </c>
      <c r="C656" s="74" t="s">
        <v>311</v>
      </c>
      <c r="D656" s="74" t="s">
        <v>130</v>
      </c>
      <c r="E656" s="1"/>
      <c r="F656" s="111" t="b">
        <v>1</v>
      </c>
      <c r="G656" s="111" t="b">
        <v>1</v>
      </c>
      <c r="H656" s="111" t="b">
        <v>1</v>
      </c>
      <c r="I656" s="74" t="s">
        <v>93</v>
      </c>
      <c r="J656" s="1"/>
      <c r="K656" s="1"/>
      <c r="L656" s="1"/>
    </row>
    <row r="657">
      <c r="A657" s="110">
        <v>46211.82095634259</v>
      </c>
      <c r="B657" s="74" t="s">
        <v>233</v>
      </c>
      <c r="C657" s="74" t="s">
        <v>169</v>
      </c>
      <c r="D657" s="112" t="s">
        <v>139</v>
      </c>
      <c r="E657" s="1"/>
      <c r="F657" s="111" t="b">
        <v>1</v>
      </c>
      <c r="G657" s="111" t="b">
        <v>1</v>
      </c>
      <c r="H657" s="111" t="b">
        <v>1</v>
      </c>
      <c r="I657" s="74" t="s">
        <v>147</v>
      </c>
      <c r="J657" s="1"/>
      <c r="K657" s="1"/>
      <c r="L657" s="1"/>
    </row>
    <row r="658">
      <c r="A658" s="110">
        <v>46211.844707094904</v>
      </c>
      <c r="B658" s="74" t="s">
        <v>200</v>
      </c>
      <c r="C658" s="74" t="s">
        <v>203</v>
      </c>
      <c r="D658" s="74" t="s">
        <v>130</v>
      </c>
      <c r="E658" s="74" t="s">
        <v>344</v>
      </c>
      <c r="F658" s="111" t="b">
        <v>1</v>
      </c>
      <c r="G658" s="111" t="b">
        <v>1</v>
      </c>
      <c r="H658" s="111" t="b">
        <v>1</v>
      </c>
      <c r="I658" s="74" t="s">
        <v>83</v>
      </c>
      <c r="J658" s="1"/>
      <c r="K658" s="1"/>
      <c r="L658" s="1"/>
    </row>
    <row r="659">
      <c r="A659" s="110">
        <v>46211.873099606484</v>
      </c>
      <c r="B659" s="74" t="s">
        <v>280</v>
      </c>
      <c r="C659" s="74" t="s">
        <v>305</v>
      </c>
      <c r="D659" s="112" t="s">
        <v>139</v>
      </c>
      <c r="E659" s="1"/>
      <c r="F659" s="111" t="b">
        <v>1</v>
      </c>
      <c r="G659" s="111" t="b">
        <v>1</v>
      </c>
      <c r="H659" s="111" t="b">
        <v>1</v>
      </c>
      <c r="I659" s="74" t="s">
        <v>97</v>
      </c>
      <c r="J659" s="1"/>
      <c r="K659" s="1"/>
      <c r="L659" s="1"/>
    </row>
    <row r="660">
      <c r="A660" s="110">
        <v>46211.89269703704</v>
      </c>
      <c r="B660" s="74" t="s">
        <v>232</v>
      </c>
      <c r="C660" s="74" t="s">
        <v>133</v>
      </c>
      <c r="D660" s="112" t="s">
        <v>139</v>
      </c>
      <c r="E660" s="1"/>
      <c r="F660" s="111" t="b">
        <v>1</v>
      </c>
      <c r="G660" s="111" t="b">
        <v>1</v>
      </c>
      <c r="H660" s="111" t="b">
        <v>1</v>
      </c>
      <c r="I660" s="74" t="s">
        <v>106</v>
      </c>
      <c r="J660" s="1"/>
      <c r="K660" s="1"/>
      <c r="L660" s="1"/>
    </row>
    <row r="661">
      <c r="A661" s="110">
        <v>46211.89445923611</v>
      </c>
      <c r="B661" s="74" t="s">
        <v>250</v>
      </c>
      <c r="C661" s="74" t="s">
        <v>256</v>
      </c>
      <c r="D661" s="74" t="s">
        <v>130</v>
      </c>
      <c r="E661" s="74" t="s">
        <v>157</v>
      </c>
      <c r="F661" s="111" t="b">
        <v>1</v>
      </c>
      <c r="G661" s="111" t="b">
        <v>1</v>
      </c>
      <c r="H661" s="111" t="b">
        <v>1</v>
      </c>
      <c r="I661" s="74" t="s">
        <v>147</v>
      </c>
      <c r="J661" s="1"/>
      <c r="K661" s="1"/>
      <c r="L661" s="1"/>
    </row>
    <row r="662">
      <c r="A662" s="110">
        <v>46211.89983784722</v>
      </c>
      <c r="B662" s="74" t="s">
        <v>137</v>
      </c>
      <c r="C662" s="74" t="s">
        <v>110</v>
      </c>
      <c r="D662" s="112" t="s">
        <v>139</v>
      </c>
      <c r="E662" s="1"/>
      <c r="F662" s="111" t="b">
        <v>1</v>
      </c>
      <c r="G662" s="111" t="b">
        <v>1</v>
      </c>
      <c r="H662" s="111" t="b">
        <v>1</v>
      </c>
      <c r="I662" s="74" t="s">
        <v>93</v>
      </c>
      <c r="J662" s="1"/>
      <c r="K662" s="1"/>
      <c r="L662" s="1"/>
    </row>
    <row r="663">
      <c r="A663" s="110">
        <v>46211.9094428588</v>
      </c>
      <c r="B663" s="74" t="s">
        <v>280</v>
      </c>
      <c r="C663" s="74" t="s">
        <v>250</v>
      </c>
      <c r="D663" s="74" t="s">
        <v>130</v>
      </c>
      <c r="E663" s="1"/>
      <c r="F663" s="111" t="b">
        <v>1</v>
      </c>
      <c r="G663" s="111" t="b">
        <v>1</v>
      </c>
      <c r="H663" s="111" t="b">
        <v>1</v>
      </c>
      <c r="I663" s="74" t="s">
        <v>118</v>
      </c>
      <c r="J663" s="1"/>
      <c r="K663" s="1"/>
      <c r="L663" s="1"/>
    </row>
    <row r="664">
      <c r="A664" s="110">
        <v>46211.9256168287</v>
      </c>
      <c r="B664" s="74" t="s">
        <v>302</v>
      </c>
      <c r="C664" s="74" t="s">
        <v>110</v>
      </c>
      <c r="D664" s="74" t="s">
        <v>130</v>
      </c>
      <c r="E664" s="1"/>
      <c r="F664" s="111" t="b">
        <v>1</v>
      </c>
      <c r="G664" s="111" t="b">
        <v>1</v>
      </c>
      <c r="H664" s="111" t="b">
        <v>1</v>
      </c>
      <c r="I664" s="74" t="s">
        <v>79</v>
      </c>
      <c r="J664" s="1"/>
      <c r="K664" s="1"/>
      <c r="L664" s="1"/>
    </row>
    <row r="665">
      <c r="A665" s="110">
        <v>46211.928058310186</v>
      </c>
      <c r="B665" s="74" t="s">
        <v>168</v>
      </c>
      <c r="C665" s="74" t="s">
        <v>122</v>
      </c>
      <c r="D665" s="112" t="s">
        <v>139</v>
      </c>
      <c r="E665" s="1"/>
      <c r="F665" s="111" t="b">
        <v>1</v>
      </c>
      <c r="G665" s="111" t="b">
        <v>1</v>
      </c>
      <c r="H665" s="111" t="b">
        <v>1</v>
      </c>
      <c r="I665" s="74" t="s">
        <v>97</v>
      </c>
      <c r="J665" s="1"/>
      <c r="K665" s="1"/>
      <c r="L665" s="1"/>
    </row>
    <row r="666">
      <c r="A666" s="110">
        <v>46211.93642549768</v>
      </c>
      <c r="B666" s="74" t="s">
        <v>279</v>
      </c>
      <c r="C666" s="74" t="s">
        <v>179</v>
      </c>
      <c r="D666" s="112" t="s">
        <v>139</v>
      </c>
      <c r="E666" s="1"/>
      <c r="F666" s="111" t="b">
        <v>1</v>
      </c>
      <c r="G666" s="111" t="b">
        <v>1</v>
      </c>
      <c r="H666" s="111" t="b">
        <v>1</v>
      </c>
      <c r="I666" s="74" t="s">
        <v>147</v>
      </c>
      <c r="J666" s="1"/>
      <c r="K666" s="1"/>
      <c r="L666" s="1"/>
    </row>
    <row r="667">
      <c r="A667" s="110">
        <v>46211.937674201385</v>
      </c>
      <c r="B667" s="74" t="s">
        <v>137</v>
      </c>
      <c r="C667" s="74" t="s">
        <v>283</v>
      </c>
      <c r="D667" s="112" t="s">
        <v>139</v>
      </c>
      <c r="E667" s="1"/>
      <c r="F667" s="111" t="b">
        <v>1</v>
      </c>
      <c r="G667" s="111" t="b">
        <v>1</v>
      </c>
      <c r="H667" s="111" t="b">
        <v>1</v>
      </c>
      <c r="I667" s="74" t="s">
        <v>147</v>
      </c>
      <c r="J667" s="1"/>
      <c r="K667" s="1"/>
      <c r="L667" s="1"/>
    </row>
    <row r="668">
      <c r="A668" s="110">
        <v>46211.93860824074</v>
      </c>
      <c r="B668" s="74" t="s">
        <v>304</v>
      </c>
      <c r="C668" s="74" t="s">
        <v>256</v>
      </c>
      <c r="D668" s="112" t="s">
        <v>139</v>
      </c>
      <c r="E668" s="1"/>
      <c r="F668" s="111" t="b">
        <v>1</v>
      </c>
      <c r="G668" s="111" t="b">
        <v>1</v>
      </c>
      <c r="H668" s="111" t="b">
        <v>1</v>
      </c>
      <c r="I668" s="74" t="s">
        <v>81</v>
      </c>
      <c r="J668" s="1"/>
      <c r="K668" s="1"/>
      <c r="L668" s="1"/>
    </row>
    <row r="669">
      <c r="A669" s="110">
        <v>46211.95653791667</v>
      </c>
      <c r="B669" s="74" t="s">
        <v>195</v>
      </c>
      <c r="C669" s="74" t="s">
        <v>179</v>
      </c>
      <c r="D669" s="74" t="s">
        <v>130</v>
      </c>
      <c r="E669" s="1"/>
      <c r="F669" s="111" t="b">
        <v>1</v>
      </c>
      <c r="G669" s="111" t="b">
        <v>1</v>
      </c>
      <c r="H669" s="111" t="b">
        <v>1</v>
      </c>
      <c r="I669" s="74" t="s">
        <v>120</v>
      </c>
      <c r="J669" s="1"/>
      <c r="K669" s="1"/>
      <c r="L669" s="1"/>
    </row>
    <row r="670">
      <c r="A670" s="110">
        <v>46211.95756270833</v>
      </c>
      <c r="B670" s="74" t="s">
        <v>212</v>
      </c>
      <c r="C670" s="74" t="s">
        <v>168</v>
      </c>
      <c r="D670" s="112" t="s">
        <v>139</v>
      </c>
      <c r="E670" s="1"/>
      <c r="F670" s="111" t="b">
        <v>1</v>
      </c>
      <c r="G670" s="111" t="b">
        <v>1</v>
      </c>
      <c r="H670" s="111" t="b">
        <v>1</v>
      </c>
      <c r="I670" s="74" t="s">
        <v>118</v>
      </c>
      <c r="J670" s="1"/>
      <c r="K670" s="1"/>
      <c r="L670" s="1"/>
    </row>
    <row r="671">
      <c r="A671" s="110">
        <v>46211.96781386574</v>
      </c>
      <c r="B671" s="74" t="s">
        <v>283</v>
      </c>
      <c r="C671" s="74" t="s">
        <v>287</v>
      </c>
      <c r="D671" s="74" t="s">
        <v>130</v>
      </c>
      <c r="E671" s="74" t="s">
        <v>345</v>
      </c>
      <c r="F671" s="111" t="b">
        <v>1</v>
      </c>
      <c r="G671" s="111" t="b">
        <v>1</v>
      </c>
      <c r="H671" s="111" t="b">
        <v>1</v>
      </c>
      <c r="I671" s="74" t="s">
        <v>202</v>
      </c>
      <c r="J671" s="1"/>
      <c r="K671" s="1"/>
      <c r="L671" s="1"/>
    </row>
    <row r="672">
      <c r="A672" s="110">
        <v>46211.972168541666</v>
      </c>
      <c r="B672" s="74" t="s">
        <v>195</v>
      </c>
      <c r="C672" s="74" t="s">
        <v>265</v>
      </c>
      <c r="D672" s="74" t="s">
        <v>130</v>
      </c>
      <c r="E672" s="1"/>
      <c r="F672" s="111" t="b">
        <v>1</v>
      </c>
      <c r="G672" s="111" t="b">
        <v>1</v>
      </c>
      <c r="H672" s="111" t="b">
        <v>1</v>
      </c>
      <c r="I672" s="74" t="s">
        <v>102</v>
      </c>
      <c r="J672" s="1"/>
      <c r="K672" s="1"/>
      <c r="L672" s="1"/>
    </row>
    <row r="673">
      <c r="A673" s="110">
        <v>46211.980157777776</v>
      </c>
      <c r="B673" s="74" t="s">
        <v>199</v>
      </c>
      <c r="C673" s="74" t="s">
        <v>200</v>
      </c>
      <c r="D673" s="112" t="s">
        <v>139</v>
      </c>
      <c r="E673" s="1"/>
      <c r="F673" s="111" t="b">
        <v>1</v>
      </c>
      <c r="G673" s="111" t="b">
        <v>1</v>
      </c>
      <c r="H673" s="111" t="b">
        <v>1</v>
      </c>
      <c r="I673" s="74" t="s">
        <v>85</v>
      </c>
      <c r="J673" s="1"/>
      <c r="K673" s="1"/>
      <c r="L673" s="1"/>
    </row>
    <row r="674">
      <c r="A674" s="110">
        <v>46212.00847997685</v>
      </c>
      <c r="B674" s="74" t="s">
        <v>212</v>
      </c>
      <c r="C674" s="74" t="s">
        <v>133</v>
      </c>
      <c r="D674" s="74" t="s">
        <v>130</v>
      </c>
      <c r="E674" s="1"/>
      <c r="F674" s="111" t="b">
        <v>1</v>
      </c>
      <c r="G674" s="111" t="b">
        <v>1</v>
      </c>
      <c r="H674" s="111" t="b">
        <v>1</v>
      </c>
      <c r="I674" s="74" t="s">
        <v>83</v>
      </c>
      <c r="J674" s="1"/>
      <c r="K674" s="1"/>
      <c r="L674" s="1"/>
    </row>
    <row r="675">
      <c r="A675" s="110">
        <v>46212.0308965625</v>
      </c>
      <c r="B675" s="74" t="s">
        <v>305</v>
      </c>
      <c r="C675" s="74" t="s">
        <v>279</v>
      </c>
      <c r="D675" s="112" t="s">
        <v>139</v>
      </c>
      <c r="E675" s="74" t="s">
        <v>192</v>
      </c>
      <c r="F675" s="111" t="b">
        <v>1</v>
      </c>
      <c r="G675" s="111" t="b">
        <v>1</v>
      </c>
      <c r="H675" s="111" t="b">
        <v>1</v>
      </c>
      <c r="I675" s="74" t="s">
        <v>102</v>
      </c>
      <c r="J675" s="1"/>
      <c r="K675" s="1"/>
      <c r="L675" s="1"/>
    </row>
    <row r="676">
      <c r="A676" s="110">
        <v>46212.057475775466</v>
      </c>
      <c r="B676" s="74" t="s">
        <v>285</v>
      </c>
      <c r="C676" s="74" t="s">
        <v>279</v>
      </c>
      <c r="D676" s="74" t="s">
        <v>130</v>
      </c>
      <c r="E676" s="1"/>
      <c r="F676" s="111" t="b">
        <v>1</v>
      </c>
      <c r="G676" s="111" t="b">
        <v>1</v>
      </c>
      <c r="H676" s="111" t="b">
        <v>1</v>
      </c>
      <c r="I676" s="74" t="s">
        <v>95</v>
      </c>
      <c r="J676" s="1"/>
      <c r="K676" s="1"/>
      <c r="L676" s="1"/>
    </row>
    <row r="677">
      <c r="A677" s="110">
        <v>46212.05805575231</v>
      </c>
      <c r="B677" s="74" t="s">
        <v>288</v>
      </c>
      <c r="C677" s="74" t="s">
        <v>133</v>
      </c>
      <c r="D677" s="112" t="s">
        <v>139</v>
      </c>
      <c r="E677" s="74" t="s">
        <v>268</v>
      </c>
      <c r="F677" s="111" t="b">
        <v>1</v>
      </c>
      <c r="G677" s="111" t="b">
        <v>1</v>
      </c>
      <c r="H677" s="111" t="b">
        <v>1</v>
      </c>
      <c r="I677" s="74" t="s">
        <v>79</v>
      </c>
      <c r="J677" s="1"/>
      <c r="K677" s="1"/>
      <c r="L677" s="1"/>
    </row>
    <row r="678">
      <c r="A678" s="110">
        <v>46212.063750243055</v>
      </c>
      <c r="B678" s="74" t="s">
        <v>142</v>
      </c>
      <c r="C678" s="74" t="s">
        <v>186</v>
      </c>
      <c r="D678" s="74" t="s">
        <v>130</v>
      </c>
      <c r="E678" s="74" t="s">
        <v>346</v>
      </c>
      <c r="F678" s="111" t="b">
        <v>1</v>
      </c>
      <c r="G678" s="111" t="b">
        <v>1</v>
      </c>
      <c r="H678" s="111" t="b">
        <v>1</v>
      </c>
      <c r="I678" s="74" t="s">
        <v>95</v>
      </c>
      <c r="J678" s="1"/>
      <c r="K678" s="1"/>
      <c r="L678" s="1"/>
    </row>
    <row r="679">
      <c r="A679" s="110">
        <v>46212.08312376158</v>
      </c>
      <c r="B679" s="74" t="s">
        <v>279</v>
      </c>
      <c r="C679" s="74" t="s">
        <v>186</v>
      </c>
      <c r="D679" s="74" t="s">
        <v>130</v>
      </c>
      <c r="E679" s="1"/>
      <c r="F679" s="111" t="b">
        <v>1</v>
      </c>
      <c r="G679" s="111" t="b">
        <v>1</v>
      </c>
      <c r="H679" s="111" t="b">
        <v>1</v>
      </c>
      <c r="I679" s="74" t="s">
        <v>93</v>
      </c>
      <c r="J679" s="1"/>
      <c r="K679" s="1"/>
      <c r="L679" s="1"/>
    </row>
    <row r="680">
      <c r="A680" s="110">
        <v>46212.09956803241</v>
      </c>
      <c r="B680" s="74" t="s">
        <v>288</v>
      </c>
      <c r="C680" s="74" t="s">
        <v>155</v>
      </c>
      <c r="D680" s="74" t="s">
        <v>130</v>
      </c>
      <c r="E680" s="74" t="s">
        <v>268</v>
      </c>
      <c r="F680" s="111" t="b">
        <v>1</v>
      </c>
      <c r="G680" s="111" t="b">
        <v>1</v>
      </c>
      <c r="H680" s="111" t="b">
        <v>1</v>
      </c>
      <c r="I680" s="74" t="s">
        <v>202</v>
      </c>
      <c r="J680" s="1"/>
      <c r="K680" s="1"/>
      <c r="L680" s="1"/>
    </row>
    <row r="681">
      <c r="A681" s="110">
        <v>46212.10398886574</v>
      </c>
      <c r="B681" s="74" t="s">
        <v>186</v>
      </c>
      <c r="C681" s="74" t="s">
        <v>305</v>
      </c>
      <c r="D681" s="74" t="s">
        <v>130</v>
      </c>
      <c r="E681" s="1"/>
      <c r="F681" s="111" t="b">
        <v>1</v>
      </c>
      <c r="G681" s="111" t="b">
        <v>1</v>
      </c>
      <c r="H681" s="111" t="b">
        <v>1</v>
      </c>
      <c r="I681" s="74" t="s">
        <v>97</v>
      </c>
      <c r="J681" s="1"/>
      <c r="K681" s="1"/>
      <c r="L681" s="1"/>
    </row>
    <row r="682">
      <c r="A682" s="110">
        <v>46212.50070483796</v>
      </c>
      <c r="B682" s="74" t="s">
        <v>194</v>
      </c>
      <c r="C682" s="74" t="s">
        <v>182</v>
      </c>
      <c r="D682" s="112" t="s">
        <v>139</v>
      </c>
      <c r="E682" s="1"/>
      <c r="F682" s="111" t="b">
        <v>1</v>
      </c>
      <c r="G682" s="111" t="b">
        <v>1</v>
      </c>
      <c r="H682" s="111" t="b">
        <v>1</v>
      </c>
      <c r="I682" s="74" t="s">
        <v>99</v>
      </c>
      <c r="J682" s="1"/>
      <c r="K682" s="1"/>
      <c r="L682" s="1"/>
    </row>
    <row r="683">
      <c r="A683" s="110">
        <v>46212.53782164352</v>
      </c>
      <c r="B683" s="74" t="s">
        <v>186</v>
      </c>
      <c r="C683" s="74" t="s">
        <v>265</v>
      </c>
      <c r="D683" s="112" t="s">
        <v>139</v>
      </c>
      <c r="E683" s="1"/>
      <c r="F683" s="111" t="b">
        <v>1</v>
      </c>
      <c r="G683" s="111" t="b">
        <v>1</v>
      </c>
      <c r="H683" s="111" t="b">
        <v>1</v>
      </c>
      <c r="I683" s="74" t="s">
        <v>79</v>
      </c>
      <c r="J683" s="1"/>
      <c r="K683" s="1"/>
      <c r="L683" s="1"/>
    </row>
    <row r="684">
      <c r="A684" s="110">
        <v>46212.54433334491</v>
      </c>
      <c r="B684" s="74" t="s">
        <v>182</v>
      </c>
      <c r="C684" s="74" t="s">
        <v>291</v>
      </c>
      <c r="D684" s="112" t="s">
        <v>139</v>
      </c>
      <c r="E684" s="1"/>
      <c r="F684" s="111" t="b">
        <v>1</v>
      </c>
      <c r="G684" s="111" t="b">
        <v>1</v>
      </c>
      <c r="H684" s="111" t="b">
        <v>1</v>
      </c>
      <c r="I684" s="74" t="s">
        <v>118</v>
      </c>
      <c r="J684" s="1"/>
      <c r="K684" s="1"/>
      <c r="L684" s="1"/>
    </row>
    <row r="685">
      <c r="A685" s="110">
        <v>46212.54840122686</v>
      </c>
      <c r="B685" s="74" t="s">
        <v>314</v>
      </c>
      <c r="C685" s="74" t="s">
        <v>115</v>
      </c>
      <c r="D685" s="74" t="s">
        <v>130</v>
      </c>
      <c r="E685" s="1"/>
      <c r="F685" s="111" t="b">
        <v>1</v>
      </c>
      <c r="G685" s="111" t="b">
        <v>1</v>
      </c>
      <c r="H685" s="111" t="b">
        <v>1</v>
      </c>
      <c r="I685" s="74" t="s">
        <v>98</v>
      </c>
      <c r="J685" s="1"/>
      <c r="K685" s="1"/>
      <c r="L685" s="1"/>
    </row>
    <row r="686">
      <c r="A686" s="110">
        <v>46212.553753518514</v>
      </c>
      <c r="B686" s="74" t="s">
        <v>186</v>
      </c>
      <c r="C686" s="74" t="s">
        <v>311</v>
      </c>
      <c r="D686" s="74" t="s">
        <v>130</v>
      </c>
      <c r="E686" s="1"/>
      <c r="F686" s="111" t="b">
        <v>1</v>
      </c>
      <c r="G686" s="111" t="b">
        <v>1</v>
      </c>
      <c r="H686" s="111" t="b">
        <v>1</v>
      </c>
      <c r="I686" s="74" t="s">
        <v>85</v>
      </c>
      <c r="J686" s="1"/>
      <c r="K686" s="1"/>
      <c r="L686" s="1"/>
    </row>
    <row r="687">
      <c r="A687" s="110">
        <v>46212.55708894676</v>
      </c>
      <c r="B687" s="74" t="s">
        <v>291</v>
      </c>
      <c r="C687" s="74" t="s">
        <v>265</v>
      </c>
      <c r="D687" s="74" t="s">
        <v>130</v>
      </c>
      <c r="E687" s="1"/>
      <c r="F687" s="111" t="b">
        <v>1</v>
      </c>
      <c r="G687" s="111" t="b">
        <v>1</v>
      </c>
      <c r="H687" s="111" t="b">
        <v>1</v>
      </c>
      <c r="I687" s="74" t="s">
        <v>97</v>
      </c>
      <c r="J687" s="1"/>
      <c r="K687" s="1"/>
      <c r="L687" s="1"/>
    </row>
    <row r="688">
      <c r="A688" s="110">
        <v>46212.56962553241</v>
      </c>
      <c r="B688" s="74" t="s">
        <v>314</v>
      </c>
      <c r="C688" s="74" t="s">
        <v>311</v>
      </c>
      <c r="D688" s="74" t="s">
        <v>130</v>
      </c>
      <c r="E688" s="1"/>
      <c r="F688" s="111" t="b">
        <v>1</v>
      </c>
      <c r="G688" s="111" t="b">
        <v>1</v>
      </c>
      <c r="H688" s="111" t="b">
        <v>1</v>
      </c>
      <c r="I688" s="74" t="s">
        <v>102</v>
      </c>
      <c r="J688" s="1"/>
      <c r="K688" s="1"/>
      <c r="L688" s="1"/>
    </row>
    <row r="689">
      <c r="A689" s="110">
        <v>46212.59431231482</v>
      </c>
      <c r="B689" s="74" t="s">
        <v>313</v>
      </c>
      <c r="C689" s="74" t="s">
        <v>265</v>
      </c>
      <c r="D689" s="74" t="s">
        <v>130</v>
      </c>
      <c r="E689" s="1"/>
      <c r="F689" s="111" t="b">
        <v>1</v>
      </c>
      <c r="G689" s="111" t="b">
        <v>1</v>
      </c>
      <c r="H689" s="111" t="b">
        <v>1</v>
      </c>
      <c r="I689" s="74" t="s">
        <v>98</v>
      </c>
      <c r="J689" s="1"/>
      <c r="K689" s="1"/>
      <c r="L689" s="1"/>
    </row>
    <row r="690">
      <c r="A690" s="110">
        <v>46212.59655938657</v>
      </c>
      <c r="B690" s="74" t="s">
        <v>232</v>
      </c>
      <c r="C690" s="74" t="s">
        <v>303</v>
      </c>
      <c r="D690" s="74" t="s">
        <v>130</v>
      </c>
      <c r="E690" s="74" t="s">
        <v>167</v>
      </c>
      <c r="F690" s="111" t="b">
        <v>1</v>
      </c>
      <c r="G690" s="111" t="b">
        <v>1</v>
      </c>
      <c r="H690" s="111" t="b">
        <v>1</v>
      </c>
      <c r="I690" s="74" t="s">
        <v>95</v>
      </c>
      <c r="J690" s="1"/>
      <c r="K690" s="1"/>
      <c r="L690" s="1"/>
    </row>
    <row r="691">
      <c r="A691" s="110">
        <v>46212.612707430555</v>
      </c>
      <c r="B691" s="74" t="s">
        <v>194</v>
      </c>
      <c r="C691" s="74" t="s">
        <v>314</v>
      </c>
      <c r="D691" s="112" t="s">
        <v>139</v>
      </c>
      <c r="E691" s="1"/>
      <c r="F691" s="111" t="b">
        <v>1</v>
      </c>
      <c r="G691" s="111" t="b">
        <v>1</v>
      </c>
      <c r="H691" s="111" t="b">
        <v>1</v>
      </c>
      <c r="I691" s="74" t="s">
        <v>87</v>
      </c>
      <c r="J691" s="1"/>
      <c r="K691" s="1"/>
      <c r="L691" s="1"/>
    </row>
    <row r="692">
      <c r="A692" s="110">
        <v>46212.61382351852</v>
      </c>
      <c r="B692" s="74" t="s">
        <v>311</v>
      </c>
      <c r="C692" s="74" t="s">
        <v>265</v>
      </c>
      <c r="D692" s="74" t="s">
        <v>130</v>
      </c>
      <c r="E692" s="1"/>
      <c r="F692" s="111" t="b">
        <v>1</v>
      </c>
      <c r="G692" s="111" t="b">
        <v>1</v>
      </c>
      <c r="H692" s="111" t="b">
        <v>1</v>
      </c>
      <c r="I692" s="74" t="s">
        <v>118</v>
      </c>
      <c r="J692" s="1"/>
      <c r="K692" s="1"/>
      <c r="L692" s="1"/>
    </row>
    <row r="693">
      <c r="A693" s="110">
        <v>46212.63464833333</v>
      </c>
      <c r="B693" s="74" t="s">
        <v>212</v>
      </c>
      <c r="C693" s="74" t="s">
        <v>313</v>
      </c>
      <c r="D693" s="74" t="s">
        <v>130</v>
      </c>
      <c r="E693" s="1"/>
      <c r="F693" s="111" t="b">
        <v>1</v>
      </c>
      <c r="G693" s="111" t="b">
        <v>1</v>
      </c>
      <c r="H693" s="111" t="b">
        <v>1</v>
      </c>
      <c r="I693" s="74" t="s">
        <v>102</v>
      </c>
      <c r="J693" s="1"/>
      <c r="K693" s="1"/>
      <c r="L693" s="1"/>
    </row>
    <row r="694">
      <c r="A694" s="110">
        <v>46212.74427090278</v>
      </c>
      <c r="B694" s="74" t="s">
        <v>273</v>
      </c>
      <c r="C694" s="74" t="s">
        <v>161</v>
      </c>
      <c r="D694" s="74" t="s">
        <v>130</v>
      </c>
      <c r="E694" s="74" t="s">
        <v>249</v>
      </c>
      <c r="F694" s="111" t="b">
        <v>1</v>
      </c>
      <c r="G694" s="111" t="b">
        <v>1</v>
      </c>
      <c r="H694" s="111" t="b">
        <v>1</v>
      </c>
      <c r="I694" s="74" t="s">
        <v>83</v>
      </c>
      <c r="J694" s="1"/>
      <c r="K694" s="1"/>
      <c r="L694" s="1"/>
    </row>
    <row r="695">
      <c r="A695" s="110">
        <v>46212.7617237963</v>
      </c>
      <c r="B695" s="74" t="s">
        <v>273</v>
      </c>
      <c r="C695" s="74" t="s">
        <v>282</v>
      </c>
      <c r="D695" s="74" t="s">
        <v>130</v>
      </c>
      <c r="E695" s="74" t="s">
        <v>249</v>
      </c>
      <c r="F695" s="111" t="b">
        <v>1</v>
      </c>
      <c r="G695" s="111" t="b">
        <v>1</v>
      </c>
      <c r="H695" s="111" t="b">
        <v>1</v>
      </c>
      <c r="I695" s="74" t="s">
        <v>95</v>
      </c>
      <c r="J695" s="1"/>
      <c r="K695" s="1"/>
      <c r="L695" s="1"/>
    </row>
    <row r="696">
      <c r="A696" s="110">
        <v>46212.7650569213</v>
      </c>
      <c r="B696" s="74" t="s">
        <v>319</v>
      </c>
      <c r="C696" s="74" t="s">
        <v>229</v>
      </c>
      <c r="D696" s="74" t="s">
        <v>130</v>
      </c>
      <c r="E696" s="1"/>
      <c r="F696" s="111" t="b">
        <v>1</v>
      </c>
      <c r="G696" s="111" t="b">
        <v>1</v>
      </c>
      <c r="H696" s="111" t="b">
        <v>1</v>
      </c>
      <c r="I696" s="74" t="s">
        <v>85</v>
      </c>
      <c r="J696" s="1"/>
      <c r="K696" s="1"/>
      <c r="L696" s="1"/>
    </row>
    <row r="697">
      <c r="A697" s="110">
        <v>46212.788333993056</v>
      </c>
      <c r="B697" s="74" t="s">
        <v>315</v>
      </c>
      <c r="C697" s="74" t="s">
        <v>265</v>
      </c>
      <c r="D697" s="74" t="s">
        <v>130</v>
      </c>
      <c r="E697" s="1"/>
      <c r="F697" s="111" t="b">
        <v>1</v>
      </c>
      <c r="G697" s="111" t="b">
        <v>1</v>
      </c>
      <c r="H697" s="111" t="b">
        <v>1</v>
      </c>
      <c r="I697" s="74" t="s">
        <v>95</v>
      </c>
      <c r="J697" s="1"/>
      <c r="K697" s="1"/>
      <c r="L697" s="1"/>
    </row>
    <row r="698">
      <c r="A698" s="110">
        <v>46212.78861715278</v>
      </c>
      <c r="B698" s="74" t="s">
        <v>273</v>
      </c>
      <c r="C698" s="74" t="s">
        <v>313</v>
      </c>
      <c r="D698" s="112" t="s">
        <v>139</v>
      </c>
      <c r="E698" s="74" t="s">
        <v>249</v>
      </c>
      <c r="F698" s="111" t="b">
        <v>1</v>
      </c>
      <c r="G698" s="111" t="b">
        <v>1</v>
      </c>
      <c r="H698" s="111" t="b">
        <v>1</v>
      </c>
      <c r="I698" s="74" t="s">
        <v>81</v>
      </c>
      <c r="J698" s="1"/>
      <c r="K698" s="1"/>
      <c r="L698" s="1"/>
    </row>
    <row r="699">
      <c r="A699" s="110">
        <v>46212.8021203588</v>
      </c>
      <c r="B699" s="74" t="s">
        <v>208</v>
      </c>
      <c r="C699" s="74" t="s">
        <v>229</v>
      </c>
      <c r="D699" s="112" t="s">
        <v>139</v>
      </c>
      <c r="E699" s="74" t="s">
        <v>347</v>
      </c>
      <c r="F699" s="111" t="b">
        <v>1</v>
      </c>
      <c r="G699" s="111" t="b">
        <v>1</v>
      </c>
      <c r="H699" s="111" t="b">
        <v>1</v>
      </c>
      <c r="I699" s="74" t="s">
        <v>98</v>
      </c>
      <c r="J699" s="1"/>
      <c r="K699" s="1"/>
      <c r="L699" s="1"/>
    </row>
    <row r="700">
      <c r="A700" s="110">
        <v>46212.806222824074</v>
      </c>
      <c r="B700" s="74" t="s">
        <v>274</v>
      </c>
      <c r="C700" s="74" t="s">
        <v>272</v>
      </c>
      <c r="D700" s="112" t="s">
        <v>139</v>
      </c>
      <c r="E700" s="74" t="s">
        <v>192</v>
      </c>
      <c r="F700" s="111" t="b">
        <v>1</v>
      </c>
      <c r="G700" s="111" t="b">
        <v>1</v>
      </c>
      <c r="H700" s="111" t="b">
        <v>1</v>
      </c>
      <c r="I700" s="74" t="s">
        <v>95</v>
      </c>
      <c r="J700" s="1"/>
      <c r="K700" s="1"/>
      <c r="L700" s="1"/>
    </row>
    <row r="701">
      <c r="A701" s="110">
        <v>46212.83693491898</v>
      </c>
      <c r="B701" s="74" t="s">
        <v>272</v>
      </c>
      <c r="C701" s="74" t="s">
        <v>265</v>
      </c>
      <c r="D701" s="74" t="s">
        <v>130</v>
      </c>
      <c r="E701" s="1"/>
      <c r="F701" s="111" t="b">
        <v>1</v>
      </c>
      <c r="G701" s="111" t="b">
        <v>1</v>
      </c>
      <c r="H701" s="111" t="b">
        <v>1</v>
      </c>
      <c r="I701" s="74" t="s">
        <v>81</v>
      </c>
      <c r="J701" s="1"/>
      <c r="K701" s="1"/>
      <c r="L701" s="1"/>
    </row>
    <row r="702">
      <c r="A702" s="110">
        <v>46212.846798576385</v>
      </c>
      <c r="B702" s="74" t="s">
        <v>229</v>
      </c>
      <c r="C702" s="74" t="s">
        <v>273</v>
      </c>
      <c r="D702" s="112" t="s">
        <v>139</v>
      </c>
      <c r="E702" s="74" t="s">
        <v>157</v>
      </c>
      <c r="F702" s="111" t="b">
        <v>1</v>
      </c>
      <c r="G702" s="111" t="b">
        <v>1</v>
      </c>
      <c r="H702" s="111" t="b">
        <v>1</v>
      </c>
      <c r="I702" s="74" t="s">
        <v>87</v>
      </c>
      <c r="J702" s="1"/>
      <c r="K702" s="1"/>
      <c r="L702" s="1"/>
    </row>
    <row r="703">
      <c r="A703" s="110">
        <v>46212.86700957176</v>
      </c>
      <c r="B703" s="74" t="s">
        <v>258</v>
      </c>
      <c r="C703" s="74" t="s">
        <v>89</v>
      </c>
      <c r="D703" s="112" t="s">
        <v>139</v>
      </c>
      <c r="E703" s="1"/>
      <c r="F703" s="111" t="b">
        <v>1</v>
      </c>
      <c r="G703" s="111" t="b">
        <v>1</v>
      </c>
      <c r="H703" s="111" t="b">
        <v>1</v>
      </c>
      <c r="I703" s="74" t="s">
        <v>147</v>
      </c>
      <c r="J703" s="1"/>
      <c r="K703" s="1"/>
      <c r="L703" s="1"/>
    </row>
    <row r="704">
      <c r="A704" s="110">
        <v>46212.87367140046</v>
      </c>
      <c r="B704" s="74" t="s">
        <v>315</v>
      </c>
      <c r="C704" s="74" t="s">
        <v>91</v>
      </c>
      <c r="D704" s="74" t="s">
        <v>130</v>
      </c>
      <c r="E704" s="1"/>
      <c r="F704" s="111" t="b">
        <v>1</v>
      </c>
      <c r="G704" s="111" t="b">
        <v>1</v>
      </c>
      <c r="H704" s="111" t="b">
        <v>1</v>
      </c>
      <c r="I704" s="74" t="s">
        <v>102</v>
      </c>
      <c r="J704" s="1"/>
      <c r="K704" s="1"/>
      <c r="L704" s="1"/>
    </row>
    <row r="705">
      <c r="A705" s="110">
        <v>46212.884961840275</v>
      </c>
      <c r="B705" s="74" t="s">
        <v>235</v>
      </c>
      <c r="C705" s="74" t="s">
        <v>188</v>
      </c>
      <c r="D705" s="112" t="s">
        <v>139</v>
      </c>
      <c r="E705" s="74" t="s">
        <v>167</v>
      </c>
      <c r="F705" s="111" t="b">
        <v>1</v>
      </c>
      <c r="G705" s="111" t="b">
        <v>1</v>
      </c>
      <c r="H705" s="111" t="b">
        <v>1</v>
      </c>
      <c r="I705" s="74" t="s">
        <v>147</v>
      </c>
      <c r="J705" s="1"/>
      <c r="K705" s="1"/>
      <c r="L705" s="1"/>
    </row>
    <row r="706">
      <c r="A706" s="110">
        <v>46212.89054388889</v>
      </c>
      <c r="B706" s="74" t="s">
        <v>234</v>
      </c>
      <c r="C706" s="74" t="s">
        <v>199</v>
      </c>
      <c r="D706" s="74" t="s">
        <v>130</v>
      </c>
      <c r="E706" s="1"/>
      <c r="F706" s="111" t="b">
        <v>1</v>
      </c>
      <c r="G706" s="111" t="b">
        <v>1</v>
      </c>
      <c r="H706" s="111" t="b">
        <v>1</v>
      </c>
      <c r="I706" s="74" t="s">
        <v>98</v>
      </c>
      <c r="J706" s="1"/>
      <c r="K706" s="1"/>
      <c r="L706" s="1"/>
    </row>
    <row r="707">
      <c r="A707" s="110">
        <v>46212.90042799768</v>
      </c>
      <c r="B707" s="74" t="s">
        <v>91</v>
      </c>
      <c r="C707" s="74" t="s">
        <v>194</v>
      </c>
      <c r="D707" s="112" t="s">
        <v>139</v>
      </c>
      <c r="E707" s="1"/>
      <c r="F707" s="111" t="b">
        <v>1</v>
      </c>
      <c r="G707" s="111" t="b">
        <v>1</v>
      </c>
      <c r="H707" s="111" t="b">
        <v>1</v>
      </c>
      <c r="I707" s="74" t="s">
        <v>95</v>
      </c>
      <c r="J707" s="1"/>
      <c r="K707" s="1"/>
      <c r="L707" s="1"/>
    </row>
    <row r="708">
      <c r="A708" s="110">
        <v>46212.90822576389</v>
      </c>
      <c r="B708" s="74" t="s">
        <v>234</v>
      </c>
      <c r="C708" s="74" t="s">
        <v>188</v>
      </c>
      <c r="D708" s="112" t="s">
        <v>139</v>
      </c>
      <c r="E708" s="1"/>
      <c r="F708" s="111" t="b">
        <v>1</v>
      </c>
      <c r="G708" s="111" t="b">
        <v>1</v>
      </c>
      <c r="H708" s="111" t="b">
        <v>1</v>
      </c>
      <c r="I708" s="74" t="s">
        <v>83</v>
      </c>
      <c r="J708" s="1"/>
      <c r="K708" s="1"/>
      <c r="L708" s="1"/>
    </row>
    <row r="709">
      <c r="A709" s="110">
        <v>46212.91060354166</v>
      </c>
      <c r="B709" s="74" t="s">
        <v>315</v>
      </c>
      <c r="C709" s="74" t="s">
        <v>250</v>
      </c>
      <c r="D709" s="74" t="s">
        <v>130</v>
      </c>
      <c r="E709" s="1"/>
      <c r="F709" s="111" t="b">
        <v>1</v>
      </c>
      <c r="G709" s="111" t="b">
        <v>1</v>
      </c>
      <c r="H709" s="111" t="b">
        <v>1</v>
      </c>
      <c r="I709" s="74" t="s">
        <v>118</v>
      </c>
      <c r="J709" s="1"/>
      <c r="K709" s="1"/>
      <c r="L709" s="1"/>
    </row>
    <row r="710">
      <c r="A710" s="110">
        <v>46212.91371325232</v>
      </c>
      <c r="B710" s="74" t="s">
        <v>304</v>
      </c>
      <c r="C710" s="74" t="s">
        <v>235</v>
      </c>
      <c r="D710" s="112" t="s">
        <v>139</v>
      </c>
      <c r="E710" s="1"/>
      <c r="F710" s="111" t="b">
        <v>1</v>
      </c>
      <c r="G710" s="111" t="b">
        <v>1</v>
      </c>
      <c r="H710" s="111" t="b">
        <v>1</v>
      </c>
      <c r="I710" s="74" t="s">
        <v>87</v>
      </c>
      <c r="J710" s="1"/>
      <c r="K710" s="1"/>
      <c r="L710" s="1"/>
    </row>
    <row r="711">
      <c r="A711" s="110">
        <v>46212.920992824074</v>
      </c>
      <c r="B711" s="74" t="s">
        <v>132</v>
      </c>
      <c r="C711" s="74" t="s">
        <v>91</v>
      </c>
      <c r="D711" s="112" t="s">
        <v>139</v>
      </c>
      <c r="E711" s="1"/>
      <c r="F711" s="111" t="b">
        <v>1</v>
      </c>
      <c r="G711" s="111" t="b">
        <v>1</v>
      </c>
      <c r="H711" s="111" t="b">
        <v>1</v>
      </c>
      <c r="I711" s="74" t="s">
        <v>120</v>
      </c>
      <c r="J711" s="1"/>
      <c r="K711" s="1"/>
      <c r="L711" s="1"/>
    </row>
    <row r="712">
      <c r="A712" s="110">
        <v>46212.934017465275</v>
      </c>
      <c r="B712" s="74" t="s">
        <v>287</v>
      </c>
      <c r="C712" s="74" t="s">
        <v>234</v>
      </c>
      <c r="D712" s="74" t="s">
        <v>130</v>
      </c>
      <c r="E712" s="1"/>
      <c r="F712" s="111" t="b">
        <v>1</v>
      </c>
      <c r="G712" s="111" t="b">
        <v>1</v>
      </c>
      <c r="H712" s="111" t="b">
        <v>1</v>
      </c>
      <c r="I712" s="74" t="s">
        <v>85</v>
      </c>
      <c r="J712" s="1"/>
      <c r="K712" s="1"/>
      <c r="L712" s="1"/>
    </row>
    <row r="713">
      <c r="A713" s="110">
        <v>46212.9493255787</v>
      </c>
      <c r="B713" s="74" t="s">
        <v>91</v>
      </c>
      <c r="C713" s="74" t="s">
        <v>298</v>
      </c>
      <c r="D713" s="112" t="s">
        <v>139</v>
      </c>
      <c r="E713" s="1"/>
      <c r="F713" s="111" t="b">
        <v>1</v>
      </c>
      <c r="G713" s="111" t="b">
        <v>1</v>
      </c>
      <c r="H713" s="111" t="b">
        <v>1</v>
      </c>
      <c r="I713" s="74" t="s">
        <v>147</v>
      </c>
      <c r="J713" s="1"/>
      <c r="K713" s="1"/>
      <c r="L713" s="1"/>
    </row>
    <row r="714">
      <c r="A714" s="110">
        <v>46212.950528263886</v>
      </c>
      <c r="B714" s="74" t="s">
        <v>232</v>
      </c>
      <c r="C714" s="74" t="s">
        <v>250</v>
      </c>
      <c r="D714" s="74" t="s">
        <v>130</v>
      </c>
      <c r="E714" s="74" t="s">
        <v>157</v>
      </c>
      <c r="F714" s="111" t="b">
        <v>1</v>
      </c>
      <c r="G714" s="111" t="b">
        <v>1</v>
      </c>
      <c r="H714" s="111" t="b">
        <v>1</v>
      </c>
      <c r="I714" s="74" t="s">
        <v>118</v>
      </c>
      <c r="J714" s="1"/>
      <c r="K714" s="1"/>
      <c r="L714" s="1"/>
    </row>
    <row r="715">
      <c r="A715" s="110">
        <v>46212.96367788194</v>
      </c>
      <c r="B715" s="74" t="s">
        <v>287</v>
      </c>
      <c r="C715" s="74" t="s">
        <v>200</v>
      </c>
      <c r="D715" s="112" t="s">
        <v>139</v>
      </c>
      <c r="E715" s="1"/>
      <c r="F715" s="111" t="b">
        <v>1</v>
      </c>
      <c r="G715" s="111" t="b">
        <v>1</v>
      </c>
      <c r="H715" s="111" t="b">
        <v>1</v>
      </c>
      <c r="I715" s="74" t="s">
        <v>106</v>
      </c>
      <c r="J715" s="1"/>
      <c r="K715" s="1"/>
      <c r="L715" s="1"/>
    </row>
    <row r="716">
      <c r="A716" s="110">
        <v>46212.967821805556</v>
      </c>
      <c r="B716" s="74" t="s">
        <v>298</v>
      </c>
      <c r="C716" s="74" t="s">
        <v>194</v>
      </c>
      <c r="D716" s="74" t="s">
        <v>130</v>
      </c>
      <c r="E716" s="74" t="s">
        <v>165</v>
      </c>
      <c r="F716" s="111" t="b">
        <v>1</v>
      </c>
      <c r="G716" s="111" t="b">
        <v>1</v>
      </c>
      <c r="H716" s="111" t="b">
        <v>1</v>
      </c>
      <c r="I716" s="74" t="s">
        <v>83</v>
      </c>
      <c r="J716" s="1"/>
      <c r="K716" s="1"/>
      <c r="L716" s="1"/>
    </row>
    <row r="717">
      <c r="A717" s="110">
        <v>46212.96933128472</v>
      </c>
      <c r="B717" s="74" t="s">
        <v>286</v>
      </c>
      <c r="C717" s="74" t="s">
        <v>281</v>
      </c>
      <c r="D717" s="112" t="s">
        <v>139</v>
      </c>
      <c r="E717" s="74" t="s">
        <v>341</v>
      </c>
      <c r="F717" s="111" t="b">
        <v>1</v>
      </c>
      <c r="G717" s="111" t="b">
        <v>1</v>
      </c>
      <c r="H717" s="111" t="b">
        <v>1</v>
      </c>
      <c r="I717" s="74" t="s">
        <v>118</v>
      </c>
      <c r="J717" s="1"/>
      <c r="K717" s="1"/>
      <c r="L717" s="1"/>
    </row>
    <row r="718">
      <c r="A718" s="110">
        <v>46212.98609709491</v>
      </c>
      <c r="B718" s="74" t="s">
        <v>251</v>
      </c>
      <c r="C718" s="74" t="s">
        <v>286</v>
      </c>
      <c r="D718" s="74" t="s">
        <v>130</v>
      </c>
      <c r="E718" s="74" t="s">
        <v>348</v>
      </c>
      <c r="F718" s="111" t="b">
        <v>1</v>
      </c>
      <c r="G718" s="111" t="b">
        <v>1</v>
      </c>
      <c r="H718" s="111" t="b">
        <v>1</v>
      </c>
      <c r="I718" s="74" t="s">
        <v>97</v>
      </c>
      <c r="J718" s="1"/>
      <c r="K718" s="1"/>
      <c r="L718" s="1"/>
    </row>
    <row r="719">
      <c r="A719" s="110">
        <v>46212.98667611111</v>
      </c>
      <c r="B719" s="74" t="s">
        <v>304</v>
      </c>
      <c r="C719" s="74" t="s">
        <v>281</v>
      </c>
      <c r="D719" s="112" t="s">
        <v>139</v>
      </c>
      <c r="E719" s="1"/>
      <c r="F719" s="111" t="b">
        <v>1</v>
      </c>
      <c r="G719" s="111" t="b">
        <v>1</v>
      </c>
      <c r="H719" s="111" t="b">
        <v>1</v>
      </c>
      <c r="I719" s="74" t="s">
        <v>98</v>
      </c>
      <c r="J719" s="1"/>
      <c r="K719" s="1"/>
      <c r="L719" s="1"/>
    </row>
    <row r="720">
      <c r="A720" s="110">
        <v>46213.00812125</v>
      </c>
      <c r="B720" s="74" t="s">
        <v>286</v>
      </c>
      <c r="C720" s="74" t="s">
        <v>199</v>
      </c>
      <c r="D720" s="112" t="s">
        <v>139</v>
      </c>
      <c r="E720" s="74" t="s">
        <v>167</v>
      </c>
      <c r="F720" s="111" t="b">
        <v>1</v>
      </c>
      <c r="G720" s="111" t="b">
        <v>1</v>
      </c>
      <c r="H720" s="111" t="b">
        <v>1</v>
      </c>
      <c r="I720" s="74" t="s">
        <v>102</v>
      </c>
      <c r="J720" s="1"/>
      <c r="K720" s="1"/>
      <c r="L720" s="1"/>
    </row>
    <row r="721">
      <c r="A721" s="110">
        <v>46213.00816099537</v>
      </c>
      <c r="B721" s="74" t="s">
        <v>283</v>
      </c>
      <c r="C721" s="74" t="s">
        <v>258</v>
      </c>
      <c r="D721" s="112" t="s">
        <v>139</v>
      </c>
      <c r="E721" s="74" t="s">
        <v>349</v>
      </c>
      <c r="F721" s="111" t="b">
        <v>1</v>
      </c>
      <c r="G721" s="111" t="b">
        <v>1</v>
      </c>
      <c r="H721" s="111" t="b">
        <v>1</v>
      </c>
      <c r="I721" s="74" t="s">
        <v>85</v>
      </c>
      <c r="J721" s="1"/>
      <c r="K721" s="1"/>
      <c r="L721" s="1"/>
    </row>
    <row r="722">
      <c r="A722" s="110">
        <v>46213.01121984953</v>
      </c>
      <c r="B722" s="74" t="s">
        <v>262</v>
      </c>
      <c r="C722" s="74" t="s">
        <v>281</v>
      </c>
      <c r="D722" s="112" t="s">
        <v>139</v>
      </c>
      <c r="E722" s="1"/>
      <c r="F722" s="111" t="b">
        <v>1</v>
      </c>
      <c r="G722" s="111" t="b">
        <v>1</v>
      </c>
      <c r="H722" s="111" t="b">
        <v>1</v>
      </c>
      <c r="I722" s="74" t="s">
        <v>85</v>
      </c>
      <c r="J722" s="1"/>
      <c r="K722" s="1"/>
      <c r="L722" s="1"/>
    </row>
    <row r="723">
      <c r="A723" s="110">
        <v>46213.02879956018</v>
      </c>
      <c r="B723" s="74" t="s">
        <v>251</v>
      </c>
      <c r="C723" s="74" t="s">
        <v>285</v>
      </c>
      <c r="D723" s="112" t="s">
        <v>139</v>
      </c>
      <c r="E723" s="74" t="s">
        <v>323</v>
      </c>
      <c r="F723" s="111" t="b">
        <v>1</v>
      </c>
      <c r="G723" s="111" t="b">
        <v>1</v>
      </c>
      <c r="H723" s="111" t="b">
        <v>1</v>
      </c>
      <c r="I723" s="74" t="s">
        <v>120</v>
      </c>
      <c r="J723" s="1"/>
      <c r="K723" s="1"/>
      <c r="L723" s="1"/>
    </row>
    <row r="724">
      <c r="A724" s="110">
        <v>46213.03436881944</v>
      </c>
      <c r="B724" s="74" t="s">
        <v>262</v>
      </c>
      <c r="C724" s="74" t="s">
        <v>146</v>
      </c>
      <c r="D724" s="112" t="s">
        <v>139</v>
      </c>
      <c r="E724" s="1"/>
      <c r="F724" s="111" t="b">
        <v>1</v>
      </c>
      <c r="G724" s="111" t="b">
        <v>1</v>
      </c>
      <c r="H724" s="111" t="b">
        <v>1</v>
      </c>
      <c r="I724" s="74" t="s">
        <v>97</v>
      </c>
      <c r="J724" s="1"/>
      <c r="K724" s="1"/>
      <c r="L724" s="1"/>
    </row>
    <row r="725">
      <c r="A725" s="110">
        <v>46213.056841261576</v>
      </c>
      <c r="B725" s="74" t="s">
        <v>304</v>
      </c>
      <c r="C725" s="74" t="s">
        <v>262</v>
      </c>
      <c r="D725" s="74" t="s">
        <v>130</v>
      </c>
      <c r="E725" s="1"/>
      <c r="F725" s="111" t="b">
        <v>1</v>
      </c>
      <c r="G725" s="111" t="b">
        <v>1</v>
      </c>
      <c r="H725" s="111" t="b">
        <v>1</v>
      </c>
      <c r="I725" s="74" t="s">
        <v>81</v>
      </c>
      <c r="J725" s="1"/>
      <c r="K725" s="1"/>
      <c r="L725" s="1"/>
    </row>
    <row r="726">
      <c r="A726" s="110">
        <v>46213.11348511574</v>
      </c>
      <c r="B726" s="74" t="s">
        <v>262</v>
      </c>
      <c r="C726" s="74" t="s">
        <v>113</v>
      </c>
      <c r="D726" s="74" t="s">
        <v>130</v>
      </c>
      <c r="E726" s="1"/>
      <c r="F726" s="111" t="b">
        <v>1</v>
      </c>
      <c r="G726" s="111" t="b">
        <v>1</v>
      </c>
      <c r="H726" s="111" t="b">
        <v>1</v>
      </c>
      <c r="I726" s="74" t="s">
        <v>202</v>
      </c>
      <c r="J726" s="1"/>
      <c r="K726" s="1"/>
      <c r="L726" s="1"/>
    </row>
    <row r="727">
      <c r="A727" s="110">
        <v>46213.131771342596</v>
      </c>
      <c r="B727" s="74" t="s">
        <v>155</v>
      </c>
      <c r="C727" s="74" t="s">
        <v>262</v>
      </c>
      <c r="D727" s="74" t="s">
        <v>130</v>
      </c>
      <c r="E727" s="74" t="s">
        <v>157</v>
      </c>
      <c r="F727" s="111" t="b">
        <v>1</v>
      </c>
      <c r="G727" s="111" t="b">
        <v>1</v>
      </c>
      <c r="H727" s="111" t="b">
        <v>1</v>
      </c>
      <c r="I727" s="74" t="s">
        <v>79</v>
      </c>
      <c r="J727" s="1"/>
      <c r="K727" s="1"/>
      <c r="L727" s="1"/>
    </row>
    <row r="728">
      <c r="A728" s="110">
        <v>46213.21667917824</v>
      </c>
      <c r="B728" s="74" t="s">
        <v>89</v>
      </c>
      <c r="C728" s="74" t="s">
        <v>149</v>
      </c>
      <c r="D728" s="112" t="s">
        <v>139</v>
      </c>
      <c r="E728" s="74" t="s">
        <v>157</v>
      </c>
      <c r="F728" s="111" t="b">
        <v>1</v>
      </c>
      <c r="G728" s="111" t="b">
        <v>1</v>
      </c>
      <c r="H728" s="111" t="b">
        <v>1</v>
      </c>
      <c r="I728" s="74" t="s">
        <v>85</v>
      </c>
      <c r="J728" s="1"/>
      <c r="K728" s="1"/>
      <c r="L728" s="1"/>
    </row>
    <row r="729">
      <c r="A729" s="110">
        <v>46213.28889292824</v>
      </c>
      <c r="B729" s="74" t="s">
        <v>307</v>
      </c>
      <c r="C729" s="74" t="s">
        <v>89</v>
      </c>
      <c r="D729" s="112" t="s">
        <v>139</v>
      </c>
      <c r="E729" s="1"/>
      <c r="F729" s="111" t="b">
        <v>1</v>
      </c>
      <c r="G729" s="111" t="b">
        <v>1</v>
      </c>
      <c r="H729" s="111" t="b">
        <v>1</v>
      </c>
      <c r="I729" s="74" t="s">
        <v>98</v>
      </c>
      <c r="J729" s="1"/>
      <c r="K729" s="1"/>
      <c r="L729" s="1"/>
    </row>
    <row r="730">
      <c r="A730" s="110">
        <v>46213.46973855324</v>
      </c>
      <c r="B730" s="74" t="s">
        <v>170</v>
      </c>
      <c r="C730" s="74" t="s">
        <v>217</v>
      </c>
      <c r="D730" s="112" t="s">
        <v>139</v>
      </c>
      <c r="E730" s="1"/>
      <c r="F730" s="111" t="b">
        <v>1</v>
      </c>
      <c r="G730" s="111" t="b">
        <v>1</v>
      </c>
      <c r="H730" s="111" t="b">
        <v>1</v>
      </c>
      <c r="I730" s="74" t="s">
        <v>90</v>
      </c>
      <c r="J730" s="1"/>
      <c r="K730" s="1"/>
      <c r="L730" s="1"/>
    </row>
    <row r="731">
      <c r="A731" s="110">
        <v>46213.479802766204</v>
      </c>
      <c r="B731" s="74" t="s">
        <v>319</v>
      </c>
      <c r="C731" s="74" t="s">
        <v>239</v>
      </c>
      <c r="D731" s="74" t="s">
        <v>130</v>
      </c>
      <c r="E731" s="1"/>
      <c r="F731" s="111" t="b">
        <v>1</v>
      </c>
      <c r="G731" s="111" t="b">
        <v>1</v>
      </c>
      <c r="H731" s="111" t="b">
        <v>1</v>
      </c>
      <c r="I731" s="74" t="s">
        <v>106</v>
      </c>
      <c r="J731" s="1"/>
      <c r="K731" s="1"/>
      <c r="L731" s="1"/>
    </row>
    <row r="732">
      <c r="A732" s="110">
        <v>46213.50034010416</v>
      </c>
      <c r="B732" s="74" t="s">
        <v>243</v>
      </c>
      <c r="C732" s="74" t="s">
        <v>319</v>
      </c>
      <c r="D732" s="74" t="s">
        <v>130</v>
      </c>
      <c r="E732" s="74" t="s">
        <v>249</v>
      </c>
      <c r="F732" s="111" t="b">
        <v>1</v>
      </c>
      <c r="G732" s="111" t="b">
        <v>1</v>
      </c>
      <c r="H732" s="111" t="b">
        <v>1</v>
      </c>
      <c r="I732" s="74" t="s">
        <v>106</v>
      </c>
      <c r="J732" s="1"/>
      <c r="K732" s="1"/>
      <c r="L732" s="1"/>
    </row>
    <row r="733">
      <c r="A733" s="110">
        <v>46213.52742875</v>
      </c>
      <c r="B733" s="74" t="s">
        <v>319</v>
      </c>
      <c r="C733" s="74" t="s">
        <v>298</v>
      </c>
      <c r="D733" s="74" t="s">
        <v>130</v>
      </c>
      <c r="E733" s="1"/>
      <c r="F733" s="111" t="b">
        <v>1</v>
      </c>
      <c r="G733" s="111" t="b">
        <v>1</v>
      </c>
      <c r="H733" s="111" t="b">
        <v>1</v>
      </c>
      <c r="I733" s="74" t="s">
        <v>84</v>
      </c>
      <c r="J733" s="1"/>
      <c r="K733" s="1"/>
      <c r="L733" s="1"/>
    </row>
    <row r="734">
      <c r="A734" s="110">
        <v>46213.529845185185</v>
      </c>
      <c r="B734" s="74" t="s">
        <v>264</v>
      </c>
      <c r="C734" s="74" t="s">
        <v>256</v>
      </c>
      <c r="D734" s="112" t="s">
        <v>139</v>
      </c>
      <c r="E734" s="1"/>
      <c r="F734" s="111" t="b">
        <v>1</v>
      </c>
      <c r="G734" s="111" t="b">
        <v>1</v>
      </c>
      <c r="H734" s="111" t="b">
        <v>1</v>
      </c>
      <c r="I734" s="74" t="s">
        <v>97</v>
      </c>
      <c r="J734" s="1"/>
      <c r="K734" s="1"/>
      <c r="L734" s="1"/>
    </row>
    <row r="735">
      <c r="A735" s="110">
        <v>46213.530164421296</v>
      </c>
      <c r="B735" s="74" t="s">
        <v>243</v>
      </c>
      <c r="C735" s="74" t="s">
        <v>232</v>
      </c>
      <c r="D735" s="74" t="s">
        <v>130</v>
      </c>
      <c r="E735" s="74" t="s">
        <v>249</v>
      </c>
      <c r="F735" s="111" t="b">
        <v>1</v>
      </c>
      <c r="G735" s="111" t="b">
        <v>1</v>
      </c>
      <c r="H735" s="111" t="b">
        <v>1</v>
      </c>
      <c r="I735" s="74" t="s">
        <v>87</v>
      </c>
      <c r="J735" s="1"/>
      <c r="K735" s="1"/>
      <c r="L735" s="1"/>
    </row>
    <row r="736">
      <c r="A736" s="110">
        <v>46213.555537685184</v>
      </c>
      <c r="B736" s="74" t="s">
        <v>264</v>
      </c>
      <c r="C736" s="74" t="s">
        <v>122</v>
      </c>
      <c r="D736" s="112" t="s">
        <v>139</v>
      </c>
      <c r="E736" s="1"/>
      <c r="F736" s="111" t="b">
        <v>1</v>
      </c>
      <c r="G736" s="111" t="b">
        <v>1</v>
      </c>
      <c r="H736" s="111" t="b">
        <v>1</v>
      </c>
      <c r="I736" s="74" t="s">
        <v>98</v>
      </c>
      <c r="J736" s="1"/>
      <c r="K736" s="1"/>
      <c r="L736" s="1"/>
    </row>
    <row r="737">
      <c r="A737" s="110">
        <v>46213.55813049768</v>
      </c>
      <c r="B737" s="74" t="s">
        <v>267</v>
      </c>
      <c r="C737" s="74" t="s">
        <v>239</v>
      </c>
      <c r="D737" s="112" t="s">
        <v>139</v>
      </c>
      <c r="E737" s="74" t="s">
        <v>268</v>
      </c>
      <c r="F737" s="111" t="b">
        <v>1</v>
      </c>
      <c r="G737" s="111" t="b">
        <v>1</v>
      </c>
      <c r="H737" s="111" t="b">
        <v>1</v>
      </c>
      <c r="I737" s="74" t="s">
        <v>97</v>
      </c>
      <c r="J737" s="1"/>
      <c r="K737" s="1"/>
      <c r="L737" s="1"/>
    </row>
    <row r="738">
      <c r="A738" s="110">
        <v>46213.58746028935</v>
      </c>
      <c r="B738" s="74" t="s">
        <v>304</v>
      </c>
      <c r="C738" s="74" t="s">
        <v>288</v>
      </c>
      <c r="D738" s="112" t="s">
        <v>139</v>
      </c>
      <c r="E738" s="1"/>
      <c r="F738" s="111" t="b">
        <v>1</v>
      </c>
      <c r="G738" s="111" t="b">
        <v>1</v>
      </c>
      <c r="H738" s="111" t="b">
        <v>1</v>
      </c>
      <c r="I738" s="74" t="s">
        <v>87</v>
      </c>
      <c r="J738" s="1"/>
      <c r="K738" s="1"/>
      <c r="L738" s="1"/>
    </row>
    <row r="739">
      <c r="A739" s="110">
        <v>46213.587548379626</v>
      </c>
      <c r="B739" s="74" t="s">
        <v>320</v>
      </c>
      <c r="C739" s="74" t="s">
        <v>264</v>
      </c>
      <c r="D739" s="74" t="s">
        <v>130</v>
      </c>
      <c r="E739" s="1"/>
      <c r="F739" s="111" t="b">
        <v>1</v>
      </c>
      <c r="G739" s="111" t="b">
        <v>1</v>
      </c>
      <c r="H739" s="111" t="b">
        <v>1</v>
      </c>
      <c r="I739" s="74" t="s">
        <v>99</v>
      </c>
      <c r="J739" s="1"/>
      <c r="K739" s="1"/>
      <c r="L739" s="1"/>
    </row>
    <row r="740">
      <c r="A740" s="110">
        <v>46213.594429895835</v>
      </c>
      <c r="B740" s="74" t="s">
        <v>221</v>
      </c>
      <c r="C740" s="74" t="s">
        <v>239</v>
      </c>
      <c r="D740" s="74" t="s">
        <v>130</v>
      </c>
      <c r="E740" s="74" t="s">
        <v>167</v>
      </c>
      <c r="F740" s="111" t="b">
        <v>1</v>
      </c>
      <c r="G740" s="111" t="b">
        <v>1</v>
      </c>
      <c r="H740" s="111" t="b">
        <v>1</v>
      </c>
      <c r="I740" s="74" t="s">
        <v>98</v>
      </c>
      <c r="J740" s="1"/>
      <c r="K740" s="1"/>
      <c r="L740" s="1"/>
    </row>
    <row r="741">
      <c r="A741" s="110">
        <v>46213.59652877315</v>
      </c>
      <c r="B741" s="74" t="s">
        <v>288</v>
      </c>
      <c r="C741" s="74" t="s">
        <v>264</v>
      </c>
      <c r="D741" s="74" t="s">
        <v>130</v>
      </c>
      <c r="E741" s="1"/>
      <c r="F741" s="111" t="b">
        <v>1</v>
      </c>
      <c r="G741" s="111" t="b">
        <v>1</v>
      </c>
      <c r="H741" s="111" t="b">
        <v>1</v>
      </c>
      <c r="I741" s="74" t="s">
        <v>118</v>
      </c>
      <c r="J741" s="1"/>
      <c r="K741" s="1"/>
      <c r="L741" s="1"/>
    </row>
    <row r="742">
      <c r="A742" s="110">
        <v>46213.60526835648</v>
      </c>
      <c r="B742" s="74" t="s">
        <v>303</v>
      </c>
      <c r="C742" s="74" t="s">
        <v>320</v>
      </c>
      <c r="D742" s="74" t="s">
        <v>130</v>
      </c>
      <c r="E742" s="1"/>
      <c r="F742" s="111" t="b">
        <v>1</v>
      </c>
      <c r="G742" s="111" t="b">
        <v>1</v>
      </c>
      <c r="H742" s="111" t="b">
        <v>1</v>
      </c>
      <c r="I742" s="74" t="s">
        <v>98</v>
      </c>
      <c r="J742" s="1"/>
      <c r="K742" s="1"/>
      <c r="L742" s="1"/>
    </row>
    <row r="743">
      <c r="A743" s="110">
        <v>46213.61209864583</v>
      </c>
      <c r="B743" s="74" t="s">
        <v>304</v>
      </c>
      <c r="C743" s="74" t="s">
        <v>221</v>
      </c>
      <c r="D743" s="112" t="s">
        <v>139</v>
      </c>
      <c r="E743" s="1"/>
      <c r="F743" s="111" t="b">
        <v>1</v>
      </c>
      <c r="G743" s="111" t="b">
        <v>1</v>
      </c>
      <c r="H743" s="111" t="b">
        <v>1</v>
      </c>
      <c r="I743" s="74" t="s">
        <v>84</v>
      </c>
      <c r="J743" s="1"/>
      <c r="K743" s="1"/>
      <c r="L743" s="1"/>
    </row>
    <row r="744">
      <c r="A744" s="110">
        <v>46213.62208053241</v>
      </c>
      <c r="B744" s="74" t="s">
        <v>267</v>
      </c>
      <c r="C744" s="74" t="s">
        <v>264</v>
      </c>
      <c r="D744" s="112" t="s">
        <v>139</v>
      </c>
      <c r="E744" s="74" t="s">
        <v>268</v>
      </c>
      <c r="F744" s="111" t="b">
        <v>1</v>
      </c>
      <c r="G744" s="111" t="b">
        <v>1</v>
      </c>
      <c r="H744" s="1"/>
      <c r="I744" s="74" t="s">
        <v>85</v>
      </c>
      <c r="J744" s="1"/>
      <c r="K744" s="1"/>
      <c r="L744" s="1"/>
    </row>
    <row r="745">
      <c r="A745" s="110">
        <v>46213.62753341435</v>
      </c>
      <c r="B745" s="74" t="s">
        <v>288</v>
      </c>
      <c r="C745" s="74" t="s">
        <v>251</v>
      </c>
      <c r="D745" s="112" t="s">
        <v>139</v>
      </c>
      <c r="E745" s="1"/>
      <c r="F745" s="111" t="b">
        <v>1</v>
      </c>
      <c r="G745" s="111" t="b">
        <v>1</v>
      </c>
      <c r="H745" s="111" t="b">
        <v>1</v>
      </c>
      <c r="I745" s="74" t="s">
        <v>120</v>
      </c>
      <c r="J745" s="1"/>
      <c r="K745" s="1"/>
      <c r="L745" s="1"/>
    </row>
    <row r="746">
      <c r="A746" s="110">
        <v>46213.6320972338</v>
      </c>
      <c r="B746" s="74" t="s">
        <v>320</v>
      </c>
      <c r="C746" s="74" t="s">
        <v>221</v>
      </c>
      <c r="D746" s="112" t="s">
        <v>139</v>
      </c>
      <c r="E746" s="74" t="s">
        <v>350</v>
      </c>
      <c r="F746" s="111" t="b">
        <v>1</v>
      </c>
      <c r="G746" s="111" t="b">
        <v>1</v>
      </c>
      <c r="H746" s="111" t="b">
        <v>1</v>
      </c>
      <c r="I746" s="74" t="s">
        <v>93</v>
      </c>
      <c r="J746" s="1"/>
      <c r="K746" s="1"/>
      <c r="L746" s="1"/>
    </row>
    <row r="747">
      <c r="A747" s="110">
        <v>46213.6513658912</v>
      </c>
      <c r="B747" s="74" t="s">
        <v>221</v>
      </c>
      <c r="C747" s="74" t="s">
        <v>281</v>
      </c>
      <c r="D747" s="74" t="s">
        <v>130</v>
      </c>
      <c r="E747" s="74" t="s">
        <v>167</v>
      </c>
      <c r="F747" s="111" t="b">
        <v>1</v>
      </c>
      <c r="G747" s="111" t="b">
        <v>1</v>
      </c>
      <c r="H747" s="111" t="b">
        <v>1</v>
      </c>
      <c r="I747" s="74" t="s">
        <v>106</v>
      </c>
      <c r="J747" s="1"/>
      <c r="K747" s="1"/>
      <c r="L747" s="1"/>
    </row>
    <row r="748">
      <c r="A748" s="110">
        <v>46213.66078273148</v>
      </c>
      <c r="B748" s="74" t="s">
        <v>303</v>
      </c>
      <c r="C748" s="74" t="s">
        <v>221</v>
      </c>
      <c r="D748" s="74" t="s">
        <v>130</v>
      </c>
      <c r="E748" s="1"/>
      <c r="F748" s="111" t="b">
        <v>1</v>
      </c>
      <c r="G748" s="111" t="b">
        <v>1</v>
      </c>
      <c r="H748" s="111" t="b">
        <v>1</v>
      </c>
      <c r="I748" s="74" t="s">
        <v>120</v>
      </c>
      <c r="J748" s="1"/>
      <c r="K748" s="1"/>
      <c r="L748" s="1"/>
    </row>
    <row r="749">
      <c r="A749" s="110">
        <v>46213.677632465275</v>
      </c>
      <c r="B749" s="74" t="s">
        <v>306</v>
      </c>
      <c r="C749" s="74" t="s">
        <v>113</v>
      </c>
      <c r="D749" s="112" t="s">
        <v>139</v>
      </c>
      <c r="E749" s="1"/>
      <c r="F749" s="111" t="b">
        <v>1</v>
      </c>
      <c r="G749" s="111" t="b">
        <v>1</v>
      </c>
      <c r="H749" s="111" t="b">
        <v>1</v>
      </c>
      <c r="I749" s="74" t="s">
        <v>85</v>
      </c>
      <c r="J749" s="1"/>
      <c r="K749" s="1"/>
      <c r="L749" s="1"/>
    </row>
    <row r="750">
      <c r="A750" s="110">
        <v>46213.685130300924</v>
      </c>
      <c r="B750" s="74" t="s">
        <v>222</v>
      </c>
      <c r="C750" s="74" t="s">
        <v>304</v>
      </c>
      <c r="D750" s="112" t="s">
        <v>139</v>
      </c>
      <c r="E750" s="1"/>
      <c r="F750" s="111" t="b">
        <v>1</v>
      </c>
      <c r="G750" s="111" t="b">
        <v>1</v>
      </c>
      <c r="H750" s="111" t="b">
        <v>1</v>
      </c>
      <c r="I750" s="74" t="s">
        <v>79</v>
      </c>
      <c r="J750" s="1"/>
      <c r="K750" s="1"/>
      <c r="L750" s="1"/>
    </row>
    <row r="751">
      <c r="A751" s="110">
        <v>46213.691413796296</v>
      </c>
      <c r="B751" s="74" t="s">
        <v>131</v>
      </c>
      <c r="C751" s="74" t="s">
        <v>306</v>
      </c>
      <c r="D751" s="74" t="s">
        <v>130</v>
      </c>
      <c r="E751" s="1"/>
      <c r="F751" s="111" t="b">
        <v>1</v>
      </c>
      <c r="G751" s="111" t="b">
        <v>1</v>
      </c>
      <c r="H751" s="111" t="b">
        <v>1</v>
      </c>
      <c r="I751" s="74" t="s">
        <v>97</v>
      </c>
      <c r="J751" s="1"/>
      <c r="K751" s="1"/>
      <c r="L751" s="1"/>
    </row>
    <row r="752">
      <c r="A752" s="110">
        <v>46213.69765716435</v>
      </c>
      <c r="B752" s="74" t="s">
        <v>134</v>
      </c>
      <c r="C752" s="74" t="s">
        <v>200</v>
      </c>
      <c r="D752" s="112" t="s">
        <v>139</v>
      </c>
      <c r="E752" s="74" t="s">
        <v>268</v>
      </c>
      <c r="F752" s="111" t="b">
        <v>1</v>
      </c>
      <c r="G752" s="111" t="b">
        <v>1</v>
      </c>
      <c r="H752" s="111" t="b">
        <v>1</v>
      </c>
      <c r="I752" s="74" t="s">
        <v>87</v>
      </c>
      <c r="J752" s="1"/>
      <c r="K752" s="1"/>
      <c r="L752" s="1"/>
    </row>
    <row r="753">
      <c r="A753" s="110">
        <v>46213.70738601852</v>
      </c>
      <c r="B753" s="74" t="s">
        <v>222</v>
      </c>
      <c r="C753" s="74" t="s">
        <v>94</v>
      </c>
      <c r="D753" s="112" t="s">
        <v>139</v>
      </c>
      <c r="E753" s="1"/>
      <c r="F753" s="111" t="b">
        <v>1</v>
      </c>
      <c r="G753" s="111" t="b">
        <v>1</v>
      </c>
      <c r="H753" s="111" t="b">
        <v>1</v>
      </c>
      <c r="I753" s="74" t="s">
        <v>99</v>
      </c>
      <c r="J753" s="1"/>
      <c r="K753" s="1"/>
      <c r="L753" s="1"/>
    </row>
    <row r="754">
      <c r="A754" s="110">
        <v>46213.70751541667</v>
      </c>
      <c r="B754" s="74" t="s">
        <v>146</v>
      </c>
      <c r="C754" s="74" t="s">
        <v>306</v>
      </c>
      <c r="D754" s="112" t="s">
        <v>139</v>
      </c>
      <c r="E754" s="1"/>
      <c r="F754" s="111" t="b">
        <v>1</v>
      </c>
      <c r="G754" s="111" t="b">
        <v>1</v>
      </c>
      <c r="H754" s="111" t="b">
        <v>1</v>
      </c>
      <c r="I754" s="74" t="s">
        <v>99</v>
      </c>
      <c r="J754" s="1"/>
      <c r="K754" s="1"/>
      <c r="L754" s="1"/>
    </row>
    <row r="755">
      <c r="A755" s="110">
        <v>46213.71132232639</v>
      </c>
      <c r="B755" s="74" t="s">
        <v>133</v>
      </c>
      <c r="C755" s="74" t="s">
        <v>134</v>
      </c>
      <c r="D755" s="74" t="s">
        <v>130</v>
      </c>
      <c r="E755" s="1"/>
      <c r="F755" s="111" t="b">
        <v>1</v>
      </c>
      <c r="G755" s="111" t="b">
        <v>1</v>
      </c>
      <c r="H755" s="111" t="b">
        <v>1</v>
      </c>
      <c r="I755" s="74" t="s">
        <v>81</v>
      </c>
      <c r="J755" s="1"/>
      <c r="K755" s="1"/>
      <c r="L755" s="1"/>
    </row>
    <row r="756">
      <c r="A756" s="110">
        <v>46213.719236226854</v>
      </c>
      <c r="B756" s="74" t="s">
        <v>193</v>
      </c>
      <c r="C756" s="74" t="s">
        <v>140</v>
      </c>
      <c r="D756" s="74" t="s">
        <v>130</v>
      </c>
      <c r="E756" s="1"/>
      <c r="F756" s="111" t="b">
        <v>1</v>
      </c>
      <c r="G756" s="111" t="b">
        <v>1</v>
      </c>
      <c r="H756" s="111" t="b">
        <v>1</v>
      </c>
      <c r="I756" s="74" t="s">
        <v>98</v>
      </c>
      <c r="J756" s="1"/>
      <c r="K756" s="1"/>
      <c r="L756" s="1"/>
    </row>
    <row r="757">
      <c r="A757" s="110">
        <v>46213.73054788195</v>
      </c>
      <c r="B757" s="74" t="s">
        <v>169</v>
      </c>
      <c r="C757" s="74" t="s">
        <v>193</v>
      </c>
      <c r="D757" s="74" t="s">
        <v>130</v>
      </c>
      <c r="E757" s="1"/>
      <c r="F757" s="111" t="b">
        <v>1</v>
      </c>
      <c r="G757" s="111" t="b">
        <v>1</v>
      </c>
      <c r="H757" s="111" t="b">
        <v>1</v>
      </c>
      <c r="I757" s="74" t="s">
        <v>95</v>
      </c>
      <c r="J757" s="1"/>
      <c r="K757" s="1"/>
      <c r="L757" s="1"/>
    </row>
    <row r="758">
      <c r="A758" s="110">
        <v>46213.73203762731</v>
      </c>
      <c r="B758" s="74" t="s">
        <v>224</v>
      </c>
      <c r="C758" s="74" t="s">
        <v>145</v>
      </c>
      <c r="D758" s="112" t="s">
        <v>139</v>
      </c>
      <c r="E758" s="74" t="s">
        <v>167</v>
      </c>
      <c r="F758" s="111" t="b">
        <v>1</v>
      </c>
      <c r="G758" s="111" t="b">
        <v>1</v>
      </c>
      <c r="H758" s="111" t="b">
        <v>1</v>
      </c>
      <c r="I758" s="74" t="s">
        <v>120</v>
      </c>
      <c r="J758" s="1"/>
      <c r="K758" s="1"/>
      <c r="L758" s="1"/>
    </row>
    <row r="759">
      <c r="A759" s="110">
        <v>46213.73450368056</v>
      </c>
      <c r="B759" s="74" t="s">
        <v>146</v>
      </c>
      <c r="C759" s="74" t="s">
        <v>133</v>
      </c>
      <c r="D759" s="112" t="s">
        <v>139</v>
      </c>
      <c r="E759" s="1"/>
      <c r="F759" s="111" t="b">
        <v>1</v>
      </c>
      <c r="G759" s="111" t="b">
        <v>1</v>
      </c>
      <c r="H759" s="111" t="b">
        <v>1</v>
      </c>
      <c r="I759" s="74" t="s">
        <v>97</v>
      </c>
      <c r="J759" s="1"/>
      <c r="K759" s="1"/>
      <c r="L759" s="1"/>
    </row>
    <row r="760">
      <c r="A760" s="110">
        <v>46213.73499394676</v>
      </c>
      <c r="B760" s="74" t="s">
        <v>94</v>
      </c>
      <c r="C760" s="74" t="s">
        <v>248</v>
      </c>
      <c r="D760" s="112" t="s">
        <v>139</v>
      </c>
      <c r="E760" s="1"/>
      <c r="F760" s="111" t="b">
        <v>1</v>
      </c>
      <c r="G760" s="111" t="b">
        <v>1</v>
      </c>
      <c r="H760" s="111" t="b">
        <v>1</v>
      </c>
      <c r="I760" s="74" t="s">
        <v>93</v>
      </c>
      <c r="J760" s="1"/>
      <c r="K760" s="1"/>
      <c r="L760" s="1"/>
    </row>
    <row r="761">
      <c r="A761" s="110">
        <v>46213.7404158912</v>
      </c>
      <c r="B761" s="74" t="s">
        <v>131</v>
      </c>
      <c r="C761" s="74" t="s">
        <v>172</v>
      </c>
      <c r="D761" s="74" t="s">
        <v>130</v>
      </c>
      <c r="E761" s="1"/>
      <c r="F761" s="111" t="b">
        <v>1</v>
      </c>
      <c r="G761" s="111" t="b">
        <v>1</v>
      </c>
      <c r="H761" s="111" t="b">
        <v>1</v>
      </c>
      <c r="I761" s="74" t="s">
        <v>118</v>
      </c>
      <c r="J761" s="1"/>
      <c r="K761" s="1"/>
      <c r="L761" s="1"/>
    </row>
    <row r="762">
      <c r="A762" s="110">
        <v>46213.74328180555</v>
      </c>
      <c r="B762" s="74" t="s">
        <v>191</v>
      </c>
      <c r="C762" s="74" t="s">
        <v>134</v>
      </c>
      <c r="D762" s="74" t="s">
        <v>130</v>
      </c>
      <c r="E762" s="74" t="s">
        <v>192</v>
      </c>
      <c r="F762" s="111" t="b">
        <v>1</v>
      </c>
      <c r="G762" s="111" t="b">
        <v>1</v>
      </c>
      <c r="H762" s="111" t="b">
        <v>1</v>
      </c>
      <c r="I762" s="74" t="s">
        <v>79</v>
      </c>
      <c r="J762" s="1"/>
      <c r="K762" s="1"/>
      <c r="L762" s="1"/>
    </row>
    <row r="763">
      <c r="A763" s="110">
        <v>46213.744704212964</v>
      </c>
      <c r="B763" s="74" t="s">
        <v>169</v>
      </c>
      <c r="C763" s="74" t="s">
        <v>137</v>
      </c>
      <c r="D763" s="74" t="s">
        <v>130</v>
      </c>
      <c r="E763" s="1"/>
      <c r="F763" s="111" t="b">
        <v>1</v>
      </c>
      <c r="G763" s="111" t="b">
        <v>1</v>
      </c>
      <c r="H763" s="111" t="b">
        <v>1</v>
      </c>
      <c r="I763" s="74" t="s">
        <v>102</v>
      </c>
      <c r="J763" s="1"/>
      <c r="K763" s="1"/>
      <c r="L763" s="1"/>
    </row>
    <row r="764">
      <c r="A764" s="110">
        <v>46213.74616733796</v>
      </c>
      <c r="B764" s="74" t="s">
        <v>141</v>
      </c>
      <c r="C764" s="74" t="s">
        <v>140</v>
      </c>
      <c r="D764" s="74" t="s">
        <v>130</v>
      </c>
      <c r="E764" s="74" t="s">
        <v>165</v>
      </c>
      <c r="F764" s="111" t="b">
        <v>1</v>
      </c>
      <c r="G764" s="111" t="b">
        <v>1</v>
      </c>
      <c r="H764" s="111" t="b">
        <v>1</v>
      </c>
      <c r="I764" s="74" t="s">
        <v>93</v>
      </c>
      <c r="J764" s="1"/>
      <c r="K764" s="1"/>
      <c r="L764" s="1"/>
    </row>
    <row r="765">
      <c r="A765" s="110">
        <v>46213.748043935186</v>
      </c>
      <c r="B765" s="74" t="s">
        <v>320</v>
      </c>
      <c r="C765" s="74" t="s">
        <v>248</v>
      </c>
      <c r="D765" s="74" t="s">
        <v>130</v>
      </c>
      <c r="E765" s="1"/>
      <c r="F765" s="111" t="b">
        <v>1</v>
      </c>
      <c r="G765" s="111" t="b">
        <v>1</v>
      </c>
      <c r="H765" s="111" t="b">
        <v>1</v>
      </c>
      <c r="I765" s="74" t="s">
        <v>202</v>
      </c>
      <c r="J765" s="1"/>
      <c r="K765" s="1"/>
      <c r="L765" s="1"/>
    </row>
    <row r="766">
      <c r="A766" s="110">
        <v>46213.74853118055</v>
      </c>
      <c r="B766" s="74" t="s">
        <v>194</v>
      </c>
      <c r="C766" s="74" t="s">
        <v>164</v>
      </c>
      <c r="D766" s="74" t="s">
        <v>130</v>
      </c>
      <c r="E766" s="1"/>
      <c r="F766" s="111" t="b">
        <v>1</v>
      </c>
      <c r="G766" s="111" t="b">
        <v>1</v>
      </c>
      <c r="H766" s="111" t="b">
        <v>1</v>
      </c>
      <c r="I766" s="74" t="s">
        <v>147</v>
      </c>
      <c r="J766" s="1"/>
      <c r="K766" s="1"/>
      <c r="L766" s="1"/>
    </row>
    <row r="767">
      <c r="A767" s="110">
        <v>46213.74963928241</v>
      </c>
      <c r="B767" s="74" t="s">
        <v>205</v>
      </c>
      <c r="C767" s="74" t="s">
        <v>281</v>
      </c>
      <c r="D767" s="112" t="s">
        <v>139</v>
      </c>
      <c r="E767" s="1"/>
      <c r="F767" s="111" t="b">
        <v>1</v>
      </c>
      <c r="G767" s="111" t="b">
        <v>1</v>
      </c>
      <c r="H767" s="111" t="b">
        <v>1</v>
      </c>
      <c r="I767" s="74" t="s">
        <v>87</v>
      </c>
      <c r="J767" s="1"/>
      <c r="K767" s="1"/>
      <c r="L767" s="1"/>
    </row>
    <row r="768">
      <c r="A768" s="110">
        <v>46213.75074371528</v>
      </c>
      <c r="B768" s="74" t="s">
        <v>145</v>
      </c>
      <c r="C768" s="74" t="s">
        <v>94</v>
      </c>
      <c r="D768" s="74" t="s">
        <v>130</v>
      </c>
      <c r="E768" s="74" t="s">
        <v>348</v>
      </c>
      <c r="F768" s="111" t="b">
        <v>1</v>
      </c>
      <c r="G768" s="111" t="b">
        <v>1</v>
      </c>
      <c r="H768" s="111" t="b">
        <v>1</v>
      </c>
      <c r="I768" s="74" t="s">
        <v>102</v>
      </c>
      <c r="J768" s="1"/>
      <c r="K768" s="1"/>
      <c r="L768" s="1"/>
    </row>
    <row r="769">
      <c r="A769" s="110">
        <v>46213.75213956018</v>
      </c>
      <c r="B769" s="74" t="s">
        <v>224</v>
      </c>
      <c r="C769" s="74" t="s">
        <v>191</v>
      </c>
      <c r="D769" s="74" t="s">
        <v>130</v>
      </c>
      <c r="E769" s="74" t="s">
        <v>167</v>
      </c>
      <c r="F769" s="111" t="b">
        <v>1</v>
      </c>
      <c r="G769" s="111" t="b">
        <v>1</v>
      </c>
      <c r="H769" s="111" t="b">
        <v>1</v>
      </c>
      <c r="I769" s="74" t="s">
        <v>83</v>
      </c>
      <c r="J769" s="1"/>
      <c r="K769" s="1"/>
      <c r="L769" s="1"/>
    </row>
    <row r="770">
      <c r="A770" s="110">
        <v>46213.76692054398</v>
      </c>
      <c r="B770" s="74" t="s">
        <v>193</v>
      </c>
      <c r="C770" s="74" t="s">
        <v>274</v>
      </c>
      <c r="D770" s="112" t="s">
        <v>139</v>
      </c>
      <c r="E770" s="1"/>
      <c r="F770" s="111" t="b">
        <v>1</v>
      </c>
      <c r="G770" s="111" t="b">
        <v>1</v>
      </c>
      <c r="H770" s="111" t="b">
        <v>1</v>
      </c>
      <c r="I770" s="74" t="s">
        <v>84</v>
      </c>
      <c r="J770" s="1"/>
      <c r="K770" s="1"/>
      <c r="L770" s="1"/>
    </row>
    <row r="771">
      <c r="A771" s="110">
        <v>46213.77032443287</v>
      </c>
      <c r="B771" s="74" t="s">
        <v>205</v>
      </c>
      <c r="C771" s="74" t="s">
        <v>133</v>
      </c>
      <c r="D771" s="74" t="s">
        <v>130</v>
      </c>
      <c r="E771" s="1"/>
      <c r="F771" s="111" t="b">
        <v>1</v>
      </c>
      <c r="G771" s="111" t="b">
        <v>1</v>
      </c>
      <c r="H771" s="111" t="b">
        <v>1</v>
      </c>
      <c r="I771" s="74" t="s">
        <v>95</v>
      </c>
      <c r="J771" s="1"/>
      <c r="K771" s="1"/>
      <c r="L771" s="1"/>
    </row>
    <row r="772">
      <c r="A772" s="110">
        <v>46213.771038125</v>
      </c>
      <c r="B772" s="74" t="s">
        <v>320</v>
      </c>
      <c r="C772" s="74" t="s">
        <v>135</v>
      </c>
      <c r="D772" s="112" t="s">
        <v>139</v>
      </c>
      <c r="E772" s="1"/>
      <c r="F772" s="111" t="b">
        <v>1</v>
      </c>
      <c r="G772" s="111" t="b">
        <v>1</v>
      </c>
      <c r="H772" s="111" t="b">
        <v>1</v>
      </c>
      <c r="I772" s="74" t="s">
        <v>202</v>
      </c>
      <c r="J772" s="1"/>
      <c r="K772" s="1"/>
      <c r="L772" s="1"/>
    </row>
    <row r="773">
      <c r="A773" s="110">
        <v>46213.77146496528</v>
      </c>
      <c r="B773" s="74" t="s">
        <v>164</v>
      </c>
      <c r="C773" s="74" t="s">
        <v>154</v>
      </c>
      <c r="D773" s="74" t="s">
        <v>130</v>
      </c>
      <c r="E773" s="74" t="s">
        <v>165</v>
      </c>
      <c r="F773" s="111" t="b">
        <v>1</v>
      </c>
      <c r="G773" s="111" t="b">
        <v>1</v>
      </c>
      <c r="H773" s="111" t="b">
        <v>1</v>
      </c>
      <c r="I773" s="74" t="s">
        <v>79</v>
      </c>
      <c r="J773" s="1"/>
      <c r="K773" s="1"/>
      <c r="L773" s="1"/>
    </row>
    <row r="774">
      <c r="A774" s="110">
        <v>46213.7717924537</v>
      </c>
      <c r="B774" s="74" t="s">
        <v>224</v>
      </c>
      <c r="C774" s="74" t="s">
        <v>94</v>
      </c>
      <c r="D774" s="112" t="s">
        <v>139</v>
      </c>
      <c r="E774" s="74" t="s">
        <v>167</v>
      </c>
      <c r="F774" s="111" t="b">
        <v>1</v>
      </c>
      <c r="G774" s="111" t="b">
        <v>1</v>
      </c>
      <c r="H774" s="111" t="b">
        <v>1</v>
      </c>
      <c r="I774" s="74" t="s">
        <v>99</v>
      </c>
      <c r="J774" s="1"/>
      <c r="K774" s="1"/>
      <c r="L774" s="1"/>
    </row>
    <row r="775">
      <c r="A775" s="110">
        <v>46213.78177368056</v>
      </c>
      <c r="B775" s="74" t="s">
        <v>145</v>
      </c>
      <c r="C775" s="74" t="s">
        <v>185</v>
      </c>
      <c r="D775" s="112" t="s">
        <v>139</v>
      </c>
      <c r="E775" s="74" t="s">
        <v>351</v>
      </c>
      <c r="F775" s="111" t="b">
        <v>1</v>
      </c>
      <c r="G775" s="111" t="b">
        <v>1</v>
      </c>
      <c r="H775" s="111" t="b">
        <v>1</v>
      </c>
      <c r="I775" s="74" t="s">
        <v>102</v>
      </c>
      <c r="J775" s="1"/>
      <c r="K775" s="1"/>
      <c r="L775" s="1"/>
    </row>
    <row r="776">
      <c r="A776" s="110">
        <v>46213.78846480324</v>
      </c>
      <c r="B776" s="74" t="s">
        <v>224</v>
      </c>
      <c r="C776" s="74" t="s">
        <v>166</v>
      </c>
      <c r="D776" s="112" t="s">
        <v>139</v>
      </c>
      <c r="E776" s="74" t="s">
        <v>167</v>
      </c>
      <c r="F776" s="111" t="b">
        <v>1</v>
      </c>
      <c r="G776" s="111" t="b">
        <v>1</v>
      </c>
      <c r="H776" s="111" t="b">
        <v>1</v>
      </c>
      <c r="I776" s="74" t="s">
        <v>90</v>
      </c>
      <c r="J776" s="1"/>
      <c r="K776" s="1"/>
      <c r="L776" s="1"/>
    </row>
    <row r="777">
      <c r="A777" s="110">
        <v>46213.78911615741</v>
      </c>
      <c r="B777" s="74" t="s">
        <v>154</v>
      </c>
      <c r="C777" s="74" t="s">
        <v>131</v>
      </c>
      <c r="D777" s="74" t="s">
        <v>130</v>
      </c>
      <c r="E777" s="1"/>
      <c r="F777" s="111" t="b">
        <v>1</v>
      </c>
      <c r="G777" s="111" t="b">
        <v>1</v>
      </c>
      <c r="H777" s="111" t="b">
        <v>1</v>
      </c>
      <c r="I777" s="74" t="s">
        <v>102</v>
      </c>
      <c r="J777" s="1"/>
      <c r="K777" s="1"/>
      <c r="L777" s="1"/>
    </row>
    <row r="778">
      <c r="A778" s="110">
        <v>46213.79019738426</v>
      </c>
      <c r="B778" s="74" t="s">
        <v>233</v>
      </c>
      <c r="C778" s="74" t="s">
        <v>170</v>
      </c>
      <c r="D778" s="112" t="s">
        <v>139</v>
      </c>
      <c r="E778" s="1"/>
      <c r="F778" s="111" t="b">
        <v>1</v>
      </c>
      <c r="G778" s="111" t="b">
        <v>1</v>
      </c>
      <c r="H778" s="111" t="b">
        <v>1</v>
      </c>
      <c r="I778" s="74" t="s">
        <v>93</v>
      </c>
      <c r="J778" s="1"/>
      <c r="K778" s="1"/>
      <c r="L778" s="1"/>
    </row>
    <row r="779">
      <c r="A779" s="110">
        <v>46213.79621476852</v>
      </c>
      <c r="B779" s="74" t="s">
        <v>168</v>
      </c>
      <c r="C779" s="74" t="s">
        <v>128</v>
      </c>
      <c r="D779" s="74" t="s">
        <v>130</v>
      </c>
      <c r="E779" s="1"/>
      <c r="F779" s="111" t="b">
        <v>1</v>
      </c>
      <c r="G779" s="111" t="b">
        <v>1</v>
      </c>
      <c r="H779" s="111" t="b">
        <v>1</v>
      </c>
      <c r="I779" s="74" t="s">
        <v>79</v>
      </c>
      <c r="J779" s="1"/>
      <c r="K779" s="1"/>
      <c r="L779" s="1"/>
    </row>
    <row r="780">
      <c r="A780" s="110">
        <v>46213.79967891204</v>
      </c>
      <c r="B780" s="74" t="s">
        <v>233</v>
      </c>
      <c r="C780" s="74" t="s">
        <v>154</v>
      </c>
      <c r="D780" s="74" t="s">
        <v>130</v>
      </c>
      <c r="E780" s="1"/>
      <c r="F780" s="111" t="b">
        <v>1</v>
      </c>
      <c r="G780" s="111" t="b">
        <v>1</v>
      </c>
      <c r="H780" s="111" t="b">
        <v>1</v>
      </c>
      <c r="I780" s="74" t="s">
        <v>85</v>
      </c>
      <c r="J780" s="1"/>
      <c r="K780" s="1"/>
      <c r="L780" s="1"/>
    </row>
    <row r="781">
      <c r="A781" s="110">
        <v>46213.80582101852</v>
      </c>
      <c r="B781" s="74" t="s">
        <v>224</v>
      </c>
      <c r="C781" s="74" t="s">
        <v>241</v>
      </c>
      <c r="D781" s="112" t="s">
        <v>139</v>
      </c>
      <c r="E781" s="74" t="s">
        <v>167</v>
      </c>
      <c r="F781" s="111" t="b">
        <v>1</v>
      </c>
      <c r="G781" s="111" t="b">
        <v>1</v>
      </c>
      <c r="H781" s="111" t="b">
        <v>1</v>
      </c>
      <c r="I781" s="74" t="s">
        <v>147</v>
      </c>
      <c r="J781" s="1"/>
      <c r="K781" s="1"/>
      <c r="L781" s="1"/>
    </row>
    <row r="782">
      <c r="A782" s="110">
        <v>46213.81563326389</v>
      </c>
      <c r="B782" s="74" t="s">
        <v>320</v>
      </c>
      <c r="C782" s="74" t="s">
        <v>164</v>
      </c>
      <c r="D782" s="112" t="s">
        <v>139</v>
      </c>
      <c r="E782" s="1"/>
      <c r="F782" s="111" t="b">
        <v>1</v>
      </c>
      <c r="G782" s="111" t="b">
        <v>1</v>
      </c>
      <c r="H782" s="111" t="b">
        <v>1</v>
      </c>
      <c r="I782" s="74" t="s">
        <v>95</v>
      </c>
      <c r="J782" s="1"/>
      <c r="K782" s="1"/>
      <c r="L782" s="1"/>
    </row>
    <row r="783">
      <c r="A783" s="110">
        <v>46213.8242202199</v>
      </c>
      <c r="B783" s="74" t="s">
        <v>170</v>
      </c>
      <c r="C783" s="74" t="s">
        <v>198</v>
      </c>
      <c r="D783" s="74" t="s">
        <v>130</v>
      </c>
      <c r="E783" s="1"/>
      <c r="F783" s="111" t="b">
        <v>1</v>
      </c>
      <c r="G783" s="111" t="b">
        <v>1</v>
      </c>
      <c r="H783" s="111" t="b">
        <v>1</v>
      </c>
      <c r="I783" s="74" t="s">
        <v>99</v>
      </c>
      <c r="J783" s="1"/>
      <c r="K783" s="1"/>
      <c r="L783" s="1"/>
    </row>
    <row r="784">
      <c r="A784" s="110">
        <v>46213.83206381944</v>
      </c>
      <c r="B784" s="74" t="s">
        <v>154</v>
      </c>
      <c r="C784" s="74" t="s">
        <v>208</v>
      </c>
      <c r="D784" s="112" t="s">
        <v>139</v>
      </c>
      <c r="E784" s="1"/>
      <c r="F784" s="111" t="b">
        <v>1</v>
      </c>
      <c r="G784" s="111" t="b">
        <v>1</v>
      </c>
      <c r="H784" s="111" t="b">
        <v>1</v>
      </c>
      <c r="I784" s="74" t="s">
        <v>97</v>
      </c>
      <c r="J784" s="1"/>
      <c r="K784" s="1"/>
      <c r="L784" s="1"/>
    </row>
    <row r="785">
      <c r="A785" s="110">
        <v>46213.83468515046</v>
      </c>
      <c r="B785" s="74" t="s">
        <v>128</v>
      </c>
      <c r="C785" s="74" t="s">
        <v>152</v>
      </c>
      <c r="D785" s="74" t="s">
        <v>130</v>
      </c>
      <c r="E785" s="1"/>
      <c r="F785" s="111" t="b">
        <v>1</v>
      </c>
      <c r="G785" s="111" t="b">
        <v>1</v>
      </c>
      <c r="H785" s="111" t="b">
        <v>1</v>
      </c>
      <c r="I785" s="74" t="s">
        <v>93</v>
      </c>
      <c r="J785" s="1"/>
      <c r="K785" s="1"/>
      <c r="L785" s="1"/>
    </row>
    <row r="786">
      <c r="A786" s="110">
        <v>46213.8408852662</v>
      </c>
      <c r="B786" s="74" t="s">
        <v>154</v>
      </c>
      <c r="C786" s="74" t="s">
        <v>166</v>
      </c>
      <c r="D786" s="74" t="s">
        <v>130</v>
      </c>
      <c r="E786" s="1"/>
      <c r="F786" s="111" t="b">
        <v>1</v>
      </c>
      <c r="G786" s="111" t="b">
        <v>1</v>
      </c>
      <c r="H786" s="111" t="b">
        <v>1</v>
      </c>
      <c r="I786" s="74" t="s">
        <v>83</v>
      </c>
      <c r="J786" s="1"/>
      <c r="K786" s="1"/>
      <c r="L786" s="1"/>
    </row>
    <row r="787">
      <c r="A787" s="110">
        <v>46213.84203909722</v>
      </c>
      <c r="B787" s="74" t="s">
        <v>172</v>
      </c>
      <c r="C787" s="74" t="s">
        <v>241</v>
      </c>
      <c r="D787" s="74" t="s">
        <v>130</v>
      </c>
      <c r="E787" s="74" t="s">
        <v>330</v>
      </c>
      <c r="F787" s="111" t="b">
        <v>1</v>
      </c>
      <c r="G787" s="111" t="b">
        <v>1</v>
      </c>
      <c r="H787" s="111" t="b">
        <v>1</v>
      </c>
      <c r="I787" s="74" t="s">
        <v>83</v>
      </c>
      <c r="J787" s="1"/>
      <c r="K787" s="1"/>
      <c r="L787" s="1"/>
    </row>
    <row r="788">
      <c r="A788" s="110">
        <v>46213.84700334491</v>
      </c>
      <c r="B788" s="74" t="s">
        <v>129</v>
      </c>
      <c r="C788" s="74" t="s">
        <v>198</v>
      </c>
      <c r="D788" s="112" t="s">
        <v>139</v>
      </c>
      <c r="E788" s="74" t="s">
        <v>236</v>
      </c>
      <c r="F788" s="111" t="b">
        <v>1</v>
      </c>
      <c r="G788" s="111" t="b">
        <v>1</v>
      </c>
      <c r="H788" s="111" t="b">
        <v>1</v>
      </c>
      <c r="I788" s="74" t="s">
        <v>118</v>
      </c>
      <c r="J788" s="1"/>
      <c r="K788" s="1"/>
      <c r="L788" s="1"/>
    </row>
    <row r="789">
      <c r="A789" s="110">
        <v>46213.86096052083</v>
      </c>
      <c r="B789" s="74" t="s">
        <v>166</v>
      </c>
      <c r="C789" s="74" t="s">
        <v>206</v>
      </c>
      <c r="D789" s="112" t="s">
        <v>139</v>
      </c>
      <c r="E789" s="1"/>
      <c r="F789" s="111" t="b">
        <v>1</v>
      </c>
      <c r="G789" s="111" t="b">
        <v>1</v>
      </c>
      <c r="H789" s="111" t="b">
        <v>1</v>
      </c>
      <c r="I789" s="74" t="s">
        <v>81</v>
      </c>
      <c r="J789" s="1"/>
      <c r="K789" s="1"/>
      <c r="L789" s="1"/>
    </row>
    <row r="790">
      <c r="A790" s="110">
        <v>46213.861572511574</v>
      </c>
      <c r="B790" s="74" t="s">
        <v>141</v>
      </c>
      <c r="C790" s="74" t="s">
        <v>193</v>
      </c>
      <c r="D790" s="74" t="s">
        <v>130</v>
      </c>
      <c r="E790" s="74" t="s">
        <v>352</v>
      </c>
      <c r="F790" s="111" t="b">
        <v>1</v>
      </c>
      <c r="G790" s="111" t="b">
        <v>1</v>
      </c>
      <c r="H790" s="111" t="b">
        <v>1</v>
      </c>
      <c r="I790" s="74" t="s">
        <v>147</v>
      </c>
      <c r="J790" s="1"/>
      <c r="K790" s="1"/>
      <c r="L790" s="1"/>
    </row>
    <row r="791">
      <c r="A791" s="110">
        <v>46213.88499357639</v>
      </c>
      <c r="B791" s="74" t="s">
        <v>203</v>
      </c>
      <c r="C791" s="74" t="s">
        <v>206</v>
      </c>
      <c r="D791" s="112" t="s">
        <v>139</v>
      </c>
      <c r="E791" s="1"/>
      <c r="F791" s="111" t="b">
        <v>1</v>
      </c>
      <c r="G791" s="111" t="b">
        <v>1</v>
      </c>
      <c r="H791" s="111" t="b">
        <v>1</v>
      </c>
      <c r="I791" s="74" t="s">
        <v>95</v>
      </c>
      <c r="J791" s="1"/>
      <c r="K791" s="1"/>
      <c r="L791" s="1"/>
    </row>
    <row r="792">
      <c r="A792" s="110">
        <v>46213.887440590275</v>
      </c>
      <c r="B792" s="74" t="s">
        <v>129</v>
      </c>
      <c r="C792" s="74" t="s">
        <v>131</v>
      </c>
      <c r="D792" s="112" t="s">
        <v>139</v>
      </c>
      <c r="E792" s="74" t="s">
        <v>236</v>
      </c>
      <c r="F792" s="111" t="b">
        <v>1</v>
      </c>
      <c r="G792" s="111" t="b">
        <v>1</v>
      </c>
      <c r="H792" s="111" t="b">
        <v>1</v>
      </c>
      <c r="I792" s="74" t="s">
        <v>85</v>
      </c>
      <c r="J792" s="1"/>
      <c r="K792" s="1"/>
      <c r="L792" s="1"/>
    </row>
    <row r="793">
      <c r="A793" s="110">
        <v>46213.89747211806</v>
      </c>
      <c r="B793" s="74" t="s">
        <v>203</v>
      </c>
      <c r="C793" s="74" t="s">
        <v>172</v>
      </c>
      <c r="D793" s="112" t="s">
        <v>139</v>
      </c>
      <c r="E793" s="1"/>
      <c r="F793" s="111" t="b">
        <v>1</v>
      </c>
      <c r="G793" s="111" t="b">
        <v>1</v>
      </c>
      <c r="H793" s="111" t="b">
        <v>1</v>
      </c>
      <c r="I793" s="74" t="s">
        <v>102</v>
      </c>
      <c r="J793" s="1"/>
      <c r="K793" s="1"/>
      <c r="L793" s="1"/>
    </row>
    <row r="794">
      <c r="A794" s="110">
        <v>46213.90417828703</v>
      </c>
      <c r="B794" s="74" t="s">
        <v>244</v>
      </c>
      <c r="C794" s="74" t="s">
        <v>267</v>
      </c>
      <c r="D794" s="112" t="s">
        <v>139</v>
      </c>
      <c r="E794" s="1"/>
      <c r="F794" s="111" t="b">
        <v>1</v>
      </c>
      <c r="G794" s="111" t="b">
        <v>1</v>
      </c>
      <c r="H794" s="111" t="b">
        <v>1</v>
      </c>
      <c r="I794" s="74" t="s">
        <v>90</v>
      </c>
      <c r="J794" s="1"/>
      <c r="K794" s="1"/>
      <c r="L794" s="1"/>
    </row>
    <row r="795">
      <c r="A795" s="110">
        <v>46213.905095891205</v>
      </c>
      <c r="B795" s="74" t="s">
        <v>206</v>
      </c>
      <c r="C795" s="74" t="s">
        <v>174</v>
      </c>
      <c r="D795" s="112" t="s">
        <v>139</v>
      </c>
      <c r="E795" s="74" t="s">
        <v>167</v>
      </c>
      <c r="F795" s="111" t="b">
        <v>1</v>
      </c>
      <c r="G795" s="111" t="b">
        <v>1</v>
      </c>
      <c r="H795" s="111" t="b">
        <v>1</v>
      </c>
      <c r="I795" s="74" t="s">
        <v>120</v>
      </c>
      <c r="J795" s="1"/>
      <c r="K795" s="1"/>
      <c r="L795" s="1"/>
    </row>
    <row r="796">
      <c r="A796" s="110">
        <v>46213.9135194213</v>
      </c>
      <c r="B796" s="74" t="s">
        <v>283</v>
      </c>
      <c r="C796" s="74" t="s">
        <v>298</v>
      </c>
      <c r="D796" s="74" t="s">
        <v>130</v>
      </c>
      <c r="E796" s="74" t="s">
        <v>345</v>
      </c>
      <c r="F796" s="111" t="b">
        <v>1</v>
      </c>
      <c r="G796" s="111" t="b">
        <v>1</v>
      </c>
      <c r="H796" s="111" t="b">
        <v>1</v>
      </c>
      <c r="I796" s="74" t="s">
        <v>147</v>
      </c>
      <c r="J796" s="1"/>
      <c r="K796" s="1"/>
      <c r="L796" s="1"/>
    </row>
    <row r="797">
      <c r="A797" s="110">
        <v>46213.92116075232</v>
      </c>
      <c r="B797" s="74" t="s">
        <v>261</v>
      </c>
      <c r="C797" s="74" t="s">
        <v>203</v>
      </c>
      <c r="D797" s="112" t="s">
        <v>139</v>
      </c>
      <c r="E797" s="1"/>
      <c r="F797" s="111" t="b">
        <v>1</v>
      </c>
      <c r="G797" s="111" t="b">
        <v>1</v>
      </c>
      <c r="H797" s="111" t="b">
        <v>1</v>
      </c>
      <c r="I797" s="74" t="s">
        <v>90</v>
      </c>
      <c r="J797" s="1"/>
      <c r="K797" s="1"/>
      <c r="L797" s="1"/>
    </row>
    <row r="798">
      <c r="A798" s="110">
        <v>46213.931601874996</v>
      </c>
      <c r="B798" s="74" t="s">
        <v>135</v>
      </c>
      <c r="C798" s="74" t="s">
        <v>163</v>
      </c>
      <c r="D798" s="74" t="s">
        <v>130</v>
      </c>
      <c r="E798" s="1"/>
      <c r="F798" s="111" t="b">
        <v>1</v>
      </c>
      <c r="G798" s="111" t="b">
        <v>1</v>
      </c>
      <c r="H798" s="111" t="b">
        <v>1</v>
      </c>
      <c r="I798" s="74" t="s">
        <v>84</v>
      </c>
      <c r="J798" s="1"/>
      <c r="K798" s="1"/>
      <c r="L798" s="1"/>
    </row>
    <row r="799">
      <c r="A799" s="110">
        <v>46213.97129239583</v>
      </c>
      <c r="B799" s="74" t="s">
        <v>170</v>
      </c>
      <c r="C799" s="74" t="s">
        <v>171</v>
      </c>
      <c r="D799" s="112" t="s">
        <v>139</v>
      </c>
      <c r="E799" s="1"/>
      <c r="F799" s="111" t="b">
        <v>1</v>
      </c>
      <c r="G799" s="111" t="b">
        <v>1</v>
      </c>
      <c r="H799" s="111" t="b">
        <v>1</v>
      </c>
      <c r="I799" s="74" t="s">
        <v>102</v>
      </c>
      <c r="J799" s="1"/>
      <c r="K799" s="1"/>
      <c r="L799" s="1"/>
    </row>
    <row r="800">
      <c r="A800" s="110">
        <v>46213.97321685185</v>
      </c>
      <c r="B800" s="74" t="s">
        <v>230</v>
      </c>
      <c r="C800" s="74" t="s">
        <v>197</v>
      </c>
      <c r="D800" s="74" t="s">
        <v>130</v>
      </c>
      <c r="E800" s="1"/>
      <c r="F800" s="111" t="b">
        <v>1</v>
      </c>
      <c r="G800" s="111" t="b">
        <v>1</v>
      </c>
      <c r="H800" s="111" t="b">
        <v>1</v>
      </c>
      <c r="I800" s="74" t="s">
        <v>120</v>
      </c>
      <c r="J800" s="1"/>
      <c r="K800" s="1"/>
      <c r="L800" s="1"/>
    </row>
    <row r="801">
      <c r="A801" s="110">
        <v>46213.9821075</v>
      </c>
      <c r="B801" s="74" t="s">
        <v>203</v>
      </c>
      <c r="C801" s="74" t="s">
        <v>170</v>
      </c>
      <c r="D801" s="74" t="s">
        <v>130</v>
      </c>
      <c r="E801" s="74" t="s">
        <v>353</v>
      </c>
      <c r="F801" s="111" t="b">
        <v>1</v>
      </c>
      <c r="G801" s="111" t="b">
        <v>1</v>
      </c>
      <c r="H801" s="111" t="b">
        <v>1</v>
      </c>
      <c r="I801" s="74" t="s">
        <v>90</v>
      </c>
      <c r="J801" s="1"/>
      <c r="K801" s="1"/>
      <c r="L801" s="1"/>
    </row>
    <row r="802">
      <c r="A802" s="110">
        <v>46213.98618244213</v>
      </c>
      <c r="B802" s="74" t="s">
        <v>230</v>
      </c>
      <c r="C802" s="74" t="s">
        <v>168</v>
      </c>
      <c r="D802" s="112" t="s">
        <v>139</v>
      </c>
      <c r="E802" s="1"/>
      <c r="F802" s="111" t="b">
        <v>1</v>
      </c>
      <c r="G802" s="111" t="b">
        <v>1</v>
      </c>
      <c r="H802" s="111" t="b">
        <v>1</v>
      </c>
      <c r="I802" s="74" t="s">
        <v>81</v>
      </c>
      <c r="J802" s="1"/>
      <c r="K802" s="1"/>
      <c r="L802" s="1"/>
    </row>
    <row r="803">
      <c r="A803" s="110">
        <v>46213.9875372338</v>
      </c>
      <c r="B803" s="74" t="s">
        <v>206</v>
      </c>
      <c r="C803" s="74" t="s">
        <v>190</v>
      </c>
      <c r="D803" s="112" t="s">
        <v>139</v>
      </c>
      <c r="E803" s="1"/>
      <c r="F803" s="111" t="b">
        <v>1</v>
      </c>
      <c r="G803" s="111" t="b">
        <v>1</v>
      </c>
      <c r="H803" s="111" t="b">
        <v>1</v>
      </c>
      <c r="I803" s="74" t="s">
        <v>147</v>
      </c>
      <c r="J803" s="1"/>
      <c r="K803" s="1"/>
      <c r="L803" s="1"/>
    </row>
    <row r="804">
      <c r="A804" s="110">
        <v>46213.99869408565</v>
      </c>
      <c r="B804" s="74" t="s">
        <v>133</v>
      </c>
      <c r="C804" s="74" t="s">
        <v>197</v>
      </c>
      <c r="D804" s="112" t="s">
        <v>139</v>
      </c>
      <c r="E804" s="1"/>
      <c r="F804" s="111" t="b">
        <v>1</v>
      </c>
      <c r="G804" s="111" t="b">
        <v>1</v>
      </c>
      <c r="H804" s="111" t="b">
        <v>1</v>
      </c>
      <c r="I804" s="74" t="s">
        <v>118</v>
      </c>
      <c r="J804" s="1"/>
      <c r="K804" s="1"/>
      <c r="L804" s="1"/>
    </row>
    <row r="805">
      <c r="A805" s="110">
        <v>46214.00183821759</v>
      </c>
      <c r="B805" s="74" t="s">
        <v>203</v>
      </c>
      <c r="C805" s="74" t="s">
        <v>230</v>
      </c>
      <c r="D805" s="112" t="s">
        <v>139</v>
      </c>
      <c r="E805" s="1"/>
      <c r="F805" s="111" t="b">
        <v>1</v>
      </c>
      <c r="G805" s="111" t="b">
        <v>1</v>
      </c>
      <c r="H805" s="111" t="b">
        <v>1</v>
      </c>
      <c r="I805" s="74" t="s">
        <v>120</v>
      </c>
      <c r="J805" s="1"/>
      <c r="K805" s="1"/>
      <c r="L805" s="1"/>
    </row>
    <row r="806">
      <c r="A806" s="110">
        <v>46214.00528508102</v>
      </c>
      <c r="B806" s="74" t="s">
        <v>162</v>
      </c>
      <c r="C806" s="74" t="s">
        <v>163</v>
      </c>
      <c r="D806" s="74" t="s">
        <v>130</v>
      </c>
      <c r="E806" s="1"/>
      <c r="F806" s="111" t="b">
        <v>1</v>
      </c>
      <c r="G806" s="111" t="b">
        <v>1</v>
      </c>
      <c r="H806" s="111" t="b">
        <v>1</v>
      </c>
      <c r="I806" s="74" t="s">
        <v>118</v>
      </c>
      <c r="J806" s="1"/>
      <c r="K806" s="1"/>
      <c r="L806" s="1"/>
    </row>
    <row r="807">
      <c r="A807" s="110">
        <v>46214.0071324537</v>
      </c>
      <c r="B807" s="74" t="s">
        <v>170</v>
      </c>
      <c r="C807" s="74" t="s">
        <v>206</v>
      </c>
      <c r="D807" s="112" t="s">
        <v>139</v>
      </c>
      <c r="E807" s="1"/>
      <c r="F807" s="111" t="b">
        <v>1</v>
      </c>
      <c r="G807" s="111" t="b">
        <v>1</v>
      </c>
      <c r="H807" s="111" t="b">
        <v>1</v>
      </c>
      <c r="I807" s="74" t="s">
        <v>93</v>
      </c>
      <c r="J807" s="1"/>
      <c r="K807" s="1"/>
      <c r="L807" s="1"/>
    </row>
    <row r="808">
      <c r="A808" s="110">
        <v>46214.01995390047</v>
      </c>
      <c r="B808" s="74" t="s">
        <v>197</v>
      </c>
      <c r="C808" s="74" t="s">
        <v>203</v>
      </c>
      <c r="D808" s="112" t="s">
        <v>139</v>
      </c>
      <c r="E808" s="1"/>
      <c r="F808" s="111" t="b">
        <v>1</v>
      </c>
      <c r="G808" s="111" t="b">
        <v>1</v>
      </c>
      <c r="H808" s="111" t="b">
        <v>1</v>
      </c>
      <c r="I808" s="74" t="s">
        <v>81</v>
      </c>
      <c r="J808" s="1"/>
      <c r="K808" s="1"/>
      <c r="L808" s="1"/>
    </row>
    <row r="809">
      <c r="A809" s="110">
        <v>46214.025784467594</v>
      </c>
      <c r="B809" s="74" t="s">
        <v>230</v>
      </c>
      <c r="C809" s="74" t="s">
        <v>283</v>
      </c>
      <c r="D809" s="112" t="s">
        <v>139</v>
      </c>
      <c r="E809" s="1"/>
      <c r="F809" s="111" t="b">
        <v>1</v>
      </c>
      <c r="G809" s="111" t="b">
        <v>1</v>
      </c>
      <c r="H809" s="111" t="b">
        <v>1</v>
      </c>
      <c r="I809" s="74" t="s">
        <v>83</v>
      </c>
      <c r="J809" s="1"/>
      <c r="K809" s="1"/>
      <c r="L809" s="1"/>
    </row>
    <row r="810">
      <c r="A810" s="110">
        <v>46214.03494133102</v>
      </c>
      <c r="B810" s="74" t="s">
        <v>140</v>
      </c>
      <c r="C810" s="74" t="s">
        <v>205</v>
      </c>
      <c r="D810" s="112" t="s">
        <v>139</v>
      </c>
      <c r="E810" s="1"/>
      <c r="F810" s="111" t="b">
        <v>1</v>
      </c>
      <c r="G810" s="111" t="b">
        <v>1</v>
      </c>
      <c r="H810" s="111" t="b">
        <v>1</v>
      </c>
      <c r="I810" s="74" t="s">
        <v>95</v>
      </c>
      <c r="J810" s="1"/>
      <c r="K810" s="1"/>
      <c r="L810" s="1"/>
    </row>
    <row r="811">
      <c r="A811" s="110">
        <v>46214.04322564814</v>
      </c>
      <c r="B811" s="74" t="s">
        <v>133</v>
      </c>
      <c r="C811" s="74" t="s">
        <v>230</v>
      </c>
      <c r="D811" s="74" t="s">
        <v>130</v>
      </c>
      <c r="E811" s="1"/>
      <c r="F811" s="111" t="b">
        <v>1</v>
      </c>
      <c r="G811" s="111" t="b">
        <v>1</v>
      </c>
      <c r="H811" s="111" t="b">
        <v>1</v>
      </c>
      <c r="I811" s="74" t="s">
        <v>87</v>
      </c>
      <c r="J811" s="1"/>
      <c r="K811" s="1"/>
      <c r="L811" s="1"/>
    </row>
    <row r="812">
      <c r="A812" s="110">
        <v>46214.07173891204</v>
      </c>
      <c r="B812" s="74" t="s">
        <v>140</v>
      </c>
      <c r="C812" s="74" t="s">
        <v>283</v>
      </c>
      <c r="D812" s="74" t="s">
        <v>130</v>
      </c>
      <c r="E812" s="1"/>
      <c r="F812" s="111" t="b">
        <v>1</v>
      </c>
      <c r="G812" s="111" t="b">
        <v>1</v>
      </c>
      <c r="H812" s="111" t="b">
        <v>1</v>
      </c>
      <c r="I812" s="74" t="s">
        <v>202</v>
      </c>
      <c r="J812" s="1"/>
      <c r="K812" s="1"/>
      <c r="L812" s="1"/>
    </row>
    <row r="813">
      <c r="A813" s="110">
        <v>46214.0977092824</v>
      </c>
      <c r="B813" s="74" t="s">
        <v>283</v>
      </c>
      <c r="C813" s="74" t="s">
        <v>294</v>
      </c>
      <c r="D813" s="74" t="s">
        <v>130</v>
      </c>
      <c r="E813" s="74" t="s">
        <v>157</v>
      </c>
      <c r="F813" s="111" t="b">
        <v>1</v>
      </c>
      <c r="G813" s="111" t="b">
        <v>1</v>
      </c>
      <c r="H813" s="111" t="b">
        <v>1</v>
      </c>
      <c r="I813" s="74" t="s">
        <v>97</v>
      </c>
      <c r="J813" s="1"/>
      <c r="K813" s="1"/>
      <c r="L813" s="1"/>
    </row>
    <row r="814">
      <c r="A814" s="110">
        <v>46214.114906041665</v>
      </c>
      <c r="B814" s="74" t="s">
        <v>294</v>
      </c>
      <c r="C814" s="74" t="s">
        <v>164</v>
      </c>
      <c r="D814" s="74" t="s">
        <v>130</v>
      </c>
      <c r="E814" s="1"/>
      <c r="F814" s="111" t="b">
        <v>1</v>
      </c>
      <c r="G814" s="111" t="b">
        <v>1</v>
      </c>
      <c r="H814" s="111" t="b">
        <v>1</v>
      </c>
      <c r="I814" s="74" t="s">
        <v>147</v>
      </c>
      <c r="J814" s="1"/>
      <c r="K814" s="1"/>
      <c r="L814" s="1"/>
    </row>
    <row r="815">
      <c r="A815" s="110">
        <v>46214.150230162035</v>
      </c>
      <c r="B815" s="74" t="s">
        <v>164</v>
      </c>
      <c r="C815" s="74" t="s">
        <v>145</v>
      </c>
      <c r="D815" s="74" t="s">
        <v>130</v>
      </c>
      <c r="E815" s="74" t="s">
        <v>249</v>
      </c>
      <c r="F815" s="111" t="b">
        <v>1</v>
      </c>
      <c r="G815" s="111" t="b">
        <v>1</v>
      </c>
      <c r="H815" s="111" t="b">
        <v>1</v>
      </c>
      <c r="I815" s="74" t="s">
        <v>118</v>
      </c>
      <c r="J815" s="1"/>
      <c r="K815" s="1"/>
      <c r="L815" s="1"/>
    </row>
    <row r="816">
      <c r="A816" s="110">
        <v>46214.31588349537</v>
      </c>
      <c r="B816" s="74" t="s">
        <v>215</v>
      </c>
      <c r="C816" s="74" t="s">
        <v>160</v>
      </c>
      <c r="D816" s="112" t="s">
        <v>139</v>
      </c>
      <c r="E816" s="1"/>
      <c r="F816" s="111" t="b">
        <v>1</v>
      </c>
      <c r="G816" s="111" t="b">
        <v>1</v>
      </c>
      <c r="H816" s="111" t="b">
        <v>1</v>
      </c>
      <c r="I816" s="74" t="s">
        <v>106</v>
      </c>
      <c r="J816" s="1"/>
      <c r="K816" s="1"/>
      <c r="L816" s="1"/>
    </row>
    <row r="817">
      <c r="A817" s="110">
        <v>46214.35491991898</v>
      </c>
      <c r="B817" s="74" t="s">
        <v>174</v>
      </c>
      <c r="C817" s="74" t="s">
        <v>160</v>
      </c>
      <c r="D817" s="74" t="s">
        <v>130</v>
      </c>
      <c r="E817" s="74" t="s">
        <v>165</v>
      </c>
      <c r="F817" s="111" t="b">
        <v>1</v>
      </c>
      <c r="G817" s="111" t="b">
        <v>1</v>
      </c>
      <c r="H817" s="111" t="b">
        <v>1</v>
      </c>
      <c r="I817" s="74" t="s">
        <v>93</v>
      </c>
      <c r="J817" s="1"/>
      <c r="K817" s="1"/>
      <c r="L817" s="1"/>
    </row>
    <row r="818">
      <c r="A818" s="110">
        <v>46214.37721357639</v>
      </c>
      <c r="B818" s="74" t="s">
        <v>172</v>
      </c>
      <c r="C818" s="74" t="s">
        <v>160</v>
      </c>
      <c r="D818" s="74" t="s">
        <v>130</v>
      </c>
      <c r="E818" s="74" t="s">
        <v>330</v>
      </c>
      <c r="F818" s="111" t="b">
        <v>1</v>
      </c>
      <c r="G818" s="111" t="b">
        <v>1</v>
      </c>
      <c r="H818" s="111" t="b">
        <v>1</v>
      </c>
      <c r="I818" s="74" t="s">
        <v>87</v>
      </c>
      <c r="J818" s="1"/>
      <c r="K818" s="1"/>
      <c r="L818" s="1"/>
    </row>
    <row r="819">
      <c r="A819" s="110">
        <v>46214.39221586805</v>
      </c>
      <c r="B819" s="74" t="s">
        <v>172</v>
      </c>
      <c r="C819" s="74" t="s">
        <v>244</v>
      </c>
      <c r="D819" s="74" t="s">
        <v>130</v>
      </c>
      <c r="E819" s="74" t="s">
        <v>330</v>
      </c>
      <c r="F819" s="111" t="b">
        <v>1</v>
      </c>
      <c r="G819" s="111" t="b">
        <v>1</v>
      </c>
      <c r="H819" s="111" t="b">
        <v>1</v>
      </c>
      <c r="I819" s="74" t="s">
        <v>83</v>
      </c>
      <c r="J819" s="1"/>
      <c r="K819" s="1"/>
      <c r="L819" s="1"/>
    </row>
    <row r="820">
      <c r="A820" s="110">
        <v>46214.409272453704</v>
      </c>
      <c r="B820" s="74" t="s">
        <v>218</v>
      </c>
      <c r="C820" s="74" t="s">
        <v>244</v>
      </c>
      <c r="D820" s="74" t="s">
        <v>130</v>
      </c>
      <c r="E820" s="1"/>
      <c r="F820" s="111" t="b">
        <v>1</v>
      </c>
      <c r="G820" s="111" t="b">
        <v>1</v>
      </c>
      <c r="H820" s="111" t="b">
        <v>1</v>
      </c>
      <c r="I820" s="74" t="s">
        <v>97</v>
      </c>
      <c r="J820" s="1"/>
      <c r="K820" s="1"/>
      <c r="L820" s="1"/>
    </row>
    <row r="821">
      <c r="A821" s="110">
        <v>46214.43076502315</v>
      </c>
      <c r="B821" s="74" t="s">
        <v>218</v>
      </c>
      <c r="C821" s="74" t="s">
        <v>135</v>
      </c>
      <c r="D821" s="74" t="s">
        <v>130</v>
      </c>
      <c r="E821" s="1"/>
      <c r="F821" s="111" t="b">
        <v>1</v>
      </c>
      <c r="G821" s="111" t="b">
        <v>1</v>
      </c>
      <c r="H821" s="111" t="b">
        <v>1</v>
      </c>
      <c r="I821" s="74" t="s">
        <v>85</v>
      </c>
      <c r="J821" s="1"/>
      <c r="K821" s="1"/>
      <c r="L821" s="1"/>
    </row>
    <row r="822">
      <c r="A822" s="110">
        <v>46214.457251087966</v>
      </c>
      <c r="B822" s="74" t="s">
        <v>218</v>
      </c>
      <c r="C822" s="74" t="s">
        <v>177</v>
      </c>
      <c r="D822" s="112" t="s">
        <v>139</v>
      </c>
      <c r="E822" s="1"/>
      <c r="F822" s="111" t="b">
        <v>1</v>
      </c>
      <c r="G822" s="111" t="b">
        <v>1</v>
      </c>
      <c r="H822" s="111" t="b">
        <v>1</v>
      </c>
      <c r="I822" s="74" t="s">
        <v>87</v>
      </c>
      <c r="J822" s="1"/>
      <c r="K822" s="1"/>
      <c r="L822" s="1"/>
    </row>
    <row r="823">
      <c r="A823" s="110">
        <v>46214.46852841435</v>
      </c>
      <c r="B823" s="74" t="s">
        <v>205</v>
      </c>
      <c r="C823" s="74" t="s">
        <v>141</v>
      </c>
      <c r="D823" s="74" t="s">
        <v>130</v>
      </c>
      <c r="E823" s="1"/>
      <c r="F823" s="111" t="b">
        <v>1</v>
      </c>
      <c r="G823" s="111" t="b">
        <v>1</v>
      </c>
      <c r="H823" s="111" t="b">
        <v>1</v>
      </c>
      <c r="I823" s="74" t="s">
        <v>81</v>
      </c>
      <c r="J823" s="1"/>
      <c r="K823" s="1"/>
      <c r="L823" s="1"/>
    </row>
    <row r="824">
      <c r="A824" s="110">
        <v>46214.478657175925</v>
      </c>
      <c r="B824" s="74" t="s">
        <v>166</v>
      </c>
      <c r="C824" s="74" t="s">
        <v>177</v>
      </c>
      <c r="D824" s="74" t="s">
        <v>130</v>
      </c>
      <c r="E824" s="1"/>
      <c r="F824" s="111" t="b">
        <v>1</v>
      </c>
      <c r="G824" s="1"/>
      <c r="H824" s="111" t="b">
        <v>1</v>
      </c>
      <c r="I824" s="1"/>
      <c r="J824" s="1"/>
      <c r="K824" s="1"/>
      <c r="L824" s="1"/>
    </row>
    <row r="825">
      <c r="A825" s="110">
        <v>46214.506016493055</v>
      </c>
      <c r="B825" s="74" t="s">
        <v>243</v>
      </c>
      <c r="C825" s="74" t="s">
        <v>131</v>
      </c>
      <c r="D825" s="74" t="s">
        <v>130</v>
      </c>
      <c r="E825" s="74" t="s">
        <v>354</v>
      </c>
      <c r="F825" s="111" t="b">
        <v>1</v>
      </c>
      <c r="G825" s="111" t="b">
        <v>1</v>
      </c>
      <c r="H825" s="111" t="b">
        <v>1</v>
      </c>
      <c r="I825" s="74" t="s">
        <v>84</v>
      </c>
      <c r="J825" s="1"/>
      <c r="K825" s="1"/>
      <c r="L825" s="1"/>
    </row>
    <row r="826">
      <c r="A826" s="110">
        <v>46214.5142037037</v>
      </c>
      <c r="B826" s="74" t="s">
        <v>303</v>
      </c>
      <c r="C826" s="74" t="s">
        <v>135</v>
      </c>
      <c r="D826" s="74" t="s">
        <v>130</v>
      </c>
      <c r="E826" s="1"/>
      <c r="F826" s="111" t="b">
        <v>1</v>
      </c>
      <c r="G826" s="111" t="b">
        <v>1</v>
      </c>
      <c r="H826" s="1"/>
      <c r="I826" s="74" t="s">
        <v>147</v>
      </c>
      <c r="J826" s="1"/>
      <c r="K826" s="1"/>
      <c r="L826" s="1"/>
    </row>
    <row r="827">
      <c r="A827" s="110">
        <v>46214.54213862268</v>
      </c>
      <c r="B827" s="74" t="s">
        <v>212</v>
      </c>
      <c r="C827" s="74" t="s">
        <v>133</v>
      </c>
      <c r="D827" s="74" t="s">
        <v>130</v>
      </c>
      <c r="E827" s="1"/>
      <c r="F827" s="111" t="b">
        <v>1</v>
      </c>
      <c r="G827" s="111" t="b">
        <v>1</v>
      </c>
      <c r="H827" s="111" t="b">
        <v>1</v>
      </c>
      <c r="I827" s="74" t="s">
        <v>87</v>
      </c>
      <c r="J827" s="1"/>
      <c r="K827" s="1"/>
      <c r="L827" s="1"/>
    </row>
    <row r="828">
      <c r="A828" s="110">
        <v>46214.54634554398</v>
      </c>
      <c r="B828" s="74" t="s">
        <v>129</v>
      </c>
      <c r="C828" s="74" t="s">
        <v>169</v>
      </c>
      <c r="D828" s="74" t="s">
        <v>130</v>
      </c>
      <c r="E828" s="74" t="s">
        <v>167</v>
      </c>
      <c r="F828" s="111" t="b">
        <v>1</v>
      </c>
      <c r="G828" s="111" t="b">
        <v>1</v>
      </c>
      <c r="H828" s="111" t="b">
        <v>1</v>
      </c>
      <c r="I828" s="74" t="s">
        <v>102</v>
      </c>
      <c r="J828" s="1"/>
      <c r="K828" s="1"/>
      <c r="L828" s="1"/>
    </row>
    <row r="829">
      <c r="A829" s="110">
        <v>46214.55832182871</v>
      </c>
      <c r="B829" s="74" t="s">
        <v>141</v>
      </c>
      <c r="C829" s="74" t="s">
        <v>166</v>
      </c>
      <c r="D829" s="112" t="s">
        <v>139</v>
      </c>
      <c r="E829" s="1"/>
      <c r="F829" s="111" t="b">
        <v>1</v>
      </c>
      <c r="G829" s="1"/>
      <c r="H829" s="111" t="b">
        <v>1</v>
      </c>
      <c r="I829" s="1"/>
      <c r="J829" s="1"/>
      <c r="K829" s="1"/>
      <c r="L829" s="1"/>
    </row>
    <row r="830">
      <c r="A830" s="110">
        <v>46214.562547118054</v>
      </c>
      <c r="B830" s="74" t="s">
        <v>160</v>
      </c>
      <c r="C830" s="74" t="s">
        <v>212</v>
      </c>
      <c r="D830" s="112" t="s">
        <v>139</v>
      </c>
      <c r="E830" s="1"/>
      <c r="F830" s="111" t="b">
        <v>1</v>
      </c>
      <c r="G830" s="111" t="b">
        <v>1</v>
      </c>
      <c r="H830" s="111" t="b">
        <v>1</v>
      </c>
      <c r="I830" s="74" t="s">
        <v>99</v>
      </c>
      <c r="J830" s="1"/>
      <c r="K830" s="1"/>
      <c r="L830" s="1"/>
    </row>
    <row r="831">
      <c r="A831" s="110">
        <v>46214.56304850694</v>
      </c>
      <c r="B831" s="74" t="s">
        <v>243</v>
      </c>
      <c r="C831" s="74" t="s">
        <v>229</v>
      </c>
      <c r="D831" s="74" t="s">
        <v>130</v>
      </c>
      <c r="E831" s="74" t="s">
        <v>157</v>
      </c>
      <c r="F831" s="111" t="b">
        <v>1</v>
      </c>
      <c r="G831" s="111" t="b">
        <v>1</v>
      </c>
      <c r="H831" s="111" t="b">
        <v>1</v>
      </c>
      <c r="I831" s="74" t="s">
        <v>85</v>
      </c>
      <c r="J831" s="1"/>
      <c r="K831" s="1"/>
      <c r="L831" s="1"/>
    </row>
    <row r="832">
      <c r="A832" s="110">
        <v>46214.5643</v>
      </c>
      <c r="B832" s="74" t="s">
        <v>302</v>
      </c>
      <c r="C832" s="74" t="s">
        <v>169</v>
      </c>
      <c r="D832" s="74" t="s">
        <v>130</v>
      </c>
      <c r="E832" s="1"/>
      <c r="F832" s="111" t="b">
        <v>1</v>
      </c>
      <c r="G832" s="111" t="b">
        <v>1</v>
      </c>
      <c r="H832" s="111" t="b">
        <v>1</v>
      </c>
      <c r="I832" s="74" t="s">
        <v>85</v>
      </c>
      <c r="J832" s="1"/>
      <c r="K832" s="1"/>
      <c r="L832" s="1"/>
    </row>
    <row r="833">
      <c r="A833" s="110">
        <v>46214.58008260417</v>
      </c>
      <c r="B833" s="74" t="s">
        <v>169</v>
      </c>
      <c r="C833" s="74" t="s">
        <v>160</v>
      </c>
      <c r="D833" s="112" t="s">
        <v>139</v>
      </c>
      <c r="E833" s="74" t="s">
        <v>167</v>
      </c>
      <c r="F833" s="111" t="b">
        <v>1</v>
      </c>
      <c r="G833" s="111" t="b">
        <v>1</v>
      </c>
      <c r="H833" s="111" t="b">
        <v>1</v>
      </c>
      <c r="I833" s="74" t="s">
        <v>87</v>
      </c>
      <c r="J833" s="1"/>
      <c r="K833" s="1"/>
      <c r="L833" s="1"/>
    </row>
    <row r="834">
      <c r="A834" s="110">
        <v>46214.58146112268</v>
      </c>
      <c r="B834" s="74" t="s">
        <v>229</v>
      </c>
      <c r="C834" s="74" t="s">
        <v>302</v>
      </c>
      <c r="D834" s="74" t="s">
        <v>130</v>
      </c>
      <c r="E834" s="74" t="s">
        <v>157</v>
      </c>
      <c r="F834" s="111" t="b">
        <v>1</v>
      </c>
      <c r="G834" s="111" t="b">
        <v>1</v>
      </c>
      <c r="H834" s="111" t="b">
        <v>1</v>
      </c>
      <c r="I834" s="74" t="s">
        <v>118</v>
      </c>
      <c r="J834" s="1"/>
      <c r="K834" s="1"/>
      <c r="L834" s="1"/>
    </row>
    <row r="835">
      <c r="A835" s="110">
        <v>46214.5876427662</v>
      </c>
      <c r="B835" s="74" t="s">
        <v>237</v>
      </c>
      <c r="C835" s="74" t="s">
        <v>283</v>
      </c>
      <c r="D835" s="112" t="s">
        <v>139</v>
      </c>
      <c r="E835" s="74" t="s">
        <v>157</v>
      </c>
      <c r="F835" s="111" t="b">
        <v>1</v>
      </c>
      <c r="G835" s="111" t="b">
        <v>1</v>
      </c>
      <c r="H835" s="111" t="b">
        <v>1</v>
      </c>
      <c r="I835" s="74" t="s">
        <v>83</v>
      </c>
      <c r="J835" s="1"/>
      <c r="K835" s="1"/>
      <c r="L835" s="1"/>
    </row>
    <row r="836">
      <c r="A836" s="110">
        <v>46214.621744965276</v>
      </c>
      <c r="B836" s="74" t="s">
        <v>215</v>
      </c>
      <c r="C836" s="74" t="s">
        <v>257</v>
      </c>
      <c r="D836" s="74" t="s">
        <v>130</v>
      </c>
      <c r="E836" s="74" t="s">
        <v>175</v>
      </c>
      <c r="F836" s="111" t="b">
        <v>1</v>
      </c>
      <c r="G836" s="111" t="b">
        <v>1</v>
      </c>
      <c r="H836" s="111" t="b">
        <v>1</v>
      </c>
      <c r="I836" s="74" t="s">
        <v>87</v>
      </c>
      <c r="J836" s="1"/>
      <c r="K836" s="1"/>
      <c r="L836" s="1"/>
    </row>
    <row r="837">
      <c r="A837" s="110">
        <v>46214.62325517361</v>
      </c>
      <c r="B837" s="74" t="s">
        <v>283</v>
      </c>
      <c r="C837" s="74" t="s">
        <v>178</v>
      </c>
      <c r="D837" s="74" t="s">
        <v>130</v>
      </c>
      <c r="E837" s="74" t="s">
        <v>157</v>
      </c>
      <c r="F837" s="111" t="b">
        <v>1</v>
      </c>
      <c r="G837" s="111" t="b">
        <v>1</v>
      </c>
      <c r="H837" s="111" t="b">
        <v>1</v>
      </c>
      <c r="I837" s="74" t="s">
        <v>85</v>
      </c>
      <c r="J837" s="1"/>
      <c r="K837" s="1"/>
      <c r="L837" s="1"/>
    </row>
    <row r="838">
      <c r="A838" s="110">
        <v>46214.65748525463</v>
      </c>
      <c r="B838" s="74" t="s">
        <v>205</v>
      </c>
      <c r="C838" s="74" t="s">
        <v>128</v>
      </c>
      <c r="D838" s="74" t="s">
        <v>130</v>
      </c>
      <c r="E838" s="1"/>
      <c r="F838" s="111" t="b">
        <v>1</v>
      </c>
      <c r="G838" s="111" t="b">
        <v>1</v>
      </c>
      <c r="H838" s="111" t="b">
        <v>1</v>
      </c>
      <c r="I838" s="74" t="s">
        <v>83</v>
      </c>
      <c r="J838" s="1"/>
      <c r="K838" s="1"/>
      <c r="L838" s="1"/>
    </row>
    <row r="839">
      <c r="A839" s="110">
        <v>46214.66255219908</v>
      </c>
      <c r="B839" s="74" t="s">
        <v>184</v>
      </c>
      <c r="C839" s="74" t="s">
        <v>320</v>
      </c>
      <c r="D839" s="112" t="s">
        <v>139</v>
      </c>
      <c r="E839" s="1"/>
      <c r="F839" s="111" t="b">
        <v>1</v>
      </c>
      <c r="G839" s="111" t="b">
        <v>1</v>
      </c>
      <c r="H839" s="111" t="b">
        <v>1</v>
      </c>
      <c r="I839" s="74" t="s">
        <v>81</v>
      </c>
      <c r="J839" s="1"/>
      <c r="K839" s="1"/>
      <c r="L839" s="1"/>
    </row>
    <row r="840">
      <c r="A840" s="110">
        <v>46214.69641052083</v>
      </c>
      <c r="B840" s="74" t="s">
        <v>303</v>
      </c>
      <c r="C840" s="74" t="s">
        <v>184</v>
      </c>
      <c r="D840" s="74" t="s">
        <v>130</v>
      </c>
      <c r="E840" s="74" t="s">
        <v>167</v>
      </c>
      <c r="F840" s="111" t="b">
        <v>1</v>
      </c>
      <c r="G840" s="111" t="b">
        <v>1</v>
      </c>
      <c r="H840" s="111" t="b">
        <v>1</v>
      </c>
      <c r="I840" s="74" t="s">
        <v>97</v>
      </c>
      <c r="J840" s="1"/>
      <c r="K840" s="1"/>
      <c r="L840" s="1"/>
    </row>
    <row r="841">
      <c r="A841" s="110">
        <v>46214.76060179398</v>
      </c>
      <c r="B841" s="74" t="s">
        <v>140</v>
      </c>
      <c r="C841" s="74" t="s">
        <v>244</v>
      </c>
      <c r="D841" s="112" t="s">
        <v>139</v>
      </c>
      <c r="E841" s="1"/>
      <c r="F841" s="111" t="b">
        <v>1</v>
      </c>
      <c r="G841" s="111" t="b">
        <v>1</v>
      </c>
      <c r="H841" s="111" t="b">
        <v>1</v>
      </c>
      <c r="I841" s="74" t="s">
        <v>79</v>
      </c>
      <c r="J841" s="1"/>
      <c r="K841" s="1"/>
      <c r="L841" s="1"/>
    </row>
    <row r="842">
      <c r="A842" s="110">
        <v>46214.81528547454</v>
      </c>
      <c r="B842" s="74" t="s">
        <v>244</v>
      </c>
      <c r="C842" s="74" t="s">
        <v>129</v>
      </c>
      <c r="D842" s="112" t="s">
        <v>139</v>
      </c>
      <c r="E842" s="1"/>
      <c r="F842" s="111" t="b">
        <v>1</v>
      </c>
      <c r="G842" s="111" t="b">
        <v>1</v>
      </c>
      <c r="H842" s="111" t="b">
        <v>1</v>
      </c>
      <c r="I842" s="74" t="s">
        <v>97</v>
      </c>
      <c r="J842" s="1"/>
      <c r="K842" s="1"/>
      <c r="L842" s="1"/>
    </row>
    <row r="843">
      <c r="A843" s="110">
        <v>46214.87283099537</v>
      </c>
      <c r="B843" s="74" t="s">
        <v>152</v>
      </c>
      <c r="C843" s="74" t="s">
        <v>184</v>
      </c>
      <c r="D843" s="74" t="s">
        <v>130</v>
      </c>
      <c r="E843" s="1"/>
      <c r="F843" s="111" t="b">
        <v>1</v>
      </c>
      <c r="G843" s="111" t="b">
        <v>1</v>
      </c>
      <c r="H843" s="111" t="b">
        <v>1</v>
      </c>
      <c r="I843" s="74" t="s">
        <v>85</v>
      </c>
      <c r="J843" s="1"/>
      <c r="K843" s="1"/>
      <c r="L843" s="1"/>
    </row>
    <row r="844">
      <c r="A844" s="110">
        <v>46214.908872175925</v>
      </c>
      <c r="B844" s="74" t="s">
        <v>223</v>
      </c>
      <c r="C844" s="74" t="s">
        <v>168</v>
      </c>
      <c r="D844" s="112" t="s">
        <v>139</v>
      </c>
      <c r="E844" s="1"/>
      <c r="F844" s="111" t="b">
        <v>1</v>
      </c>
      <c r="G844" s="111" t="b">
        <v>1</v>
      </c>
      <c r="H844" s="111" t="b">
        <v>1</v>
      </c>
      <c r="I844" s="74" t="s">
        <v>84</v>
      </c>
      <c r="J844" s="1"/>
      <c r="K844" s="1"/>
      <c r="L844" s="1"/>
    </row>
    <row r="845">
      <c r="A845" s="110">
        <v>46214.937808773146</v>
      </c>
      <c r="B845" s="74" t="s">
        <v>223</v>
      </c>
      <c r="C845" s="74" t="s">
        <v>197</v>
      </c>
      <c r="D845" s="74" t="s">
        <v>130</v>
      </c>
      <c r="E845" s="1"/>
      <c r="F845" s="111" t="b">
        <v>1</v>
      </c>
      <c r="G845" s="111" t="b">
        <v>1</v>
      </c>
      <c r="H845" s="111" t="b">
        <v>1</v>
      </c>
      <c r="I845" s="74" t="s">
        <v>79</v>
      </c>
      <c r="J845" s="1"/>
      <c r="K845" s="1"/>
      <c r="L845" s="1"/>
    </row>
    <row r="846">
      <c r="A846" s="110">
        <v>46214.95391074074</v>
      </c>
      <c r="B846" s="74" t="s">
        <v>195</v>
      </c>
      <c r="C846" s="74" t="s">
        <v>194</v>
      </c>
      <c r="D846" s="112" t="s">
        <v>139</v>
      </c>
      <c r="E846" s="1"/>
      <c r="F846" s="111" t="b">
        <v>1</v>
      </c>
      <c r="G846" s="111" t="b">
        <v>1</v>
      </c>
      <c r="H846" s="111" t="b">
        <v>1</v>
      </c>
      <c r="I846" s="74" t="s">
        <v>118</v>
      </c>
      <c r="J846" s="1"/>
      <c r="K846" s="1"/>
      <c r="L846" s="1"/>
    </row>
    <row r="847">
      <c r="A847" s="110">
        <v>46214.97435804398</v>
      </c>
      <c r="B847" s="74" t="s">
        <v>132</v>
      </c>
      <c r="C847" s="74" t="s">
        <v>197</v>
      </c>
      <c r="D847" s="112" t="s">
        <v>139</v>
      </c>
      <c r="E847" s="1"/>
      <c r="F847" s="111" t="b">
        <v>1</v>
      </c>
      <c r="G847" s="1"/>
      <c r="H847" s="111" t="b">
        <v>1</v>
      </c>
      <c r="I847" s="1"/>
      <c r="J847" s="1"/>
      <c r="K847" s="1"/>
      <c r="L847" s="1"/>
    </row>
    <row r="848">
      <c r="A848" s="110">
        <v>46214.98874671296</v>
      </c>
      <c r="B848" s="74" t="s">
        <v>195</v>
      </c>
      <c r="C848" s="74" t="s">
        <v>132</v>
      </c>
      <c r="D848" s="74" t="s">
        <v>130</v>
      </c>
      <c r="E848" s="1"/>
      <c r="F848" s="111" t="b">
        <v>1</v>
      </c>
      <c r="G848" s="111" t="b">
        <v>1</v>
      </c>
      <c r="H848" s="111" t="b">
        <v>1</v>
      </c>
      <c r="I848" s="74" t="s">
        <v>97</v>
      </c>
      <c r="J848" s="1"/>
      <c r="K848" s="1"/>
      <c r="L848" s="1"/>
    </row>
    <row r="849">
      <c r="A849" s="110">
        <v>46215.02289496528</v>
      </c>
      <c r="B849" s="74" t="s">
        <v>247</v>
      </c>
      <c r="C849" s="74" t="s">
        <v>195</v>
      </c>
      <c r="D849" s="74" t="s">
        <v>130</v>
      </c>
      <c r="E849" s="1"/>
      <c r="F849" s="111" t="b">
        <v>1</v>
      </c>
      <c r="G849" s="111" t="b">
        <v>1</v>
      </c>
      <c r="H849" s="111" t="b">
        <v>1</v>
      </c>
      <c r="I849" s="74" t="s">
        <v>106</v>
      </c>
      <c r="J849" s="1"/>
      <c r="K849" s="1"/>
      <c r="L849" s="1"/>
    </row>
    <row r="850">
      <c r="A850" s="110">
        <v>46215.03138181713</v>
      </c>
      <c r="B850" s="74" t="s">
        <v>247</v>
      </c>
      <c r="C850" s="74" t="s">
        <v>271</v>
      </c>
      <c r="D850" s="74" t="s">
        <v>130</v>
      </c>
      <c r="E850" s="1"/>
      <c r="F850" s="111" t="b">
        <v>1</v>
      </c>
      <c r="G850" s="111" t="b">
        <v>1</v>
      </c>
      <c r="H850" s="111" t="b">
        <v>1</v>
      </c>
      <c r="I850" s="74" t="s">
        <v>118</v>
      </c>
      <c r="J850" s="1"/>
      <c r="K850" s="1"/>
      <c r="L850" s="1"/>
    </row>
    <row r="851">
      <c r="A851" s="110">
        <v>46215.05307417824</v>
      </c>
      <c r="B851" s="74" t="s">
        <v>247</v>
      </c>
      <c r="C851" s="74" t="s">
        <v>210</v>
      </c>
      <c r="D851" s="112" t="s">
        <v>139</v>
      </c>
      <c r="E851" s="1"/>
      <c r="F851" s="111" t="b">
        <v>1</v>
      </c>
      <c r="G851" s="111" t="b">
        <v>1</v>
      </c>
      <c r="H851" s="111" t="b">
        <v>1</v>
      </c>
      <c r="I851" s="74" t="s">
        <v>97</v>
      </c>
      <c r="J851" s="1"/>
      <c r="K851" s="1"/>
      <c r="L851" s="1"/>
    </row>
    <row r="852">
      <c r="A852" s="110">
        <v>46215.06786646991</v>
      </c>
      <c r="B852" s="74" t="s">
        <v>91</v>
      </c>
      <c r="C852" s="74" t="s">
        <v>271</v>
      </c>
      <c r="D852" s="74" t="s">
        <v>130</v>
      </c>
      <c r="E852" s="1"/>
      <c r="F852" s="111" t="b">
        <v>1</v>
      </c>
      <c r="G852" s="111" t="b">
        <v>1</v>
      </c>
      <c r="H852" s="111" t="b">
        <v>1</v>
      </c>
      <c r="I852" s="74" t="s">
        <v>106</v>
      </c>
      <c r="J852" s="1"/>
      <c r="K852" s="1"/>
      <c r="L852" s="1"/>
    </row>
    <row r="853">
      <c r="A853" s="110">
        <v>46215.07873108797</v>
      </c>
      <c r="B853" s="74" t="s">
        <v>155</v>
      </c>
      <c r="C853" s="74" t="s">
        <v>138</v>
      </c>
      <c r="D853" s="112" t="s">
        <v>139</v>
      </c>
      <c r="E853" s="74" t="s">
        <v>157</v>
      </c>
      <c r="F853" s="111" t="b">
        <v>1</v>
      </c>
      <c r="G853" s="111" t="b">
        <v>1</v>
      </c>
      <c r="H853" s="111" t="b">
        <v>1</v>
      </c>
      <c r="I853" s="74" t="s">
        <v>87</v>
      </c>
      <c r="J853" s="1"/>
      <c r="K853" s="1"/>
      <c r="L853" s="1"/>
    </row>
    <row r="854">
      <c r="A854" s="110">
        <v>46215.100907314816</v>
      </c>
      <c r="B854" s="74" t="s">
        <v>210</v>
      </c>
      <c r="C854" s="74" t="s">
        <v>155</v>
      </c>
      <c r="D854" s="112" t="s">
        <v>139</v>
      </c>
      <c r="E854" s="1"/>
      <c r="F854" s="111" t="b">
        <v>1</v>
      </c>
      <c r="G854" s="111" t="b">
        <v>1</v>
      </c>
      <c r="H854" s="111" t="b">
        <v>1</v>
      </c>
      <c r="I854" s="74" t="s">
        <v>81</v>
      </c>
      <c r="J854" s="1"/>
      <c r="K854" s="1"/>
      <c r="L854" s="1"/>
    </row>
    <row r="855">
      <c r="A855" s="110">
        <v>46215.16584891204</v>
      </c>
      <c r="B855" s="74" t="s">
        <v>288</v>
      </c>
      <c r="C855" s="74" t="s">
        <v>210</v>
      </c>
      <c r="D855" s="112" t="s">
        <v>139</v>
      </c>
      <c r="E855" s="74" t="s">
        <v>167</v>
      </c>
      <c r="F855" s="111" t="b">
        <v>1</v>
      </c>
      <c r="G855" s="111" t="b">
        <v>1</v>
      </c>
      <c r="H855" s="111" t="b">
        <v>1</v>
      </c>
      <c r="I855" s="74" t="s">
        <v>98</v>
      </c>
      <c r="J855" s="1"/>
      <c r="K855" s="1"/>
      <c r="L855" s="1"/>
    </row>
    <row r="856">
      <c r="A856" s="110">
        <v>46215.24303498842</v>
      </c>
      <c r="B856" s="74" t="s">
        <v>150</v>
      </c>
      <c r="C856" s="74" t="s">
        <v>145</v>
      </c>
      <c r="D856" s="74" t="s">
        <v>130</v>
      </c>
      <c r="E856" s="1"/>
      <c r="F856" s="111" t="b">
        <v>1</v>
      </c>
      <c r="G856" s="111" t="b">
        <v>1</v>
      </c>
      <c r="H856" s="111" t="b">
        <v>1</v>
      </c>
      <c r="I856" s="74" t="s">
        <v>90</v>
      </c>
      <c r="J856" s="1"/>
      <c r="K856" s="1"/>
      <c r="L856" s="1"/>
    </row>
    <row r="857">
      <c r="A857" s="110">
        <v>46215.2660450463</v>
      </c>
      <c r="B857" s="74" t="s">
        <v>215</v>
      </c>
      <c r="C857" s="74" t="s">
        <v>150</v>
      </c>
      <c r="D857" s="74" t="s">
        <v>130</v>
      </c>
      <c r="E857" s="74" t="s">
        <v>175</v>
      </c>
      <c r="F857" s="111" t="b">
        <v>1</v>
      </c>
      <c r="G857" s="111" t="b">
        <v>1</v>
      </c>
      <c r="H857" s="111" t="b">
        <v>1</v>
      </c>
      <c r="I857" s="74" t="s">
        <v>147</v>
      </c>
      <c r="J857" s="1"/>
      <c r="K857" s="1"/>
      <c r="L857" s="1"/>
    </row>
    <row r="858">
      <c r="A858" s="110">
        <v>46215.36469753472</v>
      </c>
      <c r="B858" s="74" t="s">
        <v>142</v>
      </c>
      <c r="C858" s="74" t="s">
        <v>280</v>
      </c>
      <c r="D858" s="112" t="s">
        <v>139</v>
      </c>
      <c r="E858" s="74" t="s">
        <v>380</v>
      </c>
      <c r="F858" s="111" t="b">
        <v>1</v>
      </c>
      <c r="G858" s="111" t="b">
        <v>1</v>
      </c>
      <c r="H858" s="111" t="b">
        <v>1</v>
      </c>
      <c r="I858" s="74" t="s">
        <v>84</v>
      </c>
      <c r="J858" s="1"/>
      <c r="K858" s="1"/>
      <c r="L858" s="1"/>
    </row>
    <row r="859">
      <c r="A859" s="110">
        <v>46215.40383053241</v>
      </c>
      <c r="B859" s="74" t="s">
        <v>242</v>
      </c>
      <c r="C859" s="74" t="s">
        <v>152</v>
      </c>
      <c r="D859" s="112" t="s">
        <v>139</v>
      </c>
      <c r="E859" s="1"/>
      <c r="F859" s="111" t="b">
        <v>1</v>
      </c>
      <c r="G859" s="111" t="b">
        <v>1</v>
      </c>
      <c r="H859" s="111" t="b">
        <v>1</v>
      </c>
      <c r="I859" s="74" t="s">
        <v>84</v>
      </c>
      <c r="J859" s="1"/>
      <c r="K859" s="1"/>
      <c r="L859" s="1"/>
    </row>
    <row r="860">
      <c r="A860" s="110">
        <v>46215.413639652776</v>
      </c>
      <c r="B860" s="74" t="s">
        <v>242</v>
      </c>
      <c r="C860" s="74" t="s">
        <v>290</v>
      </c>
      <c r="D860" s="74" t="s">
        <v>130</v>
      </c>
      <c r="E860" s="1"/>
      <c r="F860" s="111" t="b">
        <v>1</v>
      </c>
      <c r="G860" s="111" t="b">
        <v>1</v>
      </c>
      <c r="H860" s="111" t="b">
        <v>1</v>
      </c>
      <c r="I860" s="74" t="s">
        <v>93</v>
      </c>
      <c r="J860" s="1"/>
      <c r="K860" s="1"/>
      <c r="L860" s="1"/>
    </row>
    <row r="861">
      <c r="A861" s="110">
        <v>46215.433244479165</v>
      </c>
      <c r="B861" s="74" t="s">
        <v>152</v>
      </c>
      <c r="C861" s="74" t="s">
        <v>290</v>
      </c>
      <c r="D861" s="74" t="s">
        <v>130</v>
      </c>
      <c r="E861" s="1"/>
      <c r="F861" s="111" t="b">
        <v>1</v>
      </c>
      <c r="G861" s="111" t="b">
        <v>1</v>
      </c>
      <c r="H861" s="111" t="b">
        <v>1</v>
      </c>
      <c r="I861" s="74" t="s">
        <v>79</v>
      </c>
      <c r="J861" s="1"/>
      <c r="K861" s="1"/>
      <c r="L861" s="1"/>
    </row>
    <row r="862">
      <c r="A862" s="110">
        <v>46215.471095138884</v>
      </c>
      <c r="B862" s="74" t="s">
        <v>242</v>
      </c>
      <c r="C862" s="74" t="s">
        <v>132</v>
      </c>
      <c r="D862" s="74" t="s">
        <v>130</v>
      </c>
      <c r="E862" s="1"/>
      <c r="F862" s="111" t="b">
        <v>1</v>
      </c>
      <c r="G862" s="111" t="b">
        <v>1</v>
      </c>
      <c r="H862" s="111" t="b">
        <v>1</v>
      </c>
      <c r="I862" s="74" t="s">
        <v>90</v>
      </c>
      <c r="J862" s="1"/>
      <c r="K862" s="1"/>
      <c r="L862" s="1"/>
    </row>
    <row r="863">
      <c r="A863" s="110">
        <v>46215.48259799769</v>
      </c>
      <c r="B863" s="74" t="s">
        <v>242</v>
      </c>
      <c r="C863" s="74" t="s">
        <v>110</v>
      </c>
      <c r="D863" s="74" t="s">
        <v>130</v>
      </c>
      <c r="E863" s="1"/>
      <c r="F863" s="111" t="b">
        <v>1</v>
      </c>
      <c r="G863" s="111" t="b">
        <v>1</v>
      </c>
      <c r="H863" s="111" t="b">
        <v>1</v>
      </c>
      <c r="I863" s="74" t="s">
        <v>79</v>
      </c>
      <c r="J863" s="1"/>
      <c r="K863" s="1"/>
      <c r="L863" s="1"/>
    </row>
    <row r="864">
      <c r="A864" s="110">
        <v>46215.49149788194</v>
      </c>
      <c r="B864" s="74" t="s">
        <v>247</v>
      </c>
      <c r="C864" s="74" t="s">
        <v>242</v>
      </c>
      <c r="D864" s="74" t="s">
        <v>130</v>
      </c>
      <c r="E864" s="1"/>
      <c r="F864" s="111" t="b">
        <v>1</v>
      </c>
      <c r="G864" s="111" t="b">
        <v>1</v>
      </c>
      <c r="H864" s="111" t="b">
        <v>1</v>
      </c>
      <c r="I864" s="74" t="s">
        <v>118</v>
      </c>
      <c r="J864" s="1"/>
      <c r="K864" s="1"/>
      <c r="L864" s="1"/>
    </row>
    <row r="865">
      <c r="A865" s="110">
        <v>46215.51194232639</v>
      </c>
      <c r="B865" s="74" t="s">
        <v>110</v>
      </c>
      <c r="C865" s="74" t="s">
        <v>290</v>
      </c>
      <c r="D865" s="112" t="s">
        <v>139</v>
      </c>
      <c r="E865" s="1"/>
      <c r="F865" s="111" t="b">
        <v>1</v>
      </c>
      <c r="G865" s="111" t="b">
        <v>1</v>
      </c>
      <c r="H865" s="111" t="b">
        <v>1</v>
      </c>
      <c r="I865" s="74" t="s">
        <v>102</v>
      </c>
      <c r="J865" s="1"/>
      <c r="K865" s="1"/>
      <c r="L865" s="1"/>
    </row>
    <row r="866">
      <c r="A866" s="110">
        <v>46215.51553236111</v>
      </c>
      <c r="B866" s="74" t="s">
        <v>247</v>
      </c>
      <c r="C866" s="74" t="s">
        <v>303</v>
      </c>
      <c r="D866" s="74" t="s">
        <v>130</v>
      </c>
      <c r="E866" s="1"/>
      <c r="F866" s="111" t="b">
        <v>1</v>
      </c>
      <c r="G866" s="111" t="b">
        <v>1</v>
      </c>
      <c r="H866" s="111" t="b">
        <v>1</v>
      </c>
      <c r="I866" s="74" t="s">
        <v>147</v>
      </c>
      <c r="J866" s="1"/>
      <c r="K866" s="1"/>
      <c r="L866" s="1"/>
    </row>
    <row r="867">
      <c r="A867" s="110">
        <v>46215.54107578704</v>
      </c>
      <c r="B867" s="74" t="s">
        <v>290</v>
      </c>
      <c r="C867" s="74" t="s">
        <v>319</v>
      </c>
      <c r="D867" s="112" t="s">
        <v>139</v>
      </c>
      <c r="E867" s="1"/>
      <c r="F867" s="111" t="b">
        <v>1</v>
      </c>
      <c r="G867" s="111" t="b">
        <v>1</v>
      </c>
      <c r="H867" s="111" t="b">
        <v>1</v>
      </c>
      <c r="I867" s="74" t="s">
        <v>147</v>
      </c>
      <c r="J867" s="1"/>
      <c r="K867" s="1"/>
      <c r="L867" s="1"/>
    </row>
    <row r="868">
      <c r="A868" s="110">
        <v>46215.54389064814</v>
      </c>
      <c r="B868" s="74" t="s">
        <v>238</v>
      </c>
      <c r="C868" s="74" t="s">
        <v>184</v>
      </c>
      <c r="D868" s="112" t="s">
        <v>139</v>
      </c>
      <c r="E868" s="1"/>
      <c r="F868" s="111" t="b">
        <v>1</v>
      </c>
      <c r="G868" s="111" t="b">
        <v>1</v>
      </c>
      <c r="H868" s="111" t="b">
        <v>1</v>
      </c>
      <c r="I868" s="74" t="s">
        <v>102</v>
      </c>
      <c r="J868" s="1"/>
      <c r="K868" s="1"/>
      <c r="L868" s="1"/>
    </row>
    <row r="869">
      <c r="A869" s="110">
        <v>46215.57057465278</v>
      </c>
      <c r="B869" s="74" t="s">
        <v>237</v>
      </c>
      <c r="C869" s="74" t="s">
        <v>278</v>
      </c>
      <c r="D869" s="112" t="s">
        <v>139</v>
      </c>
      <c r="E869" s="74" t="s">
        <v>157</v>
      </c>
      <c r="F869" s="111" t="b">
        <v>1</v>
      </c>
      <c r="G869" s="111" t="b">
        <v>1</v>
      </c>
      <c r="H869" s="111" t="b">
        <v>1</v>
      </c>
      <c r="I869" s="74" t="s">
        <v>84</v>
      </c>
      <c r="J869" s="1"/>
      <c r="K869" s="1"/>
      <c r="L869" s="1"/>
    </row>
    <row r="870">
      <c r="A870" s="110">
        <v>46215.58170201389</v>
      </c>
      <c r="B870" s="74" t="s">
        <v>215</v>
      </c>
      <c r="C870" s="74" t="s">
        <v>159</v>
      </c>
      <c r="D870" s="112" t="s">
        <v>139</v>
      </c>
      <c r="E870" s="1"/>
      <c r="F870" s="111" t="b">
        <v>1</v>
      </c>
      <c r="G870" s="111" t="b">
        <v>1</v>
      </c>
      <c r="H870" s="111" t="b">
        <v>1</v>
      </c>
      <c r="I870" s="74" t="s">
        <v>87</v>
      </c>
      <c r="J870" s="1"/>
      <c r="K870" s="1"/>
      <c r="L870" s="1"/>
    </row>
    <row r="871">
      <c r="A871" s="110">
        <v>46215.58605471065</v>
      </c>
      <c r="B871" s="74" t="s">
        <v>132</v>
      </c>
      <c r="C871" s="74" t="s">
        <v>129</v>
      </c>
      <c r="D871" s="112" t="s">
        <v>139</v>
      </c>
      <c r="E871" s="1"/>
      <c r="F871" s="111" t="b">
        <v>1</v>
      </c>
      <c r="G871" s="111" t="b">
        <v>1</v>
      </c>
      <c r="H871" s="111" t="b">
        <v>1</v>
      </c>
      <c r="I871" s="74" t="s">
        <v>120</v>
      </c>
      <c r="J871" s="1"/>
      <c r="K871" s="1"/>
      <c r="L871" s="1"/>
    </row>
    <row r="872">
      <c r="A872" s="110">
        <v>46215.59134824074</v>
      </c>
      <c r="B872" s="74" t="s">
        <v>245</v>
      </c>
      <c r="C872" s="74" t="s">
        <v>319</v>
      </c>
      <c r="D872" s="112" t="s">
        <v>139</v>
      </c>
      <c r="E872" s="1"/>
      <c r="F872" s="111" t="b">
        <v>1</v>
      </c>
      <c r="G872" s="111" t="b">
        <v>1</v>
      </c>
      <c r="H872" s="111" t="b">
        <v>1</v>
      </c>
      <c r="I872" s="74" t="s">
        <v>147</v>
      </c>
      <c r="J872" s="1"/>
      <c r="K872" s="1"/>
      <c r="L872" s="1"/>
    </row>
    <row r="873">
      <c r="A873" s="110">
        <v>46215.63369878472</v>
      </c>
      <c r="B873" s="74" t="s">
        <v>245</v>
      </c>
      <c r="C873" s="74" t="s">
        <v>257</v>
      </c>
      <c r="D873" s="74" t="s">
        <v>130</v>
      </c>
      <c r="E873" s="1"/>
      <c r="F873" s="111" t="b">
        <v>1</v>
      </c>
      <c r="G873" s="111" t="b">
        <v>1</v>
      </c>
      <c r="H873" s="111" t="b">
        <v>1</v>
      </c>
      <c r="I873" s="74" t="s">
        <v>93</v>
      </c>
      <c r="J873" s="1"/>
      <c r="K873" s="1"/>
      <c r="L873" s="1"/>
    </row>
    <row r="874">
      <c r="A874" s="110">
        <v>46215.70285918981</v>
      </c>
      <c r="B874" s="74" t="s">
        <v>159</v>
      </c>
      <c r="C874" s="74" t="s">
        <v>253</v>
      </c>
      <c r="D874" s="74" t="s">
        <v>130</v>
      </c>
      <c r="E874" s="1"/>
      <c r="F874" s="111" t="b">
        <v>1</v>
      </c>
      <c r="G874" s="111" t="b">
        <v>1</v>
      </c>
      <c r="H874" s="111" t="b">
        <v>1</v>
      </c>
      <c r="I874" s="74" t="s">
        <v>120</v>
      </c>
      <c r="J874" s="1"/>
      <c r="K874" s="1"/>
      <c r="L874" s="1"/>
    </row>
    <row r="875">
      <c r="A875" s="110">
        <v>46215.711234375005</v>
      </c>
      <c r="B875" s="74" t="s">
        <v>228</v>
      </c>
      <c r="C875" s="74" t="s">
        <v>225</v>
      </c>
      <c r="D875" s="74" t="s">
        <v>130</v>
      </c>
      <c r="E875" s="1"/>
      <c r="F875" s="111" t="b">
        <v>1</v>
      </c>
      <c r="G875" s="111" t="b">
        <v>1</v>
      </c>
      <c r="H875" s="111" t="b">
        <v>1</v>
      </c>
      <c r="I875" s="74" t="s">
        <v>120</v>
      </c>
      <c r="J875" s="1"/>
      <c r="K875" s="1"/>
      <c r="L875" s="1"/>
    </row>
    <row r="876">
      <c r="A876" s="110">
        <v>46215.73015778935</v>
      </c>
      <c r="B876" s="74" t="s">
        <v>253</v>
      </c>
      <c r="C876" s="74" t="s">
        <v>228</v>
      </c>
      <c r="D876" s="112" t="s">
        <v>139</v>
      </c>
      <c r="E876" s="74" t="s">
        <v>334</v>
      </c>
      <c r="F876" s="111" t="b">
        <v>1</v>
      </c>
      <c r="G876" s="111" t="b">
        <v>1</v>
      </c>
      <c r="H876" s="111" t="b">
        <v>1</v>
      </c>
      <c r="I876" s="74" t="s">
        <v>83</v>
      </c>
      <c r="J876" s="1"/>
      <c r="K876" s="1"/>
      <c r="L876" s="1"/>
    </row>
    <row r="877">
      <c r="A877" s="110">
        <v>46215.77316123842</v>
      </c>
      <c r="B877" s="74" t="s">
        <v>128</v>
      </c>
      <c r="C877" s="74" t="s">
        <v>159</v>
      </c>
      <c r="D877" s="74" t="s">
        <v>130</v>
      </c>
      <c r="E877" s="1"/>
      <c r="F877" s="111" t="b">
        <v>1</v>
      </c>
      <c r="G877" s="111" t="b">
        <v>1</v>
      </c>
      <c r="H877" s="111" t="b">
        <v>1</v>
      </c>
      <c r="I877" s="74" t="s">
        <v>84</v>
      </c>
      <c r="J877" s="1"/>
      <c r="K877" s="1"/>
      <c r="L877" s="1"/>
    </row>
    <row r="878">
      <c r="A878" s="110">
        <v>46215.78196597222</v>
      </c>
      <c r="B878" s="74" t="s">
        <v>218</v>
      </c>
      <c r="C878" s="74" t="s">
        <v>200</v>
      </c>
      <c r="D878" s="112" t="s">
        <v>139</v>
      </c>
      <c r="E878" s="1"/>
      <c r="F878" s="111" t="b">
        <v>1</v>
      </c>
      <c r="G878" s="111" t="b">
        <v>1</v>
      </c>
      <c r="H878" s="111" t="b">
        <v>1</v>
      </c>
      <c r="I878" s="74" t="s">
        <v>118</v>
      </c>
      <c r="J878" s="1"/>
      <c r="K878" s="1"/>
      <c r="L878" s="1"/>
    </row>
    <row r="879">
      <c r="A879" s="110">
        <v>46215.7950677662</v>
      </c>
      <c r="B879" s="74" t="s">
        <v>238</v>
      </c>
      <c r="C879" s="74" t="s">
        <v>271</v>
      </c>
      <c r="D879" s="74" t="s">
        <v>130</v>
      </c>
      <c r="E879" s="1"/>
      <c r="F879" s="111" t="b">
        <v>1</v>
      </c>
      <c r="G879" s="111" t="b">
        <v>1</v>
      </c>
      <c r="H879" s="111" t="b">
        <v>1</v>
      </c>
      <c r="I879" s="74" t="s">
        <v>81</v>
      </c>
      <c r="J879" s="1"/>
      <c r="K879" s="1"/>
      <c r="L879" s="1"/>
    </row>
    <row r="880">
      <c r="A880" s="110">
        <v>46215.83287637732</v>
      </c>
      <c r="B880" s="74" t="s">
        <v>237</v>
      </c>
      <c r="C880" s="74" t="s">
        <v>225</v>
      </c>
      <c r="D880" s="74" t="s">
        <v>130</v>
      </c>
      <c r="E880" s="74" t="s">
        <v>157</v>
      </c>
      <c r="F880" s="111" t="b">
        <v>1</v>
      </c>
      <c r="G880" s="111" t="b">
        <v>1</v>
      </c>
      <c r="H880" s="111" t="b">
        <v>1</v>
      </c>
      <c r="I880" s="74" t="s">
        <v>83</v>
      </c>
      <c r="J880" s="1"/>
      <c r="K880" s="1"/>
      <c r="L880" s="1"/>
    </row>
    <row r="881">
      <c r="A881" s="110">
        <v>46215.838139513886</v>
      </c>
      <c r="B881" s="74" t="s">
        <v>271</v>
      </c>
      <c r="C881" s="74" t="s">
        <v>184</v>
      </c>
      <c r="D881" s="74" t="s">
        <v>130</v>
      </c>
      <c r="E881" s="1"/>
      <c r="F881" s="111" t="b">
        <v>1</v>
      </c>
      <c r="G881" s="111" t="b">
        <v>1</v>
      </c>
      <c r="H881" s="111" t="b">
        <v>1</v>
      </c>
      <c r="I881" s="74" t="s">
        <v>83</v>
      </c>
      <c r="J881" s="1"/>
      <c r="K881" s="1"/>
      <c r="L881" s="1"/>
    </row>
    <row r="882">
      <c r="A882" s="110">
        <v>46215.85582589121</v>
      </c>
      <c r="B882" s="74" t="s">
        <v>181</v>
      </c>
      <c r="C882" s="74" t="s">
        <v>233</v>
      </c>
      <c r="D882" s="112" t="s">
        <v>139</v>
      </c>
      <c r="E882" s="1"/>
      <c r="F882" s="111" t="b">
        <v>1</v>
      </c>
      <c r="G882" s="111" t="b">
        <v>1</v>
      </c>
      <c r="H882" s="111" t="b">
        <v>1</v>
      </c>
      <c r="I882" s="74" t="s">
        <v>79</v>
      </c>
      <c r="J882" s="1"/>
      <c r="K882" s="1"/>
      <c r="L882" s="1"/>
    </row>
    <row r="883">
      <c r="A883" s="110">
        <v>46215.86093091435</v>
      </c>
      <c r="B883" s="74" t="s">
        <v>257</v>
      </c>
      <c r="C883" s="74" t="s">
        <v>271</v>
      </c>
      <c r="D883" s="74" t="s">
        <v>130</v>
      </c>
      <c r="E883" s="74" t="s">
        <v>192</v>
      </c>
      <c r="F883" s="111" t="b">
        <v>1</v>
      </c>
      <c r="G883" s="111" t="b">
        <v>1</v>
      </c>
      <c r="H883" s="111" t="b">
        <v>1</v>
      </c>
      <c r="I883" s="74" t="s">
        <v>202</v>
      </c>
      <c r="J883" s="1"/>
      <c r="K883" s="1"/>
      <c r="L883" s="1"/>
    </row>
    <row r="884">
      <c r="A884" s="110">
        <v>46215.866824675926</v>
      </c>
      <c r="B884" s="74" t="s">
        <v>218</v>
      </c>
      <c r="C884" s="74" t="s">
        <v>101</v>
      </c>
      <c r="D884" s="74" t="s">
        <v>130</v>
      </c>
      <c r="E884" s="1"/>
      <c r="F884" s="111" t="b">
        <v>1</v>
      </c>
      <c r="G884" s="111" t="b">
        <v>1</v>
      </c>
      <c r="H884" s="111" t="b">
        <v>1</v>
      </c>
      <c r="I884" s="74" t="s">
        <v>93</v>
      </c>
      <c r="J884" s="1"/>
      <c r="K884" s="1"/>
      <c r="L884" s="1"/>
    </row>
    <row r="885">
      <c r="A885" s="110">
        <v>46215.876845335646</v>
      </c>
      <c r="B885" s="74" t="s">
        <v>181</v>
      </c>
      <c r="C885" s="74" t="s">
        <v>214</v>
      </c>
      <c r="D885" s="74" t="s">
        <v>130</v>
      </c>
      <c r="E885" s="1"/>
      <c r="F885" s="111" t="b">
        <v>1</v>
      </c>
      <c r="G885" s="111" t="b">
        <v>1</v>
      </c>
      <c r="H885" s="111" t="b">
        <v>1</v>
      </c>
      <c r="I885" s="74" t="s">
        <v>106</v>
      </c>
      <c r="J885" s="1"/>
      <c r="K885" s="1"/>
      <c r="L885" s="1"/>
    </row>
    <row r="886">
      <c r="A886" s="110">
        <v>46215.88452878472</v>
      </c>
      <c r="B886" s="74" t="s">
        <v>237</v>
      </c>
      <c r="C886" s="74" t="s">
        <v>233</v>
      </c>
      <c r="D886" s="74" t="s">
        <v>130</v>
      </c>
      <c r="E886" s="74" t="s">
        <v>157</v>
      </c>
      <c r="F886" s="111" t="b">
        <v>1</v>
      </c>
      <c r="G886" s="111" t="b">
        <v>1</v>
      </c>
      <c r="H886" s="111" t="b">
        <v>1</v>
      </c>
      <c r="I886" s="74" t="s">
        <v>147</v>
      </c>
      <c r="J886" s="1"/>
      <c r="K886" s="1"/>
      <c r="L886" s="1"/>
    </row>
    <row r="887">
      <c r="A887" s="110">
        <v>46215.891928240744</v>
      </c>
      <c r="B887" s="74" t="s">
        <v>218</v>
      </c>
      <c r="C887" s="74" t="s">
        <v>181</v>
      </c>
      <c r="D887" s="74" t="s">
        <v>130</v>
      </c>
      <c r="E887" s="1"/>
      <c r="F887" s="111" t="b">
        <v>1</v>
      </c>
      <c r="G887" s="111" t="b">
        <v>1</v>
      </c>
      <c r="H887" s="111" t="b">
        <v>1</v>
      </c>
      <c r="I887" s="74" t="s">
        <v>84</v>
      </c>
      <c r="J887" s="1"/>
      <c r="K887" s="1"/>
      <c r="L887" s="1"/>
    </row>
    <row r="888">
      <c r="A888" s="110">
        <v>46215.90130027778</v>
      </c>
      <c r="B888" s="74" t="s">
        <v>228</v>
      </c>
      <c r="C888" s="74" t="s">
        <v>101</v>
      </c>
      <c r="D888" s="74" t="s">
        <v>130</v>
      </c>
      <c r="E888" s="1"/>
      <c r="F888" s="111" t="b">
        <v>1</v>
      </c>
      <c r="G888" s="111" t="b">
        <v>1</v>
      </c>
      <c r="H888" s="111" t="b">
        <v>1</v>
      </c>
      <c r="I888" s="74" t="s">
        <v>93</v>
      </c>
      <c r="J888" s="1"/>
      <c r="K888" s="1"/>
      <c r="L888" s="1"/>
    </row>
    <row r="889">
      <c r="A889" s="110">
        <v>46215.902075694445</v>
      </c>
      <c r="B889" s="74" t="s">
        <v>302</v>
      </c>
      <c r="C889" s="74" t="s">
        <v>168</v>
      </c>
      <c r="D889" s="112" t="s">
        <v>139</v>
      </c>
      <c r="E889" s="1"/>
      <c r="F889" s="111" t="b">
        <v>1</v>
      </c>
      <c r="G889" s="111" t="b">
        <v>1</v>
      </c>
      <c r="H889" s="111" t="b">
        <v>1</v>
      </c>
      <c r="I889" s="74" t="s">
        <v>118</v>
      </c>
      <c r="J889" s="1"/>
      <c r="K889" s="1"/>
      <c r="L889" s="1"/>
    </row>
    <row r="890">
      <c r="A890" s="110">
        <v>46215.92676101852</v>
      </c>
      <c r="B890" s="74" t="s">
        <v>101</v>
      </c>
      <c r="C890" s="74" t="s">
        <v>261</v>
      </c>
      <c r="D890" s="112" t="s">
        <v>139</v>
      </c>
      <c r="E890" s="1"/>
      <c r="F890" s="111" t="b">
        <v>1</v>
      </c>
      <c r="G890" s="111" t="b">
        <v>1</v>
      </c>
      <c r="H890" s="111" t="b">
        <v>1</v>
      </c>
      <c r="I890" s="74" t="s">
        <v>97</v>
      </c>
      <c r="J890" s="1"/>
      <c r="K890" s="1"/>
      <c r="L890" s="1"/>
    </row>
    <row r="891">
      <c r="A891" s="110">
        <v>46215.92734164352</v>
      </c>
      <c r="B891" s="74" t="s">
        <v>223</v>
      </c>
      <c r="C891" s="74" t="s">
        <v>137</v>
      </c>
      <c r="D891" s="112" t="s">
        <v>139</v>
      </c>
      <c r="E891" s="1"/>
      <c r="F891" s="111" t="b">
        <v>1</v>
      </c>
      <c r="G891" s="111" t="b">
        <v>1</v>
      </c>
      <c r="H891" s="111" t="b">
        <v>1</v>
      </c>
      <c r="I891" s="74" t="s">
        <v>99</v>
      </c>
      <c r="J891" s="1"/>
      <c r="K891" s="1"/>
      <c r="L891" s="1"/>
    </row>
    <row r="892">
      <c r="A892" s="110">
        <v>46215.9433152662</v>
      </c>
      <c r="B892" s="74" t="s">
        <v>143</v>
      </c>
      <c r="C892" s="74" t="s">
        <v>237</v>
      </c>
      <c r="D892" s="74" t="s">
        <v>130</v>
      </c>
      <c r="E892" s="1"/>
      <c r="F892" s="111" t="b">
        <v>1</v>
      </c>
      <c r="G892" s="111" t="b">
        <v>1</v>
      </c>
      <c r="H892" s="111" t="b">
        <v>1</v>
      </c>
      <c r="I892" s="74" t="s">
        <v>87</v>
      </c>
      <c r="J892" s="1"/>
      <c r="K892" s="1"/>
      <c r="L892" s="1"/>
    </row>
    <row r="893">
      <c r="A893" s="110">
        <v>46215.95019295139</v>
      </c>
      <c r="B893" s="74" t="s">
        <v>218</v>
      </c>
      <c r="C893" s="74" t="s">
        <v>288</v>
      </c>
      <c r="D893" s="74" t="s">
        <v>130</v>
      </c>
      <c r="E893" s="1"/>
      <c r="F893" s="111" t="b">
        <v>1</v>
      </c>
      <c r="G893" s="111" t="b">
        <v>1</v>
      </c>
      <c r="H893" s="111" t="b">
        <v>1</v>
      </c>
      <c r="I893" s="74" t="s">
        <v>97</v>
      </c>
      <c r="J893" s="1"/>
      <c r="K893" s="1"/>
      <c r="L893" s="1"/>
    </row>
    <row r="894">
      <c r="A894" s="110">
        <v>46215.95373400463</v>
      </c>
      <c r="B894" s="74" t="s">
        <v>212</v>
      </c>
      <c r="C894" s="74" t="s">
        <v>190</v>
      </c>
      <c r="D894" s="74" t="s">
        <v>130</v>
      </c>
      <c r="E894" s="1"/>
      <c r="F894" s="111" t="b">
        <v>1</v>
      </c>
      <c r="G894" s="111" t="b">
        <v>1</v>
      </c>
      <c r="H894" s="111" t="b">
        <v>1</v>
      </c>
      <c r="I894" s="74" t="s">
        <v>85</v>
      </c>
      <c r="J894" s="1"/>
      <c r="K894" s="1"/>
      <c r="L894" s="1"/>
    </row>
    <row r="895">
      <c r="A895" s="110">
        <v>46215.96316671296</v>
      </c>
      <c r="B895" s="74" t="s">
        <v>143</v>
      </c>
      <c r="C895" s="74" t="s">
        <v>132</v>
      </c>
      <c r="D895" s="74" t="s">
        <v>130</v>
      </c>
      <c r="E895" s="1"/>
      <c r="F895" s="111" t="b">
        <v>1</v>
      </c>
      <c r="G895" s="111" t="b">
        <v>1</v>
      </c>
      <c r="H895" s="111" t="b">
        <v>1</v>
      </c>
      <c r="I895" s="74" t="s">
        <v>97</v>
      </c>
      <c r="J895" s="1"/>
      <c r="K895" s="1"/>
      <c r="L895" s="1"/>
    </row>
    <row r="896">
      <c r="A896" s="110">
        <v>46215.967493923614</v>
      </c>
      <c r="B896" s="74" t="s">
        <v>287</v>
      </c>
      <c r="C896" s="74" t="s">
        <v>101</v>
      </c>
      <c r="D896" s="112" t="s">
        <v>139</v>
      </c>
      <c r="E896" s="74" t="s">
        <v>381</v>
      </c>
      <c r="F896" s="111" t="b">
        <v>1</v>
      </c>
      <c r="G896" s="1"/>
      <c r="H896" s="111" t="b">
        <v>1</v>
      </c>
      <c r="I896" s="1"/>
      <c r="J896" s="1"/>
      <c r="K896" s="1"/>
      <c r="L896" s="1"/>
    </row>
    <row r="897">
      <c r="A897" s="110">
        <v>46215.97220413195</v>
      </c>
      <c r="B897" s="74" t="s">
        <v>200</v>
      </c>
      <c r="C897" s="74" t="s">
        <v>212</v>
      </c>
      <c r="D897" s="74" t="s">
        <v>130</v>
      </c>
      <c r="E897" s="74" t="s">
        <v>167</v>
      </c>
      <c r="F897" s="111" t="b">
        <v>1</v>
      </c>
      <c r="G897" s="111" t="b">
        <v>1</v>
      </c>
      <c r="H897" s="111" t="b">
        <v>1</v>
      </c>
      <c r="I897" s="74" t="s">
        <v>81</v>
      </c>
      <c r="J897" s="1"/>
      <c r="K897" s="1"/>
      <c r="L897" s="1"/>
    </row>
    <row r="898">
      <c r="A898" s="110">
        <v>46215.99511171297</v>
      </c>
      <c r="B898" s="74" t="s">
        <v>200</v>
      </c>
      <c r="C898" s="74" t="s">
        <v>143</v>
      </c>
      <c r="D898" s="112" t="s">
        <v>139</v>
      </c>
      <c r="E898" s="74" t="s">
        <v>157</v>
      </c>
      <c r="F898" s="111" t="b">
        <v>1</v>
      </c>
      <c r="G898" s="111" t="b">
        <v>1</v>
      </c>
      <c r="H898" s="111" t="b">
        <v>1</v>
      </c>
      <c r="I898" s="74" t="s">
        <v>98</v>
      </c>
      <c r="J898" s="1"/>
      <c r="K898" s="1"/>
      <c r="L898" s="1"/>
    </row>
    <row r="899">
      <c r="A899" s="110">
        <v>46216.04850733797</v>
      </c>
      <c r="B899" s="74" t="s">
        <v>162</v>
      </c>
      <c r="C899" s="74" t="s">
        <v>288</v>
      </c>
      <c r="D899" s="74" t="s">
        <v>130</v>
      </c>
      <c r="E899" s="1"/>
      <c r="F899" s="111" t="b">
        <v>1</v>
      </c>
      <c r="G899" s="111" t="b">
        <v>1</v>
      </c>
      <c r="H899" s="111" t="b">
        <v>1</v>
      </c>
      <c r="I899" s="74" t="s">
        <v>93</v>
      </c>
      <c r="J899" s="1"/>
      <c r="K899" s="1"/>
      <c r="L899" s="1"/>
    </row>
    <row r="900">
      <c r="A900" s="110">
        <v>46216.0830456713</v>
      </c>
      <c r="B900" s="74" t="s">
        <v>288</v>
      </c>
      <c r="C900" s="74" t="s">
        <v>285</v>
      </c>
      <c r="D900" s="74" t="s">
        <v>130</v>
      </c>
      <c r="E900" s="74" t="s">
        <v>167</v>
      </c>
      <c r="F900" s="111" t="b">
        <v>1</v>
      </c>
      <c r="G900" s="111" t="b">
        <v>1</v>
      </c>
      <c r="H900" s="111" t="b">
        <v>1</v>
      </c>
      <c r="I900" s="74" t="s">
        <v>97</v>
      </c>
      <c r="J900" s="1"/>
      <c r="K900" s="1"/>
      <c r="L900" s="1"/>
    </row>
    <row r="901">
      <c r="A901" s="110">
        <v>46216.2375142824</v>
      </c>
      <c r="B901" s="74" t="s">
        <v>225</v>
      </c>
      <c r="C901" s="74" t="s">
        <v>253</v>
      </c>
      <c r="D901" s="112" t="s">
        <v>139</v>
      </c>
      <c r="E901" s="1"/>
      <c r="F901" s="111" t="b">
        <v>1</v>
      </c>
      <c r="G901" s="111" t="b">
        <v>1</v>
      </c>
      <c r="H901" s="111" t="b">
        <v>1</v>
      </c>
      <c r="I901" s="74" t="s">
        <v>87</v>
      </c>
      <c r="J901" s="1"/>
      <c r="K901" s="1"/>
      <c r="L901" s="1"/>
    </row>
    <row r="902">
      <c r="A902" s="110">
        <v>46216.24949174769</v>
      </c>
      <c r="B902" s="74" t="s">
        <v>253</v>
      </c>
      <c r="C902" s="74" t="s">
        <v>138</v>
      </c>
      <c r="D902" s="112" t="s">
        <v>139</v>
      </c>
      <c r="E902" s="74" t="s">
        <v>334</v>
      </c>
      <c r="F902" s="111" t="b">
        <v>1</v>
      </c>
      <c r="G902" s="111" t="b">
        <v>1</v>
      </c>
      <c r="H902" s="111" t="b">
        <v>1</v>
      </c>
      <c r="I902" s="74" t="s">
        <v>81</v>
      </c>
      <c r="J902" s="1"/>
      <c r="K902" s="1"/>
      <c r="L902" s="1"/>
    </row>
    <row r="903">
      <c r="A903" s="110">
        <v>46216.408867210645</v>
      </c>
      <c r="B903" s="74" t="s">
        <v>144</v>
      </c>
      <c r="C903" s="74" t="s">
        <v>183</v>
      </c>
      <c r="D903" s="112" t="s">
        <v>139</v>
      </c>
      <c r="E903" s="1"/>
      <c r="F903" s="111" t="b">
        <v>1</v>
      </c>
      <c r="G903" s="111" t="b">
        <v>1</v>
      </c>
      <c r="H903" s="111" t="b">
        <v>1</v>
      </c>
      <c r="I903" s="74" t="s">
        <v>79</v>
      </c>
      <c r="J903" s="1"/>
      <c r="K903" s="1"/>
      <c r="L903" s="1"/>
    </row>
    <row r="904">
      <c r="A904" s="110">
        <v>46216.466276527775</v>
      </c>
      <c r="B904" s="74" t="s">
        <v>196</v>
      </c>
      <c r="C904" s="74" t="s">
        <v>261</v>
      </c>
      <c r="D904" s="74" t="s">
        <v>130</v>
      </c>
      <c r="E904" s="1"/>
      <c r="F904" s="111" t="b">
        <v>1</v>
      </c>
      <c r="G904" s="111" t="b">
        <v>1</v>
      </c>
      <c r="H904" s="111" t="b">
        <v>1</v>
      </c>
      <c r="I904" s="74" t="s">
        <v>93</v>
      </c>
      <c r="J904" s="1"/>
      <c r="K904" s="1"/>
      <c r="L904" s="1"/>
    </row>
    <row r="905">
      <c r="A905" s="110">
        <v>46216.47736767361</v>
      </c>
      <c r="B905" s="74" t="s">
        <v>269</v>
      </c>
      <c r="C905" s="74" t="s">
        <v>196</v>
      </c>
      <c r="D905" s="74" t="s">
        <v>130</v>
      </c>
      <c r="E905" s="1"/>
      <c r="F905" s="111" t="b">
        <v>1</v>
      </c>
      <c r="G905" s="111" t="b">
        <v>1</v>
      </c>
      <c r="H905" s="111" t="b">
        <v>1</v>
      </c>
      <c r="I905" s="74" t="s">
        <v>95</v>
      </c>
      <c r="J905" s="1"/>
      <c r="K905" s="1"/>
      <c r="L905" s="1"/>
    </row>
    <row r="906">
      <c r="A906" s="110">
        <v>46216.510698171296</v>
      </c>
      <c r="B906" s="74" t="s">
        <v>225</v>
      </c>
      <c r="C906" s="74" t="s">
        <v>269</v>
      </c>
      <c r="D906" s="112" t="s">
        <v>139</v>
      </c>
      <c r="E906" s="1"/>
      <c r="F906" s="111" t="b">
        <v>1</v>
      </c>
      <c r="G906" s="111" t="b">
        <v>1</v>
      </c>
      <c r="H906" s="111" t="b">
        <v>1</v>
      </c>
      <c r="I906" s="74" t="s">
        <v>99</v>
      </c>
      <c r="J906" s="1"/>
      <c r="K906" s="1"/>
      <c r="L906" s="1"/>
    </row>
    <row r="907">
      <c r="A907" s="110">
        <v>46216.51499862269</v>
      </c>
      <c r="B907" s="74" t="s">
        <v>144</v>
      </c>
      <c r="C907" s="74" t="s">
        <v>128</v>
      </c>
      <c r="D907" s="112" t="s">
        <v>139</v>
      </c>
      <c r="E907" s="1"/>
      <c r="F907" s="111" t="b">
        <v>1</v>
      </c>
      <c r="G907" s="111" t="b">
        <v>1</v>
      </c>
      <c r="H907" s="111" t="b">
        <v>1</v>
      </c>
      <c r="I907" s="74" t="s">
        <v>79</v>
      </c>
      <c r="J907" s="1"/>
      <c r="K907" s="1"/>
      <c r="L907" s="1"/>
    </row>
    <row r="908">
      <c r="A908" s="110">
        <v>46216.51724783565</v>
      </c>
      <c r="B908" s="74" t="s">
        <v>196</v>
      </c>
      <c r="C908" s="74" t="s">
        <v>219</v>
      </c>
      <c r="D908" s="112" t="s">
        <v>139</v>
      </c>
      <c r="E908" s="1"/>
      <c r="F908" s="111" t="b">
        <v>1</v>
      </c>
      <c r="G908" s="111" t="b">
        <v>1</v>
      </c>
      <c r="H908" s="111" t="b">
        <v>1</v>
      </c>
      <c r="I908" s="74" t="s">
        <v>106</v>
      </c>
      <c r="J908" s="1"/>
      <c r="K908" s="1"/>
      <c r="L908" s="1"/>
    </row>
    <row r="909">
      <c r="A909" s="110">
        <v>46216.52282172454</v>
      </c>
      <c r="B909" s="74" t="s">
        <v>291</v>
      </c>
      <c r="C909" s="74" t="s">
        <v>293</v>
      </c>
      <c r="D909" s="74" t="s">
        <v>130</v>
      </c>
      <c r="E909" s="1"/>
      <c r="F909" s="111" t="b">
        <v>1</v>
      </c>
      <c r="G909" s="111" t="b">
        <v>1</v>
      </c>
      <c r="H909" s="111" t="b">
        <v>1</v>
      </c>
      <c r="I909" s="74" t="s">
        <v>147</v>
      </c>
      <c r="J909" s="1"/>
      <c r="K909" s="1"/>
      <c r="L909" s="1"/>
    </row>
    <row r="910">
      <c r="A910" s="110">
        <v>46216.52341458334</v>
      </c>
      <c r="B910" s="74" t="s">
        <v>228</v>
      </c>
      <c r="C910" s="74" t="s">
        <v>289</v>
      </c>
      <c r="D910" s="112" t="s">
        <v>139</v>
      </c>
      <c r="E910" s="1"/>
      <c r="F910" s="111" t="b">
        <v>1</v>
      </c>
      <c r="G910" s="111" t="b">
        <v>1</v>
      </c>
      <c r="H910" s="111" t="b">
        <v>1</v>
      </c>
      <c r="I910" s="74" t="s">
        <v>81</v>
      </c>
      <c r="J910" s="1"/>
      <c r="K910" s="1"/>
      <c r="L910" s="1"/>
    </row>
    <row r="911">
      <c r="A911" s="110">
        <v>46216.53916366898</v>
      </c>
      <c r="B911" s="74" t="s">
        <v>204</v>
      </c>
      <c r="C911" s="74" t="s">
        <v>150</v>
      </c>
      <c r="D911" s="112" t="s">
        <v>139</v>
      </c>
      <c r="E911" s="1"/>
      <c r="F911" s="111" t="b">
        <v>1</v>
      </c>
      <c r="G911" s="111" t="b">
        <v>1</v>
      </c>
      <c r="H911" s="111" t="b">
        <v>1</v>
      </c>
      <c r="I911" s="74" t="s">
        <v>118</v>
      </c>
      <c r="J911" s="1"/>
      <c r="K911" s="1"/>
      <c r="L911" s="1"/>
    </row>
    <row r="912">
      <c r="A912" s="110">
        <v>46216.541503368055</v>
      </c>
      <c r="B912" s="74" t="s">
        <v>289</v>
      </c>
      <c r="C912" s="74" t="s">
        <v>243</v>
      </c>
      <c r="D912" s="112" t="s">
        <v>139</v>
      </c>
      <c r="E912" s="1"/>
      <c r="F912" s="111" t="b">
        <v>1</v>
      </c>
      <c r="G912" s="111" t="b">
        <v>1</v>
      </c>
      <c r="H912" s="111" t="b">
        <v>1</v>
      </c>
      <c r="I912" s="74" t="s">
        <v>99</v>
      </c>
      <c r="J912" s="1"/>
      <c r="K912" s="1"/>
      <c r="L912" s="1"/>
    </row>
    <row r="913">
      <c r="A913" s="110">
        <v>46216.5441021875</v>
      </c>
      <c r="B913" s="74" t="s">
        <v>219</v>
      </c>
      <c r="C913" s="74" t="s">
        <v>253</v>
      </c>
      <c r="D913" s="74" t="s">
        <v>130</v>
      </c>
      <c r="E913" s="1"/>
      <c r="F913" s="111" t="b">
        <v>1</v>
      </c>
      <c r="G913" s="111" t="b">
        <v>1</v>
      </c>
      <c r="H913" s="111" t="b">
        <v>1</v>
      </c>
      <c r="I913" s="74" t="s">
        <v>98</v>
      </c>
      <c r="J913" s="1"/>
      <c r="K913" s="1"/>
      <c r="L913" s="1"/>
    </row>
    <row r="914">
      <c r="A914" s="110">
        <v>46216.55929444444</v>
      </c>
      <c r="B914" s="74" t="s">
        <v>144</v>
      </c>
      <c r="C914" s="74" t="s">
        <v>269</v>
      </c>
      <c r="D914" s="112" t="s">
        <v>139</v>
      </c>
      <c r="E914" s="1"/>
      <c r="F914" s="111" t="b">
        <v>1</v>
      </c>
      <c r="G914" s="111" t="b">
        <v>1</v>
      </c>
      <c r="H914" s="111" t="b">
        <v>1</v>
      </c>
      <c r="I914" s="74" t="s">
        <v>93</v>
      </c>
      <c r="J914" s="1"/>
      <c r="K914" s="1"/>
      <c r="L914" s="1"/>
    </row>
    <row r="915">
      <c r="A915" s="110">
        <v>46216.56921731481</v>
      </c>
      <c r="B915" s="74" t="s">
        <v>289</v>
      </c>
      <c r="C915" s="74" t="s">
        <v>196</v>
      </c>
      <c r="D915" s="74" t="s">
        <v>130</v>
      </c>
      <c r="E915" s="1"/>
      <c r="F915" s="111" t="b">
        <v>1</v>
      </c>
      <c r="G915" s="111" t="b">
        <v>1</v>
      </c>
      <c r="H915" s="111" t="b">
        <v>1</v>
      </c>
      <c r="I915" s="74" t="s">
        <v>87</v>
      </c>
      <c r="J915" s="1"/>
      <c r="K915" s="1"/>
      <c r="L915" s="1"/>
    </row>
    <row r="916">
      <c r="A916" s="110">
        <v>46216.576921493055</v>
      </c>
      <c r="B916" s="74" t="s">
        <v>303</v>
      </c>
      <c r="C916" s="74" t="s">
        <v>228</v>
      </c>
      <c r="D916" s="74" t="s">
        <v>130</v>
      </c>
      <c r="E916" s="1"/>
      <c r="F916" s="111" t="b">
        <v>1</v>
      </c>
      <c r="G916" s="111" t="b">
        <v>1</v>
      </c>
      <c r="H916" s="111" t="b">
        <v>1</v>
      </c>
      <c r="I916" s="74" t="s">
        <v>202</v>
      </c>
      <c r="J916" s="1"/>
      <c r="K916" s="1"/>
      <c r="L916" s="1"/>
    </row>
    <row r="917">
      <c r="A917" s="110">
        <v>46216.58964712963</v>
      </c>
      <c r="B917" s="74" t="s">
        <v>226</v>
      </c>
      <c r="C917" s="74" t="s">
        <v>293</v>
      </c>
      <c r="D917" s="112" t="s">
        <v>139</v>
      </c>
      <c r="E917" s="74" t="s">
        <v>268</v>
      </c>
      <c r="F917" s="111" t="b">
        <v>1</v>
      </c>
      <c r="G917" s="111" t="b">
        <v>1</v>
      </c>
      <c r="H917" s="111" t="b">
        <v>1</v>
      </c>
      <c r="I917" s="74" t="s">
        <v>147</v>
      </c>
      <c r="J917" s="1"/>
      <c r="K917" s="1"/>
      <c r="L917" s="1"/>
    </row>
    <row r="918">
      <c r="A918" s="110">
        <v>46216.58980041667</v>
      </c>
      <c r="B918" s="74" t="s">
        <v>196</v>
      </c>
      <c r="C918" s="74" t="s">
        <v>294</v>
      </c>
      <c r="D918" s="112" t="s">
        <v>139</v>
      </c>
      <c r="E918" s="1"/>
      <c r="F918" s="111" t="b">
        <v>1</v>
      </c>
      <c r="G918" s="111" t="b">
        <v>1</v>
      </c>
      <c r="H918" s="111" t="b">
        <v>1</v>
      </c>
      <c r="I918" s="74" t="s">
        <v>98</v>
      </c>
      <c r="J918" s="1"/>
      <c r="K918" s="1"/>
      <c r="L918" s="1"/>
    </row>
    <row r="919">
      <c r="A919" s="110">
        <v>46216.59294711806</v>
      </c>
      <c r="B919" s="74" t="s">
        <v>243</v>
      </c>
      <c r="C919" s="74" t="s">
        <v>269</v>
      </c>
      <c r="D919" s="74" t="s">
        <v>130</v>
      </c>
      <c r="E919" s="74" t="s">
        <v>382</v>
      </c>
      <c r="F919" s="111" t="b">
        <v>1</v>
      </c>
      <c r="G919" s="111" t="b">
        <v>1</v>
      </c>
      <c r="H919" s="111" t="b">
        <v>1</v>
      </c>
      <c r="I919" s="74" t="s">
        <v>84</v>
      </c>
      <c r="J919" s="1"/>
      <c r="K919" s="1"/>
      <c r="L919" s="1"/>
    </row>
    <row r="920">
      <c r="A920" s="110">
        <v>46216.60986510417</v>
      </c>
      <c r="B920" s="74" t="s">
        <v>171</v>
      </c>
      <c r="C920" s="74" t="s">
        <v>294</v>
      </c>
      <c r="D920" s="74" t="s">
        <v>130</v>
      </c>
      <c r="E920" s="1"/>
      <c r="F920" s="111" t="b">
        <v>1</v>
      </c>
      <c r="G920" s="111" t="b">
        <v>1</v>
      </c>
      <c r="H920" s="111" t="b">
        <v>1</v>
      </c>
      <c r="I920" s="74" t="s">
        <v>118</v>
      </c>
      <c r="J920" s="1"/>
      <c r="K920" s="1"/>
      <c r="L920" s="1"/>
    </row>
    <row r="921">
      <c r="A921" s="110">
        <v>46216.6100984838</v>
      </c>
      <c r="B921" s="74" t="s">
        <v>289</v>
      </c>
      <c r="C921" s="74" t="s">
        <v>269</v>
      </c>
      <c r="D921" s="74" t="s">
        <v>130</v>
      </c>
      <c r="E921" s="1"/>
      <c r="F921" s="111" t="b">
        <v>1</v>
      </c>
      <c r="G921" s="111" t="b">
        <v>1</v>
      </c>
      <c r="H921" s="111" t="b">
        <v>1</v>
      </c>
      <c r="I921" s="74" t="s">
        <v>118</v>
      </c>
      <c r="J921" s="1"/>
      <c r="K921" s="1"/>
      <c r="L921" s="1"/>
    </row>
    <row r="922">
      <c r="A922" s="110">
        <v>46216.61127011574</v>
      </c>
      <c r="B922" s="74" t="s">
        <v>144</v>
      </c>
      <c r="C922" s="74" t="s">
        <v>150</v>
      </c>
      <c r="D922" s="112" t="s">
        <v>139</v>
      </c>
      <c r="E922" s="1"/>
      <c r="F922" s="111" t="b">
        <v>1</v>
      </c>
      <c r="G922" s="111" t="b">
        <v>1</v>
      </c>
      <c r="H922" s="111" t="b">
        <v>1</v>
      </c>
      <c r="I922" s="74" t="s">
        <v>118</v>
      </c>
      <c r="J922" s="1"/>
      <c r="K922" s="1"/>
      <c r="L922" s="1"/>
    </row>
    <row r="923">
      <c r="A923" s="110">
        <v>46216.61468924768</v>
      </c>
      <c r="B923" s="74" t="s">
        <v>226</v>
      </c>
      <c r="C923" s="74" t="s">
        <v>159</v>
      </c>
      <c r="D923" s="74" t="s">
        <v>130</v>
      </c>
      <c r="E923" s="74" t="s">
        <v>268</v>
      </c>
      <c r="F923" s="111" t="b">
        <v>1</v>
      </c>
      <c r="G923" s="111" t="b">
        <v>1</v>
      </c>
      <c r="H923" s="111" t="b">
        <v>1</v>
      </c>
      <c r="I923" s="74" t="s">
        <v>93</v>
      </c>
      <c r="J923" s="1"/>
      <c r="K923" s="1"/>
      <c r="L923" s="1"/>
    </row>
    <row r="924">
      <c r="A924" s="110">
        <v>46216.644282037036</v>
      </c>
      <c r="B924" s="74" t="s">
        <v>294</v>
      </c>
      <c r="C924" s="74" t="s">
        <v>150</v>
      </c>
      <c r="D924" s="112" t="s">
        <v>139</v>
      </c>
      <c r="E924" s="1"/>
      <c r="F924" s="111" t="b">
        <v>1</v>
      </c>
      <c r="G924" s="111" t="b">
        <v>1</v>
      </c>
      <c r="H924" s="111" t="b">
        <v>1</v>
      </c>
      <c r="I924" s="74" t="s">
        <v>102</v>
      </c>
      <c r="J924" s="1"/>
      <c r="K924" s="1"/>
      <c r="L924" s="1"/>
    </row>
    <row r="925">
      <c r="A925" s="110">
        <v>46216.65575380787</v>
      </c>
      <c r="B925" s="74" t="s">
        <v>176</v>
      </c>
      <c r="C925" s="74" t="s">
        <v>231</v>
      </c>
      <c r="D925" s="112" t="s">
        <v>139</v>
      </c>
      <c r="E925" s="1"/>
      <c r="F925" s="111" t="b">
        <v>1</v>
      </c>
      <c r="G925" s="111" t="b">
        <v>1</v>
      </c>
      <c r="H925" s="111" t="b">
        <v>1</v>
      </c>
      <c r="I925" s="74" t="s">
        <v>93</v>
      </c>
      <c r="J925" s="1"/>
      <c r="K925" s="1"/>
      <c r="L925" s="1"/>
    </row>
    <row r="926">
      <c r="A926" s="110">
        <v>46216.67869965278</v>
      </c>
      <c r="B926" s="74" t="s">
        <v>238</v>
      </c>
      <c r="C926" s="74" t="s">
        <v>231</v>
      </c>
      <c r="D926" s="74" t="s">
        <v>130</v>
      </c>
      <c r="E926" s="1"/>
      <c r="F926" s="111" t="b">
        <v>1</v>
      </c>
      <c r="G926" s="111" t="b">
        <v>1</v>
      </c>
      <c r="H926" s="111" t="b">
        <v>1</v>
      </c>
      <c r="I926" s="74" t="s">
        <v>106</v>
      </c>
      <c r="J926" s="1"/>
      <c r="K926" s="1"/>
      <c r="L926" s="1"/>
    </row>
    <row r="927">
      <c r="A927" s="110">
        <v>46216.680085162036</v>
      </c>
      <c r="B927" s="74" t="s">
        <v>245</v>
      </c>
      <c r="C927" s="74" t="s">
        <v>159</v>
      </c>
      <c r="D927" s="112" t="s">
        <v>139</v>
      </c>
      <c r="E927" s="1"/>
      <c r="F927" s="111" t="b">
        <v>1</v>
      </c>
      <c r="G927" s="111" t="b">
        <v>1</v>
      </c>
      <c r="H927" s="111" t="b">
        <v>1</v>
      </c>
      <c r="I927" s="74" t="s">
        <v>84</v>
      </c>
      <c r="J927" s="1"/>
      <c r="K927" s="1"/>
      <c r="L927" s="1"/>
    </row>
    <row r="928">
      <c r="A928" s="110">
        <v>46216.68957202546</v>
      </c>
      <c r="B928" s="74" t="s">
        <v>238</v>
      </c>
      <c r="C928" s="74" t="s">
        <v>289</v>
      </c>
      <c r="D928" s="74" t="s">
        <v>130</v>
      </c>
      <c r="E928" s="1"/>
      <c r="F928" s="111" t="b">
        <v>1</v>
      </c>
      <c r="G928" s="111" t="b">
        <v>1</v>
      </c>
      <c r="H928" s="111" t="b">
        <v>1</v>
      </c>
      <c r="I928" s="74" t="s">
        <v>102</v>
      </c>
      <c r="J928" s="1"/>
      <c r="K928" s="1"/>
      <c r="L928" s="1"/>
    </row>
    <row r="929">
      <c r="A929" s="110">
        <v>46216.69204693287</v>
      </c>
      <c r="B929" s="74" t="s">
        <v>171</v>
      </c>
      <c r="C929" s="74" t="s">
        <v>204</v>
      </c>
      <c r="D929" s="74" t="s">
        <v>130</v>
      </c>
      <c r="E929" s="1"/>
      <c r="F929" s="111" t="b">
        <v>1</v>
      </c>
      <c r="G929" s="111" t="b">
        <v>1</v>
      </c>
      <c r="H929" s="111" t="b">
        <v>1</v>
      </c>
      <c r="I929" s="74" t="s">
        <v>87</v>
      </c>
      <c r="J929" s="1"/>
      <c r="K929" s="1"/>
      <c r="L929" s="1"/>
    </row>
    <row r="930">
      <c r="A930" s="110">
        <v>46216.70242487268</v>
      </c>
      <c r="B930" s="74" t="s">
        <v>226</v>
      </c>
      <c r="C930" s="74" t="s">
        <v>208</v>
      </c>
      <c r="D930" s="74" t="s">
        <v>130</v>
      </c>
      <c r="E930" s="74" t="s">
        <v>268</v>
      </c>
      <c r="F930" s="111" t="b">
        <v>1</v>
      </c>
      <c r="G930" s="111" t="b">
        <v>1</v>
      </c>
      <c r="H930" s="111" t="b">
        <v>1</v>
      </c>
      <c r="I930" s="74" t="s">
        <v>81</v>
      </c>
      <c r="J930" s="1"/>
      <c r="K930" s="1"/>
      <c r="L930" s="1"/>
    </row>
    <row r="931">
      <c r="A931" s="110">
        <v>46216.71451820602</v>
      </c>
      <c r="B931" s="74" t="s">
        <v>226</v>
      </c>
      <c r="C931" s="74" t="s">
        <v>231</v>
      </c>
      <c r="D931" s="74" t="s">
        <v>130</v>
      </c>
      <c r="E931" s="74" t="s">
        <v>383</v>
      </c>
      <c r="F931" s="111" t="b">
        <v>1</v>
      </c>
      <c r="G931" s="111" t="b">
        <v>1</v>
      </c>
      <c r="H931" s="111" t="b">
        <v>1</v>
      </c>
      <c r="I931" s="74" t="s">
        <v>85</v>
      </c>
      <c r="J931" s="1"/>
      <c r="K931" s="1"/>
      <c r="L931" s="1"/>
    </row>
    <row r="932">
      <c r="A932" s="110">
        <v>46216.73425228009</v>
      </c>
      <c r="B932" s="74" t="s">
        <v>225</v>
      </c>
      <c r="C932" s="74" t="s">
        <v>222</v>
      </c>
      <c r="D932" s="112" t="s">
        <v>139</v>
      </c>
      <c r="E932" s="1"/>
      <c r="F932" s="111" t="b">
        <v>1</v>
      </c>
      <c r="G932" s="111" t="b">
        <v>1</v>
      </c>
      <c r="H932" s="111" t="b">
        <v>1</v>
      </c>
      <c r="I932" s="74" t="s">
        <v>90</v>
      </c>
      <c r="J932" s="1"/>
      <c r="K932" s="1"/>
      <c r="L932" s="1"/>
    </row>
    <row r="933">
      <c r="A933" s="110">
        <v>46216.74085821759</v>
      </c>
      <c r="B933" s="74" t="s">
        <v>231</v>
      </c>
      <c r="C933" s="74" t="s">
        <v>144</v>
      </c>
      <c r="D933" s="74" t="s">
        <v>130</v>
      </c>
      <c r="E933" s="1"/>
      <c r="F933" s="111" t="b">
        <v>1</v>
      </c>
      <c r="G933" s="111" t="b">
        <v>1</v>
      </c>
      <c r="H933" s="111" t="b">
        <v>1</v>
      </c>
      <c r="I933" s="74" t="s">
        <v>81</v>
      </c>
      <c r="J933" s="1"/>
      <c r="K933" s="1"/>
      <c r="L933" s="1"/>
    </row>
    <row r="934">
      <c r="A934" s="110">
        <v>46216.75075929398</v>
      </c>
      <c r="B934" s="74" t="s">
        <v>193</v>
      </c>
      <c r="C934" s="74" t="s">
        <v>146</v>
      </c>
      <c r="D934" s="112" t="s">
        <v>139</v>
      </c>
      <c r="E934" s="1"/>
      <c r="F934" s="111" t="b">
        <v>1</v>
      </c>
      <c r="G934" s="111" t="b">
        <v>1</v>
      </c>
      <c r="H934" s="111" t="b">
        <v>1</v>
      </c>
      <c r="I934" s="74" t="s">
        <v>118</v>
      </c>
      <c r="J934" s="1"/>
      <c r="K934" s="1"/>
      <c r="L934" s="1"/>
    </row>
    <row r="935">
      <c r="A935" s="110">
        <v>46216.751144525464</v>
      </c>
      <c r="B935" s="74" t="s">
        <v>231</v>
      </c>
      <c r="C935" s="74" t="s">
        <v>222</v>
      </c>
      <c r="D935" s="74" t="s">
        <v>130</v>
      </c>
      <c r="E935" s="1"/>
      <c r="F935" s="111" t="b">
        <v>1</v>
      </c>
      <c r="G935" s="111" t="b">
        <v>1</v>
      </c>
      <c r="H935" s="111" t="b">
        <v>1</v>
      </c>
      <c r="I935" s="74" t="s">
        <v>83</v>
      </c>
      <c r="J935" s="1"/>
      <c r="K935" s="1"/>
      <c r="L935" s="1"/>
    </row>
    <row r="936">
      <c r="A936" s="110">
        <v>46216.75183995371</v>
      </c>
      <c r="B936" s="74" t="s">
        <v>257</v>
      </c>
      <c r="C936" s="74" t="s">
        <v>226</v>
      </c>
      <c r="D936" s="112" t="s">
        <v>139</v>
      </c>
      <c r="E936" s="74" t="s">
        <v>384</v>
      </c>
      <c r="F936" s="111" t="b">
        <v>1</v>
      </c>
      <c r="G936" s="111" t="b">
        <v>1</v>
      </c>
      <c r="H936" s="111" t="b">
        <v>1</v>
      </c>
      <c r="I936" s="74" t="s">
        <v>84</v>
      </c>
      <c r="J936" s="1"/>
      <c r="K936" s="1"/>
      <c r="L936" s="1"/>
    </row>
    <row r="937">
      <c r="A937" s="110">
        <v>46216.773146990745</v>
      </c>
      <c r="B937" s="74" t="s">
        <v>280</v>
      </c>
      <c r="C937" s="74" t="s">
        <v>219</v>
      </c>
      <c r="D937" s="74" t="s">
        <v>130</v>
      </c>
      <c r="E937" s="1"/>
      <c r="F937" s="111" t="b">
        <v>1</v>
      </c>
      <c r="G937" s="111" t="b">
        <v>1</v>
      </c>
      <c r="H937" s="111" t="b">
        <v>1</v>
      </c>
      <c r="I937" s="74" t="s">
        <v>83</v>
      </c>
      <c r="J937" s="1"/>
      <c r="K937" s="1"/>
      <c r="L937" s="1"/>
    </row>
    <row r="938">
      <c r="A938" s="110">
        <v>46216.7791553125</v>
      </c>
      <c r="B938" s="74" t="s">
        <v>222</v>
      </c>
      <c r="C938" s="74" t="s">
        <v>257</v>
      </c>
      <c r="D938" s="112" t="s">
        <v>139</v>
      </c>
      <c r="E938" s="1"/>
      <c r="F938" s="111" t="b">
        <v>1</v>
      </c>
      <c r="G938" s="111" t="b">
        <v>1</v>
      </c>
      <c r="H938" s="111" t="b">
        <v>1</v>
      </c>
      <c r="I938" s="74" t="s">
        <v>87</v>
      </c>
      <c r="J938" s="1"/>
      <c r="K938" s="1"/>
      <c r="L938" s="1"/>
    </row>
    <row r="939">
      <c r="A939" s="110">
        <v>46216.780605312495</v>
      </c>
      <c r="B939" s="74" t="s">
        <v>146</v>
      </c>
      <c r="C939" s="74" t="s">
        <v>115</v>
      </c>
      <c r="D939" s="112" t="s">
        <v>139</v>
      </c>
      <c r="E939" s="1"/>
      <c r="F939" s="111" t="b">
        <v>1</v>
      </c>
      <c r="G939" s="111" t="b">
        <v>1</v>
      </c>
      <c r="H939" s="111" t="b">
        <v>1</v>
      </c>
      <c r="I939" s="74" t="s">
        <v>99</v>
      </c>
      <c r="J939" s="1"/>
      <c r="K939" s="1"/>
      <c r="L939" s="1"/>
    </row>
    <row r="940">
      <c r="A940" s="110">
        <v>46216.856833541664</v>
      </c>
      <c r="B940" s="74" t="s">
        <v>141</v>
      </c>
      <c r="C940" s="74" t="s">
        <v>280</v>
      </c>
      <c r="D940" s="112" t="s">
        <v>139</v>
      </c>
      <c r="E940" s="74" t="s">
        <v>385</v>
      </c>
      <c r="F940" s="111" t="b">
        <v>1</v>
      </c>
      <c r="G940" s="111" t="b">
        <v>1</v>
      </c>
      <c r="H940" s="111" t="b">
        <v>1</v>
      </c>
      <c r="I940" s="74" t="s">
        <v>85</v>
      </c>
      <c r="J940" s="1"/>
      <c r="K940" s="1"/>
      <c r="L940" s="1"/>
    </row>
    <row r="941">
      <c r="A941" s="110">
        <v>46216.86580396991</v>
      </c>
      <c r="B941" s="74" t="s">
        <v>232</v>
      </c>
      <c r="C941" s="74" t="s">
        <v>281</v>
      </c>
      <c r="D941" s="74" t="s">
        <v>130</v>
      </c>
      <c r="E941" s="74" t="s">
        <v>157</v>
      </c>
      <c r="F941" s="111" t="b">
        <v>1</v>
      </c>
      <c r="G941" s="111" t="b">
        <v>1</v>
      </c>
      <c r="H941" s="111" t="b">
        <v>1</v>
      </c>
      <c r="I941" s="74" t="s">
        <v>202</v>
      </c>
      <c r="J941" s="1"/>
      <c r="K941" s="1"/>
      <c r="L941" s="1"/>
    </row>
    <row r="942">
      <c r="A942" s="110">
        <v>46216.911249895835</v>
      </c>
      <c r="B942" s="74" t="s">
        <v>181</v>
      </c>
      <c r="C942" s="74" t="s">
        <v>89</v>
      </c>
      <c r="D942" s="74" t="s">
        <v>130</v>
      </c>
      <c r="E942" s="1"/>
      <c r="F942" s="111" t="b">
        <v>1</v>
      </c>
      <c r="G942" s="111" t="b">
        <v>1</v>
      </c>
      <c r="H942" s="111" t="b">
        <v>1</v>
      </c>
      <c r="I942" s="74" t="s">
        <v>87</v>
      </c>
      <c r="J942" s="1"/>
      <c r="K942" s="1"/>
      <c r="L942" s="1"/>
    </row>
    <row r="943">
      <c r="A943" s="110">
        <v>46216.9232974537</v>
      </c>
      <c r="B943" s="74" t="s">
        <v>235</v>
      </c>
      <c r="C943" s="74" t="s">
        <v>89</v>
      </c>
      <c r="D943" s="74" t="s">
        <v>130</v>
      </c>
      <c r="E943" s="74" t="s">
        <v>386</v>
      </c>
      <c r="F943" s="111" t="b">
        <v>1</v>
      </c>
      <c r="G943" s="111" t="b">
        <v>1</v>
      </c>
      <c r="H943" s="111" t="b">
        <v>1</v>
      </c>
      <c r="I943" s="74" t="s">
        <v>99</v>
      </c>
      <c r="J943" s="1"/>
      <c r="K943" s="1"/>
      <c r="L943" s="1"/>
    </row>
    <row r="944">
      <c r="A944" s="110">
        <v>46216.928461296295</v>
      </c>
      <c r="B944" s="74" t="s">
        <v>181</v>
      </c>
      <c r="C944" s="74" t="s">
        <v>302</v>
      </c>
      <c r="D944" s="74" t="s">
        <v>130</v>
      </c>
      <c r="E944" s="1"/>
      <c r="F944" s="111" t="b">
        <v>1</v>
      </c>
      <c r="G944" s="111" t="b">
        <v>1</v>
      </c>
      <c r="H944" s="111" t="b">
        <v>1</v>
      </c>
      <c r="I944" s="74" t="s">
        <v>99</v>
      </c>
      <c r="J944" s="1"/>
      <c r="K944" s="1"/>
      <c r="L944" s="1"/>
    </row>
    <row r="945">
      <c r="A945" s="110">
        <v>46216.94164427083</v>
      </c>
      <c r="B945" s="74" t="s">
        <v>168</v>
      </c>
      <c r="C945" s="74" t="s">
        <v>235</v>
      </c>
      <c r="D945" s="74" t="s">
        <v>130</v>
      </c>
      <c r="E945" s="1"/>
      <c r="F945" s="111" t="b">
        <v>1</v>
      </c>
      <c r="G945" s="111" t="b">
        <v>1</v>
      </c>
      <c r="H945" s="111" t="b">
        <v>1</v>
      </c>
      <c r="I945" s="74" t="s">
        <v>81</v>
      </c>
      <c r="J945" s="1"/>
      <c r="K945" s="1"/>
      <c r="L945" s="1"/>
    </row>
    <row r="946">
      <c r="A946" s="110">
        <v>46216.944442974534</v>
      </c>
      <c r="B946" s="74" t="s">
        <v>223</v>
      </c>
      <c r="C946" s="74" t="s">
        <v>198</v>
      </c>
      <c r="D946" s="74" t="s">
        <v>130</v>
      </c>
      <c r="E946" s="1"/>
      <c r="F946" s="111" t="b">
        <v>1</v>
      </c>
      <c r="G946" s="111" t="b">
        <v>1</v>
      </c>
      <c r="H946" s="111" t="b">
        <v>1</v>
      </c>
      <c r="I946" s="74" t="s">
        <v>98</v>
      </c>
      <c r="J946" s="1"/>
      <c r="K946" s="1"/>
      <c r="L946" s="1"/>
    </row>
    <row r="947">
      <c r="A947" s="110">
        <v>46216.94733837963</v>
      </c>
      <c r="B947" s="74" t="s">
        <v>296</v>
      </c>
      <c r="C947" s="74" t="s">
        <v>302</v>
      </c>
      <c r="D947" s="74" t="s">
        <v>130</v>
      </c>
      <c r="E947" s="1"/>
      <c r="F947" s="111" t="b">
        <v>1</v>
      </c>
      <c r="G947" s="111" t="b">
        <v>1</v>
      </c>
      <c r="H947" s="111" t="b">
        <v>1</v>
      </c>
      <c r="I947" s="74" t="s">
        <v>83</v>
      </c>
      <c r="J947" s="1"/>
      <c r="K947" s="1"/>
      <c r="L947" s="1"/>
    </row>
    <row r="948">
      <c r="A948" s="110">
        <v>46216.95703994213</v>
      </c>
      <c r="B948" s="74" t="s">
        <v>273</v>
      </c>
      <c r="C948" s="74" t="s">
        <v>232</v>
      </c>
      <c r="D948" s="112" t="s">
        <v>139</v>
      </c>
      <c r="E948" s="74" t="s">
        <v>249</v>
      </c>
      <c r="F948" s="111" t="b">
        <v>1</v>
      </c>
      <c r="G948" s="111" t="b">
        <v>1</v>
      </c>
      <c r="H948" s="111" t="b">
        <v>1</v>
      </c>
      <c r="I948" s="74" t="s">
        <v>81</v>
      </c>
      <c r="J948" s="1"/>
      <c r="K948" s="1"/>
      <c r="L948" s="1"/>
    </row>
    <row r="949">
      <c r="A949" s="110">
        <v>46216.967753564815</v>
      </c>
      <c r="B949" s="74" t="s">
        <v>279</v>
      </c>
      <c r="C949" s="74" t="s">
        <v>198</v>
      </c>
      <c r="D949" s="74" t="s">
        <v>130</v>
      </c>
      <c r="E949" s="74" t="s">
        <v>167</v>
      </c>
      <c r="F949" s="111" t="b">
        <v>1</v>
      </c>
      <c r="G949" s="111" t="b">
        <v>1</v>
      </c>
      <c r="H949" s="111" t="b">
        <v>1</v>
      </c>
      <c r="I949" s="74" t="s">
        <v>118</v>
      </c>
      <c r="J949" s="1"/>
      <c r="K949" s="1"/>
      <c r="L949" s="1"/>
    </row>
    <row r="950">
      <c r="A950" s="110">
        <v>46216.98827505787</v>
      </c>
      <c r="B950" s="74" t="s">
        <v>251</v>
      </c>
      <c r="C950" s="74" t="s">
        <v>278</v>
      </c>
      <c r="D950" s="74" t="s">
        <v>130</v>
      </c>
      <c r="E950" s="74" t="s">
        <v>236</v>
      </c>
      <c r="F950" s="111" t="b">
        <v>1</v>
      </c>
      <c r="G950" s="111" t="b">
        <v>1</v>
      </c>
      <c r="H950" s="111" t="b">
        <v>1</v>
      </c>
      <c r="I950" s="74" t="s">
        <v>87</v>
      </c>
      <c r="J950" s="1"/>
      <c r="K950" s="1"/>
      <c r="L950" s="1"/>
    </row>
    <row r="951">
      <c r="A951" s="110">
        <v>46217.0009771412</v>
      </c>
      <c r="B951" s="74" t="s">
        <v>162</v>
      </c>
      <c r="C951" s="74" t="s">
        <v>200</v>
      </c>
      <c r="D951" s="112" t="s">
        <v>139</v>
      </c>
      <c r="E951" s="1"/>
      <c r="F951" s="111" t="b">
        <v>1</v>
      </c>
      <c r="G951" s="111" t="b">
        <v>1</v>
      </c>
      <c r="H951" s="111" t="b">
        <v>1</v>
      </c>
      <c r="I951" s="74" t="s">
        <v>102</v>
      </c>
      <c r="J951" s="1"/>
      <c r="K951" s="1"/>
      <c r="L951" s="1"/>
    </row>
    <row r="952">
      <c r="A952" s="110">
        <v>46217.07297692129</v>
      </c>
      <c r="B952" s="74" t="s">
        <v>296</v>
      </c>
      <c r="C952" s="74" t="s">
        <v>285</v>
      </c>
      <c r="D952" s="74" t="s">
        <v>130</v>
      </c>
      <c r="E952" s="1"/>
      <c r="F952" s="111" t="b">
        <v>1</v>
      </c>
      <c r="G952" s="111" t="b">
        <v>1</v>
      </c>
      <c r="H952" s="111" t="b">
        <v>1</v>
      </c>
      <c r="I952" s="74" t="s">
        <v>102</v>
      </c>
      <c r="J952" s="1"/>
      <c r="K952" s="1"/>
      <c r="L952" s="1"/>
    </row>
    <row r="953">
      <c r="A953" s="110">
        <v>46217.08915295139</v>
      </c>
      <c r="B953" s="74" t="s">
        <v>155</v>
      </c>
      <c r="C953" s="74" t="s">
        <v>296</v>
      </c>
      <c r="D953" s="74" t="s">
        <v>130</v>
      </c>
      <c r="E953" s="74" t="s">
        <v>157</v>
      </c>
      <c r="F953" s="111" t="b">
        <v>1</v>
      </c>
      <c r="G953" s="111" t="b">
        <v>1</v>
      </c>
      <c r="H953" s="111" t="b">
        <v>1</v>
      </c>
      <c r="I953" s="74" t="s">
        <v>93</v>
      </c>
      <c r="J953" s="1"/>
      <c r="K953" s="1"/>
      <c r="L953" s="1"/>
    </row>
    <row r="954">
      <c r="A954" s="110">
        <v>46217.44411002315</v>
      </c>
      <c r="B954" s="74" t="s">
        <v>251</v>
      </c>
      <c r="C954" s="74" t="s">
        <v>293</v>
      </c>
      <c r="D954" s="74" t="s">
        <v>130</v>
      </c>
      <c r="E954" s="74" t="s">
        <v>323</v>
      </c>
      <c r="F954" s="111" t="b">
        <v>1</v>
      </c>
      <c r="G954" s="111" t="b">
        <v>1</v>
      </c>
      <c r="H954" s="111" t="b">
        <v>1</v>
      </c>
      <c r="I954" s="74" t="s">
        <v>79</v>
      </c>
      <c r="J954" s="1"/>
      <c r="K954" s="1"/>
      <c r="L954" s="1"/>
    </row>
    <row r="955">
      <c r="A955" s="110">
        <v>46217.487093159725</v>
      </c>
      <c r="B955" s="74" t="s">
        <v>115</v>
      </c>
      <c r="C955" s="74" t="s">
        <v>291</v>
      </c>
      <c r="D955" s="74" t="s">
        <v>130</v>
      </c>
      <c r="E955" s="1"/>
      <c r="F955" s="111" t="b">
        <v>1</v>
      </c>
      <c r="G955" s="111" t="b">
        <v>1</v>
      </c>
      <c r="H955" s="111" t="b">
        <v>1</v>
      </c>
      <c r="I955" s="74" t="s">
        <v>83</v>
      </c>
      <c r="J955" s="1"/>
      <c r="K955" s="1"/>
      <c r="L955" s="1"/>
    </row>
    <row r="956">
      <c r="A956" s="110">
        <v>46217.49920219908</v>
      </c>
      <c r="B956" s="74" t="s">
        <v>171</v>
      </c>
      <c r="C956" s="74" t="s">
        <v>178</v>
      </c>
      <c r="D956" s="74" t="s">
        <v>130</v>
      </c>
      <c r="E956" s="1"/>
      <c r="F956" s="111" t="b">
        <v>1</v>
      </c>
      <c r="G956" s="111" t="b">
        <v>1</v>
      </c>
      <c r="H956" s="111" t="b">
        <v>1</v>
      </c>
      <c r="I956" s="74" t="s">
        <v>85</v>
      </c>
      <c r="J956" s="1"/>
      <c r="K956" s="1"/>
      <c r="L956" s="1"/>
    </row>
    <row r="957">
      <c r="A957" s="110">
        <v>46217.523921597225</v>
      </c>
      <c r="B957" s="74" t="s">
        <v>234</v>
      </c>
      <c r="C957" s="74" t="s">
        <v>115</v>
      </c>
      <c r="D957" s="74" t="s">
        <v>130</v>
      </c>
      <c r="E957" s="1"/>
      <c r="F957" s="111" t="b">
        <v>1</v>
      </c>
      <c r="G957" s="111" t="b">
        <v>1</v>
      </c>
      <c r="H957" s="111" t="b">
        <v>1</v>
      </c>
      <c r="I957" s="74" t="s">
        <v>87</v>
      </c>
      <c r="J957" s="1"/>
      <c r="K957" s="1"/>
      <c r="L957" s="1"/>
    </row>
    <row r="958">
      <c r="A958" s="110">
        <v>46217.54140833333</v>
      </c>
      <c r="B958" s="74" t="s">
        <v>234</v>
      </c>
      <c r="C958" s="74" t="s">
        <v>291</v>
      </c>
      <c r="D958" s="74" t="s">
        <v>130</v>
      </c>
      <c r="E958" s="1"/>
      <c r="F958" s="111" t="b">
        <v>1</v>
      </c>
      <c r="G958" s="111" t="b">
        <v>1</v>
      </c>
      <c r="H958" s="111" t="b">
        <v>1</v>
      </c>
      <c r="I958" s="74" t="s">
        <v>90</v>
      </c>
      <c r="J958" s="1"/>
      <c r="K958" s="1"/>
      <c r="L958" s="1"/>
    </row>
    <row r="959">
      <c r="A959" s="110">
        <v>46217.55582297454</v>
      </c>
      <c r="B959" s="74" t="s">
        <v>222</v>
      </c>
      <c r="C959" s="74" t="s">
        <v>291</v>
      </c>
      <c r="D959" s="74" t="s">
        <v>130</v>
      </c>
      <c r="E959" s="1"/>
      <c r="F959" s="111" t="b">
        <v>1</v>
      </c>
      <c r="G959" s="111" t="b">
        <v>1</v>
      </c>
      <c r="H959" s="111" t="b">
        <v>1</v>
      </c>
      <c r="I959" s="74" t="s">
        <v>83</v>
      </c>
      <c r="J959" s="1"/>
      <c r="K959" s="1"/>
      <c r="L959" s="1"/>
    </row>
    <row r="960">
      <c r="A960" s="110">
        <v>46217.55630377315</v>
      </c>
      <c r="B960" s="74" t="s">
        <v>143</v>
      </c>
      <c r="C960" s="74" t="s">
        <v>307</v>
      </c>
      <c r="D960" s="74" t="s">
        <v>130</v>
      </c>
      <c r="E960" s="74" t="s">
        <v>387</v>
      </c>
      <c r="F960" s="111" t="b">
        <v>1</v>
      </c>
      <c r="G960" s="111" t="b">
        <v>1</v>
      </c>
      <c r="H960" s="111" t="b">
        <v>1</v>
      </c>
      <c r="I960" s="74" t="s">
        <v>87</v>
      </c>
      <c r="J960" s="1"/>
      <c r="K960" s="1"/>
      <c r="L960" s="1"/>
    </row>
    <row r="961">
      <c r="A961" s="110">
        <v>46217.595775821756</v>
      </c>
      <c r="B961" s="74" t="s">
        <v>143</v>
      </c>
      <c r="C961" s="74" t="s">
        <v>272</v>
      </c>
      <c r="D961" s="112" t="s">
        <v>139</v>
      </c>
      <c r="E961" s="1"/>
      <c r="F961" s="111" t="b">
        <v>1</v>
      </c>
      <c r="G961" s="111" t="b">
        <v>1</v>
      </c>
      <c r="H961" s="111" t="b">
        <v>1</v>
      </c>
      <c r="I961" s="74" t="s">
        <v>83</v>
      </c>
      <c r="J961" s="1"/>
      <c r="K961" s="1"/>
      <c r="L961" s="1"/>
    </row>
    <row r="962">
      <c r="A962" s="110">
        <v>46217.613972499996</v>
      </c>
      <c r="B962" s="74" t="s">
        <v>261</v>
      </c>
      <c r="C962" s="74" t="s">
        <v>303</v>
      </c>
      <c r="D962" s="112" t="s">
        <v>139</v>
      </c>
      <c r="E962" s="1"/>
      <c r="F962" s="111" t="b">
        <v>1</v>
      </c>
      <c r="G962" s="111" t="b">
        <v>1</v>
      </c>
      <c r="H962" s="111" t="b">
        <v>1</v>
      </c>
      <c r="I962" s="74" t="s">
        <v>202</v>
      </c>
      <c r="J962" s="1"/>
      <c r="K962" s="1"/>
      <c r="L962" s="1"/>
    </row>
    <row r="963">
      <c r="A963" s="110">
        <v>46217.620680023145</v>
      </c>
      <c r="B963" s="74" t="s">
        <v>156</v>
      </c>
      <c r="C963" s="74" t="s">
        <v>182</v>
      </c>
      <c r="D963" s="74" t="s">
        <v>130</v>
      </c>
      <c r="E963" s="1"/>
      <c r="F963" s="111" t="b">
        <v>1</v>
      </c>
      <c r="G963" s="111" t="b">
        <v>1</v>
      </c>
      <c r="H963" s="111" t="b">
        <v>1</v>
      </c>
      <c r="I963" s="74" t="s">
        <v>81</v>
      </c>
      <c r="J963" s="1"/>
      <c r="K963" s="1"/>
      <c r="L963" s="1"/>
    </row>
    <row r="964">
      <c r="A964" s="110">
        <v>46217.63981671297</v>
      </c>
      <c r="B964" s="74" t="s">
        <v>182</v>
      </c>
      <c r="C964" s="74" t="s">
        <v>307</v>
      </c>
      <c r="D964" s="112" t="s">
        <v>139</v>
      </c>
      <c r="E964" s="1"/>
      <c r="F964" s="111" t="b">
        <v>1</v>
      </c>
      <c r="G964" s="111" t="b">
        <v>1</v>
      </c>
      <c r="H964" s="111" t="b">
        <v>1</v>
      </c>
      <c r="I964" s="74" t="s">
        <v>90</v>
      </c>
      <c r="J964" s="1"/>
      <c r="K964" s="1"/>
      <c r="L964" s="1"/>
    </row>
    <row r="965">
      <c r="A965" s="110">
        <v>46217.664087083336</v>
      </c>
      <c r="B965" s="74" t="s">
        <v>296</v>
      </c>
      <c r="C965" s="74" t="s">
        <v>307</v>
      </c>
      <c r="D965" s="112" t="s">
        <v>139</v>
      </c>
      <c r="E965" s="1"/>
      <c r="F965" s="111" t="b">
        <v>1</v>
      </c>
      <c r="G965" s="111" t="b">
        <v>1</v>
      </c>
      <c r="H965" s="111" t="b">
        <v>1</v>
      </c>
      <c r="I965" s="74" t="s">
        <v>118</v>
      </c>
      <c r="J965" s="1"/>
      <c r="K965" s="1"/>
      <c r="L965" s="1"/>
    </row>
    <row r="966">
      <c r="A966" s="110">
        <v>46217.666324074075</v>
      </c>
      <c r="B966" s="74" t="s">
        <v>215</v>
      </c>
      <c r="C966" s="74" t="s">
        <v>183</v>
      </c>
      <c r="D966" s="112" t="s">
        <v>139</v>
      </c>
      <c r="E966" s="74" t="s">
        <v>388</v>
      </c>
      <c r="F966" s="111" t="b">
        <v>1</v>
      </c>
      <c r="G966" s="111" t="b">
        <v>1</v>
      </c>
      <c r="H966" s="111" t="b">
        <v>1</v>
      </c>
      <c r="I966" s="74" t="s">
        <v>102</v>
      </c>
      <c r="J966" s="1"/>
      <c r="K966" s="1"/>
      <c r="L966" s="1"/>
    </row>
    <row r="967">
      <c r="A967" s="110">
        <v>46217.67242476852</v>
      </c>
      <c r="B967" s="74" t="s">
        <v>284</v>
      </c>
      <c r="C967" s="74" t="s">
        <v>148</v>
      </c>
      <c r="D967" s="74" t="s">
        <v>130</v>
      </c>
      <c r="E967" s="1"/>
      <c r="F967" s="111" t="b">
        <v>1</v>
      </c>
      <c r="G967" s="111" t="b">
        <v>1</v>
      </c>
      <c r="H967" s="111" t="b">
        <v>1</v>
      </c>
      <c r="I967" s="74" t="s">
        <v>147</v>
      </c>
      <c r="J967" s="1"/>
      <c r="K967" s="1"/>
      <c r="L967" s="1"/>
    </row>
    <row r="968">
      <c r="A968" s="110">
        <v>46217.68495076388</v>
      </c>
      <c r="B968" s="74" t="s">
        <v>234</v>
      </c>
      <c r="C968" s="74" t="s">
        <v>296</v>
      </c>
      <c r="D968" s="112" t="s">
        <v>139</v>
      </c>
      <c r="E968" s="1"/>
      <c r="F968" s="111" t="b">
        <v>1</v>
      </c>
      <c r="G968" s="111" t="b">
        <v>1</v>
      </c>
      <c r="H968" s="111" t="b">
        <v>1</v>
      </c>
      <c r="I968" s="74" t="s">
        <v>202</v>
      </c>
      <c r="J968" s="1"/>
      <c r="K968" s="1"/>
      <c r="L968" s="1"/>
    </row>
    <row r="969">
      <c r="A969" s="110">
        <v>46217.70144076389</v>
      </c>
      <c r="B969" s="74" t="s">
        <v>284</v>
      </c>
      <c r="C969" s="74" t="s">
        <v>307</v>
      </c>
      <c r="D969" s="112" t="s">
        <v>139</v>
      </c>
      <c r="E969" s="1"/>
      <c r="F969" s="111" t="b">
        <v>1</v>
      </c>
      <c r="G969" s="111" t="b">
        <v>1</v>
      </c>
      <c r="H969" s="111" t="b">
        <v>1</v>
      </c>
      <c r="I969" s="74" t="s">
        <v>120</v>
      </c>
      <c r="J969" s="1"/>
      <c r="K969" s="1"/>
      <c r="L969" s="1"/>
    </row>
    <row r="970">
      <c r="A970" s="110">
        <v>46217.71609136574</v>
      </c>
      <c r="B970" s="74" t="s">
        <v>307</v>
      </c>
      <c r="C970" s="74" t="s">
        <v>134</v>
      </c>
      <c r="D970" s="74" t="s">
        <v>130</v>
      </c>
      <c r="E970" s="1"/>
      <c r="F970" s="111" t="b">
        <v>1</v>
      </c>
      <c r="G970" s="111" t="b">
        <v>1</v>
      </c>
      <c r="H970" s="111" t="b">
        <v>1</v>
      </c>
      <c r="I970" s="74" t="s">
        <v>87</v>
      </c>
      <c r="J970" s="1"/>
      <c r="K970" s="1"/>
      <c r="L970" s="1"/>
    </row>
    <row r="971">
      <c r="A971" s="110">
        <v>46217.72065045139</v>
      </c>
      <c r="B971" s="74" t="s">
        <v>234</v>
      </c>
      <c r="C971" s="74" t="s">
        <v>146</v>
      </c>
      <c r="D971" s="74" t="s">
        <v>130</v>
      </c>
      <c r="E971" s="1"/>
      <c r="F971" s="111" t="b">
        <v>1</v>
      </c>
      <c r="G971" s="111" t="b">
        <v>1</v>
      </c>
      <c r="H971" s="111" t="b">
        <v>1</v>
      </c>
      <c r="I971" s="74" t="s">
        <v>120</v>
      </c>
      <c r="J971" s="1"/>
      <c r="K971" s="1"/>
      <c r="L971" s="1"/>
    </row>
    <row r="972">
      <c r="A972" s="110">
        <v>46217.73395217593</v>
      </c>
      <c r="B972" s="74" t="s">
        <v>134</v>
      </c>
      <c r="C972" s="74" t="s">
        <v>115</v>
      </c>
      <c r="D972" s="74" t="s">
        <v>130</v>
      </c>
      <c r="E972" s="74" t="s">
        <v>167</v>
      </c>
      <c r="F972" s="111" t="b">
        <v>1</v>
      </c>
      <c r="G972" s="111" t="b">
        <v>1</v>
      </c>
      <c r="H972" s="111" t="b">
        <v>1</v>
      </c>
      <c r="I972" s="74" t="s">
        <v>202</v>
      </c>
      <c r="J972" s="1"/>
      <c r="K972" s="1"/>
      <c r="L972" s="1"/>
    </row>
    <row r="973">
      <c r="A973" s="110">
        <v>46217.74864320602</v>
      </c>
      <c r="B973" s="74" t="s">
        <v>134</v>
      </c>
      <c r="C973" s="74" t="s">
        <v>210</v>
      </c>
      <c r="D973" s="112" t="s">
        <v>139</v>
      </c>
      <c r="E973" s="74" t="s">
        <v>167</v>
      </c>
      <c r="F973" s="111" t="b">
        <v>1</v>
      </c>
      <c r="G973" s="111" t="b">
        <v>1</v>
      </c>
      <c r="H973" s="111" t="b">
        <v>1</v>
      </c>
      <c r="I973" s="74" t="s">
        <v>147</v>
      </c>
      <c r="J973" s="1"/>
      <c r="K973" s="1"/>
      <c r="L973" s="1"/>
    </row>
    <row r="974">
      <c r="A974" s="110">
        <v>46217.75333501157</v>
      </c>
      <c r="B974" s="74" t="s">
        <v>280</v>
      </c>
      <c r="C974" s="74" t="s">
        <v>208</v>
      </c>
      <c r="D974" s="74" t="s">
        <v>130</v>
      </c>
      <c r="E974" s="1"/>
      <c r="F974" s="111" t="b">
        <v>1</v>
      </c>
      <c r="G974" s="111" t="b">
        <v>1</v>
      </c>
      <c r="H974" s="111" t="b">
        <v>1</v>
      </c>
      <c r="I974" s="74" t="s">
        <v>90</v>
      </c>
      <c r="J974" s="1"/>
      <c r="K974" s="1"/>
      <c r="L974" s="1"/>
    </row>
    <row r="975">
      <c r="A975" s="110">
        <v>46217.77082534722</v>
      </c>
      <c r="B975" s="74" t="s">
        <v>134</v>
      </c>
      <c r="C975" s="74" t="s">
        <v>146</v>
      </c>
      <c r="D975" s="112" t="s">
        <v>139</v>
      </c>
      <c r="E975" s="74" t="s">
        <v>136</v>
      </c>
      <c r="F975" s="111" t="b">
        <v>1</v>
      </c>
      <c r="G975" s="111" t="b">
        <v>1</v>
      </c>
      <c r="H975" s="111" t="b">
        <v>1</v>
      </c>
      <c r="I975" s="74" t="s">
        <v>87</v>
      </c>
      <c r="J975" s="1"/>
      <c r="K975" s="1"/>
      <c r="L975" s="1"/>
    </row>
    <row r="976">
      <c r="A976" s="110">
        <v>46217.78061724537</v>
      </c>
      <c r="B976" s="74" t="s">
        <v>280</v>
      </c>
      <c r="C976" s="74" t="s">
        <v>210</v>
      </c>
      <c r="D976" s="74" t="s">
        <v>130</v>
      </c>
      <c r="E976" s="1"/>
      <c r="F976" s="111" t="b">
        <v>1</v>
      </c>
      <c r="G976" s="111" t="b">
        <v>1</v>
      </c>
      <c r="H976" s="111" t="b">
        <v>1</v>
      </c>
      <c r="I976" s="74" t="s">
        <v>90</v>
      </c>
      <c r="J976" s="1"/>
      <c r="K976" s="1"/>
      <c r="L976" s="1"/>
    </row>
    <row r="977">
      <c r="A977" s="110">
        <v>46217.797171909726</v>
      </c>
      <c r="B977" s="74" t="s">
        <v>176</v>
      </c>
      <c r="C977" s="74" t="s">
        <v>134</v>
      </c>
      <c r="D977" s="74" t="s">
        <v>130</v>
      </c>
      <c r="E977" s="1"/>
      <c r="F977" s="111" t="b">
        <v>1</v>
      </c>
      <c r="G977" s="111" t="b">
        <v>1</v>
      </c>
      <c r="H977" s="111" t="b">
        <v>1</v>
      </c>
      <c r="I977" s="74" t="s">
        <v>98</v>
      </c>
      <c r="J977" s="1"/>
      <c r="K977" s="1"/>
      <c r="L977" s="1"/>
    </row>
    <row r="978">
      <c r="A978" s="110">
        <v>46217.84380041667</v>
      </c>
      <c r="B978" s="74" t="s">
        <v>176</v>
      </c>
      <c r="C978" s="74" t="s">
        <v>200</v>
      </c>
      <c r="D978" s="74" t="s">
        <v>130</v>
      </c>
      <c r="E978" s="1"/>
      <c r="F978" s="111" t="b">
        <v>1</v>
      </c>
      <c r="G978" s="1"/>
      <c r="H978" s="111" t="b">
        <v>1</v>
      </c>
      <c r="I978" s="1"/>
      <c r="J978" s="1"/>
      <c r="K978" s="1"/>
      <c r="L978" s="1"/>
    </row>
    <row r="979">
      <c r="A979" s="110">
        <v>46217.85697612268</v>
      </c>
      <c r="B979" s="74" t="s">
        <v>89</v>
      </c>
      <c r="C979" s="74" t="s">
        <v>284</v>
      </c>
      <c r="D979" s="74" t="s">
        <v>130</v>
      </c>
      <c r="E979" s="74" t="s">
        <v>167</v>
      </c>
      <c r="F979" s="111" t="b">
        <v>1</v>
      </c>
      <c r="G979" s="111" t="b">
        <v>1</v>
      </c>
      <c r="H979" s="111" t="b">
        <v>1</v>
      </c>
      <c r="I979" s="74" t="s">
        <v>85</v>
      </c>
      <c r="J979" s="1"/>
      <c r="K979" s="1"/>
      <c r="L979" s="1"/>
    </row>
    <row r="980">
      <c r="A980" s="110">
        <v>46217.859562453705</v>
      </c>
      <c r="B980" s="74" t="s">
        <v>232</v>
      </c>
      <c r="C980" s="74" t="s">
        <v>176</v>
      </c>
      <c r="D980" s="74" t="s">
        <v>130</v>
      </c>
      <c r="E980" s="74" t="s">
        <v>167</v>
      </c>
      <c r="F980" s="111" t="b">
        <v>1</v>
      </c>
      <c r="G980" s="111" t="b">
        <v>1</v>
      </c>
      <c r="H980" s="111" t="b">
        <v>1</v>
      </c>
      <c r="I980" s="74" t="s">
        <v>118</v>
      </c>
      <c r="J980" s="1"/>
      <c r="K980" s="1"/>
      <c r="L980" s="1"/>
    </row>
    <row r="981">
      <c r="A981" s="110">
        <v>46217.871098194446</v>
      </c>
      <c r="B981" s="74" t="s">
        <v>89</v>
      </c>
      <c r="C981" s="74" t="s">
        <v>155</v>
      </c>
      <c r="D981" s="74" t="s">
        <v>130</v>
      </c>
      <c r="E981" s="74" t="s">
        <v>167</v>
      </c>
      <c r="F981" s="111" t="b">
        <v>1</v>
      </c>
      <c r="G981" s="111" t="b">
        <v>1</v>
      </c>
      <c r="H981" s="111" t="b">
        <v>1</v>
      </c>
      <c r="I981" s="74" t="s">
        <v>90</v>
      </c>
      <c r="J981" s="1"/>
      <c r="K981" s="1"/>
      <c r="L981" s="1"/>
    </row>
    <row r="982">
      <c r="A982" s="110">
        <v>46217.89825804398</v>
      </c>
      <c r="B982" s="74" t="s">
        <v>278</v>
      </c>
      <c r="C982" s="74" t="s">
        <v>281</v>
      </c>
      <c r="D982" s="112" t="s">
        <v>139</v>
      </c>
      <c r="E982" s="1"/>
      <c r="F982" s="111" t="b">
        <v>1</v>
      </c>
      <c r="G982" s="111" t="b">
        <v>1</v>
      </c>
      <c r="H982" s="111" t="b">
        <v>1</v>
      </c>
      <c r="I982" s="74" t="s">
        <v>85</v>
      </c>
      <c r="J982" s="1"/>
      <c r="K982" s="1"/>
      <c r="L982" s="1"/>
    </row>
    <row r="983">
      <c r="A983" s="110">
        <v>46217.90654590278</v>
      </c>
      <c r="B983" s="74" t="s">
        <v>155</v>
      </c>
      <c r="C983" s="74" t="s">
        <v>251</v>
      </c>
      <c r="D983" s="112" t="s">
        <v>139</v>
      </c>
      <c r="E983" s="74" t="s">
        <v>157</v>
      </c>
      <c r="F983" s="111" t="b">
        <v>1</v>
      </c>
      <c r="G983" s="111" t="b">
        <v>1</v>
      </c>
      <c r="H983" s="111" t="b">
        <v>1</v>
      </c>
      <c r="I983" s="74" t="s">
        <v>147</v>
      </c>
      <c r="J983" s="1"/>
      <c r="K983" s="1"/>
      <c r="L983" s="1"/>
    </row>
    <row r="984">
      <c r="A984" s="110">
        <v>46217.908541006946</v>
      </c>
      <c r="B984" s="74" t="s">
        <v>284</v>
      </c>
      <c r="C984" s="74" t="s">
        <v>275</v>
      </c>
      <c r="D984" s="112" t="s">
        <v>139</v>
      </c>
      <c r="E984" s="1"/>
      <c r="F984" s="111" t="b">
        <v>1</v>
      </c>
      <c r="G984" s="111" t="b">
        <v>1</v>
      </c>
      <c r="H984" s="111" t="b">
        <v>1</v>
      </c>
      <c r="I984" s="74" t="s">
        <v>93</v>
      </c>
      <c r="J984" s="1"/>
      <c r="K984" s="1"/>
      <c r="L984" s="1"/>
    </row>
    <row r="985">
      <c r="A985" s="110">
        <v>46217.91062214121</v>
      </c>
      <c r="B985" s="74" t="s">
        <v>223</v>
      </c>
      <c r="C985" s="74" t="s">
        <v>281</v>
      </c>
      <c r="D985" s="74" t="s">
        <v>130</v>
      </c>
      <c r="E985" s="1"/>
      <c r="F985" s="111" t="b">
        <v>1</v>
      </c>
      <c r="G985" s="111" t="b">
        <v>1</v>
      </c>
      <c r="H985" s="111" t="b">
        <v>1</v>
      </c>
      <c r="I985" s="74" t="s">
        <v>90</v>
      </c>
      <c r="J985" s="1"/>
      <c r="K985" s="1"/>
      <c r="L985" s="1"/>
    </row>
    <row r="986">
      <c r="A986" s="110">
        <v>46217.916050405096</v>
      </c>
      <c r="B986" s="74" t="s">
        <v>278</v>
      </c>
      <c r="C986" s="74" t="s">
        <v>212</v>
      </c>
      <c r="D986" s="112" t="s">
        <v>139</v>
      </c>
      <c r="E986" s="1"/>
      <c r="F986" s="111" t="b">
        <v>1</v>
      </c>
      <c r="G986" s="111" t="b">
        <v>1</v>
      </c>
      <c r="H986" s="111" t="b">
        <v>1</v>
      </c>
      <c r="I986" s="74" t="s">
        <v>202</v>
      </c>
      <c r="J986" s="1"/>
      <c r="K986" s="1"/>
      <c r="L986" s="1"/>
    </row>
    <row r="987">
      <c r="A987" s="110">
        <v>46217.91953331018</v>
      </c>
      <c r="B987" s="74" t="s">
        <v>156</v>
      </c>
      <c r="C987" s="74" t="s">
        <v>176</v>
      </c>
      <c r="D987" s="112" t="s">
        <v>139</v>
      </c>
      <c r="E987" s="1"/>
      <c r="F987" s="111" t="b">
        <v>1</v>
      </c>
      <c r="G987" s="111" t="b">
        <v>1</v>
      </c>
      <c r="H987" s="111" t="b">
        <v>1</v>
      </c>
      <c r="I987" s="74" t="s">
        <v>90</v>
      </c>
      <c r="J987" s="1"/>
      <c r="K987" s="1"/>
      <c r="L987" s="1"/>
    </row>
    <row r="988">
      <c r="A988" s="110">
        <v>46217.92308979167</v>
      </c>
      <c r="B988" s="74" t="s">
        <v>199</v>
      </c>
      <c r="C988" s="74" t="s">
        <v>89</v>
      </c>
      <c r="D988" s="112" t="s">
        <v>139</v>
      </c>
      <c r="E988" s="1"/>
      <c r="F988" s="111" t="b">
        <v>1</v>
      </c>
      <c r="G988" s="111" t="b">
        <v>1</v>
      </c>
      <c r="H988" s="111" t="b">
        <v>1</v>
      </c>
      <c r="I988" s="74" t="s">
        <v>81</v>
      </c>
      <c r="J988" s="1"/>
      <c r="K988" s="1"/>
      <c r="L988" s="1"/>
    </row>
    <row r="989">
      <c r="A989" s="110">
        <v>46217.949182083335</v>
      </c>
      <c r="B989" s="74" t="s">
        <v>148</v>
      </c>
      <c r="C989" s="74" t="s">
        <v>258</v>
      </c>
      <c r="D989" s="74" t="s">
        <v>130</v>
      </c>
      <c r="E989" s="1"/>
      <c r="F989" s="111" t="b">
        <v>1</v>
      </c>
      <c r="G989" s="111" t="b">
        <v>1</v>
      </c>
      <c r="H989" s="111" t="b">
        <v>1</v>
      </c>
      <c r="I989" s="74" t="s">
        <v>95</v>
      </c>
      <c r="J989" s="1"/>
      <c r="K989" s="1"/>
      <c r="L989" s="1"/>
    </row>
    <row r="990">
      <c r="A990" s="110">
        <v>46217.94931861111</v>
      </c>
      <c r="B990" s="74" t="s">
        <v>284</v>
      </c>
      <c r="C990" s="74" t="s">
        <v>183</v>
      </c>
      <c r="D990" s="112" t="s">
        <v>139</v>
      </c>
      <c r="E990" s="1"/>
      <c r="F990" s="111" t="b">
        <v>1</v>
      </c>
      <c r="G990" s="111" t="b">
        <v>1</v>
      </c>
      <c r="H990" s="111" t="b">
        <v>1</v>
      </c>
      <c r="I990" s="74" t="s">
        <v>99</v>
      </c>
      <c r="J990" s="1"/>
      <c r="K990" s="1"/>
      <c r="L990" s="1"/>
    </row>
    <row r="991">
      <c r="A991" s="110">
        <v>46217.96239976852</v>
      </c>
      <c r="B991" s="74" t="s">
        <v>279</v>
      </c>
      <c r="C991" s="74" t="s">
        <v>179</v>
      </c>
      <c r="D991" s="112" t="s">
        <v>139</v>
      </c>
      <c r="E991" s="74" t="s">
        <v>167</v>
      </c>
      <c r="F991" s="111" t="b">
        <v>1</v>
      </c>
      <c r="G991" s="111" t="b">
        <v>1</v>
      </c>
      <c r="H991" s="111" t="b">
        <v>1</v>
      </c>
      <c r="I991" s="74" t="s">
        <v>85</v>
      </c>
      <c r="J991" s="1"/>
      <c r="K991" s="1"/>
      <c r="L991" s="1"/>
    </row>
    <row r="992">
      <c r="A992" s="110">
        <v>46217.97134462963</v>
      </c>
      <c r="B992" s="74" t="s">
        <v>275</v>
      </c>
      <c r="C992" s="74" t="s">
        <v>232</v>
      </c>
      <c r="D992" s="112" t="s">
        <v>139</v>
      </c>
      <c r="E992" s="1"/>
      <c r="F992" s="111" t="b">
        <v>1</v>
      </c>
      <c r="G992" s="111" t="b">
        <v>1</v>
      </c>
      <c r="H992" s="111" t="b">
        <v>1</v>
      </c>
      <c r="I992" s="74" t="s">
        <v>98</v>
      </c>
      <c r="J992" s="1"/>
      <c r="K992" s="1"/>
      <c r="L992" s="1"/>
    </row>
    <row r="993">
      <c r="A993" s="110">
        <v>46217.98051472222</v>
      </c>
      <c r="B993" s="74" t="s">
        <v>179</v>
      </c>
      <c r="C993" s="74" t="s">
        <v>258</v>
      </c>
      <c r="D993" s="74" t="s">
        <v>130</v>
      </c>
      <c r="E993" s="1"/>
      <c r="F993" s="111" t="b">
        <v>1</v>
      </c>
      <c r="G993" s="111" t="b">
        <v>1</v>
      </c>
      <c r="H993" s="111" t="b">
        <v>1</v>
      </c>
      <c r="I993" s="74" t="s">
        <v>102</v>
      </c>
      <c r="J993" s="1"/>
      <c r="K993" s="1"/>
      <c r="L993" s="1"/>
    </row>
    <row r="994">
      <c r="A994" s="110">
        <v>46217.98369685185</v>
      </c>
      <c r="B994" s="74" t="s">
        <v>199</v>
      </c>
      <c r="C994" s="74" t="s">
        <v>195</v>
      </c>
      <c r="D994" s="112" t="s">
        <v>139</v>
      </c>
      <c r="E994" s="1"/>
      <c r="F994" s="111" t="b">
        <v>1</v>
      </c>
      <c r="G994" s="111" t="b">
        <v>1</v>
      </c>
      <c r="H994" s="111" t="b">
        <v>1</v>
      </c>
      <c r="I994" s="74" t="s">
        <v>118</v>
      </c>
      <c r="J994" s="1"/>
      <c r="K994" s="1"/>
      <c r="L994" s="1"/>
    </row>
    <row r="995">
      <c r="A995" s="110">
        <v>46218.00033325232</v>
      </c>
      <c r="B995" s="74" t="s">
        <v>199</v>
      </c>
      <c r="C995" s="74" t="s">
        <v>179</v>
      </c>
      <c r="D995" s="74" t="s">
        <v>130</v>
      </c>
      <c r="E995" s="1"/>
      <c r="F995" s="111" t="b">
        <v>1</v>
      </c>
      <c r="G995" s="111" t="b">
        <v>1</v>
      </c>
      <c r="H995" s="111" t="b">
        <v>1</v>
      </c>
      <c r="I995" s="74" t="s">
        <v>202</v>
      </c>
      <c r="J995" s="1"/>
      <c r="K995" s="1"/>
      <c r="L995" s="1"/>
    </row>
    <row r="996">
      <c r="A996" s="110">
        <v>46218.03000106481</v>
      </c>
      <c r="B996" s="74" t="s">
        <v>234</v>
      </c>
      <c r="C996" s="74" t="s">
        <v>199</v>
      </c>
      <c r="D996" s="112" t="s">
        <v>139</v>
      </c>
      <c r="E996" s="1"/>
      <c r="F996" s="111" t="b">
        <v>1</v>
      </c>
      <c r="G996" s="111" t="b">
        <v>1</v>
      </c>
      <c r="H996" s="111" t="b">
        <v>1</v>
      </c>
      <c r="I996" s="74" t="s">
        <v>106</v>
      </c>
      <c r="J996" s="1"/>
      <c r="K996" s="1"/>
      <c r="L996" s="1"/>
    </row>
    <row r="997">
      <c r="A997" s="110">
        <v>46218.06188163195</v>
      </c>
      <c r="B997" s="74" t="s">
        <v>199</v>
      </c>
      <c r="C997" s="74" t="s">
        <v>155</v>
      </c>
      <c r="D997" s="74" t="s">
        <v>130</v>
      </c>
      <c r="E997" s="1"/>
      <c r="F997" s="111" t="b">
        <v>1</v>
      </c>
      <c r="G997" s="111" t="b">
        <v>1</v>
      </c>
      <c r="H997" s="111" t="b">
        <v>1</v>
      </c>
      <c r="I997" s="74" t="s">
        <v>102</v>
      </c>
      <c r="J997" s="1"/>
      <c r="K997" s="1"/>
      <c r="L997" s="1"/>
    </row>
    <row r="998">
      <c r="A998" s="110">
        <v>46218.09513306713</v>
      </c>
      <c r="B998" s="74" t="s">
        <v>148</v>
      </c>
      <c r="C998" s="74" t="s">
        <v>156</v>
      </c>
      <c r="D998" s="112" t="s">
        <v>139</v>
      </c>
      <c r="E998" s="1"/>
      <c r="F998" s="111" t="b">
        <v>1</v>
      </c>
      <c r="G998" s="111" t="b">
        <v>1</v>
      </c>
      <c r="H998" s="111" t="b">
        <v>1</v>
      </c>
      <c r="I998" s="74" t="s">
        <v>83</v>
      </c>
      <c r="J998" s="1"/>
      <c r="K998" s="1"/>
      <c r="L998" s="1"/>
    </row>
    <row r="999">
      <c r="A999" s="110">
        <v>46218.35901155093</v>
      </c>
      <c r="B999" s="74" t="s">
        <v>182</v>
      </c>
      <c r="C999" s="74" t="s">
        <v>293</v>
      </c>
      <c r="D999" s="112" t="s">
        <v>139</v>
      </c>
      <c r="E999" s="1"/>
      <c r="F999" s="111" t="b">
        <v>1</v>
      </c>
      <c r="G999" s="111" t="b">
        <v>1</v>
      </c>
      <c r="H999" s="111" t="b">
        <v>1</v>
      </c>
      <c r="I999" s="74" t="s">
        <v>118</v>
      </c>
      <c r="J999" s="1"/>
      <c r="K999" s="1"/>
      <c r="L999" s="1"/>
    </row>
    <row r="1000">
      <c r="A1000" s="110">
        <v>46218.43150489584</v>
      </c>
      <c r="B1000" s="74" t="s">
        <v>261</v>
      </c>
      <c r="C1000" s="74" t="s">
        <v>234</v>
      </c>
      <c r="D1000" s="74" t="s">
        <v>130</v>
      </c>
      <c r="E1000" s="1"/>
      <c r="F1000" s="111" t="b">
        <v>1</v>
      </c>
      <c r="G1000" s="111" t="b">
        <v>1</v>
      </c>
      <c r="H1000" s="111" t="b">
        <v>1</v>
      </c>
      <c r="I1000" s="74" t="s">
        <v>118</v>
      </c>
      <c r="J1000" s="1"/>
      <c r="K1000" s="1"/>
      <c r="L1000" s="1"/>
    </row>
    <row r="1001">
      <c r="A1001" s="110">
        <v>46218.46542936342</v>
      </c>
      <c r="B1001" s="74" t="s">
        <v>138</v>
      </c>
      <c r="C1001" s="74" t="s">
        <v>135</v>
      </c>
      <c r="D1001" s="112" t="s">
        <v>139</v>
      </c>
      <c r="E1001" s="1"/>
      <c r="F1001" s="111" t="b">
        <v>1</v>
      </c>
      <c r="G1001" s="1"/>
      <c r="H1001" s="111" t="b">
        <v>1</v>
      </c>
      <c r="I1001" s="1"/>
      <c r="J1001" s="1"/>
      <c r="K1001" s="1"/>
      <c r="L1001" s="1"/>
    </row>
    <row r="1002">
      <c r="A1002" s="110">
        <v>46218.48242526621</v>
      </c>
      <c r="B1002" s="74" t="s">
        <v>194</v>
      </c>
      <c r="C1002" s="74" t="s">
        <v>219</v>
      </c>
      <c r="D1002" s="112" t="s">
        <v>139</v>
      </c>
      <c r="E1002" s="1"/>
      <c r="F1002" s="111" t="b">
        <v>1</v>
      </c>
      <c r="G1002" s="111" t="b">
        <v>1</v>
      </c>
      <c r="H1002" s="111" t="b">
        <v>1</v>
      </c>
      <c r="I1002" s="74" t="s">
        <v>95</v>
      </c>
      <c r="J1002" s="1"/>
      <c r="K1002" s="1"/>
      <c r="L1002" s="1"/>
    </row>
    <row r="1003">
      <c r="A1003" s="110">
        <v>46218.5027591088</v>
      </c>
      <c r="B1003" s="74" t="s">
        <v>182</v>
      </c>
      <c r="C1003" s="74" t="s">
        <v>219</v>
      </c>
      <c r="D1003" s="112" t="s">
        <v>139</v>
      </c>
      <c r="E1003" s="1"/>
      <c r="F1003" s="111" t="b">
        <v>1</v>
      </c>
      <c r="G1003" s="111" t="b">
        <v>1</v>
      </c>
      <c r="H1003" s="111" t="b">
        <v>1</v>
      </c>
      <c r="I1003" s="74" t="s">
        <v>118</v>
      </c>
      <c r="J1003" s="1"/>
      <c r="K1003" s="1"/>
      <c r="L1003" s="1"/>
    </row>
    <row r="1004">
      <c r="A1004" s="110">
        <v>46218.52027958333</v>
      </c>
      <c r="B1004" s="74" t="s">
        <v>232</v>
      </c>
      <c r="C1004" s="74" t="s">
        <v>142</v>
      </c>
      <c r="D1004" s="112" t="s">
        <v>139</v>
      </c>
      <c r="E1004" s="74" t="s">
        <v>389</v>
      </c>
      <c r="F1004" s="111" t="b">
        <v>1</v>
      </c>
      <c r="G1004" s="111" t="b">
        <v>1</v>
      </c>
      <c r="H1004" s="111" t="b">
        <v>1</v>
      </c>
      <c r="I1004" s="74" t="s">
        <v>93</v>
      </c>
      <c r="J1004" s="1"/>
      <c r="K1004" s="1"/>
      <c r="L1004" s="1"/>
    </row>
    <row r="1005">
      <c r="A1005" s="110">
        <v>46218.52302641203</v>
      </c>
      <c r="B1005" s="74" t="s">
        <v>194</v>
      </c>
      <c r="C1005" s="74" t="s">
        <v>182</v>
      </c>
      <c r="D1005" s="112" t="s">
        <v>139</v>
      </c>
      <c r="E1005" s="1"/>
      <c r="F1005" s="111" t="b">
        <v>1</v>
      </c>
      <c r="G1005" s="111" t="b">
        <v>1</v>
      </c>
      <c r="H1005" s="111" t="b">
        <v>1</v>
      </c>
      <c r="I1005" s="74" t="s">
        <v>90</v>
      </c>
      <c r="J1005" s="1"/>
      <c r="K1005" s="1"/>
      <c r="L1005" s="1"/>
    </row>
    <row r="1006">
      <c r="A1006" s="110">
        <v>46218.54824300926</v>
      </c>
      <c r="B1006" s="74" t="s">
        <v>291</v>
      </c>
      <c r="C1006" s="74" t="s">
        <v>194</v>
      </c>
      <c r="D1006" s="74" t="s">
        <v>130</v>
      </c>
      <c r="E1006" s="1"/>
      <c r="F1006" s="111" t="b">
        <v>1</v>
      </c>
      <c r="G1006" s="111" t="b">
        <v>1</v>
      </c>
      <c r="H1006" s="111" t="b">
        <v>1</v>
      </c>
      <c r="I1006" s="74" t="s">
        <v>120</v>
      </c>
      <c r="J1006" s="1"/>
      <c r="K1006" s="1"/>
      <c r="L1006" s="1"/>
    </row>
    <row r="1007">
      <c r="A1007" s="110">
        <v>46218.55688986111</v>
      </c>
      <c r="B1007" s="74" t="s">
        <v>260</v>
      </c>
      <c r="C1007" s="74" t="s">
        <v>204</v>
      </c>
      <c r="D1007" s="112" t="s">
        <v>139</v>
      </c>
      <c r="E1007" s="74" t="s">
        <v>236</v>
      </c>
      <c r="F1007" s="111" t="b">
        <v>1</v>
      </c>
      <c r="G1007" s="111" t="b">
        <v>1</v>
      </c>
      <c r="H1007" s="111" t="b">
        <v>1</v>
      </c>
      <c r="I1007" s="74" t="s">
        <v>95</v>
      </c>
      <c r="J1007" s="1"/>
      <c r="K1007" s="1"/>
      <c r="L1007" s="1"/>
    </row>
    <row r="1008">
      <c r="A1008" s="110">
        <v>46218.57603748843</v>
      </c>
      <c r="B1008" s="1" t="s">
        <v>263</v>
      </c>
      <c r="C1008" s="1" t="s">
        <v>135</v>
      </c>
      <c r="D1008" s="1" t="s">
        <v>130</v>
      </c>
      <c r="E1008" s="1"/>
      <c r="F1008" s="111" t="b">
        <v>1</v>
      </c>
      <c r="G1008" s="1"/>
      <c r="H1008" s="111" t="b">
        <v>1</v>
      </c>
      <c r="I1008" s="1"/>
      <c r="J1008" s="1"/>
      <c r="K1008" s="1"/>
      <c r="L1008" s="1"/>
    </row>
    <row r="1009">
      <c r="A1009" s="110">
        <v>46218.627942384264</v>
      </c>
      <c r="B1009" s="1" t="s">
        <v>142</v>
      </c>
      <c r="C1009" s="1" t="s">
        <v>204</v>
      </c>
      <c r="D1009" s="1" t="s">
        <v>130</v>
      </c>
      <c r="E1009" s="1" t="s">
        <v>390</v>
      </c>
      <c r="F1009" s="111" t="b">
        <v>1</v>
      </c>
      <c r="G1009" s="111" t="b">
        <v>1</v>
      </c>
      <c r="H1009" s="111" t="b">
        <v>1</v>
      </c>
      <c r="I1009" s="1" t="s">
        <v>81</v>
      </c>
      <c r="J1009" s="1"/>
      <c r="K1009" s="1"/>
      <c r="L1009" s="1"/>
    </row>
    <row r="1010">
      <c r="A1010" s="110">
        <v>46218.63647865741</v>
      </c>
      <c r="B1010" s="1" t="s">
        <v>260</v>
      </c>
      <c r="C1010" s="1" t="s">
        <v>174</v>
      </c>
      <c r="D1010" s="129" t="s">
        <v>139</v>
      </c>
      <c r="E1010" s="1" t="s">
        <v>236</v>
      </c>
      <c r="F1010" s="111" t="b">
        <v>1</v>
      </c>
      <c r="G1010" s="111" t="b">
        <v>1</v>
      </c>
      <c r="H1010" s="111" t="b">
        <v>1</v>
      </c>
      <c r="I1010" s="1" t="s">
        <v>81</v>
      </c>
      <c r="J1010" s="1"/>
      <c r="K1010" s="1"/>
      <c r="L1010" s="1"/>
    </row>
    <row r="1011">
      <c r="A1011" s="110">
        <v>46218.67482162037</v>
      </c>
      <c r="B1011" s="1" t="s">
        <v>142</v>
      </c>
      <c r="C1011" s="1" t="s">
        <v>263</v>
      </c>
      <c r="D1011" s="129" t="s">
        <v>139</v>
      </c>
      <c r="E1011" s="1" t="s">
        <v>391</v>
      </c>
      <c r="F1011" s="111" t="b">
        <v>1</v>
      </c>
      <c r="G1011" s="111" t="b">
        <v>1</v>
      </c>
      <c r="H1011" s="111" t="b">
        <v>1</v>
      </c>
      <c r="I1011" s="1" t="s">
        <v>202</v>
      </c>
      <c r="J1011" s="1"/>
      <c r="K1011" s="1"/>
      <c r="L1011" s="1"/>
    </row>
    <row r="1012">
      <c r="A1012" s="110">
        <v>46218.69334143518</v>
      </c>
      <c r="B1012" s="1" t="s">
        <v>222</v>
      </c>
      <c r="C1012" s="1" t="s">
        <v>263</v>
      </c>
      <c r="D1012" s="1" t="s">
        <v>130</v>
      </c>
      <c r="E1012" s="1"/>
      <c r="F1012" s="111" t="b">
        <v>1</v>
      </c>
      <c r="G1012" s="111" t="b">
        <v>1</v>
      </c>
      <c r="H1012" s="111" t="b">
        <v>1</v>
      </c>
      <c r="I1012" s="1" t="s">
        <v>102</v>
      </c>
      <c r="J1012" s="1"/>
      <c r="K1012" s="1"/>
      <c r="L1012" s="1"/>
    </row>
    <row r="1013">
      <c r="A1013" s="110">
        <v>46218.72018827546</v>
      </c>
      <c r="B1013" s="1" t="s">
        <v>260</v>
      </c>
      <c r="C1013" s="1" t="s">
        <v>272</v>
      </c>
      <c r="D1013" s="129" t="s">
        <v>139</v>
      </c>
      <c r="E1013" s="1" t="s">
        <v>236</v>
      </c>
      <c r="F1013" s="111" t="b">
        <v>1</v>
      </c>
      <c r="G1013" s="111" t="b">
        <v>1</v>
      </c>
      <c r="H1013" s="111" t="b">
        <v>1</v>
      </c>
      <c r="I1013" s="1" t="s">
        <v>120</v>
      </c>
      <c r="J1013" s="1"/>
      <c r="K1013" s="1"/>
      <c r="L1013" s="1"/>
    </row>
    <row r="1014">
      <c r="A1014" s="110">
        <v>46218.738456481486</v>
      </c>
      <c r="B1014" s="1" t="s">
        <v>321</v>
      </c>
      <c r="C1014" s="1" t="s">
        <v>204</v>
      </c>
      <c r="D1014" s="129" t="s">
        <v>139</v>
      </c>
      <c r="E1014" s="1"/>
      <c r="F1014" s="111" t="b">
        <v>1</v>
      </c>
      <c r="G1014" s="1"/>
      <c r="H1014" s="111" t="b">
        <v>1</v>
      </c>
      <c r="I1014" s="1"/>
      <c r="J1014" s="1"/>
      <c r="K1014" s="1"/>
      <c r="L1014" s="1"/>
    </row>
    <row r="1015">
      <c r="A1015" s="110">
        <v>46218.81136680556</v>
      </c>
      <c r="B1015" s="1" t="s">
        <v>321</v>
      </c>
      <c r="C1015" s="1" t="s">
        <v>278</v>
      </c>
      <c r="D1015" s="129" t="s">
        <v>139</v>
      </c>
      <c r="E1015" s="1"/>
      <c r="F1015" s="111" t="b">
        <v>1</v>
      </c>
      <c r="G1015" s="111" t="b">
        <v>1</v>
      </c>
      <c r="H1015" s="111" t="b">
        <v>1</v>
      </c>
      <c r="I1015" s="1" t="s">
        <v>87</v>
      </c>
      <c r="J1015" s="1"/>
      <c r="K1015" s="1"/>
      <c r="L1015" s="1"/>
    </row>
    <row r="1016">
      <c r="A1016" s="110">
        <v>46218.826713483795</v>
      </c>
      <c r="B1016" s="1" t="s">
        <v>272</v>
      </c>
      <c r="C1016" s="1" t="s">
        <v>273</v>
      </c>
      <c r="D1016" s="129" t="s">
        <v>139</v>
      </c>
      <c r="E1016" s="1"/>
      <c r="F1016" s="111" t="b">
        <v>1</v>
      </c>
      <c r="G1016" s="111" t="b">
        <v>1</v>
      </c>
      <c r="H1016" s="111" t="b">
        <v>1</v>
      </c>
      <c r="I1016" s="1" t="s">
        <v>98</v>
      </c>
      <c r="J1016" s="1"/>
      <c r="K1016" s="1"/>
      <c r="L1016" s="1"/>
    </row>
    <row r="1017">
      <c r="A1017" s="110">
        <v>46218.83324237268</v>
      </c>
      <c r="B1017" s="1" t="s">
        <v>180</v>
      </c>
      <c r="C1017" s="1" t="s">
        <v>321</v>
      </c>
      <c r="D1017" s="1" t="s">
        <v>130</v>
      </c>
      <c r="E1017" s="1" t="s">
        <v>157</v>
      </c>
      <c r="F1017" s="111" t="b">
        <v>1</v>
      </c>
      <c r="G1017" s="111" t="b">
        <v>1</v>
      </c>
      <c r="H1017" s="111" t="b">
        <v>1</v>
      </c>
      <c r="I1017" s="1" t="s">
        <v>81</v>
      </c>
      <c r="J1017" s="1"/>
      <c r="K1017" s="1"/>
      <c r="L1017" s="1"/>
    </row>
    <row r="1018">
      <c r="A1018" s="110">
        <v>46218.8706825</v>
      </c>
      <c r="B1018" s="1" t="s">
        <v>235</v>
      </c>
      <c r="C1018" s="1" t="s">
        <v>180</v>
      </c>
      <c r="D1018" s="129" t="s">
        <v>139</v>
      </c>
      <c r="E1018" s="1" t="s">
        <v>392</v>
      </c>
      <c r="F1018" s="111" t="b">
        <v>1</v>
      </c>
      <c r="G1018" s="111" t="b">
        <v>1</v>
      </c>
      <c r="H1018" s="111" t="b">
        <v>1</v>
      </c>
      <c r="I1018" s="1" t="s">
        <v>85</v>
      </c>
      <c r="J1018" s="1"/>
      <c r="K1018" s="1"/>
      <c r="L1018" s="1"/>
    </row>
    <row r="1019">
      <c r="A1019" s="110">
        <v>46218.88925304398</v>
      </c>
      <c r="B1019" s="1" t="s">
        <v>273</v>
      </c>
      <c r="C1019" s="1" t="s">
        <v>235</v>
      </c>
      <c r="D1019" s="129" t="s">
        <v>139</v>
      </c>
      <c r="E1019" s="1" t="s">
        <v>249</v>
      </c>
      <c r="F1019" s="111" t="b">
        <v>1</v>
      </c>
      <c r="G1019" s="111" t="b">
        <v>1</v>
      </c>
      <c r="H1019" s="111" t="b">
        <v>1</v>
      </c>
      <c r="I1019" s="1" t="s">
        <v>106</v>
      </c>
      <c r="J1019" s="1"/>
      <c r="K1019" s="1"/>
      <c r="L1019" s="1"/>
    </row>
    <row r="1020">
      <c r="A1020" s="110">
        <v>46218.925691620374</v>
      </c>
      <c r="B1020" s="1" t="s">
        <v>273</v>
      </c>
      <c r="C1020" s="1" t="s">
        <v>305</v>
      </c>
      <c r="D1020" s="1" t="s">
        <v>130</v>
      </c>
      <c r="E1020" s="1" t="s">
        <v>249</v>
      </c>
      <c r="F1020" s="111" t="b">
        <v>1</v>
      </c>
      <c r="G1020" s="111" t="b">
        <v>1</v>
      </c>
      <c r="H1020" s="111" t="b">
        <v>1</v>
      </c>
      <c r="I1020" s="1" t="s">
        <v>90</v>
      </c>
      <c r="J1020" s="1"/>
      <c r="K1020" s="1"/>
      <c r="L1020" s="1"/>
    </row>
    <row r="1021">
      <c r="A1021" s="110">
        <v>46218.93350505787</v>
      </c>
      <c r="B1021" s="1" t="s">
        <v>180</v>
      </c>
      <c r="C1021" s="1" t="s">
        <v>315</v>
      </c>
      <c r="D1021" s="129" t="s">
        <v>139</v>
      </c>
      <c r="E1021" s="1" t="s">
        <v>393</v>
      </c>
      <c r="F1021" s="111" t="b">
        <v>1</v>
      </c>
      <c r="G1021" s="111" t="b">
        <v>1</v>
      </c>
      <c r="H1021" s="111" t="b">
        <v>1</v>
      </c>
      <c r="I1021" s="1" t="s">
        <v>83</v>
      </c>
      <c r="J1021" s="1"/>
      <c r="K1021" s="1"/>
      <c r="L1021" s="1"/>
    </row>
    <row r="1022">
      <c r="A1022" s="110">
        <v>46218.97433428241</v>
      </c>
      <c r="B1022" s="1" t="s">
        <v>180</v>
      </c>
      <c r="C1022" s="1" t="s">
        <v>274</v>
      </c>
      <c r="D1022" s="1" t="s">
        <v>130</v>
      </c>
      <c r="E1022" s="1" t="s">
        <v>157</v>
      </c>
      <c r="F1022" s="111" t="b">
        <v>1</v>
      </c>
      <c r="G1022" s="1"/>
      <c r="H1022" s="111" t="b">
        <v>1</v>
      </c>
      <c r="I1022" s="1"/>
      <c r="J1022" s="1"/>
      <c r="K1022" s="1"/>
      <c r="L1022" s="1"/>
    </row>
    <row r="1023">
      <c r="A1023" s="110">
        <v>46218.97467216435</v>
      </c>
      <c r="B1023" s="1" t="s">
        <v>273</v>
      </c>
      <c r="C1023" s="1" t="s">
        <v>287</v>
      </c>
      <c r="D1023" s="1" t="s">
        <v>130</v>
      </c>
      <c r="E1023" s="1" t="s">
        <v>249</v>
      </c>
      <c r="F1023" s="111" t="b">
        <v>1</v>
      </c>
      <c r="G1023" s="111" t="b">
        <v>1</v>
      </c>
      <c r="H1023" s="111" t="b">
        <v>1</v>
      </c>
      <c r="I1023" s="1" t="s">
        <v>147</v>
      </c>
      <c r="J1023" s="1"/>
      <c r="K1023" s="1"/>
      <c r="L1023" s="1"/>
    </row>
    <row r="1024">
      <c r="A1024" s="110">
        <v>46218.98138648148</v>
      </c>
      <c r="B1024" s="1" t="s">
        <v>137</v>
      </c>
      <c r="C1024" s="1" t="s">
        <v>179</v>
      </c>
      <c r="D1024" s="1" t="s">
        <v>130</v>
      </c>
      <c r="E1024" s="1"/>
      <c r="F1024" s="111" t="b">
        <v>1</v>
      </c>
      <c r="G1024" s="111" t="b">
        <v>1</v>
      </c>
      <c r="H1024" s="111" t="b">
        <v>1</v>
      </c>
      <c r="I1024" s="1" t="s">
        <v>97</v>
      </c>
      <c r="J1024" s="1"/>
      <c r="K1024" s="1"/>
      <c r="L1024" s="1"/>
    </row>
    <row r="1025">
      <c r="A1025" s="110">
        <v>46218.99799270833</v>
      </c>
      <c r="B1025" s="1" t="s">
        <v>163</v>
      </c>
      <c r="C1025" s="1" t="s">
        <v>180</v>
      </c>
      <c r="D1025" s="129" t="s">
        <v>139</v>
      </c>
      <c r="E1025" s="1"/>
      <c r="F1025" s="111" t="b">
        <v>1</v>
      </c>
      <c r="G1025" s="111" t="b">
        <v>1</v>
      </c>
      <c r="H1025" s="111" t="b">
        <v>1</v>
      </c>
      <c r="I1025" s="1" t="s">
        <v>202</v>
      </c>
      <c r="J1025" s="1"/>
      <c r="K1025" s="1"/>
      <c r="L1025" s="1"/>
    </row>
    <row r="1026">
      <c r="A1026" s="110">
        <v>46219.00179622685</v>
      </c>
      <c r="B1026" s="1" t="s">
        <v>137</v>
      </c>
      <c r="C1026" s="1" t="s">
        <v>191</v>
      </c>
      <c r="D1026" s="1" t="s">
        <v>130</v>
      </c>
      <c r="E1026" s="1"/>
      <c r="F1026" s="111" t="b">
        <v>1</v>
      </c>
      <c r="G1026" s="111" t="b">
        <v>1</v>
      </c>
      <c r="H1026" s="111" t="b">
        <v>1</v>
      </c>
      <c r="I1026" s="1" t="s">
        <v>202</v>
      </c>
      <c r="J1026" s="1"/>
      <c r="K1026" s="1"/>
      <c r="L1026" s="1"/>
    </row>
    <row r="1027">
      <c r="A1027" s="110">
        <v>46219.0136</v>
      </c>
      <c r="B1027" s="1" t="s">
        <v>142</v>
      </c>
      <c r="C1027" s="1" t="s">
        <v>163</v>
      </c>
      <c r="D1027" s="129" t="s">
        <v>139</v>
      </c>
      <c r="E1027" s="1" t="s">
        <v>268</v>
      </c>
      <c r="F1027" s="111" t="b">
        <v>1</v>
      </c>
      <c r="G1027" s="111" t="b">
        <v>1</v>
      </c>
      <c r="H1027" s="111" t="b">
        <v>1</v>
      </c>
      <c r="I1027" s="1" t="s">
        <v>79</v>
      </c>
      <c r="J1027" s="1"/>
      <c r="K1027" s="1"/>
      <c r="L1027" s="1"/>
    </row>
    <row r="1028">
      <c r="A1028" s="110">
        <v>46219.06945520833</v>
      </c>
      <c r="B1028" s="1" t="s">
        <v>285</v>
      </c>
      <c r="C1028" s="1" t="s">
        <v>190</v>
      </c>
      <c r="D1028" s="1" t="s">
        <v>130</v>
      </c>
      <c r="E1028" s="1"/>
      <c r="F1028" s="111" t="b">
        <v>1</v>
      </c>
      <c r="G1028" s="111" t="b">
        <v>1</v>
      </c>
      <c r="H1028" s="111" t="b">
        <v>1</v>
      </c>
      <c r="I1028" s="1" t="s">
        <v>98</v>
      </c>
      <c r="J1028" s="1"/>
      <c r="K1028" s="1"/>
      <c r="L1028" s="1"/>
    </row>
    <row r="1029">
      <c r="A1029" s="110">
        <v>46219.278518391206</v>
      </c>
      <c r="B1029" s="1" t="s">
        <v>138</v>
      </c>
      <c r="C1029" s="1" t="s">
        <v>298</v>
      </c>
      <c r="D1029" s="1" t="s">
        <v>130</v>
      </c>
      <c r="E1029" s="1"/>
      <c r="F1029" s="111" t="b">
        <v>1</v>
      </c>
      <c r="G1029" s="111" t="b">
        <v>1</v>
      </c>
      <c r="H1029" s="111" t="b">
        <v>1</v>
      </c>
      <c r="I1029" s="1" t="s">
        <v>81</v>
      </c>
      <c r="J1029" s="1"/>
      <c r="K1029" s="1"/>
      <c r="L1029" s="1"/>
    </row>
    <row r="1030">
      <c r="A1030" s="110">
        <v>46219.409119097225</v>
      </c>
      <c r="B1030" s="1" t="s">
        <v>94</v>
      </c>
      <c r="C1030" s="1" t="s">
        <v>149</v>
      </c>
      <c r="D1030" s="129" t="s">
        <v>139</v>
      </c>
      <c r="E1030" s="1"/>
      <c r="F1030" s="111" t="b">
        <v>1</v>
      </c>
      <c r="G1030" s="111" t="b">
        <v>1</v>
      </c>
      <c r="H1030" s="111" t="b">
        <v>1</v>
      </c>
      <c r="I1030" s="1" t="s">
        <v>106</v>
      </c>
      <c r="J1030" s="1"/>
      <c r="K1030" s="1"/>
      <c r="L1030" s="1"/>
    </row>
    <row r="1031">
      <c r="A1031" s="110">
        <v>46219.52595136574</v>
      </c>
      <c r="B1031" s="1" t="s">
        <v>163</v>
      </c>
      <c r="C1031" s="1" t="s">
        <v>298</v>
      </c>
      <c r="D1031" s="1" t="s">
        <v>130</v>
      </c>
      <c r="E1031" s="1"/>
      <c r="F1031" s="111" t="b">
        <v>1</v>
      </c>
      <c r="G1031" s="111" t="b">
        <v>1</v>
      </c>
      <c r="H1031" s="111" t="b">
        <v>1</v>
      </c>
      <c r="I1031" s="1" t="s">
        <v>84</v>
      </c>
      <c r="J1031" s="1"/>
      <c r="K1031" s="1"/>
      <c r="L1031" s="1"/>
    </row>
    <row r="1032">
      <c r="A1032" s="110">
        <v>46219.54128292824</v>
      </c>
      <c r="B1032" s="1" t="s">
        <v>293</v>
      </c>
      <c r="C1032" s="1" t="s">
        <v>178</v>
      </c>
      <c r="D1032" s="1" t="s">
        <v>130</v>
      </c>
      <c r="E1032" s="1" t="s">
        <v>157</v>
      </c>
      <c r="F1032" s="111" t="b">
        <v>1</v>
      </c>
      <c r="G1032" s="111" t="b">
        <v>1</v>
      </c>
      <c r="H1032" s="111" t="b">
        <v>1</v>
      </c>
      <c r="I1032" s="1" t="s">
        <v>85</v>
      </c>
      <c r="J1032" s="1"/>
      <c r="K1032" s="1"/>
      <c r="L1032" s="1"/>
    </row>
    <row r="1033">
      <c r="A1033" s="110">
        <v>46219.56387336805</v>
      </c>
      <c r="B1033" s="1" t="s">
        <v>290</v>
      </c>
      <c r="C1033" s="1" t="s">
        <v>198</v>
      </c>
      <c r="D1033" s="129" t="s">
        <v>139</v>
      </c>
      <c r="E1033" s="1"/>
      <c r="F1033" s="111" t="b">
        <v>1</v>
      </c>
      <c r="G1033" s="1"/>
      <c r="H1033" s="111" t="b">
        <v>1</v>
      </c>
      <c r="I1033" s="1"/>
      <c r="J1033" s="1"/>
      <c r="K1033" s="1"/>
      <c r="L1033" s="1"/>
    </row>
    <row r="1034">
      <c r="A1034" s="110">
        <v>46219.61105666667</v>
      </c>
      <c r="B1034" s="1" t="s">
        <v>256</v>
      </c>
      <c r="C1034" s="1" t="s">
        <v>115</v>
      </c>
      <c r="D1034" s="129" t="s">
        <v>139</v>
      </c>
      <c r="E1034" s="1" t="s">
        <v>192</v>
      </c>
      <c r="F1034" s="111" t="b">
        <v>1</v>
      </c>
      <c r="G1034" s="1"/>
      <c r="H1034" s="111" t="b">
        <v>1</v>
      </c>
      <c r="I1034" s="1"/>
      <c r="J1034" s="1"/>
      <c r="K1034" s="1"/>
      <c r="L1034" s="1"/>
    </row>
    <row r="1035">
      <c r="A1035" s="110">
        <v>46219.63494270833</v>
      </c>
      <c r="B1035" s="1" t="s">
        <v>256</v>
      </c>
      <c r="C1035" s="1" t="s">
        <v>138</v>
      </c>
      <c r="D1035" s="129" t="s">
        <v>139</v>
      </c>
      <c r="E1035" s="1" t="s">
        <v>394</v>
      </c>
      <c r="F1035" s="111" t="b">
        <v>1</v>
      </c>
      <c r="G1035" s="111" t="b">
        <v>1</v>
      </c>
      <c r="H1035" s="111" t="b">
        <v>1</v>
      </c>
      <c r="I1035" s="1" t="s">
        <v>98</v>
      </c>
      <c r="J1035" s="1"/>
      <c r="K1035" s="1"/>
      <c r="L1035" s="1"/>
    </row>
    <row r="1036">
      <c r="A1036" s="110">
        <v>46219.635881863425</v>
      </c>
      <c r="B1036" s="1" t="s">
        <v>183</v>
      </c>
      <c r="C1036" s="1" t="s">
        <v>275</v>
      </c>
      <c r="D1036" s="129" t="s">
        <v>139</v>
      </c>
      <c r="E1036" s="1" t="s">
        <v>395</v>
      </c>
      <c r="F1036" s="111" t="b">
        <v>1</v>
      </c>
      <c r="G1036" s="111" t="b">
        <v>1</v>
      </c>
      <c r="H1036" s="111" t="b">
        <v>1</v>
      </c>
      <c r="I1036" s="1" t="s">
        <v>98</v>
      </c>
      <c r="J1036" s="1"/>
      <c r="K1036" s="1"/>
      <c r="L1036" s="1"/>
    </row>
    <row r="1037">
      <c r="A1037" s="110">
        <v>46219.66953039352</v>
      </c>
      <c r="B1037" s="1" t="s">
        <v>256</v>
      </c>
      <c r="C1037" s="1" t="s">
        <v>319</v>
      </c>
      <c r="D1037" s="1" t="s">
        <v>130</v>
      </c>
      <c r="E1037" s="1" t="s">
        <v>192</v>
      </c>
      <c r="F1037" s="111" t="b">
        <v>1</v>
      </c>
      <c r="G1037" s="111" t="b">
        <v>1</v>
      </c>
      <c r="H1037" s="111" t="b">
        <v>1</v>
      </c>
      <c r="I1037" s="1" t="s">
        <v>87</v>
      </c>
      <c r="J1037" s="1"/>
      <c r="K1037" s="1"/>
      <c r="L1037" s="1"/>
    </row>
    <row r="1038">
      <c r="A1038" s="110">
        <v>46219.67640967593</v>
      </c>
      <c r="B1038" s="1" t="s">
        <v>149</v>
      </c>
      <c r="C1038" s="1" t="s">
        <v>313</v>
      </c>
      <c r="D1038" s="1" t="s">
        <v>130</v>
      </c>
      <c r="E1038" s="1"/>
      <c r="F1038" s="111" t="b">
        <v>1</v>
      </c>
      <c r="G1038" s="111" t="b">
        <v>1</v>
      </c>
      <c r="H1038" s="111" t="b">
        <v>1</v>
      </c>
      <c r="I1038" s="1" t="s">
        <v>106</v>
      </c>
      <c r="J1038" s="1"/>
      <c r="K1038" s="1"/>
      <c r="L1038" s="1"/>
    </row>
    <row r="1039">
      <c r="A1039" s="110">
        <v>46219.68695284722</v>
      </c>
      <c r="B1039" s="1" t="s">
        <v>245</v>
      </c>
      <c r="C1039" s="1" t="s">
        <v>275</v>
      </c>
      <c r="D1039" s="129" t="s">
        <v>139</v>
      </c>
      <c r="E1039" s="1"/>
      <c r="F1039" s="111" t="b">
        <v>1</v>
      </c>
      <c r="G1039" s="111" t="b">
        <v>1</v>
      </c>
      <c r="H1039" s="111" t="b">
        <v>1</v>
      </c>
      <c r="I1039" s="1" t="s">
        <v>93</v>
      </c>
      <c r="J1039" s="1"/>
      <c r="K1039" s="1"/>
      <c r="L1039" s="1"/>
    </row>
    <row r="1040">
      <c r="A1040" s="110">
        <v>46219.69890074074</v>
      </c>
      <c r="B1040" s="1" t="s">
        <v>321</v>
      </c>
      <c r="C1040" s="1" t="s">
        <v>156</v>
      </c>
      <c r="D1040" s="129" t="s">
        <v>139</v>
      </c>
      <c r="E1040" s="1"/>
      <c r="F1040" s="111" t="b">
        <v>1</v>
      </c>
      <c r="G1040" s="111" t="b">
        <v>1</v>
      </c>
      <c r="H1040" s="111" t="b">
        <v>1</v>
      </c>
      <c r="I1040" s="1" t="s">
        <v>95</v>
      </c>
      <c r="J1040" s="1"/>
      <c r="K1040" s="1"/>
      <c r="L1040" s="1"/>
    </row>
    <row r="1041">
      <c r="A1041" s="110">
        <v>46219.70002290509</v>
      </c>
      <c r="B1041" s="1" t="s">
        <v>161</v>
      </c>
      <c r="C1041" s="1" t="s">
        <v>256</v>
      </c>
      <c r="D1041" s="1" t="s">
        <v>130</v>
      </c>
      <c r="E1041" s="1"/>
      <c r="F1041" s="111" t="b">
        <v>1</v>
      </c>
      <c r="G1041" s="111" t="b">
        <v>1</v>
      </c>
      <c r="H1041" s="111" t="b">
        <v>1</v>
      </c>
      <c r="I1041" s="1" t="s">
        <v>85</v>
      </c>
      <c r="J1041" s="1"/>
      <c r="K1041" s="1"/>
      <c r="L1041" s="1"/>
    </row>
    <row r="1042">
      <c r="A1042" s="110">
        <v>46219.710854537036</v>
      </c>
      <c r="B1042" s="1" t="s">
        <v>260</v>
      </c>
      <c r="C1042" s="1" t="s">
        <v>288</v>
      </c>
      <c r="D1042" s="129" t="s">
        <v>139</v>
      </c>
      <c r="E1042" s="1" t="s">
        <v>236</v>
      </c>
      <c r="F1042" s="111" t="b">
        <v>1</v>
      </c>
      <c r="G1042" s="111" t="b">
        <v>1</v>
      </c>
      <c r="H1042" s="111" t="b">
        <v>1</v>
      </c>
      <c r="I1042" s="1" t="s">
        <v>99</v>
      </c>
      <c r="J1042" s="1"/>
      <c r="K1042" s="1"/>
      <c r="L1042" s="1"/>
    </row>
    <row r="1043">
      <c r="A1043" s="110">
        <v>46219.72815815972</v>
      </c>
      <c r="B1043" s="1" t="s">
        <v>288</v>
      </c>
      <c r="C1043" s="1" t="s">
        <v>321</v>
      </c>
      <c r="D1043" s="1" t="s">
        <v>130</v>
      </c>
      <c r="E1043" s="1" t="s">
        <v>167</v>
      </c>
      <c r="F1043" s="111" t="b">
        <v>1</v>
      </c>
      <c r="G1043" s="111" t="b">
        <v>1</v>
      </c>
      <c r="H1043" s="111" t="b">
        <v>1</v>
      </c>
      <c r="I1043" s="1" t="s">
        <v>147</v>
      </c>
      <c r="J1043" s="1"/>
      <c r="K1043" s="1"/>
      <c r="L1043" s="1"/>
    </row>
    <row r="1044">
      <c r="A1044" s="110">
        <v>46219.76545583333</v>
      </c>
      <c r="B1044" s="1" t="s">
        <v>321</v>
      </c>
      <c r="C1044" s="1" t="s">
        <v>152</v>
      </c>
      <c r="D1044" s="129" t="s">
        <v>139</v>
      </c>
      <c r="E1044" s="1"/>
      <c r="F1044" s="111" t="b">
        <v>1</v>
      </c>
      <c r="G1044" s="111" t="b">
        <v>1</v>
      </c>
      <c r="H1044" s="111" t="b">
        <v>1</v>
      </c>
      <c r="I1044" s="1" t="s">
        <v>81</v>
      </c>
      <c r="J1044" s="1"/>
      <c r="K1044" s="1"/>
      <c r="L1044" s="1"/>
    </row>
    <row r="1045">
      <c r="A1045" s="110">
        <v>46219.778795543985</v>
      </c>
      <c r="B1045" s="1" t="s">
        <v>229</v>
      </c>
      <c r="C1045" s="1" t="s">
        <v>117</v>
      </c>
      <c r="D1045" s="1" t="s">
        <v>130</v>
      </c>
      <c r="E1045" s="1" t="s">
        <v>157</v>
      </c>
      <c r="F1045" s="111" t="b">
        <v>1</v>
      </c>
      <c r="G1045" s="111" t="b">
        <v>1</v>
      </c>
      <c r="H1045" s="111" t="b">
        <v>1</v>
      </c>
      <c r="I1045" s="1" t="s">
        <v>81</v>
      </c>
      <c r="J1045" s="1"/>
      <c r="K1045" s="1"/>
      <c r="L1045" s="1"/>
    </row>
    <row r="1046">
      <c r="A1046" s="110">
        <v>46219.78091998842</v>
      </c>
      <c r="B1046" s="1" t="s">
        <v>217</v>
      </c>
      <c r="C1046" s="1" t="s">
        <v>208</v>
      </c>
      <c r="D1046" s="129" t="s">
        <v>139</v>
      </c>
      <c r="E1046" s="1"/>
      <c r="F1046" s="111" t="b">
        <v>1</v>
      </c>
      <c r="G1046" s="111" t="b">
        <v>1</v>
      </c>
      <c r="H1046" s="111" t="b">
        <v>1</v>
      </c>
      <c r="I1046" s="1" t="s">
        <v>93</v>
      </c>
      <c r="J1046" s="1"/>
      <c r="K1046" s="1"/>
      <c r="L1046" s="1"/>
    </row>
    <row r="1047">
      <c r="A1047" s="110">
        <v>46219.80336340278</v>
      </c>
      <c r="B1047" s="1" t="s">
        <v>133</v>
      </c>
      <c r="C1047" s="1" t="s">
        <v>117</v>
      </c>
      <c r="D1047" s="129" t="s">
        <v>139</v>
      </c>
      <c r="E1047" s="1"/>
      <c r="F1047" s="111" t="b">
        <v>1</v>
      </c>
      <c r="G1047" s="111" t="b">
        <v>1</v>
      </c>
      <c r="H1047" s="111" t="b">
        <v>1</v>
      </c>
      <c r="I1047" s="1" t="s">
        <v>85</v>
      </c>
      <c r="J1047" s="1"/>
      <c r="K1047" s="1"/>
      <c r="L1047" s="1"/>
    </row>
    <row r="1048">
      <c r="A1048" s="110">
        <v>46219.80731988426</v>
      </c>
      <c r="B1048" s="1" t="s">
        <v>148</v>
      </c>
      <c r="C1048" s="1" t="s">
        <v>229</v>
      </c>
      <c r="D1048" s="129" t="s">
        <v>139</v>
      </c>
      <c r="E1048" s="1"/>
      <c r="F1048" s="111" t="b">
        <v>1</v>
      </c>
      <c r="G1048" s="111" t="b">
        <v>1</v>
      </c>
      <c r="H1048" s="111" t="b">
        <v>1</v>
      </c>
      <c r="I1048" s="1" t="s">
        <v>95</v>
      </c>
      <c r="J1048" s="1"/>
      <c r="K1048" s="1"/>
      <c r="L1048" s="1"/>
    </row>
    <row r="1049">
      <c r="A1049" s="110">
        <v>46219.82116704861</v>
      </c>
      <c r="B1049" s="1" t="s">
        <v>315</v>
      </c>
      <c r="C1049" s="1" t="s">
        <v>148</v>
      </c>
      <c r="D1049" s="1" t="s">
        <v>130</v>
      </c>
      <c r="E1049" s="1"/>
      <c r="F1049" s="111" t="b">
        <v>1</v>
      </c>
      <c r="G1049" s="111" t="b">
        <v>1</v>
      </c>
      <c r="H1049" s="111" t="b">
        <v>1</v>
      </c>
      <c r="I1049" s="1" t="s">
        <v>102</v>
      </c>
      <c r="J1049" s="1"/>
      <c r="K1049" s="1"/>
      <c r="L1049" s="1"/>
    </row>
    <row r="1050">
      <c r="A1050" s="110">
        <v>46219.82522067129</v>
      </c>
      <c r="B1050" s="1" t="s">
        <v>161</v>
      </c>
      <c r="C1050" s="1" t="s">
        <v>117</v>
      </c>
      <c r="D1050" s="129" t="s">
        <v>139</v>
      </c>
      <c r="E1050" s="1"/>
      <c r="F1050" s="111" t="b">
        <v>1</v>
      </c>
      <c r="G1050" s="111" t="b">
        <v>1</v>
      </c>
      <c r="H1050" s="111" t="b">
        <v>1</v>
      </c>
      <c r="I1050" s="1" t="s">
        <v>83</v>
      </c>
      <c r="J1050" s="1"/>
      <c r="K1050" s="1"/>
      <c r="L1050" s="1"/>
    </row>
    <row r="1051">
      <c r="A1051" s="110">
        <v>46219.82582922454</v>
      </c>
      <c r="B1051" s="1" t="s">
        <v>320</v>
      </c>
      <c r="C1051" s="1" t="s">
        <v>186</v>
      </c>
      <c r="D1051" s="1" t="s">
        <v>130</v>
      </c>
      <c r="E1051" s="1"/>
      <c r="F1051" s="111" t="b">
        <v>1</v>
      </c>
      <c r="G1051" s="111" t="b">
        <v>1</v>
      </c>
      <c r="H1051" s="111" t="b">
        <v>1</v>
      </c>
      <c r="I1051" s="1" t="s">
        <v>90</v>
      </c>
      <c r="J1051" s="1"/>
      <c r="K1051" s="1"/>
      <c r="L1051" s="1"/>
    </row>
    <row r="1052">
      <c r="A1052" s="110">
        <v>46219.851399039355</v>
      </c>
      <c r="B1052" s="1" t="s">
        <v>315</v>
      </c>
      <c r="C1052" s="1" t="s">
        <v>229</v>
      </c>
      <c r="D1052" s="129" t="s">
        <v>139</v>
      </c>
      <c r="E1052" s="1"/>
      <c r="F1052" s="111" t="b">
        <v>1</v>
      </c>
      <c r="G1052" s="111" t="b">
        <v>1</v>
      </c>
      <c r="H1052" s="111" t="b">
        <v>1</v>
      </c>
      <c r="I1052" s="1" t="s">
        <v>81</v>
      </c>
      <c r="J1052" s="1"/>
      <c r="K1052" s="1"/>
      <c r="L1052" s="1"/>
    </row>
    <row r="1053">
      <c r="A1053" s="110">
        <v>46219.85628436343</v>
      </c>
      <c r="B1053" s="1" t="s">
        <v>286</v>
      </c>
      <c r="C1053" s="1" t="s">
        <v>320</v>
      </c>
      <c r="D1053" s="1" t="s">
        <v>130</v>
      </c>
      <c r="E1053" s="1" t="s">
        <v>341</v>
      </c>
      <c r="F1053" s="111" t="b">
        <v>1</v>
      </c>
      <c r="G1053" s="111" t="b">
        <v>1</v>
      </c>
      <c r="H1053" s="111" t="b">
        <v>1</v>
      </c>
      <c r="I1053" s="1" t="s">
        <v>99</v>
      </c>
      <c r="J1053" s="1"/>
      <c r="K1053" s="1"/>
      <c r="L1053" s="1"/>
    </row>
    <row r="1054">
      <c r="A1054" s="110">
        <v>46219.87503084491</v>
      </c>
      <c r="B1054" s="1" t="s">
        <v>260</v>
      </c>
      <c r="C1054" s="1" t="s">
        <v>286</v>
      </c>
      <c r="D1054" s="129" t="s">
        <v>139</v>
      </c>
      <c r="E1054" s="1" t="s">
        <v>236</v>
      </c>
      <c r="F1054" s="111" t="b">
        <v>1</v>
      </c>
      <c r="G1054" s="111" t="b">
        <v>1</v>
      </c>
      <c r="H1054" s="111" t="b">
        <v>1</v>
      </c>
      <c r="I1054" s="1" t="s">
        <v>98</v>
      </c>
      <c r="J1054" s="1"/>
      <c r="K1054" s="1"/>
      <c r="L1054" s="1"/>
    </row>
    <row r="1055">
      <c r="A1055" s="110">
        <v>46219.88016585648</v>
      </c>
      <c r="B1055" s="1" t="s">
        <v>267</v>
      </c>
      <c r="C1055" s="1" t="s">
        <v>186</v>
      </c>
      <c r="D1055" s="1" t="s">
        <v>130</v>
      </c>
      <c r="E1055" s="1" t="s">
        <v>268</v>
      </c>
      <c r="F1055" s="111" t="b">
        <v>1</v>
      </c>
      <c r="G1055" s="111" t="b">
        <v>1</v>
      </c>
      <c r="H1055" s="111" t="b">
        <v>1</v>
      </c>
      <c r="I1055" s="1" t="s">
        <v>97</v>
      </c>
      <c r="J1055" s="1"/>
      <c r="K1055" s="1"/>
      <c r="L1055" s="1"/>
    </row>
    <row r="1056">
      <c r="A1056" s="110">
        <v>46219.89908145834</v>
      </c>
      <c r="B1056" s="1" t="s">
        <v>278</v>
      </c>
      <c r="C1056" s="1" t="s">
        <v>250</v>
      </c>
      <c r="D1056" s="129" t="s">
        <v>139</v>
      </c>
      <c r="E1056" s="1" t="s">
        <v>167</v>
      </c>
      <c r="F1056" s="111" t="b">
        <v>1</v>
      </c>
      <c r="G1056" s="111" t="b">
        <v>1</v>
      </c>
      <c r="H1056" s="111" t="b">
        <v>1</v>
      </c>
      <c r="I1056" s="1" t="s">
        <v>90</v>
      </c>
      <c r="J1056" s="1"/>
      <c r="K1056" s="1"/>
      <c r="L1056" s="1"/>
    </row>
    <row r="1057">
      <c r="A1057" s="110">
        <v>46219.90156263889</v>
      </c>
      <c r="B1057" s="1" t="s">
        <v>267</v>
      </c>
      <c r="C1057" s="1" t="s">
        <v>214</v>
      </c>
      <c r="D1057" s="1" t="s">
        <v>130</v>
      </c>
      <c r="E1057" s="1" t="s">
        <v>268</v>
      </c>
      <c r="F1057" s="111" t="b">
        <v>1</v>
      </c>
      <c r="G1057" s="111" t="b">
        <v>1</v>
      </c>
      <c r="H1057" s="111" t="b">
        <v>1</v>
      </c>
      <c r="I1057" s="1" t="s">
        <v>87</v>
      </c>
      <c r="J1057" s="1"/>
      <c r="K1057" s="1"/>
      <c r="L1057" s="1"/>
    </row>
    <row r="1058">
      <c r="A1058" s="110">
        <v>46219.90204563657</v>
      </c>
      <c r="B1058" s="1" t="s">
        <v>233</v>
      </c>
      <c r="C1058" s="1" t="s">
        <v>245</v>
      </c>
      <c r="D1058" s="1" t="s">
        <v>130</v>
      </c>
      <c r="E1058" s="1"/>
      <c r="F1058" s="111" t="b">
        <v>1</v>
      </c>
      <c r="G1058" s="111" t="b">
        <v>1</v>
      </c>
      <c r="H1058" s="111" t="b">
        <v>1</v>
      </c>
      <c r="I1058" s="1" t="s">
        <v>79</v>
      </c>
      <c r="J1058" s="1"/>
      <c r="K1058" s="1"/>
      <c r="L1058" s="1"/>
    </row>
    <row r="1059">
      <c r="A1059" s="110">
        <v>46219.913571111116</v>
      </c>
      <c r="B1059" s="1" t="s">
        <v>161</v>
      </c>
      <c r="C1059" s="1" t="s">
        <v>286</v>
      </c>
      <c r="D1059" s="1" t="s">
        <v>130</v>
      </c>
      <c r="E1059" s="1"/>
      <c r="F1059" s="111" t="b">
        <v>1</v>
      </c>
      <c r="G1059" s="111" t="b">
        <v>1</v>
      </c>
      <c r="H1059" s="111" t="b">
        <v>1</v>
      </c>
      <c r="I1059" s="1" t="s">
        <v>147</v>
      </c>
      <c r="J1059" s="1"/>
      <c r="K1059" s="1"/>
      <c r="L1059" s="1"/>
    </row>
    <row r="1060">
      <c r="A1060" s="110">
        <v>46219.92345365741</v>
      </c>
      <c r="B1060" s="1" t="s">
        <v>298</v>
      </c>
      <c r="C1060" s="1" t="s">
        <v>250</v>
      </c>
      <c r="D1060" s="1" t="s">
        <v>130</v>
      </c>
      <c r="E1060" s="1" t="s">
        <v>165</v>
      </c>
      <c r="F1060" s="111" t="b">
        <v>1</v>
      </c>
      <c r="G1060" s="111" t="b">
        <v>1</v>
      </c>
      <c r="H1060" s="111" t="b">
        <v>1</v>
      </c>
      <c r="I1060" s="1" t="s">
        <v>147</v>
      </c>
      <c r="J1060" s="1"/>
      <c r="K1060" s="1"/>
      <c r="L1060" s="1"/>
    </row>
    <row r="1061">
      <c r="A1061" s="110">
        <v>46219.928232025464</v>
      </c>
      <c r="B1061" s="1" t="s">
        <v>315</v>
      </c>
      <c r="C1061" s="1" t="s">
        <v>91</v>
      </c>
      <c r="D1061" s="1" t="s">
        <v>130</v>
      </c>
      <c r="E1061" s="1"/>
      <c r="F1061" s="111" t="b">
        <v>1</v>
      </c>
      <c r="G1061" s="111" t="b">
        <v>1</v>
      </c>
      <c r="H1061" s="111" t="b">
        <v>1</v>
      </c>
      <c r="I1061" s="1" t="s">
        <v>87</v>
      </c>
      <c r="J1061" s="1"/>
      <c r="K1061" s="1"/>
      <c r="L1061" s="1"/>
    </row>
    <row r="1062">
      <c r="A1062" s="110">
        <v>46219.940175613425</v>
      </c>
      <c r="B1062" s="1" t="s">
        <v>315</v>
      </c>
      <c r="C1062" s="1" t="s">
        <v>250</v>
      </c>
      <c r="D1062" s="1" t="s">
        <v>130</v>
      </c>
      <c r="E1062" s="1"/>
      <c r="F1062" s="111" t="b">
        <v>1</v>
      </c>
      <c r="G1062" s="111" t="b">
        <v>1</v>
      </c>
      <c r="H1062" s="1"/>
      <c r="I1062" s="1" t="s">
        <v>97</v>
      </c>
      <c r="J1062" s="1"/>
      <c r="K1062" s="1"/>
      <c r="L1062" s="1"/>
    </row>
    <row r="1063">
      <c r="A1063" s="110">
        <v>46219.94398834491</v>
      </c>
      <c r="B1063" s="1" t="s">
        <v>287</v>
      </c>
      <c r="C1063" s="1" t="s">
        <v>214</v>
      </c>
      <c r="D1063" s="129" t="s">
        <v>139</v>
      </c>
      <c r="E1063" s="1"/>
      <c r="F1063" s="111" t="b">
        <v>1</v>
      </c>
      <c r="G1063" s="1"/>
      <c r="H1063" s="111" t="b">
        <v>1</v>
      </c>
      <c r="I1063" s="1"/>
      <c r="J1063" s="1"/>
      <c r="K1063" s="1"/>
      <c r="L1063" s="1"/>
    </row>
    <row r="1064">
      <c r="A1064" s="110">
        <v>46219.951381990744</v>
      </c>
      <c r="B1064" s="1" t="s">
        <v>286</v>
      </c>
      <c r="C1064" s="1" t="s">
        <v>298</v>
      </c>
      <c r="D1064" s="129" t="s">
        <v>139</v>
      </c>
      <c r="E1064" s="1"/>
      <c r="F1064" s="111" t="b">
        <v>1</v>
      </c>
      <c r="G1064" s="111" t="b">
        <v>1</v>
      </c>
      <c r="H1064" s="111" t="b">
        <v>1</v>
      </c>
      <c r="I1064" s="1" t="s">
        <v>87</v>
      </c>
      <c r="J1064" s="1"/>
      <c r="K1064" s="1"/>
      <c r="L1064" s="1"/>
    </row>
    <row r="1065">
      <c r="A1065" s="110">
        <v>46219.96399923611</v>
      </c>
      <c r="B1065" s="1" t="s">
        <v>278</v>
      </c>
      <c r="C1065" s="1" t="s">
        <v>179</v>
      </c>
      <c r="D1065" s="1" t="s">
        <v>130</v>
      </c>
      <c r="E1065" s="1" t="s">
        <v>396</v>
      </c>
      <c r="F1065" s="111" t="b">
        <v>1</v>
      </c>
      <c r="G1065" s="111" t="b">
        <v>1</v>
      </c>
      <c r="H1065" s="111" t="b">
        <v>1</v>
      </c>
      <c r="I1065" s="1" t="s">
        <v>84</v>
      </c>
      <c r="J1065" s="1"/>
      <c r="K1065" s="1"/>
      <c r="L1065" s="1"/>
    </row>
    <row r="1066">
      <c r="A1066" s="110">
        <v>46219.96535115741</v>
      </c>
      <c r="B1066" s="1" t="s">
        <v>171</v>
      </c>
      <c r="C1066" s="1" t="s">
        <v>137</v>
      </c>
      <c r="D1066" s="129" t="s">
        <v>139</v>
      </c>
      <c r="E1066" s="1" t="s">
        <v>268</v>
      </c>
      <c r="F1066" s="111" t="b">
        <v>1</v>
      </c>
      <c r="G1066" s="111" t="b">
        <v>1</v>
      </c>
      <c r="H1066" s="111" t="b">
        <v>1</v>
      </c>
      <c r="I1066" s="1" t="s">
        <v>81</v>
      </c>
      <c r="J1066" s="1"/>
      <c r="K1066" s="1"/>
      <c r="L1066" s="1"/>
    </row>
    <row r="1067">
      <c r="A1067" s="110">
        <v>46219.97746616898</v>
      </c>
      <c r="B1067" s="1" t="s">
        <v>279</v>
      </c>
      <c r="C1067" s="1" t="s">
        <v>217</v>
      </c>
      <c r="D1067" s="1" t="s">
        <v>130</v>
      </c>
      <c r="E1067" s="1" t="s">
        <v>167</v>
      </c>
      <c r="F1067" s="111" t="b">
        <v>1</v>
      </c>
      <c r="G1067" s="111" t="b">
        <v>1</v>
      </c>
      <c r="H1067" s="111" t="b">
        <v>1</v>
      </c>
      <c r="I1067" s="1" t="s">
        <v>147</v>
      </c>
      <c r="J1067" s="1"/>
      <c r="K1067" s="1"/>
      <c r="L1067" s="1"/>
    </row>
    <row r="1068">
      <c r="A1068" s="110">
        <v>46219.98107528935</v>
      </c>
      <c r="B1068" s="1" t="s">
        <v>91</v>
      </c>
      <c r="C1068" s="1" t="s">
        <v>286</v>
      </c>
      <c r="D1068" s="129" t="s">
        <v>139</v>
      </c>
      <c r="E1068" s="1"/>
      <c r="F1068" s="111" t="b">
        <v>1</v>
      </c>
      <c r="G1068" s="111" t="b">
        <v>1</v>
      </c>
      <c r="H1068" s="111" t="b">
        <v>1</v>
      </c>
      <c r="I1068" s="1" t="s">
        <v>90</v>
      </c>
      <c r="J1068" s="1"/>
      <c r="K1068" s="1"/>
      <c r="L1068" s="1"/>
    </row>
    <row r="1069">
      <c r="A1069" s="110">
        <v>46220.00466141204</v>
      </c>
      <c r="B1069" s="1" t="s">
        <v>91</v>
      </c>
      <c r="C1069" s="1" t="s">
        <v>314</v>
      </c>
      <c r="D1069" s="129" t="s">
        <v>139</v>
      </c>
      <c r="E1069" s="1"/>
      <c r="F1069" s="111" t="b">
        <v>1</v>
      </c>
      <c r="G1069" s="111" t="b">
        <v>1</v>
      </c>
      <c r="H1069" s="111" t="b">
        <v>1</v>
      </c>
      <c r="I1069" s="1" t="s">
        <v>79</v>
      </c>
      <c r="J1069" s="1"/>
      <c r="K1069" s="1"/>
      <c r="L1069" s="1"/>
    </row>
    <row r="1070">
      <c r="A1070" s="110">
        <v>46220.030679710646</v>
      </c>
      <c r="B1070" s="1" t="s">
        <v>287</v>
      </c>
      <c r="C1070" s="1" t="s">
        <v>304</v>
      </c>
      <c r="D1070" s="1" t="s">
        <v>130</v>
      </c>
      <c r="E1070" s="1"/>
      <c r="F1070" s="111" t="b">
        <v>1</v>
      </c>
      <c r="G1070" s="111" t="b">
        <v>1</v>
      </c>
      <c r="H1070" s="111" t="b">
        <v>1</v>
      </c>
      <c r="I1070" s="1" t="s">
        <v>83</v>
      </c>
      <c r="J1070" s="1"/>
      <c r="K1070" s="1"/>
      <c r="L1070" s="1"/>
    </row>
    <row r="1071">
      <c r="A1071" s="110">
        <v>46220.03275092592</v>
      </c>
      <c r="B1071" s="1" t="s">
        <v>217</v>
      </c>
      <c r="C1071" s="1" t="s">
        <v>314</v>
      </c>
      <c r="D1071" s="129" t="s">
        <v>139</v>
      </c>
      <c r="E1071" s="1"/>
      <c r="F1071" s="111" t="b">
        <v>1</v>
      </c>
      <c r="G1071" s="111" t="b">
        <v>1</v>
      </c>
      <c r="H1071" s="111" t="b">
        <v>1</v>
      </c>
      <c r="I1071" s="1" t="s">
        <v>97</v>
      </c>
      <c r="J1071" s="1"/>
      <c r="K1071" s="1"/>
      <c r="L1071" s="1"/>
    </row>
    <row r="1072">
      <c r="A1072" s="110">
        <v>46220.06952856481</v>
      </c>
      <c r="B1072" s="1" t="s">
        <v>285</v>
      </c>
      <c r="C1072" s="1" t="s">
        <v>314</v>
      </c>
      <c r="D1072" s="1" t="s">
        <v>130</v>
      </c>
      <c r="E1072" s="1"/>
      <c r="F1072" s="111" t="b">
        <v>1</v>
      </c>
      <c r="G1072" s="111" t="b">
        <v>1</v>
      </c>
      <c r="H1072" s="111" t="b">
        <v>1</v>
      </c>
      <c r="I1072" s="1" t="s">
        <v>84</v>
      </c>
      <c r="J1072" s="1"/>
      <c r="K1072" s="1"/>
      <c r="L1072" s="1"/>
    </row>
    <row r="1073">
      <c r="A1073" s="110">
        <v>46220.418575578704</v>
      </c>
      <c r="B1073" s="1" t="s">
        <v>195</v>
      </c>
      <c r="C1073" s="1" t="s">
        <v>122</v>
      </c>
      <c r="D1073" s="1" t="s">
        <v>130</v>
      </c>
      <c r="E1073" s="1"/>
      <c r="F1073" s="111" t="b">
        <v>1</v>
      </c>
      <c r="G1073" s="111" t="b">
        <v>1</v>
      </c>
      <c r="H1073" s="111" t="b">
        <v>1</v>
      </c>
      <c r="I1073" s="1" t="s">
        <v>87</v>
      </c>
      <c r="J1073" s="1"/>
      <c r="K1073" s="1"/>
      <c r="L1073" s="1"/>
    </row>
    <row r="1074">
      <c r="A1074" s="110">
        <v>46220.446781666666</v>
      </c>
      <c r="B1074" s="1" t="s">
        <v>267</v>
      </c>
      <c r="C1074" s="1" t="s">
        <v>217</v>
      </c>
      <c r="D1074" s="129" t="s">
        <v>139</v>
      </c>
      <c r="E1074" s="1" t="s">
        <v>268</v>
      </c>
      <c r="F1074" s="111" t="b">
        <v>1</v>
      </c>
      <c r="G1074" s="111" t="b">
        <v>1</v>
      </c>
      <c r="H1074" s="111" t="b">
        <v>1</v>
      </c>
      <c r="I1074" s="1" t="s">
        <v>98</v>
      </c>
      <c r="J1074" s="1"/>
      <c r="K1074" s="1"/>
      <c r="L1074" s="1"/>
    </row>
    <row r="1075">
      <c r="A1075" s="110">
        <v>46220.48949157407</v>
      </c>
      <c r="B1075" s="1" t="s">
        <v>243</v>
      </c>
      <c r="C1075" s="1" t="s">
        <v>265</v>
      </c>
      <c r="D1075" s="1" t="s">
        <v>130</v>
      </c>
      <c r="E1075" s="1" t="s">
        <v>397</v>
      </c>
      <c r="F1075" s="111" t="b">
        <v>1</v>
      </c>
      <c r="G1075" s="1"/>
      <c r="H1075" s="111" t="b">
        <v>1</v>
      </c>
      <c r="I1075" s="1"/>
      <c r="J1075" s="1"/>
      <c r="K1075" s="1"/>
      <c r="L1075" s="1"/>
    </row>
    <row r="1076">
      <c r="A1076" s="110">
        <v>46220.505893009264</v>
      </c>
      <c r="B1076" s="1" t="s">
        <v>306</v>
      </c>
      <c r="C1076" s="1" t="s">
        <v>122</v>
      </c>
      <c r="D1076" s="1" t="s">
        <v>130</v>
      </c>
      <c r="E1076" s="1"/>
      <c r="F1076" s="111" t="b">
        <v>1</v>
      </c>
      <c r="G1076" s="111" t="b">
        <v>1</v>
      </c>
      <c r="H1076" s="111" t="b">
        <v>1</v>
      </c>
      <c r="I1076" s="1" t="s">
        <v>99</v>
      </c>
      <c r="J1076" s="1"/>
      <c r="K1076" s="1"/>
      <c r="L1076" s="1"/>
    </row>
    <row r="1077">
      <c r="A1077" s="110">
        <v>46220.50649763889</v>
      </c>
      <c r="B1077" s="1" t="s">
        <v>183</v>
      </c>
      <c r="C1077" s="1" t="s">
        <v>311</v>
      </c>
      <c r="D1077" s="1" t="s">
        <v>130</v>
      </c>
      <c r="E1077" s="1" t="s">
        <v>398</v>
      </c>
      <c r="F1077" s="111" t="b">
        <v>1</v>
      </c>
      <c r="G1077" s="111" t="b">
        <v>1</v>
      </c>
      <c r="H1077" s="111" t="b">
        <v>1</v>
      </c>
      <c r="I1077" s="1" t="s">
        <v>83</v>
      </c>
      <c r="J1077" s="1"/>
      <c r="K1077" s="1"/>
      <c r="L1077" s="1"/>
    </row>
    <row r="1078">
      <c r="A1078" s="110">
        <v>46220.53336908565</v>
      </c>
      <c r="B1078" s="1" t="s">
        <v>311</v>
      </c>
      <c r="C1078" s="1" t="s">
        <v>304</v>
      </c>
      <c r="D1078" s="129" t="s">
        <v>139</v>
      </c>
      <c r="E1078" s="1" t="s">
        <v>399</v>
      </c>
      <c r="F1078" s="111" t="b">
        <v>1</v>
      </c>
      <c r="G1078" s="111" t="b">
        <v>1</v>
      </c>
      <c r="H1078" s="111" t="b">
        <v>1</v>
      </c>
      <c r="I1078" s="1" t="s">
        <v>81</v>
      </c>
      <c r="J1078" s="1"/>
      <c r="K1078" s="1"/>
      <c r="L1078" s="1"/>
    </row>
    <row r="1079">
      <c r="A1079" s="110">
        <v>46220.53348711805</v>
      </c>
      <c r="B1079" s="1" t="s">
        <v>298</v>
      </c>
      <c r="C1079" s="1" t="s">
        <v>306</v>
      </c>
      <c r="D1079" s="1" t="s">
        <v>130</v>
      </c>
      <c r="E1079" s="1" t="s">
        <v>167</v>
      </c>
      <c r="F1079" s="111" t="b">
        <v>1</v>
      </c>
      <c r="G1079" s="111" t="b">
        <v>1</v>
      </c>
      <c r="H1079" s="111" t="b">
        <v>1</v>
      </c>
      <c r="I1079" s="1" t="s">
        <v>83</v>
      </c>
      <c r="J1079" s="1"/>
      <c r="K1079" s="1"/>
      <c r="L1079" s="1"/>
    </row>
    <row r="1080">
      <c r="A1080" s="110">
        <v>46220.555323912035</v>
      </c>
      <c r="B1080" s="1" t="s">
        <v>311</v>
      </c>
      <c r="C1080" s="1" t="s">
        <v>306</v>
      </c>
      <c r="D1080" s="1" t="s">
        <v>130</v>
      </c>
      <c r="E1080" s="1"/>
      <c r="F1080" s="111" t="b">
        <v>1</v>
      </c>
      <c r="G1080" s="111" t="b">
        <v>1</v>
      </c>
      <c r="H1080" s="111" t="b">
        <v>1</v>
      </c>
      <c r="I1080" s="1" t="s">
        <v>120</v>
      </c>
      <c r="J1080" s="1"/>
      <c r="K1080" s="1"/>
      <c r="L1080" s="1"/>
    </row>
    <row r="1081">
      <c r="A1081" s="110">
        <v>46220.581463483795</v>
      </c>
      <c r="B1081" s="1" t="s">
        <v>113</v>
      </c>
      <c r="C1081" s="1" t="s">
        <v>311</v>
      </c>
      <c r="D1081" s="1" t="s">
        <v>130</v>
      </c>
      <c r="E1081" s="1"/>
      <c r="F1081" s="111" t="b">
        <v>1</v>
      </c>
      <c r="G1081" s="111" t="b">
        <v>1</v>
      </c>
      <c r="H1081" s="111" t="b">
        <v>1</v>
      </c>
      <c r="I1081" s="1" t="s">
        <v>90</v>
      </c>
      <c r="J1081" s="1"/>
      <c r="K1081" s="1"/>
      <c r="L1081" s="1"/>
    </row>
    <row r="1082">
      <c r="A1082" s="110">
        <v>46220.58967951389</v>
      </c>
      <c r="B1082" s="1" t="s">
        <v>275</v>
      </c>
      <c r="C1082" s="1" t="s">
        <v>306</v>
      </c>
      <c r="D1082" s="129" t="s">
        <v>139</v>
      </c>
      <c r="E1082" s="1" t="s">
        <v>192</v>
      </c>
      <c r="F1082" s="111" t="b">
        <v>1</v>
      </c>
      <c r="G1082" s="111" t="b">
        <v>1</v>
      </c>
      <c r="H1082" s="111" t="b">
        <v>1</v>
      </c>
      <c r="I1082" s="1" t="s">
        <v>102</v>
      </c>
      <c r="J1082" s="1"/>
      <c r="K1082" s="1"/>
      <c r="L1082" s="1"/>
    </row>
    <row r="1083">
      <c r="A1083" s="110">
        <v>46220.59908918981</v>
      </c>
      <c r="B1083" s="1" t="s">
        <v>311</v>
      </c>
      <c r="C1083" s="1" t="s">
        <v>186</v>
      </c>
      <c r="D1083" s="1" t="s">
        <v>130</v>
      </c>
      <c r="E1083" s="1" t="s">
        <v>400</v>
      </c>
      <c r="F1083" s="111" t="b">
        <v>1</v>
      </c>
      <c r="G1083" s="111" t="b">
        <v>1</v>
      </c>
      <c r="H1083" s="111" t="b">
        <v>1</v>
      </c>
      <c r="I1083" s="1" t="s">
        <v>98</v>
      </c>
      <c r="J1083" s="1"/>
      <c r="K1083" s="1"/>
      <c r="L1083" s="1"/>
    </row>
    <row r="1084">
      <c r="A1084" s="110">
        <v>46220.63164857639</v>
      </c>
      <c r="B1084" s="1" t="s">
        <v>321</v>
      </c>
      <c r="C1084" s="1" t="s">
        <v>306</v>
      </c>
      <c r="D1084" s="1" t="s">
        <v>130</v>
      </c>
      <c r="E1084" s="1"/>
      <c r="F1084" s="111" t="b">
        <v>1</v>
      </c>
      <c r="G1084" s="1"/>
      <c r="H1084" s="111" t="b">
        <v>1</v>
      </c>
      <c r="I1084" s="1"/>
      <c r="J1084" s="1"/>
      <c r="K1084" s="1"/>
      <c r="L1084" s="1"/>
    </row>
    <row r="1085">
      <c r="A1085" s="110">
        <v>46220.63313962963</v>
      </c>
      <c r="B1085" s="1" t="s">
        <v>217</v>
      </c>
      <c r="C1085" s="1" t="s">
        <v>251</v>
      </c>
      <c r="D1085" s="129" t="s">
        <v>139</v>
      </c>
      <c r="E1085" s="1"/>
      <c r="F1085" s="111" t="b">
        <v>1</v>
      </c>
      <c r="G1085" s="111" t="b">
        <v>1</v>
      </c>
      <c r="H1085" s="111" t="b">
        <v>1</v>
      </c>
      <c r="I1085" s="1" t="s">
        <v>102</v>
      </c>
      <c r="J1085" s="1"/>
      <c r="K1085" s="1"/>
      <c r="L1085" s="1"/>
    </row>
    <row r="1086">
      <c r="A1086" s="110">
        <v>46220.649029293985</v>
      </c>
      <c r="B1086" s="1" t="s">
        <v>272</v>
      </c>
      <c r="C1086" s="1" t="s">
        <v>113</v>
      </c>
      <c r="D1086" s="1" t="s">
        <v>130</v>
      </c>
      <c r="E1086" s="1"/>
      <c r="F1086" s="111" t="b">
        <v>1</v>
      </c>
      <c r="G1086" s="111" t="b">
        <v>1</v>
      </c>
      <c r="H1086" s="111" t="b">
        <v>1</v>
      </c>
      <c r="I1086" s="1" t="s">
        <v>83</v>
      </c>
      <c r="J1086" s="1"/>
      <c r="K1086" s="1"/>
      <c r="L1086" s="1"/>
    </row>
    <row r="1087">
      <c r="A1087" s="110">
        <v>46220.651238125</v>
      </c>
      <c r="B1087" s="1" t="s">
        <v>304</v>
      </c>
      <c r="C1087" s="1" t="s">
        <v>238</v>
      </c>
      <c r="D1087" s="1" t="s">
        <v>130</v>
      </c>
      <c r="E1087" s="1"/>
      <c r="F1087" s="111" t="b">
        <v>1</v>
      </c>
      <c r="G1087" s="111" t="b">
        <v>1</v>
      </c>
      <c r="H1087" s="111" t="b">
        <v>1</v>
      </c>
      <c r="I1087" s="1" t="s">
        <v>98</v>
      </c>
      <c r="J1087" s="1"/>
      <c r="K1087" s="1"/>
      <c r="L1087" s="1"/>
    </row>
    <row r="1088">
      <c r="A1088" s="110">
        <v>46220.65836490741</v>
      </c>
      <c r="B1088" s="1" t="s">
        <v>298</v>
      </c>
      <c r="C1088" s="1" t="s">
        <v>155</v>
      </c>
      <c r="D1088" s="1" t="s">
        <v>130</v>
      </c>
      <c r="E1088" s="1" t="s">
        <v>167</v>
      </c>
      <c r="F1088" s="111" t="b">
        <v>1</v>
      </c>
      <c r="G1088" s="111" t="b">
        <v>1</v>
      </c>
      <c r="H1088" s="111" t="b">
        <v>1</v>
      </c>
      <c r="I1088" s="1" t="s">
        <v>99</v>
      </c>
      <c r="J1088" s="1"/>
      <c r="K1088" s="1"/>
      <c r="L1088" s="1"/>
    </row>
    <row r="1089">
      <c r="A1089" s="110">
        <v>46220.69551081018</v>
      </c>
      <c r="B1089" s="1" t="s">
        <v>272</v>
      </c>
      <c r="C1089" s="1" t="s">
        <v>161</v>
      </c>
      <c r="D1089" s="1" t="s">
        <v>130</v>
      </c>
      <c r="E1089" s="1"/>
      <c r="F1089" s="111" t="b">
        <v>1</v>
      </c>
      <c r="G1089" s="111" t="b">
        <v>1</v>
      </c>
      <c r="H1089" s="111" t="b">
        <v>1</v>
      </c>
      <c r="I1089" s="1" t="s">
        <v>85</v>
      </c>
      <c r="J1089" s="1"/>
      <c r="K1089" s="1"/>
      <c r="L1089" s="1"/>
    </row>
    <row r="1090">
      <c r="A1090" s="110">
        <v>46220.71687615741</v>
      </c>
      <c r="B1090" s="1" t="s">
        <v>185</v>
      </c>
      <c r="C1090" s="1" t="s">
        <v>113</v>
      </c>
      <c r="D1090" s="129" t="s">
        <v>139</v>
      </c>
      <c r="E1090" s="1" t="s">
        <v>268</v>
      </c>
      <c r="F1090" s="111" t="b">
        <v>1</v>
      </c>
      <c r="G1090" s="1"/>
      <c r="H1090" s="111" t="b">
        <v>1</v>
      </c>
      <c r="I1090" s="1"/>
      <c r="J1090" s="1"/>
      <c r="K1090" s="1"/>
      <c r="L1090" s="1"/>
    </row>
    <row r="1091">
      <c r="A1091" s="110">
        <v>46220.719790243056</v>
      </c>
      <c r="B1091" s="1" t="s">
        <v>160</v>
      </c>
      <c r="C1091" s="1" t="s">
        <v>152</v>
      </c>
      <c r="D1091" s="1" t="s">
        <v>130</v>
      </c>
      <c r="E1091" s="1"/>
      <c r="F1091" s="111" t="b">
        <v>1</v>
      </c>
      <c r="G1091" s="111" t="b">
        <v>1</v>
      </c>
      <c r="H1091" s="111" t="b">
        <v>1</v>
      </c>
      <c r="I1091" s="1" t="s">
        <v>120</v>
      </c>
      <c r="J1091" s="1"/>
      <c r="K1091" s="1"/>
      <c r="L1091" s="1"/>
    </row>
    <row r="1092">
      <c r="A1092" s="110">
        <v>46220.73708766204</v>
      </c>
      <c r="B1092" s="1" t="s">
        <v>160</v>
      </c>
      <c r="C1092" s="1" t="s">
        <v>185</v>
      </c>
      <c r="D1092" s="1" t="s">
        <v>130</v>
      </c>
      <c r="E1092" s="1"/>
      <c r="F1092" s="111" t="b">
        <v>1</v>
      </c>
      <c r="G1092" s="111" t="b">
        <v>1</v>
      </c>
      <c r="H1092" s="111" t="b">
        <v>1</v>
      </c>
      <c r="I1092" s="1" t="s">
        <v>202</v>
      </c>
      <c r="J1092" s="1"/>
      <c r="K1092" s="1"/>
      <c r="L1092" s="1"/>
    </row>
    <row r="1093">
      <c r="A1093" s="110">
        <v>46220.748940115736</v>
      </c>
      <c r="B1093" s="1" t="s">
        <v>171</v>
      </c>
      <c r="C1093" s="1" t="s">
        <v>128</v>
      </c>
      <c r="D1093" s="1" t="s">
        <v>130</v>
      </c>
      <c r="E1093" s="1" t="s">
        <v>401</v>
      </c>
      <c r="F1093" s="111" t="b">
        <v>1</v>
      </c>
      <c r="G1093" s="111" t="b">
        <v>1</v>
      </c>
      <c r="H1093" s="111" t="b">
        <v>1</v>
      </c>
      <c r="I1093" s="1" t="s">
        <v>87</v>
      </c>
      <c r="J1093" s="1"/>
      <c r="K1093" s="1"/>
      <c r="L1093" s="1"/>
    </row>
    <row r="1094">
      <c r="A1094" s="110">
        <v>46220.74895869213</v>
      </c>
      <c r="B1094" s="1" t="s">
        <v>141</v>
      </c>
      <c r="C1094" s="1" t="s">
        <v>230</v>
      </c>
      <c r="D1094" s="1" t="s">
        <v>130</v>
      </c>
      <c r="E1094" s="1" t="s">
        <v>165</v>
      </c>
      <c r="F1094" s="111" t="b">
        <v>1</v>
      </c>
      <c r="G1094" s="111" t="b">
        <v>1</v>
      </c>
      <c r="H1094" s="111" t="b">
        <v>1</v>
      </c>
      <c r="I1094" s="1" t="s">
        <v>98</v>
      </c>
      <c r="J1094" s="1"/>
      <c r="K1094" s="1"/>
      <c r="L1094" s="1"/>
    </row>
    <row r="1095">
      <c r="A1095" s="110">
        <v>46220.76310545139</v>
      </c>
      <c r="B1095" s="1" t="s">
        <v>155</v>
      </c>
      <c r="C1095" s="1" t="s">
        <v>152</v>
      </c>
      <c r="D1095" s="129" t="s">
        <v>139</v>
      </c>
      <c r="E1095" s="1" t="s">
        <v>157</v>
      </c>
      <c r="F1095" s="111" t="b">
        <v>1</v>
      </c>
      <c r="G1095" s="111" t="b">
        <v>1</v>
      </c>
      <c r="H1095" s="111" t="b">
        <v>1</v>
      </c>
      <c r="I1095" s="1" t="s">
        <v>93</v>
      </c>
      <c r="J1095" s="1"/>
      <c r="K1095" s="1"/>
      <c r="L1095" s="1"/>
    </row>
    <row r="1096">
      <c r="A1096" s="110">
        <v>46220.765788634264</v>
      </c>
      <c r="B1096" s="1" t="s">
        <v>185</v>
      </c>
      <c r="C1096" s="1" t="s">
        <v>229</v>
      </c>
      <c r="D1096" s="129" t="s">
        <v>139</v>
      </c>
      <c r="E1096" s="1" t="s">
        <v>380</v>
      </c>
      <c r="F1096" s="111" t="b">
        <v>1</v>
      </c>
      <c r="G1096" s="111" t="b">
        <v>1</v>
      </c>
      <c r="H1096" s="111" t="b">
        <v>1</v>
      </c>
      <c r="I1096" s="1" t="s">
        <v>95</v>
      </c>
      <c r="J1096" s="1"/>
      <c r="K1096" s="1"/>
      <c r="L1096" s="1"/>
    </row>
    <row r="1097">
      <c r="A1097" s="110">
        <v>46220.771315034726</v>
      </c>
      <c r="B1097" s="1" t="s">
        <v>141</v>
      </c>
      <c r="C1097" s="1" t="s">
        <v>178</v>
      </c>
      <c r="D1097" s="129" t="s">
        <v>139</v>
      </c>
      <c r="E1097" s="1" t="s">
        <v>167</v>
      </c>
      <c r="F1097" s="111" t="b">
        <v>1</v>
      </c>
      <c r="G1097" s="111" t="b">
        <v>1</v>
      </c>
      <c r="H1097" s="111" t="b">
        <v>1</v>
      </c>
      <c r="I1097" s="1" t="s">
        <v>120</v>
      </c>
      <c r="J1097" s="1"/>
      <c r="K1097" s="1"/>
      <c r="L1097" s="1"/>
    </row>
    <row r="1098">
      <c r="A1098" s="110">
        <v>46220.77909733796</v>
      </c>
      <c r="B1098" s="1" t="s">
        <v>230</v>
      </c>
      <c r="C1098" s="1" t="s">
        <v>194</v>
      </c>
      <c r="D1098" s="129" t="s">
        <v>139</v>
      </c>
      <c r="E1098" s="1"/>
      <c r="F1098" s="111" t="b">
        <v>1</v>
      </c>
      <c r="G1098" s="111" t="b">
        <v>1</v>
      </c>
      <c r="H1098" s="111" t="b">
        <v>1</v>
      </c>
      <c r="I1098" s="1" t="s">
        <v>102</v>
      </c>
      <c r="J1098" s="1"/>
      <c r="K1098" s="1"/>
      <c r="L1098" s="1"/>
    </row>
    <row r="1099">
      <c r="A1099" s="110">
        <v>46220.78927957176</v>
      </c>
      <c r="B1099" s="1" t="s">
        <v>206</v>
      </c>
      <c r="C1099" s="1" t="s">
        <v>238</v>
      </c>
      <c r="D1099" s="129" t="s">
        <v>139</v>
      </c>
      <c r="E1099" s="1"/>
      <c r="F1099" s="111" t="b">
        <v>1</v>
      </c>
      <c r="G1099" s="111" t="b">
        <v>1</v>
      </c>
      <c r="H1099" s="111" t="b">
        <v>1</v>
      </c>
      <c r="I1099" s="1" t="s">
        <v>83</v>
      </c>
      <c r="J1099" s="1"/>
      <c r="K1099" s="1"/>
      <c r="L1099" s="1"/>
    </row>
    <row r="1100">
      <c r="A1100" s="110">
        <v>46220.79854336806</v>
      </c>
      <c r="B1100" s="1" t="s">
        <v>185</v>
      </c>
      <c r="C1100" s="1" t="s">
        <v>271</v>
      </c>
      <c r="D1100" s="129" t="s">
        <v>139</v>
      </c>
      <c r="E1100" s="1" t="s">
        <v>402</v>
      </c>
      <c r="F1100" s="111" t="b">
        <v>1</v>
      </c>
      <c r="G1100" s="111" t="b">
        <v>1</v>
      </c>
      <c r="H1100" s="111" t="b">
        <v>1</v>
      </c>
      <c r="I1100" s="1" t="s">
        <v>93</v>
      </c>
      <c r="J1100" s="1"/>
      <c r="K1100" s="1"/>
      <c r="L1100" s="1"/>
    </row>
    <row r="1101">
      <c r="A1101" s="110">
        <v>46220.81065543981</v>
      </c>
      <c r="B1101" s="1" t="s">
        <v>141</v>
      </c>
      <c r="C1101" s="1" t="s">
        <v>206</v>
      </c>
      <c r="D1101" s="129" t="s">
        <v>139</v>
      </c>
      <c r="E1101" s="1" t="s">
        <v>403</v>
      </c>
      <c r="F1101" s="111" t="b">
        <v>1</v>
      </c>
      <c r="G1101" s="111" t="b">
        <v>1</v>
      </c>
      <c r="H1101" s="111" t="b">
        <v>1</v>
      </c>
      <c r="I1101" s="1" t="s">
        <v>83</v>
      </c>
      <c r="J1101" s="1"/>
      <c r="K1101" s="1"/>
      <c r="L1101" s="1"/>
    </row>
    <row r="1102">
      <c r="A1102" s="110">
        <v>46220.816039930556</v>
      </c>
      <c r="B1102" s="1" t="s">
        <v>132</v>
      </c>
      <c r="C1102" s="1" t="s">
        <v>185</v>
      </c>
      <c r="D1102" s="129" t="s">
        <v>139</v>
      </c>
      <c r="E1102" s="1"/>
      <c r="F1102" s="111" t="b">
        <v>1</v>
      </c>
      <c r="G1102" s="111" t="b">
        <v>1</v>
      </c>
      <c r="H1102" s="111" t="b">
        <v>1</v>
      </c>
      <c r="I1102" s="1" t="s">
        <v>118</v>
      </c>
      <c r="J1102" s="1"/>
      <c r="K1102" s="1"/>
      <c r="L1102" s="1"/>
    </row>
    <row r="1103">
      <c r="A1103" s="110">
        <v>46220.820243993054</v>
      </c>
      <c r="B1103" s="1" t="s">
        <v>257</v>
      </c>
      <c r="C1103" s="1" t="s">
        <v>235</v>
      </c>
      <c r="D1103" s="1" t="s">
        <v>130</v>
      </c>
      <c r="E1103" s="1" t="s">
        <v>404</v>
      </c>
      <c r="F1103" s="111" t="b">
        <v>1</v>
      </c>
      <c r="G1103" s="111" t="b">
        <v>1</v>
      </c>
      <c r="H1103" s="111" t="b">
        <v>1</v>
      </c>
      <c r="I1103" s="1" t="s">
        <v>118</v>
      </c>
      <c r="J1103" s="1"/>
      <c r="K1103" s="1"/>
      <c r="L1103" s="1"/>
    </row>
    <row r="1104">
      <c r="A1104" s="110">
        <v>46220.826868344906</v>
      </c>
      <c r="B1104" s="1" t="s">
        <v>171</v>
      </c>
      <c r="C1104" s="1" t="s">
        <v>271</v>
      </c>
      <c r="D1104" s="1" t="s">
        <v>130</v>
      </c>
      <c r="E1104" s="1" t="s">
        <v>167</v>
      </c>
      <c r="F1104" s="111" t="b">
        <v>1</v>
      </c>
      <c r="G1104" s="111" t="b">
        <v>1</v>
      </c>
      <c r="H1104" s="111" t="b">
        <v>1</v>
      </c>
      <c r="I1104" s="1" t="s">
        <v>202</v>
      </c>
      <c r="J1104" s="1"/>
      <c r="K1104" s="1"/>
      <c r="L1104" s="1"/>
    </row>
    <row r="1105">
      <c r="A1105" s="110">
        <v>46220.82718006945</v>
      </c>
      <c r="B1105" s="1" t="s">
        <v>141</v>
      </c>
      <c r="C1105" s="1" t="s">
        <v>134</v>
      </c>
      <c r="D1105" s="129" t="s">
        <v>139</v>
      </c>
      <c r="E1105" s="1" t="s">
        <v>165</v>
      </c>
      <c r="F1105" s="111" t="b">
        <v>1</v>
      </c>
      <c r="G1105" s="111" t="b">
        <v>1</v>
      </c>
      <c r="H1105" s="111" t="b">
        <v>1</v>
      </c>
      <c r="I1105" s="1" t="s">
        <v>93</v>
      </c>
      <c r="J1105" s="1"/>
      <c r="K1105" s="1"/>
      <c r="L1105" s="1"/>
    </row>
    <row r="1106">
      <c r="A1106" s="110">
        <v>46220.83104805555</v>
      </c>
      <c r="B1106" s="1" t="s">
        <v>185</v>
      </c>
      <c r="C1106" s="1" t="s">
        <v>184</v>
      </c>
      <c r="D1106" s="1" t="s">
        <v>130</v>
      </c>
      <c r="E1106" s="1" t="s">
        <v>405</v>
      </c>
      <c r="F1106" s="111" t="b">
        <v>1</v>
      </c>
      <c r="G1106" s="111" t="b">
        <v>1</v>
      </c>
      <c r="H1106" s="111" t="b">
        <v>1</v>
      </c>
      <c r="I1106" s="1" t="s">
        <v>87</v>
      </c>
      <c r="J1106" s="1"/>
      <c r="K1106" s="1"/>
      <c r="L1106" s="1"/>
    </row>
    <row r="1107">
      <c r="A1107" s="110">
        <v>46220.8393109375</v>
      </c>
      <c r="B1107" s="1" t="s">
        <v>186</v>
      </c>
      <c r="C1107" s="1" t="s">
        <v>235</v>
      </c>
      <c r="D1107" s="129" t="s">
        <v>139</v>
      </c>
      <c r="E1107" s="1"/>
      <c r="F1107" s="111" t="b">
        <v>1</v>
      </c>
      <c r="G1107" s="111" t="b">
        <v>1</v>
      </c>
      <c r="H1107" s="111" t="b">
        <v>1</v>
      </c>
      <c r="I1107" s="1" t="s">
        <v>98</v>
      </c>
      <c r="J1107" s="1"/>
      <c r="K1107" s="1"/>
      <c r="L1107" s="1"/>
    </row>
    <row r="1108">
      <c r="A1108" s="110">
        <v>46220.84497034722</v>
      </c>
      <c r="B1108" s="1" t="s">
        <v>229</v>
      </c>
      <c r="C1108" s="1" t="s">
        <v>257</v>
      </c>
      <c r="D1108" s="129" t="s">
        <v>139</v>
      </c>
      <c r="E1108" s="1" t="s">
        <v>157</v>
      </c>
      <c r="F1108" s="111" t="b">
        <v>1</v>
      </c>
      <c r="G1108" s="111" t="b">
        <v>1</v>
      </c>
      <c r="H1108" s="111" t="b">
        <v>1</v>
      </c>
      <c r="I1108" s="1" t="s">
        <v>85</v>
      </c>
      <c r="J1108" s="1"/>
      <c r="K1108" s="1"/>
      <c r="L1108" s="1"/>
    </row>
    <row r="1109">
      <c r="A1109" s="110">
        <v>46220.850028217596</v>
      </c>
      <c r="B1109" s="1" t="s">
        <v>176</v>
      </c>
      <c r="C1109" s="1" t="s">
        <v>184</v>
      </c>
      <c r="D1109" s="1" t="s">
        <v>130</v>
      </c>
      <c r="E1109" s="1"/>
      <c r="F1109" s="111" t="b">
        <v>1</v>
      </c>
      <c r="G1109" s="111" t="b">
        <v>1</v>
      </c>
      <c r="H1109" s="111" t="b">
        <v>1</v>
      </c>
      <c r="I1109" s="1" t="s">
        <v>120</v>
      </c>
      <c r="J1109" s="1"/>
      <c r="K1109" s="1"/>
      <c r="L1109" s="1"/>
    </row>
    <row r="1110">
      <c r="A1110" s="110">
        <v>46220.85616638889</v>
      </c>
      <c r="B1110" s="1" t="s">
        <v>134</v>
      </c>
      <c r="C1110" s="1" t="s">
        <v>271</v>
      </c>
      <c r="D1110" s="1" t="s">
        <v>130</v>
      </c>
      <c r="E1110" s="1" t="s">
        <v>167</v>
      </c>
      <c r="F1110" s="111" t="b">
        <v>1</v>
      </c>
      <c r="G1110" s="111" t="b">
        <v>1</v>
      </c>
      <c r="H1110" s="111" t="b">
        <v>1</v>
      </c>
      <c r="I1110" s="1" t="s">
        <v>85</v>
      </c>
      <c r="J1110" s="1"/>
      <c r="K1110" s="1"/>
      <c r="L1110" s="1"/>
    </row>
    <row r="1111">
      <c r="A1111" s="110">
        <v>46220.86526115741</v>
      </c>
      <c r="B1111" s="1" t="s">
        <v>257</v>
      </c>
      <c r="C1111" s="1" t="s">
        <v>155</v>
      </c>
      <c r="D1111" s="129" t="s">
        <v>139</v>
      </c>
      <c r="E1111" s="1" t="s">
        <v>192</v>
      </c>
      <c r="F1111" s="111" t="b">
        <v>1</v>
      </c>
      <c r="G1111" s="111" t="b">
        <v>1</v>
      </c>
      <c r="H1111" s="111" t="b">
        <v>1</v>
      </c>
      <c r="I1111" s="1" t="s">
        <v>147</v>
      </c>
      <c r="J1111" s="1"/>
      <c r="K1111" s="1"/>
      <c r="L1111" s="1"/>
    </row>
    <row r="1112">
      <c r="A1112" s="110">
        <v>46220.86612546296</v>
      </c>
      <c r="B1112" s="1" t="s">
        <v>176</v>
      </c>
      <c r="C1112" s="1" t="s">
        <v>186</v>
      </c>
      <c r="D1112" s="1" t="s">
        <v>130</v>
      </c>
      <c r="E1112" s="1"/>
      <c r="F1112" s="111" t="b">
        <v>1</v>
      </c>
      <c r="G1112" s="111" t="b">
        <v>1</v>
      </c>
      <c r="H1112" s="111" t="b">
        <v>1</v>
      </c>
      <c r="I1112" s="1" t="s">
        <v>118</v>
      </c>
      <c r="J1112" s="1"/>
      <c r="K1112" s="1"/>
      <c r="L1112" s="1"/>
    </row>
    <row r="1113">
      <c r="A1113" s="110">
        <v>46220.87620837963</v>
      </c>
      <c r="B1113" s="1" t="s">
        <v>215</v>
      </c>
      <c r="C1113" s="1" t="s">
        <v>140</v>
      </c>
      <c r="D1113" s="129" t="s">
        <v>139</v>
      </c>
      <c r="E1113" s="1" t="s">
        <v>388</v>
      </c>
      <c r="F1113" s="111" t="b">
        <v>1</v>
      </c>
      <c r="G1113" s="111" t="b">
        <v>1</v>
      </c>
      <c r="H1113" s="111" t="b">
        <v>1</v>
      </c>
      <c r="I1113" s="1" t="s">
        <v>202</v>
      </c>
      <c r="J1113" s="1"/>
      <c r="K1113" s="1"/>
      <c r="L1113" s="1"/>
    </row>
    <row r="1114">
      <c r="A1114" s="110">
        <v>46220.87716134259</v>
      </c>
      <c r="B1114" s="1" t="s">
        <v>134</v>
      </c>
      <c r="C1114" s="1" t="s">
        <v>184</v>
      </c>
      <c r="D1114" s="129" t="s">
        <v>139</v>
      </c>
      <c r="E1114" s="1" t="s">
        <v>167</v>
      </c>
      <c r="F1114" s="111" t="b">
        <v>1</v>
      </c>
      <c r="G1114" s="1"/>
      <c r="H1114" s="111" t="b">
        <v>1</v>
      </c>
      <c r="I1114" s="1"/>
      <c r="J1114" s="1"/>
      <c r="K1114" s="1"/>
      <c r="L1114" s="1"/>
    </row>
    <row r="1115">
      <c r="A1115" s="110">
        <v>46220.87922524306</v>
      </c>
      <c r="B1115" s="1" t="s">
        <v>176</v>
      </c>
      <c r="C1115" s="1" t="s">
        <v>257</v>
      </c>
      <c r="D1115" s="1" t="s">
        <v>130</v>
      </c>
      <c r="E1115" s="1"/>
      <c r="F1115" s="111" t="b">
        <v>1</v>
      </c>
      <c r="G1115" s="1"/>
      <c r="H1115" s="111" t="b">
        <v>1</v>
      </c>
      <c r="I1115" s="1"/>
      <c r="J1115" s="1"/>
      <c r="K1115" s="1"/>
      <c r="L1115" s="1"/>
    </row>
    <row r="1116">
      <c r="A1116" s="110">
        <v>46220.895967557866</v>
      </c>
      <c r="B1116" s="1" t="s">
        <v>134</v>
      </c>
      <c r="C1116" s="1" t="s">
        <v>110</v>
      </c>
      <c r="D1116" s="129" t="s">
        <v>139</v>
      </c>
      <c r="E1116" s="1" t="s">
        <v>167</v>
      </c>
      <c r="F1116" s="111" t="b">
        <v>1</v>
      </c>
      <c r="G1116" s="111" t="b">
        <v>1</v>
      </c>
      <c r="H1116" s="111" t="b">
        <v>1</v>
      </c>
      <c r="I1116" s="1" t="s">
        <v>90</v>
      </c>
      <c r="J1116" s="1"/>
      <c r="K1116" s="1"/>
      <c r="L1116" s="1"/>
    </row>
    <row r="1117">
      <c r="A1117" s="110">
        <v>46220.90308103009</v>
      </c>
      <c r="B1117" s="1" t="s">
        <v>218</v>
      </c>
      <c r="C1117" s="1" t="s">
        <v>181</v>
      </c>
      <c r="D1117" s="1" t="s">
        <v>130</v>
      </c>
      <c r="E1117" s="1"/>
      <c r="F1117" s="111" t="b">
        <v>1</v>
      </c>
      <c r="G1117" s="111" t="b">
        <v>1</v>
      </c>
      <c r="H1117" s="111" t="b">
        <v>1</v>
      </c>
      <c r="I1117" s="1" t="s">
        <v>87</v>
      </c>
      <c r="J1117" s="1"/>
      <c r="K1117" s="1"/>
      <c r="L1117" s="1"/>
    </row>
    <row r="1118">
      <c r="A1118" s="110">
        <v>46220.91304054398</v>
      </c>
      <c r="B1118" s="1" t="s">
        <v>235</v>
      </c>
      <c r="C1118" s="1" t="s">
        <v>176</v>
      </c>
      <c r="D1118" s="129" t="s">
        <v>139</v>
      </c>
      <c r="E1118" s="1"/>
      <c r="F1118" s="111" t="b">
        <v>1</v>
      </c>
      <c r="G1118" s="111" t="b">
        <v>1</v>
      </c>
      <c r="H1118" s="111" t="b">
        <v>1</v>
      </c>
      <c r="I1118" s="1" t="s">
        <v>118</v>
      </c>
      <c r="J1118" s="1"/>
      <c r="K1118" s="1"/>
      <c r="L1118" s="1"/>
    </row>
    <row r="1119">
      <c r="A1119" s="110">
        <v>46220.920221099535</v>
      </c>
      <c r="B1119" s="1" t="s">
        <v>185</v>
      </c>
      <c r="C1119" s="1" t="s">
        <v>134</v>
      </c>
      <c r="D1119" s="129" t="s">
        <v>139</v>
      </c>
      <c r="E1119" s="1" t="s">
        <v>192</v>
      </c>
      <c r="F1119" s="111" t="b">
        <v>1</v>
      </c>
      <c r="G1119" s="111" t="b">
        <v>1</v>
      </c>
      <c r="H1119" s="111" t="b">
        <v>1</v>
      </c>
      <c r="I1119" s="1" t="s">
        <v>202</v>
      </c>
      <c r="J1119" s="1"/>
      <c r="K1119" s="1"/>
      <c r="L1119" s="1"/>
    </row>
    <row r="1120">
      <c r="A1120" s="110">
        <v>46220.92198520833</v>
      </c>
      <c r="B1120" s="1" t="s">
        <v>218</v>
      </c>
      <c r="C1120" s="1" t="s">
        <v>110</v>
      </c>
      <c r="D1120" s="1" t="s">
        <v>130</v>
      </c>
      <c r="E1120" s="1"/>
      <c r="F1120" s="111" t="b">
        <v>1</v>
      </c>
      <c r="G1120" s="1"/>
      <c r="H1120" s="111" t="b">
        <v>1</v>
      </c>
      <c r="I1120" s="1"/>
      <c r="J1120" s="1"/>
      <c r="K1120" s="1"/>
      <c r="L1120" s="1"/>
    </row>
    <row r="1121">
      <c r="A1121" s="110">
        <v>46220.927565798615</v>
      </c>
      <c r="B1121" s="1" t="s">
        <v>168</v>
      </c>
      <c r="C1121" s="1" t="s">
        <v>235</v>
      </c>
      <c r="D1121" s="1" t="s">
        <v>130</v>
      </c>
      <c r="E1121" s="1" t="s">
        <v>406</v>
      </c>
      <c r="F1121" s="111" t="b">
        <v>1</v>
      </c>
      <c r="G1121" s="111" t="b">
        <v>1</v>
      </c>
      <c r="H1121" s="111" t="b">
        <v>1</v>
      </c>
      <c r="I1121" s="1" t="s">
        <v>97</v>
      </c>
      <c r="J1121" s="1"/>
      <c r="K1121" s="1"/>
      <c r="L1121" s="1"/>
    </row>
    <row r="1122">
      <c r="A1122" s="110">
        <v>46220.938995868055</v>
      </c>
      <c r="B1122" s="1" t="s">
        <v>176</v>
      </c>
      <c r="C1122" s="1" t="s">
        <v>218</v>
      </c>
      <c r="D1122" s="1" t="s">
        <v>130</v>
      </c>
      <c r="E1122" s="1"/>
      <c r="F1122" s="111" t="b">
        <v>1</v>
      </c>
      <c r="G1122" s="111" t="b">
        <v>1</v>
      </c>
      <c r="H1122" s="111" t="b">
        <v>1</v>
      </c>
      <c r="I1122" s="1" t="s">
        <v>83</v>
      </c>
      <c r="J1122" s="1"/>
      <c r="K1122" s="1"/>
      <c r="L1122" s="1"/>
    </row>
    <row r="1123">
      <c r="A1123" s="110">
        <v>46220.947785173616</v>
      </c>
      <c r="B1123" s="1" t="s">
        <v>193</v>
      </c>
      <c r="C1123" s="1" t="s">
        <v>196</v>
      </c>
      <c r="D1123" s="1" t="s">
        <v>130</v>
      </c>
      <c r="E1123" s="1"/>
      <c r="F1123" s="111" t="b">
        <v>1</v>
      </c>
      <c r="G1123" s="111" t="b">
        <v>1</v>
      </c>
      <c r="H1123" s="111" t="b">
        <v>1</v>
      </c>
      <c r="I1123" s="1" t="s">
        <v>120</v>
      </c>
      <c r="J1123" s="1"/>
      <c r="K1123" s="1"/>
      <c r="L1123" s="1"/>
    </row>
    <row r="1124">
      <c r="A1124" s="110">
        <v>46220.94903447917</v>
      </c>
      <c r="B1124" s="1" t="s">
        <v>206</v>
      </c>
      <c r="C1124" s="1" t="s">
        <v>154</v>
      </c>
      <c r="D1124" s="1" t="s">
        <v>130</v>
      </c>
      <c r="E1124" s="1" t="s">
        <v>167</v>
      </c>
      <c r="F1124" s="111" t="b">
        <v>1</v>
      </c>
      <c r="G1124" s="111" t="b">
        <v>1</v>
      </c>
      <c r="H1124" s="111" t="b">
        <v>1</v>
      </c>
      <c r="I1124" s="1" t="s">
        <v>85</v>
      </c>
      <c r="J1124" s="1"/>
      <c r="K1124" s="1"/>
      <c r="L1124" s="1"/>
    </row>
    <row r="1125">
      <c r="A1125" s="110">
        <v>46220.95889378472</v>
      </c>
      <c r="B1125" s="1" t="s">
        <v>140</v>
      </c>
      <c r="C1125" s="1" t="s">
        <v>247</v>
      </c>
      <c r="D1125" s="1" t="s">
        <v>130</v>
      </c>
      <c r="E1125" s="1"/>
      <c r="F1125" s="111" t="b">
        <v>1</v>
      </c>
      <c r="G1125" s="111" t="b">
        <v>1</v>
      </c>
      <c r="H1125" s="111" t="b">
        <v>1</v>
      </c>
      <c r="I1125" s="1" t="s">
        <v>102</v>
      </c>
      <c r="J1125" s="1"/>
      <c r="K1125" s="1"/>
      <c r="L1125" s="1"/>
    </row>
    <row r="1126">
      <c r="A1126" s="110">
        <v>46220.96202960648</v>
      </c>
      <c r="B1126" s="1" t="s">
        <v>206</v>
      </c>
      <c r="C1126" s="1" t="s">
        <v>193</v>
      </c>
      <c r="D1126" s="1" t="s">
        <v>130</v>
      </c>
      <c r="E1126" s="1"/>
      <c r="F1126" s="111" t="b">
        <v>1</v>
      </c>
      <c r="G1126" s="111" t="b">
        <v>1</v>
      </c>
      <c r="H1126" s="111" t="b">
        <v>1</v>
      </c>
      <c r="I1126" s="1" t="s">
        <v>202</v>
      </c>
      <c r="J1126" s="1"/>
      <c r="K1126" s="1"/>
      <c r="L1126" s="1"/>
    </row>
    <row r="1127">
      <c r="A1127" s="110">
        <v>46220.962110486114</v>
      </c>
      <c r="B1127" s="1" t="s">
        <v>154</v>
      </c>
      <c r="C1127" s="1" t="s">
        <v>230</v>
      </c>
      <c r="D1127" s="1" t="s">
        <v>130</v>
      </c>
      <c r="E1127" s="1"/>
      <c r="F1127" s="111" t="b">
        <v>1</v>
      </c>
      <c r="G1127" s="111" t="b">
        <v>1</v>
      </c>
      <c r="H1127" s="111" t="b">
        <v>1</v>
      </c>
      <c r="I1127" s="1" t="s">
        <v>87</v>
      </c>
      <c r="J1127" s="1"/>
      <c r="K1127" s="1"/>
      <c r="L1127" s="1"/>
    </row>
    <row r="1128">
      <c r="A1128" s="110">
        <v>46220.96766065972</v>
      </c>
      <c r="B1128" s="1" t="s">
        <v>155</v>
      </c>
      <c r="C1128" s="1" t="s">
        <v>171</v>
      </c>
      <c r="D1128" s="1" t="s">
        <v>130</v>
      </c>
      <c r="E1128" s="1" t="s">
        <v>157</v>
      </c>
      <c r="F1128" s="111" t="b">
        <v>1</v>
      </c>
      <c r="G1128" s="111" t="b">
        <v>1</v>
      </c>
      <c r="H1128" s="111" t="b">
        <v>1</v>
      </c>
      <c r="I1128" s="1" t="s">
        <v>81</v>
      </c>
      <c r="J1128" s="1"/>
      <c r="K1128" s="1"/>
      <c r="L1128" s="1"/>
    </row>
    <row r="1129">
      <c r="A1129" s="110">
        <v>46220.975199479166</v>
      </c>
      <c r="B1129" s="1" t="s">
        <v>154</v>
      </c>
      <c r="C1129" s="1" t="s">
        <v>193</v>
      </c>
      <c r="D1129" s="129" t="s">
        <v>139</v>
      </c>
      <c r="E1129" s="1"/>
      <c r="F1129" s="111" t="b">
        <v>1</v>
      </c>
      <c r="G1129" s="111" t="b">
        <v>1</v>
      </c>
      <c r="H1129" s="111" t="b">
        <v>1</v>
      </c>
      <c r="I1129" s="1" t="s">
        <v>87</v>
      </c>
      <c r="J1129" s="1"/>
      <c r="K1129" s="1"/>
      <c r="L1129" s="1"/>
    </row>
    <row r="1130">
      <c r="A1130" s="110">
        <v>46220.976871493054</v>
      </c>
      <c r="B1130" s="1" t="s">
        <v>206</v>
      </c>
      <c r="C1130" s="1" t="s">
        <v>275</v>
      </c>
      <c r="D1130" s="1" t="s">
        <v>130</v>
      </c>
      <c r="E1130" s="1"/>
      <c r="F1130" s="111" t="b">
        <v>1</v>
      </c>
      <c r="G1130" s="111" t="b">
        <v>1</v>
      </c>
      <c r="H1130" s="111" t="b">
        <v>1</v>
      </c>
      <c r="I1130" s="1" t="s">
        <v>120</v>
      </c>
      <c r="J1130" s="1"/>
      <c r="K1130" s="1"/>
      <c r="L1130" s="1"/>
    </row>
    <row r="1131">
      <c r="A1131" s="110">
        <v>46220.990123738426</v>
      </c>
      <c r="B1131" s="1" t="s">
        <v>230</v>
      </c>
      <c r="C1131" s="1" t="s">
        <v>247</v>
      </c>
      <c r="D1131" s="129" t="s">
        <v>139</v>
      </c>
      <c r="E1131" s="1"/>
      <c r="F1131" s="111" t="b">
        <v>1</v>
      </c>
      <c r="G1131" s="111" t="b">
        <v>1</v>
      </c>
      <c r="H1131" s="111" t="b">
        <v>1</v>
      </c>
      <c r="I1131" s="1" t="s">
        <v>81</v>
      </c>
      <c r="J1131" s="1"/>
      <c r="K1131" s="1"/>
      <c r="L1131" s="1"/>
    </row>
    <row r="1132">
      <c r="A1132" s="110">
        <v>46221.014533124995</v>
      </c>
      <c r="B1132" s="1" t="s">
        <v>230</v>
      </c>
      <c r="C1132" s="1" t="s">
        <v>275</v>
      </c>
      <c r="D1132" s="129" t="s">
        <v>139</v>
      </c>
      <c r="E1132" s="1"/>
      <c r="F1132" s="111" t="b">
        <v>1</v>
      </c>
      <c r="G1132" s="111" t="b">
        <v>1</v>
      </c>
      <c r="H1132" s="111" t="b">
        <v>1</v>
      </c>
      <c r="I1132" s="1" t="s">
        <v>85</v>
      </c>
      <c r="J1132" s="1"/>
      <c r="K1132" s="1"/>
      <c r="L1132" s="1"/>
    </row>
    <row r="1133">
      <c r="A1133" s="110">
        <v>46221.01858452546</v>
      </c>
      <c r="B1133" s="1" t="s">
        <v>154</v>
      </c>
      <c r="C1133" s="1" t="s">
        <v>140</v>
      </c>
      <c r="D1133" s="129" t="s">
        <v>139</v>
      </c>
      <c r="E1133" s="1" t="s">
        <v>407</v>
      </c>
      <c r="F1133" s="111" t="b">
        <v>1</v>
      </c>
      <c r="G1133" s="111" t="b">
        <v>1</v>
      </c>
      <c r="H1133" s="111" t="b">
        <v>1</v>
      </c>
      <c r="I1133" s="1" t="s">
        <v>87</v>
      </c>
      <c r="J1133" s="1"/>
      <c r="K1133" s="1"/>
      <c r="L1133" s="1"/>
    </row>
    <row r="1134">
      <c r="A1134" s="110">
        <v>46221.0191759375</v>
      </c>
      <c r="B1134" s="1" t="s">
        <v>237</v>
      </c>
      <c r="C1134" s="1" t="s">
        <v>196</v>
      </c>
      <c r="D1134" s="1" t="s">
        <v>130</v>
      </c>
      <c r="E1134" s="1" t="s">
        <v>157</v>
      </c>
      <c r="F1134" s="111" t="b">
        <v>1</v>
      </c>
      <c r="G1134" s="111" t="b">
        <v>1</v>
      </c>
      <c r="H1134" s="111" t="b">
        <v>1</v>
      </c>
      <c r="I1134" s="1" t="s">
        <v>87</v>
      </c>
      <c r="J1134" s="1"/>
      <c r="K1134" s="1"/>
      <c r="L1134" s="1"/>
    </row>
    <row r="1135">
      <c r="A1135" s="110">
        <v>46221.041492268516</v>
      </c>
      <c r="B1135" s="1" t="s">
        <v>237</v>
      </c>
      <c r="C1135" s="1" t="s">
        <v>154</v>
      </c>
      <c r="D1135" s="1" t="s">
        <v>130</v>
      </c>
      <c r="E1135" s="1" t="s">
        <v>157</v>
      </c>
      <c r="F1135" s="111" t="b">
        <v>1</v>
      </c>
      <c r="G1135" s="111" t="b">
        <v>1</v>
      </c>
      <c r="H1135" s="111" t="b">
        <v>1</v>
      </c>
      <c r="I1135" s="1" t="s">
        <v>85</v>
      </c>
      <c r="J1135" s="1"/>
      <c r="K1135" s="1"/>
      <c r="L1135" s="1"/>
    </row>
    <row r="1136">
      <c r="A1136" s="110">
        <v>46221.04707064814</v>
      </c>
      <c r="B1136" s="1" t="s">
        <v>196</v>
      </c>
      <c r="C1136" s="1" t="s">
        <v>275</v>
      </c>
      <c r="D1136" s="129" t="s">
        <v>139</v>
      </c>
      <c r="E1136" s="1"/>
      <c r="F1136" s="111" t="b">
        <v>1</v>
      </c>
      <c r="G1136" s="111" t="b">
        <v>1</v>
      </c>
      <c r="H1136" s="111" t="b">
        <v>1</v>
      </c>
      <c r="I1136" s="1" t="s">
        <v>99</v>
      </c>
      <c r="J1136" s="1"/>
      <c r="K1136" s="1"/>
      <c r="L1136" s="1"/>
    </row>
    <row r="1137">
      <c r="A1137" s="110">
        <v>46221.04930155093</v>
      </c>
      <c r="B1137" s="1" t="s">
        <v>133</v>
      </c>
      <c r="C1137" s="1" t="s">
        <v>164</v>
      </c>
      <c r="D1137" s="129" t="s">
        <v>139</v>
      </c>
      <c r="E1137" s="1" t="s">
        <v>408</v>
      </c>
      <c r="F1137" s="111" t="b">
        <v>1</v>
      </c>
      <c r="G1137" s="111" t="b">
        <v>1</v>
      </c>
      <c r="H1137" s="111" t="b">
        <v>1</v>
      </c>
      <c r="I1137" s="1" t="s">
        <v>95</v>
      </c>
      <c r="J1137" s="1"/>
      <c r="K1137" s="1"/>
      <c r="L1137" s="1"/>
    </row>
    <row r="1138">
      <c r="A1138" s="110">
        <v>46221.06087613426</v>
      </c>
      <c r="B1138" s="1" t="s">
        <v>133</v>
      </c>
      <c r="C1138" s="1" t="s">
        <v>196</v>
      </c>
      <c r="D1138" s="129" t="s">
        <v>139</v>
      </c>
      <c r="E1138" s="1" t="s">
        <v>167</v>
      </c>
      <c r="F1138" s="111" t="b">
        <v>1</v>
      </c>
      <c r="G1138" s="1"/>
      <c r="H1138" s="111" t="b">
        <v>1</v>
      </c>
      <c r="I1138" s="1"/>
      <c r="J1138" s="1"/>
      <c r="K1138" s="1"/>
      <c r="L1138" s="1"/>
    </row>
    <row r="1139">
      <c r="A1139" s="110">
        <v>46221.334066932875</v>
      </c>
      <c r="B1139" s="1" t="s">
        <v>293</v>
      </c>
      <c r="C1139" s="1" t="s">
        <v>160</v>
      </c>
      <c r="D1139" s="1" t="s">
        <v>130</v>
      </c>
      <c r="E1139" s="1" t="s">
        <v>157</v>
      </c>
      <c r="F1139" s="111" t="b">
        <v>1</v>
      </c>
      <c r="G1139" s="111" t="b">
        <v>1</v>
      </c>
      <c r="H1139" s="111" t="b">
        <v>1</v>
      </c>
      <c r="I1139" s="1" t="s">
        <v>97</v>
      </c>
      <c r="J1139" s="1"/>
      <c r="K1139" s="1"/>
      <c r="L1139" s="1"/>
    </row>
    <row r="1140">
      <c r="A1140" s="110">
        <v>46221.37638884259</v>
      </c>
      <c r="B1140" s="1" t="s">
        <v>160</v>
      </c>
      <c r="C1140" s="1" t="s">
        <v>280</v>
      </c>
      <c r="D1140" s="129" t="s">
        <v>139</v>
      </c>
      <c r="E1140" s="1"/>
      <c r="F1140" s="111" t="b">
        <v>1</v>
      </c>
      <c r="G1140" s="111" t="b">
        <v>1</v>
      </c>
      <c r="H1140" s="111" t="b">
        <v>1</v>
      </c>
      <c r="I1140" s="1" t="s">
        <v>120</v>
      </c>
      <c r="J1140" s="1"/>
      <c r="K1140" s="1"/>
      <c r="L1140" s="1"/>
    </row>
    <row r="1141">
      <c r="A1141" s="110">
        <v>46221.432141122685</v>
      </c>
      <c r="B1141" s="1" t="s">
        <v>160</v>
      </c>
      <c r="C1141" s="1" t="s">
        <v>141</v>
      </c>
      <c r="D1141" s="1" t="s">
        <v>130</v>
      </c>
      <c r="E1141" s="1"/>
      <c r="F1141" s="111" t="b">
        <v>1</v>
      </c>
      <c r="G1141" s="111" t="b">
        <v>1</v>
      </c>
      <c r="H1141" s="111" t="b">
        <v>1</v>
      </c>
      <c r="I1141" s="1" t="s">
        <v>106</v>
      </c>
      <c r="J1141" s="1"/>
      <c r="K1141" s="1"/>
      <c r="L1141" s="1"/>
    </row>
    <row r="1142">
      <c r="A1142" s="110">
        <v>46221.477940972225</v>
      </c>
      <c r="B1142" s="1" t="s">
        <v>238</v>
      </c>
      <c r="C1142" s="1" t="s">
        <v>150</v>
      </c>
      <c r="D1142" s="129" t="s">
        <v>139</v>
      </c>
      <c r="E1142" s="1"/>
      <c r="F1142" s="111" t="b">
        <v>1</v>
      </c>
      <c r="G1142" s="111" t="b">
        <v>1</v>
      </c>
      <c r="H1142" s="111" t="b">
        <v>1</v>
      </c>
      <c r="I1142" s="1" t="s">
        <v>102</v>
      </c>
      <c r="J1142" s="1"/>
      <c r="K1142" s="1"/>
      <c r="L1142" s="1"/>
    </row>
    <row r="1143">
      <c r="A1143" s="110">
        <v>46221.50024907407</v>
      </c>
      <c r="B1143" s="1" t="s">
        <v>132</v>
      </c>
      <c r="C1143" s="1" t="s">
        <v>129</v>
      </c>
      <c r="D1143" s="1" t="s">
        <v>130</v>
      </c>
      <c r="E1143" s="1"/>
      <c r="F1143" s="111" t="b">
        <v>1</v>
      </c>
      <c r="G1143" s="111" t="b">
        <v>1</v>
      </c>
      <c r="H1143" s="111" t="b">
        <v>1</v>
      </c>
      <c r="I1143" s="1" t="s">
        <v>93</v>
      </c>
      <c r="J1143" s="1"/>
      <c r="K1143" s="1"/>
      <c r="L1143" s="1"/>
    </row>
    <row r="1144">
      <c r="A1144" s="110">
        <v>46221.51714604167</v>
      </c>
      <c r="B1144" s="1" t="s">
        <v>215</v>
      </c>
      <c r="C1144" s="1" t="s">
        <v>237</v>
      </c>
      <c r="D1144" s="1" t="s">
        <v>130</v>
      </c>
      <c r="E1144" s="1" t="s">
        <v>409</v>
      </c>
      <c r="F1144" s="111" t="b">
        <v>1</v>
      </c>
      <c r="G1144" s="111" t="b">
        <v>1</v>
      </c>
      <c r="H1144" s="111" t="b">
        <v>1</v>
      </c>
      <c r="I1144" s="1" t="s">
        <v>79</v>
      </c>
      <c r="J1144" s="1"/>
      <c r="K1144" s="1"/>
      <c r="L1144" s="1"/>
    </row>
    <row r="1145">
      <c r="A1145" s="110">
        <v>46221.52643208334</v>
      </c>
      <c r="B1145" s="1" t="s">
        <v>150</v>
      </c>
      <c r="C1145" s="1" t="s">
        <v>218</v>
      </c>
      <c r="D1145" s="1" t="s">
        <v>130</v>
      </c>
      <c r="E1145" s="1" t="s">
        <v>249</v>
      </c>
      <c r="F1145" s="111" t="b">
        <v>1</v>
      </c>
      <c r="G1145" s="111" t="b">
        <v>1</v>
      </c>
      <c r="H1145" s="111" t="b">
        <v>1</v>
      </c>
      <c r="I1145" s="1" t="s">
        <v>90</v>
      </c>
      <c r="J1145" s="1"/>
      <c r="K1145" s="1"/>
      <c r="L1145" s="1"/>
    </row>
    <row r="1146">
      <c r="A1146" s="110">
        <v>46221.53798158564</v>
      </c>
      <c r="B1146" s="1" t="s">
        <v>150</v>
      </c>
      <c r="C1146" s="1" t="s">
        <v>133</v>
      </c>
      <c r="D1146" s="1" t="s">
        <v>130</v>
      </c>
      <c r="E1146" s="1" t="s">
        <v>410</v>
      </c>
      <c r="F1146" s="111" t="b">
        <v>1</v>
      </c>
      <c r="G1146" s="111" t="b">
        <v>1</v>
      </c>
      <c r="H1146" s="111" t="b">
        <v>1</v>
      </c>
      <c r="I1146" s="1" t="s">
        <v>79</v>
      </c>
      <c r="J1146" s="1"/>
      <c r="K1146" s="1"/>
      <c r="L1146" s="1"/>
    </row>
    <row r="1147">
      <c r="A1147" s="110">
        <v>46221.55002976852</v>
      </c>
      <c r="B1147" s="1" t="s">
        <v>218</v>
      </c>
      <c r="C1147" s="1" t="s">
        <v>321</v>
      </c>
      <c r="D1147" s="129" t="s">
        <v>139</v>
      </c>
      <c r="E1147" s="1"/>
      <c r="F1147" s="111" t="b">
        <v>1</v>
      </c>
      <c r="G1147" s="111" t="b">
        <v>1</v>
      </c>
      <c r="H1147" s="111" t="b">
        <v>1</v>
      </c>
      <c r="I1147" s="1" t="s">
        <v>81</v>
      </c>
      <c r="J1147" s="1"/>
      <c r="K1147" s="1"/>
      <c r="L1147" s="1"/>
    </row>
    <row r="1148">
      <c r="A1148" s="110">
        <v>46221.563811053245</v>
      </c>
      <c r="B1148" s="1" t="s">
        <v>150</v>
      </c>
      <c r="C1148" s="1" t="s">
        <v>161</v>
      </c>
      <c r="D1148" s="129" t="s">
        <v>139</v>
      </c>
      <c r="E1148" s="1" t="s">
        <v>411</v>
      </c>
      <c r="F1148" s="111" t="b">
        <v>1</v>
      </c>
      <c r="G1148" s="111" t="b">
        <v>1</v>
      </c>
      <c r="H1148" s="111" t="b">
        <v>1</v>
      </c>
      <c r="I1148" s="1" t="s">
        <v>147</v>
      </c>
      <c r="J1148" s="1"/>
      <c r="K1148" s="1"/>
      <c r="L1148" s="1"/>
    </row>
    <row r="1149">
      <c r="A1149" s="110">
        <v>46221.58063489583</v>
      </c>
      <c r="B1149" s="1" t="s">
        <v>129</v>
      </c>
      <c r="C1149" s="1" t="s">
        <v>135</v>
      </c>
      <c r="D1149" s="129" t="s">
        <v>139</v>
      </c>
      <c r="E1149" s="1" t="s">
        <v>167</v>
      </c>
      <c r="F1149" s="111" t="b">
        <v>1</v>
      </c>
      <c r="G1149" s="1"/>
      <c r="H1149" s="111" t="b">
        <v>1</v>
      </c>
      <c r="I1149" s="1"/>
      <c r="J1149" s="1"/>
      <c r="K1149" s="1"/>
      <c r="L1149" s="1"/>
    </row>
    <row r="1150">
      <c r="A1150" s="110">
        <v>46221.58817912037</v>
      </c>
      <c r="B1150" s="1" t="s">
        <v>195</v>
      </c>
      <c r="C1150" s="1" t="s">
        <v>161</v>
      </c>
      <c r="D1150" s="1" t="s">
        <v>130</v>
      </c>
      <c r="E1150" s="1"/>
      <c r="F1150" s="111" t="b">
        <v>1</v>
      </c>
      <c r="G1150" s="111" t="b">
        <v>1</v>
      </c>
      <c r="H1150" s="111" t="b">
        <v>1</v>
      </c>
      <c r="I1150" s="1" t="s">
        <v>90</v>
      </c>
      <c r="J1150" s="1"/>
      <c r="K1150" s="1"/>
      <c r="L1150" s="1"/>
    </row>
    <row r="1151">
      <c r="A1151" s="110">
        <v>46221.602146087964</v>
      </c>
      <c r="B1151" s="1" t="s">
        <v>150</v>
      </c>
      <c r="C1151" s="1" t="s">
        <v>128</v>
      </c>
      <c r="D1151" s="129" t="s">
        <v>139</v>
      </c>
      <c r="E1151" s="1" t="s">
        <v>412</v>
      </c>
      <c r="F1151" s="111" t="b">
        <v>1</v>
      </c>
      <c r="G1151" s="111" t="b">
        <v>1</v>
      </c>
      <c r="H1151" s="111" t="b">
        <v>1</v>
      </c>
      <c r="I1151" s="1" t="s">
        <v>202</v>
      </c>
      <c r="J1151" s="1"/>
      <c r="K1151" s="1"/>
      <c r="L1151" s="1"/>
    </row>
    <row r="1152">
      <c r="A1152" s="110">
        <v>46221.61655097222</v>
      </c>
      <c r="B1152" s="1" t="s">
        <v>195</v>
      </c>
      <c r="C1152" s="1" t="s">
        <v>142</v>
      </c>
      <c r="D1152" s="129" t="s">
        <v>139</v>
      </c>
      <c r="E1152" s="1"/>
      <c r="F1152" s="111" t="b">
        <v>1</v>
      </c>
      <c r="G1152" s="111" t="b">
        <v>1</v>
      </c>
      <c r="H1152" s="111" t="b">
        <v>1</v>
      </c>
      <c r="I1152" s="1" t="s">
        <v>87</v>
      </c>
      <c r="J1152" s="1"/>
      <c r="K1152" s="1"/>
      <c r="L1152" s="1"/>
    </row>
    <row r="1153">
      <c r="A1153" s="110">
        <v>46221.62691811343</v>
      </c>
      <c r="B1153" s="1" t="s">
        <v>210</v>
      </c>
      <c r="C1153" s="1" t="s">
        <v>142</v>
      </c>
      <c r="D1153" s="1" t="s">
        <v>130</v>
      </c>
      <c r="E1153" s="1"/>
      <c r="F1153" s="111" t="b">
        <v>1</v>
      </c>
      <c r="G1153" s="111" t="b">
        <v>1</v>
      </c>
      <c r="H1153" s="111" t="b">
        <v>1</v>
      </c>
      <c r="I1153" s="1" t="s">
        <v>118</v>
      </c>
      <c r="J1153" s="1"/>
      <c r="K1153" s="1"/>
      <c r="L1153" s="1"/>
    </row>
    <row r="1154">
      <c r="A1154" s="110">
        <v>46221.65648063658</v>
      </c>
      <c r="B1154" s="1" t="s">
        <v>142</v>
      </c>
      <c r="C1154" s="1" t="s">
        <v>135</v>
      </c>
      <c r="D1154" s="1" t="s">
        <v>130</v>
      </c>
      <c r="E1154" s="1" t="s">
        <v>268</v>
      </c>
      <c r="F1154" s="111" t="b">
        <v>1</v>
      </c>
      <c r="G1154" s="1"/>
      <c r="H1154" s="111" t="b">
        <v>1</v>
      </c>
      <c r="I1154" s="1"/>
      <c r="J1154" s="1"/>
      <c r="K1154" s="1"/>
      <c r="L1154" s="1"/>
    </row>
    <row r="1155">
      <c r="A1155" s="110">
        <v>46221.65922328703</v>
      </c>
      <c r="B1155" s="1" t="s">
        <v>210</v>
      </c>
      <c r="C1155" s="1" t="s">
        <v>195</v>
      </c>
      <c r="D1155" s="129" t="s">
        <v>139</v>
      </c>
      <c r="E1155" s="1"/>
      <c r="F1155" s="111" t="b">
        <v>1</v>
      </c>
      <c r="G1155" s="111" t="b">
        <v>1</v>
      </c>
      <c r="H1155" s="111" t="b">
        <v>1</v>
      </c>
      <c r="I1155" s="1" t="s">
        <v>202</v>
      </c>
      <c r="J1155" s="1"/>
      <c r="K1155" s="1"/>
      <c r="L1155" s="1"/>
    </row>
    <row r="1156">
      <c r="A1156" s="110">
        <v>46221.67210689815</v>
      </c>
      <c r="B1156" s="1" t="s">
        <v>145</v>
      </c>
      <c r="C1156" s="1" t="s">
        <v>129</v>
      </c>
      <c r="D1156" s="1" t="s">
        <v>130</v>
      </c>
      <c r="E1156" s="1" t="s">
        <v>413</v>
      </c>
      <c r="F1156" s="111" t="b">
        <v>1</v>
      </c>
      <c r="G1156" s="1"/>
      <c r="H1156" s="111" t="b">
        <v>1</v>
      </c>
      <c r="I1156" s="1"/>
      <c r="J1156" s="1"/>
      <c r="K1156" s="1"/>
      <c r="L1156" s="1"/>
    </row>
    <row r="1157">
      <c r="A1157" s="110">
        <v>46221.67692880787</v>
      </c>
      <c r="B1157" s="1" t="s">
        <v>142</v>
      </c>
      <c r="C1157" s="1" t="s">
        <v>205</v>
      </c>
      <c r="D1157" s="129" t="s">
        <v>139</v>
      </c>
      <c r="E1157" s="1" t="s">
        <v>268</v>
      </c>
      <c r="F1157" s="111" t="b">
        <v>1</v>
      </c>
      <c r="G1157" s="111" t="b">
        <v>1</v>
      </c>
      <c r="H1157" s="111" t="b">
        <v>1</v>
      </c>
      <c r="I1157" s="1" t="s">
        <v>83</v>
      </c>
      <c r="J1157" s="1"/>
      <c r="K1157" s="1"/>
      <c r="L1157" s="1"/>
    </row>
    <row r="1158">
      <c r="A1158" s="110">
        <v>46221.70174746528</v>
      </c>
      <c r="B1158" s="1" t="s">
        <v>195</v>
      </c>
      <c r="C1158" s="1" t="s">
        <v>205</v>
      </c>
      <c r="D1158" s="1" t="s">
        <v>130</v>
      </c>
      <c r="E1158" s="1"/>
      <c r="F1158" s="111" t="b">
        <v>1</v>
      </c>
      <c r="G1158" s="111" t="b">
        <v>1</v>
      </c>
      <c r="H1158" s="111" t="b">
        <v>1</v>
      </c>
      <c r="I1158" s="1" t="s">
        <v>87</v>
      </c>
      <c r="J1158" s="1"/>
      <c r="K1158" s="1"/>
      <c r="L1158" s="1"/>
    </row>
    <row r="1159">
      <c r="A1159" s="110">
        <v>46221.70297106481</v>
      </c>
      <c r="B1159" s="1" t="s">
        <v>168</v>
      </c>
      <c r="C1159" s="1" t="s">
        <v>145</v>
      </c>
      <c r="D1159" s="129" t="s">
        <v>139</v>
      </c>
      <c r="E1159" s="1" t="s">
        <v>414</v>
      </c>
      <c r="F1159" s="111" t="b">
        <v>1</v>
      </c>
      <c r="G1159" s="111" t="b">
        <v>1</v>
      </c>
      <c r="H1159" s="111" t="b">
        <v>1</v>
      </c>
      <c r="I1159" s="1" t="s">
        <v>102</v>
      </c>
      <c r="J1159" s="1"/>
      <c r="K1159" s="1"/>
      <c r="L1159" s="1"/>
    </row>
    <row r="1160">
      <c r="A1160" s="110">
        <v>46221.71907204861</v>
      </c>
      <c r="B1160" s="1" t="s">
        <v>145</v>
      </c>
      <c r="C1160" s="1" t="s">
        <v>247</v>
      </c>
      <c r="D1160" s="1" t="s">
        <v>130</v>
      </c>
      <c r="E1160" s="1"/>
      <c r="F1160" s="111" t="b">
        <v>1</v>
      </c>
      <c r="G1160" s="111" t="b">
        <v>1</v>
      </c>
      <c r="H1160" s="111" t="b">
        <v>1</v>
      </c>
      <c r="I1160" s="1" t="s">
        <v>102</v>
      </c>
      <c r="J1160" s="1"/>
      <c r="K1160" s="1"/>
      <c r="L1160" s="1"/>
    </row>
    <row r="1161">
      <c r="A1161" s="110">
        <v>46221.72668090278</v>
      </c>
      <c r="B1161" s="1" t="s">
        <v>137</v>
      </c>
      <c r="C1161" s="1" t="s">
        <v>142</v>
      </c>
      <c r="D1161" s="129" t="s">
        <v>139</v>
      </c>
      <c r="E1161" s="1" t="s">
        <v>415</v>
      </c>
      <c r="F1161" s="111" t="b">
        <v>1</v>
      </c>
      <c r="G1161" s="111" t="b">
        <v>1</v>
      </c>
      <c r="H1161" s="111" t="b">
        <v>1</v>
      </c>
      <c r="I1161" s="1" t="s">
        <v>98</v>
      </c>
      <c r="J1161" s="1"/>
      <c r="K1161" s="1"/>
      <c r="L1161" s="1"/>
    </row>
    <row r="1162">
      <c r="A1162" s="110">
        <v>46221.72744863426</v>
      </c>
      <c r="B1162" s="1" t="s">
        <v>169</v>
      </c>
      <c r="C1162" s="1" t="s">
        <v>138</v>
      </c>
      <c r="D1162" s="1" t="s">
        <v>130</v>
      </c>
      <c r="E1162" s="1"/>
      <c r="F1162" s="111" t="b">
        <v>1</v>
      </c>
      <c r="G1162" s="111" t="b">
        <v>1</v>
      </c>
      <c r="H1162" s="111" t="b">
        <v>1</v>
      </c>
      <c r="I1162" s="1" t="s">
        <v>102</v>
      </c>
      <c r="J1162" s="1"/>
      <c r="K1162" s="1"/>
      <c r="L1162" s="1"/>
    </row>
    <row r="1163">
      <c r="A1163" s="110">
        <v>46221.72803953703</v>
      </c>
      <c r="B1163" s="1" t="s">
        <v>140</v>
      </c>
      <c r="C1163" s="1" t="s">
        <v>205</v>
      </c>
      <c r="D1163" s="129" t="s">
        <v>139</v>
      </c>
      <c r="E1163" s="1"/>
      <c r="F1163" s="111" t="b">
        <v>1</v>
      </c>
      <c r="G1163" s="111" t="b">
        <v>1</v>
      </c>
      <c r="H1163" s="111" t="b">
        <v>1</v>
      </c>
      <c r="I1163" s="1" t="s">
        <v>84</v>
      </c>
      <c r="J1163" s="1"/>
      <c r="K1163" s="1"/>
      <c r="L1163" s="1"/>
    </row>
    <row r="1164">
      <c r="A1164" s="110">
        <v>46221.738023680555</v>
      </c>
      <c r="B1164" s="1" t="s">
        <v>229</v>
      </c>
      <c r="C1164" s="1" t="s">
        <v>138</v>
      </c>
      <c r="D1164" s="129" t="s">
        <v>139</v>
      </c>
      <c r="E1164" s="1" t="s">
        <v>157</v>
      </c>
      <c r="F1164" s="111" t="b">
        <v>1</v>
      </c>
      <c r="G1164" s="111" t="b">
        <v>1</v>
      </c>
      <c r="H1164" s="111" t="b">
        <v>1</v>
      </c>
      <c r="I1164" s="1" t="s">
        <v>120</v>
      </c>
      <c r="J1164" s="1"/>
      <c r="K1164" s="1"/>
      <c r="L1164" s="1"/>
    </row>
    <row r="1165">
      <c r="A1165" s="110">
        <v>46221.74415115741</v>
      </c>
      <c r="B1165" s="1" t="s">
        <v>247</v>
      </c>
      <c r="C1165" s="1" t="s">
        <v>89</v>
      </c>
      <c r="D1165" s="129" t="s">
        <v>139</v>
      </c>
      <c r="E1165" s="1"/>
      <c r="F1165" s="111" t="b">
        <v>1</v>
      </c>
      <c r="G1165" s="111" t="b">
        <v>1</v>
      </c>
      <c r="H1165" s="111" t="b">
        <v>1</v>
      </c>
      <c r="I1165" s="1" t="s">
        <v>95</v>
      </c>
      <c r="J1165" s="1"/>
      <c r="K1165" s="1"/>
      <c r="L1165" s="1"/>
    </row>
    <row r="1166">
      <c r="A1166" s="110">
        <v>46221.7449490625</v>
      </c>
      <c r="B1166" s="1" t="s">
        <v>140</v>
      </c>
      <c r="C1166" s="1" t="s">
        <v>169</v>
      </c>
      <c r="D1166" s="1" t="s">
        <v>130</v>
      </c>
      <c r="E1166" s="1"/>
      <c r="F1166" s="111" t="b">
        <v>1</v>
      </c>
      <c r="G1166" s="111" t="b">
        <v>1</v>
      </c>
      <c r="H1166" s="111" t="b">
        <v>1</v>
      </c>
      <c r="I1166" s="1" t="s">
        <v>102</v>
      </c>
      <c r="J1166" s="1"/>
      <c r="K1166" s="1"/>
      <c r="L1166" s="1"/>
    </row>
    <row r="1167">
      <c r="A1167" s="110">
        <v>46221.76263548611</v>
      </c>
      <c r="B1167" s="1" t="s">
        <v>89</v>
      </c>
      <c r="C1167" s="1" t="s">
        <v>169</v>
      </c>
      <c r="D1167" s="1" t="s">
        <v>130</v>
      </c>
      <c r="E1167" s="1"/>
      <c r="F1167" s="111" t="b">
        <v>1</v>
      </c>
      <c r="G1167" s="111" t="b">
        <v>1</v>
      </c>
      <c r="H1167" s="111" t="b">
        <v>1</v>
      </c>
      <c r="I1167" s="1" t="s">
        <v>81</v>
      </c>
      <c r="J1167" s="1"/>
      <c r="K1167" s="1"/>
      <c r="L1167" s="1"/>
    </row>
    <row r="1168">
      <c r="A1168" s="110">
        <v>46221.78320309028</v>
      </c>
      <c r="B1168" s="1" t="s">
        <v>89</v>
      </c>
      <c r="C1168" s="1" t="s">
        <v>237</v>
      </c>
      <c r="D1168" s="129" t="s">
        <v>139</v>
      </c>
      <c r="E1168" s="1" t="s">
        <v>167</v>
      </c>
      <c r="F1168" s="111" t="b">
        <v>1</v>
      </c>
      <c r="G1168" s="111" t="b">
        <v>1</v>
      </c>
      <c r="H1168" s="111" t="b">
        <v>1</v>
      </c>
      <c r="I1168" s="1" t="s">
        <v>81</v>
      </c>
      <c r="J1168" s="1"/>
      <c r="K1168" s="1"/>
      <c r="L1168" s="1"/>
    </row>
    <row r="1169">
      <c r="A1169" s="110">
        <v>46221.79015905093</v>
      </c>
      <c r="B1169" s="1" t="s">
        <v>203</v>
      </c>
      <c r="C1169" s="1" t="s">
        <v>163</v>
      </c>
      <c r="D1169" s="129" t="s">
        <v>139</v>
      </c>
      <c r="E1169" s="1"/>
      <c r="F1169" s="111" t="b">
        <v>1</v>
      </c>
      <c r="G1169" s="111" t="b">
        <v>1</v>
      </c>
      <c r="H1169" s="111" t="b">
        <v>1</v>
      </c>
      <c r="I1169" s="1" t="s">
        <v>118</v>
      </c>
      <c r="J1169" s="1"/>
      <c r="K1169" s="1"/>
      <c r="L1169" s="1"/>
    </row>
    <row r="1170">
      <c r="A1170" s="110">
        <v>46221.80615568287</v>
      </c>
      <c r="B1170" s="1" t="s">
        <v>89</v>
      </c>
      <c r="C1170" s="1" t="s">
        <v>161</v>
      </c>
      <c r="D1170" s="1" t="s">
        <v>130</v>
      </c>
      <c r="E1170" s="1" t="s">
        <v>157</v>
      </c>
      <c r="F1170" s="111" t="b">
        <v>1</v>
      </c>
      <c r="G1170" s="111" t="b">
        <v>1</v>
      </c>
      <c r="H1170" s="111" t="b">
        <v>1</v>
      </c>
      <c r="I1170" s="1" t="s">
        <v>93</v>
      </c>
      <c r="J1170" s="1"/>
      <c r="K1170" s="1"/>
      <c r="L1170" s="1"/>
    </row>
    <row r="1171">
      <c r="A1171" s="110">
        <v>46221.831352685185</v>
      </c>
      <c r="B1171" s="1" t="s">
        <v>210</v>
      </c>
      <c r="C1171" s="1" t="s">
        <v>279</v>
      </c>
      <c r="D1171" s="129" t="s">
        <v>139</v>
      </c>
      <c r="E1171" s="1"/>
      <c r="F1171" s="111" t="b">
        <v>1</v>
      </c>
      <c r="G1171" s="111" t="b">
        <v>1</v>
      </c>
      <c r="H1171" s="111" t="b">
        <v>1</v>
      </c>
      <c r="I1171" s="1" t="s">
        <v>118</v>
      </c>
      <c r="J1171" s="1"/>
      <c r="K1171" s="1"/>
      <c r="L1171" s="1"/>
    </row>
    <row r="1172">
      <c r="A1172" s="110">
        <v>46221.831561342595</v>
      </c>
      <c r="B1172" s="1" t="s">
        <v>131</v>
      </c>
      <c r="C1172" s="1" t="s">
        <v>195</v>
      </c>
      <c r="D1172" s="1" t="s">
        <v>130</v>
      </c>
      <c r="E1172" s="1"/>
      <c r="F1172" s="111" t="b">
        <v>1</v>
      </c>
      <c r="G1172" s="111" t="b">
        <v>1</v>
      </c>
      <c r="H1172" s="111" t="b">
        <v>1</v>
      </c>
      <c r="I1172" s="1" t="s">
        <v>83</v>
      </c>
      <c r="J1172" s="1"/>
      <c r="K1172" s="1"/>
      <c r="L1172" s="1"/>
    </row>
    <row r="1173">
      <c r="A1173" s="110">
        <v>46221.842531180555</v>
      </c>
      <c r="B1173" s="1" t="s">
        <v>267</v>
      </c>
      <c r="C1173" s="1" t="s">
        <v>168</v>
      </c>
      <c r="D1173" s="129" t="s">
        <v>139</v>
      </c>
      <c r="E1173" s="1" t="s">
        <v>268</v>
      </c>
      <c r="F1173" s="111" t="b">
        <v>1</v>
      </c>
      <c r="G1173" s="111" t="b">
        <v>1</v>
      </c>
      <c r="H1173" s="111" t="b">
        <v>1</v>
      </c>
      <c r="I1173" s="1" t="s">
        <v>81</v>
      </c>
      <c r="J1173" s="1"/>
      <c r="K1173" s="1"/>
      <c r="L1173" s="1"/>
    </row>
    <row r="1174">
      <c r="A1174" s="110">
        <v>46221.87481732639</v>
      </c>
      <c r="B1174" s="1" t="s">
        <v>228</v>
      </c>
      <c r="C1174" s="1" t="s">
        <v>131</v>
      </c>
      <c r="D1174" s="1" t="s">
        <v>130</v>
      </c>
      <c r="E1174" s="1"/>
      <c r="F1174" s="111" t="b">
        <v>1</v>
      </c>
      <c r="G1174" s="111" t="b">
        <v>1</v>
      </c>
      <c r="H1174" s="111" t="b">
        <v>1</v>
      </c>
      <c r="I1174" s="1" t="s">
        <v>102</v>
      </c>
      <c r="J1174" s="1"/>
      <c r="K1174" s="1"/>
      <c r="L1174" s="1"/>
    </row>
    <row r="1175">
      <c r="A1175" s="110">
        <v>46221.88212516204</v>
      </c>
      <c r="B1175" s="1" t="s">
        <v>279</v>
      </c>
      <c r="C1175" s="1" t="s">
        <v>194</v>
      </c>
      <c r="D1175" s="1" t="s">
        <v>130</v>
      </c>
      <c r="E1175" s="1" t="s">
        <v>167</v>
      </c>
      <c r="F1175" s="111" t="b">
        <v>1</v>
      </c>
      <c r="G1175" s="111" t="b">
        <v>1</v>
      </c>
      <c r="H1175" s="111" t="b">
        <v>1</v>
      </c>
      <c r="I1175" s="1" t="s">
        <v>120</v>
      </c>
      <c r="J1175" s="1"/>
      <c r="K1175" s="1"/>
      <c r="L1175" s="1"/>
    </row>
    <row r="1176">
      <c r="A1176" s="110">
        <v>46221.88698949074</v>
      </c>
      <c r="B1176" s="1" t="s">
        <v>296</v>
      </c>
      <c r="C1176" s="1" t="s">
        <v>132</v>
      </c>
      <c r="D1176" s="1" t="s">
        <v>130</v>
      </c>
      <c r="E1176" s="1"/>
      <c r="F1176" s="111" t="b">
        <v>1</v>
      </c>
      <c r="G1176" s="111" t="b">
        <v>1</v>
      </c>
      <c r="H1176" s="111" t="b">
        <v>1</v>
      </c>
      <c r="I1176" s="1" t="s">
        <v>90</v>
      </c>
      <c r="J1176" s="1"/>
      <c r="K1176" s="1"/>
      <c r="L1176" s="1"/>
    </row>
    <row r="1177">
      <c r="A1177" s="110">
        <v>46221.90029715278</v>
      </c>
      <c r="B1177" s="1" t="s">
        <v>223</v>
      </c>
      <c r="C1177" s="1" t="s">
        <v>181</v>
      </c>
      <c r="D1177" s="1" t="s">
        <v>130</v>
      </c>
      <c r="E1177" s="1"/>
      <c r="F1177" s="111" t="b">
        <v>1</v>
      </c>
      <c r="G1177" s="111" t="b">
        <v>1</v>
      </c>
      <c r="H1177" s="111" t="b">
        <v>1</v>
      </c>
      <c r="I1177" s="1" t="s">
        <v>102</v>
      </c>
      <c r="J1177" s="1"/>
      <c r="K1177" s="1"/>
      <c r="L1177" s="1"/>
    </row>
    <row r="1178">
      <c r="A1178" s="110">
        <v>46221.91237696759</v>
      </c>
      <c r="B1178" s="1" t="s">
        <v>132</v>
      </c>
      <c r="C1178" s="1" t="s">
        <v>228</v>
      </c>
      <c r="D1178" s="1" t="s">
        <v>130</v>
      </c>
      <c r="E1178" s="1"/>
      <c r="F1178" s="111" t="b">
        <v>1</v>
      </c>
      <c r="G1178" s="111" t="b">
        <v>1</v>
      </c>
      <c r="H1178" s="111" t="b">
        <v>1</v>
      </c>
      <c r="I1178" s="1" t="s">
        <v>81</v>
      </c>
      <c r="J1178" s="1"/>
      <c r="K1178" s="1"/>
      <c r="L1178" s="1"/>
    </row>
    <row r="1179">
      <c r="A1179" s="110">
        <v>46221.92973403935</v>
      </c>
      <c r="B1179" s="1" t="s">
        <v>298</v>
      </c>
      <c r="C1179" s="1" t="s">
        <v>223</v>
      </c>
      <c r="D1179" s="1" t="s">
        <v>130</v>
      </c>
      <c r="E1179" s="1" t="s">
        <v>165</v>
      </c>
      <c r="F1179" s="111" t="b">
        <v>1</v>
      </c>
      <c r="G1179" s="111" t="b">
        <v>1</v>
      </c>
      <c r="H1179" s="111" t="b">
        <v>1</v>
      </c>
      <c r="I1179" s="1" t="s">
        <v>97</v>
      </c>
      <c r="J1179" s="1"/>
      <c r="K1179" s="1"/>
      <c r="L1179" s="1"/>
    </row>
    <row r="1180">
      <c r="A1180" s="110">
        <v>46221.94146407407</v>
      </c>
      <c r="B1180" s="1" t="s">
        <v>247</v>
      </c>
      <c r="C1180" s="1" t="s">
        <v>298</v>
      </c>
      <c r="D1180" s="1" t="s">
        <v>130</v>
      </c>
      <c r="E1180" s="1"/>
      <c r="F1180" s="111" t="b">
        <v>1</v>
      </c>
      <c r="G1180" s="111" t="b">
        <v>1</v>
      </c>
      <c r="H1180" s="111" t="b">
        <v>1</v>
      </c>
      <c r="I1180" s="1" t="s">
        <v>90</v>
      </c>
      <c r="J1180" s="1"/>
      <c r="K1180" s="1"/>
      <c r="L1180" s="1"/>
    </row>
    <row r="1181">
      <c r="A1181" s="110">
        <v>46221.96464167824</v>
      </c>
      <c r="B1181" s="1" t="s">
        <v>172</v>
      </c>
      <c r="C1181" s="1" t="s">
        <v>296</v>
      </c>
      <c r="D1181" s="129" t="s">
        <v>139</v>
      </c>
      <c r="E1181" s="1" t="s">
        <v>330</v>
      </c>
      <c r="F1181" s="111" t="b">
        <v>1</v>
      </c>
      <c r="G1181" s="111" t="b">
        <v>1</v>
      </c>
      <c r="H1181" s="111" t="b">
        <v>1</v>
      </c>
      <c r="I1181" s="1" t="s">
        <v>118</v>
      </c>
      <c r="J1181" s="1"/>
      <c r="K1181" s="1"/>
      <c r="L1181" s="1"/>
    </row>
    <row r="1182">
      <c r="A1182" s="110">
        <v>46221.968323622685</v>
      </c>
      <c r="B1182" s="1" t="s">
        <v>223</v>
      </c>
      <c r="C1182" s="1" t="s">
        <v>212</v>
      </c>
      <c r="D1182" s="129" t="s">
        <v>139</v>
      </c>
      <c r="E1182" s="1"/>
      <c r="F1182" s="111" t="b">
        <v>1</v>
      </c>
      <c r="G1182" s="111" t="b">
        <v>1</v>
      </c>
      <c r="H1182" s="111" t="b">
        <v>1</v>
      </c>
      <c r="I1182" s="1" t="s">
        <v>93</v>
      </c>
      <c r="J1182" s="1"/>
      <c r="K1182" s="1"/>
      <c r="L1182" s="1"/>
    </row>
    <row r="1183">
      <c r="A1183" s="110">
        <v>46221.97566210648</v>
      </c>
      <c r="B1183" s="1" t="s">
        <v>210</v>
      </c>
      <c r="C1183" s="1" t="s">
        <v>269</v>
      </c>
      <c r="D1183" s="129" t="s">
        <v>139</v>
      </c>
      <c r="E1183" s="1"/>
      <c r="F1183" s="111" t="b">
        <v>1</v>
      </c>
      <c r="G1183" s="111" t="b">
        <v>1</v>
      </c>
      <c r="H1183" s="111" t="b">
        <v>1</v>
      </c>
      <c r="I1183" s="1" t="s">
        <v>79</v>
      </c>
      <c r="J1183" s="1"/>
      <c r="K1183" s="1"/>
      <c r="L1183" s="1"/>
    </row>
    <row r="1184">
      <c r="A1184" s="110">
        <v>46221.99347077546</v>
      </c>
      <c r="B1184" s="1" t="s">
        <v>210</v>
      </c>
      <c r="C1184" s="1" t="s">
        <v>194</v>
      </c>
      <c r="D1184" s="1" t="s">
        <v>130</v>
      </c>
      <c r="E1184" s="1"/>
      <c r="F1184" s="111" t="b">
        <v>1</v>
      </c>
      <c r="G1184" s="111" t="b">
        <v>1</v>
      </c>
      <c r="H1184" s="111" t="b">
        <v>1</v>
      </c>
      <c r="I1184" s="1" t="s">
        <v>87</v>
      </c>
      <c r="J1184" s="1"/>
      <c r="K1184" s="1"/>
      <c r="L1184" s="1"/>
    </row>
    <row r="1185">
      <c r="A1185" s="110">
        <v>46221.996670266206</v>
      </c>
      <c r="B1185" s="1" t="s">
        <v>237</v>
      </c>
      <c r="C1185" s="1" t="s">
        <v>172</v>
      </c>
      <c r="D1185" s="1" t="s">
        <v>130</v>
      </c>
      <c r="E1185" s="1" t="s">
        <v>157</v>
      </c>
      <c r="F1185" s="111" t="b">
        <v>1</v>
      </c>
      <c r="G1185" s="111" t="b">
        <v>1</v>
      </c>
      <c r="H1185" s="111" t="b">
        <v>1</v>
      </c>
      <c r="I1185" s="1" t="s">
        <v>120</v>
      </c>
      <c r="J1185" s="1"/>
      <c r="K1185" s="1"/>
      <c r="L1185" s="1"/>
    </row>
    <row r="1186">
      <c r="A1186" s="110">
        <v>46222.32962965278</v>
      </c>
      <c r="B1186" s="1" t="s">
        <v>152</v>
      </c>
      <c r="C1186" s="1" t="s">
        <v>172</v>
      </c>
      <c r="D1186" s="1" t="s">
        <v>130</v>
      </c>
      <c r="E1186" s="1"/>
      <c r="F1186" s="111" t="b">
        <v>1</v>
      </c>
      <c r="G1186" s="111" t="b">
        <v>1</v>
      </c>
      <c r="H1186" s="111" t="b">
        <v>1</v>
      </c>
      <c r="I1186" s="1" t="s">
        <v>81</v>
      </c>
      <c r="J1186" s="1"/>
      <c r="K1186" s="1"/>
      <c r="L1186" s="1"/>
    </row>
    <row r="1187">
      <c r="A1187" s="110">
        <v>46222.453052453704</v>
      </c>
      <c r="B1187" s="1" t="s">
        <v>242</v>
      </c>
      <c r="C1187" s="1" t="s">
        <v>169</v>
      </c>
      <c r="D1187" s="1" t="s">
        <v>130</v>
      </c>
      <c r="E1187" s="1"/>
      <c r="F1187" s="111" t="b">
        <v>1</v>
      </c>
      <c r="G1187" s="111" t="b">
        <v>1</v>
      </c>
      <c r="H1187" s="111" t="b">
        <v>1</v>
      </c>
      <c r="I1187" s="1" t="s">
        <v>118</v>
      </c>
      <c r="J1187" s="1"/>
      <c r="K1187" s="1"/>
      <c r="L1187" s="1"/>
    </row>
    <row r="1188">
      <c r="A1188" s="110">
        <v>46222.59511277778</v>
      </c>
      <c r="B1188" s="1" t="s">
        <v>253</v>
      </c>
      <c r="C1188" s="1" t="s">
        <v>156</v>
      </c>
      <c r="D1188" s="1" t="s">
        <v>130</v>
      </c>
      <c r="E1188" s="1" t="s">
        <v>167</v>
      </c>
      <c r="F1188" s="111" t="b">
        <v>1</v>
      </c>
      <c r="G1188" s="111" t="b">
        <v>1</v>
      </c>
      <c r="H1188" s="111" t="b">
        <v>1</v>
      </c>
      <c r="I1188" s="1" t="s">
        <v>97</v>
      </c>
      <c r="J1188" s="1"/>
      <c r="K1188" s="1"/>
      <c r="L1188" s="1"/>
    </row>
    <row r="1189">
      <c r="A1189" s="110">
        <v>46222.6103843287</v>
      </c>
      <c r="B1189" s="1" t="s">
        <v>183</v>
      </c>
      <c r="C1189" s="1" t="s">
        <v>307</v>
      </c>
      <c r="D1189" s="129" t="s">
        <v>139</v>
      </c>
      <c r="E1189" s="1" t="s">
        <v>167</v>
      </c>
      <c r="F1189" s="111" t="b">
        <v>1</v>
      </c>
      <c r="G1189" s="111" t="b">
        <v>1</v>
      </c>
      <c r="H1189" s="111" t="b">
        <v>1</v>
      </c>
      <c r="I1189" s="1" t="s">
        <v>81</v>
      </c>
      <c r="J1189" s="1"/>
      <c r="K1189" s="1"/>
      <c r="L1189" s="1"/>
    </row>
    <row r="1190">
      <c r="A1190" s="110">
        <v>46222.624182581014</v>
      </c>
      <c r="B1190" s="1" t="s">
        <v>253</v>
      </c>
      <c r="C1190" s="1" t="s">
        <v>183</v>
      </c>
      <c r="D1190" s="1" t="s">
        <v>130</v>
      </c>
      <c r="E1190" s="1" t="s">
        <v>167</v>
      </c>
      <c r="F1190" s="111" t="b">
        <v>1</v>
      </c>
      <c r="G1190" s="111" t="b">
        <v>1</v>
      </c>
      <c r="H1190" s="111" t="b">
        <v>1</v>
      </c>
      <c r="I1190" s="1" t="s">
        <v>81</v>
      </c>
      <c r="J1190" s="1"/>
      <c r="K1190" s="1"/>
      <c r="L1190" s="1"/>
    </row>
    <row r="1191">
      <c r="A1191" s="110">
        <v>46222.6609557176</v>
      </c>
      <c r="B1191" s="1" t="s">
        <v>321</v>
      </c>
      <c r="C1191" s="1" t="s">
        <v>242</v>
      </c>
      <c r="D1191" s="129" t="s">
        <v>139</v>
      </c>
      <c r="E1191" s="1"/>
      <c r="F1191" s="111" t="b">
        <v>1</v>
      </c>
      <c r="G1191" s="111" t="b">
        <v>1</v>
      </c>
      <c r="H1191" s="111" t="b">
        <v>1</v>
      </c>
      <c r="I1191" s="1" t="s">
        <v>120</v>
      </c>
      <c r="J1191" s="1"/>
      <c r="K1191" s="1"/>
      <c r="L1191" s="1"/>
    </row>
    <row r="1192">
      <c r="A1192" s="110">
        <v>46222.66963556713</v>
      </c>
      <c r="B1192" s="1" t="s">
        <v>253</v>
      </c>
      <c r="C1192" s="1" t="s">
        <v>91</v>
      </c>
      <c r="D1192" s="129" t="s">
        <v>139</v>
      </c>
      <c r="E1192" s="1" t="s">
        <v>334</v>
      </c>
      <c r="F1192" s="111" t="b">
        <v>1</v>
      </c>
      <c r="G1192" s="111" t="b">
        <v>1</v>
      </c>
      <c r="H1192" s="111" t="b">
        <v>1</v>
      </c>
      <c r="I1192" s="1" t="s">
        <v>106</v>
      </c>
      <c r="J1192" s="1"/>
      <c r="K1192" s="1"/>
      <c r="L1192" s="1"/>
    </row>
    <row r="1193">
      <c r="A1193" s="110">
        <v>46222.71586991898</v>
      </c>
      <c r="B1193" s="1" t="s">
        <v>215</v>
      </c>
      <c r="C1193" s="1" t="s">
        <v>193</v>
      </c>
      <c r="D1193" s="1" t="s">
        <v>130</v>
      </c>
      <c r="E1193" s="1"/>
      <c r="F1193" s="111" t="b">
        <v>1</v>
      </c>
      <c r="G1193" s="111" t="b">
        <v>1</v>
      </c>
      <c r="H1193" s="111" t="b">
        <v>1</v>
      </c>
      <c r="I1193" s="1" t="s">
        <v>83</v>
      </c>
      <c r="J1193" s="1"/>
      <c r="K1193" s="1"/>
      <c r="L1193" s="1"/>
    </row>
    <row r="1194">
      <c r="A1194" s="110">
        <v>46222.73245697917</v>
      </c>
      <c r="B1194" s="1" t="s">
        <v>148</v>
      </c>
      <c r="C1194" s="1" t="s">
        <v>253</v>
      </c>
      <c r="D1194" s="1" t="s">
        <v>130</v>
      </c>
      <c r="E1194" s="1"/>
      <c r="F1194" s="111" t="b">
        <v>1</v>
      </c>
      <c r="G1194" s="111" t="b">
        <v>1</v>
      </c>
      <c r="H1194" s="111" t="b">
        <v>1</v>
      </c>
      <c r="I1194" s="1" t="s">
        <v>118</v>
      </c>
      <c r="J1194" s="1"/>
      <c r="K1194" s="1"/>
      <c r="L1194" s="1"/>
    </row>
    <row r="1195">
      <c r="A1195" s="110">
        <v>46222.740979803246</v>
      </c>
      <c r="B1195" s="1" t="s">
        <v>193</v>
      </c>
      <c r="C1195" s="1" t="s">
        <v>148</v>
      </c>
      <c r="D1195" s="1" t="s">
        <v>130</v>
      </c>
      <c r="E1195" s="1"/>
      <c r="F1195" s="111" t="b">
        <v>1</v>
      </c>
      <c r="G1195" s="111" t="b">
        <v>1</v>
      </c>
      <c r="H1195" s="111" t="b">
        <v>1</v>
      </c>
      <c r="I1195" s="1" t="s">
        <v>87</v>
      </c>
      <c r="J1195" s="1"/>
      <c r="K1195" s="1"/>
      <c r="L1195" s="1"/>
    </row>
    <row r="1196">
      <c r="A1196" s="110">
        <v>46222.77120746528</v>
      </c>
      <c r="B1196" s="1" t="s">
        <v>253</v>
      </c>
      <c r="C1196" s="1" t="s">
        <v>171</v>
      </c>
      <c r="D1196" s="129" t="s">
        <v>139</v>
      </c>
      <c r="E1196" s="1" t="s">
        <v>416</v>
      </c>
      <c r="F1196" s="111" t="b">
        <v>1</v>
      </c>
      <c r="G1196" s="111" t="b">
        <v>1</v>
      </c>
      <c r="H1196" s="111" t="b">
        <v>1</v>
      </c>
      <c r="I1196" s="1" t="s">
        <v>202</v>
      </c>
      <c r="J1196" s="1"/>
      <c r="K1196" s="1"/>
      <c r="L1196" s="1"/>
    </row>
    <row r="1197">
      <c r="A1197" s="110">
        <v>46222.77757578704</v>
      </c>
      <c r="B1197" s="1" t="s">
        <v>152</v>
      </c>
      <c r="C1197" s="1" t="s">
        <v>131</v>
      </c>
      <c r="D1197" s="1" t="s">
        <v>130</v>
      </c>
      <c r="E1197" s="1"/>
      <c r="F1197" s="111" t="b">
        <v>1</v>
      </c>
      <c r="G1197" s="111" t="b">
        <v>1</v>
      </c>
      <c r="H1197" s="111" t="b">
        <v>1</v>
      </c>
      <c r="I1197" s="1" t="s">
        <v>99</v>
      </c>
      <c r="J1197" s="1"/>
      <c r="K1197" s="1"/>
      <c r="L1197" s="1"/>
    </row>
    <row r="1198">
      <c r="A1198" s="110">
        <v>46222.783653182865</v>
      </c>
      <c r="B1198" s="1" t="s">
        <v>321</v>
      </c>
      <c r="C1198" s="1" t="s">
        <v>271</v>
      </c>
      <c r="D1198" s="1" t="s">
        <v>130</v>
      </c>
      <c r="E1198" s="1"/>
      <c r="F1198" s="111" t="b">
        <v>1</v>
      </c>
      <c r="G1198" s="1"/>
      <c r="H1198" s="111" t="b">
        <v>1</v>
      </c>
      <c r="I1198" s="1"/>
      <c r="J1198" s="1"/>
      <c r="K1198" s="1"/>
      <c r="L1198" s="1"/>
    </row>
    <row r="1199">
      <c r="A1199" s="110">
        <v>46222.80058597222</v>
      </c>
      <c r="B1199" s="1" t="s">
        <v>131</v>
      </c>
      <c r="C1199" s="1" t="s">
        <v>279</v>
      </c>
      <c r="D1199" s="129" t="s">
        <v>139</v>
      </c>
      <c r="E1199" s="1"/>
      <c r="F1199" s="111" t="b">
        <v>1</v>
      </c>
      <c r="G1199" s="111" t="b">
        <v>1</v>
      </c>
      <c r="H1199" s="111" t="b">
        <v>1</v>
      </c>
      <c r="I1199" s="1" t="s">
        <v>84</v>
      </c>
      <c r="J1199" s="1"/>
      <c r="K1199" s="1"/>
      <c r="L1199" s="1"/>
    </row>
    <row r="1200">
      <c r="A1200" s="110">
        <v>46222.81170377315</v>
      </c>
      <c r="B1200" s="1" t="s">
        <v>171</v>
      </c>
      <c r="C1200" s="1" t="s">
        <v>217</v>
      </c>
      <c r="D1200" s="129" t="s">
        <v>139</v>
      </c>
      <c r="E1200" s="1" t="s">
        <v>417</v>
      </c>
      <c r="F1200" s="111" t="b">
        <v>1</v>
      </c>
      <c r="G1200" s="111" t="b">
        <v>1</v>
      </c>
      <c r="H1200" s="111" t="b">
        <v>1</v>
      </c>
      <c r="I1200" s="1" t="s">
        <v>87</v>
      </c>
      <c r="J1200" s="1"/>
      <c r="K1200" s="1"/>
      <c r="L1200" s="1"/>
    </row>
    <row r="1201">
      <c r="A1201" s="110">
        <v>46222.90519431713</v>
      </c>
      <c r="B1201" s="1" t="s">
        <v>275</v>
      </c>
      <c r="C1201" s="1" t="s">
        <v>155</v>
      </c>
      <c r="D1201" s="1" t="s">
        <v>130</v>
      </c>
      <c r="E1201" s="1"/>
      <c r="F1201" s="111" t="b">
        <v>1</v>
      </c>
      <c r="G1201" s="111" t="b">
        <v>1</v>
      </c>
      <c r="H1201" s="111" t="b">
        <v>1</v>
      </c>
      <c r="I1201" s="1" t="s">
        <v>90</v>
      </c>
      <c r="J1201" s="1"/>
      <c r="K1201" s="1"/>
      <c r="L1201" s="1"/>
    </row>
    <row r="1202">
      <c r="A1202" s="110">
        <v>46222.90769951389</v>
      </c>
      <c r="B1202" s="1" t="s">
        <v>261</v>
      </c>
      <c r="C1202" s="1" t="s">
        <v>168</v>
      </c>
      <c r="D1202" s="1" t="s">
        <v>130</v>
      </c>
      <c r="E1202" s="1"/>
      <c r="F1202" s="111" t="b">
        <v>1</v>
      </c>
      <c r="G1202" s="1"/>
      <c r="H1202" s="111" t="b">
        <v>1</v>
      </c>
      <c r="I1202" s="1"/>
      <c r="J1202" s="1"/>
      <c r="K1202" s="1"/>
      <c r="L1202" s="1"/>
    </row>
    <row r="1203">
      <c r="A1203" s="110">
        <v>46222.92630274306</v>
      </c>
      <c r="B1203" s="1" t="s">
        <v>275</v>
      </c>
      <c r="C1203" s="1" t="s">
        <v>163</v>
      </c>
      <c r="D1203" s="129" t="s">
        <v>139</v>
      </c>
      <c r="E1203" s="1"/>
      <c r="F1203" s="111" t="b">
        <v>1</v>
      </c>
      <c r="G1203" s="111" t="b">
        <v>1</v>
      </c>
      <c r="H1203" s="111" t="b">
        <v>1</v>
      </c>
      <c r="I1203" s="1" t="s">
        <v>120</v>
      </c>
      <c r="J1203" s="1"/>
      <c r="K1203" s="1"/>
      <c r="L1203" s="1"/>
    </row>
    <row r="1204">
      <c r="A1204" s="110">
        <v>46222.93641351852</v>
      </c>
      <c r="B1204" s="1" t="s">
        <v>261</v>
      </c>
      <c r="C1204" s="1" t="s">
        <v>155</v>
      </c>
      <c r="D1204" s="129" t="s">
        <v>139</v>
      </c>
      <c r="E1204" s="1" t="s">
        <v>192</v>
      </c>
      <c r="F1204" s="111" t="b">
        <v>1</v>
      </c>
      <c r="G1204" s="111" t="b">
        <v>1</v>
      </c>
      <c r="H1204" s="111" t="b">
        <v>1</v>
      </c>
      <c r="I1204" s="1" t="s">
        <v>147</v>
      </c>
      <c r="J1204" s="1"/>
      <c r="K1204" s="1"/>
      <c r="L1204" s="1"/>
    </row>
    <row r="1205">
      <c r="A1205" s="110">
        <v>46222.97105648148</v>
      </c>
      <c r="B1205" s="1" t="s">
        <v>148</v>
      </c>
      <c r="C1205" s="1" t="s">
        <v>131</v>
      </c>
      <c r="D1205" s="1" t="s">
        <v>130</v>
      </c>
      <c r="E1205" s="1"/>
      <c r="F1205" s="111" t="b">
        <v>1</v>
      </c>
      <c r="G1205" s="1"/>
      <c r="H1205" s="111" t="b">
        <v>1</v>
      </c>
      <c r="I1205" s="1"/>
      <c r="J1205" s="1"/>
      <c r="K1205" s="1"/>
      <c r="L1205" s="1"/>
    </row>
    <row r="1206">
      <c r="A1206" s="110">
        <v>46223.01747925926</v>
      </c>
      <c r="B1206" s="1" t="s">
        <v>287</v>
      </c>
      <c r="C1206" s="1" t="s">
        <v>226</v>
      </c>
      <c r="D1206" s="129" t="s">
        <v>139</v>
      </c>
      <c r="E1206" s="1"/>
      <c r="F1206" s="111" t="b">
        <v>1</v>
      </c>
      <c r="G1206" s="111" t="b">
        <v>1</v>
      </c>
      <c r="H1206" s="111" t="b">
        <v>1</v>
      </c>
      <c r="I1206" s="1" t="s">
        <v>93</v>
      </c>
      <c r="J1206" s="1"/>
      <c r="K1206" s="1"/>
      <c r="L1206" s="1"/>
    </row>
    <row r="1207">
      <c r="A1207" s="110">
        <v>46223.08357989583</v>
      </c>
      <c r="B1207" s="1" t="s">
        <v>296</v>
      </c>
      <c r="C1207" s="1" t="s">
        <v>148</v>
      </c>
      <c r="D1207" s="129" t="s">
        <v>139</v>
      </c>
      <c r="E1207" s="1"/>
      <c r="F1207" s="111" t="b">
        <v>1</v>
      </c>
      <c r="G1207" s="111" t="b">
        <v>1</v>
      </c>
      <c r="H1207" s="111" t="b">
        <v>1</v>
      </c>
      <c r="I1207" s="1" t="s">
        <v>83</v>
      </c>
      <c r="J1207" s="1"/>
      <c r="K1207" s="1"/>
      <c r="L1207" s="1"/>
    </row>
    <row r="1208">
      <c r="A1208" s="110">
        <v>46223.12395459491</v>
      </c>
      <c r="B1208" s="1" t="s">
        <v>288</v>
      </c>
      <c r="C1208" s="1" t="s">
        <v>296</v>
      </c>
      <c r="D1208" s="129" t="s">
        <v>139</v>
      </c>
      <c r="E1208" s="1" t="s">
        <v>157</v>
      </c>
      <c r="F1208" s="111" t="b">
        <v>1</v>
      </c>
      <c r="G1208" s="111" t="b">
        <v>1</v>
      </c>
      <c r="H1208" s="111" t="b">
        <v>1</v>
      </c>
      <c r="I1208" s="1" t="s">
        <v>87</v>
      </c>
      <c r="J1208" s="1"/>
      <c r="K1208" s="1"/>
      <c r="L1208" s="1"/>
    </row>
    <row r="1209">
      <c r="A1209" s="110">
        <v>46223.41069554398</v>
      </c>
      <c r="B1209" s="1" t="s">
        <v>205</v>
      </c>
      <c r="C1209" s="1" t="s">
        <v>307</v>
      </c>
      <c r="D1209" s="1" t="s">
        <v>130</v>
      </c>
      <c r="E1209" s="1"/>
      <c r="F1209" s="111" t="b">
        <v>1</v>
      </c>
      <c r="G1209" s="111" t="b">
        <v>1</v>
      </c>
      <c r="H1209" s="111" t="b">
        <v>1</v>
      </c>
      <c r="I1209" s="1" t="s">
        <v>95</v>
      </c>
      <c r="J1209" s="1"/>
      <c r="K1209" s="1"/>
      <c r="L1209" s="1"/>
    </row>
    <row r="1210">
      <c r="A1210" s="110">
        <v>46223.41962530093</v>
      </c>
      <c r="B1210" s="1" t="s">
        <v>242</v>
      </c>
      <c r="C1210" s="1" t="s">
        <v>205</v>
      </c>
      <c r="D1210" s="1" t="s">
        <v>130</v>
      </c>
      <c r="E1210" s="1"/>
      <c r="F1210" s="111" t="b">
        <v>1</v>
      </c>
      <c r="G1210" s="111" t="b">
        <v>1</v>
      </c>
      <c r="H1210" s="111" t="b">
        <v>1</v>
      </c>
      <c r="I1210" s="1" t="s">
        <v>147</v>
      </c>
      <c r="J1210" s="1"/>
      <c r="K1210" s="1"/>
      <c r="L1210" s="1"/>
    </row>
    <row r="1211">
      <c r="A1211" s="110">
        <v>46223.425222025464</v>
      </c>
      <c r="B1211" s="1" t="s">
        <v>242</v>
      </c>
      <c r="C1211" s="1" t="s">
        <v>307</v>
      </c>
      <c r="D1211" s="1" t="s">
        <v>130</v>
      </c>
      <c r="E1211" s="1"/>
      <c r="F1211" s="111" t="b">
        <v>1</v>
      </c>
      <c r="G1211" s="111" t="b">
        <v>1</v>
      </c>
      <c r="H1211" s="111" t="b">
        <v>1</v>
      </c>
      <c r="I1211" s="1" t="s">
        <v>81</v>
      </c>
      <c r="J1211" s="1"/>
      <c r="K1211" s="1"/>
      <c r="L1211" s="1"/>
    </row>
    <row r="1212">
      <c r="A1212" s="110">
        <v>46223.44629263889</v>
      </c>
      <c r="B1212" s="1" t="s">
        <v>293</v>
      </c>
      <c r="C1212" s="1" t="s">
        <v>164</v>
      </c>
      <c r="D1212" s="1" t="s">
        <v>130</v>
      </c>
      <c r="E1212" s="1" t="s">
        <v>157</v>
      </c>
      <c r="F1212" s="111" t="b">
        <v>1</v>
      </c>
      <c r="G1212" s="111" t="b">
        <v>1</v>
      </c>
      <c r="H1212" s="111" t="b">
        <v>1</v>
      </c>
      <c r="I1212" s="1" t="s">
        <v>85</v>
      </c>
      <c r="J1212" s="1"/>
      <c r="K1212" s="1"/>
      <c r="L1212" s="1"/>
    </row>
    <row r="1213">
      <c r="A1213" s="110">
        <v>46223.4798659375</v>
      </c>
      <c r="B1213" s="1" t="s">
        <v>172</v>
      </c>
      <c r="C1213" s="1" t="s">
        <v>163</v>
      </c>
      <c r="D1213" s="1" t="s">
        <v>130</v>
      </c>
      <c r="E1213" s="1" t="s">
        <v>330</v>
      </c>
      <c r="F1213" s="111" t="b">
        <v>1</v>
      </c>
      <c r="G1213" s="111" t="b">
        <v>1</v>
      </c>
      <c r="H1213" s="111" t="b">
        <v>1</v>
      </c>
      <c r="I1213" s="1" t="s">
        <v>118</v>
      </c>
      <c r="J1213" s="1"/>
      <c r="K1213" s="1"/>
      <c r="L1213" s="1"/>
    </row>
    <row r="1214">
      <c r="A1214" s="110">
        <v>46223.48813168981</v>
      </c>
      <c r="B1214" s="1" t="s">
        <v>261</v>
      </c>
      <c r="C1214" s="1" t="s">
        <v>164</v>
      </c>
      <c r="D1214" s="129" t="s">
        <v>139</v>
      </c>
      <c r="E1214" s="1" t="s">
        <v>192</v>
      </c>
      <c r="F1214" s="111" t="b">
        <v>1</v>
      </c>
      <c r="G1214" s="111" t="b">
        <v>1</v>
      </c>
      <c r="H1214" s="111" t="b">
        <v>1</v>
      </c>
      <c r="I1214" s="1" t="s">
        <v>90</v>
      </c>
      <c r="J1214" s="1"/>
      <c r="K1214" s="1"/>
      <c r="L1214" s="1"/>
    </row>
    <row r="1215">
      <c r="A1215" s="110">
        <v>46223.50405263889</v>
      </c>
      <c r="B1215" s="1" t="s">
        <v>194</v>
      </c>
      <c r="C1215" s="1" t="s">
        <v>172</v>
      </c>
      <c r="D1215" s="129" t="s">
        <v>139</v>
      </c>
      <c r="E1215" s="1"/>
      <c r="F1215" s="111" t="b">
        <v>1</v>
      </c>
      <c r="G1215" s="111" t="b">
        <v>1</v>
      </c>
      <c r="H1215" s="111" t="b">
        <v>1</v>
      </c>
      <c r="I1215" s="1" t="s">
        <v>147</v>
      </c>
      <c r="J1215" s="1"/>
      <c r="K1215" s="1"/>
      <c r="L1215" s="1"/>
    </row>
    <row r="1216">
      <c r="A1216" s="110">
        <v>46223.52986027778</v>
      </c>
      <c r="B1216" s="1" t="s">
        <v>226</v>
      </c>
      <c r="C1216" s="1" t="s">
        <v>261</v>
      </c>
      <c r="D1216" s="1" t="s">
        <v>130</v>
      </c>
      <c r="E1216" s="1" t="s">
        <v>268</v>
      </c>
      <c r="F1216" s="111" t="b">
        <v>1</v>
      </c>
      <c r="G1216" s="111" t="b">
        <v>1</v>
      </c>
      <c r="H1216" s="111" t="b">
        <v>1</v>
      </c>
      <c r="I1216" s="1" t="s">
        <v>99</v>
      </c>
      <c r="J1216" s="1"/>
      <c r="K1216" s="1"/>
      <c r="L1216" s="1"/>
    </row>
    <row r="1217">
      <c r="A1217" s="110">
        <v>46223.53778157408</v>
      </c>
      <c r="B1217" s="1" t="s">
        <v>293</v>
      </c>
      <c r="C1217" s="1" t="s">
        <v>307</v>
      </c>
      <c r="D1217" s="1" t="s">
        <v>130</v>
      </c>
      <c r="E1217" s="1" t="s">
        <v>157</v>
      </c>
      <c r="F1217" s="111" t="b">
        <v>1</v>
      </c>
      <c r="G1217" s="111" t="b">
        <v>1</v>
      </c>
      <c r="H1217" s="111" t="b">
        <v>1</v>
      </c>
      <c r="I1217" s="1" t="s">
        <v>118</v>
      </c>
      <c r="J1217" s="1"/>
      <c r="K1217" s="1"/>
      <c r="L1217" s="1"/>
    </row>
    <row r="1218">
      <c r="A1218" s="110">
        <v>46223.53791375</v>
      </c>
      <c r="B1218" s="1" t="s">
        <v>269</v>
      </c>
      <c r="C1218" s="1" t="s">
        <v>242</v>
      </c>
      <c r="D1218" s="1" t="s">
        <v>130</v>
      </c>
      <c r="E1218" s="1"/>
      <c r="F1218" s="111" t="b">
        <v>1</v>
      </c>
      <c r="G1218" s="111" t="b">
        <v>1</v>
      </c>
      <c r="H1218" s="111" t="b">
        <v>1</v>
      </c>
      <c r="I1218" s="1" t="s">
        <v>87</v>
      </c>
      <c r="J1218" s="1"/>
      <c r="K1218" s="1"/>
      <c r="L1218" s="1"/>
    </row>
    <row r="1219">
      <c r="A1219" s="110">
        <v>46223.54022082176</v>
      </c>
      <c r="B1219" s="1" t="s">
        <v>226</v>
      </c>
      <c r="C1219" s="1" t="s">
        <v>291</v>
      </c>
      <c r="D1219" s="1" t="s">
        <v>130</v>
      </c>
      <c r="E1219" s="1" t="s">
        <v>268</v>
      </c>
      <c r="F1219" s="111" t="b">
        <v>1</v>
      </c>
      <c r="G1219" s="111" t="b">
        <v>1</v>
      </c>
      <c r="H1219" s="111" t="b">
        <v>1</v>
      </c>
      <c r="I1219" s="1" t="s">
        <v>79</v>
      </c>
      <c r="J1219" s="1"/>
      <c r="K1219" s="1"/>
      <c r="L1219" s="1"/>
    </row>
    <row r="1220">
      <c r="A1220" s="110">
        <v>46223.55062422453</v>
      </c>
      <c r="B1220" s="1" t="s">
        <v>226</v>
      </c>
      <c r="C1220" s="1" t="s">
        <v>269</v>
      </c>
      <c r="D1220" s="1" t="s">
        <v>130</v>
      </c>
      <c r="E1220" s="1" t="s">
        <v>268</v>
      </c>
      <c r="F1220" s="111" t="b">
        <v>1</v>
      </c>
      <c r="G1220" s="111" t="b">
        <v>1</v>
      </c>
      <c r="H1220" s="111" t="b">
        <v>1</v>
      </c>
      <c r="I1220" s="1" t="s">
        <v>81</v>
      </c>
      <c r="J1220" s="1"/>
      <c r="K1220" s="1"/>
      <c r="L1220" s="1"/>
    </row>
    <row r="1221">
      <c r="A1221" s="110">
        <v>46223.576211747684</v>
      </c>
      <c r="B1221" s="1" t="s">
        <v>226</v>
      </c>
      <c r="C1221" s="1" t="s">
        <v>179</v>
      </c>
      <c r="D1221" s="1" t="s">
        <v>130</v>
      </c>
      <c r="E1221" s="1" t="s">
        <v>268</v>
      </c>
      <c r="F1221" s="111" t="b">
        <v>1</v>
      </c>
      <c r="G1221" s="111" t="b">
        <v>1</v>
      </c>
      <c r="H1221" s="111" t="b">
        <v>1</v>
      </c>
      <c r="I1221" s="1" t="s">
        <v>85</v>
      </c>
      <c r="J1221" s="1"/>
      <c r="K1221" s="1"/>
      <c r="L1221" s="1"/>
    </row>
    <row r="1222">
      <c r="A1222" s="110">
        <v>46223.576568564815</v>
      </c>
      <c r="B1222" s="1" t="s">
        <v>183</v>
      </c>
      <c r="C1222" s="1" t="s">
        <v>293</v>
      </c>
      <c r="D1222" s="129" t="s">
        <v>139</v>
      </c>
      <c r="E1222" s="1" t="s">
        <v>167</v>
      </c>
      <c r="F1222" s="111" t="b">
        <v>1</v>
      </c>
      <c r="G1222" s="1"/>
      <c r="H1222" s="111" t="b">
        <v>1</v>
      </c>
      <c r="I1222" s="1"/>
      <c r="J1222" s="1"/>
      <c r="K1222" s="1"/>
      <c r="L1222" s="1"/>
    </row>
    <row r="1223">
      <c r="A1223" s="110">
        <v>46223.59771108796</v>
      </c>
      <c r="B1223" s="1" t="s">
        <v>289</v>
      </c>
      <c r="C1223" s="1" t="s">
        <v>290</v>
      </c>
      <c r="D1223" s="1" t="s">
        <v>130</v>
      </c>
      <c r="E1223" s="1"/>
      <c r="F1223" s="111" t="b">
        <v>1</v>
      </c>
      <c r="G1223" s="111" t="b">
        <v>1</v>
      </c>
      <c r="H1223" s="111" t="b">
        <v>1</v>
      </c>
      <c r="I1223" s="1" t="s">
        <v>84</v>
      </c>
      <c r="J1223" s="1"/>
      <c r="K1223" s="1"/>
      <c r="L1223" s="1"/>
    </row>
    <row r="1224">
      <c r="A1224" s="110">
        <v>46223.60473195602</v>
      </c>
      <c r="B1224" s="1" t="s">
        <v>194</v>
      </c>
      <c r="C1224" s="1" t="s">
        <v>296</v>
      </c>
      <c r="D1224" s="129" t="s">
        <v>139</v>
      </c>
      <c r="E1224" s="1"/>
      <c r="F1224" s="111" t="b">
        <v>1</v>
      </c>
      <c r="G1224" s="111" t="b">
        <v>1</v>
      </c>
      <c r="H1224" s="111" t="b">
        <v>1</v>
      </c>
      <c r="I1224" s="1" t="s">
        <v>87</v>
      </c>
      <c r="J1224" s="1"/>
      <c r="K1224" s="1"/>
      <c r="L1224" s="1"/>
    </row>
    <row r="1225">
      <c r="A1225" s="110">
        <v>46223.614808819446</v>
      </c>
      <c r="B1225" s="1" t="s">
        <v>179</v>
      </c>
      <c r="C1225" s="1" t="s">
        <v>290</v>
      </c>
      <c r="D1225" s="1" t="s">
        <v>130</v>
      </c>
      <c r="E1225" s="1"/>
      <c r="F1225" s="111" t="b">
        <v>1</v>
      </c>
      <c r="G1225" s="1"/>
      <c r="H1225" s="111" t="b">
        <v>1</v>
      </c>
      <c r="I1225" s="1"/>
      <c r="J1225" s="1"/>
      <c r="K1225" s="1"/>
      <c r="L1225" s="1"/>
    </row>
    <row r="1226">
      <c r="A1226" s="110">
        <v>46223.64073290509</v>
      </c>
      <c r="B1226" s="1" t="s">
        <v>294</v>
      </c>
      <c r="C1226" s="1" t="s">
        <v>145</v>
      </c>
      <c r="D1226" s="129" t="s">
        <v>139</v>
      </c>
      <c r="E1226" s="1"/>
      <c r="F1226" s="111" t="b">
        <v>1</v>
      </c>
      <c r="G1226" s="111" t="b">
        <v>1</v>
      </c>
      <c r="H1226" s="111" t="b">
        <v>1</v>
      </c>
      <c r="I1226" s="1" t="s">
        <v>202</v>
      </c>
      <c r="J1226" s="1"/>
      <c r="K1226" s="1"/>
      <c r="L1226" s="1"/>
    </row>
    <row r="1227">
      <c r="A1227" s="110">
        <v>46223.66940594907</v>
      </c>
      <c r="B1227" s="1" t="s">
        <v>145</v>
      </c>
      <c r="C1227" s="1" t="s">
        <v>180</v>
      </c>
      <c r="D1227" s="1" t="s">
        <v>130</v>
      </c>
      <c r="E1227" s="1"/>
      <c r="F1227" s="111" t="b">
        <v>1</v>
      </c>
      <c r="G1227" s="111" t="b">
        <v>1</v>
      </c>
      <c r="H1227" s="111" t="b">
        <v>1</v>
      </c>
      <c r="I1227" s="1" t="s">
        <v>87</v>
      </c>
      <c r="J1227" s="1"/>
      <c r="K1227" s="1"/>
      <c r="L1227" s="1"/>
    </row>
    <row r="1228">
      <c r="A1228" s="110">
        <v>46223.684713599534</v>
      </c>
      <c r="B1228" s="1" t="s">
        <v>208</v>
      </c>
      <c r="C1228" s="1" t="s">
        <v>179</v>
      </c>
      <c r="D1228" s="1" t="s">
        <v>130</v>
      </c>
      <c r="E1228" s="1" t="s">
        <v>418</v>
      </c>
      <c r="F1228" s="111" t="b">
        <v>1</v>
      </c>
      <c r="G1228" s="1"/>
      <c r="H1228" s="111" t="b">
        <v>1</v>
      </c>
      <c r="I1228" s="1"/>
      <c r="J1228" s="1"/>
      <c r="K1228" s="1"/>
      <c r="L1228" s="1"/>
    </row>
    <row r="1229">
      <c r="A1229" s="110">
        <v>46223.694389282406</v>
      </c>
      <c r="B1229" s="1" t="s">
        <v>159</v>
      </c>
      <c r="C1229" s="1" t="s">
        <v>245</v>
      </c>
      <c r="D1229" s="1" t="s">
        <v>130</v>
      </c>
      <c r="E1229" s="1"/>
      <c r="F1229" s="111" t="b">
        <v>1</v>
      </c>
      <c r="G1229" s="111" t="b">
        <v>1</v>
      </c>
      <c r="H1229" s="111" t="b">
        <v>1</v>
      </c>
      <c r="I1229" s="1" t="s">
        <v>97</v>
      </c>
      <c r="J1229" s="1"/>
      <c r="K1229" s="1"/>
      <c r="L1229" s="1"/>
    </row>
    <row r="1230">
      <c r="A1230" s="110">
        <v>46223.69660524305</v>
      </c>
      <c r="B1230" s="1" t="s">
        <v>180</v>
      </c>
      <c r="C1230" s="1" t="s">
        <v>215</v>
      </c>
      <c r="D1230" s="129" t="s">
        <v>139</v>
      </c>
      <c r="E1230" s="1" t="s">
        <v>157</v>
      </c>
      <c r="F1230" s="111" t="b">
        <v>1</v>
      </c>
      <c r="G1230" s="111" t="b">
        <v>1</v>
      </c>
      <c r="H1230" s="111" t="b">
        <v>1</v>
      </c>
      <c r="I1230" s="1" t="s">
        <v>97</v>
      </c>
      <c r="J1230" s="1"/>
      <c r="K1230" s="1"/>
      <c r="L1230" s="1"/>
    </row>
    <row r="1231">
      <c r="A1231" s="110">
        <v>46223.73114891203</v>
      </c>
      <c r="B1231" s="1" t="s">
        <v>289</v>
      </c>
      <c r="C1231" s="1" t="s">
        <v>180</v>
      </c>
      <c r="D1231" s="129" t="s">
        <v>139</v>
      </c>
      <c r="E1231" s="1"/>
      <c r="F1231" s="111" t="b">
        <v>1</v>
      </c>
      <c r="G1231" s="111" t="b">
        <v>1</v>
      </c>
      <c r="H1231" s="111" t="b">
        <v>1</v>
      </c>
      <c r="I1231" s="1" t="s">
        <v>202</v>
      </c>
      <c r="J1231" s="1"/>
      <c r="K1231" s="1"/>
      <c r="L1231" s="1"/>
    </row>
    <row r="1232">
      <c r="A1232" s="110">
        <v>46223.73567653935</v>
      </c>
      <c r="B1232" s="1" t="s">
        <v>148</v>
      </c>
      <c r="C1232" s="1" t="s">
        <v>152</v>
      </c>
      <c r="D1232" s="1" t="s">
        <v>130</v>
      </c>
      <c r="E1232" s="1"/>
      <c r="F1232" s="111" t="b">
        <v>1</v>
      </c>
      <c r="G1232" s="111" t="b">
        <v>1</v>
      </c>
      <c r="H1232" s="111" t="b">
        <v>1</v>
      </c>
      <c r="I1232" s="1" t="s">
        <v>79</v>
      </c>
      <c r="J1232" s="1"/>
      <c r="K1232" s="1"/>
      <c r="L1232" s="1"/>
    </row>
    <row r="1233">
      <c r="A1233" s="110">
        <v>46223.753356180554</v>
      </c>
      <c r="B1233" s="1" t="s">
        <v>280</v>
      </c>
      <c r="C1233" s="1" t="s">
        <v>243</v>
      </c>
      <c r="D1233" s="1" t="s">
        <v>130</v>
      </c>
      <c r="E1233" s="1"/>
      <c r="F1233" s="111" t="b">
        <v>1</v>
      </c>
      <c r="G1233" s="111" t="b">
        <v>1</v>
      </c>
      <c r="H1233" s="111" t="b">
        <v>1</v>
      </c>
      <c r="I1233" s="1" t="s">
        <v>93</v>
      </c>
      <c r="J1233" s="1"/>
      <c r="K1233" s="1"/>
      <c r="L1233" s="1"/>
    </row>
    <row r="1234">
      <c r="A1234" s="110">
        <v>46223.76791071759</v>
      </c>
      <c r="B1234" s="1" t="s">
        <v>273</v>
      </c>
      <c r="C1234" s="1" t="s">
        <v>251</v>
      </c>
      <c r="D1234" s="129" t="s">
        <v>139</v>
      </c>
      <c r="E1234" s="1" t="s">
        <v>249</v>
      </c>
      <c r="F1234" s="111" t="b">
        <v>1</v>
      </c>
      <c r="G1234" s="111" t="b">
        <v>1</v>
      </c>
      <c r="H1234" s="111" t="b">
        <v>1</v>
      </c>
      <c r="I1234" s="1" t="s">
        <v>118</v>
      </c>
      <c r="J1234" s="1"/>
      <c r="K1234" s="1"/>
      <c r="L1234" s="1"/>
    </row>
    <row r="1235">
      <c r="A1235" s="110">
        <v>46223.776951886575</v>
      </c>
      <c r="B1235" s="1" t="s">
        <v>280</v>
      </c>
      <c r="C1235" s="1" t="s">
        <v>244</v>
      </c>
      <c r="D1235" s="1" t="s">
        <v>130</v>
      </c>
      <c r="E1235" s="1"/>
      <c r="F1235" s="111" t="b">
        <v>1</v>
      </c>
      <c r="G1235" s="111" t="b">
        <v>1</v>
      </c>
      <c r="H1235" s="111" t="b">
        <v>1</v>
      </c>
      <c r="I1235" s="1" t="s">
        <v>97</v>
      </c>
      <c r="J1235" s="1"/>
      <c r="K1235" s="1"/>
      <c r="L1235" s="1"/>
    </row>
    <row r="1236">
      <c r="A1236" s="110">
        <v>46223.79190027778</v>
      </c>
      <c r="B1236" s="1" t="s">
        <v>128</v>
      </c>
      <c r="C1236" s="1" t="s">
        <v>273</v>
      </c>
      <c r="D1236" s="129" t="s">
        <v>139</v>
      </c>
      <c r="E1236" s="1"/>
      <c r="F1236" s="111" t="b">
        <v>1</v>
      </c>
      <c r="G1236" s="111" t="b">
        <v>1</v>
      </c>
      <c r="H1236" s="111" t="b">
        <v>1</v>
      </c>
      <c r="I1236" s="1" t="s">
        <v>85</v>
      </c>
      <c r="J1236" s="1"/>
      <c r="K1236" s="1"/>
      <c r="L1236" s="1"/>
    </row>
    <row r="1237">
      <c r="A1237" s="110">
        <v>46223.82782269676</v>
      </c>
      <c r="B1237" s="1" t="s">
        <v>273</v>
      </c>
      <c r="C1237" s="1" t="s">
        <v>159</v>
      </c>
      <c r="D1237" s="129" t="s">
        <v>139</v>
      </c>
      <c r="E1237" s="1" t="s">
        <v>249</v>
      </c>
      <c r="F1237" s="111" t="b">
        <v>1</v>
      </c>
      <c r="G1237" s="111" t="b">
        <v>1</v>
      </c>
      <c r="H1237" s="111" t="b">
        <v>1</v>
      </c>
      <c r="I1237" s="1" t="s">
        <v>87</v>
      </c>
      <c r="J1237" s="1"/>
      <c r="K1237" s="1"/>
      <c r="L1237" s="1"/>
    </row>
    <row r="1238">
      <c r="A1238" s="110">
        <v>46223.868624571754</v>
      </c>
      <c r="B1238" s="1" t="s">
        <v>183</v>
      </c>
      <c r="C1238" s="1" t="s">
        <v>273</v>
      </c>
      <c r="D1238" s="129" t="s">
        <v>139</v>
      </c>
      <c r="E1238" s="1" t="s">
        <v>419</v>
      </c>
      <c r="F1238" s="111" t="b">
        <v>1</v>
      </c>
      <c r="G1238" s="111" t="b">
        <v>1</v>
      </c>
      <c r="H1238" s="111" t="b">
        <v>1</v>
      </c>
      <c r="I1238" s="1" t="s">
        <v>147</v>
      </c>
      <c r="J1238" s="1"/>
      <c r="K1238" s="1"/>
      <c r="L1238" s="1"/>
    </row>
    <row r="1239">
      <c r="A1239" s="110">
        <v>46223.88866641204</v>
      </c>
      <c r="B1239" s="1" t="s">
        <v>223</v>
      </c>
      <c r="C1239" s="1" t="s">
        <v>232</v>
      </c>
      <c r="D1239" s="1" t="s">
        <v>130</v>
      </c>
      <c r="E1239" s="1"/>
      <c r="F1239" s="111" t="b">
        <v>1</v>
      </c>
      <c r="G1239" s="111" t="b">
        <v>1</v>
      </c>
      <c r="H1239" s="111" t="b">
        <v>1</v>
      </c>
      <c r="I1239" s="1" t="s">
        <v>118</v>
      </c>
      <c r="J1239" s="1"/>
      <c r="K1239" s="1"/>
      <c r="L1239" s="1"/>
    </row>
    <row r="1240">
      <c r="A1240" s="110">
        <v>46223.90610296297</v>
      </c>
      <c r="B1240" s="1" t="s">
        <v>269</v>
      </c>
      <c r="C1240" s="1" t="s">
        <v>289</v>
      </c>
      <c r="D1240" s="1" t="s">
        <v>130</v>
      </c>
      <c r="E1240" s="1"/>
      <c r="F1240" s="111" t="b">
        <v>1</v>
      </c>
      <c r="G1240" s="111" t="b">
        <v>1</v>
      </c>
      <c r="H1240" s="111" t="b">
        <v>1</v>
      </c>
      <c r="I1240" s="1" t="s">
        <v>98</v>
      </c>
      <c r="J1240" s="1"/>
      <c r="K1240" s="1"/>
      <c r="L1240" s="1"/>
    </row>
    <row r="1241">
      <c r="A1241" s="110">
        <v>46223.90963819444</v>
      </c>
      <c r="B1241" s="1" t="s">
        <v>180</v>
      </c>
      <c r="C1241" s="1" t="s">
        <v>190</v>
      </c>
      <c r="D1241" s="129" t="s">
        <v>139</v>
      </c>
      <c r="E1241" s="1" t="s">
        <v>167</v>
      </c>
      <c r="F1241" s="111" t="b">
        <v>1</v>
      </c>
      <c r="G1241" s="111" t="b">
        <v>1</v>
      </c>
      <c r="H1241" s="111" t="b">
        <v>1</v>
      </c>
      <c r="I1241" s="1" t="s">
        <v>97</v>
      </c>
      <c r="J1241" s="1"/>
      <c r="K1241" s="1"/>
      <c r="L1241" s="1"/>
    </row>
    <row r="1242">
      <c r="A1242" s="110">
        <v>46223.923623622686</v>
      </c>
      <c r="B1242" s="1" t="s">
        <v>269</v>
      </c>
      <c r="C1242" s="1" t="s">
        <v>180</v>
      </c>
      <c r="D1242" s="1" t="s">
        <v>130</v>
      </c>
      <c r="E1242" s="1"/>
      <c r="F1242" s="111" t="b">
        <v>1</v>
      </c>
      <c r="G1242" s="111" t="b">
        <v>1</v>
      </c>
      <c r="H1242" s="111" t="b">
        <v>1</v>
      </c>
      <c r="I1242" s="1" t="s">
        <v>147</v>
      </c>
      <c r="J1242" s="1"/>
      <c r="K1242" s="1"/>
      <c r="L1242" s="1"/>
    </row>
    <row r="1243">
      <c r="A1243" s="110">
        <v>46223.92426804398</v>
      </c>
      <c r="B1243" s="1" t="s">
        <v>217</v>
      </c>
      <c r="C1243" s="1" t="s">
        <v>267</v>
      </c>
      <c r="D1243" s="1" t="s">
        <v>130</v>
      </c>
      <c r="E1243" s="1"/>
      <c r="F1243" s="111" t="b">
        <v>1</v>
      </c>
      <c r="G1243" s="111" t="b">
        <v>1</v>
      </c>
      <c r="H1243" s="111" t="b">
        <v>1</v>
      </c>
      <c r="I1243" s="1" t="s">
        <v>147</v>
      </c>
      <c r="J1243" s="1"/>
      <c r="K1243" s="1"/>
      <c r="L1243" s="1"/>
    </row>
    <row r="1244">
      <c r="A1244" s="110">
        <v>46223.93421099537</v>
      </c>
      <c r="B1244" s="1" t="s">
        <v>280</v>
      </c>
      <c r="C1244" s="1" t="s">
        <v>190</v>
      </c>
      <c r="D1244" s="1" t="s">
        <v>130</v>
      </c>
      <c r="E1244" s="1"/>
      <c r="F1244" s="111" t="b">
        <v>1</v>
      </c>
      <c r="G1244" s="111" t="b">
        <v>1</v>
      </c>
      <c r="H1244" s="111" t="b">
        <v>1</v>
      </c>
      <c r="I1244" s="1" t="s">
        <v>99</v>
      </c>
      <c r="J1244" s="1"/>
      <c r="K1244" s="1"/>
      <c r="L1244" s="1"/>
    </row>
    <row r="1245">
      <c r="A1245" s="110">
        <v>46223.98028989583</v>
      </c>
      <c r="B1245" s="1" t="s">
        <v>284</v>
      </c>
      <c r="C1245" s="1" t="s">
        <v>212</v>
      </c>
      <c r="D1245" s="129" t="s">
        <v>139</v>
      </c>
      <c r="E1245" s="1"/>
      <c r="F1245" s="111" t="b">
        <v>1</v>
      </c>
      <c r="G1245" s="111" t="b">
        <v>1</v>
      </c>
      <c r="H1245" s="111" t="b">
        <v>1</v>
      </c>
      <c r="I1245" s="1" t="s">
        <v>95</v>
      </c>
      <c r="J1245" s="1"/>
      <c r="K1245" s="1"/>
      <c r="L1245" s="1"/>
    </row>
    <row r="1246">
      <c r="A1246" s="110">
        <v>46223.99058706019</v>
      </c>
      <c r="B1246" s="1" t="s">
        <v>321</v>
      </c>
      <c r="C1246" s="1" t="s">
        <v>190</v>
      </c>
      <c r="D1246" s="1" t="s">
        <v>130</v>
      </c>
      <c r="E1246" s="1"/>
      <c r="F1246" s="111" t="b">
        <v>1</v>
      </c>
      <c r="G1246" s="111" t="b">
        <v>1</v>
      </c>
      <c r="H1246" s="111" t="b">
        <v>1</v>
      </c>
      <c r="I1246" s="1" t="s">
        <v>97</v>
      </c>
      <c r="J1246" s="1"/>
      <c r="K1246" s="1"/>
      <c r="L1246" s="1"/>
    </row>
    <row r="1247">
      <c r="A1247" s="110">
        <v>46224.00945931713</v>
      </c>
      <c r="B1247" s="1" t="s">
        <v>289</v>
      </c>
      <c r="C1247" s="1" t="s">
        <v>284</v>
      </c>
      <c r="D1247" s="129" t="s">
        <v>139</v>
      </c>
      <c r="E1247" s="1"/>
      <c r="F1247" s="111" t="b">
        <v>1</v>
      </c>
      <c r="G1247" s="111" t="b">
        <v>1</v>
      </c>
      <c r="H1247" s="111" t="b">
        <v>1</v>
      </c>
      <c r="I1247" s="1" t="s">
        <v>90</v>
      </c>
      <c r="J1247" s="1"/>
      <c r="K1247" s="1"/>
      <c r="L1247" s="1"/>
    </row>
    <row r="1248">
      <c r="A1248" s="110">
        <v>46224.011961516204</v>
      </c>
      <c r="B1248" s="1" t="s">
        <v>321</v>
      </c>
      <c r="C1248" s="1" t="s">
        <v>294</v>
      </c>
      <c r="D1248" s="129" t="s">
        <v>139</v>
      </c>
      <c r="E1248" s="1"/>
      <c r="F1248" s="111" t="b">
        <v>1</v>
      </c>
      <c r="G1248" s="111" t="b">
        <v>1</v>
      </c>
      <c r="H1248" s="111" t="b">
        <v>1</v>
      </c>
      <c r="I1248" s="1" t="s">
        <v>81</v>
      </c>
      <c r="J1248" s="1"/>
      <c r="K1248" s="1"/>
      <c r="L1248" s="1"/>
    </row>
    <row r="1249">
      <c r="A1249" s="110">
        <v>46224.21036136574</v>
      </c>
      <c r="B1249" s="1" t="s">
        <v>144</v>
      </c>
      <c r="C1249" s="1" t="s">
        <v>162</v>
      </c>
      <c r="D1249" s="1" t="s">
        <v>130</v>
      </c>
      <c r="E1249" s="1"/>
      <c r="F1249" s="111" t="b">
        <v>1</v>
      </c>
      <c r="G1249" s="111" t="b">
        <v>1</v>
      </c>
      <c r="H1249" s="111" t="b">
        <v>1</v>
      </c>
      <c r="I1249" s="1" t="s">
        <v>99</v>
      </c>
      <c r="J1249" s="1"/>
      <c r="K1249" s="1"/>
      <c r="L1249" s="1"/>
    </row>
    <row r="1250">
      <c r="A1250" s="110">
        <v>46224.390460462964</v>
      </c>
      <c r="B1250" s="1" t="s">
        <v>144</v>
      </c>
      <c r="C1250" s="1" t="s">
        <v>272</v>
      </c>
      <c r="D1250" s="1" t="s">
        <v>130</v>
      </c>
      <c r="E1250" s="1"/>
      <c r="F1250" s="111" t="b">
        <v>1</v>
      </c>
      <c r="G1250" s="111" t="b">
        <v>1</v>
      </c>
      <c r="H1250" s="111" t="b">
        <v>1</v>
      </c>
      <c r="I1250" s="1" t="s">
        <v>87</v>
      </c>
      <c r="J1250" s="1"/>
      <c r="K1250" s="1"/>
      <c r="L1250" s="1"/>
    </row>
    <row r="1251">
      <c r="A1251" s="110">
        <v>46224.432774444445</v>
      </c>
      <c r="B1251" s="1" t="s">
        <v>217</v>
      </c>
      <c r="C1251" s="1" t="s">
        <v>159</v>
      </c>
      <c r="D1251" s="129" t="s">
        <v>139</v>
      </c>
      <c r="E1251" s="1"/>
      <c r="F1251" s="111" t="b">
        <v>1</v>
      </c>
      <c r="G1251" s="111" t="b">
        <v>1</v>
      </c>
      <c r="H1251" s="111" t="b">
        <v>1</v>
      </c>
      <c r="I1251" s="1" t="s">
        <v>147</v>
      </c>
      <c r="J1251" s="1"/>
      <c r="K1251" s="1"/>
      <c r="L1251" s="1"/>
    </row>
    <row r="1252">
      <c r="A1252" s="110">
        <v>46224.43530372685</v>
      </c>
      <c r="B1252" s="1" t="s">
        <v>272</v>
      </c>
      <c r="C1252" s="1" t="s">
        <v>244</v>
      </c>
      <c r="D1252" s="1" t="s">
        <v>130</v>
      </c>
      <c r="E1252" s="1" t="s">
        <v>420</v>
      </c>
      <c r="F1252" s="111" t="b">
        <v>1</v>
      </c>
      <c r="G1252" s="1"/>
      <c r="H1252" s="111" t="b">
        <v>1</v>
      </c>
      <c r="I1252" s="1"/>
      <c r="J1252" s="1"/>
      <c r="K1252" s="1"/>
      <c r="L1252" s="1"/>
    </row>
    <row r="1253">
      <c r="A1253" s="110">
        <v>46224.467740810185</v>
      </c>
      <c r="B1253" s="1" t="s">
        <v>164</v>
      </c>
      <c r="C1253" s="1" t="s">
        <v>303</v>
      </c>
      <c r="D1253" s="1" t="s">
        <v>130</v>
      </c>
      <c r="E1253" s="1" t="s">
        <v>249</v>
      </c>
      <c r="F1253" s="111" t="b">
        <v>1</v>
      </c>
      <c r="G1253" s="111" t="b">
        <v>1</v>
      </c>
      <c r="H1253" s="111" t="b">
        <v>1</v>
      </c>
      <c r="I1253" s="1" t="s">
        <v>93</v>
      </c>
      <c r="J1253" s="1"/>
      <c r="K1253" s="1"/>
      <c r="L1253" s="1"/>
    </row>
    <row r="1254">
      <c r="A1254" s="110">
        <v>46224.617782037036</v>
      </c>
      <c r="B1254" s="1" t="s">
        <v>272</v>
      </c>
      <c r="C1254" s="1" t="s">
        <v>263</v>
      </c>
      <c r="D1254" s="129" t="s">
        <v>139</v>
      </c>
      <c r="E1254" s="1"/>
      <c r="F1254" s="111" t="b">
        <v>1</v>
      </c>
      <c r="G1254" s="111" t="b">
        <v>1</v>
      </c>
      <c r="H1254" s="111" t="b">
        <v>1</v>
      </c>
      <c r="I1254" s="1" t="s">
        <v>120</v>
      </c>
      <c r="J1254" s="1"/>
      <c r="K1254" s="1"/>
      <c r="L1254" s="1"/>
    </row>
    <row r="1255">
      <c r="A1255" s="110">
        <v>46224.63635613426</v>
      </c>
      <c r="B1255" s="1" t="s">
        <v>320</v>
      </c>
      <c r="C1255" s="1" t="s">
        <v>143</v>
      </c>
      <c r="D1255" s="1" t="s">
        <v>130</v>
      </c>
      <c r="E1255" s="1"/>
      <c r="F1255" s="111" t="b">
        <v>1</v>
      </c>
      <c r="G1255" s="111" t="b">
        <v>1</v>
      </c>
      <c r="H1255" s="111" t="b">
        <v>1</v>
      </c>
      <c r="I1255" s="1" t="s">
        <v>118</v>
      </c>
      <c r="J1255" s="1"/>
      <c r="K1255" s="1"/>
      <c r="L1255" s="1"/>
    </row>
    <row r="1256">
      <c r="A1256" s="110">
        <v>46224.64281259259</v>
      </c>
      <c r="B1256" s="1" t="s">
        <v>162</v>
      </c>
      <c r="C1256" s="1" t="s">
        <v>149</v>
      </c>
      <c r="D1256" s="129" t="s">
        <v>139</v>
      </c>
      <c r="E1256" s="1"/>
      <c r="F1256" s="111" t="b">
        <v>1</v>
      </c>
      <c r="G1256" s="111" t="b">
        <v>1</v>
      </c>
      <c r="H1256" s="111" t="b">
        <v>1</v>
      </c>
      <c r="I1256" s="1" t="s">
        <v>147</v>
      </c>
      <c r="J1256" s="1"/>
      <c r="K1256" s="1"/>
      <c r="L1256" s="1"/>
    </row>
    <row r="1257">
      <c r="A1257" s="110">
        <v>46224.648865787036</v>
      </c>
      <c r="B1257" s="1" t="s">
        <v>260</v>
      </c>
      <c r="C1257" s="1" t="s">
        <v>263</v>
      </c>
      <c r="D1257" s="1" t="s">
        <v>130</v>
      </c>
      <c r="E1257" s="1" t="s">
        <v>236</v>
      </c>
      <c r="F1257" s="111" t="b">
        <v>1</v>
      </c>
      <c r="G1257" s="1"/>
      <c r="H1257" s="111" t="b">
        <v>1</v>
      </c>
      <c r="I1257" s="1"/>
      <c r="J1257" s="1"/>
      <c r="K1257" s="1"/>
      <c r="L1257" s="1"/>
    </row>
    <row r="1258">
      <c r="A1258" s="110">
        <v>46224.666413495375</v>
      </c>
      <c r="B1258" s="1" t="s">
        <v>143</v>
      </c>
      <c r="C1258" s="1" t="s">
        <v>208</v>
      </c>
      <c r="D1258" s="129" t="s">
        <v>139</v>
      </c>
      <c r="E1258" s="1"/>
      <c r="F1258" s="111" t="b">
        <v>1</v>
      </c>
      <c r="G1258" s="111" t="b">
        <v>1</v>
      </c>
      <c r="H1258" s="111" t="b">
        <v>1</v>
      </c>
      <c r="I1258" s="1" t="s">
        <v>84</v>
      </c>
      <c r="J1258" s="1"/>
      <c r="K1258" s="1"/>
      <c r="L1258" s="1"/>
    </row>
    <row r="1259">
      <c r="A1259" s="110">
        <v>46224.75801282407</v>
      </c>
      <c r="B1259" s="1" t="s">
        <v>280</v>
      </c>
      <c r="C1259" s="1" t="s">
        <v>219</v>
      </c>
      <c r="D1259" s="129" t="s">
        <v>139</v>
      </c>
      <c r="E1259" s="1"/>
      <c r="F1259" s="111" t="b">
        <v>1</v>
      </c>
      <c r="G1259" s="111" t="b">
        <v>1</v>
      </c>
      <c r="H1259" s="111" t="b">
        <v>1</v>
      </c>
      <c r="I1259" s="1" t="s">
        <v>98</v>
      </c>
      <c r="J1259" s="1"/>
      <c r="K1259" s="1"/>
      <c r="L1259" s="1"/>
    </row>
    <row r="1260">
      <c r="A1260" s="110">
        <v>46224.77245097222</v>
      </c>
      <c r="B1260" s="1" t="s">
        <v>159</v>
      </c>
      <c r="C1260" s="1" t="s">
        <v>278</v>
      </c>
      <c r="D1260" s="129" t="s">
        <v>139</v>
      </c>
      <c r="E1260" s="1"/>
      <c r="F1260" s="111" t="b">
        <v>1</v>
      </c>
      <c r="G1260" s="111" t="b">
        <v>1</v>
      </c>
      <c r="H1260" s="111" t="b">
        <v>1</v>
      </c>
      <c r="I1260" s="1" t="s">
        <v>84</v>
      </c>
      <c r="J1260" s="1"/>
      <c r="K1260" s="1"/>
      <c r="L1260" s="1"/>
    </row>
    <row r="1261">
      <c r="A1261" s="110">
        <v>46224.81896462963</v>
      </c>
      <c r="B1261" s="1" t="s">
        <v>228</v>
      </c>
      <c r="C1261" s="1" t="s">
        <v>203</v>
      </c>
      <c r="D1261" s="129" t="s">
        <v>139</v>
      </c>
      <c r="E1261" s="1"/>
      <c r="F1261" s="111" t="b">
        <v>1</v>
      </c>
      <c r="G1261" s="111" t="b">
        <v>1</v>
      </c>
      <c r="H1261" s="111" t="b">
        <v>1</v>
      </c>
      <c r="I1261" s="1" t="s">
        <v>202</v>
      </c>
      <c r="J1261" s="1"/>
      <c r="K1261" s="1"/>
      <c r="L1261" s="1"/>
    </row>
    <row r="1262">
      <c r="A1262" s="110">
        <v>46224.832975578705</v>
      </c>
      <c r="B1262" s="1" t="s">
        <v>222</v>
      </c>
      <c r="C1262" s="1" t="s">
        <v>289</v>
      </c>
      <c r="D1262" s="1" t="s">
        <v>130</v>
      </c>
      <c r="E1262" s="1"/>
      <c r="F1262" s="111" t="b">
        <v>1</v>
      </c>
      <c r="G1262" s="111" t="b">
        <v>1</v>
      </c>
      <c r="H1262" s="111" t="b">
        <v>1</v>
      </c>
      <c r="I1262" s="1" t="s">
        <v>97</v>
      </c>
      <c r="J1262" s="1"/>
      <c r="K1262" s="1"/>
      <c r="L1262" s="1"/>
    </row>
    <row r="1263">
      <c r="A1263" s="110">
        <v>46224.84194863426</v>
      </c>
      <c r="B1263" s="1" t="s">
        <v>132</v>
      </c>
      <c r="C1263" s="1" t="s">
        <v>224</v>
      </c>
      <c r="D1263" s="129" t="s">
        <v>139</v>
      </c>
      <c r="E1263" s="1"/>
      <c r="F1263" s="111" t="b">
        <v>1</v>
      </c>
      <c r="G1263" s="111" t="b">
        <v>1</v>
      </c>
      <c r="H1263" s="111" t="b">
        <v>1</v>
      </c>
      <c r="I1263" s="1" t="s">
        <v>79</v>
      </c>
      <c r="J1263" s="1"/>
      <c r="K1263" s="1"/>
      <c r="L1263" s="1"/>
    </row>
    <row r="1264">
      <c r="A1264" s="110">
        <v>46224.84531815972</v>
      </c>
      <c r="B1264" s="1" t="s">
        <v>183</v>
      </c>
      <c r="C1264" s="1" t="s">
        <v>89</v>
      </c>
      <c r="D1264" s="1" t="s">
        <v>130</v>
      </c>
      <c r="E1264" s="1" t="s">
        <v>167</v>
      </c>
      <c r="F1264" s="111" t="b">
        <v>1</v>
      </c>
      <c r="G1264" s="111" t="b">
        <v>1</v>
      </c>
      <c r="H1264" s="111" t="b">
        <v>1</v>
      </c>
      <c r="I1264" s="1" t="s">
        <v>93</v>
      </c>
      <c r="J1264" s="1"/>
      <c r="K1264" s="1"/>
      <c r="L1264" s="1"/>
    </row>
    <row r="1265">
      <c r="A1265" s="110">
        <v>46224.87704172454</v>
      </c>
      <c r="B1265" s="1" t="s">
        <v>137</v>
      </c>
      <c r="C1265" s="1" t="s">
        <v>224</v>
      </c>
      <c r="D1265" s="129" t="s">
        <v>139</v>
      </c>
      <c r="E1265" s="1"/>
      <c r="F1265" s="111" t="b">
        <v>1</v>
      </c>
      <c r="G1265" s="111" t="b">
        <v>1</v>
      </c>
      <c r="H1265" s="111" t="b">
        <v>1</v>
      </c>
      <c r="I1265" s="1" t="s">
        <v>102</v>
      </c>
      <c r="J1265" s="1"/>
      <c r="K1265" s="1"/>
      <c r="L1265" s="1"/>
    </row>
    <row r="1266">
      <c r="A1266" s="110">
        <v>46224.87735408565</v>
      </c>
      <c r="B1266" s="1" t="s">
        <v>233</v>
      </c>
      <c r="C1266" s="1" t="s">
        <v>203</v>
      </c>
      <c r="D1266" s="1" t="s">
        <v>130</v>
      </c>
      <c r="E1266" s="1"/>
      <c r="F1266" s="111" t="b">
        <v>1</v>
      </c>
      <c r="G1266" s="111" t="b">
        <v>1</v>
      </c>
      <c r="H1266" s="111" t="b">
        <v>1</v>
      </c>
      <c r="I1266" s="1" t="s">
        <v>93</v>
      </c>
      <c r="J1266" s="1"/>
      <c r="K1266" s="1"/>
      <c r="L1266" s="1"/>
    </row>
    <row r="1267">
      <c r="A1267" s="110">
        <v>46224.888615034724</v>
      </c>
      <c r="B1267" s="1" t="s">
        <v>215</v>
      </c>
      <c r="C1267" s="1" t="s">
        <v>228</v>
      </c>
      <c r="D1267" s="1" t="s">
        <v>130</v>
      </c>
      <c r="E1267" s="1" t="s">
        <v>175</v>
      </c>
      <c r="F1267" s="111" t="b">
        <v>1</v>
      </c>
      <c r="G1267" s="1"/>
      <c r="H1267" s="111" t="b">
        <v>1</v>
      </c>
      <c r="I1267" s="1"/>
      <c r="J1267" s="1"/>
      <c r="K1267" s="1"/>
      <c r="L1267" s="1"/>
    </row>
    <row r="1268">
      <c r="A1268" s="110">
        <v>46224.9020284375</v>
      </c>
      <c r="B1268" s="1" t="s">
        <v>217</v>
      </c>
      <c r="C1268" s="1" t="s">
        <v>298</v>
      </c>
      <c r="D1268" s="1" t="s">
        <v>130</v>
      </c>
      <c r="E1268" s="1"/>
      <c r="F1268" s="111" t="b">
        <v>1</v>
      </c>
      <c r="G1268" s="111" t="b">
        <v>1</v>
      </c>
      <c r="H1268" s="111" t="b">
        <v>1</v>
      </c>
      <c r="I1268" s="1" t="s">
        <v>102</v>
      </c>
      <c r="J1268" s="1"/>
      <c r="K1268" s="1"/>
      <c r="L1268" s="1"/>
    </row>
    <row r="1269">
      <c r="A1269" s="110">
        <v>46224.91436894676</v>
      </c>
      <c r="B1269" s="1" t="s">
        <v>137</v>
      </c>
      <c r="C1269" s="1" t="s">
        <v>156</v>
      </c>
      <c r="D1269" s="1" t="s">
        <v>130</v>
      </c>
      <c r="E1269" s="1"/>
      <c r="F1269" s="111" t="b">
        <v>1</v>
      </c>
      <c r="G1269" s="111" t="b">
        <v>1</v>
      </c>
      <c r="H1269" s="111" t="b">
        <v>1</v>
      </c>
      <c r="I1269" s="1" t="s">
        <v>95</v>
      </c>
      <c r="J1269" s="1"/>
      <c r="K1269" s="1"/>
      <c r="L1269" s="1"/>
    </row>
    <row r="1270">
      <c r="A1270" s="110">
        <v>46224.94076960648</v>
      </c>
      <c r="B1270" s="1" t="s">
        <v>302</v>
      </c>
      <c r="C1270" s="1" t="s">
        <v>298</v>
      </c>
      <c r="D1270" s="1" t="s">
        <v>130</v>
      </c>
      <c r="E1270" s="1"/>
      <c r="F1270" s="111" t="b">
        <v>1</v>
      </c>
      <c r="G1270" s="1"/>
      <c r="H1270" s="111" t="b">
        <v>1</v>
      </c>
      <c r="I1270" s="1"/>
      <c r="J1270" s="1"/>
      <c r="K1270" s="1"/>
      <c r="L1270" s="1"/>
    </row>
    <row r="1271">
      <c r="A1271" s="110">
        <v>46224.945914502314</v>
      </c>
      <c r="B1271" s="1" t="s">
        <v>279</v>
      </c>
      <c r="C1271" s="1" t="s">
        <v>223</v>
      </c>
      <c r="D1271" s="1" t="s">
        <v>130</v>
      </c>
      <c r="E1271" s="1" t="s">
        <v>167</v>
      </c>
      <c r="F1271" s="111" t="b">
        <v>1</v>
      </c>
      <c r="G1271" s="111" t="b">
        <v>1</v>
      </c>
      <c r="H1271" s="111" t="b">
        <v>1</v>
      </c>
      <c r="I1271" s="1" t="s">
        <v>202</v>
      </c>
      <c r="J1271" s="1"/>
      <c r="K1271" s="1"/>
      <c r="L1271" s="1"/>
    </row>
    <row r="1272">
      <c r="A1272" s="110">
        <v>46224.971684131946</v>
      </c>
      <c r="B1272" s="1" t="s">
        <v>302</v>
      </c>
      <c r="C1272" s="1" t="s">
        <v>287</v>
      </c>
      <c r="D1272" s="129" t="s">
        <v>139</v>
      </c>
      <c r="E1272" s="1"/>
      <c r="F1272" s="111" t="b">
        <v>1</v>
      </c>
      <c r="G1272" s="111" t="b">
        <v>1</v>
      </c>
      <c r="H1272" s="111" t="b">
        <v>1</v>
      </c>
      <c r="I1272" s="1" t="s">
        <v>84</v>
      </c>
      <c r="J1272" s="1"/>
      <c r="K1272" s="1"/>
      <c r="L1272" s="1"/>
    </row>
    <row r="1273">
      <c r="A1273" s="110">
        <v>46224.97201981481</v>
      </c>
      <c r="B1273" s="1" t="s">
        <v>234</v>
      </c>
      <c r="C1273" s="1" t="s">
        <v>190</v>
      </c>
      <c r="D1273" s="1" t="s">
        <v>130</v>
      </c>
      <c r="E1273" s="1"/>
      <c r="F1273" s="111" t="b">
        <v>1</v>
      </c>
      <c r="G1273" s="111" t="b">
        <v>1</v>
      </c>
      <c r="H1273" s="111" t="b">
        <v>1</v>
      </c>
      <c r="I1273" s="1" t="s">
        <v>90</v>
      </c>
      <c r="J1273" s="1"/>
      <c r="K1273" s="1"/>
      <c r="L1273" s="1"/>
    </row>
    <row r="1274">
      <c r="A1274" s="110">
        <v>46225.02542696759</v>
      </c>
      <c r="B1274" s="1" t="s">
        <v>170</v>
      </c>
      <c r="C1274" s="1" t="s">
        <v>149</v>
      </c>
      <c r="D1274" s="1" t="s">
        <v>130</v>
      </c>
      <c r="E1274" s="1"/>
      <c r="F1274" s="111" t="b">
        <v>1</v>
      </c>
      <c r="G1274" s="111" t="b">
        <v>1</v>
      </c>
      <c r="H1274" s="111" t="b">
        <v>1</v>
      </c>
      <c r="I1274" s="1" t="s">
        <v>81</v>
      </c>
      <c r="J1274" s="1"/>
      <c r="K1274" s="1"/>
      <c r="L1274" s="1"/>
    </row>
    <row r="1275">
      <c r="A1275" s="110">
        <v>46225.289438252315</v>
      </c>
      <c r="B1275" s="1" t="s">
        <v>144</v>
      </c>
      <c r="C1275" s="1" t="s">
        <v>238</v>
      </c>
      <c r="D1275" s="1" t="s">
        <v>130</v>
      </c>
      <c r="E1275" s="1"/>
      <c r="F1275" s="111" t="b">
        <v>1</v>
      </c>
      <c r="G1275" s="111" t="b">
        <v>1</v>
      </c>
      <c r="H1275" s="111" t="b">
        <v>1</v>
      </c>
      <c r="I1275" s="1" t="s">
        <v>95</v>
      </c>
      <c r="J1275" s="1"/>
      <c r="K1275" s="1"/>
      <c r="L1275" s="1"/>
    </row>
    <row r="1276">
      <c r="A1276" s="110">
        <v>46225.29829010417</v>
      </c>
      <c r="B1276" s="1" t="s">
        <v>222</v>
      </c>
      <c r="C1276" s="1" t="s">
        <v>225</v>
      </c>
      <c r="D1276" s="1" t="s">
        <v>130</v>
      </c>
      <c r="E1276" s="1"/>
      <c r="F1276" s="111" t="b">
        <v>1</v>
      </c>
      <c r="G1276" s="111" t="b">
        <v>1</v>
      </c>
      <c r="H1276" s="111" t="b">
        <v>1</v>
      </c>
      <c r="I1276" s="1" t="s">
        <v>102</v>
      </c>
      <c r="J1276" s="1"/>
      <c r="K1276" s="1"/>
      <c r="L1276" s="1"/>
    </row>
    <row r="1277">
      <c r="A1277" s="110">
        <v>46225.413732835645</v>
      </c>
      <c r="B1277" s="1" t="s">
        <v>272</v>
      </c>
      <c r="C1277" s="1" t="s">
        <v>159</v>
      </c>
      <c r="D1277" s="129" t="s">
        <v>139</v>
      </c>
      <c r="E1277" s="1"/>
      <c r="F1277" s="111" t="b">
        <v>1</v>
      </c>
      <c r="G1277" s="1"/>
      <c r="H1277" s="111" t="b">
        <v>1</v>
      </c>
      <c r="I1277" s="1"/>
      <c r="J1277" s="1"/>
      <c r="K1277" s="1"/>
      <c r="L1277" s="1"/>
    </row>
    <row r="1278">
      <c r="A1278" s="110">
        <v>46225.51394619213</v>
      </c>
      <c r="B1278" s="1" t="s">
        <v>128</v>
      </c>
      <c r="C1278" s="1" t="s">
        <v>234</v>
      </c>
      <c r="D1278" s="129" t="s">
        <v>139</v>
      </c>
      <c r="E1278" s="1"/>
      <c r="F1278" s="111" t="b">
        <v>1</v>
      </c>
      <c r="G1278" s="111" t="b">
        <v>1</v>
      </c>
      <c r="H1278" s="111" t="b">
        <v>1</v>
      </c>
      <c r="I1278" s="1" t="s">
        <v>99</v>
      </c>
      <c r="J1278" s="1"/>
      <c r="K1278" s="1"/>
      <c r="L1278" s="1"/>
    </row>
    <row r="1279">
      <c r="A1279" s="110">
        <v>46225.53559151621</v>
      </c>
      <c r="B1279" s="1" t="s">
        <v>260</v>
      </c>
      <c r="C1279" s="1" t="s">
        <v>272</v>
      </c>
      <c r="D1279" s="129" t="s">
        <v>139</v>
      </c>
      <c r="E1279" s="1" t="s">
        <v>236</v>
      </c>
      <c r="F1279" s="111" t="b">
        <v>1</v>
      </c>
      <c r="G1279" s="111" t="b">
        <v>1</v>
      </c>
      <c r="H1279" s="111" t="b">
        <v>1</v>
      </c>
      <c r="I1279" s="1" t="s">
        <v>99</v>
      </c>
      <c r="J1279" s="1"/>
      <c r="K1279" s="1"/>
      <c r="L1279" s="1"/>
    </row>
    <row r="1280">
      <c r="A1280" s="110">
        <v>46225.556321111115</v>
      </c>
      <c r="B1280" s="1" t="s">
        <v>128</v>
      </c>
      <c r="C1280" s="1" t="s">
        <v>174</v>
      </c>
      <c r="D1280" s="1" t="s">
        <v>130</v>
      </c>
      <c r="E1280" s="1"/>
      <c r="F1280" s="111" t="b">
        <v>1</v>
      </c>
      <c r="G1280" s="111" t="b">
        <v>1</v>
      </c>
      <c r="H1280" s="111" t="b">
        <v>1</v>
      </c>
      <c r="I1280" s="1" t="s">
        <v>79</v>
      </c>
      <c r="J1280" s="1"/>
      <c r="K1280" s="1"/>
      <c r="L1280" s="1"/>
    </row>
    <row r="1281">
      <c r="A1281" s="110">
        <v>46225.5564134375</v>
      </c>
      <c r="B1281" s="1" t="s">
        <v>162</v>
      </c>
      <c r="C1281" s="1" t="s">
        <v>320</v>
      </c>
      <c r="D1281" s="129" t="s">
        <v>139</v>
      </c>
      <c r="E1281" s="1"/>
      <c r="F1281" s="111" t="b">
        <v>1</v>
      </c>
      <c r="G1281" s="111" t="b">
        <v>1</v>
      </c>
      <c r="H1281" s="111" t="b">
        <v>1</v>
      </c>
      <c r="I1281" s="1" t="s">
        <v>83</v>
      </c>
      <c r="J1281" s="1"/>
      <c r="K1281" s="1"/>
      <c r="L1281" s="1"/>
    </row>
    <row r="1282">
      <c r="A1282" s="110">
        <v>46225.55768738426</v>
      </c>
      <c r="B1282" s="1" t="s">
        <v>234</v>
      </c>
      <c r="C1282" s="1" t="s">
        <v>291</v>
      </c>
      <c r="D1282" s="129" t="s">
        <v>139</v>
      </c>
      <c r="E1282" s="1"/>
      <c r="F1282" s="111" t="b">
        <v>1</v>
      </c>
      <c r="G1282" s="1"/>
      <c r="H1282" s="111" t="b">
        <v>1</v>
      </c>
      <c r="I1282" s="1"/>
      <c r="J1282" s="1"/>
      <c r="K1282" s="1"/>
      <c r="L1282" s="1"/>
    </row>
    <row r="1283">
      <c r="A1283" s="110">
        <v>46225.606942604165</v>
      </c>
      <c r="B1283" s="1" t="s">
        <v>294</v>
      </c>
      <c r="C1283" s="1" t="s">
        <v>234</v>
      </c>
      <c r="D1283" s="1" t="s">
        <v>130</v>
      </c>
      <c r="E1283" s="1"/>
      <c r="F1283" s="111" t="b">
        <v>1</v>
      </c>
      <c r="G1283" s="111" t="b">
        <v>1</v>
      </c>
      <c r="H1283" s="111" t="b">
        <v>1</v>
      </c>
      <c r="I1283" s="1" t="s">
        <v>85</v>
      </c>
      <c r="J1283" s="1"/>
      <c r="K1283" s="1"/>
      <c r="L1283" s="1"/>
    </row>
    <row r="1284">
      <c r="A1284" s="110">
        <v>46225.627963946754</v>
      </c>
      <c r="B1284" s="1" t="s">
        <v>251</v>
      </c>
      <c r="C1284" s="1" t="s">
        <v>149</v>
      </c>
      <c r="D1284" s="1" t="s">
        <v>130</v>
      </c>
      <c r="E1284" s="1" t="s">
        <v>236</v>
      </c>
      <c r="F1284" s="111" t="b">
        <v>1</v>
      </c>
      <c r="G1284" s="111" t="b">
        <v>1</v>
      </c>
      <c r="H1284" s="111" t="b">
        <v>1</v>
      </c>
      <c r="I1284" s="1" t="s">
        <v>102</v>
      </c>
      <c r="J1284" s="1"/>
      <c r="K1284" s="1"/>
      <c r="L1284" s="1"/>
    </row>
    <row r="1285">
      <c r="A1285" s="110">
        <v>46225.66643107639</v>
      </c>
      <c r="B1285" s="1" t="s">
        <v>208</v>
      </c>
      <c r="C1285" s="1" t="s">
        <v>182</v>
      </c>
      <c r="D1285" s="129" t="s">
        <v>139</v>
      </c>
      <c r="E1285" s="1"/>
      <c r="F1285" s="111" t="b">
        <v>1</v>
      </c>
      <c r="G1285" s="111" t="b">
        <v>1</v>
      </c>
      <c r="H1285" s="111" t="b">
        <v>1</v>
      </c>
      <c r="I1285" s="1" t="s">
        <v>85</v>
      </c>
      <c r="J1285" s="1"/>
      <c r="K1285" s="1"/>
      <c r="L1285" s="1"/>
    </row>
    <row r="1286">
      <c r="A1286" s="110">
        <v>46225.68011609954</v>
      </c>
      <c r="B1286" s="1" t="s">
        <v>138</v>
      </c>
      <c r="C1286" s="1" t="s">
        <v>182</v>
      </c>
      <c r="D1286" s="1" t="s">
        <v>130</v>
      </c>
      <c r="E1286" s="1"/>
      <c r="F1286" s="111" t="b">
        <v>1</v>
      </c>
      <c r="G1286" s="111" t="b">
        <v>1</v>
      </c>
      <c r="H1286" s="111" t="b">
        <v>1</v>
      </c>
      <c r="I1286" s="1" t="s">
        <v>95</v>
      </c>
      <c r="J1286" s="1"/>
      <c r="K1286" s="1"/>
      <c r="L1286" s="1"/>
    </row>
    <row r="1287">
      <c r="A1287" s="110">
        <v>46225.682106319444</v>
      </c>
      <c r="B1287" s="1" t="s">
        <v>143</v>
      </c>
      <c r="C1287" s="1" t="s">
        <v>294</v>
      </c>
      <c r="D1287" s="129" t="s">
        <v>139</v>
      </c>
      <c r="E1287" s="1"/>
      <c r="F1287" s="111" t="b">
        <v>1</v>
      </c>
      <c r="G1287" s="111" t="b">
        <v>1</v>
      </c>
      <c r="H1287" s="111" t="b">
        <v>1</v>
      </c>
      <c r="I1287" s="1" t="s">
        <v>202</v>
      </c>
      <c r="J1287" s="1"/>
      <c r="K1287" s="1"/>
      <c r="L1287" s="1"/>
    </row>
    <row r="1288">
      <c r="A1288" s="110">
        <v>46225.70828291667</v>
      </c>
      <c r="B1288" s="1" t="s">
        <v>260</v>
      </c>
      <c r="C1288" s="1" t="s">
        <v>294</v>
      </c>
      <c r="D1288" s="129" t="s">
        <v>139</v>
      </c>
      <c r="E1288" s="1" t="s">
        <v>236</v>
      </c>
      <c r="F1288" s="111" t="b">
        <v>1</v>
      </c>
      <c r="G1288" s="111" t="b">
        <v>1</v>
      </c>
      <c r="H1288" s="111" t="b">
        <v>1</v>
      </c>
      <c r="I1288" s="1" t="s">
        <v>85</v>
      </c>
      <c r="J1288" s="1"/>
      <c r="K1288" s="1"/>
      <c r="L1288" s="1"/>
    </row>
    <row r="1289">
      <c r="A1289" s="110">
        <v>46225.798310115744</v>
      </c>
      <c r="B1289" s="1" t="s">
        <v>156</v>
      </c>
      <c r="C1289" s="1" t="s">
        <v>243</v>
      </c>
      <c r="D1289" s="129" t="s">
        <v>139</v>
      </c>
      <c r="E1289" s="1"/>
      <c r="F1289" s="111" t="b">
        <v>1</v>
      </c>
      <c r="G1289" s="111" t="b">
        <v>1</v>
      </c>
      <c r="H1289" s="111" t="b">
        <v>1</v>
      </c>
      <c r="I1289" s="1" t="s">
        <v>98</v>
      </c>
      <c r="J1289" s="1"/>
      <c r="K1289" s="1"/>
      <c r="L1289" s="1"/>
    </row>
    <row r="1290">
      <c r="A1290" s="110">
        <v>46225.82320201389</v>
      </c>
      <c r="B1290" s="1" t="s">
        <v>91</v>
      </c>
      <c r="C1290" s="1" t="s">
        <v>233</v>
      </c>
      <c r="D1290" s="1" t="s">
        <v>130</v>
      </c>
      <c r="E1290" s="1"/>
      <c r="F1290" s="111" t="b">
        <v>1</v>
      </c>
      <c r="G1290" s="111" t="b">
        <v>1</v>
      </c>
      <c r="H1290" s="111" t="b">
        <v>1</v>
      </c>
      <c r="I1290" s="1" t="s">
        <v>120</v>
      </c>
      <c r="J1290" s="1"/>
      <c r="K1290" s="1"/>
      <c r="L1290" s="1"/>
    </row>
    <row r="1291">
      <c r="A1291" s="110">
        <v>46225.835868634254</v>
      </c>
      <c r="B1291" s="1" t="s">
        <v>222</v>
      </c>
      <c r="C1291" s="1" t="s">
        <v>303</v>
      </c>
      <c r="D1291" s="129" t="s">
        <v>139</v>
      </c>
      <c r="E1291" s="1"/>
      <c r="F1291" s="111" t="b">
        <v>1</v>
      </c>
      <c r="G1291" s="111" t="b">
        <v>1</v>
      </c>
      <c r="H1291" s="111" t="b">
        <v>1</v>
      </c>
      <c r="I1291" s="1" t="s">
        <v>90</v>
      </c>
      <c r="J1291" s="1"/>
      <c r="K1291" s="1"/>
      <c r="L1291" s="1"/>
    </row>
    <row r="1292">
      <c r="A1292" s="110">
        <v>46225.837682094905</v>
      </c>
      <c r="B1292" s="1" t="s">
        <v>224</v>
      </c>
      <c r="C1292" s="1" t="s">
        <v>91</v>
      </c>
      <c r="D1292" s="1" t="s">
        <v>130</v>
      </c>
      <c r="E1292" s="1" t="s">
        <v>167</v>
      </c>
      <c r="F1292" s="111" t="b">
        <v>1</v>
      </c>
      <c r="G1292" s="111" t="b">
        <v>1</v>
      </c>
      <c r="H1292" s="111" t="b">
        <v>1</v>
      </c>
      <c r="I1292" s="1" t="s">
        <v>81</v>
      </c>
      <c r="J1292" s="1"/>
      <c r="K1292" s="1"/>
      <c r="L1292" s="1"/>
    </row>
    <row r="1293">
      <c r="A1293" s="110">
        <v>46225.89942134259</v>
      </c>
      <c r="B1293" s="1" t="s">
        <v>178</v>
      </c>
      <c r="C1293" s="1" t="s">
        <v>212</v>
      </c>
      <c r="D1293" s="129" t="s">
        <v>139</v>
      </c>
      <c r="E1293" s="1"/>
      <c r="F1293" s="111" t="b">
        <v>1</v>
      </c>
      <c r="G1293" s="111" t="b">
        <v>1</v>
      </c>
      <c r="H1293" s="111" t="b">
        <v>1</v>
      </c>
      <c r="I1293" s="1" t="s">
        <v>102</v>
      </c>
      <c r="J1293" s="1"/>
      <c r="K1293" s="1"/>
      <c r="L1293" s="1"/>
    </row>
    <row r="1294">
      <c r="A1294" s="110">
        <v>46225.911390416666</v>
      </c>
      <c r="B1294" s="1" t="s">
        <v>156</v>
      </c>
      <c r="C1294" s="1" t="s">
        <v>267</v>
      </c>
      <c r="D1294" s="1" t="s">
        <v>130</v>
      </c>
      <c r="E1294" s="1"/>
      <c r="F1294" s="111" t="b">
        <v>1</v>
      </c>
      <c r="G1294" s="111" t="b">
        <v>1</v>
      </c>
      <c r="H1294" s="111" t="b">
        <v>1</v>
      </c>
      <c r="I1294" s="1" t="s">
        <v>118</v>
      </c>
      <c r="J1294" s="1"/>
      <c r="K1294" s="1"/>
      <c r="L1294" s="1"/>
    </row>
    <row r="1295">
      <c r="A1295" s="110">
        <v>46225.92307984954</v>
      </c>
      <c r="B1295" s="1" t="s">
        <v>178</v>
      </c>
      <c r="C1295" s="1" t="s">
        <v>302</v>
      </c>
      <c r="D1295" s="1" t="s">
        <v>130</v>
      </c>
      <c r="E1295" s="1"/>
      <c r="F1295" s="111" t="b">
        <v>1</v>
      </c>
      <c r="G1295" s="111" t="b">
        <v>1</v>
      </c>
      <c r="H1295" s="111" t="b">
        <v>1</v>
      </c>
      <c r="I1295" s="1" t="s">
        <v>95</v>
      </c>
      <c r="J1295" s="1"/>
      <c r="K1295" s="1"/>
      <c r="L1295" s="1"/>
    </row>
    <row r="1296">
      <c r="A1296" s="110">
        <v>46225.933922083335</v>
      </c>
      <c r="B1296" s="1" t="s">
        <v>199</v>
      </c>
      <c r="C1296" s="1" t="s">
        <v>91</v>
      </c>
      <c r="D1296" s="129" t="s">
        <v>139</v>
      </c>
      <c r="E1296" s="1"/>
      <c r="F1296" s="111" t="b">
        <v>1</v>
      </c>
      <c r="G1296" s="111" t="b">
        <v>1</v>
      </c>
      <c r="H1296" s="111" t="b">
        <v>1</v>
      </c>
      <c r="I1296" s="1" t="s">
        <v>98</v>
      </c>
      <c r="J1296" s="1"/>
      <c r="K1296" s="1"/>
      <c r="L1296" s="1"/>
    </row>
    <row r="1297">
      <c r="A1297" s="110">
        <v>46225.94484483796</v>
      </c>
      <c r="B1297" s="1" t="s">
        <v>279</v>
      </c>
      <c r="C1297" s="1" t="s">
        <v>178</v>
      </c>
      <c r="D1297" s="1" t="s">
        <v>130</v>
      </c>
      <c r="E1297" s="1" t="s">
        <v>167</v>
      </c>
      <c r="F1297" s="111" t="b">
        <v>1</v>
      </c>
      <c r="G1297" s="111" t="b">
        <v>1</v>
      </c>
      <c r="H1297" s="111" t="b">
        <v>1</v>
      </c>
      <c r="I1297" s="1" t="s">
        <v>87</v>
      </c>
      <c r="J1297" s="1"/>
      <c r="K1297" s="1"/>
      <c r="L1297" s="1"/>
    </row>
    <row r="1298">
      <c r="A1298" s="110">
        <v>46225.956056678246</v>
      </c>
      <c r="B1298" s="1" t="s">
        <v>302</v>
      </c>
      <c r="C1298" s="1" t="s">
        <v>156</v>
      </c>
      <c r="D1298" s="1" t="s">
        <v>130</v>
      </c>
      <c r="E1298" s="1"/>
      <c r="F1298" s="111" t="b">
        <v>1</v>
      </c>
      <c r="G1298" s="111" t="b">
        <v>1</v>
      </c>
      <c r="H1298" s="111" t="b">
        <v>1</v>
      </c>
      <c r="I1298" s="1" t="s">
        <v>93</v>
      </c>
      <c r="J1298" s="1"/>
      <c r="K1298" s="1"/>
      <c r="L1298" s="1"/>
    </row>
    <row r="1299">
      <c r="A1299" s="110">
        <v>46225.97887099537</v>
      </c>
      <c r="B1299" s="1" t="s">
        <v>304</v>
      </c>
      <c r="C1299" s="1" t="s">
        <v>224</v>
      </c>
      <c r="D1299" s="1" t="s">
        <v>130</v>
      </c>
      <c r="E1299" s="1"/>
      <c r="F1299" s="111" t="b">
        <v>1</v>
      </c>
      <c r="G1299" s="111" t="b">
        <v>1</v>
      </c>
      <c r="H1299" s="111" t="b">
        <v>1</v>
      </c>
      <c r="I1299" s="1" t="s">
        <v>106</v>
      </c>
      <c r="J1299" s="1"/>
      <c r="K1299" s="1"/>
      <c r="L1299" s="1"/>
    </row>
    <row r="1300">
      <c r="A1300" s="110">
        <v>46225.98638347222</v>
      </c>
      <c r="B1300" s="1" t="s">
        <v>256</v>
      </c>
      <c r="C1300" s="1" t="s">
        <v>217</v>
      </c>
      <c r="D1300" s="129" t="s">
        <v>139</v>
      </c>
      <c r="E1300" s="1" t="s">
        <v>421</v>
      </c>
      <c r="F1300" s="111" t="b">
        <v>1</v>
      </c>
      <c r="G1300" s="111" t="b">
        <v>1</v>
      </c>
      <c r="H1300" s="111" t="b">
        <v>1</v>
      </c>
      <c r="I1300" s="1" t="s">
        <v>98</v>
      </c>
      <c r="J1300" s="1"/>
      <c r="K1300" s="1"/>
      <c r="L1300" s="1"/>
    </row>
    <row r="1301">
      <c r="A1301" s="110">
        <v>46226.00075630787</v>
      </c>
      <c r="B1301" s="1" t="s">
        <v>287</v>
      </c>
      <c r="C1301" s="1" t="s">
        <v>256</v>
      </c>
      <c r="D1301" s="1" t="s">
        <v>130</v>
      </c>
      <c r="E1301" s="1"/>
      <c r="F1301" s="111" t="b">
        <v>1</v>
      </c>
      <c r="G1301" s="111" t="b">
        <v>1</v>
      </c>
      <c r="H1301" s="111" t="b">
        <v>1</v>
      </c>
      <c r="I1301" s="1" t="s">
        <v>147</v>
      </c>
      <c r="J1301" s="1"/>
      <c r="K1301" s="1"/>
      <c r="L1301" s="1"/>
    </row>
    <row r="1302">
      <c r="A1302" s="110">
        <v>46226.0051553588</v>
      </c>
      <c r="B1302" s="1" t="s">
        <v>283</v>
      </c>
      <c r="C1302" s="1" t="s">
        <v>304</v>
      </c>
      <c r="D1302" s="129" t="s">
        <v>139</v>
      </c>
      <c r="E1302" s="1" t="s">
        <v>422</v>
      </c>
      <c r="F1302" s="111" t="b">
        <v>1</v>
      </c>
      <c r="G1302" s="111" t="b">
        <v>1</v>
      </c>
      <c r="H1302" s="111" t="b">
        <v>1</v>
      </c>
      <c r="I1302" s="1" t="s">
        <v>120</v>
      </c>
      <c r="J1302" s="1"/>
      <c r="K1302" s="1"/>
      <c r="L1302" s="1"/>
    </row>
    <row r="1303">
      <c r="A1303" s="110">
        <v>46226.010846770834</v>
      </c>
      <c r="B1303" s="1" t="s">
        <v>199</v>
      </c>
      <c r="C1303" s="1" t="s">
        <v>279</v>
      </c>
      <c r="D1303" s="129" t="s">
        <v>139</v>
      </c>
      <c r="E1303" s="1"/>
      <c r="F1303" s="111" t="b">
        <v>1</v>
      </c>
      <c r="G1303" s="111" t="b">
        <v>1</v>
      </c>
      <c r="H1303" s="111" t="b">
        <v>1</v>
      </c>
      <c r="I1303" s="1" t="s">
        <v>102</v>
      </c>
      <c r="J1303" s="1"/>
      <c r="K1303" s="1"/>
      <c r="L1303" s="1"/>
    </row>
    <row r="1304">
      <c r="A1304" s="110">
        <v>46226.01825847222</v>
      </c>
      <c r="B1304" s="1" t="s">
        <v>287</v>
      </c>
      <c r="C1304" s="1" t="s">
        <v>285</v>
      </c>
      <c r="D1304" s="1" t="s">
        <v>130</v>
      </c>
      <c r="E1304" s="1"/>
      <c r="F1304" s="111" t="b">
        <v>1</v>
      </c>
      <c r="G1304" s="1"/>
      <c r="H1304" s="111" t="b">
        <v>1</v>
      </c>
      <c r="I1304" s="1"/>
      <c r="J1304" s="1"/>
      <c r="K1304" s="1"/>
      <c r="L1304" s="1"/>
    </row>
    <row r="1305">
      <c r="A1305" s="110">
        <v>46226.051047280096</v>
      </c>
      <c r="B1305" s="1" t="s">
        <v>234</v>
      </c>
      <c r="C1305" s="1" t="s">
        <v>199</v>
      </c>
      <c r="D1305" s="129" t="s">
        <v>139</v>
      </c>
      <c r="E1305" s="1"/>
      <c r="F1305" s="111" t="b">
        <v>1</v>
      </c>
      <c r="G1305" s="111" t="b">
        <v>1</v>
      </c>
      <c r="H1305" s="111" t="b">
        <v>1</v>
      </c>
      <c r="I1305" s="1" t="s">
        <v>81</v>
      </c>
      <c r="J1305" s="1"/>
      <c r="K1305" s="1"/>
      <c r="L1305" s="1"/>
    </row>
    <row r="1306">
      <c r="A1306" s="110">
        <v>46226.216765289355</v>
      </c>
      <c r="B1306" s="1" t="s">
        <v>162</v>
      </c>
      <c r="C1306" s="1" t="s">
        <v>238</v>
      </c>
      <c r="D1306" s="1" t="s">
        <v>130</v>
      </c>
      <c r="E1306" s="1"/>
      <c r="F1306" s="111" t="b">
        <v>1</v>
      </c>
      <c r="G1306" s="1"/>
      <c r="H1306" s="111" t="b">
        <v>1</v>
      </c>
      <c r="I1306" s="1"/>
      <c r="J1306" s="1"/>
      <c r="K1306" s="1"/>
      <c r="L1306" s="1"/>
    </row>
    <row r="1307">
      <c r="A1307" s="110">
        <v>46226.37219105324</v>
      </c>
      <c r="B1307" s="1" t="s">
        <v>261</v>
      </c>
      <c r="C1307" s="1" t="s">
        <v>182</v>
      </c>
      <c r="D1307" s="1" t="s">
        <v>130</v>
      </c>
      <c r="E1307" s="1" t="s">
        <v>192</v>
      </c>
      <c r="F1307" s="111" t="b">
        <v>1</v>
      </c>
      <c r="G1307" s="111" t="b">
        <v>1</v>
      </c>
      <c r="H1307" s="111" t="b">
        <v>1</v>
      </c>
      <c r="I1307" s="1" t="s">
        <v>97</v>
      </c>
      <c r="J1307" s="1"/>
      <c r="K1307" s="1"/>
      <c r="L1307" s="1"/>
    </row>
    <row r="1308">
      <c r="A1308" s="110">
        <v>46226.441251944445</v>
      </c>
      <c r="B1308" s="1" t="s">
        <v>267</v>
      </c>
      <c r="C1308" s="1" t="s">
        <v>256</v>
      </c>
      <c r="D1308" s="1" t="s">
        <v>130</v>
      </c>
      <c r="E1308" s="1" t="s">
        <v>268</v>
      </c>
      <c r="F1308" s="111" t="b">
        <v>1</v>
      </c>
      <c r="G1308" s="111" t="b">
        <v>1</v>
      </c>
      <c r="H1308" s="111" t="b">
        <v>1</v>
      </c>
      <c r="I1308" s="1" t="s">
        <v>83</v>
      </c>
      <c r="J1308" s="1"/>
      <c r="K1308" s="1"/>
      <c r="L1308" s="1"/>
    </row>
    <row r="1309">
      <c r="A1309" s="110">
        <v>46226.48121907408</v>
      </c>
      <c r="B1309" s="1" t="s">
        <v>243</v>
      </c>
      <c r="C1309" s="1" t="s">
        <v>138</v>
      </c>
      <c r="D1309" s="129" t="s">
        <v>139</v>
      </c>
      <c r="E1309" s="1" t="s">
        <v>157</v>
      </c>
      <c r="F1309" s="111" t="b">
        <v>1</v>
      </c>
      <c r="G1309" s="111" t="b">
        <v>1</v>
      </c>
      <c r="H1309" s="111" t="b">
        <v>1</v>
      </c>
      <c r="I1309" s="1" t="s">
        <v>118</v>
      </c>
      <c r="J1309" s="1"/>
      <c r="K1309" s="1"/>
      <c r="L1309" s="1"/>
    </row>
    <row r="1310">
      <c r="A1310" s="110">
        <v>46226.506314328704</v>
      </c>
      <c r="B1310" s="1" t="s">
        <v>219</v>
      </c>
      <c r="C1310" s="1" t="s">
        <v>243</v>
      </c>
      <c r="D1310" s="129" t="s">
        <v>139</v>
      </c>
      <c r="E1310" s="1"/>
      <c r="F1310" s="111" t="b">
        <v>1</v>
      </c>
      <c r="G1310" s="111" t="b">
        <v>1</v>
      </c>
      <c r="H1310" s="111" t="b">
        <v>1</v>
      </c>
      <c r="I1310" s="1" t="s">
        <v>102</v>
      </c>
      <c r="J1310" s="1"/>
      <c r="K1310" s="1"/>
      <c r="L1310" s="1"/>
    </row>
    <row r="1311">
      <c r="A1311" s="110">
        <v>46226.54073836806</v>
      </c>
      <c r="B1311" s="1" t="s">
        <v>256</v>
      </c>
      <c r="C1311" s="1" t="s">
        <v>219</v>
      </c>
      <c r="D1311" s="129" t="s">
        <v>139</v>
      </c>
      <c r="E1311" s="1" t="s">
        <v>192</v>
      </c>
      <c r="F1311" s="111" t="b">
        <v>1</v>
      </c>
      <c r="G1311" s="111" t="b">
        <v>1</v>
      </c>
      <c r="H1311" s="111" t="b">
        <v>1</v>
      </c>
      <c r="I1311" s="1" t="s">
        <v>85</v>
      </c>
      <c r="J1311" s="1"/>
      <c r="K1311" s="1"/>
      <c r="L1311" s="1"/>
    </row>
    <row r="1312">
      <c r="A1312" s="110">
        <v>46226.57117148148</v>
      </c>
      <c r="B1312" s="1" t="s">
        <v>256</v>
      </c>
      <c r="C1312" s="1" t="s">
        <v>311</v>
      </c>
      <c r="D1312" s="129" t="s">
        <v>139</v>
      </c>
      <c r="E1312" s="1" t="s">
        <v>192</v>
      </c>
      <c r="F1312" s="111" t="b">
        <v>1</v>
      </c>
      <c r="G1312" s="111" t="b">
        <v>1</v>
      </c>
      <c r="H1312" s="111" t="b">
        <v>1</v>
      </c>
      <c r="I1312" s="1" t="s">
        <v>87</v>
      </c>
      <c r="J1312" s="1"/>
      <c r="K1312" s="1"/>
      <c r="L1312" s="1"/>
    </row>
    <row r="1313">
      <c r="A1313" s="110">
        <v>46226.60180358797</v>
      </c>
      <c r="B1313" s="1" t="s">
        <v>315</v>
      </c>
      <c r="C1313" s="1" t="s">
        <v>164</v>
      </c>
      <c r="D1313" s="129" t="s">
        <v>139</v>
      </c>
      <c r="E1313" s="1"/>
      <c r="F1313" s="111" t="b">
        <v>1</v>
      </c>
      <c r="G1313" s="1"/>
      <c r="H1313" s="111" t="b">
        <v>1</v>
      </c>
      <c r="I1313" s="1"/>
      <c r="J1313" s="1"/>
      <c r="K1313" s="1"/>
      <c r="L1313" s="1"/>
    </row>
    <row r="1314">
      <c r="A1314" s="110">
        <v>46226.63380980324</v>
      </c>
      <c r="B1314" s="1" t="s">
        <v>315</v>
      </c>
      <c r="C1314" s="1" t="s">
        <v>256</v>
      </c>
      <c r="D1314" s="1" t="s">
        <v>130</v>
      </c>
      <c r="E1314" s="1"/>
      <c r="F1314" s="111" t="b">
        <v>1</v>
      </c>
      <c r="G1314" s="111" t="b">
        <v>1</v>
      </c>
      <c r="H1314" s="111" t="b">
        <v>1</v>
      </c>
      <c r="I1314" s="1" t="s">
        <v>97</v>
      </c>
      <c r="J1314" s="1"/>
      <c r="K1314" s="1"/>
      <c r="L1314" s="1"/>
    </row>
    <row r="1315">
      <c r="A1315" s="110">
        <v>46226.670600729165</v>
      </c>
      <c r="B1315" s="1" t="s">
        <v>178</v>
      </c>
      <c r="C1315" s="1" t="s">
        <v>146</v>
      </c>
      <c r="D1315" s="1" t="s">
        <v>130</v>
      </c>
      <c r="E1315" s="1"/>
      <c r="F1315" s="111" t="b">
        <v>1</v>
      </c>
      <c r="G1315" s="1"/>
      <c r="H1315" s="111" t="b">
        <v>1</v>
      </c>
      <c r="I1315" s="1"/>
      <c r="J1315" s="1"/>
      <c r="K1315" s="1"/>
      <c r="L1315" s="1"/>
    </row>
    <row r="1316">
      <c r="A1316" s="110">
        <v>46226.68483309028</v>
      </c>
      <c r="B1316" s="1" t="s">
        <v>260</v>
      </c>
      <c r="C1316" s="1" t="s">
        <v>178</v>
      </c>
      <c r="D1316" s="129" t="s">
        <v>139</v>
      </c>
      <c r="E1316" s="1" t="s">
        <v>423</v>
      </c>
      <c r="F1316" s="111" t="b">
        <v>1</v>
      </c>
      <c r="G1316" s="111" t="b">
        <v>1</v>
      </c>
      <c r="H1316" s="111" t="b">
        <v>1</v>
      </c>
      <c r="I1316" s="1" t="s">
        <v>85</v>
      </c>
      <c r="J1316" s="1"/>
      <c r="K1316" s="1"/>
      <c r="L1316" s="1"/>
    </row>
    <row r="1317">
      <c r="A1317" s="110">
        <v>46226.707667766204</v>
      </c>
      <c r="B1317" s="1" t="s">
        <v>320</v>
      </c>
      <c r="C1317" s="1" t="s">
        <v>182</v>
      </c>
      <c r="D1317" s="1" t="s">
        <v>130</v>
      </c>
      <c r="E1317" s="1"/>
      <c r="F1317" s="111" t="b">
        <v>1</v>
      </c>
      <c r="G1317" s="1"/>
      <c r="H1317" s="111" t="b">
        <v>1</v>
      </c>
      <c r="I1317" s="1"/>
      <c r="J1317" s="1"/>
      <c r="K1317" s="1"/>
      <c r="L1317" s="1"/>
    </row>
    <row r="1318">
      <c r="A1318" s="110">
        <v>46226.716524166666</v>
      </c>
      <c r="B1318" s="1" t="s">
        <v>208</v>
      </c>
      <c r="C1318" s="1" t="s">
        <v>178</v>
      </c>
      <c r="D1318" s="1" t="s">
        <v>130</v>
      </c>
      <c r="E1318" s="1"/>
      <c r="F1318" s="111" t="b">
        <v>1</v>
      </c>
      <c r="G1318" s="111" t="b">
        <v>1</v>
      </c>
      <c r="H1318" s="111" t="b">
        <v>1</v>
      </c>
      <c r="I1318" s="1" t="s">
        <v>84</v>
      </c>
      <c r="J1318" s="1"/>
      <c r="K1318" s="1"/>
      <c r="L1318" s="1"/>
    </row>
    <row r="1319">
      <c r="A1319" s="110">
        <v>46226.734190752315</v>
      </c>
      <c r="B1319" s="1" t="s">
        <v>260</v>
      </c>
      <c r="C1319" s="1" t="s">
        <v>320</v>
      </c>
      <c r="D1319" s="129" t="s">
        <v>139</v>
      </c>
      <c r="E1319" s="1" t="s">
        <v>343</v>
      </c>
      <c r="F1319" s="111" t="b">
        <v>1</v>
      </c>
      <c r="G1319" s="111" t="b">
        <v>1</v>
      </c>
      <c r="H1319" s="111" t="b">
        <v>1</v>
      </c>
      <c r="I1319" s="1" t="s">
        <v>95</v>
      </c>
      <c r="J1319" s="1"/>
      <c r="K1319" s="1"/>
      <c r="L1319" s="1"/>
    </row>
    <row r="1320">
      <c r="A1320" s="110">
        <v>46226.75575984953</v>
      </c>
      <c r="B1320" s="1" t="s">
        <v>311</v>
      </c>
      <c r="C1320" s="1" t="s">
        <v>208</v>
      </c>
      <c r="D1320" s="1" t="s">
        <v>130</v>
      </c>
      <c r="E1320" s="1"/>
      <c r="F1320" s="111" t="b">
        <v>1</v>
      </c>
      <c r="G1320" s="1"/>
      <c r="H1320" s="111" t="b">
        <v>1</v>
      </c>
      <c r="I1320" s="1"/>
      <c r="J1320" s="1"/>
      <c r="K1320" s="1"/>
      <c r="L1320" s="1"/>
    </row>
    <row r="1321">
      <c r="A1321" s="110">
        <v>46226.76405791666</v>
      </c>
      <c r="B1321" s="1" t="s">
        <v>203</v>
      </c>
      <c r="C1321" s="1" t="s">
        <v>311</v>
      </c>
      <c r="D1321" s="1" t="s">
        <v>130</v>
      </c>
      <c r="E1321" s="1" t="s">
        <v>157</v>
      </c>
      <c r="F1321" s="111" t="b">
        <v>1</v>
      </c>
      <c r="G1321" s="111" t="b">
        <v>1</v>
      </c>
      <c r="H1321" s="111" t="b">
        <v>1</v>
      </c>
      <c r="I1321" s="1" t="s">
        <v>118</v>
      </c>
      <c r="J1321" s="1"/>
      <c r="K1321" s="1"/>
      <c r="L1321" s="1"/>
    </row>
    <row r="1322">
      <c r="A1322" s="110">
        <v>46226.79437876157</v>
      </c>
      <c r="B1322" s="1" t="s">
        <v>203</v>
      </c>
      <c r="C1322" s="1" t="s">
        <v>222</v>
      </c>
      <c r="D1322" s="1" t="s">
        <v>130</v>
      </c>
      <c r="E1322" s="1" t="s">
        <v>424</v>
      </c>
      <c r="F1322" s="111" t="b">
        <v>1</v>
      </c>
      <c r="G1322" s="111" t="b">
        <v>1</v>
      </c>
      <c r="H1322" s="111" t="b">
        <v>1</v>
      </c>
      <c r="I1322" s="1" t="s">
        <v>84</v>
      </c>
      <c r="J1322" s="1"/>
      <c r="K1322" s="1"/>
      <c r="L1322" s="1"/>
    </row>
    <row r="1323">
      <c r="A1323" s="110">
        <v>46226.79658060185</v>
      </c>
      <c r="B1323" s="1" t="s">
        <v>311</v>
      </c>
      <c r="C1323" s="1" t="s">
        <v>233</v>
      </c>
      <c r="D1323" s="129" t="s">
        <v>139</v>
      </c>
      <c r="E1323" s="1" t="s">
        <v>425</v>
      </c>
      <c r="F1323" s="111" t="b">
        <v>1</v>
      </c>
      <c r="G1323" s="111" t="b">
        <v>1</v>
      </c>
      <c r="H1323" s="111" t="b">
        <v>1</v>
      </c>
      <c r="I1323" s="1" t="s">
        <v>147</v>
      </c>
      <c r="J1323" s="1"/>
      <c r="K1323" s="1"/>
      <c r="L1323" s="1"/>
    </row>
    <row r="1324">
      <c r="A1324" s="110">
        <v>46226.82331166667</v>
      </c>
      <c r="B1324" s="1" t="s">
        <v>251</v>
      </c>
      <c r="C1324" s="1" t="s">
        <v>137</v>
      </c>
      <c r="D1324" s="1" t="s">
        <v>130</v>
      </c>
      <c r="E1324" s="1" t="s">
        <v>236</v>
      </c>
      <c r="F1324" s="111" t="b">
        <v>1</v>
      </c>
      <c r="G1324" s="111" t="b">
        <v>1</v>
      </c>
      <c r="H1324" s="111" t="b">
        <v>1</v>
      </c>
      <c r="I1324" s="1" t="s">
        <v>90</v>
      </c>
      <c r="J1324" s="1"/>
      <c r="K1324" s="1"/>
      <c r="L1324" s="1"/>
    </row>
    <row r="1325">
      <c r="A1325" s="110">
        <v>46226.827410185186</v>
      </c>
      <c r="B1325" s="1" t="s">
        <v>222</v>
      </c>
      <c r="C1325" s="1" t="s">
        <v>233</v>
      </c>
      <c r="D1325" s="1" t="s">
        <v>130</v>
      </c>
      <c r="E1325" s="1"/>
      <c r="F1325" s="111" t="b">
        <v>1</v>
      </c>
      <c r="G1325" s="111" t="b">
        <v>1</v>
      </c>
      <c r="H1325" s="111" t="b">
        <v>1</v>
      </c>
      <c r="I1325" s="1" t="s">
        <v>95</v>
      </c>
      <c r="J1325" s="1"/>
      <c r="K1325" s="1"/>
      <c r="L1325" s="1"/>
    </row>
    <row r="1326">
      <c r="A1326" s="110">
        <v>46226.85390659722</v>
      </c>
      <c r="B1326" s="1" t="s">
        <v>233</v>
      </c>
      <c r="C1326" s="1" t="s">
        <v>245</v>
      </c>
      <c r="D1326" s="129" t="s">
        <v>139</v>
      </c>
      <c r="E1326" s="1"/>
      <c r="F1326" s="111" t="b">
        <v>1</v>
      </c>
      <c r="G1326" s="111" t="b">
        <v>1</v>
      </c>
      <c r="H1326" s="111" t="b">
        <v>1</v>
      </c>
      <c r="I1326" s="1" t="s">
        <v>147</v>
      </c>
      <c r="J1326" s="1"/>
      <c r="K1326" s="1"/>
      <c r="L1326" s="1"/>
    </row>
    <row r="1327">
      <c r="A1327" s="110">
        <v>46226.87306657407</v>
      </c>
      <c r="B1327" s="1" t="s">
        <v>161</v>
      </c>
      <c r="C1327" s="1" t="s">
        <v>278</v>
      </c>
      <c r="D1327" s="129" t="s">
        <v>139</v>
      </c>
      <c r="E1327" s="1"/>
      <c r="F1327" s="111" t="b">
        <v>1</v>
      </c>
      <c r="G1327" s="111" t="b">
        <v>1</v>
      </c>
      <c r="H1327" s="111" t="b">
        <v>1</v>
      </c>
      <c r="I1327" s="1" t="s">
        <v>83</v>
      </c>
      <c r="J1327" s="1"/>
      <c r="K1327" s="1"/>
      <c r="L1327" s="1"/>
    </row>
    <row r="1328">
      <c r="A1328" s="110">
        <v>46226.89259413195</v>
      </c>
      <c r="B1328" s="1" t="s">
        <v>302</v>
      </c>
      <c r="C1328" s="1" t="s">
        <v>137</v>
      </c>
      <c r="D1328" s="1" t="s">
        <v>130</v>
      </c>
      <c r="E1328" s="1"/>
      <c r="F1328" s="111" t="b">
        <v>1</v>
      </c>
      <c r="G1328" s="111" t="b">
        <v>1</v>
      </c>
      <c r="H1328" s="111" t="b">
        <v>1</v>
      </c>
      <c r="I1328" s="1" t="s">
        <v>93</v>
      </c>
      <c r="J1328" s="1"/>
      <c r="K1328" s="1"/>
      <c r="L1328" s="1"/>
    </row>
    <row r="1329">
      <c r="A1329" s="110">
        <v>46226.90735498843</v>
      </c>
      <c r="B1329" s="1" t="s">
        <v>283</v>
      </c>
      <c r="C1329" s="1" t="s">
        <v>245</v>
      </c>
      <c r="D1329" s="129" t="s">
        <v>139</v>
      </c>
      <c r="E1329" s="1" t="s">
        <v>167</v>
      </c>
      <c r="F1329" s="111" t="b">
        <v>1</v>
      </c>
      <c r="G1329" s="111" t="b">
        <v>1</v>
      </c>
      <c r="H1329" s="111" t="b">
        <v>1</v>
      </c>
      <c r="I1329" s="1" t="s">
        <v>81</v>
      </c>
      <c r="J1329" s="1"/>
      <c r="K1329" s="1"/>
      <c r="L1329" s="1"/>
    </row>
    <row r="1330">
      <c r="A1330" s="110">
        <v>46226.93923233796</v>
      </c>
      <c r="B1330" s="1" t="s">
        <v>284</v>
      </c>
      <c r="C1330" s="1" t="s">
        <v>279</v>
      </c>
      <c r="D1330" s="1" t="s">
        <v>130</v>
      </c>
      <c r="E1330" s="1"/>
      <c r="F1330" s="111" t="b">
        <v>1</v>
      </c>
      <c r="G1330" s="111" t="b">
        <v>1</v>
      </c>
      <c r="H1330" s="111" t="b">
        <v>1</v>
      </c>
      <c r="I1330" s="1" t="s">
        <v>90</v>
      </c>
      <c r="J1330" s="1"/>
      <c r="K1330" s="1"/>
      <c r="L1330" s="1"/>
    </row>
    <row r="1331">
      <c r="A1331" s="110">
        <v>46226.944389641205</v>
      </c>
      <c r="B1331" s="1" t="s">
        <v>283</v>
      </c>
      <c r="C1331" s="1" t="s">
        <v>273</v>
      </c>
      <c r="D1331" s="129" t="s">
        <v>139</v>
      </c>
      <c r="E1331" s="1" t="s">
        <v>157</v>
      </c>
      <c r="F1331" s="111" t="b">
        <v>1</v>
      </c>
      <c r="G1331" s="111" t="b">
        <v>1</v>
      </c>
      <c r="H1331" s="111" t="b">
        <v>1</v>
      </c>
      <c r="I1331" s="1" t="s">
        <v>84</v>
      </c>
      <c r="J1331" s="1"/>
      <c r="K1331" s="1"/>
      <c r="L1331" s="1"/>
    </row>
    <row r="1332">
      <c r="A1332" s="110">
        <v>46226.95480274306</v>
      </c>
      <c r="B1332" s="1" t="s">
        <v>224</v>
      </c>
      <c r="C1332" s="1" t="s">
        <v>315</v>
      </c>
      <c r="D1332" s="129" t="s">
        <v>139</v>
      </c>
      <c r="E1332" s="1" t="s">
        <v>167</v>
      </c>
      <c r="F1332" s="111" t="b">
        <v>1</v>
      </c>
      <c r="G1332" s="111" t="b">
        <v>1</v>
      </c>
      <c r="H1332" s="111" t="b">
        <v>1</v>
      </c>
      <c r="I1332" s="1" t="s">
        <v>120</v>
      </c>
      <c r="J1332" s="1"/>
      <c r="K1332" s="1"/>
      <c r="L1332" s="1"/>
    </row>
    <row r="1333">
      <c r="A1333" s="110">
        <v>46226.97072400463</v>
      </c>
      <c r="B1333" s="1" t="s">
        <v>284</v>
      </c>
      <c r="C1333" s="1" t="s">
        <v>315</v>
      </c>
      <c r="D1333" s="1" t="s">
        <v>130</v>
      </c>
      <c r="E1333" s="1"/>
      <c r="F1333" s="111" t="b">
        <v>1</v>
      </c>
      <c r="G1333" s="111" t="b">
        <v>1</v>
      </c>
      <c r="H1333" s="111" t="b">
        <v>1</v>
      </c>
      <c r="I1333" s="1" t="s">
        <v>87</v>
      </c>
      <c r="J1333" s="1"/>
      <c r="K1333" s="1"/>
      <c r="L1333" s="1"/>
    </row>
    <row r="1334">
      <c r="A1334" s="110">
        <v>46226.99400528935</v>
      </c>
      <c r="B1334" s="1" t="s">
        <v>170</v>
      </c>
      <c r="C1334" s="1" t="s">
        <v>304</v>
      </c>
      <c r="D1334" s="129" t="s">
        <v>139</v>
      </c>
      <c r="E1334" s="1"/>
      <c r="F1334" s="111" t="b">
        <v>1</v>
      </c>
      <c r="G1334" s="111" t="b">
        <v>1</v>
      </c>
      <c r="H1334" s="111" t="b">
        <v>1</v>
      </c>
      <c r="I1334" s="1" t="s">
        <v>97</v>
      </c>
      <c r="J1334" s="1"/>
      <c r="K1334" s="1"/>
      <c r="L1334" s="1"/>
    </row>
    <row r="1335">
      <c r="A1335" s="110">
        <v>46227.00826880787</v>
      </c>
      <c r="B1335" s="1" t="s">
        <v>191</v>
      </c>
      <c r="C1335" s="1" t="s">
        <v>284</v>
      </c>
      <c r="D1335" s="129" t="s">
        <v>139</v>
      </c>
      <c r="E1335" s="1" t="s">
        <v>192</v>
      </c>
      <c r="F1335" s="111" t="b">
        <v>1</v>
      </c>
      <c r="G1335" s="111" t="b">
        <v>1</v>
      </c>
      <c r="H1335" s="111" t="b">
        <v>1</v>
      </c>
      <c r="I1335" s="1" t="s">
        <v>97</v>
      </c>
      <c r="J1335" s="1"/>
      <c r="K1335" s="1"/>
      <c r="L1335" s="1"/>
    </row>
    <row r="1336">
      <c r="A1336" s="110">
        <v>46227.01356003473</v>
      </c>
      <c r="B1336" s="1" t="s">
        <v>170</v>
      </c>
      <c r="C1336" s="1" t="s">
        <v>283</v>
      </c>
      <c r="D1336" s="129" t="s">
        <v>139</v>
      </c>
      <c r="E1336" s="1"/>
      <c r="F1336" s="111" t="b">
        <v>1</v>
      </c>
      <c r="G1336" s="111" t="b">
        <v>1</v>
      </c>
      <c r="H1336" s="111" t="b">
        <v>1</v>
      </c>
      <c r="I1336" s="1" t="s">
        <v>90</v>
      </c>
      <c r="J1336" s="1"/>
      <c r="K1336" s="1"/>
      <c r="L1336" s="1"/>
    </row>
    <row r="1337">
      <c r="A1337" s="110">
        <v>46227.01388013889</v>
      </c>
      <c r="B1337" s="1" t="s">
        <v>287</v>
      </c>
      <c r="C1337" s="1" t="s">
        <v>190</v>
      </c>
      <c r="D1337" s="129" t="s">
        <v>139</v>
      </c>
      <c r="E1337" s="1"/>
      <c r="F1337" s="111" t="b">
        <v>1</v>
      </c>
      <c r="G1337" s="1"/>
      <c r="H1337" s="111" t="b">
        <v>1</v>
      </c>
      <c r="I1337" s="1"/>
      <c r="J1337" s="1"/>
      <c r="K1337" s="1"/>
      <c r="L1337" s="1"/>
    </row>
    <row r="1338">
      <c r="A1338" s="110">
        <v>46227.03147100694</v>
      </c>
      <c r="B1338" s="1" t="s">
        <v>170</v>
      </c>
      <c r="C1338" s="1" t="s">
        <v>191</v>
      </c>
      <c r="D1338" s="1" t="s">
        <v>130</v>
      </c>
      <c r="E1338" s="1"/>
      <c r="F1338" s="111" t="b">
        <v>1</v>
      </c>
      <c r="G1338" s="111" t="b">
        <v>1</v>
      </c>
      <c r="H1338" s="111" t="b">
        <v>1</v>
      </c>
      <c r="I1338" s="1" t="s">
        <v>85</v>
      </c>
      <c r="J1338" s="1"/>
      <c r="K1338" s="1"/>
      <c r="L1338" s="1"/>
    </row>
    <row r="1339">
      <c r="A1339" s="110">
        <v>46227.05582359954</v>
      </c>
      <c r="B1339" s="1" t="s">
        <v>170</v>
      </c>
      <c r="C1339" s="1" t="s">
        <v>212</v>
      </c>
      <c r="D1339" s="1" t="s">
        <v>130</v>
      </c>
      <c r="E1339" s="1"/>
      <c r="F1339" s="111" t="b">
        <v>1</v>
      </c>
      <c r="G1339" s="111" t="b">
        <v>1</v>
      </c>
      <c r="H1339" s="111" t="b">
        <v>1</v>
      </c>
      <c r="I1339" s="1" t="s">
        <v>81</v>
      </c>
      <c r="J1339" s="1"/>
      <c r="K1339" s="1"/>
      <c r="L1339" s="1"/>
    </row>
    <row r="1340">
      <c r="A1340" s="110">
        <v>46227.093249513884</v>
      </c>
      <c r="B1340" s="1" t="s">
        <v>199</v>
      </c>
      <c r="C1340" s="1" t="s">
        <v>191</v>
      </c>
      <c r="D1340" s="129" t="s">
        <v>139</v>
      </c>
      <c r="E1340" s="1"/>
      <c r="F1340" s="111" t="b">
        <v>1</v>
      </c>
      <c r="G1340" s="111" t="b">
        <v>1</v>
      </c>
      <c r="H1340" s="111" t="b">
        <v>1</v>
      </c>
      <c r="I1340" s="1" t="s">
        <v>106</v>
      </c>
      <c r="J1340" s="1"/>
      <c r="K1340" s="1"/>
      <c r="L1340" s="1"/>
    </row>
    <row r="1341">
      <c r="A1341" s="110">
        <v>46227.109371087965</v>
      </c>
      <c r="B1341" s="1" t="s">
        <v>199</v>
      </c>
      <c r="C1341" s="1" t="s">
        <v>288</v>
      </c>
      <c r="D1341" s="129" t="s">
        <v>139</v>
      </c>
      <c r="E1341" s="1"/>
      <c r="F1341" s="111" t="b">
        <v>1</v>
      </c>
      <c r="G1341" s="111" t="b">
        <v>1</v>
      </c>
      <c r="H1341" s="111" t="b">
        <v>1</v>
      </c>
      <c r="I1341" s="1" t="s">
        <v>118</v>
      </c>
      <c r="J1341" s="1"/>
      <c r="K1341" s="1"/>
      <c r="L1341" s="1"/>
    </row>
    <row r="1342">
      <c r="A1342" s="110">
        <v>46227.15797408565</v>
      </c>
      <c r="B1342" s="1" t="s">
        <v>288</v>
      </c>
      <c r="C1342" s="1" t="s">
        <v>191</v>
      </c>
      <c r="D1342" s="129" t="s">
        <v>139</v>
      </c>
      <c r="E1342" s="1" t="s">
        <v>167</v>
      </c>
      <c r="F1342" s="111" t="b">
        <v>1</v>
      </c>
      <c r="G1342" s="111" t="b">
        <v>1</v>
      </c>
      <c r="H1342" s="111" t="b">
        <v>1</v>
      </c>
      <c r="I1342" s="1" t="s">
        <v>85</v>
      </c>
      <c r="J1342" s="1"/>
      <c r="K1342" s="1"/>
      <c r="L1342" s="1"/>
    </row>
    <row r="1343">
      <c r="A1343" s="110">
        <v>46227.206697326386</v>
      </c>
      <c r="B1343" s="1" t="s">
        <v>225</v>
      </c>
      <c r="C1343" s="1" t="s">
        <v>288</v>
      </c>
      <c r="D1343" s="1" t="s">
        <v>130</v>
      </c>
      <c r="E1343" s="1"/>
      <c r="F1343" s="111" t="b">
        <v>1</v>
      </c>
      <c r="G1343" s="111" t="b">
        <v>1</v>
      </c>
      <c r="H1343" s="111" t="b">
        <v>1</v>
      </c>
      <c r="I1343" s="1" t="s">
        <v>99</v>
      </c>
      <c r="J1343" s="1"/>
      <c r="K1343" s="1"/>
      <c r="L1343" s="1"/>
    </row>
    <row r="1344">
      <c r="A1344" s="110">
        <v>46227.237026689814</v>
      </c>
      <c r="B1344" s="1" t="s">
        <v>225</v>
      </c>
      <c r="C1344" s="1" t="s">
        <v>272</v>
      </c>
      <c r="D1344" s="129" t="s">
        <v>139</v>
      </c>
      <c r="E1344" s="1"/>
      <c r="F1344" s="111" t="b">
        <v>1</v>
      </c>
      <c r="G1344" s="111" t="b">
        <v>1</v>
      </c>
      <c r="H1344" s="111" t="b">
        <v>1</v>
      </c>
      <c r="I1344" s="1" t="s">
        <v>147</v>
      </c>
      <c r="J1344" s="1"/>
      <c r="K1344" s="1"/>
      <c r="L1344" s="1"/>
    </row>
    <row r="1345">
      <c r="A1345" s="110">
        <v>46227.358192997686</v>
      </c>
      <c r="B1345" s="1" t="s">
        <v>144</v>
      </c>
      <c r="C1345" s="1" t="s">
        <v>91</v>
      </c>
      <c r="D1345" s="129" t="s">
        <v>139</v>
      </c>
      <c r="E1345" s="1"/>
      <c r="F1345" s="111" t="b">
        <v>1</v>
      </c>
      <c r="G1345" s="1"/>
      <c r="H1345" s="111" t="b">
        <v>1</v>
      </c>
      <c r="I1345" s="1"/>
      <c r="J1345" s="1"/>
      <c r="K1345" s="1"/>
      <c r="L1345" s="1"/>
    </row>
    <row r="1346">
      <c r="A1346" s="110">
        <v>46227.390795949075</v>
      </c>
      <c r="B1346" s="1" t="s">
        <v>272</v>
      </c>
      <c r="C1346" s="1" t="s">
        <v>219</v>
      </c>
      <c r="D1346" s="129" t="s">
        <v>139</v>
      </c>
      <c r="E1346" s="1"/>
      <c r="F1346" s="111" t="b">
        <v>1</v>
      </c>
      <c r="G1346" s="111" t="b">
        <v>1</v>
      </c>
      <c r="H1346" s="111" t="b">
        <v>1</v>
      </c>
      <c r="I1346" s="1" t="s">
        <v>85</v>
      </c>
      <c r="J1346" s="1"/>
      <c r="K1346" s="1"/>
      <c r="L1346" s="1"/>
    </row>
    <row r="1347">
      <c r="A1347" s="110">
        <v>46227.39135255787</v>
      </c>
      <c r="B1347" s="1" t="s">
        <v>144</v>
      </c>
      <c r="C1347" s="1" t="s">
        <v>245</v>
      </c>
      <c r="D1347" s="1" t="s">
        <v>130</v>
      </c>
      <c r="E1347" s="1"/>
      <c r="F1347" s="111" t="b">
        <v>1</v>
      </c>
      <c r="G1347" s="111" t="b">
        <v>1</v>
      </c>
      <c r="H1347" s="111" t="b">
        <v>1</v>
      </c>
      <c r="I1347" s="1" t="s">
        <v>84</v>
      </c>
      <c r="J1347" s="1"/>
      <c r="K1347" s="1"/>
      <c r="L1347" s="1"/>
    </row>
    <row r="1348">
      <c r="A1348" s="110">
        <v>46227.42678232639</v>
      </c>
      <c r="B1348" s="1" t="s">
        <v>251</v>
      </c>
      <c r="C1348" s="1" t="s">
        <v>219</v>
      </c>
      <c r="D1348" s="129" t="s">
        <v>139</v>
      </c>
      <c r="E1348" s="1" t="s">
        <v>426</v>
      </c>
      <c r="F1348" s="111" t="b">
        <v>1</v>
      </c>
      <c r="G1348" s="1"/>
      <c r="H1348" s="111" t="b">
        <v>1</v>
      </c>
      <c r="I1348" s="1"/>
      <c r="J1348" s="1"/>
      <c r="K1348" s="1"/>
      <c r="L1348" s="1"/>
    </row>
    <row r="1349">
      <c r="A1349" s="110">
        <v>46227.456738506946</v>
      </c>
      <c r="B1349" s="1" t="s">
        <v>251</v>
      </c>
      <c r="C1349" s="1" t="s">
        <v>231</v>
      </c>
      <c r="D1349" s="1" t="s">
        <v>130</v>
      </c>
      <c r="E1349" s="1" t="s">
        <v>236</v>
      </c>
      <c r="F1349" s="111" t="b">
        <v>1</v>
      </c>
      <c r="G1349" s="111" t="b">
        <v>1</v>
      </c>
      <c r="H1349" s="111" t="b">
        <v>1</v>
      </c>
      <c r="I1349" s="1" t="s">
        <v>90</v>
      </c>
      <c r="J1349" s="1"/>
      <c r="K1349" s="1"/>
      <c r="L1349" s="1"/>
    </row>
    <row r="1350">
      <c r="A1350" s="110">
        <v>46227.45729513888</v>
      </c>
      <c r="B1350" s="1" t="s">
        <v>304</v>
      </c>
      <c r="C1350" s="1" t="s">
        <v>162</v>
      </c>
      <c r="D1350" s="1" t="s">
        <v>130</v>
      </c>
      <c r="E1350" s="1"/>
      <c r="F1350" s="111" t="b">
        <v>1</v>
      </c>
      <c r="G1350" s="111" t="b">
        <v>1</v>
      </c>
      <c r="H1350" s="111" t="b">
        <v>1</v>
      </c>
      <c r="I1350" s="1" t="s">
        <v>81</v>
      </c>
      <c r="J1350" s="1"/>
      <c r="K1350" s="1"/>
      <c r="L1350" s="1"/>
    </row>
    <row r="1351">
      <c r="A1351" s="110">
        <v>46227.482124016205</v>
      </c>
      <c r="B1351" s="1" t="s">
        <v>267</v>
      </c>
      <c r="C1351" s="1" t="s">
        <v>243</v>
      </c>
      <c r="D1351" s="1" t="s">
        <v>130</v>
      </c>
      <c r="E1351" s="1" t="s">
        <v>268</v>
      </c>
      <c r="F1351" s="111" t="b">
        <v>1</v>
      </c>
      <c r="G1351" s="111" t="b">
        <v>1</v>
      </c>
      <c r="H1351" s="111" t="b">
        <v>1</v>
      </c>
      <c r="I1351" s="1" t="s">
        <v>95</v>
      </c>
      <c r="J1351" s="1"/>
      <c r="K1351" s="1"/>
      <c r="L1351" s="1"/>
    </row>
    <row r="1352">
      <c r="A1352" s="110">
        <v>46227.50943024305</v>
      </c>
      <c r="B1352" s="1" t="s">
        <v>231</v>
      </c>
      <c r="C1352" s="1" t="s">
        <v>138</v>
      </c>
      <c r="D1352" s="1" t="s">
        <v>130</v>
      </c>
      <c r="E1352" s="1"/>
      <c r="F1352" s="111" t="b">
        <v>1</v>
      </c>
      <c r="G1352" s="111" t="b">
        <v>1</v>
      </c>
      <c r="H1352" s="111" t="b">
        <v>1</v>
      </c>
      <c r="I1352" s="1" t="s">
        <v>106</v>
      </c>
      <c r="J1352" s="1"/>
      <c r="K1352" s="1"/>
      <c r="L1352" s="1"/>
    </row>
    <row r="1353">
      <c r="A1353" s="110">
        <v>46227.543127129626</v>
      </c>
      <c r="B1353" s="1" t="s">
        <v>231</v>
      </c>
      <c r="C1353" s="1" t="s">
        <v>311</v>
      </c>
      <c r="D1353" s="129" t="s">
        <v>139</v>
      </c>
      <c r="E1353" s="1"/>
      <c r="F1353" s="111" t="b">
        <v>1</v>
      </c>
      <c r="G1353" s="1"/>
      <c r="H1353" s="111" t="b">
        <v>1</v>
      </c>
      <c r="I1353" s="1"/>
      <c r="J1353" s="1"/>
      <c r="K1353" s="1"/>
      <c r="L1353" s="1"/>
    </row>
    <row r="1354">
      <c r="A1354" s="110">
        <v>46227.57081636574</v>
      </c>
      <c r="B1354" s="1" t="s">
        <v>304</v>
      </c>
      <c r="C1354" s="1" t="s">
        <v>319</v>
      </c>
      <c r="D1354" s="129" t="s">
        <v>139</v>
      </c>
      <c r="E1354" s="1"/>
      <c r="F1354" s="111" t="b">
        <v>1</v>
      </c>
      <c r="G1354" s="111" t="b">
        <v>1</v>
      </c>
      <c r="H1354" s="111" t="b">
        <v>1</v>
      </c>
      <c r="I1354" s="1" t="s">
        <v>93</v>
      </c>
      <c r="J1354" s="1"/>
      <c r="K1354" s="1"/>
      <c r="L1354" s="1"/>
    </row>
    <row r="1355">
      <c r="A1355" s="110">
        <v>46227.59237009259</v>
      </c>
      <c r="B1355" s="1" t="s">
        <v>319</v>
      </c>
      <c r="C1355" s="1" t="s">
        <v>181</v>
      </c>
      <c r="D1355" s="1" t="s">
        <v>130</v>
      </c>
      <c r="E1355" s="1"/>
      <c r="F1355" s="111" t="b">
        <v>1</v>
      </c>
      <c r="G1355" s="111" t="b">
        <v>1</v>
      </c>
      <c r="H1355" s="111" t="b">
        <v>1</v>
      </c>
      <c r="I1355" s="1" t="s">
        <v>97</v>
      </c>
      <c r="J1355" s="1"/>
      <c r="K1355" s="1"/>
      <c r="L1355" s="1"/>
    </row>
    <row r="1356">
      <c r="A1356" s="110">
        <v>46227.61503048611</v>
      </c>
      <c r="B1356" s="1" t="s">
        <v>278</v>
      </c>
      <c r="C1356" s="1" t="s">
        <v>156</v>
      </c>
      <c r="D1356" s="129" t="s">
        <v>139</v>
      </c>
      <c r="E1356" s="1"/>
      <c r="F1356" s="111" t="b">
        <v>1</v>
      </c>
      <c r="G1356" s="111" t="b">
        <v>1</v>
      </c>
      <c r="H1356" s="111" t="b">
        <v>1</v>
      </c>
      <c r="I1356" s="1" t="s">
        <v>83</v>
      </c>
      <c r="J1356" s="1"/>
      <c r="K1356" s="1"/>
      <c r="L1356" s="1"/>
    </row>
    <row r="1357">
      <c r="A1357" s="110">
        <v>46227.64121689815</v>
      </c>
      <c r="B1357" s="1" t="s">
        <v>319</v>
      </c>
      <c r="C1357" s="1" t="s">
        <v>231</v>
      </c>
      <c r="D1357" s="129" t="s">
        <v>139</v>
      </c>
      <c r="E1357" s="1"/>
      <c r="F1357" s="111" t="b">
        <v>1</v>
      </c>
      <c r="G1357" s="111" t="b">
        <v>1</v>
      </c>
      <c r="H1357" s="111" t="b">
        <v>1</v>
      </c>
      <c r="I1357" s="1" t="s">
        <v>85</v>
      </c>
      <c r="J1357" s="1"/>
      <c r="K1357" s="1"/>
      <c r="L1357" s="1"/>
    </row>
    <row r="1358">
      <c r="A1358" s="110">
        <v>46227.641576469905</v>
      </c>
      <c r="B1358" s="1" t="s">
        <v>303</v>
      </c>
      <c r="C1358" s="1" t="s">
        <v>94</v>
      </c>
      <c r="D1358" s="1" t="s">
        <v>130</v>
      </c>
      <c r="E1358" s="1"/>
      <c r="F1358" s="111" t="b">
        <v>1</v>
      </c>
      <c r="G1358" s="111" t="b">
        <v>1</v>
      </c>
      <c r="H1358" s="111" t="b">
        <v>1</v>
      </c>
      <c r="I1358" s="1" t="s">
        <v>202</v>
      </c>
      <c r="J1358" s="1"/>
      <c r="K1358" s="1"/>
      <c r="L1358" s="1"/>
    </row>
    <row r="1359">
      <c r="A1359" s="110">
        <v>46227.65243605324</v>
      </c>
      <c r="B1359" s="1" t="s">
        <v>143</v>
      </c>
      <c r="C1359" s="1" t="s">
        <v>251</v>
      </c>
      <c r="D1359" s="1" t="s">
        <v>130</v>
      </c>
      <c r="E1359" s="1"/>
      <c r="F1359" s="111" t="b">
        <v>1</v>
      </c>
      <c r="G1359" s="111" t="b">
        <v>1</v>
      </c>
      <c r="H1359" s="111" t="b">
        <v>1</v>
      </c>
      <c r="I1359" s="1" t="s">
        <v>81</v>
      </c>
      <c r="J1359" s="1"/>
      <c r="K1359" s="1"/>
      <c r="L1359" s="1"/>
    </row>
    <row r="1360">
      <c r="A1360" s="110">
        <v>46227.66526826389</v>
      </c>
      <c r="B1360" s="1" t="s">
        <v>191</v>
      </c>
      <c r="C1360" s="1" t="s">
        <v>319</v>
      </c>
      <c r="D1360" s="1" t="s">
        <v>130</v>
      </c>
      <c r="E1360" s="1" t="s">
        <v>192</v>
      </c>
      <c r="F1360" s="111" t="b">
        <v>1</v>
      </c>
      <c r="G1360" s="111" t="b">
        <v>1</v>
      </c>
      <c r="H1360" s="111" t="b">
        <v>1</v>
      </c>
      <c r="I1360" s="1" t="s">
        <v>147</v>
      </c>
      <c r="J1360" s="1"/>
      <c r="K1360" s="1"/>
      <c r="L1360" s="1"/>
    </row>
    <row r="1361">
      <c r="A1361" s="110">
        <v>46227.6716155787</v>
      </c>
      <c r="B1361" s="1" t="s">
        <v>235</v>
      </c>
      <c r="C1361" s="1" t="s">
        <v>225</v>
      </c>
      <c r="D1361" s="1" t="s">
        <v>130</v>
      </c>
      <c r="E1361" s="1"/>
      <c r="F1361" s="111" t="b">
        <v>1</v>
      </c>
      <c r="G1361" s="111" t="b">
        <v>1</v>
      </c>
      <c r="H1361" s="111" t="b">
        <v>1</v>
      </c>
      <c r="I1361" s="1" t="s">
        <v>118</v>
      </c>
      <c r="J1361" s="1"/>
      <c r="K1361" s="1"/>
      <c r="L1361" s="1"/>
    </row>
    <row r="1362">
      <c r="A1362" s="110">
        <v>46227.682180625</v>
      </c>
      <c r="B1362" s="1" t="s">
        <v>315</v>
      </c>
      <c r="C1362" s="1" t="s">
        <v>191</v>
      </c>
      <c r="D1362" s="1" t="s">
        <v>130</v>
      </c>
      <c r="E1362" s="1"/>
      <c r="F1362" s="111" t="b">
        <v>1</v>
      </c>
      <c r="G1362" s="111" t="b">
        <v>1</v>
      </c>
      <c r="H1362" s="111" t="b">
        <v>1</v>
      </c>
      <c r="I1362" s="1" t="s">
        <v>79</v>
      </c>
      <c r="J1362" s="1"/>
      <c r="K1362" s="1"/>
      <c r="L1362" s="1"/>
    </row>
    <row r="1363">
      <c r="A1363" s="110">
        <v>46227.68760506944</v>
      </c>
      <c r="B1363" s="1" t="s">
        <v>181</v>
      </c>
      <c r="C1363" s="1" t="s">
        <v>235</v>
      </c>
      <c r="D1363" s="129" t="s">
        <v>139</v>
      </c>
      <c r="E1363" s="1"/>
      <c r="F1363" s="111" t="b">
        <v>1</v>
      </c>
      <c r="G1363" s="111" t="b">
        <v>1</v>
      </c>
      <c r="H1363" s="111" t="b">
        <v>1</v>
      </c>
      <c r="I1363" s="1" t="s">
        <v>97</v>
      </c>
      <c r="J1363" s="1"/>
      <c r="K1363" s="1"/>
      <c r="L1363" s="1"/>
    </row>
    <row r="1364">
      <c r="A1364" s="110">
        <v>46227.69390167824</v>
      </c>
      <c r="B1364" s="1" t="s">
        <v>319</v>
      </c>
      <c r="C1364" s="1" t="s">
        <v>149</v>
      </c>
      <c r="D1364" s="1" t="s">
        <v>130</v>
      </c>
      <c r="E1364" s="1"/>
      <c r="F1364" s="111" t="b">
        <v>1</v>
      </c>
      <c r="G1364" s="1"/>
      <c r="H1364" s="111" t="b">
        <v>1</v>
      </c>
      <c r="I1364" s="1"/>
      <c r="J1364" s="1"/>
      <c r="K1364" s="1"/>
      <c r="L1364" s="1"/>
    </row>
    <row r="1365">
      <c r="A1365" s="110">
        <v>46227.70246675926</v>
      </c>
      <c r="B1365" s="1" t="s">
        <v>161</v>
      </c>
      <c r="C1365" s="1" t="s">
        <v>181</v>
      </c>
      <c r="D1365" s="129" t="s">
        <v>139</v>
      </c>
      <c r="E1365" s="1"/>
      <c r="F1365" s="111" t="b">
        <v>1</v>
      </c>
      <c r="G1365" s="1"/>
      <c r="H1365" s="111" t="b">
        <v>1</v>
      </c>
      <c r="I1365" s="1"/>
      <c r="J1365" s="1"/>
      <c r="K1365" s="1"/>
      <c r="L1365" s="1"/>
    </row>
    <row r="1366">
      <c r="A1366" s="110">
        <v>46227.728669398144</v>
      </c>
      <c r="B1366" s="1" t="s">
        <v>140</v>
      </c>
      <c r="C1366" s="1" t="s">
        <v>225</v>
      </c>
      <c r="D1366" s="129" t="s">
        <v>139</v>
      </c>
      <c r="E1366" s="1"/>
      <c r="F1366" s="111" t="b">
        <v>1</v>
      </c>
      <c r="G1366" s="111" t="b">
        <v>1</v>
      </c>
      <c r="H1366" s="111" t="b">
        <v>1</v>
      </c>
      <c r="I1366" s="1" t="s">
        <v>83</v>
      </c>
      <c r="J1366" s="1"/>
      <c r="K1366" s="1"/>
      <c r="L1366" s="1"/>
    </row>
    <row r="1367">
      <c r="A1367" s="110">
        <v>46227.745921388894</v>
      </c>
      <c r="B1367" s="1" t="s">
        <v>137</v>
      </c>
      <c r="C1367" s="1" t="s">
        <v>140</v>
      </c>
      <c r="D1367" s="1" t="s">
        <v>130</v>
      </c>
      <c r="E1367" s="1"/>
      <c r="F1367" s="111" t="b">
        <v>1</v>
      </c>
      <c r="G1367" s="1"/>
      <c r="H1367" s="111" t="b">
        <v>1</v>
      </c>
      <c r="I1367" s="1"/>
      <c r="J1367" s="1"/>
      <c r="K1367" s="1"/>
      <c r="L1367" s="1"/>
    </row>
    <row r="1368">
      <c r="A1368" s="110">
        <v>46227.7565925</v>
      </c>
      <c r="B1368" s="1" t="s">
        <v>145</v>
      </c>
      <c r="C1368" s="1" t="s">
        <v>176</v>
      </c>
      <c r="D1368" s="129" t="s">
        <v>139</v>
      </c>
      <c r="E1368" s="1" t="s">
        <v>427</v>
      </c>
      <c r="F1368" s="111" t="b">
        <v>1</v>
      </c>
      <c r="G1368" s="111" t="b">
        <v>1</v>
      </c>
      <c r="H1368" s="111" t="b">
        <v>1</v>
      </c>
      <c r="I1368" s="1" t="s">
        <v>120</v>
      </c>
      <c r="J1368" s="1"/>
      <c r="K1368" s="1"/>
      <c r="L1368" s="1"/>
    </row>
    <row r="1369">
      <c r="A1369" s="110">
        <v>46227.76211964121</v>
      </c>
      <c r="B1369" s="1" t="s">
        <v>225</v>
      </c>
      <c r="C1369" s="1" t="s">
        <v>218</v>
      </c>
      <c r="D1369" s="129" t="s">
        <v>139</v>
      </c>
      <c r="E1369" s="1"/>
      <c r="F1369" s="111" t="b">
        <v>1</v>
      </c>
      <c r="G1369" s="111" t="b">
        <v>1</v>
      </c>
      <c r="H1369" s="111" t="b">
        <v>1</v>
      </c>
      <c r="I1369" s="1" t="s">
        <v>118</v>
      </c>
      <c r="J1369" s="1"/>
      <c r="K1369" s="1"/>
      <c r="L1369" s="1"/>
    </row>
    <row r="1370">
      <c r="A1370" s="110">
        <v>46227.77491572917</v>
      </c>
      <c r="B1370" s="1" t="s">
        <v>234</v>
      </c>
      <c r="C1370" s="1" t="s">
        <v>154</v>
      </c>
      <c r="D1370" s="129" t="s">
        <v>139</v>
      </c>
      <c r="E1370" s="1"/>
      <c r="F1370" s="111" t="b">
        <v>1</v>
      </c>
      <c r="G1370" s="111" t="b">
        <v>1</v>
      </c>
      <c r="H1370" s="111" t="b">
        <v>1</v>
      </c>
      <c r="I1370" s="1" t="s">
        <v>118</v>
      </c>
      <c r="J1370" s="1"/>
      <c r="K1370" s="1"/>
      <c r="L1370" s="1"/>
    </row>
    <row r="1371">
      <c r="A1371" s="110">
        <v>46227.78514158565</v>
      </c>
      <c r="B1371" s="1" t="s">
        <v>137</v>
      </c>
      <c r="C1371" s="1" t="s">
        <v>180</v>
      </c>
      <c r="D1371" s="129" t="s">
        <v>139</v>
      </c>
      <c r="E1371" s="1"/>
      <c r="F1371" s="111" t="b">
        <v>1</v>
      </c>
      <c r="G1371" s="111" t="b">
        <v>1</v>
      </c>
      <c r="H1371" s="111" t="b">
        <v>1</v>
      </c>
      <c r="I1371" s="1" t="s">
        <v>98</v>
      </c>
      <c r="J1371" s="1"/>
      <c r="K1371" s="1"/>
      <c r="L1371" s="1"/>
    </row>
    <row r="1372">
      <c r="A1372" s="110">
        <v>46227.79436890046</v>
      </c>
      <c r="B1372" s="1" t="s">
        <v>134</v>
      </c>
      <c r="C1372" s="1" t="s">
        <v>154</v>
      </c>
      <c r="D1372" s="129" t="s">
        <v>139</v>
      </c>
      <c r="E1372" s="1" t="s">
        <v>167</v>
      </c>
      <c r="F1372" s="111" t="b">
        <v>1</v>
      </c>
      <c r="G1372" s="1"/>
      <c r="H1372" s="111" t="b">
        <v>1</v>
      </c>
      <c r="I1372" s="1"/>
      <c r="J1372" s="1"/>
      <c r="K1372" s="1"/>
      <c r="L1372" s="1"/>
    </row>
    <row r="1373">
      <c r="A1373" s="110">
        <v>46227.79455021991</v>
      </c>
      <c r="B1373" s="1" t="s">
        <v>225</v>
      </c>
      <c r="C1373" s="1" t="s">
        <v>176</v>
      </c>
      <c r="D1373" s="129" t="s">
        <v>139</v>
      </c>
      <c r="E1373" s="1"/>
      <c r="F1373" s="111" t="b">
        <v>1</v>
      </c>
      <c r="G1373" s="111" t="b">
        <v>1</v>
      </c>
      <c r="H1373" s="111" t="b">
        <v>1</v>
      </c>
      <c r="I1373" s="1" t="s">
        <v>87</v>
      </c>
      <c r="J1373" s="1"/>
      <c r="K1373" s="1"/>
      <c r="L1373" s="1"/>
    </row>
    <row r="1374">
      <c r="A1374" s="110">
        <v>46227.801150451385</v>
      </c>
      <c r="B1374" s="1" t="s">
        <v>171</v>
      </c>
      <c r="C1374" s="1" t="s">
        <v>206</v>
      </c>
      <c r="D1374" s="1" t="s">
        <v>130</v>
      </c>
      <c r="E1374" s="1"/>
      <c r="F1374" s="111" t="b">
        <v>1</v>
      </c>
      <c r="G1374" s="111" t="b">
        <v>1</v>
      </c>
      <c r="H1374" s="111" t="b">
        <v>1</v>
      </c>
      <c r="I1374" s="1" t="s">
        <v>202</v>
      </c>
      <c r="J1374" s="1"/>
      <c r="K1374" s="1"/>
      <c r="L1374" s="1"/>
    </row>
    <row r="1375">
      <c r="A1375" s="110">
        <v>46227.82040972222</v>
      </c>
      <c r="B1375" s="1" t="s">
        <v>223</v>
      </c>
      <c r="C1375" s="1" t="s">
        <v>134</v>
      </c>
      <c r="D1375" s="129" t="s">
        <v>139</v>
      </c>
      <c r="E1375" s="1"/>
      <c r="F1375" s="111" t="b">
        <v>1</v>
      </c>
      <c r="G1375" s="1"/>
      <c r="H1375" s="111" t="b">
        <v>1</v>
      </c>
      <c r="I1375" s="1"/>
      <c r="J1375" s="1"/>
      <c r="K1375" s="1"/>
      <c r="L1375" s="1"/>
    </row>
    <row r="1376">
      <c r="A1376" s="110">
        <v>46227.83206422454</v>
      </c>
      <c r="B1376" s="1" t="s">
        <v>237</v>
      </c>
      <c r="C1376" s="1" t="s">
        <v>171</v>
      </c>
      <c r="D1376" s="1" t="s">
        <v>130</v>
      </c>
      <c r="E1376" s="1" t="s">
        <v>157</v>
      </c>
      <c r="F1376" s="111" t="b">
        <v>1</v>
      </c>
      <c r="G1376" s="111" t="b">
        <v>1</v>
      </c>
      <c r="H1376" s="111" t="b">
        <v>1</v>
      </c>
      <c r="I1376" s="1" t="s">
        <v>118</v>
      </c>
      <c r="J1376" s="1"/>
      <c r="K1376" s="1"/>
      <c r="L1376" s="1"/>
    </row>
    <row r="1377">
      <c r="A1377" s="110">
        <v>46227.86435263889</v>
      </c>
      <c r="B1377" s="1" t="s">
        <v>237</v>
      </c>
      <c r="C1377" s="1" t="s">
        <v>275</v>
      </c>
      <c r="D1377" s="129" t="s">
        <v>139</v>
      </c>
      <c r="E1377" s="1" t="s">
        <v>428</v>
      </c>
      <c r="F1377" s="111" t="b">
        <v>1</v>
      </c>
      <c r="G1377" s="1"/>
      <c r="H1377" s="111" t="b">
        <v>1</v>
      </c>
      <c r="I1377" s="1"/>
      <c r="J1377" s="1"/>
      <c r="K1377" s="1"/>
      <c r="L1377" s="1"/>
    </row>
    <row r="1378">
      <c r="A1378" s="110">
        <v>46227.873272627316</v>
      </c>
      <c r="B1378" s="1" t="s">
        <v>234</v>
      </c>
      <c r="C1378" s="1" t="s">
        <v>141</v>
      </c>
      <c r="D1378" s="1" t="s">
        <v>130</v>
      </c>
      <c r="E1378" s="1"/>
      <c r="F1378" s="111" t="b">
        <v>1</v>
      </c>
      <c r="G1378" s="111" t="b">
        <v>1</v>
      </c>
      <c r="H1378" s="111" t="b">
        <v>1</v>
      </c>
      <c r="I1378" s="1" t="s">
        <v>102</v>
      </c>
      <c r="J1378" s="1"/>
      <c r="K1378" s="1"/>
      <c r="L1378" s="1"/>
    </row>
    <row r="1379">
      <c r="A1379" s="110">
        <v>46227.91469715278</v>
      </c>
      <c r="B1379" s="1" t="s">
        <v>89</v>
      </c>
      <c r="C1379" s="1" t="s">
        <v>176</v>
      </c>
      <c r="D1379" s="129" t="s">
        <v>139</v>
      </c>
      <c r="E1379" s="1"/>
      <c r="F1379" s="111" t="b">
        <v>1</v>
      </c>
      <c r="G1379" s="111" t="b">
        <v>1</v>
      </c>
      <c r="H1379" s="1"/>
      <c r="I1379" s="1" t="s">
        <v>106</v>
      </c>
      <c r="J1379" s="1"/>
      <c r="K1379" s="1"/>
      <c r="L1379" s="1"/>
    </row>
    <row r="1380">
      <c r="A1380" s="110">
        <v>46227.92779869213</v>
      </c>
      <c r="B1380" s="1" t="s">
        <v>230</v>
      </c>
      <c r="C1380" s="1" t="s">
        <v>132</v>
      </c>
      <c r="D1380" s="1" t="s">
        <v>130</v>
      </c>
      <c r="E1380" s="1"/>
      <c r="F1380" s="111" t="b">
        <v>1</v>
      </c>
      <c r="G1380" s="1"/>
      <c r="H1380" s="111" t="b">
        <v>1</v>
      </c>
      <c r="I1380" s="1"/>
      <c r="J1380" s="1"/>
      <c r="K1380" s="1"/>
      <c r="L1380" s="1"/>
    </row>
    <row r="1381">
      <c r="A1381" s="110">
        <v>46227.929642048606</v>
      </c>
      <c r="B1381" s="1" t="s">
        <v>321</v>
      </c>
      <c r="C1381" s="1" t="s">
        <v>261</v>
      </c>
      <c r="D1381" s="1" t="s">
        <v>130</v>
      </c>
      <c r="E1381" s="1"/>
      <c r="F1381" s="111" t="b">
        <v>1</v>
      </c>
      <c r="G1381" s="111" t="b">
        <v>1</v>
      </c>
      <c r="H1381" s="111" t="b">
        <v>1</v>
      </c>
      <c r="I1381" s="1" t="s">
        <v>97</v>
      </c>
      <c r="J1381" s="1"/>
      <c r="K1381" s="1"/>
      <c r="L1381" s="1"/>
    </row>
    <row r="1382">
      <c r="A1382" s="110">
        <v>46227.941534178244</v>
      </c>
      <c r="B1382" s="1" t="s">
        <v>230</v>
      </c>
      <c r="C1382" s="1" t="s">
        <v>287</v>
      </c>
      <c r="D1382" s="129" t="s">
        <v>139</v>
      </c>
      <c r="E1382" s="1"/>
      <c r="F1382" s="111" t="b">
        <v>1</v>
      </c>
      <c r="G1382" s="111" t="b">
        <v>1</v>
      </c>
      <c r="H1382" s="111" t="b">
        <v>1</v>
      </c>
      <c r="I1382" s="1" t="s">
        <v>93</v>
      </c>
      <c r="J1382" s="1"/>
      <c r="K1382" s="1"/>
      <c r="L1382" s="1"/>
    </row>
    <row r="1383">
      <c r="A1383" s="110">
        <v>46227.941560590276</v>
      </c>
      <c r="B1383" s="1" t="s">
        <v>171</v>
      </c>
      <c r="C1383" s="1" t="s">
        <v>193</v>
      </c>
      <c r="D1383" s="1" t="s">
        <v>130</v>
      </c>
      <c r="E1383" s="1"/>
      <c r="F1383" s="111" t="b">
        <v>1</v>
      </c>
      <c r="G1383" s="111" t="b">
        <v>1</v>
      </c>
      <c r="H1383" s="111" t="b">
        <v>1</v>
      </c>
      <c r="I1383" s="1" t="s">
        <v>87</v>
      </c>
      <c r="J1383" s="1"/>
      <c r="K1383" s="1"/>
      <c r="L1383" s="1"/>
    </row>
    <row r="1384">
      <c r="A1384" s="110">
        <v>46227.96069259259</v>
      </c>
      <c r="B1384" s="1" t="s">
        <v>171</v>
      </c>
      <c r="C1384" s="1" t="s">
        <v>230</v>
      </c>
      <c r="D1384" s="1" t="s">
        <v>130</v>
      </c>
      <c r="E1384" s="1" t="s">
        <v>429</v>
      </c>
      <c r="F1384" s="111" t="b">
        <v>1</v>
      </c>
      <c r="G1384" s="111" t="b">
        <v>1</v>
      </c>
      <c r="H1384" s="111" t="b">
        <v>1</v>
      </c>
      <c r="I1384" s="1" t="s">
        <v>120</v>
      </c>
      <c r="J1384" s="1"/>
      <c r="K1384" s="1"/>
      <c r="L1384" s="1"/>
    </row>
    <row r="1385">
      <c r="A1385" s="110">
        <v>46227.97130734954</v>
      </c>
      <c r="B1385" s="1" t="s">
        <v>224</v>
      </c>
      <c r="C1385" s="1" t="s">
        <v>287</v>
      </c>
      <c r="D1385" s="1" t="s">
        <v>130</v>
      </c>
      <c r="E1385" s="1" t="s">
        <v>167</v>
      </c>
      <c r="F1385" s="111" t="b">
        <v>1</v>
      </c>
      <c r="G1385" s="111" t="b">
        <v>1</v>
      </c>
      <c r="H1385" s="111" t="b">
        <v>1</v>
      </c>
      <c r="I1385" s="1" t="s">
        <v>98</v>
      </c>
      <c r="J1385" s="1"/>
      <c r="K1385" s="1"/>
      <c r="L1385" s="1"/>
    </row>
    <row r="1386">
      <c r="A1386" s="110">
        <v>46227.97575982639</v>
      </c>
      <c r="B1386" s="1" t="s">
        <v>230</v>
      </c>
      <c r="C1386" s="1" t="s">
        <v>283</v>
      </c>
      <c r="D1386" s="1" t="s">
        <v>130</v>
      </c>
      <c r="E1386" s="1"/>
      <c r="F1386" s="111" t="b">
        <v>1</v>
      </c>
      <c r="G1386" s="111" t="b">
        <v>1</v>
      </c>
      <c r="H1386" s="111" t="b">
        <v>1</v>
      </c>
      <c r="I1386" s="1" t="s">
        <v>147</v>
      </c>
      <c r="J1386" s="1"/>
      <c r="K1386" s="1"/>
      <c r="L1386" s="1"/>
    </row>
    <row r="1387">
      <c r="A1387" s="110">
        <v>46227.98917747685</v>
      </c>
      <c r="B1387" s="1" t="s">
        <v>283</v>
      </c>
      <c r="C1387" s="1" t="s">
        <v>148</v>
      </c>
      <c r="D1387" s="1" t="s">
        <v>130</v>
      </c>
      <c r="E1387" s="1"/>
      <c r="F1387" s="111" t="b">
        <v>1</v>
      </c>
      <c r="G1387" s="111" t="b">
        <v>1</v>
      </c>
      <c r="H1387" s="111" t="b">
        <v>1</v>
      </c>
      <c r="I1387" s="1" t="s">
        <v>93</v>
      </c>
      <c r="J1387" s="1"/>
      <c r="K1387" s="1"/>
      <c r="L1387" s="1"/>
    </row>
    <row r="1388">
      <c r="A1388" s="110">
        <v>46227.995738067126</v>
      </c>
      <c r="B1388" s="1" t="s">
        <v>230</v>
      </c>
      <c r="C1388" s="1" t="s">
        <v>224</v>
      </c>
      <c r="D1388" s="129" t="s">
        <v>139</v>
      </c>
      <c r="E1388" s="1"/>
      <c r="F1388" s="111" t="b">
        <v>1</v>
      </c>
      <c r="G1388" s="111" t="b">
        <v>1</v>
      </c>
      <c r="H1388" s="111" t="b">
        <v>1</v>
      </c>
      <c r="I1388" s="1" t="s">
        <v>93</v>
      </c>
      <c r="J1388" s="1"/>
      <c r="K1388" s="1"/>
      <c r="L1388" s="1"/>
    </row>
    <row r="1389">
      <c r="A1389" s="110">
        <v>46228.02357670139</v>
      </c>
      <c r="B1389" s="1" t="s">
        <v>185</v>
      </c>
      <c r="C1389" s="1" t="s">
        <v>206</v>
      </c>
      <c r="D1389" s="129" t="s">
        <v>139</v>
      </c>
      <c r="E1389" s="1" t="s">
        <v>430</v>
      </c>
      <c r="F1389" s="111" t="b">
        <v>1</v>
      </c>
      <c r="G1389" s="111" t="b">
        <v>1</v>
      </c>
      <c r="H1389" s="111" t="b">
        <v>1</v>
      </c>
      <c r="I1389" s="1" t="s">
        <v>85</v>
      </c>
      <c r="J1389" s="1"/>
      <c r="K1389" s="1"/>
      <c r="L1389" s="1"/>
    </row>
    <row r="1390">
      <c r="A1390" s="110">
        <v>46228.037584756945</v>
      </c>
      <c r="B1390" s="1" t="s">
        <v>185</v>
      </c>
      <c r="C1390" s="1" t="s">
        <v>224</v>
      </c>
      <c r="D1390" s="1" t="s">
        <v>130</v>
      </c>
      <c r="E1390" s="1" t="s">
        <v>192</v>
      </c>
      <c r="F1390" s="111" t="b">
        <v>1</v>
      </c>
      <c r="G1390" s="111" t="b">
        <v>1</v>
      </c>
      <c r="H1390" s="111" t="b">
        <v>1</v>
      </c>
      <c r="I1390" s="1" t="s">
        <v>83</v>
      </c>
      <c r="J1390" s="1"/>
      <c r="K1390" s="1"/>
      <c r="L1390" s="1"/>
    </row>
    <row r="1391">
      <c r="A1391" s="110">
        <v>46228.05874836806</v>
      </c>
      <c r="B1391" s="1" t="s">
        <v>185</v>
      </c>
      <c r="C1391" s="1" t="s">
        <v>171</v>
      </c>
      <c r="D1391" s="1" t="s">
        <v>130</v>
      </c>
      <c r="E1391" s="1" t="s">
        <v>431</v>
      </c>
      <c r="F1391" s="111" t="b">
        <v>1</v>
      </c>
      <c r="G1391" s="1"/>
      <c r="H1391" s="111" t="b">
        <v>1</v>
      </c>
      <c r="I1391" s="1"/>
      <c r="J1391" s="1"/>
      <c r="K1391" s="1"/>
      <c r="L1391" s="1"/>
    </row>
    <row r="1392">
      <c r="A1392" s="110">
        <v>46228.32547186343</v>
      </c>
      <c r="B1392" s="1" t="s">
        <v>215</v>
      </c>
      <c r="C1392" s="1" t="s">
        <v>172</v>
      </c>
      <c r="D1392" s="129" t="s">
        <v>139</v>
      </c>
      <c r="E1392" s="1" t="s">
        <v>432</v>
      </c>
      <c r="F1392" s="111" t="b">
        <v>1</v>
      </c>
      <c r="G1392" s="1"/>
      <c r="H1392" s="111" t="b">
        <v>1</v>
      </c>
      <c r="I1392" s="1"/>
      <c r="J1392" s="1"/>
      <c r="K1392" s="1"/>
      <c r="L1392" s="1"/>
    </row>
    <row r="1393">
      <c r="A1393" s="110">
        <v>46228.392195532404</v>
      </c>
      <c r="B1393" s="1" t="s">
        <v>180</v>
      </c>
      <c r="C1393" s="1" t="s">
        <v>185</v>
      </c>
      <c r="D1393" s="129" t="s">
        <v>139</v>
      </c>
      <c r="E1393" s="1" t="s">
        <v>157</v>
      </c>
      <c r="F1393" s="111" t="b">
        <v>1</v>
      </c>
      <c r="G1393" s="1"/>
      <c r="H1393" s="111" t="b">
        <v>1</v>
      </c>
      <c r="I1393" s="1"/>
      <c r="J1393" s="1"/>
      <c r="K1393" s="1"/>
      <c r="L1393" s="1"/>
    </row>
    <row r="1394">
      <c r="A1394" s="110">
        <v>46228.432679247686</v>
      </c>
      <c r="B1394" s="1" t="s">
        <v>180</v>
      </c>
      <c r="C1394" s="1" t="s">
        <v>224</v>
      </c>
      <c r="D1394" s="1" t="s">
        <v>130</v>
      </c>
      <c r="E1394" s="1" t="s">
        <v>167</v>
      </c>
      <c r="F1394" s="111" t="b">
        <v>1</v>
      </c>
      <c r="G1394" s="1"/>
      <c r="H1394" s="111" t="b">
        <v>1</v>
      </c>
      <c r="I1394" s="1"/>
      <c r="J1394" s="1"/>
      <c r="K1394" s="1"/>
      <c r="L1394" s="1"/>
    </row>
    <row r="1395">
      <c r="A1395" s="110">
        <v>46228.450973240746</v>
      </c>
      <c r="B1395" s="1" t="s">
        <v>180</v>
      </c>
      <c r="C1395" s="1" t="s">
        <v>141</v>
      </c>
      <c r="D1395" s="129" t="s">
        <v>139</v>
      </c>
      <c r="E1395" s="1" t="s">
        <v>167</v>
      </c>
      <c r="F1395" s="111" t="b">
        <v>1</v>
      </c>
      <c r="G1395" s="111" t="b">
        <v>1</v>
      </c>
      <c r="H1395" s="111" t="b">
        <v>1</v>
      </c>
      <c r="I1395" s="1" t="s">
        <v>120</v>
      </c>
      <c r="J1395" s="1"/>
      <c r="K1395" s="1"/>
      <c r="L1395" s="1"/>
    </row>
    <row r="1396">
      <c r="A1396" s="110">
        <v>46228.46519508102</v>
      </c>
      <c r="B1396" s="1" t="s">
        <v>234</v>
      </c>
      <c r="C1396" s="1" t="s">
        <v>247</v>
      </c>
      <c r="D1396" s="129" t="s">
        <v>139</v>
      </c>
      <c r="E1396" s="1"/>
      <c r="F1396" s="111" t="b">
        <v>1</v>
      </c>
      <c r="G1396" s="111" t="b">
        <v>1</v>
      </c>
      <c r="H1396" s="111" t="b">
        <v>1</v>
      </c>
      <c r="I1396" s="1" t="s">
        <v>102</v>
      </c>
      <c r="J1396" s="1"/>
      <c r="K1396" s="1"/>
      <c r="L1396" s="1"/>
    </row>
    <row r="1397">
      <c r="A1397" s="110">
        <v>46228.47813474537</v>
      </c>
      <c r="B1397" s="1" t="s">
        <v>206</v>
      </c>
      <c r="C1397" s="1" t="s">
        <v>321</v>
      </c>
      <c r="D1397" s="129" t="s">
        <v>139</v>
      </c>
      <c r="E1397" s="1"/>
      <c r="F1397" s="111" t="b">
        <v>1</v>
      </c>
      <c r="G1397" s="111" t="b">
        <v>1</v>
      </c>
      <c r="H1397" s="111" t="b">
        <v>1</v>
      </c>
      <c r="I1397" s="1" t="s">
        <v>97</v>
      </c>
      <c r="J1397" s="1"/>
      <c r="K1397" s="1"/>
      <c r="L1397" s="1"/>
    </row>
    <row r="1398">
      <c r="A1398" s="110">
        <v>46228.498392361114</v>
      </c>
      <c r="B1398" s="1" t="s">
        <v>247</v>
      </c>
      <c r="C1398" s="1" t="s">
        <v>206</v>
      </c>
      <c r="D1398" s="1" t="s">
        <v>130</v>
      </c>
      <c r="E1398" s="1"/>
      <c r="F1398" s="111" t="b">
        <v>1</v>
      </c>
      <c r="G1398" s="111" t="b">
        <v>1</v>
      </c>
      <c r="H1398" s="111" t="b">
        <v>1</v>
      </c>
      <c r="I1398" s="1" t="s">
        <v>106</v>
      </c>
      <c r="J1398" s="1"/>
      <c r="K1398" s="1"/>
      <c r="L1398" s="1"/>
    </row>
    <row r="1399">
      <c r="A1399" s="110">
        <v>46228.50776871528</v>
      </c>
      <c r="B1399" s="1" t="s">
        <v>321</v>
      </c>
      <c r="C1399" s="1" t="s">
        <v>180</v>
      </c>
      <c r="D1399" s="129" t="s">
        <v>139</v>
      </c>
      <c r="E1399" s="1"/>
      <c r="F1399" s="111" t="b">
        <v>1</v>
      </c>
      <c r="G1399" s="111" t="b">
        <v>1</v>
      </c>
      <c r="H1399" s="111" t="b">
        <v>1</v>
      </c>
      <c r="I1399" s="1" t="s">
        <v>85</v>
      </c>
      <c r="J1399" s="1"/>
      <c r="K1399" s="1"/>
      <c r="L1399" s="1"/>
    </row>
    <row r="1400">
      <c r="A1400" s="110">
        <v>46228.51602671296</v>
      </c>
      <c r="B1400" s="1" t="s">
        <v>206</v>
      </c>
      <c r="C1400" s="1" t="s">
        <v>237</v>
      </c>
      <c r="D1400" s="129" t="s">
        <v>139</v>
      </c>
      <c r="E1400" s="1"/>
      <c r="F1400" s="111" t="b">
        <v>1</v>
      </c>
      <c r="G1400" s="111" t="b">
        <v>1</v>
      </c>
      <c r="H1400" s="111" t="b">
        <v>1</v>
      </c>
      <c r="I1400" s="1" t="s">
        <v>95</v>
      </c>
      <c r="J1400" s="1"/>
      <c r="K1400" s="1"/>
      <c r="L1400" s="1"/>
    </row>
    <row r="1401">
      <c r="A1401" s="110">
        <v>46228.53107118055</v>
      </c>
      <c r="B1401" s="1" t="s">
        <v>247</v>
      </c>
      <c r="C1401" s="1" t="s">
        <v>321</v>
      </c>
      <c r="D1401" s="129" t="s">
        <v>139</v>
      </c>
      <c r="E1401" s="1"/>
      <c r="F1401" s="111" t="b">
        <v>1</v>
      </c>
      <c r="G1401" s="111" t="b">
        <v>1</v>
      </c>
      <c r="H1401" s="111" t="b">
        <v>1</v>
      </c>
      <c r="I1401" s="1" t="s">
        <v>81</v>
      </c>
      <c r="J1401" s="1"/>
      <c r="K1401" s="1"/>
      <c r="L1401" s="1"/>
    </row>
    <row r="1402">
      <c r="A1402" s="110">
        <v>46228.5439993287</v>
      </c>
      <c r="B1402" s="1" t="s">
        <v>269</v>
      </c>
      <c r="C1402" s="1" t="s">
        <v>247</v>
      </c>
      <c r="D1402" s="129" t="s">
        <v>139</v>
      </c>
      <c r="E1402" s="1"/>
      <c r="F1402" s="111" t="b">
        <v>1</v>
      </c>
      <c r="G1402" s="111" t="b">
        <v>1</v>
      </c>
      <c r="H1402" s="111" t="b">
        <v>1</v>
      </c>
      <c r="I1402" s="1" t="s">
        <v>85</v>
      </c>
      <c r="J1402" s="1"/>
      <c r="K1402" s="1"/>
      <c r="L1402" s="1"/>
    </row>
    <row r="1403">
      <c r="A1403" s="110">
        <v>46228.56615215278</v>
      </c>
      <c r="B1403" s="1" t="s">
        <v>269</v>
      </c>
      <c r="C1403" s="1" t="s">
        <v>170</v>
      </c>
      <c r="D1403" s="129" t="s">
        <v>139</v>
      </c>
      <c r="E1403" s="1"/>
      <c r="F1403" s="111" t="b">
        <v>1</v>
      </c>
      <c r="G1403" s="111" t="b">
        <v>1</v>
      </c>
      <c r="H1403" s="111" t="b">
        <v>1</v>
      </c>
      <c r="I1403" s="1" t="s">
        <v>85</v>
      </c>
      <c r="J1403" s="1"/>
      <c r="K1403" s="1"/>
      <c r="L1403" s="1"/>
    </row>
    <row r="1404">
      <c r="A1404" s="110">
        <v>46228.59356241898</v>
      </c>
      <c r="B1404" s="1" t="s">
        <v>284</v>
      </c>
      <c r="C1404" s="1" t="s">
        <v>225</v>
      </c>
      <c r="D1404" s="1" t="s">
        <v>130</v>
      </c>
      <c r="E1404" s="1"/>
      <c r="F1404" s="111" t="b">
        <v>1</v>
      </c>
      <c r="G1404" s="1"/>
      <c r="H1404" s="111" t="b">
        <v>1</v>
      </c>
      <c r="I1404" s="1"/>
      <c r="J1404" s="1"/>
      <c r="K1404" s="1"/>
      <c r="L1404" s="1"/>
    </row>
    <row r="1405">
      <c r="A1405" s="110">
        <v>46228.614505729165</v>
      </c>
      <c r="B1405" s="1" t="s">
        <v>237</v>
      </c>
      <c r="C1405" s="1" t="s">
        <v>191</v>
      </c>
      <c r="D1405" s="1" t="s">
        <v>130</v>
      </c>
      <c r="E1405" s="1" t="s">
        <v>157</v>
      </c>
      <c r="F1405" s="111" t="b">
        <v>1</v>
      </c>
      <c r="G1405" s="111" t="b">
        <v>1</v>
      </c>
      <c r="H1405" s="111" t="b">
        <v>1</v>
      </c>
      <c r="I1405" s="1" t="s">
        <v>118</v>
      </c>
      <c r="J1405" s="1"/>
      <c r="K1405" s="1"/>
      <c r="L1405" s="1"/>
    </row>
    <row r="1406">
      <c r="A1406" s="110">
        <v>46228.63800934028</v>
      </c>
      <c r="B1406" s="1" t="s">
        <v>284</v>
      </c>
      <c r="C1406" s="1" t="s">
        <v>195</v>
      </c>
      <c r="D1406" s="129" t="s">
        <v>139</v>
      </c>
      <c r="E1406" s="1"/>
      <c r="F1406" s="111" t="b">
        <v>1</v>
      </c>
      <c r="G1406" s="111" t="b">
        <v>1</v>
      </c>
      <c r="H1406" s="111" t="b">
        <v>1</v>
      </c>
      <c r="I1406" s="1" t="s">
        <v>99</v>
      </c>
      <c r="J1406" s="1"/>
      <c r="K1406" s="1"/>
      <c r="L1406" s="1"/>
    </row>
    <row r="1407">
      <c r="A1407" s="110">
        <v>46228.666935925925</v>
      </c>
      <c r="B1407" s="1" t="s">
        <v>169</v>
      </c>
      <c r="C1407" s="1" t="s">
        <v>142</v>
      </c>
      <c r="D1407" s="129" t="s">
        <v>139</v>
      </c>
      <c r="E1407" s="1" t="s">
        <v>167</v>
      </c>
      <c r="F1407" s="111" t="b">
        <v>1</v>
      </c>
      <c r="G1407" s="111" t="b">
        <v>1</v>
      </c>
      <c r="H1407" s="111" t="b">
        <v>1</v>
      </c>
      <c r="I1407" s="1" t="s">
        <v>87</v>
      </c>
      <c r="J1407" s="1"/>
      <c r="K1407" s="1"/>
      <c r="L1407" s="1"/>
    </row>
    <row r="1408">
      <c r="A1408" s="110">
        <v>46228.7025847801</v>
      </c>
      <c r="B1408" s="1" t="s">
        <v>169</v>
      </c>
      <c r="C1408" s="1" t="s">
        <v>288</v>
      </c>
      <c r="D1408" s="1" t="s">
        <v>130</v>
      </c>
      <c r="E1408" s="1"/>
      <c r="F1408" s="111" t="b">
        <v>1</v>
      </c>
      <c r="G1408" s="111" t="b">
        <v>1</v>
      </c>
      <c r="H1408" s="111" t="b">
        <v>1</v>
      </c>
      <c r="I1408" s="1" t="s">
        <v>97</v>
      </c>
      <c r="J1408" s="1"/>
      <c r="K1408" s="1"/>
      <c r="L1408" s="1"/>
    </row>
    <row r="1409">
      <c r="A1409" s="110">
        <v>46228.722864826384</v>
      </c>
      <c r="B1409" s="1" t="s">
        <v>284</v>
      </c>
      <c r="C1409" s="1" t="s">
        <v>169</v>
      </c>
      <c r="D1409" s="1" t="s">
        <v>130</v>
      </c>
      <c r="E1409" s="1"/>
      <c r="F1409" s="111" t="b">
        <v>1</v>
      </c>
      <c r="G1409" s="111" t="b">
        <v>1</v>
      </c>
      <c r="H1409" s="111" t="b">
        <v>1</v>
      </c>
      <c r="I1409" s="1" t="s">
        <v>93</v>
      </c>
      <c r="J1409" s="1"/>
      <c r="K1409" s="1"/>
      <c r="L1409" s="1"/>
    </row>
    <row r="1410">
      <c r="A1410" s="110">
        <v>46228.731644479165</v>
      </c>
      <c r="B1410" s="1" t="s">
        <v>218</v>
      </c>
      <c r="C1410" s="1" t="s">
        <v>142</v>
      </c>
      <c r="D1410" s="1" t="s">
        <v>130</v>
      </c>
      <c r="E1410" s="1"/>
      <c r="F1410" s="111" t="b">
        <v>1</v>
      </c>
      <c r="G1410" s="111" t="b">
        <v>1</v>
      </c>
      <c r="H1410" s="111" t="b">
        <v>1</v>
      </c>
      <c r="I1410" s="1" t="s">
        <v>202</v>
      </c>
      <c r="J1410" s="1"/>
      <c r="K1410" s="1"/>
      <c r="L1410" s="1"/>
    </row>
    <row r="1411">
      <c r="A1411" s="110">
        <v>46228.743906400465</v>
      </c>
      <c r="B1411" s="1" t="s">
        <v>234</v>
      </c>
      <c r="C1411" s="1" t="s">
        <v>162</v>
      </c>
      <c r="D1411" s="129" t="s">
        <v>139</v>
      </c>
      <c r="E1411" s="1"/>
      <c r="F1411" s="111" t="b">
        <v>1</v>
      </c>
      <c r="G1411" s="111" t="b">
        <v>1</v>
      </c>
      <c r="H1411" s="111" t="b">
        <v>1</v>
      </c>
      <c r="I1411" s="1" t="s">
        <v>202</v>
      </c>
      <c r="J1411" s="1"/>
      <c r="K1411" s="1"/>
      <c r="L1411" s="1"/>
    </row>
    <row r="1412">
      <c r="A1412" s="110">
        <v>46228.748649189816</v>
      </c>
      <c r="B1412" s="1" t="s">
        <v>288</v>
      </c>
      <c r="C1412" s="1" t="s">
        <v>284</v>
      </c>
      <c r="D1412" s="129" t="s">
        <v>139</v>
      </c>
      <c r="E1412" s="1" t="s">
        <v>167</v>
      </c>
      <c r="F1412" s="111" t="b">
        <v>1</v>
      </c>
      <c r="G1412" s="111" t="b">
        <v>1</v>
      </c>
      <c r="H1412" s="111" t="b">
        <v>1</v>
      </c>
      <c r="I1412" s="1" t="s">
        <v>84</v>
      </c>
      <c r="J1412" s="1"/>
      <c r="K1412" s="1"/>
      <c r="L1412" s="1"/>
    </row>
    <row r="1413">
      <c r="A1413" s="110">
        <v>46228.77314959491</v>
      </c>
      <c r="B1413" s="1" t="s">
        <v>289</v>
      </c>
      <c r="C1413" s="1" t="s">
        <v>288</v>
      </c>
      <c r="D1413" s="129" t="s">
        <v>139</v>
      </c>
      <c r="E1413" s="1"/>
      <c r="F1413" s="111" t="b">
        <v>1</v>
      </c>
      <c r="G1413" s="111" t="b">
        <v>1</v>
      </c>
      <c r="H1413" s="111" t="b">
        <v>1</v>
      </c>
      <c r="I1413" s="1" t="s">
        <v>79</v>
      </c>
      <c r="J1413" s="1"/>
      <c r="K1413" s="1"/>
      <c r="L1413" s="1"/>
    </row>
    <row r="1414">
      <c r="A1414" s="110">
        <v>46228.7790605787</v>
      </c>
      <c r="B1414" s="1" t="s">
        <v>148</v>
      </c>
      <c r="C1414" s="1" t="s">
        <v>284</v>
      </c>
      <c r="D1414" s="129" t="s">
        <v>139</v>
      </c>
      <c r="E1414" s="1"/>
      <c r="F1414" s="111" t="b">
        <v>1</v>
      </c>
      <c r="G1414" s="111" t="b">
        <v>1</v>
      </c>
      <c r="H1414" s="111" t="b">
        <v>1</v>
      </c>
      <c r="I1414" s="1" t="s">
        <v>85</v>
      </c>
      <c r="J1414" s="1"/>
      <c r="K1414" s="1"/>
      <c r="L1414" s="1"/>
    </row>
    <row r="1415">
      <c r="A1415" s="110">
        <v>46228.7912915625</v>
      </c>
      <c r="B1415" s="1" t="s">
        <v>247</v>
      </c>
      <c r="C1415" s="1" t="s">
        <v>289</v>
      </c>
      <c r="D1415" s="1" t="s">
        <v>130</v>
      </c>
      <c r="E1415" s="1"/>
      <c r="F1415" s="111" t="b">
        <v>1</v>
      </c>
      <c r="G1415" s="111" t="b">
        <v>1</v>
      </c>
      <c r="H1415" s="111" t="b">
        <v>1</v>
      </c>
      <c r="I1415" s="1" t="s">
        <v>90</v>
      </c>
      <c r="J1415" s="1"/>
      <c r="K1415" s="1"/>
      <c r="L1415" s="1"/>
    </row>
    <row r="1416">
      <c r="A1416" s="110">
        <v>46228.80281685185</v>
      </c>
      <c r="B1416" s="1" t="s">
        <v>237</v>
      </c>
      <c r="C1416" s="1" t="s">
        <v>288</v>
      </c>
      <c r="D1416" s="129" t="s">
        <v>139</v>
      </c>
      <c r="E1416" s="1" t="s">
        <v>157</v>
      </c>
      <c r="F1416" s="111" t="b">
        <v>1</v>
      </c>
      <c r="G1416" s="1"/>
      <c r="H1416" s="111" t="b">
        <v>1</v>
      </c>
      <c r="I1416" s="1"/>
      <c r="J1416" s="1"/>
      <c r="K1416" s="1"/>
      <c r="L1416" s="1"/>
    </row>
    <row r="1417">
      <c r="A1417" s="110">
        <v>46228.86524005787</v>
      </c>
      <c r="B1417" s="1" t="s">
        <v>178</v>
      </c>
      <c r="C1417" s="1" t="s">
        <v>267</v>
      </c>
      <c r="D1417" s="129" t="s">
        <v>139</v>
      </c>
      <c r="E1417" s="1"/>
      <c r="F1417" s="111" t="b">
        <v>1</v>
      </c>
      <c r="G1417" s="111" t="b">
        <v>1</v>
      </c>
      <c r="H1417" s="111" t="b">
        <v>1</v>
      </c>
      <c r="I1417" s="1" t="s">
        <v>79</v>
      </c>
      <c r="J1417" s="1"/>
      <c r="K1417" s="1"/>
      <c r="L1417" s="1"/>
    </row>
    <row r="1418">
      <c r="A1418" s="110">
        <v>46228.920224710644</v>
      </c>
      <c r="B1418" s="1" t="s">
        <v>210</v>
      </c>
      <c r="C1418" s="1" t="s">
        <v>261</v>
      </c>
      <c r="D1418" s="1" t="s">
        <v>130</v>
      </c>
      <c r="E1418" s="1"/>
      <c r="F1418" s="111" t="b">
        <v>1</v>
      </c>
      <c r="G1418" s="111" t="b">
        <v>1</v>
      </c>
      <c r="H1418" s="111" t="b">
        <v>1</v>
      </c>
      <c r="I1418" s="1" t="s">
        <v>118</v>
      </c>
      <c r="J1418" s="1"/>
      <c r="K1418" s="1"/>
      <c r="L1418" s="1"/>
    </row>
    <row r="1419">
      <c r="A1419" s="110">
        <v>46228.94031582176</v>
      </c>
      <c r="B1419" s="1" t="s">
        <v>215</v>
      </c>
      <c r="C1419" s="1" t="s">
        <v>218</v>
      </c>
      <c r="D1419" s="129" t="s">
        <v>139</v>
      </c>
      <c r="E1419" s="1" t="s">
        <v>433</v>
      </c>
      <c r="F1419" s="111" t="b">
        <v>1</v>
      </c>
      <c r="G1419" s="111" t="b">
        <v>1</v>
      </c>
      <c r="H1419" s="111" t="b">
        <v>1</v>
      </c>
      <c r="I1419" s="1" t="s">
        <v>118</v>
      </c>
      <c r="J1419" s="1"/>
      <c r="K1419" s="1"/>
      <c r="L1419" s="1"/>
    </row>
    <row r="1420">
      <c r="A1420" s="110">
        <v>46228.95219170139</v>
      </c>
      <c r="B1420" s="1" t="s">
        <v>137</v>
      </c>
      <c r="C1420" s="1" t="s">
        <v>210</v>
      </c>
      <c r="D1420" s="129" t="s">
        <v>139</v>
      </c>
      <c r="E1420" s="1"/>
      <c r="F1420" s="111" t="b">
        <v>1</v>
      </c>
      <c r="G1420" s="111" t="b">
        <v>1</v>
      </c>
      <c r="H1420" s="111" t="b">
        <v>1</v>
      </c>
      <c r="I1420" s="1" t="s">
        <v>81</v>
      </c>
      <c r="J1420" s="1"/>
      <c r="K1420" s="1"/>
      <c r="L1420" s="1"/>
    </row>
    <row r="1421">
      <c r="A1421" s="110">
        <v>46229.10225334491</v>
      </c>
      <c r="B1421" s="1" t="s">
        <v>155</v>
      </c>
      <c r="C1421" s="1" t="s">
        <v>142</v>
      </c>
      <c r="D1421" s="129" t="s">
        <v>139</v>
      </c>
      <c r="E1421" s="1" t="s">
        <v>157</v>
      </c>
      <c r="F1421" s="111" t="b">
        <v>1</v>
      </c>
      <c r="G1421" s="111" t="b">
        <v>1</v>
      </c>
      <c r="H1421" s="111" t="b">
        <v>1</v>
      </c>
      <c r="I1421" s="1" t="s">
        <v>97</v>
      </c>
      <c r="J1421" s="1"/>
      <c r="K1421" s="1"/>
      <c r="L1421" s="1"/>
    </row>
    <row r="1422">
      <c r="A1422" s="110">
        <v>46229.267383287035</v>
      </c>
      <c r="B1422" s="1" t="s">
        <v>160</v>
      </c>
      <c r="C1422" s="1" t="s">
        <v>144</v>
      </c>
      <c r="D1422" s="1" t="s">
        <v>130</v>
      </c>
      <c r="E1422" s="1"/>
      <c r="F1422" s="111" t="b">
        <v>1</v>
      </c>
      <c r="G1422" s="111" t="b">
        <v>1</v>
      </c>
      <c r="H1422" s="111" t="b">
        <v>1</v>
      </c>
      <c r="I1422" s="1" t="s">
        <v>84</v>
      </c>
      <c r="J1422" s="1"/>
      <c r="K1422" s="1"/>
      <c r="L1422" s="1"/>
    </row>
    <row r="1423">
      <c r="A1423" s="110">
        <v>46229.29697923611</v>
      </c>
      <c r="B1423" s="1" t="s">
        <v>160</v>
      </c>
      <c r="C1423" s="1" t="s">
        <v>320</v>
      </c>
      <c r="D1423" s="129" t="s">
        <v>139</v>
      </c>
      <c r="E1423" s="1"/>
      <c r="F1423" s="111" t="b">
        <v>1</v>
      </c>
      <c r="G1423" s="111" t="b">
        <v>1</v>
      </c>
      <c r="H1423" s="111" t="b">
        <v>1</v>
      </c>
      <c r="I1423" s="1" t="s">
        <v>93</v>
      </c>
      <c r="J1423" s="1"/>
      <c r="K1423" s="1"/>
      <c r="L1423" s="1"/>
    </row>
    <row r="1424">
      <c r="A1424" s="110">
        <v>46229.32605523148</v>
      </c>
      <c r="B1424" s="1" t="s">
        <v>144</v>
      </c>
      <c r="C1424" s="1" t="s">
        <v>145</v>
      </c>
      <c r="D1424" s="129" t="s">
        <v>139</v>
      </c>
      <c r="E1424" s="1" t="s">
        <v>434</v>
      </c>
      <c r="F1424" s="111" t="b">
        <v>1</v>
      </c>
      <c r="G1424" s="1"/>
      <c r="H1424" s="111" t="b">
        <v>1</v>
      </c>
      <c r="I1424" s="1"/>
      <c r="J1424" s="1"/>
      <c r="K1424" s="1"/>
      <c r="L1424" s="1"/>
    </row>
    <row r="1425">
      <c r="A1425" s="110">
        <v>46229.41681487269</v>
      </c>
      <c r="B1425" s="1" t="s">
        <v>183</v>
      </c>
      <c r="C1425" s="1" t="s">
        <v>160</v>
      </c>
      <c r="D1425" s="129" t="s">
        <v>139</v>
      </c>
      <c r="E1425" s="1" t="s">
        <v>167</v>
      </c>
      <c r="F1425" s="111" t="b">
        <v>1</v>
      </c>
      <c r="G1425" s="111" t="b">
        <v>1</v>
      </c>
      <c r="H1425" s="111" t="b">
        <v>1</v>
      </c>
      <c r="I1425" s="1" t="s">
        <v>83</v>
      </c>
      <c r="J1425" s="1"/>
      <c r="K1425" s="1"/>
      <c r="L1425" s="1"/>
    </row>
    <row r="1426">
      <c r="A1426" s="110">
        <v>46229.44896846065</v>
      </c>
      <c r="B1426" s="1" t="s">
        <v>160</v>
      </c>
      <c r="C1426" s="1" t="s">
        <v>169</v>
      </c>
      <c r="D1426" s="129" t="s">
        <v>139</v>
      </c>
      <c r="E1426" s="1"/>
      <c r="F1426" s="111" t="b">
        <v>1</v>
      </c>
      <c r="G1426" s="1"/>
      <c r="H1426" s="111" t="b">
        <v>1</v>
      </c>
      <c r="I1426" s="1"/>
      <c r="J1426" s="1"/>
      <c r="K1426" s="1"/>
      <c r="L1426" s="1"/>
    </row>
    <row r="1427">
      <c r="A1427" s="110">
        <v>46229.534956296295</v>
      </c>
      <c r="B1427" s="1" t="s">
        <v>269</v>
      </c>
      <c r="C1427" s="1" t="s">
        <v>195</v>
      </c>
      <c r="D1427" s="1" t="s">
        <v>130</v>
      </c>
      <c r="E1427" s="1"/>
      <c r="F1427" s="111" t="b">
        <v>1</v>
      </c>
      <c r="G1427" s="111" t="b">
        <v>1</v>
      </c>
      <c r="H1427" s="111" t="b">
        <v>1</v>
      </c>
      <c r="I1427" s="1" t="s">
        <v>81</v>
      </c>
      <c r="J1427" s="1"/>
      <c r="K1427" s="1"/>
      <c r="L1427" s="1"/>
    </row>
    <row r="1428">
      <c r="A1428" s="110">
        <v>46229.55254592592</v>
      </c>
      <c r="B1428" s="1" t="s">
        <v>137</v>
      </c>
      <c r="C1428" s="1" t="s">
        <v>142</v>
      </c>
      <c r="D1428" s="1" t="s">
        <v>130</v>
      </c>
      <c r="E1428" s="1"/>
      <c r="F1428" s="111" t="b">
        <v>1</v>
      </c>
      <c r="G1428" s="111" t="b">
        <v>1</v>
      </c>
      <c r="H1428" s="111" t="b">
        <v>1</v>
      </c>
      <c r="I1428" s="1" t="s">
        <v>98</v>
      </c>
      <c r="J1428" s="1"/>
      <c r="K1428" s="1"/>
      <c r="L1428" s="1"/>
    </row>
    <row r="1429">
      <c r="A1429" s="110">
        <v>46229.56678361111</v>
      </c>
      <c r="B1429" s="1" t="s">
        <v>235</v>
      </c>
      <c r="C1429" s="1" t="s">
        <v>170</v>
      </c>
      <c r="D1429" s="1" t="s">
        <v>130</v>
      </c>
      <c r="E1429" s="1" t="s">
        <v>167</v>
      </c>
      <c r="F1429" s="111" t="b">
        <v>1</v>
      </c>
      <c r="G1429" s="111" t="b">
        <v>1</v>
      </c>
      <c r="H1429" s="111" t="b">
        <v>1</v>
      </c>
      <c r="I1429" s="1" t="s">
        <v>79</v>
      </c>
      <c r="J1429" s="1"/>
      <c r="K1429" s="1"/>
      <c r="L1429" s="1"/>
    </row>
    <row r="1430">
      <c r="A1430" s="110">
        <v>46229.56821789352</v>
      </c>
      <c r="B1430" s="1" t="s">
        <v>183</v>
      </c>
      <c r="C1430" s="1" t="s">
        <v>142</v>
      </c>
      <c r="D1430" s="1" t="s">
        <v>130</v>
      </c>
      <c r="E1430" s="1" t="s">
        <v>167</v>
      </c>
      <c r="F1430" s="111" t="b">
        <v>1</v>
      </c>
      <c r="G1430" s="1"/>
      <c r="H1430" s="111" t="b">
        <v>1</v>
      </c>
      <c r="I1430" s="1"/>
      <c r="J1430" s="1"/>
      <c r="K1430" s="1"/>
      <c r="L1430" s="1"/>
    </row>
    <row r="1431">
      <c r="A1431" s="110">
        <v>46229.582221874996</v>
      </c>
      <c r="B1431" s="1" t="s">
        <v>235</v>
      </c>
      <c r="C1431" s="1" t="s">
        <v>210</v>
      </c>
      <c r="D1431" s="1" t="s">
        <v>130</v>
      </c>
      <c r="E1431" s="1" t="s">
        <v>167</v>
      </c>
      <c r="F1431" s="111" t="b">
        <v>1</v>
      </c>
      <c r="G1431" s="111" t="b">
        <v>1</v>
      </c>
      <c r="H1431" s="111" t="b">
        <v>1</v>
      </c>
      <c r="I1431" s="1" t="s">
        <v>87</v>
      </c>
      <c r="J1431" s="1"/>
      <c r="K1431" s="1"/>
      <c r="L1431" s="1"/>
    </row>
    <row r="1432">
      <c r="A1432" s="110">
        <v>46229.62052125</v>
      </c>
      <c r="B1432" s="1" t="s">
        <v>210</v>
      </c>
      <c r="C1432" s="1" t="s">
        <v>183</v>
      </c>
      <c r="D1432" s="129" t="s">
        <v>139</v>
      </c>
      <c r="E1432" s="1"/>
      <c r="F1432" s="111" t="b">
        <v>1</v>
      </c>
      <c r="G1432" s="111" t="b">
        <v>1</v>
      </c>
      <c r="H1432" s="111" t="b">
        <v>1</v>
      </c>
      <c r="I1432" s="1" t="s">
        <v>118</v>
      </c>
      <c r="J1432" s="1"/>
      <c r="K1432" s="1"/>
      <c r="L1432" s="1"/>
    </row>
    <row r="1433">
      <c r="A1433" s="110">
        <v>46229.62237564815</v>
      </c>
      <c r="B1433" s="1" t="s">
        <v>160</v>
      </c>
      <c r="C1433" s="1" t="s">
        <v>170</v>
      </c>
      <c r="D1433" s="1" t="s">
        <v>130</v>
      </c>
      <c r="E1433" s="1"/>
      <c r="F1433" s="111" t="b">
        <v>1</v>
      </c>
      <c r="G1433" s="111" t="b">
        <v>1</v>
      </c>
      <c r="H1433" s="111" t="b">
        <v>1</v>
      </c>
      <c r="I1433" s="1" t="s">
        <v>97</v>
      </c>
      <c r="J1433" s="1"/>
      <c r="K1433" s="1"/>
      <c r="L1433" s="1"/>
    </row>
    <row r="1434">
      <c r="A1434" s="110">
        <v>46229.627774872686</v>
      </c>
      <c r="B1434" s="1" t="s">
        <v>218</v>
      </c>
      <c r="C1434" s="1" t="s">
        <v>245</v>
      </c>
      <c r="D1434" s="1" t="s">
        <v>130</v>
      </c>
      <c r="E1434" s="1"/>
      <c r="F1434" s="111" t="b">
        <v>1</v>
      </c>
      <c r="G1434" s="1"/>
      <c r="H1434" s="111" t="b">
        <v>1</v>
      </c>
      <c r="I1434" s="1"/>
      <c r="J1434" s="1"/>
      <c r="K1434" s="1"/>
      <c r="L1434" s="1"/>
    </row>
    <row r="1435">
      <c r="A1435" s="110">
        <v>46229.63884828704</v>
      </c>
      <c r="B1435" s="1" t="s">
        <v>242</v>
      </c>
      <c r="C1435" s="1" t="s">
        <v>218</v>
      </c>
      <c r="D1435" s="1" t="s">
        <v>130</v>
      </c>
      <c r="E1435" s="1"/>
      <c r="F1435" s="111" t="b">
        <v>1</v>
      </c>
      <c r="G1435" s="111" t="b">
        <v>1</v>
      </c>
      <c r="H1435" s="1"/>
      <c r="I1435" s="1" t="s">
        <v>87</v>
      </c>
      <c r="J1435" s="1"/>
      <c r="K1435" s="1"/>
      <c r="L1435" s="1"/>
    </row>
    <row r="1436">
      <c r="A1436" s="110">
        <v>46229.739023738424</v>
      </c>
      <c r="B1436" s="1" t="s">
        <v>170</v>
      </c>
      <c r="C1436" s="1" t="s">
        <v>279</v>
      </c>
      <c r="D1436" s="129" t="s">
        <v>139</v>
      </c>
      <c r="E1436" s="1"/>
      <c r="F1436" s="111" t="b">
        <v>1</v>
      </c>
      <c r="G1436" s="111" t="b">
        <v>1</v>
      </c>
      <c r="H1436" s="111" t="b">
        <v>1</v>
      </c>
      <c r="I1436" s="1" t="s">
        <v>102</v>
      </c>
      <c r="J1436" s="1"/>
      <c r="K1436" s="1"/>
      <c r="L1436" s="1"/>
    </row>
    <row r="1437">
      <c r="A1437" s="110">
        <v>46229.843542256946</v>
      </c>
      <c r="B1437" s="1" t="s">
        <v>155</v>
      </c>
      <c r="C1437" s="1" t="s">
        <v>170</v>
      </c>
      <c r="D1437" s="1" t="s">
        <v>130</v>
      </c>
      <c r="E1437" s="1" t="s">
        <v>157</v>
      </c>
      <c r="F1437" s="111" t="b">
        <v>1</v>
      </c>
      <c r="G1437" s="111" t="b">
        <v>1</v>
      </c>
      <c r="H1437" s="1"/>
      <c r="I1437" s="1" t="s">
        <v>95</v>
      </c>
      <c r="J1437" s="1"/>
      <c r="K1437" s="1"/>
      <c r="L1437" s="1"/>
    </row>
    <row r="1438">
      <c r="A1438" s="110">
        <v>46229.87169196759</v>
      </c>
      <c r="B1438" s="1" t="s">
        <v>155</v>
      </c>
      <c r="C1438" s="1" t="s">
        <v>205</v>
      </c>
      <c r="D1438" s="1" t="s">
        <v>130</v>
      </c>
      <c r="E1438" s="1" t="s">
        <v>157</v>
      </c>
      <c r="F1438" s="111" t="b">
        <v>1</v>
      </c>
      <c r="G1438" s="1"/>
      <c r="H1438" s="111" t="b">
        <v>1</v>
      </c>
      <c r="I1438" s="1"/>
      <c r="J1438" s="1"/>
      <c r="K1438" s="1"/>
      <c r="L1438" s="1"/>
    </row>
    <row r="1439">
      <c r="A1439" s="110">
        <v>46229.88107592592</v>
      </c>
      <c r="B1439" s="1" t="s">
        <v>215</v>
      </c>
      <c r="C1439" s="1" t="s">
        <v>283</v>
      </c>
      <c r="D1439" s="1" t="s">
        <v>130</v>
      </c>
      <c r="E1439" s="1"/>
      <c r="F1439" s="111" t="b">
        <v>1</v>
      </c>
      <c r="G1439" s="111" t="b">
        <v>1</v>
      </c>
      <c r="H1439" s="111" t="b">
        <v>1</v>
      </c>
      <c r="I1439" s="1" t="s">
        <v>93</v>
      </c>
      <c r="J1439" s="1"/>
      <c r="K1439" s="1"/>
      <c r="L1439" s="1"/>
    </row>
    <row r="1440">
      <c r="A1440" s="110">
        <v>46229.88964447917</v>
      </c>
      <c r="B1440" s="1" t="s">
        <v>155</v>
      </c>
      <c r="C1440" s="1" t="s">
        <v>289</v>
      </c>
      <c r="D1440" s="1" t="s">
        <v>130</v>
      </c>
      <c r="E1440" s="1" t="s">
        <v>157</v>
      </c>
      <c r="F1440" s="111" t="b">
        <v>1</v>
      </c>
      <c r="G1440" s="1"/>
      <c r="H1440" s="111" t="b">
        <v>1</v>
      </c>
      <c r="I1440" s="1"/>
      <c r="J1440" s="1"/>
      <c r="K1440" s="1"/>
      <c r="L1440" s="1"/>
    </row>
    <row r="1441">
      <c r="A1441" s="110">
        <v>46229.906520613426</v>
      </c>
      <c r="B1441" s="1" t="s">
        <v>155</v>
      </c>
      <c r="C1441" s="1" t="s">
        <v>283</v>
      </c>
      <c r="D1441" s="129" t="s">
        <v>139</v>
      </c>
      <c r="E1441" s="1" t="s">
        <v>157</v>
      </c>
      <c r="F1441" s="111" t="b">
        <v>1</v>
      </c>
      <c r="G1441" s="111" t="b">
        <v>1</v>
      </c>
      <c r="H1441" s="111" t="b">
        <v>1</v>
      </c>
      <c r="I1441" s="1" t="s">
        <v>85</v>
      </c>
      <c r="J1441" s="1"/>
      <c r="K1441" s="1"/>
      <c r="L1441" s="1"/>
    </row>
    <row r="1442">
      <c r="A1442" s="110">
        <v>46229.93432746528</v>
      </c>
      <c r="B1442" s="1" t="s">
        <v>251</v>
      </c>
      <c r="C1442" s="1" t="s">
        <v>161</v>
      </c>
      <c r="D1442" s="1" t="s">
        <v>130</v>
      </c>
      <c r="E1442" s="1" t="s">
        <v>236</v>
      </c>
      <c r="F1442" s="111" t="b">
        <v>1</v>
      </c>
      <c r="G1442" s="1"/>
      <c r="H1442" s="111" t="b">
        <v>1</v>
      </c>
      <c r="I1442" s="1"/>
      <c r="J1442" s="1"/>
      <c r="K1442" s="1"/>
      <c r="L1442" s="1"/>
    </row>
    <row r="1443">
      <c r="A1443" s="110">
        <v>46229.969514537035</v>
      </c>
      <c r="B1443" s="1" t="s">
        <v>251</v>
      </c>
      <c r="C1443" s="1" t="s">
        <v>128</v>
      </c>
      <c r="D1443" s="129" t="s">
        <v>139</v>
      </c>
      <c r="E1443" s="1" t="s">
        <v>435</v>
      </c>
      <c r="F1443" s="111" t="b">
        <v>1</v>
      </c>
      <c r="G1443" s="111" t="b">
        <v>1</v>
      </c>
      <c r="H1443" s="111" t="b">
        <v>1</v>
      </c>
      <c r="I1443" s="1" t="s">
        <v>81</v>
      </c>
      <c r="J1443" s="1"/>
      <c r="K1443" s="1"/>
      <c r="L1443" s="1"/>
    </row>
    <row r="1444">
      <c r="A1444" s="110">
        <v>46230.422438333335</v>
      </c>
      <c r="B1444" s="1" t="s">
        <v>150</v>
      </c>
      <c r="C1444" s="1" t="s">
        <v>261</v>
      </c>
      <c r="D1444" s="1" t="s">
        <v>130</v>
      </c>
      <c r="E1444" s="1" t="s">
        <v>165</v>
      </c>
      <c r="F1444" s="111" t="b">
        <v>1</v>
      </c>
      <c r="G1444" s="111" t="b">
        <v>1</v>
      </c>
      <c r="H1444" s="111" t="b">
        <v>1</v>
      </c>
      <c r="I1444" s="1" t="s">
        <v>95</v>
      </c>
      <c r="J1444" s="1"/>
      <c r="K1444" s="1"/>
      <c r="L1444" s="1"/>
    </row>
    <row r="1445">
      <c r="A1445" s="110">
        <v>46230.4396987963</v>
      </c>
      <c r="B1445" s="1" t="s">
        <v>150</v>
      </c>
      <c r="C1445" s="1" t="s">
        <v>183</v>
      </c>
      <c r="D1445" s="129" t="s">
        <v>139</v>
      </c>
      <c r="E1445" s="1" t="s">
        <v>436</v>
      </c>
      <c r="F1445" s="111" t="b">
        <v>1</v>
      </c>
      <c r="G1445" s="111" t="b">
        <v>1</v>
      </c>
      <c r="H1445" s="111" t="b">
        <v>1</v>
      </c>
      <c r="I1445" s="1" t="s">
        <v>95</v>
      </c>
      <c r="J1445" s="1"/>
      <c r="K1445" s="1"/>
      <c r="L1445" s="1"/>
    </row>
    <row r="1446">
      <c r="A1446" s="110">
        <v>46230.445394780094</v>
      </c>
      <c r="B1446" s="1" t="s">
        <v>242</v>
      </c>
      <c r="C1446" s="1" t="s">
        <v>272</v>
      </c>
      <c r="D1446" s="1" t="s">
        <v>130</v>
      </c>
      <c r="E1446" s="1"/>
      <c r="F1446" s="111" t="b">
        <v>1</v>
      </c>
      <c r="G1446" s="111" t="b">
        <v>1</v>
      </c>
      <c r="H1446" s="111" t="b">
        <v>1</v>
      </c>
      <c r="I1446" s="1" t="s">
        <v>79</v>
      </c>
      <c r="J1446" s="1"/>
      <c r="K1446" s="1"/>
      <c r="L1446" s="1"/>
    </row>
    <row r="1447">
      <c r="A1447" s="110">
        <v>46230.467998935186</v>
      </c>
      <c r="B1447" s="1" t="s">
        <v>150</v>
      </c>
      <c r="C1447" s="1" t="s">
        <v>269</v>
      </c>
      <c r="D1447" s="129" t="s">
        <v>139</v>
      </c>
      <c r="E1447" s="1" t="s">
        <v>437</v>
      </c>
      <c r="F1447" s="111" t="b">
        <v>1</v>
      </c>
      <c r="G1447" s="1"/>
      <c r="H1447" s="111" t="b">
        <v>1</v>
      </c>
      <c r="I1447" s="1"/>
      <c r="J1447" s="1"/>
      <c r="K1447" s="1"/>
      <c r="L1447" s="1"/>
    </row>
    <row r="1448">
      <c r="A1448" s="110">
        <v>46230.469768518524</v>
      </c>
      <c r="B1448" s="1" t="s">
        <v>267</v>
      </c>
      <c r="C1448" s="1" t="s">
        <v>141</v>
      </c>
      <c r="D1448" s="1" t="s">
        <v>130</v>
      </c>
      <c r="E1448" s="1" t="s">
        <v>268</v>
      </c>
      <c r="F1448" s="111" t="b">
        <v>1</v>
      </c>
      <c r="G1448" s="1"/>
      <c r="H1448" s="111" t="b">
        <v>1</v>
      </c>
      <c r="I1448" s="1"/>
      <c r="J1448" s="1"/>
      <c r="K1448" s="1"/>
      <c r="L1448" s="1"/>
    </row>
    <row r="1449">
      <c r="A1449" s="110">
        <v>46230.47252167824</v>
      </c>
      <c r="B1449" s="1" t="s">
        <v>261</v>
      </c>
      <c r="C1449" s="1" t="s">
        <v>242</v>
      </c>
      <c r="D1449" s="129" t="s">
        <v>139</v>
      </c>
      <c r="E1449" s="1" t="s">
        <v>192</v>
      </c>
      <c r="F1449" s="111" t="b">
        <v>1</v>
      </c>
      <c r="G1449" s="111" t="b">
        <v>1</v>
      </c>
      <c r="H1449" s="111" t="b">
        <v>1</v>
      </c>
      <c r="I1449" s="1" t="s">
        <v>99</v>
      </c>
      <c r="J1449" s="1"/>
      <c r="K1449" s="1"/>
      <c r="L1449" s="1"/>
    </row>
    <row r="1450">
      <c r="A1450" s="110">
        <v>46230.48510334491</v>
      </c>
      <c r="B1450" s="1" t="s">
        <v>226</v>
      </c>
      <c r="C1450" s="1" t="s">
        <v>183</v>
      </c>
      <c r="D1450" s="129" t="s">
        <v>139</v>
      </c>
      <c r="E1450" s="1" t="s">
        <v>268</v>
      </c>
      <c r="F1450" s="111" t="b">
        <v>1</v>
      </c>
      <c r="G1450" s="111" t="b">
        <v>1</v>
      </c>
      <c r="H1450" s="111" t="b">
        <v>1</v>
      </c>
      <c r="I1450" s="1" t="s">
        <v>93</v>
      </c>
      <c r="J1450" s="1"/>
      <c r="K1450" s="1"/>
      <c r="L1450" s="1"/>
    </row>
    <row r="1451">
      <c r="A1451" s="110">
        <v>46230.488191956014</v>
      </c>
      <c r="B1451" s="1" t="s">
        <v>150</v>
      </c>
      <c r="C1451" s="1" t="s">
        <v>143</v>
      </c>
      <c r="D1451" s="1" t="s">
        <v>130</v>
      </c>
      <c r="E1451" s="1" t="s">
        <v>438</v>
      </c>
      <c r="F1451" s="111" t="b">
        <v>1</v>
      </c>
      <c r="G1451" s="111" t="b">
        <v>1</v>
      </c>
      <c r="H1451" s="111" t="b">
        <v>1</v>
      </c>
      <c r="I1451" s="1" t="s">
        <v>83</v>
      </c>
      <c r="J1451" s="1"/>
      <c r="K1451" s="1"/>
      <c r="L1451" s="1"/>
    </row>
    <row r="1452">
      <c r="A1452" s="110">
        <v>46230.52227581019</v>
      </c>
      <c r="B1452" s="1" t="s">
        <v>261</v>
      </c>
      <c r="C1452" s="1" t="s">
        <v>226</v>
      </c>
      <c r="D1452" s="129" t="s">
        <v>139</v>
      </c>
      <c r="E1452" s="1" t="s">
        <v>192</v>
      </c>
      <c r="F1452" s="111" t="b">
        <v>1</v>
      </c>
      <c r="G1452" s="111" t="b">
        <v>1</v>
      </c>
      <c r="H1452" s="111" t="b">
        <v>1</v>
      </c>
      <c r="I1452" s="1" t="s">
        <v>98</v>
      </c>
      <c r="J1452" s="1"/>
      <c r="K1452" s="1"/>
      <c r="L1452" s="1"/>
    </row>
    <row r="1453">
      <c r="A1453" s="110">
        <v>46230.53902304398</v>
      </c>
      <c r="B1453" s="1" t="s">
        <v>150</v>
      </c>
      <c r="C1453" s="1" t="s">
        <v>302</v>
      </c>
      <c r="D1453" s="1" t="s">
        <v>130</v>
      </c>
      <c r="E1453" s="1" t="s">
        <v>439</v>
      </c>
      <c r="F1453" s="111" t="b">
        <v>1</v>
      </c>
      <c r="G1453" s="111" t="b">
        <v>1</v>
      </c>
      <c r="H1453" s="111" t="b">
        <v>1</v>
      </c>
      <c r="I1453" s="1" t="s">
        <v>97</v>
      </c>
      <c r="J1453" s="1"/>
      <c r="K1453" s="1"/>
      <c r="L1453" s="1"/>
    </row>
    <row r="1454">
      <c r="A1454" s="110">
        <v>46230.56330599537</v>
      </c>
      <c r="B1454" s="1" t="s">
        <v>321</v>
      </c>
      <c r="C1454" s="1" t="s">
        <v>242</v>
      </c>
      <c r="D1454" s="1" t="s">
        <v>130</v>
      </c>
      <c r="E1454" s="1"/>
      <c r="F1454" s="111" t="b">
        <v>1</v>
      </c>
      <c r="G1454" s="111" t="b">
        <v>1</v>
      </c>
      <c r="H1454" s="111" t="b">
        <v>1</v>
      </c>
      <c r="I1454" s="1" t="s">
        <v>97</v>
      </c>
      <c r="J1454" s="1"/>
      <c r="K1454" s="1"/>
      <c r="L1454" s="1"/>
    </row>
    <row r="1455">
      <c r="A1455" s="102"/>
    </row>
    <row r="1456">
      <c r="A1456" s="102"/>
    </row>
    <row r="1457">
      <c r="A1457" s="102"/>
    </row>
    <row r="1458">
      <c r="A1458" s="102"/>
    </row>
    <row r="1459">
      <c r="A1459" s="102"/>
    </row>
    <row r="1460">
      <c r="A1460" s="102"/>
    </row>
    <row r="1461">
      <c r="A1461" s="102"/>
    </row>
    <row r="1462">
      <c r="A1462" s="102"/>
    </row>
    <row r="1463">
      <c r="A1463" s="102"/>
    </row>
    <row r="1464">
      <c r="A1464" s="102"/>
    </row>
    <row r="1465">
      <c r="A1465" s="102"/>
    </row>
    <row r="1466">
      <c r="A1466" s="102"/>
    </row>
    <row r="1467">
      <c r="A1467" s="102"/>
    </row>
    <row r="1468">
      <c r="A1468" s="102"/>
    </row>
    <row r="1469">
      <c r="A1469" s="102"/>
    </row>
    <row r="1470">
      <c r="A1470" s="102"/>
    </row>
    <row r="1471">
      <c r="A1471" s="102"/>
    </row>
    <row r="1472">
      <c r="A1472" s="102"/>
    </row>
    <row r="1473">
      <c r="A1473" s="102"/>
    </row>
    <row r="1474">
      <c r="A1474" s="102"/>
    </row>
    <row r="1475">
      <c r="A1475" s="102"/>
    </row>
    <row r="1476">
      <c r="A1476" s="102"/>
    </row>
    <row r="1477">
      <c r="A1477" s="102"/>
    </row>
    <row r="1478">
      <c r="A1478" s="102"/>
    </row>
    <row r="1479">
      <c r="A1479" s="102"/>
    </row>
    <row r="1480">
      <c r="A1480" s="102"/>
    </row>
    <row r="1481">
      <c r="A1481" s="102"/>
    </row>
    <row r="1482">
      <c r="A1482" s="10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0"/>
    <col customWidth="1" min="2" max="2" width="27.88"/>
    <col customWidth="1" min="3" max="3" width="11.75"/>
    <col customWidth="1" min="4" max="4" width="19.75"/>
    <col customWidth="1" min="5" max="5" width="19.13"/>
    <col customWidth="1" min="8" max="8" width="13.5"/>
    <col customWidth="1" min="9" max="9" width="6.25"/>
    <col customWidth="1" min="10" max="10" width="6.63"/>
    <col customWidth="1" min="11" max="11" width="7.25"/>
    <col customWidth="1" min="12" max="12" width="11.38"/>
    <col customWidth="1" min="18" max="18" width="15.63"/>
    <col customWidth="1" min="19" max="19" width="15.0"/>
    <col customWidth="1" min="20" max="20" width="15.63"/>
    <col customWidth="1" min="25" max="25" width="14.13"/>
    <col customWidth="1" min="30" max="31" width="13.63"/>
  </cols>
  <sheetData>
    <row r="1">
      <c r="A1" s="114" t="str">
        <f t="shared" ref="A1:A173" si="1">V1</f>
        <v>Rank</v>
      </c>
      <c r="B1" s="115" t="s">
        <v>355</v>
      </c>
      <c r="C1" s="115" t="s">
        <v>356</v>
      </c>
      <c r="D1" s="115" t="s">
        <v>357</v>
      </c>
      <c r="E1" s="115" t="s">
        <v>358</v>
      </c>
      <c r="F1" s="115" t="s">
        <v>359</v>
      </c>
      <c r="G1" s="115" t="s">
        <v>360</v>
      </c>
      <c r="H1" s="115" t="s">
        <v>361</v>
      </c>
      <c r="I1" s="115" t="s">
        <v>362</v>
      </c>
      <c r="J1" s="115" t="s">
        <v>363</v>
      </c>
      <c r="K1" s="115" t="s">
        <v>364</v>
      </c>
      <c r="L1" s="115" t="s">
        <v>365</v>
      </c>
      <c r="M1" s="114" t="s">
        <v>366</v>
      </c>
      <c r="N1" s="114" t="s">
        <v>367</v>
      </c>
      <c r="O1" s="116" t="s">
        <v>15</v>
      </c>
      <c r="P1" s="116" t="s">
        <v>16</v>
      </c>
      <c r="Q1" s="115" t="s">
        <v>368</v>
      </c>
      <c r="R1" s="115" t="s">
        <v>369</v>
      </c>
      <c r="S1" s="114" t="s">
        <v>370</v>
      </c>
      <c r="T1" s="115" t="s">
        <v>371</v>
      </c>
      <c r="U1" s="114" t="s">
        <v>17</v>
      </c>
      <c r="V1" s="114" t="s">
        <v>372</v>
      </c>
      <c r="W1" s="116" t="s">
        <v>19</v>
      </c>
      <c r="X1" s="116" t="s">
        <v>373</v>
      </c>
      <c r="Y1" s="115" t="s">
        <v>374</v>
      </c>
      <c r="Z1" s="115" t="s">
        <v>375</v>
      </c>
      <c r="AA1" s="115" t="s">
        <v>126</v>
      </c>
      <c r="AB1" s="115" t="s">
        <v>376</v>
      </c>
      <c r="AC1" s="115" t="s">
        <v>377</v>
      </c>
      <c r="AD1" s="115" t="s">
        <v>378</v>
      </c>
      <c r="AE1" s="117" t="s">
        <v>379</v>
      </c>
    </row>
    <row r="2">
      <c r="A2" s="104">
        <f t="shared" si="1"/>
        <v>1</v>
      </c>
      <c r="B2" s="72" t="str">
        <f>IFERROR(__xludf.DUMMYFUNCTION("IMPORTRANGE(""https://docs.google.com/spreadsheets/d/1PKWsvZUa53oRU_uuGf9zuQSdeVT0-tWqBynvAG0IkkY/edit?gid=650541920#gid=650541920"",""MSHWorksheet!O02:O300"")"),"#REF!")</f>
        <v>#REF!</v>
      </c>
      <c r="C2" s="74" t="str">
        <f>IFERROR(__xludf.DUMMYFUNCTION("IMPORTRANGE(""https://docs.google.com/spreadsheets/d/1PKWsvZUa53oRU_uuGf9zuQSdeVT0-tWqBynvAG0IkkY"",""MSHWorksheet!N02:N300"")"),"#REF!")</f>
        <v>#REF!</v>
      </c>
      <c r="D2" s="74" t="str">
        <f>IFERROR(__xludf.DUMMYFUNCTION("IMPORTRANGE(""https://docs.google.com/spreadsheets/d/1PKWsvZUa53oRU_uuGf9zuQSdeVT0-tWqBynvAG0IkkY"",""MSHWorksheet!G02:G300"")"),"#REF!")</f>
        <v>#REF!</v>
      </c>
      <c r="E2" s="1" t="str">
        <f>IFERROR(__xludf.DUMMYFUNCTION("IMPORTRANGE(""https://docs.google.com/spreadsheets/d/1PKWsvZUa53oRU_uuGf9zuQSdeVT0-tWqBynvAG0IkkY"",""MSHWorksheet!E02:E300"")"),"#REF!")</f>
        <v>#REF!</v>
      </c>
      <c r="F2" s="1" t="str">
        <f>IFERROR(__xludf.DUMMYFUNCTION("IMPORTRANGE(""https://docs.google.com/spreadsheets/d/1PKWsvZUa53oRU_uuGf9zuQSdeVT0-tWqBynvAG0IkkY"",""MSHWorksheet!D02:D300"")"),"#REF!")</f>
        <v>#REF!</v>
      </c>
      <c r="G2" s="1" t="str">
        <f>IFERROR(__xludf.DUMMYFUNCTION("IMPORTRANGE(""https://docs.google.com/spreadsheets/d/1PKWsvZUa53oRU_uuGf9zuQSdeVT0-tWqBynvAG0IkkY"",""MSHWorksheet!F2:F300"")"),"#REF!")</f>
        <v>#REF!</v>
      </c>
      <c r="H2" s="118">
        <f>COUNTIF(Entropy!$D:$D,$B2)+COUNTIF(Matches!$B:$B,$B2)+COUNTIF(Matches!$C:$C,$B2)</f>
        <v>0</v>
      </c>
      <c r="I2" s="119">
        <f>COUNTIF(Matches!$B:$B,B2)</f>
        <v>0</v>
      </c>
      <c r="J2" s="31">
        <f t="shared" ref="J2:J173" si="2">H2-I2</f>
        <v>0</v>
      </c>
      <c r="K2" s="1" t="str">
        <f t="shared" ref="K2:K173" si="3">CONCATENATE(I2," - ",J2)</f>
        <v>0 - 0</v>
      </c>
      <c r="L2" s="120">
        <f>COUNTIF(Entropy!$D:$D,$B2)</f>
        <v>0</v>
      </c>
      <c r="M2" s="121">
        <f t="shared" ref="M2:M173" si="4">IF($I2=0,-$J2,$I2/$H2)</f>
        <v>0</v>
      </c>
      <c r="N2" s="121">
        <f t="shared" ref="N2:N173" si="5">IF($I2=0,0,$I2/($H2-L2))</f>
        <v>0</v>
      </c>
      <c r="O2" s="118">
        <f>IF($J2=11,0,IF(AND($H2 &gt;=VLOOKUP('Combined Standings'!$C$2,Quotas!$A$7:$E$14,4,FALSE), $H2&lt;=VLOOKUP('Combined Standings'!$C$2,Quotas!$A$7:$E$14,5,FALSE)), 0,VLOOKUP('Combined Standings'!$C$2,Quotas!$A$7:$E$11,4,FALSE)-$H2))</f>
        <v>13</v>
      </c>
      <c r="P2" s="118">
        <f>IF($J2=11,0,IF(AND($H2 &gt;=VLOOKUP('Combined Standings'!$C$2,Quotas!$A$7:$E$14,5,FALSE), $H2&lt;=VLOOKUP('Combined Standings'!$C$2,Quotas!$A$7:$E$14,5,FALSE)), 0,VLOOKUP('Combined Standings'!$C$2,Quotas!$A$7:$E$11,5,FALSE)-$H2))</f>
        <v>15</v>
      </c>
      <c r="Q2" s="31">
        <f t="shared" ref="Q2:Q173" si="6">MIN(11-J2,30-H2)</f>
        <v>11</v>
      </c>
      <c r="R2" s="122" t="str">
        <f t="shared" ref="R2:R173" si="7">B2</f>
        <v>#REF!</v>
      </c>
      <c r="S2" s="121">
        <f t="shared" ref="S2:S173" si="8">MAX(N2, 0.33)</f>
        <v>0.33</v>
      </c>
      <c r="T2" s="122" t="str">
        <f>IFERROR(__xludf.DUMMYFUNCTION("JOIN("","",IFERROR(FILTER(Matches!$B:$B,B2=Matches!$C:$C),""""),IFERROR(FILTER(Matches!$C:$C,B2=Matches!$B:$B),""""))"),",")</f>
        <v>,</v>
      </c>
      <c r="U2" s="121">
        <f>IFERROR(__xludf.DUMMYFUNCTION("iferror(AVERAGE(ARRAYFORMULA(VLOOKUP(SPLIT(T2,"","",TRUE,TRUE),$R$2:$S1000,2,FALSE))),0)"),0.0)</f>
        <v>0</v>
      </c>
      <c r="V2" s="123">
        <f>IFERROR(__xludf.DUMMYFUNCTION("RANK($I2, $I$2:$I1000, FALSE) + RANK($M2, Filter($M$2:$M1000, $I$2:$I1000=$I2),FALSE)+RANK($U2, Filter($U$2:$U1000, $I$2:$I1000=$I2,$M$2:$M1000=$M2),FALSE)-2"),1.0)</f>
        <v>1</v>
      </c>
      <c r="W2" s="124" t="str">
        <f t="shared" ref="W2:W173" si="9">IFs(J2=11,"Eliminated",O2&gt;0,"Underplay",P2=0,"Maxed out",P2&lt;0,"Overplay",AND(O2=0,P2&gt;0),"Can play")</f>
        <v>Underplay</v>
      </c>
      <c r="X2" s="125" t="str">
        <f t="shared" ref="X2:X173" si="10">IF(J2&gt;=11, "Eliminated","")</f>
        <v/>
      </c>
      <c r="Y2" s="126">
        <f>MAXIFS(Matches!$A:$A,Matches!$C:$C,$B2)</f>
        <v>0</v>
      </c>
      <c r="Z2" s="126">
        <f t="array" ref="Z2">XLOOKUP(Y2,Quotas!$B$7:$B$10,Quotas!$A$7:$A$10,0,-1)</f>
        <v>0</v>
      </c>
      <c r="AB2" s="31"/>
      <c r="AC2" s="31">
        <f>COUNTIFS(Matches!$A:$A,"&gt;"&amp;Y2,Matches!$B:$B,$B2)</f>
        <v>0</v>
      </c>
      <c r="AD2" s="31"/>
      <c r="AE2" s="127">
        <f>SUMIF('Pool Changes'!B:B, B2, 'Pool Changes'!H:H)</f>
        <v>0</v>
      </c>
    </row>
    <row r="3">
      <c r="A3" s="104">
        <f t="shared" si="1"/>
        <v>1</v>
      </c>
      <c r="C3" s="128"/>
      <c r="D3" s="74"/>
      <c r="E3" s="1"/>
      <c r="F3" s="1"/>
      <c r="G3" s="1"/>
      <c r="H3" s="118">
        <f>COUNTIF(Entropy!$D:$D,$B3)+COUNTIF(Matches!$B:$B,$B3)+COUNTIF(Matches!$C:$C,$B3)</f>
        <v>0</v>
      </c>
      <c r="I3" s="119">
        <f>COUNTIF(Matches!$B:$B,B3)</f>
        <v>0</v>
      </c>
      <c r="J3" s="31">
        <f t="shared" si="2"/>
        <v>0</v>
      </c>
      <c r="K3" s="1" t="str">
        <f t="shared" si="3"/>
        <v>0 - 0</v>
      </c>
      <c r="L3" s="120">
        <f>COUNTIF(Entropy!$D:$D,$B3)</f>
        <v>0</v>
      </c>
      <c r="M3" s="121">
        <f t="shared" si="4"/>
        <v>0</v>
      </c>
      <c r="N3" s="121">
        <f t="shared" si="5"/>
        <v>0</v>
      </c>
      <c r="O3" s="118">
        <f>IF($J3=11,0,IF(AND($H3 &gt;=VLOOKUP('Combined Standings'!$C$2,Quotas!$A$7:$E$14,4,FALSE), $H3&lt;=VLOOKUP('Combined Standings'!$C$2,Quotas!$A$7:$E$14,5,FALSE)), 0,VLOOKUP('Combined Standings'!$C$2,Quotas!$A$7:$E$11,4,FALSE)-$H3))</f>
        <v>13</v>
      </c>
      <c r="P3" s="118">
        <f>IF($J3=11,0,IF(AND($H3 &gt;=VLOOKUP('Combined Standings'!$C$2,Quotas!$A$7:$E$14,5,FALSE), $H3&lt;=VLOOKUP('Combined Standings'!$C$2,Quotas!$A$7:$E$14,5,FALSE)), 0,VLOOKUP('Combined Standings'!$C$2,Quotas!$A$7:$E$11,5,FALSE)-$H3))</f>
        <v>15</v>
      </c>
      <c r="Q3" s="31">
        <f t="shared" si="6"/>
        <v>11</v>
      </c>
      <c r="R3" s="122" t="str">
        <f t="shared" si="7"/>
        <v/>
      </c>
      <c r="S3" s="121">
        <f t="shared" si="8"/>
        <v>0.33</v>
      </c>
      <c r="T3" s="122" t="str">
        <f>IFERROR(__xludf.DUMMYFUNCTION("JOIN("","",IFERROR(FILTER(Matches!$B:$B,B3=Matches!$C:$C),""""),IFERROR(FILTER(Matches!$C:$C,B3=Matches!$B:$B),""""))"),",,,,,,,,,,,,,,,,,,,,,,,,,,,,,,,,,,,,,,,,,,,,,,,,,,,,,,,,,,,,,,,,,,,,,,,,,,,,,,,,,,,,,,,,,,,,,,,,,,,,,,,,,,,,,,,,,,,,,,,,,,,,,,,,,,,,,,,,,,,,,,,,,,,,,,,,,,,,,,,,,,,,,,,,,,,,,,,,,,,,,,,,,,,,,,,,,,,,,,,,,,,,,,,,,,,,,,,,,,,,,,,,,,,,,,,,,,,,,,,,,,,,,,,,,,,,,,,")</f>
        <v>,,,,,,,,,,,,,,,,,,,,,,,,,,,,,,,,,,,,,,,,,,,,,,,,,,,,,,,,,,,,,,,,,,,,,,,,,,,,,,,,,,,,,,,,,,,,,,,,,,,,,,,,,,,,,,,,,,,,,,,,,,,,,,,,,,,,,,,,,,,,,,,,,,,,,,,,,,,,,,,,,,,,,,,,,,,,,,,,,,,,,,,,,,,,,,,,,,,,,,,,,,,,,,,,,,,,,,,,,,,,,,,,,,,,,,,,,,,,,,,,,,,,,,,,,,,,,,,</v>
      </c>
      <c r="U3" s="121">
        <f>IFERROR(__xludf.DUMMYFUNCTION("iferror(AVERAGE(ARRAYFORMULA(VLOOKUP(SPLIT(T3,"","",TRUE,TRUE),$R$2:$S1000,2,FALSE))),0)"),0.0)</f>
        <v>0</v>
      </c>
      <c r="V3" s="123">
        <f>IFERROR(__xludf.DUMMYFUNCTION("RANK($I3, $I$2:$I1000, FALSE) + RANK($M3, Filter($M$2:$M1000, $I$2:$I1000=$I3),FALSE)+RANK($U3, Filter($U$2:$U1000, $I$2:$I1000=$I3,$M$2:$M1000=$M3),FALSE)-2"),1.0)</f>
        <v>1</v>
      </c>
      <c r="W3" s="124" t="str">
        <f t="shared" si="9"/>
        <v>Underplay</v>
      </c>
      <c r="X3" s="125" t="str">
        <f t="shared" si="10"/>
        <v/>
      </c>
      <c r="Y3" s="126">
        <f>MAXIFS(Matches!$A:$A,Matches!$C:$C,$B3)</f>
        <v>0</v>
      </c>
      <c r="Z3" s="126">
        <f t="array" ref="Z3">XLOOKUP(Y3,Quotas!$B$7:$B$10,Quotas!$A$7:$A$10,0,-1)</f>
        <v>0</v>
      </c>
      <c r="AB3" s="31"/>
      <c r="AC3" s="31">
        <f>COUNTIFS(Matches!$A:$A,"&gt;"&amp;Y3,Matches!$B:$B,$B3)</f>
        <v>0</v>
      </c>
      <c r="AD3" s="31"/>
      <c r="AE3" s="127">
        <f>SUMIF('Pool Changes'!B:B, B3, 'Pool Changes'!H:H)</f>
        <v>0</v>
      </c>
    </row>
    <row r="4">
      <c r="A4" s="104">
        <f t="shared" si="1"/>
        <v>1</v>
      </c>
      <c r="C4" s="128"/>
      <c r="D4" s="74"/>
      <c r="E4" s="1"/>
      <c r="F4" s="1"/>
      <c r="G4" s="1"/>
      <c r="H4" s="118">
        <f>COUNTIF(Entropy!$D:$D,$B4)+COUNTIF(Matches!$B:$B,$B4)+COUNTIF(Matches!$C:$C,$B4)</f>
        <v>0</v>
      </c>
      <c r="I4" s="119">
        <f>COUNTIF(Matches!$B:$B,B4)</f>
        <v>0</v>
      </c>
      <c r="J4" s="31">
        <f t="shared" si="2"/>
        <v>0</v>
      </c>
      <c r="K4" s="1" t="str">
        <f t="shared" si="3"/>
        <v>0 - 0</v>
      </c>
      <c r="L4" s="120">
        <f>COUNTIF(Entropy!$D:$D,$B4)</f>
        <v>0</v>
      </c>
      <c r="M4" s="121">
        <f t="shared" si="4"/>
        <v>0</v>
      </c>
      <c r="N4" s="121">
        <f t="shared" si="5"/>
        <v>0</v>
      </c>
      <c r="O4" s="118">
        <f>IF($J4=11,0,IF(AND($H4 &gt;=VLOOKUP('Combined Standings'!$C$2,Quotas!$A$7:$E$14,4,FALSE), $H4&lt;=VLOOKUP('Combined Standings'!$C$2,Quotas!$A$7:$E$14,5,FALSE)), 0,VLOOKUP('Combined Standings'!$C$2,Quotas!$A$7:$E$11,4,FALSE)-$H4))</f>
        <v>13</v>
      </c>
      <c r="P4" s="118">
        <f>IF($J4=11,0,IF(AND($H4 &gt;=VLOOKUP('Combined Standings'!$C$2,Quotas!$A$7:$E$14,5,FALSE), $H4&lt;=VLOOKUP('Combined Standings'!$C$2,Quotas!$A$7:$E$14,5,FALSE)), 0,VLOOKUP('Combined Standings'!$C$2,Quotas!$A$7:$E$11,5,FALSE)-$H4))</f>
        <v>15</v>
      </c>
      <c r="Q4" s="31">
        <f t="shared" si="6"/>
        <v>11</v>
      </c>
      <c r="R4" s="122" t="str">
        <f t="shared" si="7"/>
        <v/>
      </c>
      <c r="S4" s="121">
        <f t="shared" si="8"/>
        <v>0.33</v>
      </c>
      <c r="T4" s="122" t="str">
        <f>IFERROR(__xludf.DUMMYFUNCTION("JOIN("","",IFERROR(FILTER(Matches!$B:$B,B4=Matches!$C:$C),""""),IFERROR(FILTER(Matches!$C:$C,B4=Matches!$B:$B),""""))"),",,,,,,,,,,,,,,,,,,,,,,,,,,,,,,,,,,,,,,,,,,,,,,,,,,,,,,,,,,,,,,,,,,,,,,,,,,,,,,,,,,,,,,,,,,,,,,,,,,,,,,,,,,,,,,,,,,,,,,,,,,,,,,,,,,,,,,,,,,,,,,,,,,,,,,,,,,,,,,,,,,,,,,,,,,,,,,,,,,,,,,,,,,,,,,,,,,,,,,,,,,,,,,,,,,,,,,,,,,,,,,,,,,,,,,,,,,,,,,,,,,,,,,,,,,,,,,,")</f>
        <v>,,,,,,,,,,,,,,,,,,,,,,,,,,,,,,,,,,,,,,,,,,,,,,,,,,,,,,,,,,,,,,,,,,,,,,,,,,,,,,,,,,,,,,,,,,,,,,,,,,,,,,,,,,,,,,,,,,,,,,,,,,,,,,,,,,,,,,,,,,,,,,,,,,,,,,,,,,,,,,,,,,,,,,,,,,,,,,,,,,,,,,,,,,,,,,,,,,,,,,,,,,,,,,,,,,,,,,,,,,,,,,,,,,,,,,,,,,,,,,,,,,,,,,,,,,,,,,,</v>
      </c>
      <c r="U4" s="121">
        <f>IFERROR(__xludf.DUMMYFUNCTION("iferror(AVERAGE(ARRAYFORMULA(VLOOKUP(SPLIT(T4,"","",TRUE,TRUE),$R$2:$S1000,2,FALSE))),0)"),0.0)</f>
        <v>0</v>
      </c>
      <c r="V4" s="123">
        <f>IFERROR(__xludf.DUMMYFUNCTION("RANK($I4, $I$2:$I1000, FALSE) + RANK($M4, Filter($M$2:$M1000, $I$2:$I1000=$I4),FALSE)+RANK($U4, Filter($U$2:$U1000, $I$2:$I1000=$I4,$M$2:$M1000=$M4),FALSE)-2"),1.0)</f>
        <v>1</v>
      </c>
      <c r="W4" s="124" t="str">
        <f t="shared" si="9"/>
        <v>Underplay</v>
      </c>
      <c r="X4" s="125" t="str">
        <f t="shared" si="10"/>
        <v/>
      </c>
      <c r="Y4" s="126">
        <f>MAXIFS(Matches!$A:$A,Matches!$C:$C,$B4)</f>
        <v>0</v>
      </c>
      <c r="Z4" s="126">
        <f t="array" ref="Z4">XLOOKUP(Y4,Quotas!$B$7:$B$10,Quotas!$A$7:$A$10,0,-1)</f>
        <v>0</v>
      </c>
      <c r="AB4" s="31"/>
      <c r="AC4" s="31">
        <f>COUNTIFS(Matches!$A:$A,"&gt;"&amp;Y4,Matches!$B:$B,$B4)</f>
        <v>0</v>
      </c>
      <c r="AD4" s="31"/>
      <c r="AE4" s="127">
        <f>SUMIF('Pool Changes'!B:B, B4, 'Pool Changes'!H:H)</f>
        <v>0</v>
      </c>
    </row>
    <row r="5">
      <c r="A5" s="104">
        <f t="shared" si="1"/>
        <v>1</v>
      </c>
      <c r="C5" s="128"/>
      <c r="D5" s="74"/>
      <c r="E5" s="1"/>
      <c r="F5" s="1"/>
      <c r="G5" s="1"/>
      <c r="H5" s="118">
        <f>COUNTIF(Entropy!$D:$D,$B5)+COUNTIF(Matches!$B:$B,$B5)+COUNTIF(Matches!$C:$C,$B5)</f>
        <v>0</v>
      </c>
      <c r="I5" s="119">
        <f>COUNTIF(Matches!$B:$B,B5)</f>
        <v>0</v>
      </c>
      <c r="J5" s="31">
        <f t="shared" si="2"/>
        <v>0</v>
      </c>
      <c r="K5" s="1" t="str">
        <f t="shared" si="3"/>
        <v>0 - 0</v>
      </c>
      <c r="L5" s="120">
        <f>COUNTIF(Entropy!$D:$D,$B5)</f>
        <v>0</v>
      </c>
      <c r="M5" s="121">
        <f t="shared" si="4"/>
        <v>0</v>
      </c>
      <c r="N5" s="121">
        <f t="shared" si="5"/>
        <v>0</v>
      </c>
      <c r="O5" s="118">
        <f>IF($J5=11,0,IF(AND($H5 &gt;=VLOOKUP('Combined Standings'!$C$2,Quotas!$A$7:$E$14,4,FALSE), $H5&lt;=VLOOKUP('Combined Standings'!$C$2,Quotas!$A$7:$E$14,5,FALSE)), 0,VLOOKUP('Combined Standings'!$C$2,Quotas!$A$7:$E$11,4,FALSE)-$H5))</f>
        <v>13</v>
      </c>
      <c r="P5" s="118">
        <f>IF($J5=11,0,IF(AND($H5 &gt;=VLOOKUP('Combined Standings'!$C$2,Quotas!$A$7:$E$14,5,FALSE), $H5&lt;=VLOOKUP('Combined Standings'!$C$2,Quotas!$A$7:$E$14,5,FALSE)), 0,VLOOKUP('Combined Standings'!$C$2,Quotas!$A$7:$E$11,5,FALSE)-$H5))</f>
        <v>15</v>
      </c>
      <c r="Q5" s="31">
        <f t="shared" si="6"/>
        <v>11</v>
      </c>
      <c r="R5" s="122" t="str">
        <f t="shared" si="7"/>
        <v/>
      </c>
      <c r="S5" s="121">
        <f t="shared" si="8"/>
        <v>0.33</v>
      </c>
      <c r="T5" s="122" t="str">
        <f>IFERROR(__xludf.DUMMYFUNCTION("JOIN("","",IFERROR(FILTER(Matches!$B:$B,B5=Matches!$C:$C),""""),IFERROR(FILTER(Matches!$C:$C,B5=Matches!$B:$B),""""))"),",,,,,,,,,,,,,,,,,,,,,,,,,,,,,,,,,,,,,,,,,,,,,,,,,,,,,,,,,,,,,,,,,,,,,,,,,,,,,,,,,,,,,,,,,,,,,,,,,,,,,,,,,,,,,,,,,,,,,,,,,,,,,,,,,,,,,,,,,,,,,,,,,,,,,,,,,,,,,,,,,,,,,,,,,,,,,,,,,,,,,,,,,,,,,,,,,,,,,,,,,,,,,,,,,,,,,,,,,,,,,,,,,,,,,,,,,,,,,,,,,,,,,,,,,,,,,,,")</f>
        <v>,,,,,,,,,,,,,,,,,,,,,,,,,,,,,,,,,,,,,,,,,,,,,,,,,,,,,,,,,,,,,,,,,,,,,,,,,,,,,,,,,,,,,,,,,,,,,,,,,,,,,,,,,,,,,,,,,,,,,,,,,,,,,,,,,,,,,,,,,,,,,,,,,,,,,,,,,,,,,,,,,,,,,,,,,,,,,,,,,,,,,,,,,,,,,,,,,,,,,,,,,,,,,,,,,,,,,,,,,,,,,,,,,,,,,,,,,,,,,,,,,,,,,,,,,,,,,,,</v>
      </c>
      <c r="U5" s="121">
        <f>IFERROR(__xludf.DUMMYFUNCTION("iferror(AVERAGE(ARRAYFORMULA(VLOOKUP(SPLIT(T5,"","",TRUE,TRUE),$R$2:$S1000,2,FALSE))),0)"),0.0)</f>
        <v>0</v>
      </c>
      <c r="V5" s="123">
        <f>IFERROR(__xludf.DUMMYFUNCTION("RANK($I5, $I$2:$I1000, FALSE) + RANK($M5, Filter($M$2:$M1000, $I$2:$I1000=$I5),FALSE)+RANK($U5, Filter($U$2:$U1000, $I$2:$I1000=$I5,$M$2:$M1000=$M5),FALSE)-2"),1.0)</f>
        <v>1</v>
      </c>
      <c r="W5" s="124" t="str">
        <f t="shared" si="9"/>
        <v>Underplay</v>
      </c>
      <c r="X5" s="125" t="str">
        <f t="shared" si="10"/>
        <v/>
      </c>
      <c r="Y5" s="126">
        <f>MAXIFS(Matches!$A:$A,Matches!$C:$C,$B5)</f>
        <v>0</v>
      </c>
      <c r="Z5" s="126">
        <f t="array" ref="Z5">XLOOKUP(Y5,Quotas!$B$7:$B$10,Quotas!$A$7:$A$10,0,-1)</f>
        <v>0</v>
      </c>
      <c r="AB5" s="31"/>
      <c r="AC5" s="31">
        <f>COUNTIFS(Matches!$A:$A,"&gt;"&amp;Y5,Matches!$B:$B,$B5)</f>
        <v>0</v>
      </c>
      <c r="AD5" s="31"/>
      <c r="AE5" s="127">
        <f>SUMIF('Pool Changes'!B:B, B5, 'Pool Changes'!H:H)</f>
        <v>0</v>
      </c>
    </row>
    <row r="6">
      <c r="A6" s="104">
        <f t="shared" si="1"/>
        <v>1</v>
      </c>
      <c r="C6" s="128"/>
      <c r="D6" s="74"/>
      <c r="E6" s="1"/>
      <c r="F6" s="1"/>
      <c r="G6" s="1"/>
      <c r="H6" s="118">
        <f>COUNTIF(Entropy!$D:$D,$B6)+COUNTIF(Matches!$B:$B,$B6)+COUNTIF(Matches!$C:$C,$B6)</f>
        <v>0</v>
      </c>
      <c r="I6" s="119">
        <f>COUNTIF(Matches!$B:$B,B6)</f>
        <v>0</v>
      </c>
      <c r="J6" s="31">
        <f t="shared" si="2"/>
        <v>0</v>
      </c>
      <c r="K6" s="1" t="str">
        <f t="shared" si="3"/>
        <v>0 - 0</v>
      </c>
      <c r="L6" s="120">
        <f>COUNTIF(Entropy!$D:$D,$B6)</f>
        <v>0</v>
      </c>
      <c r="M6" s="121">
        <f t="shared" si="4"/>
        <v>0</v>
      </c>
      <c r="N6" s="121">
        <f t="shared" si="5"/>
        <v>0</v>
      </c>
      <c r="O6" s="118">
        <f>IF($J6=11,0,IF(AND($H6 &gt;=VLOOKUP('Combined Standings'!$C$2,Quotas!$A$7:$E$14,4,FALSE), $H6&lt;=VLOOKUP('Combined Standings'!$C$2,Quotas!$A$7:$E$14,5,FALSE)), 0,VLOOKUP('Combined Standings'!$C$2,Quotas!$A$7:$E$11,4,FALSE)-$H6))</f>
        <v>13</v>
      </c>
      <c r="P6" s="118">
        <f>IF($J6=11,0,IF(AND($H6 &gt;=VLOOKUP('Combined Standings'!$C$2,Quotas!$A$7:$E$14,5,FALSE), $H6&lt;=VLOOKUP('Combined Standings'!$C$2,Quotas!$A$7:$E$14,5,FALSE)), 0,VLOOKUP('Combined Standings'!$C$2,Quotas!$A$7:$E$11,5,FALSE)-$H6))</f>
        <v>15</v>
      </c>
      <c r="Q6" s="31">
        <f t="shared" si="6"/>
        <v>11</v>
      </c>
      <c r="R6" s="122" t="str">
        <f t="shared" si="7"/>
        <v/>
      </c>
      <c r="S6" s="121">
        <f t="shared" si="8"/>
        <v>0.33</v>
      </c>
      <c r="T6" s="122" t="str">
        <f>IFERROR(__xludf.DUMMYFUNCTION("JOIN("","",IFERROR(FILTER(Matches!$B:$B,B6=Matches!$C:$C),""""),IFERROR(FILTER(Matches!$C:$C,B6=Matches!$B:$B),""""))"),",,,,,,,,,,,,,,,,,,,,,,,,,,,,,,,,,,,,,,,,,,,,,,,,,,,,,,,,,,,,,,,,,,,,,,,,,,,,,,,,,,,,,,,,,,,,,,,,,,,,,,,,,,,,,,,,,,,,,,,,,,,,,,,,,,,,,,,,,,,,,,,,,,,,,,,,,,,,,,,,,,,,,,,,,,,,,,,,,,,,,,,,,,,,,,,,,,,,,,,,,,,,,,,,,,,,,,,,,,,,,,,,,,,,,,,,,,,,,,,,,,,,,,,,,,,,,,,")</f>
        <v>,,,,,,,,,,,,,,,,,,,,,,,,,,,,,,,,,,,,,,,,,,,,,,,,,,,,,,,,,,,,,,,,,,,,,,,,,,,,,,,,,,,,,,,,,,,,,,,,,,,,,,,,,,,,,,,,,,,,,,,,,,,,,,,,,,,,,,,,,,,,,,,,,,,,,,,,,,,,,,,,,,,,,,,,,,,,,,,,,,,,,,,,,,,,,,,,,,,,,,,,,,,,,,,,,,,,,,,,,,,,,,,,,,,,,,,,,,,,,,,,,,,,,,,,,,,,,,,</v>
      </c>
      <c r="U6" s="121">
        <f>IFERROR(__xludf.DUMMYFUNCTION("iferror(AVERAGE(ARRAYFORMULA(VLOOKUP(SPLIT(T6,"","",TRUE,TRUE),$R$2:$S1000,2,FALSE))),0)"),0.0)</f>
        <v>0</v>
      </c>
      <c r="V6" s="123">
        <f>IFERROR(__xludf.DUMMYFUNCTION("RANK($I6, $I$2:$I1000, FALSE) + RANK($M6, Filter($M$2:$M1000, $I$2:$I1000=$I6),FALSE)+RANK($U6, Filter($U$2:$U1000, $I$2:$I1000=$I6,$M$2:$M1000=$M6),FALSE)-2"),1.0)</f>
        <v>1</v>
      </c>
      <c r="W6" s="124" t="str">
        <f t="shared" si="9"/>
        <v>Underplay</v>
      </c>
      <c r="X6" s="125" t="str">
        <f t="shared" si="10"/>
        <v/>
      </c>
      <c r="Y6" s="126">
        <f>MAXIFS(Matches!$A:$A,Matches!$C:$C,$B6)</f>
        <v>0</v>
      </c>
      <c r="Z6" s="126">
        <f t="array" ref="Z6">XLOOKUP(Y6,Quotas!$B$7:$B$10,Quotas!$A$7:$A$10,0,-1)</f>
        <v>0</v>
      </c>
      <c r="AB6" s="31"/>
      <c r="AC6" s="31">
        <f>COUNTIFS(Matches!$A:$A,"&gt;"&amp;Y6,Matches!$B:$B,$B6)</f>
        <v>0</v>
      </c>
      <c r="AD6" s="31"/>
      <c r="AE6" s="127">
        <f>SUMIF('Pool Changes'!B:B, B6, 'Pool Changes'!H:H)</f>
        <v>0</v>
      </c>
    </row>
    <row r="7">
      <c r="A7" s="104">
        <f t="shared" si="1"/>
        <v>1</v>
      </c>
      <c r="C7" s="128"/>
      <c r="D7" s="74"/>
      <c r="E7" s="1"/>
      <c r="F7" s="1"/>
      <c r="G7" s="1"/>
      <c r="H7" s="118">
        <f>COUNTIF(Entropy!$D:$D,$B7)+COUNTIF(Matches!$B:$B,$B7)+COUNTIF(Matches!$C:$C,$B7)</f>
        <v>0</v>
      </c>
      <c r="I7" s="119">
        <f>COUNTIF(Matches!$B:$B,B7)</f>
        <v>0</v>
      </c>
      <c r="J7" s="31">
        <f t="shared" si="2"/>
        <v>0</v>
      </c>
      <c r="K7" s="1" t="str">
        <f t="shared" si="3"/>
        <v>0 - 0</v>
      </c>
      <c r="L7" s="120">
        <f>COUNTIF(Entropy!$D:$D,$B7)</f>
        <v>0</v>
      </c>
      <c r="M7" s="121">
        <f t="shared" si="4"/>
        <v>0</v>
      </c>
      <c r="N7" s="121">
        <f t="shared" si="5"/>
        <v>0</v>
      </c>
      <c r="O7" s="118">
        <f>IF($J7=11,0,IF(AND($H7 &gt;=VLOOKUP('Combined Standings'!$C$2,Quotas!$A$7:$E$14,4,FALSE), $H7&lt;=VLOOKUP('Combined Standings'!$C$2,Quotas!$A$7:$E$14,5,FALSE)), 0,VLOOKUP('Combined Standings'!$C$2,Quotas!$A$7:$E$11,4,FALSE)-$H7))</f>
        <v>13</v>
      </c>
      <c r="P7" s="118">
        <f>IF($J7=11,0,IF(AND($H7 &gt;=VLOOKUP('Combined Standings'!$C$2,Quotas!$A$7:$E$14,5,FALSE), $H7&lt;=VLOOKUP('Combined Standings'!$C$2,Quotas!$A$7:$E$14,5,FALSE)), 0,VLOOKUP('Combined Standings'!$C$2,Quotas!$A$7:$E$11,5,FALSE)-$H7))</f>
        <v>15</v>
      </c>
      <c r="Q7" s="31">
        <f t="shared" si="6"/>
        <v>11</v>
      </c>
      <c r="R7" s="122" t="str">
        <f t="shared" si="7"/>
        <v/>
      </c>
      <c r="S7" s="121">
        <f t="shared" si="8"/>
        <v>0.33</v>
      </c>
      <c r="T7" s="122" t="str">
        <f>IFERROR(__xludf.DUMMYFUNCTION("JOIN("","",IFERROR(FILTER(Matches!$B:$B,B7=Matches!$C:$C),""""),IFERROR(FILTER(Matches!$C:$C,B7=Matches!$B:$B),""""))"),",,,,,,,,,,,,,,,,,,,,,,,,,,,,,,,,,,,,,,,,,,,,,,,,,,,,,,,,,,,,,,,,,,,,,,,,,,,,,,,,,,,,,,,,,,,,,,,,,,,,,,,,,,,,,,,,,,,,,,,,,,,,,,,,,,,,,,,,,,,,,,,,,,,,,,,,,,,,,,,,,,,,,,,,,,,,,,,,,,,,,,,,,,,,,,,,,,,,,,,,,,,,,,,,,,,,,,,,,,,,,,,,,,,,,,,,,,,,,,,,,,,,,,,,,,,,,,,")</f>
        <v>,,,,,,,,,,,,,,,,,,,,,,,,,,,,,,,,,,,,,,,,,,,,,,,,,,,,,,,,,,,,,,,,,,,,,,,,,,,,,,,,,,,,,,,,,,,,,,,,,,,,,,,,,,,,,,,,,,,,,,,,,,,,,,,,,,,,,,,,,,,,,,,,,,,,,,,,,,,,,,,,,,,,,,,,,,,,,,,,,,,,,,,,,,,,,,,,,,,,,,,,,,,,,,,,,,,,,,,,,,,,,,,,,,,,,,,,,,,,,,,,,,,,,,,,,,,,,,,</v>
      </c>
      <c r="U7" s="121">
        <f>IFERROR(__xludf.DUMMYFUNCTION("iferror(AVERAGE(ARRAYFORMULA(VLOOKUP(SPLIT(T7,"","",TRUE,TRUE),$R$2:$S1000,2,FALSE))),0)"),0.0)</f>
        <v>0</v>
      </c>
      <c r="V7" s="123">
        <f>IFERROR(__xludf.DUMMYFUNCTION("RANK($I7, $I$2:$I1000, FALSE) + RANK($M7, Filter($M$2:$M1000, $I$2:$I1000=$I7),FALSE)+RANK($U7, Filter($U$2:$U1000, $I$2:$I1000=$I7,$M$2:$M1000=$M7),FALSE)-2"),1.0)</f>
        <v>1</v>
      </c>
      <c r="W7" s="124" t="str">
        <f t="shared" si="9"/>
        <v>Underplay</v>
      </c>
      <c r="X7" s="125" t="str">
        <f t="shared" si="10"/>
        <v/>
      </c>
      <c r="Y7" s="126">
        <f>MAXIFS(Matches!$A:$A,Matches!$C:$C,$B7)</f>
        <v>0</v>
      </c>
      <c r="Z7" s="126">
        <f t="array" ref="Z7">XLOOKUP(Y7,Quotas!$B$7:$B$10,Quotas!$A$7:$A$10,0,-1)</f>
        <v>0</v>
      </c>
      <c r="AB7" s="31"/>
      <c r="AC7" s="31">
        <f>COUNTIFS(Matches!$A:$A,"&gt;"&amp;Y7,Matches!$B:$B,$B7)</f>
        <v>0</v>
      </c>
      <c r="AD7" s="31"/>
      <c r="AE7" s="127">
        <f>SUMIF('Pool Changes'!B:B, B7, 'Pool Changes'!H:H)</f>
        <v>0</v>
      </c>
    </row>
    <row r="8">
      <c r="A8" s="104">
        <f t="shared" si="1"/>
        <v>1</v>
      </c>
      <c r="C8" s="128"/>
      <c r="D8" s="74"/>
      <c r="E8" s="1"/>
      <c r="F8" s="1"/>
      <c r="G8" s="1"/>
      <c r="H8" s="118">
        <f>COUNTIF(Entropy!$D:$D,$B8)+COUNTIF(Matches!$B:$B,$B8)+COUNTIF(Matches!$C:$C,$B8)</f>
        <v>0</v>
      </c>
      <c r="I8" s="119">
        <f>COUNTIF(Matches!$B:$B,B8)</f>
        <v>0</v>
      </c>
      <c r="J8" s="31">
        <f t="shared" si="2"/>
        <v>0</v>
      </c>
      <c r="K8" s="1" t="str">
        <f t="shared" si="3"/>
        <v>0 - 0</v>
      </c>
      <c r="L8" s="120">
        <f>COUNTIF(Entropy!$D:$D,$B8)</f>
        <v>0</v>
      </c>
      <c r="M8" s="121">
        <f t="shared" si="4"/>
        <v>0</v>
      </c>
      <c r="N8" s="121">
        <f t="shared" si="5"/>
        <v>0</v>
      </c>
      <c r="O8" s="118">
        <f>IF($J8=11,0,IF(AND($H8 &gt;=VLOOKUP('Combined Standings'!$C$2,Quotas!$A$7:$E$14,4,FALSE), $H8&lt;=VLOOKUP('Combined Standings'!$C$2,Quotas!$A$7:$E$14,5,FALSE)), 0,VLOOKUP('Combined Standings'!$C$2,Quotas!$A$7:$E$11,4,FALSE)-$H8))</f>
        <v>13</v>
      </c>
      <c r="P8" s="118">
        <f>IF($J8=11,0,IF(AND($H8 &gt;=VLOOKUP('Combined Standings'!$C$2,Quotas!$A$7:$E$14,5,FALSE), $H8&lt;=VLOOKUP('Combined Standings'!$C$2,Quotas!$A$7:$E$14,5,FALSE)), 0,VLOOKUP('Combined Standings'!$C$2,Quotas!$A$7:$E$11,5,FALSE)-$H8))</f>
        <v>15</v>
      </c>
      <c r="Q8" s="31">
        <f t="shared" si="6"/>
        <v>11</v>
      </c>
      <c r="R8" s="122" t="str">
        <f t="shared" si="7"/>
        <v/>
      </c>
      <c r="S8" s="121">
        <f t="shared" si="8"/>
        <v>0.33</v>
      </c>
      <c r="T8" s="122" t="str">
        <f>IFERROR(__xludf.DUMMYFUNCTION("JOIN("","",IFERROR(FILTER(Matches!$B:$B,B8=Matches!$C:$C),""""),IFERROR(FILTER(Matches!$C:$C,B8=Matches!$B:$B),""""))"),",,,,,,,,,,,,,,,,,,,,,,,,,,,,,,,,,,,,,,,,,,,,,,,,,,,,,,,,,,,,,,,,,,,,,,,,,,,,,,,,,,,,,,,,,,,,,,,,,,,,,,,,,,,,,,,,,,,,,,,,,,,,,,,,,,,,,,,,,,,,,,,,,,,,,,,,,,,,,,,,,,,,,,,,,,,,,,,,,,,,,,,,,,,,,,,,,,,,,,,,,,,,,,,,,,,,,,,,,,,,,,,,,,,,,,,,,,,,,,,,,,,,,,,,,,,,,,,")</f>
        <v>,,,,,,,,,,,,,,,,,,,,,,,,,,,,,,,,,,,,,,,,,,,,,,,,,,,,,,,,,,,,,,,,,,,,,,,,,,,,,,,,,,,,,,,,,,,,,,,,,,,,,,,,,,,,,,,,,,,,,,,,,,,,,,,,,,,,,,,,,,,,,,,,,,,,,,,,,,,,,,,,,,,,,,,,,,,,,,,,,,,,,,,,,,,,,,,,,,,,,,,,,,,,,,,,,,,,,,,,,,,,,,,,,,,,,,,,,,,,,,,,,,,,,,,,,,,,,,,</v>
      </c>
      <c r="U8" s="121">
        <f>IFERROR(__xludf.DUMMYFUNCTION("iferror(AVERAGE(ARRAYFORMULA(VLOOKUP(SPLIT(T8,"","",TRUE,TRUE),$R$2:$S1000,2,FALSE))),0)"),0.0)</f>
        <v>0</v>
      </c>
      <c r="V8" s="123">
        <f>IFERROR(__xludf.DUMMYFUNCTION("RANK($I8, $I$2:$I1000, FALSE) + RANK($M8, Filter($M$2:$M1000, $I$2:$I1000=$I8),FALSE)+RANK($U8, Filter($U$2:$U1000, $I$2:$I1000=$I8,$M$2:$M1000=$M8),FALSE)-2"),1.0)</f>
        <v>1</v>
      </c>
      <c r="W8" s="124" t="str">
        <f t="shared" si="9"/>
        <v>Underplay</v>
      </c>
      <c r="X8" s="125" t="str">
        <f t="shared" si="10"/>
        <v/>
      </c>
      <c r="Y8" s="126">
        <f>MAXIFS(Matches!$A:$A,Matches!$C:$C,$B8)</f>
        <v>0</v>
      </c>
      <c r="Z8" s="126">
        <f t="array" ref="Z8">XLOOKUP(Y8,Quotas!$B$7:$B$10,Quotas!$A$7:$A$10,0,-1)</f>
        <v>0</v>
      </c>
      <c r="AB8" s="31"/>
      <c r="AC8" s="31">
        <f>COUNTIFS(Matches!$A:$A,"&gt;"&amp;Y8,Matches!$B:$B,$B8)</f>
        <v>0</v>
      </c>
      <c r="AD8" s="31"/>
      <c r="AE8" s="127">
        <f>SUMIF('Pool Changes'!B:B, B8, 'Pool Changes'!H:H)</f>
        <v>0</v>
      </c>
    </row>
    <row r="9">
      <c r="A9" s="104">
        <f t="shared" si="1"/>
        <v>1</v>
      </c>
      <c r="C9" s="128"/>
      <c r="D9" s="74"/>
      <c r="E9" s="1"/>
      <c r="F9" s="1"/>
      <c r="G9" s="1"/>
      <c r="H9" s="118">
        <f>COUNTIF(Entropy!$D:$D,$B9)+COUNTIF(Matches!$B:$B,$B9)+COUNTIF(Matches!$C:$C,$B9)</f>
        <v>0</v>
      </c>
      <c r="I9" s="119">
        <f>COUNTIF(Matches!$B:$B,B9)</f>
        <v>0</v>
      </c>
      <c r="J9" s="31">
        <f t="shared" si="2"/>
        <v>0</v>
      </c>
      <c r="K9" s="1" t="str">
        <f t="shared" si="3"/>
        <v>0 - 0</v>
      </c>
      <c r="L9" s="120">
        <f>COUNTIF(Entropy!$D:$D,$B9)</f>
        <v>0</v>
      </c>
      <c r="M9" s="121">
        <f t="shared" si="4"/>
        <v>0</v>
      </c>
      <c r="N9" s="121">
        <f t="shared" si="5"/>
        <v>0</v>
      </c>
      <c r="O9" s="118">
        <f>IF($J9=11,0,IF(AND($H9 &gt;=VLOOKUP('Combined Standings'!$C$2,Quotas!$A$7:$E$14,4,FALSE), $H9&lt;=VLOOKUP('Combined Standings'!$C$2,Quotas!$A$7:$E$14,5,FALSE)), 0,VLOOKUP('Combined Standings'!$C$2,Quotas!$A$7:$E$11,4,FALSE)-$H9))</f>
        <v>13</v>
      </c>
      <c r="P9" s="118">
        <f>IF($J9=11,0,IF(AND($H9 &gt;=VLOOKUP('Combined Standings'!$C$2,Quotas!$A$7:$E$14,5,FALSE), $H9&lt;=VLOOKUP('Combined Standings'!$C$2,Quotas!$A$7:$E$14,5,FALSE)), 0,VLOOKUP('Combined Standings'!$C$2,Quotas!$A$7:$E$11,5,FALSE)-$H9))</f>
        <v>15</v>
      </c>
      <c r="Q9" s="31">
        <f t="shared" si="6"/>
        <v>11</v>
      </c>
      <c r="R9" s="122" t="str">
        <f t="shared" si="7"/>
        <v/>
      </c>
      <c r="S9" s="121">
        <f t="shared" si="8"/>
        <v>0.33</v>
      </c>
      <c r="T9" s="122" t="str">
        <f>IFERROR(__xludf.DUMMYFUNCTION("JOIN("","",IFERROR(FILTER(Matches!$B:$B,B9=Matches!$C:$C),""""),IFERROR(FILTER(Matches!$C:$C,B9=Matches!$B:$B),""""))"),",,,,,,,,,,,,,,,,,,,,,,,,,,,,,,,,,,,,,,,,,,,,,,,,,,,,,,,,,,,,,,,,,,,,,,,,,,,,,,,,,,,,,,,,,,,,,,,,,,,,,,,,,,,,,,,,,,,,,,,,,,,,,,,,,,,,,,,,,,,,,,,,,,,,,,,,,,,,,,,,,,,,,,,,,,,,,,,,,,,,,,,,,,,,,,,,,,,,,,,,,,,,,,,,,,,,,,,,,,,,,,,,,,,,,,,,,,,,,,,,,,,,,,,,,,,,,,,")</f>
        <v>,,,,,,,,,,,,,,,,,,,,,,,,,,,,,,,,,,,,,,,,,,,,,,,,,,,,,,,,,,,,,,,,,,,,,,,,,,,,,,,,,,,,,,,,,,,,,,,,,,,,,,,,,,,,,,,,,,,,,,,,,,,,,,,,,,,,,,,,,,,,,,,,,,,,,,,,,,,,,,,,,,,,,,,,,,,,,,,,,,,,,,,,,,,,,,,,,,,,,,,,,,,,,,,,,,,,,,,,,,,,,,,,,,,,,,,,,,,,,,,,,,,,,,,,,,,,,,,</v>
      </c>
      <c r="U9" s="121">
        <f>IFERROR(__xludf.DUMMYFUNCTION("iferror(AVERAGE(ARRAYFORMULA(VLOOKUP(SPLIT(T9,"","",TRUE,TRUE),$R$2:$S1000,2,FALSE))),0)"),0.0)</f>
        <v>0</v>
      </c>
      <c r="V9" s="123">
        <f>IFERROR(__xludf.DUMMYFUNCTION("RANK($I9, $I$2:$I1000, FALSE) + RANK($M9, Filter($M$2:$M1000, $I$2:$I1000=$I9),FALSE)+RANK($U9, Filter($U$2:$U1000, $I$2:$I1000=$I9,$M$2:$M1000=$M9),FALSE)-2"),1.0)</f>
        <v>1</v>
      </c>
      <c r="W9" s="124" t="str">
        <f t="shared" si="9"/>
        <v>Underplay</v>
      </c>
      <c r="X9" s="125" t="str">
        <f t="shared" si="10"/>
        <v/>
      </c>
      <c r="Y9" s="126">
        <f>MAXIFS(Matches!$A:$A,Matches!$C:$C,$B9)</f>
        <v>0</v>
      </c>
      <c r="Z9" s="126">
        <f t="array" ref="Z9">XLOOKUP(Y9,Quotas!$B$7:$B$10,Quotas!$A$7:$A$10,0,-1)</f>
        <v>0</v>
      </c>
      <c r="AB9" s="31"/>
      <c r="AC9" s="31">
        <f>COUNTIFS(Matches!$A:$A,"&gt;"&amp;Y9,Matches!$B:$B,$B9)</f>
        <v>0</v>
      </c>
      <c r="AD9" s="31"/>
      <c r="AE9" s="127">
        <f>SUMIF('Pool Changes'!B:B, B9, 'Pool Changes'!H:H)</f>
        <v>0</v>
      </c>
    </row>
    <row r="10">
      <c r="A10" s="104">
        <f t="shared" si="1"/>
        <v>1</v>
      </c>
      <c r="C10" s="128"/>
      <c r="D10" s="74"/>
      <c r="E10" s="1"/>
      <c r="F10" s="1"/>
      <c r="G10" s="1"/>
      <c r="H10" s="118">
        <f>COUNTIF(Entropy!$D:$D,$B10)+COUNTIF(Matches!$B:$B,$B10)+COUNTIF(Matches!$C:$C,$B10)</f>
        <v>0</v>
      </c>
      <c r="I10" s="119">
        <f>COUNTIF(Matches!$B:$B,B10)</f>
        <v>0</v>
      </c>
      <c r="J10" s="31">
        <f t="shared" si="2"/>
        <v>0</v>
      </c>
      <c r="K10" s="1" t="str">
        <f t="shared" si="3"/>
        <v>0 - 0</v>
      </c>
      <c r="L10" s="120">
        <f>COUNTIF(Entropy!$D:$D,$B10)</f>
        <v>0</v>
      </c>
      <c r="M10" s="121">
        <f t="shared" si="4"/>
        <v>0</v>
      </c>
      <c r="N10" s="121">
        <f t="shared" si="5"/>
        <v>0</v>
      </c>
      <c r="O10" s="118">
        <f>IF($J10=11,0,IF(AND($H10 &gt;=VLOOKUP('Combined Standings'!$C$2,Quotas!$A$7:$E$14,4,FALSE), $H10&lt;=VLOOKUP('Combined Standings'!$C$2,Quotas!$A$7:$E$14,5,FALSE)), 0,VLOOKUP('Combined Standings'!$C$2,Quotas!$A$7:$E$11,4,FALSE)-$H10))</f>
        <v>13</v>
      </c>
      <c r="P10" s="118">
        <f>IF($J10=11,0,IF(AND($H10 &gt;=VLOOKUP('Combined Standings'!$C$2,Quotas!$A$7:$E$14,5,FALSE), $H10&lt;=VLOOKUP('Combined Standings'!$C$2,Quotas!$A$7:$E$14,5,FALSE)), 0,VLOOKUP('Combined Standings'!$C$2,Quotas!$A$7:$E$11,5,FALSE)-$H10))</f>
        <v>15</v>
      </c>
      <c r="Q10" s="31">
        <f t="shared" si="6"/>
        <v>11</v>
      </c>
      <c r="R10" s="122" t="str">
        <f t="shared" si="7"/>
        <v/>
      </c>
      <c r="S10" s="121">
        <f t="shared" si="8"/>
        <v>0.33</v>
      </c>
      <c r="T10" s="122" t="str">
        <f>IFERROR(__xludf.DUMMYFUNCTION("JOIN("","",IFERROR(FILTER(Matches!$B:$B,B10=Matches!$C:$C),""""),IFERROR(FILTER(Matches!$C:$C,B10=Matches!$B:$B),""""))"),",,,,,,,,,,,,,,,,,,,,,,,,,,,,,,,,,,,,,,,,,,,,,,,,,,,,,,,,,,,,,,,,,,,,,,,,,,,,,,,,,,,,,,,,,,,,,,,,,,,,,,,,,,,,,,,,,,,,,,,,,,,,,,,,,,,,,,,,,,,,,,,,,,,,,,,,,,,,,,,,,,,,,,,,,,,,,,,,,,,,,,,,,,,,,,,,,,,,,,,,,,,,,,,,,,,,,,,,,,,,,,,,,,,,,,,,,,,,,,,,,,,,,,,,,,,,,,,")</f>
        <v>,,,,,,,,,,,,,,,,,,,,,,,,,,,,,,,,,,,,,,,,,,,,,,,,,,,,,,,,,,,,,,,,,,,,,,,,,,,,,,,,,,,,,,,,,,,,,,,,,,,,,,,,,,,,,,,,,,,,,,,,,,,,,,,,,,,,,,,,,,,,,,,,,,,,,,,,,,,,,,,,,,,,,,,,,,,,,,,,,,,,,,,,,,,,,,,,,,,,,,,,,,,,,,,,,,,,,,,,,,,,,,,,,,,,,,,,,,,,,,,,,,,,,,,,,,,,,,,</v>
      </c>
      <c r="U10" s="121">
        <f>IFERROR(__xludf.DUMMYFUNCTION("iferror(AVERAGE(ARRAYFORMULA(VLOOKUP(SPLIT(T10,"","",TRUE,TRUE),$R$2:$S1000,2,FALSE))),0)"),0.0)</f>
        <v>0</v>
      </c>
      <c r="V10" s="123">
        <f>IFERROR(__xludf.DUMMYFUNCTION("RANK($I10, $I$2:$I1000, FALSE) + RANK($M10, Filter($M$2:$M1000, $I$2:$I1000=$I10),FALSE)+RANK($U10, Filter($U$2:$U1000, $I$2:$I1000=$I10,$M$2:$M1000=$M10),FALSE)-2"),1.0)</f>
        <v>1</v>
      </c>
      <c r="W10" s="124" t="str">
        <f t="shared" si="9"/>
        <v>Underplay</v>
      </c>
      <c r="X10" s="125" t="str">
        <f t="shared" si="10"/>
        <v/>
      </c>
      <c r="Y10" s="126">
        <f>MAXIFS(Matches!$A:$A,Matches!$C:$C,$B10)</f>
        <v>0</v>
      </c>
      <c r="Z10" s="126">
        <f t="array" ref="Z10">XLOOKUP(Y10,Quotas!$B$7:$B$10,Quotas!$A$7:$A$10,0,-1)</f>
        <v>0</v>
      </c>
      <c r="AB10" s="31"/>
      <c r="AC10" s="31">
        <f>COUNTIFS(Matches!$A:$A,"&gt;"&amp;Y10,Matches!$B:$B,$B10)</f>
        <v>0</v>
      </c>
      <c r="AD10" s="31"/>
      <c r="AE10" s="127">
        <f>SUMIF('Pool Changes'!B:B, B10, 'Pool Changes'!H:H)</f>
        <v>0</v>
      </c>
    </row>
    <row r="11">
      <c r="A11" s="104">
        <f t="shared" si="1"/>
        <v>1</v>
      </c>
      <c r="C11" s="128"/>
      <c r="D11" s="74"/>
      <c r="E11" s="1"/>
      <c r="F11" s="1"/>
      <c r="G11" s="1"/>
      <c r="H11" s="118">
        <f>COUNTIF(Entropy!$D:$D,$B11)+COUNTIF(Matches!$B:$B,$B11)+COUNTIF(Matches!$C:$C,$B11)</f>
        <v>0</v>
      </c>
      <c r="I11" s="119">
        <f>COUNTIF(Matches!$B:$B,B11)</f>
        <v>0</v>
      </c>
      <c r="J11" s="31">
        <f t="shared" si="2"/>
        <v>0</v>
      </c>
      <c r="K11" s="1" t="str">
        <f t="shared" si="3"/>
        <v>0 - 0</v>
      </c>
      <c r="L11" s="120">
        <f>COUNTIF(Entropy!$D:$D,$B11)</f>
        <v>0</v>
      </c>
      <c r="M11" s="121">
        <f t="shared" si="4"/>
        <v>0</v>
      </c>
      <c r="N11" s="121">
        <f t="shared" si="5"/>
        <v>0</v>
      </c>
      <c r="O11" s="118">
        <f>IF($J11=11,0,IF(AND($H11 &gt;=VLOOKUP('Combined Standings'!$C$2,Quotas!$A$7:$E$14,4,FALSE), $H11&lt;=VLOOKUP('Combined Standings'!$C$2,Quotas!$A$7:$E$14,5,FALSE)), 0,VLOOKUP('Combined Standings'!$C$2,Quotas!$A$7:$E$11,4,FALSE)-$H11))</f>
        <v>13</v>
      </c>
      <c r="P11" s="118">
        <f>IF($J11=11,0,IF(AND($H11 &gt;=VLOOKUP('Combined Standings'!$C$2,Quotas!$A$7:$E$14,5,FALSE), $H11&lt;=VLOOKUP('Combined Standings'!$C$2,Quotas!$A$7:$E$14,5,FALSE)), 0,VLOOKUP('Combined Standings'!$C$2,Quotas!$A$7:$E$11,5,FALSE)-$H11))</f>
        <v>15</v>
      </c>
      <c r="Q11" s="31">
        <f t="shared" si="6"/>
        <v>11</v>
      </c>
      <c r="R11" s="122" t="str">
        <f t="shared" si="7"/>
        <v/>
      </c>
      <c r="S11" s="121">
        <f t="shared" si="8"/>
        <v>0.33</v>
      </c>
      <c r="T11" s="122" t="str">
        <f>IFERROR(__xludf.DUMMYFUNCTION("JOIN("","",IFERROR(FILTER(Matches!$B:$B,B11=Matches!$C:$C),""""),IFERROR(FILTER(Matches!$C:$C,B11=Matches!$B:$B),""""))"),",,,,,,,,,,,,,,,,,,,,,,,,,,,,,,,,,,,,,,,,,,,,,,,,,,,,,,,,,,,,,,,,,,,,,,,,,,,,,,,,,,,,,,,,,,,,,,,,,,,,,,,,,,,,,,,,,,,,,,,,,,,,,,,,,,,,,,,,,,,,,,,,,,,,,,,,,,,,,,,,,,,,,,,,,,,,,,,,,,,,,,,,,,,,,,,,,,,,,,,,,,,,,,,,,,,,,,,,,,,,,,,,,,,,,,,,,,,,,,,,,,,,,,,,,,,,,,,")</f>
        <v>,,,,,,,,,,,,,,,,,,,,,,,,,,,,,,,,,,,,,,,,,,,,,,,,,,,,,,,,,,,,,,,,,,,,,,,,,,,,,,,,,,,,,,,,,,,,,,,,,,,,,,,,,,,,,,,,,,,,,,,,,,,,,,,,,,,,,,,,,,,,,,,,,,,,,,,,,,,,,,,,,,,,,,,,,,,,,,,,,,,,,,,,,,,,,,,,,,,,,,,,,,,,,,,,,,,,,,,,,,,,,,,,,,,,,,,,,,,,,,,,,,,,,,,,,,,,,,,</v>
      </c>
      <c r="U11" s="121">
        <f>IFERROR(__xludf.DUMMYFUNCTION("iferror(AVERAGE(ARRAYFORMULA(VLOOKUP(SPLIT(T11,"","",TRUE,TRUE),$R$2:$S1000,2,FALSE))),0)"),0.0)</f>
        <v>0</v>
      </c>
      <c r="V11" s="123">
        <f>IFERROR(__xludf.DUMMYFUNCTION("RANK($I11, $I$2:$I1000, FALSE) + RANK($M11, Filter($M$2:$M1000, $I$2:$I1000=$I11),FALSE)+RANK($U11, Filter($U$2:$U1000, $I$2:$I1000=$I11,$M$2:$M1000=$M11),FALSE)-2"),1.0)</f>
        <v>1</v>
      </c>
      <c r="W11" s="124" t="str">
        <f t="shared" si="9"/>
        <v>Underplay</v>
      </c>
      <c r="X11" s="125" t="str">
        <f t="shared" si="10"/>
        <v/>
      </c>
      <c r="Y11" s="126">
        <f>MAXIFS(Matches!$A:$A,Matches!$C:$C,$B11)</f>
        <v>0</v>
      </c>
      <c r="Z11" s="126">
        <f t="array" ref="Z11">XLOOKUP(Y11,Quotas!$B$7:$B$10,Quotas!$A$7:$A$10,0,-1)</f>
        <v>0</v>
      </c>
      <c r="AB11" s="31"/>
      <c r="AC11" s="31">
        <f>COUNTIFS(Matches!$A:$A,"&gt;"&amp;Y11,Matches!$B:$B,$B11)</f>
        <v>0</v>
      </c>
      <c r="AD11" s="31"/>
      <c r="AE11" s="127">
        <f>SUMIF('Pool Changes'!B:B, B11, 'Pool Changes'!H:H)</f>
        <v>0</v>
      </c>
    </row>
    <row r="12">
      <c r="A12" s="104">
        <f t="shared" si="1"/>
        <v>1</v>
      </c>
      <c r="C12" s="128"/>
      <c r="D12" s="74"/>
      <c r="E12" s="1"/>
      <c r="F12" s="1"/>
      <c r="G12" s="1"/>
      <c r="H12" s="118">
        <f>COUNTIF(Entropy!$D:$D,$B12)+COUNTIF(Matches!$B:$B,$B12)+COUNTIF(Matches!$C:$C,$B12)</f>
        <v>0</v>
      </c>
      <c r="I12" s="119">
        <f>COUNTIF(Matches!$B:$B,B12)</f>
        <v>0</v>
      </c>
      <c r="J12" s="31">
        <f t="shared" si="2"/>
        <v>0</v>
      </c>
      <c r="K12" s="1" t="str">
        <f t="shared" si="3"/>
        <v>0 - 0</v>
      </c>
      <c r="L12" s="120">
        <f>COUNTIF(Entropy!$D:$D,$B12)</f>
        <v>0</v>
      </c>
      <c r="M12" s="121">
        <f t="shared" si="4"/>
        <v>0</v>
      </c>
      <c r="N12" s="121">
        <f t="shared" si="5"/>
        <v>0</v>
      </c>
      <c r="O12" s="118">
        <f>IF($J12=11,0,IF(AND($H12 &gt;=VLOOKUP('Combined Standings'!$C$2,Quotas!$A$7:$E$14,4,FALSE), $H12&lt;=VLOOKUP('Combined Standings'!$C$2,Quotas!$A$7:$E$14,5,FALSE)), 0,VLOOKUP('Combined Standings'!$C$2,Quotas!$A$7:$E$11,4,FALSE)-$H12))</f>
        <v>13</v>
      </c>
      <c r="P12" s="118">
        <f>IF($J12=11,0,IF(AND($H12 &gt;=VLOOKUP('Combined Standings'!$C$2,Quotas!$A$7:$E$14,5,FALSE), $H12&lt;=VLOOKUP('Combined Standings'!$C$2,Quotas!$A$7:$E$14,5,FALSE)), 0,VLOOKUP('Combined Standings'!$C$2,Quotas!$A$7:$E$11,5,FALSE)-$H12))</f>
        <v>15</v>
      </c>
      <c r="Q12" s="31">
        <f t="shared" si="6"/>
        <v>11</v>
      </c>
      <c r="R12" s="122" t="str">
        <f t="shared" si="7"/>
        <v/>
      </c>
      <c r="S12" s="121">
        <f t="shared" si="8"/>
        <v>0.33</v>
      </c>
      <c r="T12" s="122" t="str">
        <f>IFERROR(__xludf.DUMMYFUNCTION("JOIN("","",IFERROR(FILTER(Matches!$B:$B,B12=Matches!$C:$C),""""),IFERROR(FILTER(Matches!$C:$C,B12=Matches!$B:$B),""""))"),",,,,,,,,,,,,,,,,,,,,,,,,,,,,,,,,,,,,,,,,,,,,,,,,,,,,,,,,,,,,,,,,,,,,,,,,,,,,,,,,,,,,,,,,,,,,,,,,,,,,,,,,,,,,,,,,,,,,,,,,,,,,,,,,,,,,,,,,,,,,,,,,,,,,,,,,,,,,,,,,,,,,,,,,,,,,,,,,,,,,,,,,,,,,,,,,,,,,,,,,,,,,,,,,,,,,,,,,,,,,,,,,,,,,,,,,,,,,,,,,,,,,,,,,,,,,,,,")</f>
        <v>,,,,,,,,,,,,,,,,,,,,,,,,,,,,,,,,,,,,,,,,,,,,,,,,,,,,,,,,,,,,,,,,,,,,,,,,,,,,,,,,,,,,,,,,,,,,,,,,,,,,,,,,,,,,,,,,,,,,,,,,,,,,,,,,,,,,,,,,,,,,,,,,,,,,,,,,,,,,,,,,,,,,,,,,,,,,,,,,,,,,,,,,,,,,,,,,,,,,,,,,,,,,,,,,,,,,,,,,,,,,,,,,,,,,,,,,,,,,,,,,,,,,,,,,,,,,,,,</v>
      </c>
      <c r="U12" s="121">
        <f>IFERROR(__xludf.DUMMYFUNCTION("iferror(AVERAGE(ARRAYFORMULA(VLOOKUP(SPLIT(T12,"","",TRUE,TRUE),$R$2:$S1000,2,FALSE))),0)"),0.0)</f>
        <v>0</v>
      </c>
      <c r="V12" s="123">
        <f>IFERROR(__xludf.DUMMYFUNCTION("RANK($I12, $I$2:$I1000, FALSE) + RANK($M12, Filter($M$2:$M1000, $I$2:$I1000=$I12),FALSE)+RANK($U12, Filter($U$2:$U1000, $I$2:$I1000=$I12,$M$2:$M1000=$M12),FALSE)-2"),1.0)</f>
        <v>1</v>
      </c>
      <c r="W12" s="124" t="str">
        <f t="shared" si="9"/>
        <v>Underplay</v>
      </c>
      <c r="X12" s="125" t="str">
        <f t="shared" si="10"/>
        <v/>
      </c>
      <c r="Y12" s="126">
        <f>MAXIFS(Matches!$A:$A,Matches!$C:$C,$B12)</f>
        <v>0</v>
      </c>
      <c r="Z12" s="126">
        <f t="array" ref="Z12">XLOOKUP(Y12,Quotas!$B$7:$B$10,Quotas!$A$7:$A$10,0,-1)</f>
        <v>0</v>
      </c>
      <c r="AB12" s="31"/>
      <c r="AC12" s="31">
        <f>COUNTIFS(Matches!$A:$A,"&gt;"&amp;Y12,Matches!$B:$B,$B12)</f>
        <v>0</v>
      </c>
      <c r="AD12" s="31"/>
      <c r="AE12" s="127">
        <f>SUMIF('Pool Changes'!B:B, B12, 'Pool Changes'!H:H)</f>
        <v>0</v>
      </c>
    </row>
    <row r="13">
      <c r="A13" s="104">
        <f t="shared" si="1"/>
        <v>1</v>
      </c>
      <c r="C13" s="128"/>
      <c r="D13" s="74"/>
      <c r="E13" s="1"/>
      <c r="F13" s="1"/>
      <c r="G13" s="1"/>
      <c r="H13" s="118">
        <f>COUNTIF(Entropy!$D:$D,$B13)+COUNTIF(Matches!$B:$B,$B13)+COUNTIF(Matches!$C:$C,$B13)</f>
        <v>0</v>
      </c>
      <c r="I13" s="119">
        <f>COUNTIF(Matches!$B:$B,B13)</f>
        <v>0</v>
      </c>
      <c r="J13" s="31">
        <f t="shared" si="2"/>
        <v>0</v>
      </c>
      <c r="K13" s="1" t="str">
        <f t="shared" si="3"/>
        <v>0 - 0</v>
      </c>
      <c r="L13" s="120">
        <f>COUNTIF(Entropy!$D:$D,$B13)</f>
        <v>0</v>
      </c>
      <c r="M13" s="121">
        <f t="shared" si="4"/>
        <v>0</v>
      </c>
      <c r="N13" s="121">
        <f t="shared" si="5"/>
        <v>0</v>
      </c>
      <c r="O13" s="118">
        <f>IF($J13=11,0,IF(AND($H13 &gt;=VLOOKUP('Combined Standings'!$C$2,Quotas!$A$7:$E$14,4,FALSE), $H13&lt;=VLOOKUP('Combined Standings'!$C$2,Quotas!$A$7:$E$14,5,FALSE)), 0,VLOOKUP('Combined Standings'!$C$2,Quotas!$A$7:$E$11,4,FALSE)-$H13))</f>
        <v>13</v>
      </c>
      <c r="P13" s="118">
        <f>IF($J13=11,0,IF(AND($H13 &gt;=VLOOKUP('Combined Standings'!$C$2,Quotas!$A$7:$E$14,5,FALSE), $H13&lt;=VLOOKUP('Combined Standings'!$C$2,Quotas!$A$7:$E$14,5,FALSE)), 0,VLOOKUP('Combined Standings'!$C$2,Quotas!$A$7:$E$11,5,FALSE)-$H13))</f>
        <v>15</v>
      </c>
      <c r="Q13" s="31">
        <f t="shared" si="6"/>
        <v>11</v>
      </c>
      <c r="R13" s="122" t="str">
        <f t="shared" si="7"/>
        <v/>
      </c>
      <c r="S13" s="121">
        <f t="shared" si="8"/>
        <v>0.33</v>
      </c>
      <c r="T13" s="122" t="str">
        <f>IFERROR(__xludf.DUMMYFUNCTION("JOIN("","",IFERROR(FILTER(Matches!$B:$B,B13=Matches!$C:$C),""""),IFERROR(FILTER(Matches!$C:$C,B13=Matches!$B:$B),""""))"),",,,,,,,,,,,,,,,,,,,,,,,,,,,,,,,,,,,,,,,,,,,,,,,,,,,,,,,,,,,,,,,,,,,,,,,,,,,,,,,,,,,,,,,,,,,,,,,,,,,,,,,,,,,,,,,,,,,,,,,,,,,,,,,,,,,,,,,,,,,,,,,,,,,,,,,,,,,,,,,,,,,,,,,,,,,,,,,,,,,,,,,,,,,,,,,,,,,,,,,,,,,,,,,,,,,,,,,,,,,,,,,,,,,,,,,,,,,,,,,,,,,,,,,,,,,,,,,")</f>
        <v>,,,,,,,,,,,,,,,,,,,,,,,,,,,,,,,,,,,,,,,,,,,,,,,,,,,,,,,,,,,,,,,,,,,,,,,,,,,,,,,,,,,,,,,,,,,,,,,,,,,,,,,,,,,,,,,,,,,,,,,,,,,,,,,,,,,,,,,,,,,,,,,,,,,,,,,,,,,,,,,,,,,,,,,,,,,,,,,,,,,,,,,,,,,,,,,,,,,,,,,,,,,,,,,,,,,,,,,,,,,,,,,,,,,,,,,,,,,,,,,,,,,,,,,,,,,,,,,</v>
      </c>
      <c r="U13" s="121">
        <f>IFERROR(__xludf.DUMMYFUNCTION("iferror(AVERAGE(ARRAYFORMULA(VLOOKUP(SPLIT(T13,"","",TRUE,TRUE),$R$2:$S1000,2,FALSE))),0)"),0.0)</f>
        <v>0</v>
      </c>
      <c r="V13" s="123">
        <f>IFERROR(__xludf.DUMMYFUNCTION("RANK($I13, $I$2:$I1000, FALSE) + RANK($M13, Filter($M$2:$M1000, $I$2:$I1000=$I13),FALSE)+RANK($U13, Filter($U$2:$U1000, $I$2:$I1000=$I13,$M$2:$M1000=$M13),FALSE)-2"),1.0)</f>
        <v>1</v>
      </c>
      <c r="W13" s="124" t="str">
        <f t="shared" si="9"/>
        <v>Underplay</v>
      </c>
      <c r="X13" s="125" t="str">
        <f t="shared" si="10"/>
        <v/>
      </c>
      <c r="Y13" s="126">
        <f>MAXIFS(Matches!$A:$A,Matches!$C:$C,$B13)</f>
        <v>0</v>
      </c>
      <c r="Z13" s="126">
        <f t="array" ref="Z13">XLOOKUP(Y13,Quotas!$B$7:$B$10,Quotas!$A$7:$A$10,0,-1)</f>
        <v>0</v>
      </c>
      <c r="AB13" s="31"/>
      <c r="AC13" s="31">
        <f>COUNTIFS(Matches!$A:$A,"&gt;"&amp;Y13,Matches!$B:$B,$B13)</f>
        <v>0</v>
      </c>
      <c r="AD13" s="31"/>
      <c r="AE13" s="127">
        <f>SUMIF('Pool Changes'!B:B, B13, 'Pool Changes'!H:H)</f>
        <v>0</v>
      </c>
    </row>
    <row r="14">
      <c r="A14" s="104">
        <f t="shared" si="1"/>
        <v>1</v>
      </c>
      <c r="C14" s="128"/>
      <c r="D14" s="74"/>
      <c r="E14" s="1"/>
      <c r="F14" s="1"/>
      <c r="G14" s="1"/>
      <c r="H14" s="118">
        <f>COUNTIF(Entropy!$D:$D,$B14)+COUNTIF(Matches!$B:$B,$B14)+COUNTIF(Matches!$C:$C,$B14)</f>
        <v>0</v>
      </c>
      <c r="I14" s="119">
        <f>COUNTIF(Matches!$B:$B,B14)</f>
        <v>0</v>
      </c>
      <c r="J14" s="31">
        <f t="shared" si="2"/>
        <v>0</v>
      </c>
      <c r="K14" s="1" t="str">
        <f t="shared" si="3"/>
        <v>0 - 0</v>
      </c>
      <c r="L14" s="120">
        <f>COUNTIF(Entropy!$D:$D,$B14)</f>
        <v>0</v>
      </c>
      <c r="M14" s="121">
        <f t="shared" si="4"/>
        <v>0</v>
      </c>
      <c r="N14" s="121">
        <f t="shared" si="5"/>
        <v>0</v>
      </c>
      <c r="O14" s="118">
        <f>IF($J14=11,0,IF(AND($H14 &gt;=VLOOKUP('Combined Standings'!$C$2,Quotas!$A$7:$E$14,4,FALSE), $H14&lt;=VLOOKUP('Combined Standings'!$C$2,Quotas!$A$7:$E$14,5,FALSE)), 0,VLOOKUP('Combined Standings'!$C$2,Quotas!$A$7:$E$11,4,FALSE)-$H14))</f>
        <v>13</v>
      </c>
      <c r="P14" s="118">
        <f>IF($J14=11,0,IF(AND($H14 &gt;=VLOOKUP('Combined Standings'!$C$2,Quotas!$A$7:$E$14,5,FALSE), $H14&lt;=VLOOKUP('Combined Standings'!$C$2,Quotas!$A$7:$E$14,5,FALSE)), 0,VLOOKUP('Combined Standings'!$C$2,Quotas!$A$7:$E$11,5,FALSE)-$H14))</f>
        <v>15</v>
      </c>
      <c r="Q14" s="31">
        <f t="shared" si="6"/>
        <v>11</v>
      </c>
      <c r="R14" s="122" t="str">
        <f t="shared" si="7"/>
        <v/>
      </c>
      <c r="S14" s="121">
        <f t="shared" si="8"/>
        <v>0.33</v>
      </c>
      <c r="T14" s="122" t="str">
        <f>IFERROR(__xludf.DUMMYFUNCTION("JOIN("","",IFERROR(FILTER(Matches!$B:$B,B14=Matches!$C:$C),""""),IFERROR(FILTER(Matches!$C:$C,B14=Matches!$B:$B),""""))"),",,,,,,,,,,,,,,,,,,,,,,,,,,,,,,,,,,,,,,,,,,,,,,,,,,,,,,,,,,,,,,,,,,,,,,,,,,,,,,,,,,,,,,,,,,,,,,,,,,,,,,,,,,,,,,,,,,,,,,,,,,,,,,,,,,,,,,,,,,,,,,,,,,,,,,,,,,,,,,,,,,,,,,,,,,,,,,,,,,,,,,,,,,,,,,,,,,,,,,,,,,,,,,,,,,,,,,,,,,,,,,,,,,,,,,,,,,,,,,,,,,,,,,,,,,,,,,,")</f>
        <v>,,,,,,,,,,,,,,,,,,,,,,,,,,,,,,,,,,,,,,,,,,,,,,,,,,,,,,,,,,,,,,,,,,,,,,,,,,,,,,,,,,,,,,,,,,,,,,,,,,,,,,,,,,,,,,,,,,,,,,,,,,,,,,,,,,,,,,,,,,,,,,,,,,,,,,,,,,,,,,,,,,,,,,,,,,,,,,,,,,,,,,,,,,,,,,,,,,,,,,,,,,,,,,,,,,,,,,,,,,,,,,,,,,,,,,,,,,,,,,,,,,,,,,,,,,,,,,,</v>
      </c>
      <c r="U14" s="121">
        <f>IFERROR(__xludf.DUMMYFUNCTION("iferror(AVERAGE(ARRAYFORMULA(VLOOKUP(SPLIT(T14,"","",TRUE,TRUE),$R$2:$S1000,2,FALSE))),0)"),0.0)</f>
        <v>0</v>
      </c>
      <c r="V14" s="123">
        <f>IFERROR(__xludf.DUMMYFUNCTION("RANK($I14, $I$2:$I1000, FALSE) + RANK($M14, Filter($M$2:$M1000, $I$2:$I1000=$I14),FALSE)+RANK($U14, Filter($U$2:$U1000, $I$2:$I1000=$I14,$M$2:$M1000=$M14),FALSE)-2"),1.0)</f>
        <v>1</v>
      </c>
      <c r="W14" s="124" t="str">
        <f t="shared" si="9"/>
        <v>Underplay</v>
      </c>
      <c r="X14" s="125" t="str">
        <f t="shared" si="10"/>
        <v/>
      </c>
      <c r="Y14" s="126">
        <f>MAXIFS(Matches!$A:$A,Matches!$C:$C,$B14)</f>
        <v>0</v>
      </c>
      <c r="Z14" s="126">
        <f t="array" ref="Z14">XLOOKUP(Y14,Quotas!$B$7:$B$10,Quotas!$A$7:$A$10,0,-1)</f>
        <v>0</v>
      </c>
      <c r="AB14" s="31"/>
      <c r="AC14" s="31">
        <f>COUNTIFS(Matches!$A:$A,"&gt;"&amp;Y14,Matches!$B:$B,$B14)</f>
        <v>0</v>
      </c>
      <c r="AD14" s="31"/>
      <c r="AE14" s="127">
        <f>SUMIF('Pool Changes'!B:B, B14, 'Pool Changes'!H:H)</f>
        <v>0</v>
      </c>
    </row>
    <row r="15">
      <c r="A15" s="104">
        <f t="shared" si="1"/>
        <v>1</v>
      </c>
      <c r="C15" s="128"/>
      <c r="D15" s="74"/>
      <c r="E15" s="1"/>
      <c r="F15" s="1"/>
      <c r="G15" s="1"/>
      <c r="H15" s="118">
        <f>COUNTIF(Entropy!$D:$D,$B15)+COUNTIF(Matches!$B:$B,$B15)+COUNTIF(Matches!$C:$C,$B15)</f>
        <v>0</v>
      </c>
      <c r="I15" s="119">
        <f>COUNTIF(Matches!$B:$B,B15)</f>
        <v>0</v>
      </c>
      <c r="J15" s="31">
        <f t="shared" si="2"/>
        <v>0</v>
      </c>
      <c r="K15" s="1" t="str">
        <f t="shared" si="3"/>
        <v>0 - 0</v>
      </c>
      <c r="L15" s="120">
        <f>COUNTIF(Entropy!$D:$D,$B15)</f>
        <v>0</v>
      </c>
      <c r="M15" s="121">
        <f t="shared" si="4"/>
        <v>0</v>
      </c>
      <c r="N15" s="121">
        <f t="shared" si="5"/>
        <v>0</v>
      </c>
      <c r="O15" s="118">
        <f>IF($J15=11,0,IF(AND($H15 &gt;=VLOOKUP('Combined Standings'!$C$2,Quotas!$A$7:$E$14,4,FALSE), $H15&lt;=VLOOKUP('Combined Standings'!$C$2,Quotas!$A$7:$E$14,5,FALSE)), 0,VLOOKUP('Combined Standings'!$C$2,Quotas!$A$7:$E$11,4,FALSE)-$H15))</f>
        <v>13</v>
      </c>
      <c r="P15" s="118">
        <f>IF($J15=11,0,IF(AND($H15 &gt;=VLOOKUP('Combined Standings'!$C$2,Quotas!$A$7:$E$14,5,FALSE), $H15&lt;=VLOOKUP('Combined Standings'!$C$2,Quotas!$A$7:$E$14,5,FALSE)), 0,VLOOKUP('Combined Standings'!$C$2,Quotas!$A$7:$E$11,5,FALSE)-$H15))</f>
        <v>15</v>
      </c>
      <c r="Q15" s="31">
        <f t="shared" si="6"/>
        <v>11</v>
      </c>
      <c r="R15" s="122" t="str">
        <f t="shared" si="7"/>
        <v/>
      </c>
      <c r="S15" s="121">
        <f t="shared" si="8"/>
        <v>0.33</v>
      </c>
      <c r="T15" s="122" t="str">
        <f>IFERROR(__xludf.DUMMYFUNCTION("JOIN("","",IFERROR(FILTER(Matches!$B:$B,B15=Matches!$C:$C),""""),IFERROR(FILTER(Matches!$C:$C,B15=Matches!$B:$B),""""))"),",,,,,,,,,,,,,,,,,,,,,,,,,,,,,,,,,,,,,,,,,,,,,,,,,,,,,,,,,,,,,,,,,,,,,,,,,,,,,,,,,,,,,,,,,,,,,,,,,,,,,,,,,,,,,,,,,,,,,,,,,,,,,,,,,,,,,,,,,,,,,,,,,,,,,,,,,,,,,,,,,,,,,,,,,,,,,,,,,,,,,,,,,,,,,,,,,,,,,,,,,,,,,,,,,,,,,,,,,,,,,,,,,,,,,,,,,,,,,,,,,,,,,,,,,,,,,,,")</f>
        <v>,,,,,,,,,,,,,,,,,,,,,,,,,,,,,,,,,,,,,,,,,,,,,,,,,,,,,,,,,,,,,,,,,,,,,,,,,,,,,,,,,,,,,,,,,,,,,,,,,,,,,,,,,,,,,,,,,,,,,,,,,,,,,,,,,,,,,,,,,,,,,,,,,,,,,,,,,,,,,,,,,,,,,,,,,,,,,,,,,,,,,,,,,,,,,,,,,,,,,,,,,,,,,,,,,,,,,,,,,,,,,,,,,,,,,,,,,,,,,,,,,,,,,,,,,,,,,,,</v>
      </c>
      <c r="U15" s="121">
        <f>IFERROR(__xludf.DUMMYFUNCTION("iferror(AVERAGE(ARRAYFORMULA(VLOOKUP(SPLIT(T15,"","",TRUE,TRUE),$R$2:$S1000,2,FALSE))),0)"),0.0)</f>
        <v>0</v>
      </c>
      <c r="V15" s="123">
        <f>IFERROR(__xludf.DUMMYFUNCTION("RANK($I15, $I$2:$I1000, FALSE) + RANK($M15, Filter($M$2:$M1000, $I$2:$I1000=$I15),FALSE)+RANK($U15, Filter($U$2:$U1000, $I$2:$I1000=$I15,$M$2:$M1000=$M15),FALSE)-2"),1.0)</f>
        <v>1</v>
      </c>
      <c r="W15" s="124" t="str">
        <f t="shared" si="9"/>
        <v>Underplay</v>
      </c>
      <c r="X15" s="125" t="str">
        <f t="shared" si="10"/>
        <v/>
      </c>
      <c r="Y15" s="126">
        <f>MAXIFS(Matches!$A:$A,Matches!$C:$C,$B15)</f>
        <v>0</v>
      </c>
      <c r="Z15" s="126">
        <f t="array" ref="Z15">XLOOKUP(Y15,Quotas!$B$7:$B$10,Quotas!$A$7:$A$10,0,-1)</f>
        <v>0</v>
      </c>
      <c r="AB15" s="31"/>
      <c r="AC15" s="31">
        <f>COUNTIFS(Matches!$A:$A,"&gt;"&amp;Y15,Matches!$B:$B,$B15)</f>
        <v>0</v>
      </c>
      <c r="AD15" s="31"/>
      <c r="AE15" s="127">
        <f>SUMIF('Pool Changes'!B:B, B15, 'Pool Changes'!H:H)</f>
        <v>0</v>
      </c>
    </row>
    <row r="16">
      <c r="A16" s="104">
        <f t="shared" si="1"/>
        <v>1</v>
      </c>
      <c r="C16" s="128"/>
      <c r="D16" s="74"/>
      <c r="E16" s="1"/>
      <c r="F16" s="1"/>
      <c r="G16" s="1"/>
      <c r="H16" s="118">
        <f>COUNTIF(Entropy!$D:$D,$B16)+COUNTIF(Matches!$B:$B,$B16)+COUNTIF(Matches!$C:$C,$B16)</f>
        <v>0</v>
      </c>
      <c r="I16" s="119">
        <f>COUNTIF(Matches!$B:$B,B16)</f>
        <v>0</v>
      </c>
      <c r="J16" s="31">
        <f t="shared" si="2"/>
        <v>0</v>
      </c>
      <c r="K16" s="1" t="str">
        <f t="shared" si="3"/>
        <v>0 - 0</v>
      </c>
      <c r="L16" s="120">
        <f>COUNTIF(Entropy!$D:$D,$B16)</f>
        <v>0</v>
      </c>
      <c r="M16" s="121">
        <f t="shared" si="4"/>
        <v>0</v>
      </c>
      <c r="N16" s="121">
        <f t="shared" si="5"/>
        <v>0</v>
      </c>
      <c r="O16" s="118">
        <f>IF($J16=11,0,IF(AND($H16 &gt;=VLOOKUP('Combined Standings'!$C$2,Quotas!$A$7:$E$14,4,FALSE), $H16&lt;=VLOOKUP('Combined Standings'!$C$2,Quotas!$A$7:$E$14,5,FALSE)), 0,VLOOKUP('Combined Standings'!$C$2,Quotas!$A$7:$E$11,4,FALSE)-$H16))</f>
        <v>13</v>
      </c>
      <c r="P16" s="118">
        <f>IF($J16=11,0,IF(AND($H16 &gt;=VLOOKUP('Combined Standings'!$C$2,Quotas!$A$7:$E$14,5,FALSE), $H16&lt;=VLOOKUP('Combined Standings'!$C$2,Quotas!$A$7:$E$14,5,FALSE)), 0,VLOOKUP('Combined Standings'!$C$2,Quotas!$A$7:$E$11,5,FALSE)-$H16))</f>
        <v>15</v>
      </c>
      <c r="Q16" s="31">
        <f t="shared" si="6"/>
        <v>11</v>
      </c>
      <c r="R16" s="122" t="str">
        <f t="shared" si="7"/>
        <v/>
      </c>
      <c r="S16" s="121">
        <f t="shared" si="8"/>
        <v>0.33</v>
      </c>
      <c r="T16" s="122" t="str">
        <f>IFERROR(__xludf.DUMMYFUNCTION("JOIN("","",IFERROR(FILTER(Matches!$B:$B,B16=Matches!$C:$C),""""),IFERROR(FILTER(Matches!$C:$C,B16=Matches!$B:$B),""""))"),",,,,,,,,,,,,,,,,,,,,,,,,,,,,,,,,,,,,,,,,,,,,,,,,,,,,,,,,,,,,,,,,,,,,,,,,,,,,,,,,,,,,,,,,,,,,,,,,,,,,,,,,,,,,,,,,,,,,,,,,,,,,,,,,,,,,,,,,,,,,,,,,,,,,,,,,,,,,,,,,,,,,,,,,,,,,,,,,,,,,,,,,,,,,,,,,,,,,,,,,,,,,,,,,,,,,,,,,,,,,,,,,,,,,,,,,,,,,,,,,,,,,,,,,,,,,,,,")</f>
        <v>,,,,,,,,,,,,,,,,,,,,,,,,,,,,,,,,,,,,,,,,,,,,,,,,,,,,,,,,,,,,,,,,,,,,,,,,,,,,,,,,,,,,,,,,,,,,,,,,,,,,,,,,,,,,,,,,,,,,,,,,,,,,,,,,,,,,,,,,,,,,,,,,,,,,,,,,,,,,,,,,,,,,,,,,,,,,,,,,,,,,,,,,,,,,,,,,,,,,,,,,,,,,,,,,,,,,,,,,,,,,,,,,,,,,,,,,,,,,,,,,,,,,,,,,,,,,,,,</v>
      </c>
      <c r="U16" s="121">
        <f>IFERROR(__xludf.DUMMYFUNCTION("iferror(AVERAGE(ARRAYFORMULA(VLOOKUP(SPLIT(T16,"","",TRUE,TRUE),$R$2:$S1000,2,FALSE))),0)"),0.0)</f>
        <v>0</v>
      </c>
      <c r="V16" s="123">
        <f>IFERROR(__xludf.DUMMYFUNCTION("RANK($I16, $I$2:$I1000, FALSE) + RANK($M16, Filter($M$2:$M1000, $I$2:$I1000=$I16),FALSE)+RANK($U16, Filter($U$2:$U1000, $I$2:$I1000=$I16,$M$2:$M1000=$M16),FALSE)-2"),1.0)</f>
        <v>1</v>
      </c>
      <c r="W16" s="124" t="str">
        <f t="shared" si="9"/>
        <v>Underplay</v>
      </c>
      <c r="X16" s="125" t="str">
        <f t="shared" si="10"/>
        <v/>
      </c>
      <c r="Y16" s="126">
        <f>MAXIFS(Matches!$A:$A,Matches!$C:$C,$B16)</f>
        <v>0</v>
      </c>
      <c r="Z16" s="126">
        <f t="array" ref="Z16">XLOOKUP(Y16,Quotas!$B$7:$B$10,Quotas!$A$7:$A$10,0,-1)</f>
        <v>0</v>
      </c>
      <c r="AB16" s="31"/>
      <c r="AC16" s="31">
        <f>COUNTIFS(Matches!$A:$A,"&gt;"&amp;Y16,Matches!$B:$B,$B16)</f>
        <v>0</v>
      </c>
      <c r="AD16" s="31"/>
      <c r="AE16" s="127">
        <f>SUMIF('Pool Changes'!B:B, B16, 'Pool Changes'!H:H)</f>
        <v>0</v>
      </c>
    </row>
    <row r="17">
      <c r="A17" s="104">
        <f t="shared" si="1"/>
        <v>1</v>
      </c>
      <c r="C17" s="128"/>
      <c r="D17" s="74"/>
      <c r="E17" s="1"/>
      <c r="F17" s="1"/>
      <c r="G17" s="1"/>
      <c r="H17" s="118">
        <f>COUNTIF(Entropy!$D:$D,$B17)+COUNTIF(Matches!$B:$B,$B17)+COUNTIF(Matches!$C:$C,$B17)</f>
        <v>0</v>
      </c>
      <c r="I17" s="119">
        <f>COUNTIF(Matches!$B:$B,B17)</f>
        <v>0</v>
      </c>
      <c r="J17" s="31">
        <f t="shared" si="2"/>
        <v>0</v>
      </c>
      <c r="K17" s="1" t="str">
        <f t="shared" si="3"/>
        <v>0 - 0</v>
      </c>
      <c r="L17" s="120">
        <f>COUNTIF(Entropy!$D:$D,$B17)</f>
        <v>0</v>
      </c>
      <c r="M17" s="121">
        <f t="shared" si="4"/>
        <v>0</v>
      </c>
      <c r="N17" s="121">
        <f t="shared" si="5"/>
        <v>0</v>
      </c>
      <c r="O17" s="118">
        <f>IF($J17=11,0,IF(AND($H17 &gt;=VLOOKUP('Combined Standings'!$C$2,Quotas!$A$7:$E$14,4,FALSE), $H17&lt;=VLOOKUP('Combined Standings'!$C$2,Quotas!$A$7:$E$14,5,FALSE)), 0,VLOOKUP('Combined Standings'!$C$2,Quotas!$A$7:$E$11,4,FALSE)-$H17))</f>
        <v>13</v>
      </c>
      <c r="P17" s="118">
        <f>IF($J17=11,0,IF(AND($H17 &gt;=VLOOKUP('Combined Standings'!$C$2,Quotas!$A$7:$E$14,5,FALSE), $H17&lt;=VLOOKUP('Combined Standings'!$C$2,Quotas!$A$7:$E$14,5,FALSE)), 0,VLOOKUP('Combined Standings'!$C$2,Quotas!$A$7:$E$11,5,FALSE)-$H17))</f>
        <v>15</v>
      </c>
      <c r="Q17" s="31">
        <f t="shared" si="6"/>
        <v>11</v>
      </c>
      <c r="R17" s="122" t="str">
        <f t="shared" si="7"/>
        <v/>
      </c>
      <c r="S17" s="121">
        <f t="shared" si="8"/>
        <v>0.33</v>
      </c>
      <c r="T17" s="122" t="str">
        <f>IFERROR(__xludf.DUMMYFUNCTION("JOIN("","",IFERROR(FILTER(Matches!$B:$B,B17=Matches!$C:$C),""""),IFERROR(FILTER(Matches!$C:$C,B17=Matches!$B:$B),""""))"),",,,,,,,,,,,,,,,,,,,,,,,,,,,,,,,,,,,,,,,,,,,,,,,,,,,,,,,,,,,,,,,,,,,,,,,,,,,,,,,,,,,,,,,,,,,,,,,,,,,,,,,,,,,,,,,,,,,,,,,,,,,,,,,,,,,,,,,,,,,,,,,,,,,,,,,,,,,,,,,,,,,,,,,,,,,,,,,,,,,,,,,,,,,,,,,,,,,,,,,,,,,,,,,,,,,,,,,,,,,,,,,,,,,,,,,,,,,,,,,,,,,,,,,,,,,,,,,")</f>
        <v>,,,,,,,,,,,,,,,,,,,,,,,,,,,,,,,,,,,,,,,,,,,,,,,,,,,,,,,,,,,,,,,,,,,,,,,,,,,,,,,,,,,,,,,,,,,,,,,,,,,,,,,,,,,,,,,,,,,,,,,,,,,,,,,,,,,,,,,,,,,,,,,,,,,,,,,,,,,,,,,,,,,,,,,,,,,,,,,,,,,,,,,,,,,,,,,,,,,,,,,,,,,,,,,,,,,,,,,,,,,,,,,,,,,,,,,,,,,,,,,,,,,,,,,,,,,,,,,</v>
      </c>
      <c r="U17" s="121">
        <f>IFERROR(__xludf.DUMMYFUNCTION("iferror(AVERAGE(ARRAYFORMULA(VLOOKUP(SPLIT(T17,"","",TRUE,TRUE),$R$2:$S1000,2,FALSE))),0)"),0.0)</f>
        <v>0</v>
      </c>
      <c r="V17" s="123">
        <f>IFERROR(__xludf.DUMMYFUNCTION("RANK($I17, $I$2:$I1000, FALSE) + RANK($M17, Filter($M$2:$M1000, $I$2:$I1000=$I17),FALSE)+RANK($U17, Filter($U$2:$U1000, $I$2:$I1000=$I17,$M$2:$M1000=$M17),FALSE)-2"),1.0)</f>
        <v>1</v>
      </c>
      <c r="W17" s="124" t="str">
        <f t="shared" si="9"/>
        <v>Underplay</v>
      </c>
      <c r="X17" s="125" t="str">
        <f t="shared" si="10"/>
        <v/>
      </c>
      <c r="Y17" s="126">
        <f>MAXIFS(Matches!$A:$A,Matches!$C:$C,$B17)</f>
        <v>0</v>
      </c>
      <c r="Z17" s="126">
        <f t="array" ref="Z17">XLOOKUP(Y17,Quotas!$B$7:$B$10,Quotas!$A$7:$A$10,0,-1)</f>
        <v>0</v>
      </c>
      <c r="AB17" s="31"/>
      <c r="AC17" s="31">
        <f>COUNTIFS(Matches!$A:$A,"&gt;"&amp;Y17,Matches!$B:$B,$B17)</f>
        <v>0</v>
      </c>
      <c r="AD17" s="31"/>
      <c r="AE17" s="127">
        <f>SUMIF('Pool Changes'!B:B, B17, 'Pool Changes'!H:H)</f>
        <v>0</v>
      </c>
    </row>
    <row r="18">
      <c r="A18" s="104">
        <f t="shared" si="1"/>
        <v>1</v>
      </c>
      <c r="C18" s="128"/>
      <c r="D18" s="74"/>
      <c r="E18" s="1"/>
      <c r="F18" s="1"/>
      <c r="G18" s="1"/>
      <c r="H18" s="118">
        <f>COUNTIF(Entropy!$D:$D,$B18)+COUNTIF(Matches!$B:$B,$B18)+COUNTIF(Matches!$C:$C,$B18)</f>
        <v>0</v>
      </c>
      <c r="I18" s="119">
        <f>COUNTIF(Matches!$B:$B,B18)</f>
        <v>0</v>
      </c>
      <c r="J18" s="31">
        <f t="shared" si="2"/>
        <v>0</v>
      </c>
      <c r="K18" s="1" t="str">
        <f t="shared" si="3"/>
        <v>0 - 0</v>
      </c>
      <c r="L18" s="120">
        <f>COUNTIF(Entropy!$D:$D,$B18)</f>
        <v>0</v>
      </c>
      <c r="M18" s="121">
        <f t="shared" si="4"/>
        <v>0</v>
      </c>
      <c r="N18" s="121">
        <f t="shared" si="5"/>
        <v>0</v>
      </c>
      <c r="O18" s="118">
        <f>IF($J18=11,0,IF(AND($H18 &gt;=VLOOKUP('Combined Standings'!$C$2,Quotas!$A$7:$E$14,4,FALSE), $H18&lt;=VLOOKUP('Combined Standings'!$C$2,Quotas!$A$7:$E$14,5,FALSE)), 0,VLOOKUP('Combined Standings'!$C$2,Quotas!$A$7:$E$11,4,FALSE)-$H18))</f>
        <v>13</v>
      </c>
      <c r="P18" s="118">
        <f>IF($J18=11,0,IF(AND($H18 &gt;=VLOOKUP('Combined Standings'!$C$2,Quotas!$A$7:$E$14,5,FALSE), $H18&lt;=VLOOKUP('Combined Standings'!$C$2,Quotas!$A$7:$E$14,5,FALSE)), 0,VLOOKUP('Combined Standings'!$C$2,Quotas!$A$7:$E$11,5,FALSE)-$H18))</f>
        <v>15</v>
      </c>
      <c r="Q18" s="31">
        <f t="shared" si="6"/>
        <v>11</v>
      </c>
      <c r="R18" s="122" t="str">
        <f t="shared" si="7"/>
        <v/>
      </c>
      <c r="S18" s="121">
        <f t="shared" si="8"/>
        <v>0.33</v>
      </c>
      <c r="T18" s="122" t="str">
        <f>IFERROR(__xludf.DUMMYFUNCTION("JOIN("","",IFERROR(FILTER(Matches!$B:$B,B18=Matches!$C:$C),""""),IFERROR(FILTER(Matches!$C:$C,B18=Matches!$B:$B),""""))"),",,,,,,,,,,,,,,,,,,,,,,,,,,,,,,,,,,,,,,,,,,,,,,,,,,,,,,,,,,,,,,,,,,,,,,,,,,,,,,,,,,,,,,,,,,,,,,,,,,,,,,,,,,,,,,,,,,,,,,,,,,,,,,,,,,,,,,,,,,,,,,,,,,,,,,,,,,,,,,,,,,,,,,,,,,,,,,,,,,,,,,,,,,,,,,,,,,,,,,,,,,,,,,,,,,,,,,,,,,,,,,,,,,,,,,,,,,,,,,,,,,,,,,,,,,,,,,,")</f>
        <v>,,,,,,,,,,,,,,,,,,,,,,,,,,,,,,,,,,,,,,,,,,,,,,,,,,,,,,,,,,,,,,,,,,,,,,,,,,,,,,,,,,,,,,,,,,,,,,,,,,,,,,,,,,,,,,,,,,,,,,,,,,,,,,,,,,,,,,,,,,,,,,,,,,,,,,,,,,,,,,,,,,,,,,,,,,,,,,,,,,,,,,,,,,,,,,,,,,,,,,,,,,,,,,,,,,,,,,,,,,,,,,,,,,,,,,,,,,,,,,,,,,,,,,,,,,,,,,,</v>
      </c>
      <c r="U18" s="121">
        <f>IFERROR(__xludf.DUMMYFUNCTION("iferror(AVERAGE(ARRAYFORMULA(VLOOKUP(SPLIT(T18,"","",TRUE,TRUE),$R$2:$S1000,2,FALSE))),0)"),0.0)</f>
        <v>0</v>
      </c>
      <c r="V18" s="123">
        <f>IFERROR(__xludf.DUMMYFUNCTION("RANK($I18, $I$2:$I1000, FALSE) + RANK($M18, Filter($M$2:$M1000, $I$2:$I1000=$I18),FALSE)+RANK($U18, Filter($U$2:$U1000, $I$2:$I1000=$I18,$M$2:$M1000=$M18),FALSE)-2"),1.0)</f>
        <v>1</v>
      </c>
      <c r="W18" s="124" t="str">
        <f t="shared" si="9"/>
        <v>Underplay</v>
      </c>
      <c r="X18" s="125" t="str">
        <f t="shared" si="10"/>
        <v/>
      </c>
      <c r="Y18" s="126">
        <f>MAXIFS(Matches!$A:$A,Matches!$C:$C,$B18)</f>
        <v>0</v>
      </c>
      <c r="Z18" s="126">
        <f t="array" ref="Z18">XLOOKUP(Y18,Quotas!$B$7:$B$10,Quotas!$A$7:$A$10,0,-1)</f>
        <v>0</v>
      </c>
      <c r="AB18" s="31"/>
      <c r="AC18" s="31">
        <f>COUNTIFS(Matches!$A:$A,"&gt;"&amp;Y18,Matches!$B:$B,$B18)</f>
        <v>0</v>
      </c>
      <c r="AD18" s="31"/>
      <c r="AE18" s="127">
        <f>SUMIF('Pool Changes'!B:B, B18, 'Pool Changes'!H:H)</f>
        <v>0</v>
      </c>
    </row>
    <row r="19">
      <c r="A19" s="104">
        <f t="shared" si="1"/>
        <v>1</v>
      </c>
      <c r="C19" s="128"/>
      <c r="D19" s="74"/>
      <c r="E19" s="1"/>
      <c r="F19" s="1"/>
      <c r="G19" s="1"/>
      <c r="H19" s="118">
        <f>COUNTIF(Entropy!$D:$D,$B19)+COUNTIF(Matches!$B:$B,$B19)+COUNTIF(Matches!$C:$C,$B19)</f>
        <v>0</v>
      </c>
      <c r="I19" s="119">
        <f>COUNTIF(Matches!$B:$B,B19)</f>
        <v>0</v>
      </c>
      <c r="J19" s="31">
        <f t="shared" si="2"/>
        <v>0</v>
      </c>
      <c r="K19" s="1" t="str">
        <f t="shared" si="3"/>
        <v>0 - 0</v>
      </c>
      <c r="L19" s="120">
        <f>COUNTIF(Entropy!$D:$D,$B19)</f>
        <v>0</v>
      </c>
      <c r="M19" s="121">
        <f t="shared" si="4"/>
        <v>0</v>
      </c>
      <c r="N19" s="121">
        <f t="shared" si="5"/>
        <v>0</v>
      </c>
      <c r="O19" s="118">
        <f>IF($J19=11,0,IF(AND($H19 &gt;=VLOOKUP('Combined Standings'!$C$2,Quotas!$A$7:$E$14,4,FALSE), $H19&lt;=VLOOKUP('Combined Standings'!$C$2,Quotas!$A$7:$E$14,5,FALSE)), 0,VLOOKUP('Combined Standings'!$C$2,Quotas!$A$7:$E$11,4,FALSE)-$H19))</f>
        <v>13</v>
      </c>
      <c r="P19" s="118">
        <f>IF($J19=11,0,IF(AND($H19 &gt;=VLOOKUP('Combined Standings'!$C$2,Quotas!$A$7:$E$14,5,FALSE), $H19&lt;=VLOOKUP('Combined Standings'!$C$2,Quotas!$A$7:$E$14,5,FALSE)), 0,VLOOKUP('Combined Standings'!$C$2,Quotas!$A$7:$E$11,5,FALSE)-$H19))</f>
        <v>15</v>
      </c>
      <c r="Q19" s="31">
        <f t="shared" si="6"/>
        <v>11</v>
      </c>
      <c r="R19" s="122" t="str">
        <f t="shared" si="7"/>
        <v/>
      </c>
      <c r="S19" s="121">
        <f t="shared" si="8"/>
        <v>0.33</v>
      </c>
      <c r="T19" s="122" t="str">
        <f>IFERROR(__xludf.DUMMYFUNCTION("JOIN("","",IFERROR(FILTER(Matches!$B:$B,B19=Matches!$C:$C),""""),IFERROR(FILTER(Matches!$C:$C,B19=Matches!$B:$B),""""))"),",,,,,,,,,,,,,,,,,,,,,,,,,,,,,,,,,,,,,,,,,,,,,,,,,,,,,,,,,,,,,,,,,,,,,,,,,,,,,,,,,,,,,,,,,,,,,,,,,,,,,,,,,,,,,,,,,,,,,,,,,,,,,,,,,,,,,,,,,,,,,,,,,,,,,,,,,,,,,,,,,,,,,,,,,,,,,,,,,,,,,,,,,,,,,,,,,,,,,,,,,,,,,,,,,,,,,,,,,,,,,,,,,,,,,,,,,,,,,,,,,,,,,,,,,,,,,,,")</f>
        <v>,,,,,,,,,,,,,,,,,,,,,,,,,,,,,,,,,,,,,,,,,,,,,,,,,,,,,,,,,,,,,,,,,,,,,,,,,,,,,,,,,,,,,,,,,,,,,,,,,,,,,,,,,,,,,,,,,,,,,,,,,,,,,,,,,,,,,,,,,,,,,,,,,,,,,,,,,,,,,,,,,,,,,,,,,,,,,,,,,,,,,,,,,,,,,,,,,,,,,,,,,,,,,,,,,,,,,,,,,,,,,,,,,,,,,,,,,,,,,,,,,,,,,,,,,,,,,,,</v>
      </c>
      <c r="U19" s="121">
        <f>IFERROR(__xludf.DUMMYFUNCTION("iferror(AVERAGE(ARRAYFORMULA(VLOOKUP(SPLIT(T19,"","",TRUE,TRUE),$R$2:$S1000,2,FALSE))),0)"),0.0)</f>
        <v>0</v>
      </c>
      <c r="V19" s="123">
        <f>IFERROR(__xludf.DUMMYFUNCTION("RANK($I19, $I$2:$I1000, FALSE) + RANK($M19, Filter($M$2:$M1000, $I$2:$I1000=$I19),FALSE)+RANK($U19, Filter($U$2:$U1000, $I$2:$I1000=$I19,$M$2:$M1000=$M19),FALSE)-2"),1.0)</f>
        <v>1</v>
      </c>
      <c r="W19" s="124" t="str">
        <f t="shared" si="9"/>
        <v>Underplay</v>
      </c>
      <c r="X19" s="125" t="str">
        <f t="shared" si="10"/>
        <v/>
      </c>
      <c r="Y19" s="126">
        <f>MAXIFS(Matches!$A:$A,Matches!$C:$C,$B19)</f>
        <v>0</v>
      </c>
      <c r="Z19" s="126">
        <f t="array" ref="Z19">XLOOKUP(Y19,Quotas!$B$7:$B$10,Quotas!$A$7:$A$10,0,-1)</f>
        <v>0</v>
      </c>
      <c r="AB19" s="31"/>
      <c r="AC19" s="31">
        <f>COUNTIFS(Matches!$A:$A,"&gt;"&amp;Y19,Matches!$B:$B,$B19)</f>
        <v>0</v>
      </c>
      <c r="AD19" s="31"/>
      <c r="AE19" s="127">
        <f>SUMIF('Pool Changes'!B:B, B19, 'Pool Changes'!H:H)</f>
        <v>0</v>
      </c>
    </row>
    <row r="20">
      <c r="A20" s="104">
        <f t="shared" si="1"/>
        <v>1</v>
      </c>
      <c r="C20" s="128"/>
      <c r="D20" s="74"/>
      <c r="E20" s="1"/>
      <c r="F20" s="1"/>
      <c r="G20" s="1"/>
      <c r="H20" s="118">
        <f>COUNTIF(Entropy!$D:$D,$B20)+COUNTIF(Matches!$B:$B,$B20)+COUNTIF(Matches!$C:$C,$B20)</f>
        <v>0</v>
      </c>
      <c r="I20" s="119">
        <f>COUNTIF(Matches!$B:$B,B20)</f>
        <v>0</v>
      </c>
      <c r="J20" s="31">
        <f t="shared" si="2"/>
        <v>0</v>
      </c>
      <c r="K20" s="1" t="str">
        <f t="shared" si="3"/>
        <v>0 - 0</v>
      </c>
      <c r="L20" s="120">
        <f>COUNTIF(Entropy!$D:$D,$B20)</f>
        <v>0</v>
      </c>
      <c r="M20" s="121">
        <f t="shared" si="4"/>
        <v>0</v>
      </c>
      <c r="N20" s="121">
        <f t="shared" si="5"/>
        <v>0</v>
      </c>
      <c r="O20" s="118">
        <f>IF($J20=11,0,IF(AND($H20 &gt;=VLOOKUP('Combined Standings'!$C$2,Quotas!$A$7:$E$14,4,FALSE), $H20&lt;=VLOOKUP('Combined Standings'!$C$2,Quotas!$A$7:$E$14,5,FALSE)), 0,VLOOKUP('Combined Standings'!$C$2,Quotas!$A$7:$E$11,4,FALSE)-$H20))</f>
        <v>13</v>
      </c>
      <c r="P20" s="118">
        <f>IF($J20=11,0,IF(AND($H20 &gt;=VLOOKUP('Combined Standings'!$C$2,Quotas!$A$7:$E$14,5,FALSE), $H20&lt;=VLOOKUP('Combined Standings'!$C$2,Quotas!$A$7:$E$14,5,FALSE)), 0,VLOOKUP('Combined Standings'!$C$2,Quotas!$A$7:$E$11,5,FALSE)-$H20))</f>
        <v>15</v>
      </c>
      <c r="Q20" s="31">
        <f t="shared" si="6"/>
        <v>11</v>
      </c>
      <c r="R20" s="122" t="str">
        <f t="shared" si="7"/>
        <v/>
      </c>
      <c r="S20" s="121">
        <f t="shared" si="8"/>
        <v>0.33</v>
      </c>
      <c r="T20" s="122" t="str">
        <f>IFERROR(__xludf.DUMMYFUNCTION("JOIN("","",IFERROR(FILTER(Matches!$B:$B,B20=Matches!$C:$C),""""),IFERROR(FILTER(Matches!$C:$C,B20=Matches!$B:$B),""""))"),",,,,,,,,,,,,,,,,,,,,,,,,,,,,,,,,,,,,,,,,,,,,,,,,,,,,,,,,,,,,,,,,,,,,,,,,,,,,,,,,,,,,,,,,,,,,,,,,,,,,,,,,,,,,,,,,,,,,,,,,,,,,,,,,,,,,,,,,,,,,,,,,,,,,,,,,,,,,,,,,,,,,,,,,,,,,,,,,,,,,,,,,,,,,,,,,,,,,,,,,,,,,,,,,,,,,,,,,,,,,,,,,,,,,,,,,,,,,,,,,,,,,,,,,,,,,,,,")</f>
        <v>,,,,,,,,,,,,,,,,,,,,,,,,,,,,,,,,,,,,,,,,,,,,,,,,,,,,,,,,,,,,,,,,,,,,,,,,,,,,,,,,,,,,,,,,,,,,,,,,,,,,,,,,,,,,,,,,,,,,,,,,,,,,,,,,,,,,,,,,,,,,,,,,,,,,,,,,,,,,,,,,,,,,,,,,,,,,,,,,,,,,,,,,,,,,,,,,,,,,,,,,,,,,,,,,,,,,,,,,,,,,,,,,,,,,,,,,,,,,,,,,,,,,,,,,,,,,,,,</v>
      </c>
      <c r="U20" s="121">
        <f>IFERROR(__xludf.DUMMYFUNCTION("iferror(AVERAGE(ARRAYFORMULA(VLOOKUP(SPLIT(T20,"","",TRUE,TRUE),$R$2:$S1000,2,FALSE))),0)"),0.0)</f>
        <v>0</v>
      </c>
      <c r="V20" s="123">
        <f>IFERROR(__xludf.DUMMYFUNCTION("RANK($I20, $I$2:$I1000, FALSE) + RANK($M20, Filter($M$2:$M1000, $I$2:$I1000=$I20),FALSE)+RANK($U20, Filter($U$2:$U1000, $I$2:$I1000=$I20,$M$2:$M1000=$M20),FALSE)-2"),1.0)</f>
        <v>1</v>
      </c>
      <c r="W20" s="124" t="str">
        <f t="shared" si="9"/>
        <v>Underplay</v>
      </c>
      <c r="X20" s="125" t="str">
        <f t="shared" si="10"/>
        <v/>
      </c>
      <c r="Y20" s="126">
        <f>MAXIFS(Matches!$A:$A,Matches!$C:$C,$B20)</f>
        <v>0</v>
      </c>
      <c r="Z20" s="126">
        <f t="array" ref="Z20">XLOOKUP(Y20,Quotas!$B$7:$B$10,Quotas!$A$7:$A$10,0,-1)</f>
        <v>0</v>
      </c>
      <c r="AB20" s="31"/>
      <c r="AC20" s="31">
        <f>COUNTIFS(Matches!$A:$A,"&gt;"&amp;Y20,Matches!$B:$B,$B20)</f>
        <v>0</v>
      </c>
      <c r="AD20" s="31"/>
      <c r="AE20" s="127">
        <f>SUMIF('Pool Changes'!B:B, B20, 'Pool Changes'!H:H)</f>
        <v>0</v>
      </c>
    </row>
    <row r="21">
      <c r="A21" s="104">
        <f t="shared" si="1"/>
        <v>1</v>
      </c>
      <c r="C21" s="128"/>
      <c r="D21" s="74"/>
      <c r="E21" s="1"/>
      <c r="F21" s="1"/>
      <c r="G21" s="1"/>
      <c r="H21" s="118">
        <f>COUNTIF(Entropy!$D:$D,$B21)+COUNTIF(Matches!$B:$B,$B21)+COUNTIF(Matches!$C:$C,$B21)</f>
        <v>0</v>
      </c>
      <c r="I21" s="119">
        <f>COUNTIF(Matches!$B:$B,B21)</f>
        <v>0</v>
      </c>
      <c r="J21" s="31">
        <f t="shared" si="2"/>
        <v>0</v>
      </c>
      <c r="K21" s="1" t="str">
        <f t="shared" si="3"/>
        <v>0 - 0</v>
      </c>
      <c r="L21" s="120">
        <f>COUNTIF(Entropy!$D:$D,$B21)</f>
        <v>0</v>
      </c>
      <c r="M21" s="121">
        <f t="shared" si="4"/>
        <v>0</v>
      </c>
      <c r="N21" s="121">
        <f t="shared" si="5"/>
        <v>0</v>
      </c>
      <c r="O21" s="118">
        <f>IF($J21=11,0,IF(AND($H21 &gt;=VLOOKUP('Combined Standings'!$C$2,Quotas!$A$7:$E$14,4,FALSE), $H21&lt;=VLOOKUP('Combined Standings'!$C$2,Quotas!$A$7:$E$14,5,FALSE)), 0,VLOOKUP('Combined Standings'!$C$2,Quotas!$A$7:$E$11,4,FALSE)-$H21))</f>
        <v>13</v>
      </c>
      <c r="P21" s="118">
        <f>IF($J21=11,0,IF(AND($H21 &gt;=VLOOKUP('Combined Standings'!$C$2,Quotas!$A$7:$E$14,5,FALSE), $H21&lt;=VLOOKUP('Combined Standings'!$C$2,Quotas!$A$7:$E$14,5,FALSE)), 0,VLOOKUP('Combined Standings'!$C$2,Quotas!$A$7:$E$11,5,FALSE)-$H21))</f>
        <v>15</v>
      </c>
      <c r="Q21" s="31">
        <f t="shared" si="6"/>
        <v>11</v>
      </c>
      <c r="R21" s="122" t="str">
        <f t="shared" si="7"/>
        <v/>
      </c>
      <c r="S21" s="121">
        <f t="shared" si="8"/>
        <v>0.33</v>
      </c>
      <c r="T21" s="122" t="str">
        <f>IFERROR(__xludf.DUMMYFUNCTION("JOIN("","",IFERROR(FILTER(Matches!$B:$B,B21=Matches!$C:$C),""""),IFERROR(FILTER(Matches!$C:$C,B21=Matches!$B:$B),""""))"),",,,,,,,,,,,,,,,,,,,,,,,,,,,,,,,,,,,,,,,,,,,,,,,,,,,,,,,,,,,,,,,,,,,,,,,,,,,,,,,,,,,,,,,,,,,,,,,,,,,,,,,,,,,,,,,,,,,,,,,,,,,,,,,,,,,,,,,,,,,,,,,,,,,,,,,,,,,,,,,,,,,,,,,,,,,,,,,,,,,,,,,,,,,,,,,,,,,,,,,,,,,,,,,,,,,,,,,,,,,,,,,,,,,,,,,,,,,,,,,,,,,,,,,,,,,,,,,")</f>
        <v>,,,,,,,,,,,,,,,,,,,,,,,,,,,,,,,,,,,,,,,,,,,,,,,,,,,,,,,,,,,,,,,,,,,,,,,,,,,,,,,,,,,,,,,,,,,,,,,,,,,,,,,,,,,,,,,,,,,,,,,,,,,,,,,,,,,,,,,,,,,,,,,,,,,,,,,,,,,,,,,,,,,,,,,,,,,,,,,,,,,,,,,,,,,,,,,,,,,,,,,,,,,,,,,,,,,,,,,,,,,,,,,,,,,,,,,,,,,,,,,,,,,,,,,,,,,,,,,</v>
      </c>
      <c r="U21" s="121">
        <f>IFERROR(__xludf.DUMMYFUNCTION("iferror(AVERAGE(ARRAYFORMULA(VLOOKUP(SPLIT(T21,"","",TRUE,TRUE),$R$2:$S1000,2,FALSE))),0)"),0.0)</f>
        <v>0</v>
      </c>
      <c r="V21" s="123">
        <f>IFERROR(__xludf.DUMMYFUNCTION("RANK($I21, $I$2:$I1000, FALSE) + RANK($M21, Filter($M$2:$M1000, $I$2:$I1000=$I21),FALSE)+RANK($U21, Filter($U$2:$U1000, $I$2:$I1000=$I21,$M$2:$M1000=$M21),FALSE)-2"),1.0)</f>
        <v>1</v>
      </c>
      <c r="W21" s="124" t="str">
        <f t="shared" si="9"/>
        <v>Underplay</v>
      </c>
      <c r="X21" s="125" t="str">
        <f t="shared" si="10"/>
        <v/>
      </c>
      <c r="Y21" s="126">
        <f>MAXIFS(Matches!$A:$A,Matches!$C:$C,$B21)</f>
        <v>0</v>
      </c>
      <c r="Z21" s="126">
        <f t="array" ref="Z21">XLOOKUP(Y21,Quotas!$B$7:$B$10,Quotas!$A$7:$A$10,0,-1)</f>
        <v>0</v>
      </c>
      <c r="AB21" s="31"/>
      <c r="AC21" s="31">
        <f>COUNTIFS(Matches!$A:$A,"&gt;"&amp;Y21,Matches!$B:$B,$B21)</f>
        <v>0</v>
      </c>
      <c r="AD21" s="31"/>
      <c r="AE21" s="127">
        <f>SUMIF('Pool Changes'!B:B, B21, 'Pool Changes'!H:H)</f>
        <v>0</v>
      </c>
    </row>
    <row r="22">
      <c r="A22" s="104">
        <f t="shared" si="1"/>
        <v>1</v>
      </c>
      <c r="C22" s="128"/>
      <c r="D22" s="74"/>
      <c r="E22" s="1"/>
      <c r="F22" s="1"/>
      <c r="G22" s="1"/>
      <c r="H22" s="118">
        <f>COUNTIF(Entropy!$D:$D,$B22)+COUNTIF(Matches!$B:$B,$B22)+COUNTIF(Matches!$C:$C,$B22)</f>
        <v>0</v>
      </c>
      <c r="I22" s="119">
        <f>COUNTIF(Matches!$B:$B,B22)</f>
        <v>0</v>
      </c>
      <c r="J22" s="31">
        <f t="shared" si="2"/>
        <v>0</v>
      </c>
      <c r="K22" s="1" t="str">
        <f t="shared" si="3"/>
        <v>0 - 0</v>
      </c>
      <c r="L22" s="120">
        <f>COUNTIF(Entropy!$D:$D,$B22)</f>
        <v>0</v>
      </c>
      <c r="M22" s="121">
        <f t="shared" si="4"/>
        <v>0</v>
      </c>
      <c r="N22" s="121">
        <f t="shared" si="5"/>
        <v>0</v>
      </c>
      <c r="O22" s="118">
        <f>IF($J22=11,0,IF(AND($H22 &gt;=VLOOKUP('Combined Standings'!$C$2,Quotas!$A$7:$E$14,4,FALSE), $H22&lt;=VLOOKUP('Combined Standings'!$C$2,Quotas!$A$7:$E$14,5,FALSE)), 0,VLOOKUP('Combined Standings'!$C$2,Quotas!$A$7:$E$11,4,FALSE)-$H22))</f>
        <v>13</v>
      </c>
      <c r="P22" s="118">
        <f>IF($J22=11,0,IF(AND($H22 &gt;=VLOOKUP('Combined Standings'!$C$2,Quotas!$A$7:$E$14,5,FALSE), $H22&lt;=VLOOKUP('Combined Standings'!$C$2,Quotas!$A$7:$E$14,5,FALSE)), 0,VLOOKUP('Combined Standings'!$C$2,Quotas!$A$7:$E$11,5,FALSE)-$H22))</f>
        <v>15</v>
      </c>
      <c r="Q22" s="31">
        <f t="shared" si="6"/>
        <v>11</v>
      </c>
      <c r="R22" s="122" t="str">
        <f t="shared" si="7"/>
        <v/>
      </c>
      <c r="S22" s="121">
        <f t="shared" si="8"/>
        <v>0.33</v>
      </c>
      <c r="T22" s="122" t="str">
        <f>IFERROR(__xludf.DUMMYFUNCTION("JOIN("","",IFERROR(FILTER(Matches!$B:$B,B22=Matches!$C:$C),""""),IFERROR(FILTER(Matches!$C:$C,B22=Matches!$B:$B),""""))"),",,,,,,,,,,,,,,,,,,,,,,,,,,,,,,,,,,,,,,,,,,,,,,,,,,,,,,,,,,,,,,,,,,,,,,,,,,,,,,,,,,,,,,,,,,,,,,,,,,,,,,,,,,,,,,,,,,,,,,,,,,,,,,,,,,,,,,,,,,,,,,,,,,,,,,,,,,,,,,,,,,,,,,,,,,,,,,,,,,,,,,,,,,,,,,,,,,,,,,,,,,,,,,,,,,,,,,,,,,,,,,,,,,,,,,,,,,,,,,,,,,,,,,,,,,,,,,,")</f>
        <v>,,,,,,,,,,,,,,,,,,,,,,,,,,,,,,,,,,,,,,,,,,,,,,,,,,,,,,,,,,,,,,,,,,,,,,,,,,,,,,,,,,,,,,,,,,,,,,,,,,,,,,,,,,,,,,,,,,,,,,,,,,,,,,,,,,,,,,,,,,,,,,,,,,,,,,,,,,,,,,,,,,,,,,,,,,,,,,,,,,,,,,,,,,,,,,,,,,,,,,,,,,,,,,,,,,,,,,,,,,,,,,,,,,,,,,,,,,,,,,,,,,,,,,,,,,,,,,,</v>
      </c>
      <c r="U22" s="121">
        <f>IFERROR(__xludf.DUMMYFUNCTION("iferror(AVERAGE(ARRAYFORMULA(VLOOKUP(SPLIT(T22,"","",TRUE,TRUE),$R$2:$S1000,2,FALSE))),0)"),0.0)</f>
        <v>0</v>
      </c>
      <c r="V22" s="123">
        <f>IFERROR(__xludf.DUMMYFUNCTION("RANK($I22, $I$2:$I1000, FALSE) + RANK($M22, Filter($M$2:$M1000, $I$2:$I1000=$I22),FALSE)+RANK($U22, Filter($U$2:$U1000, $I$2:$I1000=$I22,$M$2:$M1000=$M22),FALSE)-2"),1.0)</f>
        <v>1</v>
      </c>
      <c r="W22" s="124" t="str">
        <f t="shared" si="9"/>
        <v>Underplay</v>
      </c>
      <c r="X22" s="125" t="str">
        <f t="shared" si="10"/>
        <v/>
      </c>
      <c r="Y22" s="126">
        <f>MAXIFS(Matches!$A:$A,Matches!$C:$C,$B22)</f>
        <v>0</v>
      </c>
      <c r="Z22" s="126">
        <f t="array" ref="Z22">XLOOKUP(Y22,Quotas!$B$7:$B$10,Quotas!$A$7:$A$10,0,-1)</f>
        <v>0</v>
      </c>
      <c r="AB22" s="31"/>
      <c r="AC22" s="31">
        <f>COUNTIFS(Matches!$A:$A,"&gt;"&amp;Y22,Matches!$B:$B,$B22)</f>
        <v>0</v>
      </c>
      <c r="AD22" s="31"/>
      <c r="AE22" s="127">
        <f>SUMIF('Pool Changes'!B:B, B22, 'Pool Changes'!H:H)</f>
        <v>0</v>
      </c>
    </row>
    <row r="23">
      <c r="A23" s="104">
        <f t="shared" si="1"/>
        <v>1</v>
      </c>
      <c r="C23" s="128"/>
      <c r="D23" s="74"/>
      <c r="E23" s="1"/>
      <c r="F23" s="1"/>
      <c r="G23" s="1"/>
      <c r="H23" s="118">
        <f>COUNTIF(Entropy!$D:$D,$B23)+COUNTIF(Matches!$B:$B,$B23)+COUNTIF(Matches!$C:$C,$B23)</f>
        <v>0</v>
      </c>
      <c r="I23" s="119">
        <f>COUNTIF(Matches!$B:$B,B23)</f>
        <v>0</v>
      </c>
      <c r="J23" s="31">
        <f t="shared" si="2"/>
        <v>0</v>
      </c>
      <c r="K23" s="1" t="str">
        <f t="shared" si="3"/>
        <v>0 - 0</v>
      </c>
      <c r="L23" s="120">
        <f>COUNTIF(Entropy!$D:$D,$B23)</f>
        <v>0</v>
      </c>
      <c r="M23" s="121">
        <f t="shared" si="4"/>
        <v>0</v>
      </c>
      <c r="N23" s="121">
        <f t="shared" si="5"/>
        <v>0</v>
      </c>
      <c r="O23" s="118">
        <f>IF($J23=11,0,IF(AND($H23 &gt;=VLOOKUP('Combined Standings'!$C$2,Quotas!$A$7:$E$14,4,FALSE), $H23&lt;=VLOOKUP('Combined Standings'!$C$2,Quotas!$A$7:$E$14,5,FALSE)), 0,VLOOKUP('Combined Standings'!$C$2,Quotas!$A$7:$E$11,4,FALSE)-$H23))</f>
        <v>13</v>
      </c>
      <c r="P23" s="118">
        <f>IF($J23=11,0,IF(AND($H23 &gt;=VLOOKUP('Combined Standings'!$C$2,Quotas!$A$7:$E$14,5,FALSE), $H23&lt;=VLOOKUP('Combined Standings'!$C$2,Quotas!$A$7:$E$14,5,FALSE)), 0,VLOOKUP('Combined Standings'!$C$2,Quotas!$A$7:$E$11,5,FALSE)-$H23))</f>
        <v>15</v>
      </c>
      <c r="Q23" s="31">
        <f t="shared" si="6"/>
        <v>11</v>
      </c>
      <c r="R23" s="122" t="str">
        <f t="shared" si="7"/>
        <v/>
      </c>
      <c r="S23" s="121">
        <f t="shared" si="8"/>
        <v>0.33</v>
      </c>
      <c r="T23" s="122" t="str">
        <f>IFERROR(__xludf.DUMMYFUNCTION("JOIN("","",IFERROR(FILTER(Matches!$B:$B,B23=Matches!$C:$C),""""),IFERROR(FILTER(Matches!$C:$C,B23=Matches!$B:$B),""""))"),",,,,,,,,,,,,,,,,,,,,,,,,,,,,,,,,,,,,,,,,,,,,,,,,,,,,,,,,,,,,,,,,,,,,,,,,,,,,,,,,,,,,,,,,,,,,,,,,,,,,,,,,,,,,,,,,,,,,,,,,,,,,,,,,,,,,,,,,,,,,,,,,,,,,,,,,,,,,,,,,,,,,,,,,,,,,,,,,,,,,,,,,,,,,,,,,,,,,,,,,,,,,,,,,,,,,,,,,,,,,,,,,,,,,,,,,,,,,,,,,,,,,,,,,,,,,,,,")</f>
        <v>,,,,,,,,,,,,,,,,,,,,,,,,,,,,,,,,,,,,,,,,,,,,,,,,,,,,,,,,,,,,,,,,,,,,,,,,,,,,,,,,,,,,,,,,,,,,,,,,,,,,,,,,,,,,,,,,,,,,,,,,,,,,,,,,,,,,,,,,,,,,,,,,,,,,,,,,,,,,,,,,,,,,,,,,,,,,,,,,,,,,,,,,,,,,,,,,,,,,,,,,,,,,,,,,,,,,,,,,,,,,,,,,,,,,,,,,,,,,,,,,,,,,,,,,,,,,,,,</v>
      </c>
      <c r="U23" s="121">
        <f>IFERROR(__xludf.DUMMYFUNCTION("iferror(AVERAGE(ARRAYFORMULA(VLOOKUP(SPLIT(T23,"","",TRUE,TRUE),$R$2:$S1000,2,FALSE))),0)"),0.0)</f>
        <v>0</v>
      </c>
      <c r="V23" s="123">
        <f>IFERROR(__xludf.DUMMYFUNCTION("RANK($I23, $I$2:$I1000, FALSE) + RANK($M23, Filter($M$2:$M1000, $I$2:$I1000=$I23),FALSE)+RANK($U23, Filter($U$2:$U1000, $I$2:$I1000=$I23,$M$2:$M1000=$M23),FALSE)-2"),1.0)</f>
        <v>1</v>
      </c>
      <c r="W23" s="124" t="str">
        <f t="shared" si="9"/>
        <v>Underplay</v>
      </c>
      <c r="X23" s="125" t="str">
        <f t="shared" si="10"/>
        <v/>
      </c>
      <c r="Y23" s="126">
        <f>MAXIFS(Matches!$A:$A,Matches!$C:$C,$B23)</f>
        <v>0</v>
      </c>
      <c r="Z23" s="126">
        <f t="array" ref="Z23">XLOOKUP(Y23,Quotas!$B$7:$B$10,Quotas!$A$7:$A$10,0,-1)</f>
        <v>0</v>
      </c>
      <c r="AB23" s="31"/>
      <c r="AC23" s="31">
        <f>COUNTIFS(Matches!$A:$A,"&gt;"&amp;Y23,Matches!$B:$B,$B23)</f>
        <v>0</v>
      </c>
      <c r="AD23" s="31"/>
      <c r="AE23" s="127">
        <f>SUMIF('Pool Changes'!B:B, B23, 'Pool Changes'!H:H)</f>
        <v>0</v>
      </c>
    </row>
    <row r="24">
      <c r="A24" s="104">
        <f t="shared" si="1"/>
        <v>1</v>
      </c>
      <c r="C24" s="128"/>
      <c r="D24" s="74"/>
      <c r="E24" s="1"/>
      <c r="F24" s="1"/>
      <c r="G24" s="1"/>
      <c r="H24" s="118">
        <f>COUNTIF(Entropy!$D:$D,$B24)+COUNTIF(Matches!$B:$B,$B24)+COUNTIF(Matches!$C:$C,$B24)</f>
        <v>0</v>
      </c>
      <c r="I24" s="119">
        <f>COUNTIF(Matches!$B:$B,B24)</f>
        <v>0</v>
      </c>
      <c r="J24" s="31">
        <f t="shared" si="2"/>
        <v>0</v>
      </c>
      <c r="K24" s="1" t="str">
        <f t="shared" si="3"/>
        <v>0 - 0</v>
      </c>
      <c r="L24" s="120">
        <f>COUNTIF(Entropy!$D:$D,$B24)</f>
        <v>0</v>
      </c>
      <c r="M24" s="121">
        <f t="shared" si="4"/>
        <v>0</v>
      </c>
      <c r="N24" s="121">
        <f t="shared" si="5"/>
        <v>0</v>
      </c>
      <c r="O24" s="118">
        <f>IF($J24=11,0,IF(AND($H24 &gt;=VLOOKUP('Combined Standings'!$C$2,Quotas!$A$7:$E$14,4,FALSE), $H24&lt;=VLOOKUP('Combined Standings'!$C$2,Quotas!$A$7:$E$14,5,FALSE)), 0,VLOOKUP('Combined Standings'!$C$2,Quotas!$A$7:$E$11,4,FALSE)-$H24))</f>
        <v>13</v>
      </c>
      <c r="P24" s="118">
        <f>IF($J24=11,0,IF(AND($H24 &gt;=VLOOKUP('Combined Standings'!$C$2,Quotas!$A$7:$E$14,5,FALSE), $H24&lt;=VLOOKUP('Combined Standings'!$C$2,Quotas!$A$7:$E$14,5,FALSE)), 0,VLOOKUP('Combined Standings'!$C$2,Quotas!$A$7:$E$11,5,FALSE)-$H24))</f>
        <v>15</v>
      </c>
      <c r="Q24" s="31">
        <f t="shared" si="6"/>
        <v>11</v>
      </c>
      <c r="R24" s="122" t="str">
        <f t="shared" si="7"/>
        <v/>
      </c>
      <c r="S24" s="121">
        <f t="shared" si="8"/>
        <v>0.33</v>
      </c>
      <c r="T24" s="122" t="str">
        <f>IFERROR(__xludf.DUMMYFUNCTION("JOIN("","",IFERROR(FILTER(Matches!$B:$B,B24=Matches!$C:$C),""""),IFERROR(FILTER(Matches!$C:$C,B24=Matches!$B:$B),""""))"),",,,,,,,,,,,,,,,,,,,,,,,,,,,,,,,,,,,,,,,,,,,,,,,,,,,,,,,,,,,,,,,,,,,,,,,,,,,,,,,,,,,,,,,,,,,,,,,,,,,,,,,,,,,,,,,,,,,,,,,,,,,,,,,,,,,,,,,,,,,,,,,,,,,,,,,,,,,,,,,,,,,,,,,,,,,,,,,,,,,,,,,,,,,,,,,,,,,,,,,,,,,,,,,,,,,,,,,,,,,,,,,,,,,,,,,,,,,,,,,,,,,,,,,,,,,,,,,")</f>
        <v>,,,,,,,,,,,,,,,,,,,,,,,,,,,,,,,,,,,,,,,,,,,,,,,,,,,,,,,,,,,,,,,,,,,,,,,,,,,,,,,,,,,,,,,,,,,,,,,,,,,,,,,,,,,,,,,,,,,,,,,,,,,,,,,,,,,,,,,,,,,,,,,,,,,,,,,,,,,,,,,,,,,,,,,,,,,,,,,,,,,,,,,,,,,,,,,,,,,,,,,,,,,,,,,,,,,,,,,,,,,,,,,,,,,,,,,,,,,,,,,,,,,,,,,,,,,,,,,</v>
      </c>
      <c r="U24" s="121">
        <f>IFERROR(__xludf.DUMMYFUNCTION("iferror(AVERAGE(ARRAYFORMULA(VLOOKUP(SPLIT(T24,"","",TRUE,TRUE),$R$2:$S1000,2,FALSE))),0)"),0.0)</f>
        <v>0</v>
      </c>
      <c r="V24" s="123">
        <f>IFERROR(__xludf.DUMMYFUNCTION("RANK($I24, $I$2:$I1000, FALSE) + RANK($M24, Filter($M$2:$M1000, $I$2:$I1000=$I24),FALSE)+RANK($U24, Filter($U$2:$U1000, $I$2:$I1000=$I24,$M$2:$M1000=$M24),FALSE)-2"),1.0)</f>
        <v>1</v>
      </c>
      <c r="W24" s="124" t="str">
        <f t="shared" si="9"/>
        <v>Underplay</v>
      </c>
      <c r="X24" s="125" t="str">
        <f t="shared" si="10"/>
        <v/>
      </c>
      <c r="Y24" s="126">
        <f>MAXIFS(Matches!$A:$A,Matches!$C:$C,$B24)</f>
        <v>0</v>
      </c>
      <c r="Z24" s="126">
        <f t="array" ref="Z24">XLOOKUP(Y24,Quotas!$B$7:$B$10,Quotas!$A$7:$A$10,0,-1)</f>
        <v>0</v>
      </c>
      <c r="AB24" s="31"/>
      <c r="AC24" s="31">
        <f>COUNTIFS(Matches!$A:$A,"&gt;"&amp;Y24,Matches!$B:$B,$B24)</f>
        <v>0</v>
      </c>
      <c r="AD24" s="31"/>
      <c r="AE24" s="127">
        <f>SUMIF('Pool Changes'!B:B, B24, 'Pool Changes'!H:H)</f>
        <v>0</v>
      </c>
    </row>
    <row r="25">
      <c r="A25" s="104">
        <f t="shared" si="1"/>
        <v>1</v>
      </c>
      <c r="C25" s="128"/>
      <c r="D25" s="74"/>
      <c r="E25" s="1"/>
      <c r="F25" s="1"/>
      <c r="G25" s="1"/>
      <c r="H25" s="118">
        <f>COUNTIF(Entropy!$D:$D,$B25)+COUNTIF(Matches!$B:$B,$B25)+COUNTIF(Matches!$C:$C,$B25)</f>
        <v>0</v>
      </c>
      <c r="I25" s="119">
        <f>COUNTIF(Matches!$B:$B,B25)</f>
        <v>0</v>
      </c>
      <c r="J25" s="31">
        <f t="shared" si="2"/>
        <v>0</v>
      </c>
      <c r="K25" s="1" t="str">
        <f t="shared" si="3"/>
        <v>0 - 0</v>
      </c>
      <c r="L25" s="120">
        <f>COUNTIF(Entropy!$D:$D,$B25)</f>
        <v>0</v>
      </c>
      <c r="M25" s="121">
        <f t="shared" si="4"/>
        <v>0</v>
      </c>
      <c r="N25" s="121">
        <f t="shared" si="5"/>
        <v>0</v>
      </c>
      <c r="O25" s="118">
        <f>IF($J25=11,0,IF(AND($H25 &gt;=VLOOKUP('Combined Standings'!$C$2,Quotas!$A$7:$E$14,4,FALSE), $H25&lt;=VLOOKUP('Combined Standings'!$C$2,Quotas!$A$7:$E$14,5,FALSE)), 0,VLOOKUP('Combined Standings'!$C$2,Quotas!$A$7:$E$11,4,FALSE)-$H25))</f>
        <v>13</v>
      </c>
      <c r="P25" s="118">
        <f>IF($J25=11,0,IF(AND($H25 &gt;=VLOOKUP('Combined Standings'!$C$2,Quotas!$A$7:$E$14,5,FALSE), $H25&lt;=VLOOKUP('Combined Standings'!$C$2,Quotas!$A$7:$E$14,5,FALSE)), 0,VLOOKUP('Combined Standings'!$C$2,Quotas!$A$7:$E$11,5,FALSE)-$H25))</f>
        <v>15</v>
      </c>
      <c r="Q25" s="31">
        <f t="shared" si="6"/>
        <v>11</v>
      </c>
      <c r="R25" s="122" t="str">
        <f t="shared" si="7"/>
        <v/>
      </c>
      <c r="S25" s="121">
        <f t="shared" si="8"/>
        <v>0.33</v>
      </c>
      <c r="T25" s="122" t="str">
        <f>IFERROR(__xludf.DUMMYFUNCTION("JOIN("","",IFERROR(FILTER(Matches!$B:$B,B25=Matches!$C:$C),""""),IFERROR(FILTER(Matches!$C:$C,B25=Matches!$B:$B),""""))"),",,,,,,,,,,,,,,,,,,,,,,,,,,,,,,,,,,,,,,,,,,,,,,,,,,,,,,,,,,,,,,,,,,,,,,,,,,,,,,,,,,,,,,,,,,,,,,,,,,,,,,,,,,,,,,,,,,,,,,,,,,,,,,,,,,,,,,,,,,,,,,,,,,,,,,,,,,,,,,,,,,,,,,,,,,,,,,,,,,,,,,,,,,,,,,,,,,,,,,,,,,,,,,,,,,,,,,,,,,,,,,,,,,,,,,,,,,,,,,,,,,,,,,,,,,,,,,,")</f>
        <v>,,,,,,,,,,,,,,,,,,,,,,,,,,,,,,,,,,,,,,,,,,,,,,,,,,,,,,,,,,,,,,,,,,,,,,,,,,,,,,,,,,,,,,,,,,,,,,,,,,,,,,,,,,,,,,,,,,,,,,,,,,,,,,,,,,,,,,,,,,,,,,,,,,,,,,,,,,,,,,,,,,,,,,,,,,,,,,,,,,,,,,,,,,,,,,,,,,,,,,,,,,,,,,,,,,,,,,,,,,,,,,,,,,,,,,,,,,,,,,,,,,,,,,,,,,,,,,,</v>
      </c>
      <c r="U25" s="121">
        <f>IFERROR(__xludf.DUMMYFUNCTION("iferror(AVERAGE(ARRAYFORMULA(VLOOKUP(SPLIT(T25,"","",TRUE,TRUE),$R$2:$S1000,2,FALSE))),0)"),0.0)</f>
        <v>0</v>
      </c>
      <c r="V25" s="123">
        <f>IFERROR(__xludf.DUMMYFUNCTION("RANK($I25, $I$2:$I1000, FALSE) + RANK($M25, Filter($M$2:$M1000, $I$2:$I1000=$I25),FALSE)+RANK($U25, Filter($U$2:$U1000, $I$2:$I1000=$I25,$M$2:$M1000=$M25),FALSE)-2"),1.0)</f>
        <v>1</v>
      </c>
      <c r="W25" s="124" t="str">
        <f t="shared" si="9"/>
        <v>Underplay</v>
      </c>
      <c r="X25" s="125" t="str">
        <f t="shared" si="10"/>
        <v/>
      </c>
      <c r="Y25" s="126">
        <f>MAXIFS(Matches!$A:$A,Matches!$C:$C,$B25)</f>
        <v>0</v>
      </c>
      <c r="Z25" s="126">
        <f t="array" ref="Z25">XLOOKUP(Y25,Quotas!$B$7:$B$10,Quotas!$A$7:$A$10,0,-1)</f>
        <v>0</v>
      </c>
      <c r="AB25" s="31"/>
      <c r="AC25" s="31">
        <f>COUNTIFS(Matches!$A:$A,"&gt;"&amp;Y25,Matches!$B:$B,$B25)</f>
        <v>0</v>
      </c>
      <c r="AD25" s="31"/>
      <c r="AE25" s="127">
        <f>SUMIF('Pool Changes'!B:B, B25, 'Pool Changes'!H:H)</f>
        <v>0</v>
      </c>
    </row>
    <row r="26">
      <c r="A26" s="104">
        <f t="shared" si="1"/>
        <v>1</v>
      </c>
      <c r="C26" s="128"/>
      <c r="D26" s="74"/>
      <c r="E26" s="1"/>
      <c r="F26" s="1"/>
      <c r="G26" s="1"/>
      <c r="H26" s="118">
        <f>COUNTIF(Entropy!$D:$D,$B26)+COUNTIF(Matches!$B:$B,$B26)+COUNTIF(Matches!$C:$C,$B26)</f>
        <v>0</v>
      </c>
      <c r="I26" s="119">
        <f>COUNTIF(Matches!$B:$B,B26)</f>
        <v>0</v>
      </c>
      <c r="J26" s="31">
        <f t="shared" si="2"/>
        <v>0</v>
      </c>
      <c r="K26" s="1" t="str">
        <f t="shared" si="3"/>
        <v>0 - 0</v>
      </c>
      <c r="L26" s="120">
        <f>COUNTIF(Entropy!$D:$D,$B26)</f>
        <v>0</v>
      </c>
      <c r="M26" s="121">
        <f t="shared" si="4"/>
        <v>0</v>
      </c>
      <c r="N26" s="121">
        <f t="shared" si="5"/>
        <v>0</v>
      </c>
      <c r="O26" s="118">
        <f>IF($J26=11,0,IF(AND($H26 &gt;=VLOOKUP('Combined Standings'!$C$2,Quotas!$A$7:$E$14,4,FALSE), $H26&lt;=VLOOKUP('Combined Standings'!$C$2,Quotas!$A$7:$E$14,5,FALSE)), 0,VLOOKUP('Combined Standings'!$C$2,Quotas!$A$7:$E$11,4,FALSE)-$H26))</f>
        <v>13</v>
      </c>
      <c r="P26" s="118">
        <f>IF($J26=11,0,IF(AND($H26 &gt;=VLOOKUP('Combined Standings'!$C$2,Quotas!$A$7:$E$14,5,FALSE), $H26&lt;=VLOOKUP('Combined Standings'!$C$2,Quotas!$A$7:$E$14,5,FALSE)), 0,VLOOKUP('Combined Standings'!$C$2,Quotas!$A$7:$E$11,5,FALSE)-$H26))</f>
        <v>15</v>
      </c>
      <c r="Q26" s="31">
        <f t="shared" si="6"/>
        <v>11</v>
      </c>
      <c r="R26" s="122" t="str">
        <f t="shared" si="7"/>
        <v/>
      </c>
      <c r="S26" s="121">
        <f t="shared" si="8"/>
        <v>0.33</v>
      </c>
      <c r="T26" s="122" t="str">
        <f>IFERROR(__xludf.DUMMYFUNCTION("JOIN("","",IFERROR(FILTER(Matches!$B:$B,B26=Matches!$C:$C),""""),IFERROR(FILTER(Matches!$C:$C,B26=Matches!$B:$B),""""))"),",,,,,,,,,,,,,,,,,,,,,,,,,,,,,,,,,,,,,,,,,,,,,,,,,,,,,,,,,,,,,,,,,,,,,,,,,,,,,,,,,,,,,,,,,,,,,,,,,,,,,,,,,,,,,,,,,,,,,,,,,,,,,,,,,,,,,,,,,,,,,,,,,,,,,,,,,,,,,,,,,,,,,,,,,,,,,,,,,,,,,,,,,,,,,,,,,,,,,,,,,,,,,,,,,,,,,,,,,,,,,,,,,,,,,,,,,,,,,,,,,,,,,,,,,,,,,,,")</f>
        <v>,,,,,,,,,,,,,,,,,,,,,,,,,,,,,,,,,,,,,,,,,,,,,,,,,,,,,,,,,,,,,,,,,,,,,,,,,,,,,,,,,,,,,,,,,,,,,,,,,,,,,,,,,,,,,,,,,,,,,,,,,,,,,,,,,,,,,,,,,,,,,,,,,,,,,,,,,,,,,,,,,,,,,,,,,,,,,,,,,,,,,,,,,,,,,,,,,,,,,,,,,,,,,,,,,,,,,,,,,,,,,,,,,,,,,,,,,,,,,,,,,,,,,,,,,,,,,,,</v>
      </c>
      <c r="U26" s="121">
        <f>IFERROR(__xludf.DUMMYFUNCTION("iferror(AVERAGE(ARRAYFORMULA(VLOOKUP(SPLIT(T26,"","",TRUE,TRUE),$R$2:$S1000,2,FALSE))),0)"),0.0)</f>
        <v>0</v>
      </c>
      <c r="V26" s="123">
        <f>IFERROR(__xludf.DUMMYFUNCTION("RANK($I26, $I$2:$I1000, FALSE) + RANK($M26, Filter($M$2:$M1000, $I$2:$I1000=$I26),FALSE)+RANK($U26, Filter($U$2:$U1000, $I$2:$I1000=$I26,$M$2:$M1000=$M26),FALSE)-2"),1.0)</f>
        <v>1</v>
      </c>
      <c r="W26" s="124" t="str">
        <f t="shared" si="9"/>
        <v>Underplay</v>
      </c>
      <c r="X26" s="125" t="str">
        <f t="shared" si="10"/>
        <v/>
      </c>
      <c r="Y26" s="126">
        <f>MAXIFS(Matches!$A:$A,Matches!$C:$C,$B26)</f>
        <v>0</v>
      </c>
      <c r="Z26" s="126">
        <f t="array" ref="Z26">XLOOKUP(Y26,Quotas!$B$7:$B$10,Quotas!$A$7:$A$10,0,-1)</f>
        <v>0</v>
      </c>
      <c r="AB26" s="31"/>
      <c r="AC26" s="31">
        <f>COUNTIFS(Matches!$A:$A,"&gt;"&amp;Y26,Matches!$B:$B,$B26)</f>
        <v>0</v>
      </c>
      <c r="AD26" s="31"/>
      <c r="AE26" s="127">
        <f>SUMIF('Pool Changes'!B:B, B26, 'Pool Changes'!H:H)</f>
        <v>0</v>
      </c>
    </row>
    <row r="27">
      <c r="A27" s="104">
        <f t="shared" si="1"/>
        <v>1</v>
      </c>
      <c r="C27" s="128"/>
      <c r="D27" s="74"/>
      <c r="E27" s="1"/>
      <c r="F27" s="1"/>
      <c r="G27" s="1"/>
      <c r="H27" s="118">
        <f>COUNTIF(Entropy!$D:$D,$B27)+COUNTIF(Matches!$B:$B,$B27)+COUNTIF(Matches!$C:$C,$B27)</f>
        <v>0</v>
      </c>
      <c r="I27" s="119">
        <f>COUNTIF(Matches!$B:$B,B27)</f>
        <v>0</v>
      </c>
      <c r="J27" s="31">
        <f t="shared" si="2"/>
        <v>0</v>
      </c>
      <c r="K27" s="1" t="str">
        <f t="shared" si="3"/>
        <v>0 - 0</v>
      </c>
      <c r="L27" s="120">
        <f>COUNTIF(Entropy!$D:$D,$B27)</f>
        <v>0</v>
      </c>
      <c r="M27" s="121">
        <f t="shared" si="4"/>
        <v>0</v>
      </c>
      <c r="N27" s="121">
        <f t="shared" si="5"/>
        <v>0</v>
      </c>
      <c r="O27" s="118">
        <f>IF($J27=11,0,IF(AND($H27 &gt;=VLOOKUP('Combined Standings'!$C$2,Quotas!$A$7:$E$14,4,FALSE), $H27&lt;=VLOOKUP('Combined Standings'!$C$2,Quotas!$A$7:$E$14,5,FALSE)), 0,VLOOKUP('Combined Standings'!$C$2,Quotas!$A$7:$E$11,4,FALSE)-$H27))</f>
        <v>13</v>
      </c>
      <c r="P27" s="118">
        <f>IF($J27=11,0,IF(AND($H27 &gt;=VLOOKUP('Combined Standings'!$C$2,Quotas!$A$7:$E$14,5,FALSE), $H27&lt;=VLOOKUP('Combined Standings'!$C$2,Quotas!$A$7:$E$14,5,FALSE)), 0,VLOOKUP('Combined Standings'!$C$2,Quotas!$A$7:$E$11,5,FALSE)-$H27))</f>
        <v>15</v>
      </c>
      <c r="Q27" s="31">
        <f t="shared" si="6"/>
        <v>11</v>
      </c>
      <c r="R27" s="122" t="str">
        <f t="shared" si="7"/>
        <v/>
      </c>
      <c r="S27" s="121">
        <f t="shared" si="8"/>
        <v>0.33</v>
      </c>
      <c r="T27" s="122" t="str">
        <f>IFERROR(__xludf.DUMMYFUNCTION("JOIN("","",IFERROR(FILTER(Matches!$B:$B,B27=Matches!$C:$C),""""),IFERROR(FILTER(Matches!$C:$C,B27=Matches!$B:$B),""""))"),",,,,,,,,,,,,,,,,,,,,,,,,,,,,,,,,,,,,,,,,,,,,,,,,,,,,,,,,,,,,,,,,,,,,,,,,,,,,,,,,,,,,,,,,,,,,,,,,,,,,,,,,,,,,,,,,,,,,,,,,,,,,,,,,,,,,,,,,,,,,,,,,,,,,,,,,,,,,,,,,,,,,,,,,,,,,,,,,,,,,,,,,,,,,,,,,,,,,,,,,,,,,,,,,,,,,,,,,,,,,,,,,,,,,,,,,,,,,,,,,,,,,,,,,,,,,,,,")</f>
        <v>,,,,,,,,,,,,,,,,,,,,,,,,,,,,,,,,,,,,,,,,,,,,,,,,,,,,,,,,,,,,,,,,,,,,,,,,,,,,,,,,,,,,,,,,,,,,,,,,,,,,,,,,,,,,,,,,,,,,,,,,,,,,,,,,,,,,,,,,,,,,,,,,,,,,,,,,,,,,,,,,,,,,,,,,,,,,,,,,,,,,,,,,,,,,,,,,,,,,,,,,,,,,,,,,,,,,,,,,,,,,,,,,,,,,,,,,,,,,,,,,,,,,,,,,,,,,,,,</v>
      </c>
      <c r="U27" s="121">
        <f>IFERROR(__xludf.DUMMYFUNCTION("iferror(AVERAGE(ARRAYFORMULA(VLOOKUP(SPLIT(T27,"","",TRUE,TRUE),$R$2:$S1000,2,FALSE))),0)"),0.0)</f>
        <v>0</v>
      </c>
      <c r="V27" s="123">
        <f>IFERROR(__xludf.DUMMYFUNCTION("RANK($I27, $I$2:$I1000, FALSE) + RANK($M27, Filter($M$2:$M1000, $I$2:$I1000=$I27),FALSE)+RANK($U27, Filter($U$2:$U1000, $I$2:$I1000=$I27,$M$2:$M1000=$M27),FALSE)-2"),1.0)</f>
        <v>1</v>
      </c>
      <c r="W27" s="124" t="str">
        <f t="shared" si="9"/>
        <v>Underplay</v>
      </c>
      <c r="X27" s="125" t="str">
        <f t="shared" si="10"/>
        <v/>
      </c>
      <c r="Y27" s="126">
        <f>MAXIFS(Matches!$A:$A,Matches!$C:$C,$B27)</f>
        <v>0</v>
      </c>
      <c r="Z27" s="126">
        <f t="array" ref="Z27">XLOOKUP(Y27,Quotas!$B$7:$B$10,Quotas!$A$7:$A$10,0,-1)</f>
        <v>0</v>
      </c>
      <c r="AB27" s="31"/>
      <c r="AC27" s="31">
        <f>COUNTIFS(Matches!$A:$A,"&gt;"&amp;Y27,Matches!$B:$B,$B27)</f>
        <v>0</v>
      </c>
      <c r="AD27" s="31"/>
      <c r="AE27" s="127">
        <f>SUMIF('Pool Changes'!B:B, B27, 'Pool Changes'!H:H)</f>
        <v>0</v>
      </c>
    </row>
    <row r="28">
      <c r="A28" s="104">
        <f t="shared" si="1"/>
        <v>1</v>
      </c>
      <c r="C28" s="128"/>
      <c r="D28" s="74"/>
      <c r="E28" s="1"/>
      <c r="F28" s="1"/>
      <c r="G28" s="1"/>
      <c r="H28" s="118">
        <f>COUNTIF(Entropy!$D:$D,$B28)+COUNTIF(Matches!$B:$B,$B28)+COUNTIF(Matches!$C:$C,$B28)</f>
        <v>0</v>
      </c>
      <c r="I28" s="119">
        <f>COUNTIF(Matches!$B:$B,B28)</f>
        <v>0</v>
      </c>
      <c r="J28" s="31">
        <f t="shared" si="2"/>
        <v>0</v>
      </c>
      <c r="K28" s="1" t="str">
        <f t="shared" si="3"/>
        <v>0 - 0</v>
      </c>
      <c r="L28" s="120">
        <f>COUNTIF(Entropy!$D:$D,$B28)</f>
        <v>0</v>
      </c>
      <c r="M28" s="121">
        <f t="shared" si="4"/>
        <v>0</v>
      </c>
      <c r="N28" s="121">
        <f t="shared" si="5"/>
        <v>0</v>
      </c>
      <c r="O28" s="118">
        <f>IF($J28=11,0,IF(AND($H28 &gt;=VLOOKUP('Combined Standings'!$C$2,Quotas!$A$7:$E$14,4,FALSE), $H28&lt;=VLOOKUP('Combined Standings'!$C$2,Quotas!$A$7:$E$14,5,FALSE)), 0,VLOOKUP('Combined Standings'!$C$2,Quotas!$A$7:$E$11,4,FALSE)-$H28))</f>
        <v>13</v>
      </c>
      <c r="P28" s="118">
        <f>IF($J28=11,0,IF(AND($H28 &gt;=VLOOKUP('Combined Standings'!$C$2,Quotas!$A$7:$E$14,5,FALSE), $H28&lt;=VLOOKUP('Combined Standings'!$C$2,Quotas!$A$7:$E$14,5,FALSE)), 0,VLOOKUP('Combined Standings'!$C$2,Quotas!$A$7:$E$11,5,FALSE)-$H28))</f>
        <v>15</v>
      </c>
      <c r="Q28" s="31">
        <f t="shared" si="6"/>
        <v>11</v>
      </c>
      <c r="R28" s="122" t="str">
        <f t="shared" si="7"/>
        <v/>
      </c>
      <c r="S28" s="121">
        <f t="shared" si="8"/>
        <v>0.33</v>
      </c>
      <c r="T28" s="122" t="str">
        <f>IFERROR(__xludf.DUMMYFUNCTION("JOIN("","",IFERROR(FILTER(Matches!$B:$B,B28=Matches!$C:$C),""""),IFERROR(FILTER(Matches!$C:$C,B28=Matches!$B:$B),""""))"),",,,,,,,,,,,,,,,,,,,,,,,,,,,,,,,,,,,,,,,,,,,,,,,,,,,,,,,,,,,,,,,,,,,,,,,,,,,,,,,,,,,,,,,,,,,,,,,,,,,,,,,,,,,,,,,,,,,,,,,,,,,,,,,,,,,,,,,,,,,,,,,,,,,,,,,,,,,,,,,,,,,,,,,,,,,,,,,,,,,,,,,,,,,,,,,,,,,,,,,,,,,,,,,,,,,,,,,,,,,,,,,,,,,,,,,,,,,,,,,,,,,,,,,,,,,,,,,")</f>
        <v>,,,,,,,,,,,,,,,,,,,,,,,,,,,,,,,,,,,,,,,,,,,,,,,,,,,,,,,,,,,,,,,,,,,,,,,,,,,,,,,,,,,,,,,,,,,,,,,,,,,,,,,,,,,,,,,,,,,,,,,,,,,,,,,,,,,,,,,,,,,,,,,,,,,,,,,,,,,,,,,,,,,,,,,,,,,,,,,,,,,,,,,,,,,,,,,,,,,,,,,,,,,,,,,,,,,,,,,,,,,,,,,,,,,,,,,,,,,,,,,,,,,,,,,,,,,,,,,</v>
      </c>
      <c r="U28" s="121">
        <f>IFERROR(__xludf.DUMMYFUNCTION("iferror(AVERAGE(ARRAYFORMULA(VLOOKUP(SPLIT(T28,"","",TRUE,TRUE),$R$2:$S1000,2,FALSE))),0)"),0.0)</f>
        <v>0</v>
      </c>
      <c r="V28" s="123">
        <f>IFERROR(__xludf.DUMMYFUNCTION("RANK($I28, $I$2:$I1000, FALSE) + RANK($M28, Filter($M$2:$M1000, $I$2:$I1000=$I28),FALSE)+RANK($U28, Filter($U$2:$U1000, $I$2:$I1000=$I28,$M$2:$M1000=$M28),FALSE)-2"),1.0)</f>
        <v>1</v>
      </c>
      <c r="W28" s="124" t="str">
        <f t="shared" si="9"/>
        <v>Underplay</v>
      </c>
      <c r="X28" s="125" t="str">
        <f t="shared" si="10"/>
        <v/>
      </c>
      <c r="Y28" s="126">
        <f>MAXIFS(Matches!$A:$A,Matches!$C:$C,$B28)</f>
        <v>0</v>
      </c>
      <c r="Z28" s="126">
        <f t="array" ref="Z28">XLOOKUP(Y28,Quotas!$B$7:$B$10,Quotas!$A$7:$A$10,0,-1)</f>
        <v>0</v>
      </c>
      <c r="AB28" s="31"/>
      <c r="AC28" s="31">
        <f>COUNTIFS(Matches!$A:$A,"&gt;"&amp;Y28,Matches!$B:$B,$B28)</f>
        <v>0</v>
      </c>
      <c r="AD28" s="31"/>
      <c r="AE28" s="127">
        <f>SUMIF('Pool Changes'!B:B, B28, 'Pool Changes'!H:H)</f>
        <v>0</v>
      </c>
    </row>
    <row r="29">
      <c r="A29" s="104">
        <f t="shared" si="1"/>
        <v>1</v>
      </c>
      <c r="C29" s="128"/>
      <c r="D29" s="74"/>
      <c r="E29" s="1"/>
      <c r="F29" s="1"/>
      <c r="G29" s="1"/>
      <c r="H29" s="118">
        <f>COUNTIF(Entropy!$D:$D,$B29)+COUNTIF(Matches!$B:$B,$B29)+COUNTIF(Matches!$C:$C,$B29)</f>
        <v>0</v>
      </c>
      <c r="I29" s="119">
        <f>COUNTIF(Matches!$B:$B,B29)</f>
        <v>0</v>
      </c>
      <c r="J29" s="31">
        <f t="shared" si="2"/>
        <v>0</v>
      </c>
      <c r="K29" s="1" t="str">
        <f t="shared" si="3"/>
        <v>0 - 0</v>
      </c>
      <c r="L29" s="120">
        <f>COUNTIF(Entropy!$D:$D,$B29)</f>
        <v>0</v>
      </c>
      <c r="M29" s="121">
        <f t="shared" si="4"/>
        <v>0</v>
      </c>
      <c r="N29" s="121">
        <f t="shared" si="5"/>
        <v>0</v>
      </c>
      <c r="O29" s="118">
        <f>IF($J29=11,0,IF(AND($H29 &gt;=VLOOKUP('Combined Standings'!$C$2,Quotas!$A$7:$E$14,4,FALSE), $H29&lt;=VLOOKUP('Combined Standings'!$C$2,Quotas!$A$7:$E$14,5,FALSE)), 0,VLOOKUP('Combined Standings'!$C$2,Quotas!$A$7:$E$11,4,FALSE)-$H29))</f>
        <v>13</v>
      </c>
      <c r="P29" s="118">
        <f>IF($J29=11,0,IF(AND($H29 &gt;=VLOOKUP('Combined Standings'!$C$2,Quotas!$A$7:$E$14,5,FALSE), $H29&lt;=VLOOKUP('Combined Standings'!$C$2,Quotas!$A$7:$E$14,5,FALSE)), 0,VLOOKUP('Combined Standings'!$C$2,Quotas!$A$7:$E$11,5,FALSE)-$H29))</f>
        <v>15</v>
      </c>
      <c r="Q29" s="31">
        <f t="shared" si="6"/>
        <v>11</v>
      </c>
      <c r="R29" s="122" t="str">
        <f t="shared" si="7"/>
        <v/>
      </c>
      <c r="S29" s="121">
        <f t="shared" si="8"/>
        <v>0.33</v>
      </c>
      <c r="T29" s="122" t="str">
        <f>IFERROR(__xludf.DUMMYFUNCTION("JOIN("","",IFERROR(FILTER(Matches!$B:$B,B29=Matches!$C:$C),""""),IFERROR(FILTER(Matches!$C:$C,B29=Matches!$B:$B),""""))"),",,,,,,,,,,,,,,,,,,,,,,,,,,,,,,,,,,,,,,,,,,,,,,,,,,,,,,,,,,,,,,,,,,,,,,,,,,,,,,,,,,,,,,,,,,,,,,,,,,,,,,,,,,,,,,,,,,,,,,,,,,,,,,,,,,,,,,,,,,,,,,,,,,,,,,,,,,,,,,,,,,,,,,,,,,,,,,,,,,,,,,,,,,,,,,,,,,,,,,,,,,,,,,,,,,,,,,,,,,,,,,,,,,,,,,,,,,,,,,,,,,,,,,,,,,,,,,,")</f>
        <v>,,,,,,,,,,,,,,,,,,,,,,,,,,,,,,,,,,,,,,,,,,,,,,,,,,,,,,,,,,,,,,,,,,,,,,,,,,,,,,,,,,,,,,,,,,,,,,,,,,,,,,,,,,,,,,,,,,,,,,,,,,,,,,,,,,,,,,,,,,,,,,,,,,,,,,,,,,,,,,,,,,,,,,,,,,,,,,,,,,,,,,,,,,,,,,,,,,,,,,,,,,,,,,,,,,,,,,,,,,,,,,,,,,,,,,,,,,,,,,,,,,,,,,,,,,,,,,,</v>
      </c>
      <c r="U29" s="121">
        <f>IFERROR(__xludf.DUMMYFUNCTION("iferror(AVERAGE(ARRAYFORMULA(VLOOKUP(SPLIT(T29,"","",TRUE,TRUE),$R$2:$S1000,2,FALSE))),0)"),0.0)</f>
        <v>0</v>
      </c>
      <c r="V29" s="123">
        <f>IFERROR(__xludf.DUMMYFUNCTION("RANK($I29, $I$2:$I1000, FALSE) + RANK($M29, Filter($M$2:$M1000, $I$2:$I1000=$I29),FALSE)+RANK($U29, Filter($U$2:$U1000, $I$2:$I1000=$I29,$M$2:$M1000=$M29),FALSE)-2"),1.0)</f>
        <v>1</v>
      </c>
      <c r="W29" s="124" t="str">
        <f t="shared" si="9"/>
        <v>Underplay</v>
      </c>
      <c r="X29" s="125" t="str">
        <f t="shared" si="10"/>
        <v/>
      </c>
      <c r="Y29" s="126">
        <f>MAXIFS(Matches!$A:$A,Matches!$C:$C,$B29)</f>
        <v>0</v>
      </c>
      <c r="Z29" s="126">
        <f t="array" ref="Z29">XLOOKUP(Y29,Quotas!$B$7:$B$10,Quotas!$A$7:$A$10,0,-1)</f>
        <v>0</v>
      </c>
      <c r="AB29" s="31"/>
      <c r="AC29" s="31">
        <f>COUNTIFS(Matches!$A:$A,"&gt;"&amp;Y29,Matches!$B:$B,$B29)</f>
        <v>0</v>
      </c>
      <c r="AD29" s="31"/>
      <c r="AE29" s="127">
        <f>SUMIF('Pool Changes'!B:B, B29, 'Pool Changes'!H:H)</f>
        <v>0</v>
      </c>
    </row>
    <row r="30">
      <c r="A30" s="104">
        <f t="shared" si="1"/>
        <v>1</v>
      </c>
      <c r="C30" s="128"/>
      <c r="D30" s="74"/>
      <c r="E30" s="1"/>
      <c r="F30" s="1"/>
      <c r="G30" s="1"/>
      <c r="H30" s="118">
        <f>COUNTIF(Entropy!$D:$D,$B30)+COUNTIF(Matches!$B:$B,$B30)+COUNTIF(Matches!$C:$C,$B30)</f>
        <v>0</v>
      </c>
      <c r="I30" s="119">
        <f>COUNTIF(Matches!$B:$B,B30)</f>
        <v>0</v>
      </c>
      <c r="J30" s="31">
        <f t="shared" si="2"/>
        <v>0</v>
      </c>
      <c r="K30" s="1" t="str">
        <f t="shared" si="3"/>
        <v>0 - 0</v>
      </c>
      <c r="L30" s="120">
        <f>COUNTIF(Entropy!$D:$D,$B30)</f>
        <v>0</v>
      </c>
      <c r="M30" s="121">
        <f t="shared" si="4"/>
        <v>0</v>
      </c>
      <c r="N30" s="121">
        <f t="shared" si="5"/>
        <v>0</v>
      </c>
      <c r="O30" s="118">
        <f>IF($J30=11,0,IF(AND($H30 &gt;=VLOOKUP('Combined Standings'!$C$2,Quotas!$A$7:$E$14,4,FALSE), $H30&lt;=VLOOKUP('Combined Standings'!$C$2,Quotas!$A$7:$E$14,5,FALSE)), 0,VLOOKUP('Combined Standings'!$C$2,Quotas!$A$7:$E$11,4,FALSE)-$H30))</f>
        <v>13</v>
      </c>
      <c r="P30" s="118">
        <f>IF($J30=11,0,IF(AND($H30 &gt;=VLOOKUP('Combined Standings'!$C$2,Quotas!$A$7:$E$14,5,FALSE), $H30&lt;=VLOOKUP('Combined Standings'!$C$2,Quotas!$A$7:$E$14,5,FALSE)), 0,VLOOKUP('Combined Standings'!$C$2,Quotas!$A$7:$E$11,5,FALSE)-$H30))</f>
        <v>15</v>
      </c>
      <c r="Q30" s="31">
        <f t="shared" si="6"/>
        <v>11</v>
      </c>
      <c r="R30" s="122" t="str">
        <f t="shared" si="7"/>
        <v/>
      </c>
      <c r="S30" s="121">
        <f t="shared" si="8"/>
        <v>0.33</v>
      </c>
      <c r="T30" s="122" t="str">
        <f>IFERROR(__xludf.DUMMYFUNCTION("JOIN("","",IFERROR(FILTER(Matches!$B:$B,B30=Matches!$C:$C),""""),IFERROR(FILTER(Matches!$C:$C,B30=Matches!$B:$B),""""))"),",,,,,,,,,,,,,,,,,,,,,,,,,,,,,,,,,,,,,,,,,,,,,,,,,,,,,,,,,,,,,,,,,,,,,,,,,,,,,,,,,,,,,,,,,,,,,,,,,,,,,,,,,,,,,,,,,,,,,,,,,,,,,,,,,,,,,,,,,,,,,,,,,,,,,,,,,,,,,,,,,,,,,,,,,,,,,,,,,,,,,,,,,,,,,,,,,,,,,,,,,,,,,,,,,,,,,,,,,,,,,,,,,,,,,,,,,,,,,,,,,,,,,,,,,,,,,,,")</f>
        <v>,,,,,,,,,,,,,,,,,,,,,,,,,,,,,,,,,,,,,,,,,,,,,,,,,,,,,,,,,,,,,,,,,,,,,,,,,,,,,,,,,,,,,,,,,,,,,,,,,,,,,,,,,,,,,,,,,,,,,,,,,,,,,,,,,,,,,,,,,,,,,,,,,,,,,,,,,,,,,,,,,,,,,,,,,,,,,,,,,,,,,,,,,,,,,,,,,,,,,,,,,,,,,,,,,,,,,,,,,,,,,,,,,,,,,,,,,,,,,,,,,,,,,,,,,,,,,,,</v>
      </c>
      <c r="U30" s="121">
        <f>IFERROR(__xludf.DUMMYFUNCTION("iferror(AVERAGE(ARRAYFORMULA(VLOOKUP(SPLIT(T30,"","",TRUE,TRUE),$R$2:$S1000,2,FALSE))),0)"),0.0)</f>
        <v>0</v>
      </c>
      <c r="V30" s="123">
        <f>IFERROR(__xludf.DUMMYFUNCTION("RANK($I30, $I$2:$I1000, FALSE) + RANK($M30, Filter($M$2:$M1000, $I$2:$I1000=$I30),FALSE)+RANK($U30, Filter($U$2:$U1000, $I$2:$I1000=$I30,$M$2:$M1000=$M30),FALSE)-2"),1.0)</f>
        <v>1</v>
      </c>
      <c r="W30" s="124" t="str">
        <f t="shared" si="9"/>
        <v>Underplay</v>
      </c>
      <c r="X30" s="125" t="str">
        <f t="shared" si="10"/>
        <v/>
      </c>
      <c r="Y30" s="126">
        <f>MAXIFS(Matches!$A:$A,Matches!$C:$C,$B30)</f>
        <v>0</v>
      </c>
      <c r="Z30" s="126">
        <f t="array" ref="Z30">XLOOKUP(Y30,Quotas!$B$7:$B$10,Quotas!$A$7:$A$10,0,-1)</f>
        <v>0</v>
      </c>
      <c r="AB30" s="31"/>
      <c r="AC30" s="31">
        <f>COUNTIFS(Matches!$A:$A,"&gt;"&amp;Y30,Matches!$B:$B,$B30)</f>
        <v>0</v>
      </c>
      <c r="AD30" s="31"/>
      <c r="AE30" s="127">
        <f>SUMIF('Pool Changes'!B:B, B30, 'Pool Changes'!H:H)</f>
        <v>0</v>
      </c>
    </row>
    <row r="31">
      <c r="A31" s="104">
        <f t="shared" si="1"/>
        <v>1</v>
      </c>
      <c r="C31" s="128"/>
      <c r="D31" s="74"/>
      <c r="E31" s="1"/>
      <c r="F31" s="1"/>
      <c r="G31" s="1"/>
      <c r="H31" s="118">
        <f>COUNTIF(Entropy!$D:$D,$B31)+COUNTIF(Matches!$B:$B,$B31)+COUNTIF(Matches!$C:$C,$B31)</f>
        <v>0</v>
      </c>
      <c r="I31" s="119">
        <f>COUNTIF(Matches!$B:$B,B31)</f>
        <v>0</v>
      </c>
      <c r="J31" s="31">
        <f t="shared" si="2"/>
        <v>0</v>
      </c>
      <c r="K31" s="1" t="str">
        <f t="shared" si="3"/>
        <v>0 - 0</v>
      </c>
      <c r="L31" s="120">
        <f>COUNTIF(Entropy!$D:$D,$B31)</f>
        <v>0</v>
      </c>
      <c r="M31" s="121">
        <f t="shared" si="4"/>
        <v>0</v>
      </c>
      <c r="N31" s="121">
        <f t="shared" si="5"/>
        <v>0</v>
      </c>
      <c r="O31" s="118">
        <f>IF($J31=11,0,IF(AND($H31 &gt;=VLOOKUP('Combined Standings'!$C$2,Quotas!$A$7:$E$14,4,FALSE), $H31&lt;=VLOOKUP('Combined Standings'!$C$2,Quotas!$A$7:$E$14,5,FALSE)), 0,VLOOKUP('Combined Standings'!$C$2,Quotas!$A$7:$E$11,4,FALSE)-$H31))</f>
        <v>13</v>
      </c>
      <c r="P31" s="118">
        <f>IF($J31=11,0,IF(AND($H31 &gt;=VLOOKUP('Combined Standings'!$C$2,Quotas!$A$7:$E$14,5,FALSE), $H31&lt;=VLOOKUP('Combined Standings'!$C$2,Quotas!$A$7:$E$14,5,FALSE)), 0,VLOOKUP('Combined Standings'!$C$2,Quotas!$A$7:$E$11,5,FALSE)-$H31))</f>
        <v>15</v>
      </c>
      <c r="Q31" s="31">
        <f t="shared" si="6"/>
        <v>11</v>
      </c>
      <c r="R31" s="122" t="str">
        <f t="shared" si="7"/>
        <v/>
      </c>
      <c r="S31" s="121">
        <f t="shared" si="8"/>
        <v>0.33</v>
      </c>
      <c r="T31" s="122" t="str">
        <f>IFERROR(__xludf.DUMMYFUNCTION("JOIN("","",IFERROR(FILTER(Matches!$B:$B,B31=Matches!$C:$C),""""),IFERROR(FILTER(Matches!$C:$C,B31=Matches!$B:$B),""""))"),",,,,,,,,,,,,,,,,,,,,,,,,,,,,,,,,,,,,,,,,,,,,,,,,,,,,,,,,,,,,,,,,,,,,,,,,,,,,,,,,,,,,,,,,,,,,,,,,,,,,,,,,,,,,,,,,,,,,,,,,,,,,,,,,,,,,,,,,,,,,,,,,,,,,,,,,,,,,,,,,,,,,,,,,,,,,,,,,,,,,,,,,,,,,,,,,,,,,,,,,,,,,,,,,,,,,,,,,,,,,,,,,,,,,,,,,,,,,,,,,,,,,,,,,,,,,,,,")</f>
        <v>,,,,,,,,,,,,,,,,,,,,,,,,,,,,,,,,,,,,,,,,,,,,,,,,,,,,,,,,,,,,,,,,,,,,,,,,,,,,,,,,,,,,,,,,,,,,,,,,,,,,,,,,,,,,,,,,,,,,,,,,,,,,,,,,,,,,,,,,,,,,,,,,,,,,,,,,,,,,,,,,,,,,,,,,,,,,,,,,,,,,,,,,,,,,,,,,,,,,,,,,,,,,,,,,,,,,,,,,,,,,,,,,,,,,,,,,,,,,,,,,,,,,,,,,,,,,,,,</v>
      </c>
      <c r="U31" s="121">
        <f>IFERROR(__xludf.DUMMYFUNCTION("iferror(AVERAGE(ARRAYFORMULA(VLOOKUP(SPLIT(T31,"","",TRUE,TRUE),$R$2:$S1000,2,FALSE))),0)"),0.0)</f>
        <v>0</v>
      </c>
      <c r="V31" s="123">
        <f>IFERROR(__xludf.DUMMYFUNCTION("RANK($I31, $I$2:$I1000, FALSE) + RANK($M31, Filter($M$2:$M1000, $I$2:$I1000=$I31),FALSE)+RANK($U31, Filter($U$2:$U1000, $I$2:$I1000=$I31,$M$2:$M1000=$M31),FALSE)-2"),1.0)</f>
        <v>1</v>
      </c>
      <c r="W31" s="124" t="str">
        <f t="shared" si="9"/>
        <v>Underplay</v>
      </c>
      <c r="X31" s="125" t="str">
        <f t="shared" si="10"/>
        <v/>
      </c>
      <c r="Y31" s="126">
        <f>MAXIFS(Matches!$A:$A,Matches!$C:$C,$B31)</f>
        <v>0</v>
      </c>
      <c r="Z31" s="126">
        <f t="array" ref="Z31">XLOOKUP(Y31,Quotas!$B$7:$B$10,Quotas!$A$7:$A$10,0,-1)</f>
        <v>0</v>
      </c>
      <c r="AB31" s="31"/>
      <c r="AC31" s="31">
        <f>COUNTIFS(Matches!$A:$A,"&gt;"&amp;Y31,Matches!$B:$B,$B31)</f>
        <v>0</v>
      </c>
      <c r="AD31" s="31"/>
      <c r="AE31" s="127">
        <f>SUMIF('Pool Changes'!B:B, B31, 'Pool Changes'!H:H)</f>
        <v>0</v>
      </c>
    </row>
    <row r="32">
      <c r="A32" s="104">
        <f t="shared" si="1"/>
        <v>1</v>
      </c>
      <c r="C32" s="128"/>
      <c r="D32" s="74"/>
      <c r="E32" s="1"/>
      <c r="F32" s="1"/>
      <c r="G32" s="1"/>
      <c r="H32" s="118">
        <f>COUNTIF(Entropy!$D:$D,$B32)+COUNTIF(Matches!$B:$B,$B32)+COUNTIF(Matches!$C:$C,$B32)</f>
        <v>0</v>
      </c>
      <c r="I32" s="119">
        <f>COUNTIF(Matches!$B:$B,B32)</f>
        <v>0</v>
      </c>
      <c r="J32" s="31">
        <f t="shared" si="2"/>
        <v>0</v>
      </c>
      <c r="K32" s="1" t="str">
        <f t="shared" si="3"/>
        <v>0 - 0</v>
      </c>
      <c r="L32" s="120">
        <f>COUNTIF(Entropy!$D:$D,$B32)</f>
        <v>0</v>
      </c>
      <c r="M32" s="121">
        <f t="shared" si="4"/>
        <v>0</v>
      </c>
      <c r="N32" s="121">
        <f t="shared" si="5"/>
        <v>0</v>
      </c>
      <c r="O32" s="118">
        <f>IF($J32=11,0,IF(AND($H32 &gt;=VLOOKUP('Combined Standings'!$C$2,Quotas!$A$7:$E$14,4,FALSE), $H32&lt;=VLOOKUP('Combined Standings'!$C$2,Quotas!$A$7:$E$14,5,FALSE)), 0,VLOOKUP('Combined Standings'!$C$2,Quotas!$A$7:$E$11,4,FALSE)-$H32))</f>
        <v>13</v>
      </c>
      <c r="P32" s="118">
        <f>IF($J32=11,0,IF(AND($H32 &gt;=VLOOKUP('Combined Standings'!$C$2,Quotas!$A$7:$E$14,5,FALSE), $H32&lt;=VLOOKUP('Combined Standings'!$C$2,Quotas!$A$7:$E$14,5,FALSE)), 0,VLOOKUP('Combined Standings'!$C$2,Quotas!$A$7:$E$11,5,FALSE)-$H32))</f>
        <v>15</v>
      </c>
      <c r="Q32" s="31">
        <f t="shared" si="6"/>
        <v>11</v>
      </c>
      <c r="R32" s="122" t="str">
        <f t="shared" si="7"/>
        <v/>
      </c>
      <c r="S32" s="121">
        <f t="shared" si="8"/>
        <v>0.33</v>
      </c>
      <c r="T32" s="122" t="str">
        <f>IFERROR(__xludf.DUMMYFUNCTION("JOIN("","",IFERROR(FILTER(Matches!$B:$B,B32=Matches!$C:$C),""""),IFERROR(FILTER(Matches!$C:$C,B32=Matches!$B:$B),""""))"),",,,,,,,,,,,,,,,,,,,,,,,,,,,,,,,,,,,,,,,,,,,,,,,,,,,,,,,,,,,,,,,,,,,,,,,,,,,,,,,,,,,,,,,,,,,,,,,,,,,,,,,,,,,,,,,,,,,,,,,,,,,,,,,,,,,,,,,,,,,,,,,,,,,,,,,,,,,,,,,,,,,,,,,,,,,,,,,,,,,,,,,,,,,,,,,,,,,,,,,,,,,,,,,,,,,,,,,,,,,,,,,,,,,,,,,,,,,,,,,,,,,,,,,,,,,,,,,")</f>
        <v>,,,,,,,,,,,,,,,,,,,,,,,,,,,,,,,,,,,,,,,,,,,,,,,,,,,,,,,,,,,,,,,,,,,,,,,,,,,,,,,,,,,,,,,,,,,,,,,,,,,,,,,,,,,,,,,,,,,,,,,,,,,,,,,,,,,,,,,,,,,,,,,,,,,,,,,,,,,,,,,,,,,,,,,,,,,,,,,,,,,,,,,,,,,,,,,,,,,,,,,,,,,,,,,,,,,,,,,,,,,,,,,,,,,,,,,,,,,,,,,,,,,,,,,,,,,,,,,</v>
      </c>
      <c r="U32" s="121">
        <f>IFERROR(__xludf.DUMMYFUNCTION("iferror(AVERAGE(ARRAYFORMULA(VLOOKUP(SPLIT(T32,"","",TRUE,TRUE),$R$2:$S1000,2,FALSE))),0)"),0.0)</f>
        <v>0</v>
      </c>
      <c r="V32" s="123">
        <f>IFERROR(__xludf.DUMMYFUNCTION("RANK($I32, $I$2:$I1000, FALSE) + RANK($M32, Filter($M$2:$M1000, $I$2:$I1000=$I32),FALSE)+RANK($U32, Filter($U$2:$U1000, $I$2:$I1000=$I32,$M$2:$M1000=$M32),FALSE)-2"),1.0)</f>
        <v>1</v>
      </c>
      <c r="W32" s="124" t="str">
        <f t="shared" si="9"/>
        <v>Underplay</v>
      </c>
      <c r="X32" s="125" t="str">
        <f t="shared" si="10"/>
        <v/>
      </c>
      <c r="Y32" s="126">
        <f>MAXIFS(Matches!$A:$A,Matches!$C:$C,$B32)</f>
        <v>0</v>
      </c>
      <c r="Z32" s="126">
        <f t="array" ref="Z32">XLOOKUP(Y32,Quotas!$B$7:$B$10,Quotas!$A$7:$A$10,0,-1)</f>
        <v>0</v>
      </c>
      <c r="AB32" s="31"/>
      <c r="AC32" s="31">
        <f>COUNTIFS(Matches!$A:$A,"&gt;"&amp;Y32,Matches!$B:$B,$B32)</f>
        <v>0</v>
      </c>
      <c r="AD32" s="31"/>
      <c r="AE32" s="127">
        <f>SUMIF('Pool Changes'!B:B, B32, 'Pool Changes'!H:H)</f>
        <v>0</v>
      </c>
    </row>
    <row r="33">
      <c r="A33" s="104">
        <f t="shared" si="1"/>
        <v>1</v>
      </c>
      <c r="C33" s="128"/>
      <c r="D33" s="74"/>
      <c r="E33" s="1"/>
      <c r="F33" s="1"/>
      <c r="G33" s="1"/>
      <c r="H33" s="118">
        <f>COUNTIF(Entropy!$D:$D,$B33)+COUNTIF(Matches!$B:$B,$B33)+COUNTIF(Matches!$C:$C,$B33)</f>
        <v>0</v>
      </c>
      <c r="I33" s="119">
        <f>COUNTIF(Matches!$B:$B,B33)</f>
        <v>0</v>
      </c>
      <c r="J33" s="31">
        <f t="shared" si="2"/>
        <v>0</v>
      </c>
      <c r="K33" s="1" t="str">
        <f t="shared" si="3"/>
        <v>0 - 0</v>
      </c>
      <c r="L33" s="120">
        <f>COUNTIF(Entropy!$D:$D,$B33)</f>
        <v>0</v>
      </c>
      <c r="M33" s="121">
        <f t="shared" si="4"/>
        <v>0</v>
      </c>
      <c r="N33" s="121">
        <f t="shared" si="5"/>
        <v>0</v>
      </c>
      <c r="O33" s="118">
        <f>IF($J33=11,0,IF(AND($H33 &gt;=VLOOKUP('Combined Standings'!$C$2,Quotas!$A$7:$E$14,4,FALSE), $H33&lt;=VLOOKUP('Combined Standings'!$C$2,Quotas!$A$7:$E$14,5,FALSE)), 0,VLOOKUP('Combined Standings'!$C$2,Quotas!$A$7:$E$11,4,FALSE)-$H33))</f>
        <v>13</v>
      </c>
      <c r="P33" s="118">
        <f>IF($J33=11,0,IF(AND($H33 &gt;=VLOOKUP('Combined Standings'!$C$2,Quotas!$A$7:$E$14,5,FALSE), $H33&lt;=VLOOKUP('Combined Standings'!$C$2,Quotas!$A$7:$E$14,5,FALSE)), 0,VLOOKUP('Combined Standings'!$C$2,Quotas!$A$7:$E$11,5,FALSE)-$H33))</f>
        <v>15</v>
      </c>
      <c r="Q33" s="31">
        <f t="shared" si="6"/>
        <v>11</v>
      </c>
      <c r="R33" s="122" t="str">
        <f t="shared" si="7"/>
        <v/>
      </c>
      <c r="S33" s="121">
        <f t="shared" si="8"/>
        <v>0.33</v>
      </c>
      <c r="T33" s="122" t="str">
        <f>IFERROR(__xludf.DUMMYFUNCTION("JOIN("","",IFERROR(FILTER(Matches!$B:$B,B33=Matches!$C:$C),""""),IFERROR(FILTER(Matches!$C:$C,B33=Matches!$B:$B),""""))"),",,,,,,,,,,,,,,,,,,,,,,,,,,,,,,,,,,,,,,,,,,,,,,,,,,,,,,,,,,,,,,,,,,,,,,,,,,,,,,,,,,,,,,,,,,,,,,,,,,,,,,,,,,,,,,,,,,,,,,,,,,,,,,,,,,,,,,,,,,,,,,,,,,,,,,,,,,,,,,,,,,,,,,,,,,,,,,,,,,,,,,,,,,,,,,,,,,,,,,,,,,,,,,,,,,,,,,,,,,,,,,,,,,,,,,,,,,,,,,,,,,,,,,,,,,,,,,,")</f>
        <v>,,,,,,,,,,,,,,,,,,,,,,,,,,,,,,,,,,,,,,,,,,,,,,,,,,,,,,,,,,,,,,,,,,,,,,,,,,,,,,,,,,,,,,,,,,,,,,,,,,,,,,,,,,,,,,,,,,,,,,,,,,,,,,,,,,,,,,,,,,,,,,,,,,,,,,,,,,,,,,,,,,,,,,,,,,,,,,,,,,,,,,,,,,,,,,,,,,,,,,,,,,,,,,,,,,,,,,,,,,,,,,,,,,,,,,,,,,,,,,,,,,,,,,,,,,,,,,,</v>
      </c>
      <c r="U33" s="121">
        <f>IFERROR(__xludf.DUMMYFUNCTION("iferror(AVERAGE(ARRAYFORMULA(VLOOKUP(SPLIT(T33,"","",TRUE,TRUE),$R$2:$S1000,2,FALSE))),0)"),0.0)</f>
        <v>0</v>
      </c>
      <c r="V33" s="123">
        <f>IFERROR(__xludf.DUMMYFUNCTION("RANK($I33, $I$2:$I1000, FALSE) + RANK($M33, Filter($M$2:$M1000, $I$2:$I1000=$I33),FALSE)+RANK($U33, Filter($U$2:$U1000, $I$2:$I1000=$I33,$M$2:$M1000=$M33),FALSE)-2"),1.0)</f>
        <v>1</v>
      </c>
      <c r="W33" s="124" t="str">
        <f t="shared" si="9"/>
        <v>Underplay</v>
      </c>
      <c r="X33" s="125" t="str">
        <f t="shared" si="10"/>
        <v/>
      </c>
      <c r="Y33" s="126">
        <f>MAXIFS(Matches!$A:$A,Matches!$C:$C,$B33)</f>
        <v>0</v>
      </c>
      <c r="Z33" s="126">
        <f t="array" ref="Z33">XLOOKUP(Y33,Quotas!$B$7:$B$10,Quotas!$A$7:$A$10,0,-1)</f>
        <v>0</v>
      </c>
      <c r="AB33" s="31"/>
      <c r="AC33" s="31">
        <f>COUNTIFS(Matches!$A:$A,"&gt;"&amp;Y33,Matches!$B:$B,$B33)</f>
        <v>0</v>
      </c>
      <c r="AD33" s="31"/>
      <c r="AE33" s="127">
        <f>SUMIF('Pool Changes'!B:B, B33, 'Pool Changes'!H:H)</f>
        <v>0</v>
      </c>
    </row>
    <row r="34">
      <c r="A34" s="104">
        <f t="shared" si="1"/>
        <v>1</v>
      </c>
      <c r="C34" s="128"/>
      <c r="D34" s="74"/>
      <c r="E34" s="1"/>
      <c r="F34" s="1"/>
      <c r="G34" s="1"/>
      <c r="H34" s="118">
        <f>COUNTIF(Entropy!$D:$D,$B34)+COUNTIF(Matches!$B:$B,$B34)+COUNTIF(Matches!$C:$C,$B34)</f>
        <v>0</v>
      </c>
      <c r="I34" s="119">
        <f>COUNTIF(Matches!$B:$B,B34)</f>
        <v>0</v>
      </c>
      <c r="J34" s="31">
        <f t="shared" si="2"/>
        <v>0</v>
      </c>
      <c r="K34" s="1" t="str">
        <f t="shared" si="3"/>
        <v>0 - 0</v>
      </c>
      <c r="L34" s="120">
        <f>COUNTIF(Entropy!$D:$D,$B34)</f>
        <v>0</v>
      </c>
      <c r="M34" s="121">
        <f t="shared" si="4"/>
        <v>0</v>
      </c>
      <c r="N34" s="121">
        <f t="shared" si="5"/>
        <v>0</v>
      </c>
      <c r="O34" s="118">
        <f>IF($J34=11,0,IF(AND($H34 &gt;=VLOOKUP('Combined Standings'!$C$2,Quotas!$A$7:$E$14,4,FALSE), $H34&lt;=VLOOKUP('Combined Standings'!$C$2,Quotas!$A$7:$E$14,5,FALSE)), 0,VLOOKUP('Combined Standings'!$C$2,Quotas!$A$7:$E$11,4,FALSE)-$H34))</f>
        <v>13</v>
      </c>
      <c r="P34" s="118">
        <f>IF($J34=11,0,IF(AND($H34 &gt;=VLOOKUP('Combined Standings'!$C$2,Quotas!$A$7:$E$14,5,FALSE), $H34&lt;=VLOOKUP('Combined Standings'!$C$2,Quotas!$A$7:$E$14,5,FALSE)), 0,VLOOKUP('Combined Standings'!$C$2,Quotas!$A$7:$E$11,5,FALSE)-$H34))</f>
        <v>15</v>
      </c>
      <c r="Q34" s="31">
        <f t="shared" si="6"/>
        <v>11</v>
      </c>
      <c r="R34" s="122" t="str">
        <f t="shared" si="7"/>
        <v/>
      </c>
      <c r="S34" s="121">
        <f t="shared" si="8"/>
        <v>0.33</v>
      </c>
      <c r="T34" s="122" t="str">
        <f>IFERROR(__xludf.DUMMYFUNCTION("JOIN("","",IFERROR(FILTER(Matches!$B:$B,B34=Matches!$C:$C),""""),IFERROR(FILTER(Matches!$C:$C,B34=Matches!$B:$B),""""))"),",,,,,,,,,,,,,,,,,,,,,,,,,,,,,,,,,,,,,,,,,,,,,,,,,,,,,,,,,,,,,,,,,,,,,,,,,,,,,,,,,,,,,,,,,,,,,,,,,,,,,,,,,,,,,,,,,,,,,,,,,,,,,,,,,,,,,,,,,,,,,,,,,,,,,,,,,,,,,,,,,,,,,,,,,,,,,,,,,,,,,,,,,,,,,,,,,,,,,,,,,,,,,,,,,,,,,,,,,,,,,,,,,,,,,,,,,,,,,,,,,,,,,,,,,,,,,,,")</f>
        <v>,,,,,,,,,,,,,,,,,,,,,,,,,,,,,,,,,,,,,,,,,,,,,,,,,,,,,,,,,,,,,,,,,,,,,,,,,,,,,,,,,,,,,,,,,,,,,,,,,,,,,,,,,,,,,,,,,,,,,,,,,,,,,,,,,,,,,,,,,,,,,,,,,,,,,,,,,,,,,,,,,,,,,,,,,,,,,,,,,,,,,,,,,,,,,,,,,,,,,,,,,,,,,,,,,,,,,,,,,,,,,,,,,,,,,,,,,,,,,,,,,,,,,,,,,,,,,,,</v>
      </c>
      <c r="U34" s="121">
        <f>IFERROR(__xludf.DUMMYFUNCTION("iferror(AVERAGE(ARRAYFORMULA(VLOOKUP(SPLIT(T34,"","",TRUE,TRUE),$R$2:$S1000,2,FALSE))),0)"),0.0)</f>
        <v>0</v>
      </c>
      <c r="V34" s="123">
        <f>IFERROR(__xludf.DUMMYFUNCTION("RANK($I34, $I$2:$I1000, FALSE) + RANK($M34, Filter($M$2:$M1000, $I$2:$I1000=$I34),FALSE)+RANK($U34, Filter($U$2:$U1000, $I$2:$I1000=$I34,$M$2:$M1000=$M34),FALSE)-2"),1.0)</f>
        <v>1</v>
      </c>
      <c r="W34" s="124" t="str">
        <f t="shared" si="9"/>
        <v>Underplay</v>
      </c>
      <c r="X34" s="125" t="str">
        <f t="shared" si="10"/>
        <v/>
      </c>
      <c r="Y34" s="126">
        <f>MAXIFS(Matches!$A:$A,Matches!$C:$C,$B34)</f>
        <v>0</v>
      </c>
      <c r="Z34" s="126">
        <f t="array" ref="Z34">XLOOKUP(Y34,Quotas!$B$7:$B$10,Quotas!$A$7:$A$10,0,-1)</f>
        <v>0</v>
      </c>
      <c r="AB34" s="31"/>
      <c r="AC34" s="31">
        <f>COUNTIFS(Matches!$A:$A,"&gt;"&amp;Y34,Matches!$B:$B,$B34)</f>
        <v>0</v>
      </c>
      <c r="AD34" s="31"/>
      <c r="AE34" s="127">
        <f>SUMIF('Pool Changes'!B:B, B34, 'Pool Changes'!H:H)</f>
        <v>0</v>
      </c>
    </row>
    <row r="35">
      <c r="A35" s="104">
        <f t="shared" si="1"/>
        <v>1</v>
      </c>
      <c r="C35" s="128"/>
      <c r="D35" s="74"/>
      <c r="E35" s="1"/>
      <c r="F35" s="1"/>
      <c r="G35" s="1"/>
      <c r="H35" s="118">
        <f>COUNTIF(Entropy!$D:$D,$B35)+COUNTIF(Matches!$B:$B,$B35)+COUNTIF(Matches!$C:$C,$B35)</f>
        <v>0</v>
      </c>
      <c r="I35" s="119">
        <f>COUNTIF(Matches!$B:$B,B35)</f>
        <v>0</v>
      </c>
      <c r="J35" s="31">
        <f t="shared" si="2"/>
        <v>0</v>
      </c>
      <c r="K35" s="1" t="str">
        <f t="shared" si="3"/>
        <v>0 - 0</v>
      </c>
      <c r="L35" s="120">
        <f>COUNTIF(Entropy!$D:$D,$B35)</f>
        <v>0</v>
      </c>
      <c r="M35" s="121">
        <f t="shared" si="4"/>
        <v>0</v>
      </c>
      <c r="N35" s="121">
        <f t="shared" si="5"/>
        <v>0</v>
      </c>
      <c r="O35" s="118">
        <f>IF($J35=11,0,IF(AND($H35 &gt;=VLOOKUP('Combined Standings'!$C$2,Quotas!$A$7:$E$14,4,FALSE), $H35&lt;=VLOOKUP('Combined Standings'!$C$2,Quotas!$A$7:$E$14,5,FALSE)), 0,VLOOKUP('Combined Standings'!$C$2,Quotas!$A$7:$E$11,4,FALSE)-$H35))</f>
        <v>13</v>
      </c>
      <c r="P35" s="118">
        <f>IF($J35=11,0,IF(AND($H35 &gt;=VLOOKUP('Combined Standings'!$C$2,Quotas!$A$7:$E$14,5,FALSE), $H35&lt;=VLOOKUP('Combined Standings'!$C$2,Quotas!$A$7:$E$14,5,FALSE)), 0,VLOOKUP('Combined Standings'!$C$2,Quotas!$A$7:$E$11,5,FALSE)-$H35))</f>
        <v>15</v>
      </c>
      <c r="Q35" s="31">
        <f t="shared" si="6"/>
        <v>11</v>
      </c>
      <c r="R35" s="122" t="str">
        <f t="shared" si="7"/>
        <v/>
      </c>
      <c r="S35" s="121">
        <f t="shared" si="8"/>
        <v>0.33</v>
      </c>
      <c r="T35" s="122" t="str">
        <f>IFERROR(__xludf.DUMMYFUNCTION("JOIN("","",IFERROR(FILTER(Matches!$B:$B,B35=Matches!$C:$C),""""),IFERROR(FILTER(Matches!$C:$C,B35=Matches!$B:$B),""""))"),",,,,,,,,,,,,,,,,,,,,,,,,,,,,,,,,,,,,,,,,,,,,,,,,,,,,,,,,,,,,,,,,,,,,,,,,,,,,,,,,,,,,,,,,,,,,,,,,,,,,,,,,,,,,,,,,,,,,,,,,,,,,,,,,,,,,,,,,,,,,,,,,,,,,,,,,,,,,,,,,,,,,,,,,,,,,,,,,,,,,,,,,,,,,,,,,,,,,,,,,,,,,,,,,,,,,,,,,,,,,,,,,,,,,,,,,,,,,,,,,,,,,,,,,,,,,,,,")</f>
        <v>,,,,,,,,,,,,,,,,,,,,,,,,,,,,,,,,,,,,,,,,,,,,,,,,,,,,,,,,,,,,,,,,,,,,,,,,,,,,,,,,,,,,,,,,,,,,,,,,,,,,,,,,,,,,,,,,,,,,,,,,,,,,,,,,,,,,,,,,,,,,,,,,,,,,,,,,,,,,,,,,,,,,,,,,,,,,,,,,,,,,,,,,,,,,,,,,,,,,,,,,,,,,,,,,,,,,,,,,,,,,,,,,,,,,,,,,,,,,,,,,,,,,,,,,,,,,,,,</v>
      </c>
      <c r="U35" s="121">
        <f>IFERROR(__xludf.DUMMYFUNCTION("iferror(AVERAGE(ARRAYFORMULA(VLOOKUP(SPLIT(T35,"","",TRUE,TRUE),$R$2:$S1000,2,FALSE))),0)"),0.0)</f>
        <v>0</v>
      </c>
      <c r="V35" s="123">
        <f>IFERROR(__xludf.DUMMYFUNCTION("RANK($I35, $I$2:$I1000, FALSE) + RANK($M35, Filter($M$2:$M1000, $I$2:$I1000=$I35),FALSE)+RANK($U35, Filter($U$2:$U1000, $I$2:$I1000=$I35,$M$2:$M1000=$M35),FALSE)-2"),1.0)</f>
        <v>1</v>
      </c>
      <c r="W35" s="124" t="str">
        <f t="shared" si="9"/>
        <v>Underplay</v>
      </c>
      <c r="X35" s="125" t="str">
        <f t="shared" si="10"/>
        <v/>
      </c>
      <c r="Y35" s="126">
        <f>MAXIFS(Matches!$A:$A,Matches!$C:$C,$B35)</f>
        <v>0</v>
      </c>
      <c r="Z35" s="126">
        <f t="array" ref="Z35">XLOOKUP(Y35,Quotas!$B$7:$B$10,Quotas!$A$7:$A$10,0,-1)</f>
        <v>0</v>
      </c>
      <c r="AB35" s="31"/>
      <c r="AC35" s="31">
        <f>COUNTIFS(Matches!$A:$A,"&gt;"&amp;Y35,Matches!$B:$B,$B35)</f>
        <v>0</v>
      </c>
      <c r="AD35" s="31"/>
      <c r="AE35" s="127">
        <f>SUMIF('Pool Changes'!B:B, B35, 'Pool Changes'!H:H)</f>
        <v>0</v>
      </c>
    </row>
    <row r="36">
      <c r="A36" s="104">
        <f t="shared" si="1"/>
        <v>1</v>
      </c>
      <c r="C36" s="128"/>
      <c r="D36" s="74"/>
      <c r="E36" s="1"/>
      <c r="F36" s="1"/>
      <c r="G36" s="1"/>
      <c r="H36" s="118">
        <f>COUNTIF(Entropy!$D:$D,$B36)+COUNTIF(Matches!$B:$B,$B36)+COUNTIF(Matches!$C:$C,$B36)</f>
        <v>0</v>
      </c>
      <c r="I36" s="119">
        <f>COUNTIF(Matches!$B:$B,B36)</f>
        <v>0</v>
      </c>
      <c r="J36" s="31">
        <f t="shared" si="2"/>
        <v>0</v>
      </c>
      <c r="K36" s="1" t="str">
        <f t="shared" si="3"/>
        <v>0 - 0</v>
      </c>
      <c r="L36" s="120">
        <f>COUNTIF(Entropy!$D:$D,$B36)</f>
        <v>0</v>
      </c>
      <c r="M36" s="121">
        <f t="shared" si="4"/>
        <v>0</v>
      </c>
      <c r="N36" s="121">
        <f t="shared" si="5"/>
        <v>0</v>
      </c>
      <c r="O36" s="118">
        <f>IF($J36=11,0,IF(AND($H36 &gt;=VLOOKUP('Combined Standings'!$C$2,Quotas!$A$7:$E$14,4,FALSE), $H36&lt;=VLOOKUP('Combined Standings'!$C$2,Quotas!$A$7:$E$14,5,FALSE)), 0,VLOOKUP('Combined Standings'!$C$2,Quotas!$A$7:$E$11,4,FALSE)-$H36))</f>
        <v>13</v>
      </c>
      <c r="P36" s="118">
        <f>IF($J36=11,0,IF(AND($H36 &gt;=VLOOKUP('Combined Standings'!$C$2,Quotas!$A$7:$E$14,5,FALSE), $H36&lt;=VLOOKUP('Combined Standings'!$C$2,Quotas!$A$7:$E$14,5,FALSE)), 0,VLOOKUP('Combined Standings'!$C$2,Quotas!$A$7:$E$11,5,FALSE)-$H36))</f>
        <v>15</v>
      </c>
      <c r="Q36" s="31">
        <f t="shared" si="6"/>
        <v>11</v>
      </c>
      <c r="R36" s="122" t="str">
        <f t="shared" si="7"/>
        <v/>
      </c>
      <c r="S36" s="121">
        <f t="shared" si="8"/>
        <v>0.33</v>
      </c>
      <c r="T36" s="122" t="str">
        <f>IFERROR(__xludf.DUMMYFUNCTION("JOIN("","",IFERROR(FILTER(Matches!$B:$B,B36=Matches!$C:$C),""""),IFERROR(FILTER(Matches!$C:$C,B36=Matches!$B:$B),""""))"),",,,,,,,,,,,,,,,,,,,,,,,,,,,,,,,,,,,,,,,,,,,,,,,,,,,,,,,,,,,,,,,,,,,,,,,,,,,,,,,,,,,,,,,,,,,,,,,,,,,,,,,,,,,,,,,,,,,,,,,,,,,,,,,,,,,,,,,,,,,,,,,,,,,,,,,,,,,,,,,,,,,,,,,,,,,,,,,,,,,,,,,,,,,,,,,,,,,,,,,,,,,,,,,,,,,,,,,,,,,,,,,,,,,,,,,,,,,,,,,,,,,,,,,,,,,,,,,")</f>
        <v>,,,,,,,,,,,,,,,,,,,,,,,,,,,,,,,,,,,,,,,,,,,,,,,,,,,,,,,,,,,,,,,,,,,,,,,,,,,,,,,,,,,,,,,,,,,,,,,,,,,,,,,,,,,,,,,,,,,,,,,,,,,,,,,,,,,,,,,,,,,,,,,,,,,,,,,,,,,,,,,,,,,,,,,,,,,,,,,,,,,,,,,,,,,,,,,,,,,,,,,,,,,,,,,,,,,,,,,,,,,,,,,,,,,,,,,,,,,,,,,,,,,,,,,,,,,,,,,</v>
      </c>
      <c r="U36" s="121">
        <f>IFERROR(__xludf.DUMMYFUNCTION("iferror(AVERAGE(ARRAYFORMULA(VLOOKUP(SPLIT(T36,"","",TRUE,TRUE),$R$2:$S1000,2,FALSE))),0)"),0.0)</f>
        <v>0</v>
      </c>
      <c r="V36" s="123">
        <f>IFERROR(__xludf.DUMMYFUNCTION("RANK($I36, $I$2:$I1000, FALSE) + RANK($M36, Filter($M$2:$M1000, $I$2:$I1000=$I36),FALSE)+RANK($U36, Filter($U$2:$U1000, $I$2:$I1000=$I36,$M$2:$M1000=$M36),FALSE)-2"),1.0)</f>
        <v>1</v>
      </c>
      <c r="W36" s="124" t="str">
        <f t="shared" si="9"/>
        <v>Underplay</v>
      </c>
      <c r="X36" s="125" t="str">
        <f t="shared" si="10"/>
        <v/>
      </c>
      <c r="Y36" s="126">
        <f>MAXIFS(Matches!$A:$A,Matches!$C:$C,$B36)</f>
        <v>0</v>
      </c>
      <c r="Z36" s="126">
        <f t="array" ref="Z36">XLOOKUP(Y36,Quotas!$B$7:$B$10,Quotas!$A$7:$A$10,0,-1)</f>
        <v>0</v>
      </c>
      <c r="AB36" s="31"/>
      <c r="AC36" s="31">
        <f>COUNTIFS(Matches!$A:$A,"&gt;"&amp;Y36,Matches!$B:$B,$B36)</f>
        <v>0</v>
      </c>
      <c r="AD36" s="31"/>
      <c r="AE36" s="127">
        <f>SUMIF('Pool Changes'!B:B, B36, 'Pool Changes'!H:H)</f>
        <v>0</v>
      </c>
    </row>
    <row r="37">
      <c r="A37" s="104">
        <f t="shared" si="1"/>
        <v>1</v>
      </c>
      <c r="C37" s="128"/>
      <c r="D37" s="74"/>
      <c r="E37" s="1"/>
      <c r="F37" s="1"/>
      <c r="G37" s="1"/>
      <c r="H37" s="118">
        <f>COUNTIF(Entropy!$D:$D,$B37)+COUNTIF(Matches!$B:$B,$B37)+COUNTIF(Matches!$C:$C,$B37)</f>
        <v>0</v>
      </c>
      <c r="I37" s="119">
        <f>COUNTIF(Matches!$B:$B,B37)</f>
        <v>0</v>
      </c>
      <c r="J37" s="31">
        <f t="shared" si="2"/>
        <v>0</v>
      </c>
      <c r="K37" s="1" t="str">
        <f t="shared" si="3"/>
        <v>0 - 0</v>
      </c>
      <c r="L37" s="120">
        <f>COUNTIF(Entropy!$D:$D,$B37)</f>
        <v>0</v>
      </c>
      <c r="M37" s="121">
        <f t="shared" si="4"/>
        <v>0</v>
      </c>
      <c r="N37" s="121">
        <f t="shared" si="5"/>
        <v>0</v>
      </c>
      <c r="O37" s="118">
        <f>IF($J37=11,0,IF(AND($H37 &gt;=VLOOKUP('Combined Standings'!$C$2,Quotas!$A$7:$E$14,4,FALSE), $H37&lt;=VLOOKUP('Combined Standings'!$C$2,Quotas!$A$7:$E$14,5,FALSE)), 0,VLOOKUP('Combined Standings'!$C$2,Quotas!$A$7:$E$11,4,FALSE)-$H37))</f>
        <v>13</v>
      </c>
      <c r="P37" s="118">
        <f>IF($J37=11,0,IF(AND($H37 &gt;=VLOOKUP('Combined Standings'!$C$2,Quotas!$A$7:$E$14,5,FALSE), $H37&lt;=VLOOKUP('Combined Standings'!$C$2,Quotas!$A$7:$E$14,5,FALSE)), 0,VLOOKUP('Combined Standings'!$C$2,Quotas!$A$7:$E$11,5,FALSE)-$H37))</f>
        <v>15</v>
      </c>
      <c r="Q37" s="31">
        <f t="shared" si="6"/>
        <v>11</v>
      </c>
      <c r="R37" s="122" t="str">
        <f t="shared" si="7"/>
        <v/>
      </c>
      <c r="S37" s="121">
        <f t="shared" si="8"/>
        <v>0.33</v>
      </c>
      <c r="T37" s="122" t="str">
        <f>IFERROR(__xludf.DUMMYFUNCTION("JOIN("","",IFERROR(FILTER(Matches!$B:$B,B37=Matches!$C:$C),""""),IFERROR(FILTER(Matches!$C:$C,B37=Matches!$B:$B),""""))"),",,,,,,,,,,,,,,,,,,,,,,,,,,,,,,,,,,,,,,,,,,,,,,,,,,,,,,,,,,,,,,,,,,,,,,,,,,,,,,,,,,,,,,,,,,,,,,,,,,,,,,,,,,,,,,,,,,,,,,,,,,,,,,,,,,,,,,,,,,,,,,,,,,,,,,,,,,,,,,,,,,,,,,,,,,,,,,,,,,,,,,,,,,,,,,,,,,,,,,,,,,,,,,,,,,,,,,,,,,,,,,,,,,,,,,,,,,,,,,,,,,,,,,,,,,,,,,,")</f>
        <v>,,,,,,,,,,,,,,,,,,,,,,,,,,,,,,,,,,,,,,,,,,,,,,,,,,,,,,,,,,,,,,,,,,,,,,,,,,,,,,,,,,,,,,,,,,,,,,,,,,,,,,,,,,,,,,,,,,,,,,,,,,,,,,,,,,,,,,,,,,,,,,,,,,,,,,,,,,,,,,,,,,,,,,,,,,,,,,,,,,,,,,,,,,,,,,,,,,,,,,,,,,,,,,,,,,,,,,,,,,,,,,,,,,,,,,,,,,,,,,,,,,,,,,,,,,,,,,,</v>
      </c>
      <c r="U37" s="121">
        <f>IFERROR(__xludf.DUMMYFUNCTION("iferror(AVERAGE(ARRAYFORMULA(VLOOKUP(SPLIT(T37,"","",TRUE,TRUE),$R$2:$S1000,2,FALSE))),0)"),0.0)</f>
        <v>0</v>
      </c>
      <c r="V37" s="123">
        <f>IFERROR(__xludf.DUMMYFUNCTION("RANK($I37, $I$2:$I1000, FALSE) + RANK($M37, Filter($M$2:$M1000, $I$2:$I1000=$I37),FALSE)+RANK($U37, Filter($U$2:$U1000, $I$2:$I1000=$I37,$M$2:$M1000=$M37),FALSE)-2"),1.0)</f>
        <v>1</v>
      </c>
      <c r="W37" s="124" t="str">
        <f t="shared" si="9"/>
        <v>Underplay</v>
      </c>
      <c r="X37" s="125" t="str">
        <f t="shared" si="10"/>
        <v/>
      </c>
      <c r="Y37" s="126">
        <f>MAXIFS(Matches!$A:$A,Matches!$C:$C,$B37)</f>
        <v>0</v>
      </c>
      <c r="Z37" s="126">
        <f t="array" ref="Z37">XLOOKUP(Y37,Quotas!$B$7:$B$10,Quotas!$A$7:$A$10,0,-1)</f>
        <v>0</v>
      </c>
      <c r="AB37" s="31"/>
      <c r="AC37" s="31">
        <f>COUNTIFS(Matches!$A:$A,"&gt;"&amp;Y37,Matches!$B:$B,$B37)</f>
        <v>0</v>
      </c>
      <c r="AD37" s="31"/>
      <c r="AE37" s="127">
        <f>SUMIF('Pool Changes'!B:B, B37, 'Pool Changes'!H:H)</f>
        <v>0</v>
      </c>
    </row>
    <row r="38">
      <c r="A38" s="104">
        <f t="shared" si="1"/>
        <v>1</v>
      </c>
      <c r="C38" s="128"/>
      <c r="D38" s="74"/>
      <c r="E38" s="1"/>
      <c r="F38" s="1"/>
      <c r="G38" s="1"/>
      <c r="H38" s="118">
        <f>COUNTIF(Entropy!$D:$D,$B38)+COUNTIF(Matches!$B:$B,$B38)+COUNTIF(Matches!$C:$C,$B38)</f>
        <v>0</v>
      </c>
      <c r="I38" s="119">
        <f>COUNTIF(Matches!$B:$B,B38)</f>
        <v>0</v>
      </c>
      <c r="J38" s="31">
        <f t="shared" si="2"/>
        <v>0</v>
      </c>
      <c r="K38" s="1" t="str">
        <f t="shared" si="3"/>
        <v>0 - 0</v>
      </c>
      <c r="L38" s="120">
        <f>COUNTIF(Entropy!$D:$D,$B38)</f>
        <v>0</v>
      </c>
      <c r="M38" s="121">
        <f t="shared" si="4"/>
        <v>0</v>
      </c>
      <c r="N38" s="121">
        <f t="shared" si="5"/>
        <v>0</v>
      </c>
      <c r="O38" s="118">
        <f>IF($J38=11,0,IF(AND($H38 &gt;=VLOOKUP('Combined Standings'!$C$2,Quotas!$A$7:$E$14,4,FALSE), $H38&lt;=VLOOKUP('Combined Standings'!$C$2,Quotas!$A$7:$E$14,5,FALSE)), 0,VLOOKUP('Combined Standings'!$C$2,Quotas!$A$7:$E$11,4,FALSE)-$H38))</f>
        <v>13</v>
      </c>
      <c r="P38" s="118">
        <f>IF($J38=11,0,IF(AND($H38 &gt;=VLOOKUP('Combined Standings'!$C$2,Quotas!$A$7:$E$14,5,FALSE), $H38&lt;=VLOOKUP('Combined Standings'!$C$2,Quotas!$A$7:$E$14,5,FALSE)), 0,VLOOKUP('Combined Standings'!$C$2,Quotas!$A$7:$E$11,5,FALSE)-$H38))</f>
        <v>15</v>
      </c>
      <c r="Q38" s="31">
        <f t="shared" si="6"/>
        <v>11</v>
      </c>
      <c r="R38" s="122" t="str">
        <f t="shared" si="7"/>
        <v/>
      </c>
      <c r="S38" s="121">
        <f t="shared" si="8"/>
        <v>0.33</v>
      </c>
      <c r="T38" s="122" t="str">
        <f>IFERROR(__xludf.DUMMYFUNCTION("JOIN("","",IFERROR(FILTER(Matches!$B:$B,B38=Matches!$C:$C),""""),IFERROR(FILTER(Matches!$C:$C,B38=Matches!$B:$B),""""))"),",,,,,,,,,,,,,,,,,,,,,,,,,,,,,,,,,,,,,,,,,,,,,,,,,,,,,,,,,,,,,,,,,,,,,,,,,,,,,,,,,,,,,,,,,,,,,,,,,,,,,,,,,,,,,,,,,,,,,,,,,,,,,,,,,,,,,,,,,,,,,,,,,,,,,,,,,,,,,,,,,,,,,,,,,,,,,,,,,,,,,,,,,,,,,,,,,,,,,,,,,,,,,,,,,,,,,,,,,,,,,,,,,,,,,,,,,,,,,,,,,,,,,,,,,,,,,,,")</f>
        <v>,,,,,,,,,,,,,,,,,,,,,,,,,,,,,,,,,,,,,,,,,,,,,,,,,,,,,,,,,,,,,,,,,,,,,,,,,,,,,,,,,,,,,,,,,,,,,,,,,,,,,,,,,,,,,,,,,,,,,,,,,,,,,,,,,,,,,,,,,,,,,,,,,,,,,,,,,,,,,,,,,,,,,,,,,,,,,,,,,,,,,,,,,,,,,,,,,,,,,,,,,,,,,,,,,,,,,,,,,,,,,,,,,,,,,,,,,,,,,,,,,,,,,,,,,,,,,,,</v>
      </c>
      <c r="U38" s="121">
        <f>IFERROR(__xludf.DUMMYFUNCTION("iferror(AVERAGE(ARRAYFORMULA(VLOOKUP(SPLIT(T38,"","",TRUE,TRUE),$R$2:$S1000,2,FALSE))),0)"),0.0)</f>
        <v>0</v>
      </c>
      <c r="V38" s="123">
        <f>IFERROR(__xludf.DUMMYFUNCTION("RANK($I38, $I$2:$I1000, FALSE) + RANK($M38, Filter($M$2:$M1000, $I$2:$I1000=$I38),FALSE)+RANK($U38, Filter($U$2:$U1000, $I$2:$I1000=$I38,$M$2:$M1000=$M38),FALSE)-2"),1.0)</f>
        <v>1</v>
      </c>
      <c r="W38" s="124" t="str">
        <f t="shared" si="9"/>
        <v>Underplay</v>
      </c>
      <c r="X38" s="125" t="str">
        <f t="shared" si="10"/>
        <v/>
      </c>
      <c r="Y38" s="126">
        <f>MAXIFS(Matches!$A:$A,Matches!$C:$C,$B38)</f>
        <v>0</v>
      </c>
      <c r="Z38" s="126">
        <f t="array" ref="Z38">XLOOKUP(Y38,Quotas!$B$7:$B$10,Quotas!$A$7:$A$10,0,-1)</f>
        <v>0</v>
      </c>
      <c r="AB38" s="31"/>
      <c r="AC38" s="31">
        <f>COUNTIFS(Matches!$A:$A,"&gt;"&amp;Y38,Matches!$B:$B,$B38)</f>
        <v>0</v>
      </c>
      <c r="AD38" s="31"/>
      <c r="AE38" s="127">
        <f>SUMIF('Pool Changes'!B:B, B38, 'Pool Changes'!H:H)</f>
        <v>0</v>
      </c>
    </row>
    <row r="39">
      <c r="A39" s="104">
        <f t="shared" si="1"/>
        <v>1</v>
      </c>
      <c r="C39" s="128"/>
      <c r="D39" s="74"/>
      <c r="E39" s="1"/>
      <c r="F39" s="1"/>
      <c r="G39" s="1"/>
      <c r="H39" s="118">
        <f>COUNTIF(Entropy!$D:$D,$B39)+COUNTIF(Matches!$B:$B,$B39)+COUNTIF(Matches!$C:$C,$B39)</f>
        <v>0</v>
      </c>
      <c r="I39" s="119">
        <f>COUNTIF(Matches!$B:$B,B39)</f>
        <v>0</v>
      </c>
      <c r="J39" s="31">
        <f t="shared" si="2"/>
        <v>0</v>
      </c>
      <c r="K39" s="1" t="str">
        <f t="shared" si="3"/>
        <v>0 - 0</v>
      </c>
      <c r="L39" s="120">
        <f>COUNTIF(Entropy!$D:$D,$B39)</f>
        <v>0</v>
      </c>
      <c r="M39" s="121">
        <f t="shared" si="4"/>
        <v>0</v>
      </c>
      <c r="N39" s="121">
        <f t="shared" si="5"/>
        <v>0</v>
      </c>
      <c r="O39" s="118">
        <f>IF($J39=11,0,IF(AND($H39 &gt;=VLOOKUP('Combined Standings'!$C$2,Quotas!$A$7:$E$14,4,FALSE), $H39&lt;=VLOOKUP('Combined Standings'!$C$2,Quotas!$A$7:$E$14,5,FALSE)), 0,VLOOKUP('Combined Standings'!$C$2,Quotas!$A$7:$E$11,4,FALSE)-$H39))</f>
        <v>13</v>
      </c>
      <c r="P39" s="118">
        <f>IF($J39=11,0,IF(AND($H39 &gt;=VLOOKUP('Combined Standings'!$C$2,Quotas!$A$7:$E$14,5,FALSE), $H39&lt;=VLOOKUP('Combined Standings'!$C$2,Quotas!$A$7:$E$14,5,FALSE)), 0,VLOOKUP('Combined Standings'!$C$2,Quotas!$A$7:$E$11,5,FALSE)-$H39))</f>
        <v>15</v>
      </c>
      <c r="Q39" s="31">
        <f t="shared" si="6"/>
        <v>11</v>
      </c>
      <c r="R39" s="122" t="str">
        <f t="shared" si="7"/>
        <v/>
      </c>
      <c r="S39" s="121">
        <f t="shared" si="8"/>
        <v>0.33</v>
      </c>
      <c r="T39" s="122" t="str">
        <f>IFERROR(__xludf.DUMMYFUNCTION("JOIN("","",IFERROR(FILTER(Matches!$B:$B,B39=Matches!$C:$C),""""),IFERROR(FILTER(Matches!$C:$C,B39=Matches!$B:$B),""""))"),",,,,,,,,,,,,,,,,,,,,,,,,,,,,,,,,,,,,,,,,,,,,,,,,,,,,,,,,,,,,,,,,,,,,,,,,,,,,,,,,,,,,,,,,,,,,,,,,,,,,,,,,,,,,,,,,,,,,,,,,,,,,,,,,,,,,,,,,,,,,,,,,,,,,,,,,,,,,,,,,,,,,,,,,,,,,,,,,,,,,,,,,,,,,,,,,,,,,,,,,,,,,,,,,,,,,,,,,,,,,,,,,,,,,,,,,,,,,,,,,,,,,,,,,,,,,,,,")</f>
        <v>,,,,,,,,,,,,,,,,,,,,,,,,,,,,,,,,,,,,,,,,,,,,,,,,,,,,,,,,,,,,,,,,,,,,,,,,,,,,,,,,,,,,,,,,,,,,,,,,,,,,,,,,,,,,,,,,,,,,,,,,,,,,,,,,,,,,,,,,,,,,,,,,,,,,,,,,,,,,,,,,,,,,,,,,,,,,,,,,,,,,,,,,,,,,,,,,,,,,,,,,,,,,,,,,,,,,,,,,,,,,,,,,,,,,,,,,,,,,,,,,,,,,,,,,,,,,,,,</v>
      </c>
      <c r="U39" s="121">
        <f>IFERROR(__xludf.DUMMYFUNCTION("iferror(AVERAGE(ARRAYFORMULA(VLOOKUP(SPLIT(T39,"","",TRUE,TRUE),$R$2:$S1000,2,FALSE))),0)"),0.0)</f>
        <v>0</v>
      </c>
      <c r="V39" s="123">
        <f>IFERROR(__xludf.DUMMYFUNCTION("RANK($I39, $I$2:$I1000, FALSE) + RANK($M39, Filter($M$2:$M1000, $I$2:$I1000=$I39),FALSE)+RANK($U39, Filter($U$2:$U1000, $I$2:$I1000=$I39,$M$2:$M1000=$M39),FALSE)-2"),1.0)</f>
        <v>1</v>
      </c>
      <c r="W39" s="124" t="str">
        <f t="shared" si="9"/>
        <v>Underplay</v>
      </c>
      <c r="X39" s="125" t="str">
        <f t="shared" si="10"/>
        <v/>
      </c>
      <c r="Y39" s="126">
        <f>MAXIFS(Matches!$A:$A,Matches!$C:$C,$B39)</f>
        <v>0</v>
      </c>
      <c r="Z39" s="126">
        <f t="array" ref="Z39">XLOOKUP(Y39,Quotas!$B$7:$B$10,Quotas!$A$7:$A$10,0,-1)</f>
        <v>0</v>
      </c>
      <c r="AB39" s="31"/>
      <c r="AC39" s="31">
        <f>COUNTIFS(Matches!$A:$A,"&gt;"&amp;Y39,Matches!$B:$B,$B39)</f>
        <v>0</v>
      </c>
      <c r="AD39" s="31"/>
      <c r="AE39" s="127">
        <f>SUMIF('Pool Changes'!B:B, B39, 'Pool Changes'!H:H)</f>
        <v>0</v>
      </c>
    </row>
    <row r="40">
      <c r="A40" s="104">
        <f t="shared" si="1"/>
        <v>1</v>
      </c>
      <c r="C40" s="128"/>
      <c r="D40" s="74"/>
      <c r="E40" s="1"/>
      <c r="F40" s="1"/>
      <c r="G40" s="1"/>
      <c r="H40" s="118">
        <f>COUNTIF(Entropy!$D:$D,$B40)+COUNTIF(Matches!$B:$B,$B40)+COUNTIF(Matches!$C:$C,$B40)</f>
        <v>0</v>
      </c>
      <c r="I40" s="119">
        <f>COUNTIF(Matches!$B:$B,B40)</f>
        <v>0</v>
      </c>
      <c r="J40" s="31">
        <f t="shared" si="2"/>
        <v>0</v>
      </c>
      <c r="K40" s="1" t="str">
        <f t="shared" si="3"/>
        <v>0 - 0</v>
      </c>
      <c r="L40" s="120">
        <f>COUNTIF(Entropy!$D:$D,$B40)</f>
        <v>0</v>
      </c>
      <c r="M40" s="121">
        <f t="shared" si="4"/>
        <v>0</v>
      </c>
      <c r="N40" s="121">
        <f t="shared" si="5"/>
        <v>0</v>
      </c>
      <c r="O40" s="118">
        <f>IF($J40=11,0,IF(AND($H40 &gt;=VLOOKUP('Combined Standings'!$C$2,Quotas!$A$7:$E$14,4,FALSE), $H40&lt;=VLOOKUP('Combined Standings'!$C$2,Quotas!$A$7:$E$14,5,FALSE)), 0,VLOOKUP('Combined Standings'!$C$2,Quotas!$A$7:$E$11,4,FALSE)-$H40))</f>
        <v>13</v>
      </c>
      <c r="P40" s="118">
        <f>IF($J40=11,0,IF(AND($H40 &gt;=VLOOKUP('Combined Standings'!$C$2,Quotas!$A$7:$E$14,5,FALSE), $H40&lt;=VLOOKUP('Combined Standings'!$C$2,Quotas!$A$7:$E$14,5,FALSE)), 0,VLOOKUP('Combined Standings'!$C$2,Quotas!$A$7:$E$11,5,FALSE)-$H40))</f>
        <v>15</v>
      </c>
      <c r="Q40" s="31">
        <f t="shared" si="6"/>
        <v>11</v>
      </c>
      <c r="R40" s="122" t="str">
        <f t="shared" si="7"/>
        <v/>
      </c>
      <c r="S40" s="121">
        <f t="shared" si="8"/>
        <v>0.33</v>
      </c>
      <c r="T40" s="122" t="str">
        <f>IFERROR(__xludf.DUMMYFUNCTION("JOIN("","",IFERROR(FILTER(Matches!$B:$B,B40=Matches!$C:$C),""""),IFERROR(FILTER(Matches!$C:$C,B40=Matches!$B:$B),""""))"),",,,,,,,,,,,,,,,,,,,,,,,,,,,,,,,,,,,,,,,,,,,,,,,,,,,,,,,,,,,,,,,,,,,,,,,,,,,,,,,,,,,,,,,,,,,,,,,,,,,,,,,,,,,,,,,,,,,,,,,,,,,,,,,,,,,,,,,,,,,,,,,,,,,,,,,,,,,,,,,,,,,,,,,,,,,,,,,,,,,,,,,,,,,,,,,,,,,,,,,,,,,,,,,,,,,,,,,,,,,,,,,,,,,,,,,,,,,,,,,,,,,,,,,,,,,,,,,")</f>
        <v>,,,,,,,,,,,,,,,,,,,,,,,,,,,,,,,,,,,,,,,,,,,,,,,,,,,,,,,,,,,,,,,,,,,,,,,,,,,,,,,,,,,,,,,,,,,,,,,,,,,,,,,,,,,,,,,,,,,,,,,,,,,,,,,,,,,,,,,,,,,,,,,,,,,,,,,,,,,,,,,,,,,,,,,,,,,,,,,,,,,,,,,,,,,,,,,,,,,,,,,,,,,,,,,,,,,,,,,,,,,,,,,,,,,,,,,,,,,,,,,,,,,,,,,,,,,,,,,</v>
      </c>
      <c r="U40" s="121">
        <f>IFERROR(__xludf.DUMMYFUNCTION("iferror(AVERAGE(ARRAYFORMULA(VLOOKUP(SPLIT(T40,"","",TRUE,TRUE),$R$2:$S1000,2,FALSE))),0)"),0.0)</f>
        <v>0</v>
      </c>
      <c r="V40" s="123">
        <f>IFERROR(__xludf.DUMMYFUNCTION("RANK($I40, $I$2:$I1000, FALSE) + RANK($M40, Filter($M$2:$M1000, $I$2:$I1000=$I40),FALSE)+RANK($U40, Filter($U$2:$U1000, $I$2:$I1000=$I40,$M$2:$M1000=$M40),FALSE)-2"),1.0)</f>
        <v>1</v>
      </c>
      <c r="W40" s="124" t="str">
        <f t="shared" si="9"/>
        <v>Underplay</v>
      </c>
      <c r="X40" s="125" t="str">
        <f t="shared" si="10"/>
        <v/>
      </c>
      <c r="Y40" s="126">
        <f>MAXIFS(Matches!$A:$A,Matches!$C:$C,$B40)</f>
        <v>0</v>
      </c>
      <c r="Z40" s="126">
        <f t="array" ref="Z40">XLOOKUP(Y40,Quotas!$B$7:$B$10,Quotas!$A$7:$A$10,0,-1)</f>
        <v>0</v>
      </c>
      <c r="AB40" s="31"/>
      <c r="AC40" s="31">
        <f>COUNTIFS(Matches!$A:$A,"&gt;"&amp;Y40,Matches!$B:$B,$B40)</f>
        <v>0</v>
      </c>
      <c r="AD40" s="31"/>
      <c r="AE40" s="127">
        <f>SUMIF('Pool Changes'!B:B, B40, 'Pool Changes'!H:H)</f>
        <v>0</v>
      </c>
    </row>
    <row r="41">
      <c r="A41" s="104">
        <f t="shared" si="1"/>
        <v>1</v>
      </c>
      <c r="C41" s="128"/>
      <c r="D41" s="74"/>
      <c r="E41" s="1"/>
      <c r="F41" s="1"/>
      <c r="G41" s="1"/>
      <c r="H41" s="118">
        <f>COUNTIF(Entropy!$D:$D,$B41)+COUNTIF(Matches!$B:$B,$B41)+COUNTIF(Matches!$C:$C,$B41)</f>
        <v>0</v>
      </c>
      <c r="I41" s="119">
        <f>COUNTIF(Matches!$B:$B,B41)</f>
        <v>0</v>
      </c>
      <c r="J41" s="31">
        <f t="shared" si="2"/>
        <v>0</v>
      </c>
      <c r="K41" s="1" t="str">
        <f t="shared" si="3"/>
        <v>0 - 0</v>
      </c>
      <c r="L41" s="120">
        <f>COUNTIF(Entropy!$D:$D,$B41)</f>
        <v>0</v>
      </c>
      <c r="M41" s="121">
        <f t="shared" si="4"/>
        <v>0</v>
      </c>
      <c r="N41" s="121">
        <f t="shared" si="5"/>
        <v>0</v>
      </c>
      <c r="O41" s="118">
        <f>IF($J41=11,0,IF(AND($H41 &gt;=VLOOKUP('Combined Standings'!$C$2,Quotas!$A$7:$E$14,4,FALSE), $H41&lt;=VLOOKUP('Combined Standings'!$C$2,Quotas!$A$7:$E$14,5,FALSE)), 0,VLOOKUP('Combined Standings'!$C$2,Quotas!$A$7:$E$11,4,FALSE)-$H41))</f>
        <v>13</v>
      </c>
      <c r="P41" s="118">
        <f>IF($J41=11,0,IF(AND($H41 &gt;=VLOOKUP('Combined Standings'!$C$2,Quotas!$A$7:$E$14,5,FALSE), $H41&lt;=VLOOKUP('Combined Standings'!$C$2,Quotas!$A$7:$E$14,5,FALSE)), 0,VLOOKUP('Combined Standings'!$C$2,Quotas!$A$7:$E$11,5,FALSE)-$H41))</f>
        <v>15</v>
      </c>
      <c r="Q41" s="31">
        <f t="shared" si="6"/>
        <v>11</v>
      </c>
      <c r="R41" s="122" t="str">
        <f t="shared" si="7"/>
        <v/>
      </c>
      <c r="S41" s="121">
        <f t="shared" si="8"/>
        <v>0.33</v>
      </c>
      <c r="T41" s="122" t="str">
        <f>IFERROR(__xludf.DUMMYFUNCTION("JOIN("","",IFERROR(FILTER(Matches!$B:$B,B41=Matches!$C:$C),""""),IFERROR(FILTER(Matches!$C:$C,B41=Matches!$B:$B),""""))"),",,,,,,,,,,,,,,,,,,,,,,,,,,,,,,,,,,,,,,,,,,,,,,,,,,,,,,,,,,,,,,,,,,,,,,,,,,,,,,,,,,,,,,,,,,,,,,,,,,,,,,,,,,,,,,,,,,,,,,,,,,,,,,,,,,,,,,,,,,,,,,,,,,,,,,,,,,,,,,,,,,,,,,,,,,,,,,,,,,,,,,,,,,,,,,,,,,,,,,,,,,,,,,,,,,,,,,,,,,,,,,,,,,,,,,,,,,,,,,,,,,,,,,,,,,,,,,,")</f>
        <v>,,,,,,,,,,,,,,,,,,,,,,,,,,,,,,,,,,,,,,,,,,,,,,,,,,,,,,,,,,,,,,,,,,,,,,,,,,,,,,,,,,,,,,,,,,,,,,,,,,,,,,,,,,,,,,,,,,,,,,,,,,,,,,,,,,,,,,,,,,,,,,,,,,,,,,,,,,,,,,,,,,,,,,,,,,,,,,,,,,,,,,,,,,,,,,,,,,,,,,,,,,,,,,,,,,,,,,,,,,,,,,,,,,,,,,,,,,,,,,,,,,,,,,,,,,,,,,,</v>
      </c>
      <c r="U41" s="121">
        <f>IFERROR(__xludf.DUMMYFUNCTION("iferror(AVERAGE(ARRAYFORMULA(VLOOKUP(SPLIT(T41,"","",TRUE,TRUE),$R$2:$S1000,2,FALSE))),0)"),0.0)</f>
        <v>0</v>
      </c>
      <c r="V41" s="123">
        <f>IFERROR(__xludf.DUMMYFUNCTION("RANK($I41, $I$2:$I1000, FALSE) + RANK($M41, Filter($M$2:$M1000, $I$2:$I1000=$I41),FALSE)+RANK($U41, Filter($U$2:$U1000, $I$2:$I1000=$I41,$M$2:$M1000=$M41),FALSE)-2"),1.0)</f>
        <v>1</v>
      </c>
      <c r="W41" s="124" t="str">
        <f t="shared" si="9"/>
        <v>Underplay</v>
      </c>
      <c r="X41" s="125" t="str">
        <f t="shared" si="10"/>
        <v/>
      </c>
      <c r="Y41" s="126">
        <f>MAXIFS(Matches!$A:$A,Matches!$C:$C,$B41)</f>
        <v>0</v>
      </c>
      <c r="Z41" s="126">
        <f t="array" ref="Z41">XLOOKUP(Y41,Quotas!$B$7:$B$10,Quotas!$A$7:$A$10,0,-1)</f>
        <v>0</v>
      </c>
      <c r="AB41" s="31"/>
      <c r="AC41" s="31">
        <f>COUNTIFS(Matches!$A:$A,"&gt;"&amp;Y41,Matches!$B:$B,$B41)</f>
        <v>0</v>
      </c>
      <c r="AD41" s="31"/>
      <c r="AE41" s="127">
        <f>SUMIF('Pool Changes'!B:B, B41, 'Pool Changes'!H:H)</f>
        <v>0</v>
      </c>
    </row>
    <row r="42">
      <c r="A42" s="104">
        <f t="shared" si="1"/>
        <v>1</v>
      </c>
      <c r="C42" s="128"/>
      <c r="D42" s="74"/>
      <c r="E42" s="1"/>
      <c r="F42" s="1"/>
      <c r="G42" s="1"/>
      <c r="H42" s="118">
        <f>COUNTIF(Entropy!$D:$D,$B42)+COUNTIF(Matches!$B:$B,$B42)+COUNTIF(Matches!$C:$C,$B42)</f>
        <v>0</v>
      </c>
      <c r="I42" s="119">
        <f>COUNTIF(Matches!$B:$B,B42)</f>
        <v>0</v>
      </c>
      <c r="J42" s="31">
        <f t="shared" si="2"/>
        <v>0</v>
      </c>
      <c r="K42" s="1" t="str">
        <f t="shared" si="3"/>
        <v>0 - 0</v>
      </c>
      <c r="L42" s="120">
        <f>COUNTIF(Entropy!$D:$D,$B42)</f>
        <v>0</v>
      </c>
      <c r="M42" s="121">
        <f t="shared" si="4"/>
        <v>0</v>
      </c>
      <c r="N42" s="121">
        <f t="shared" si="5"/>
        <v>0</v>
      </c>
      <c r="O42" s="118">
        <f>IF($J42=11,0,IF(AND($H42 &gt;=VLOOKUP('Combined Standings'!$C$2,Quotas!$A$7:$E$14,4,FALSE), $H42&lt;=VLOOKUP('Combined Standings'!$C$2,Quotas!$A$7:$E$14,5,FALSE)), 0,VLOOKUP('Combined Standings'!$C$2,Quotas!$A$7:$E$11,4,FALSE)-$H42))</f>
        <v>13</v>
      </c>
      <c r="P42" s="118">
        <f>IF($J42=11,0,IF(AND($H42 &gt;=VLOOKUP('Combined Standings'!$C$2,Quotas!$A$7:$E$14,5,FALSE), $H42&lt;=VLOOKUP('Combined Standings'!$C$2,Quotas!$A$7:$E$14,5,FALSE)), 0,VLOOKUP('Combined Standings'!$C$2,Quotas!$A$7:$E$11,5,FALSE)-$H42))</f>
        <v>15</v>
      </c>
      <c r="Q42" s="31">
        <f t="shared" si="6"/>
        <v>11</v>
      </c>
      <c r="R42" s="122" t="str">
        <f t="shared" si="7"/>
        <v/>
      </c>
      <c r="S42" s="121">
        <f t="shared" si="8"/>
        <v>0.33</v>
      </c>
      <c r="T42" s="122" t="str">
        <f>IFERROR(__xludf.DUMMYFUNCTION("JOIN("","",IFERROR(FILTER(Matches!$B:$B,B42=Matches!$C:$C),""""),IFERROR(FILTER(Matches!$C:$C,B42=Matches!$B:$B),""""))"),",,,,,,,,,,,,,,,,,,,,,,,,,,,,,,,,,,,,,,,,,,,,,,,,,,,,,,,,,,,,,,,,,,,,,,,,,,,,,,,,,,,,,,,,,,,,,,,,,,,,,,,,,,,,,,,,,,,,,,,,,,,,,,,,,,,,,,,,,,,,,,,,,,,,,,,,,,,,,,,,,,,,,,,,,,,,,,,,,,,,,,,,,,,,,,,,,,,,,,,,,,,,,,,,,,,,,,,,,,,,,,,,,,,,,,,,,,,,,,,,,,,,,,,,,,,,,,,")</f>
        <v>,,,,,,,,,,,,,,,,,,,,,,,,,,,,,,,,,,,,,,,,,,,,,,,,,,,,,,,,,,,,,,,,,,,,,,,,,,,,,,,,,,,,,,,,,,,,,,,,,,,,,,,,,,,,,,,,,,,,,,,,,,,,,,,,,,,,,,,,,,,,,,,,,,,,,,,,,,,,,,,,,,,,,,,,,,,,,,,,,,,,,,,,,,,,,,,,,,,,,,,,,,,,,,,,,,,,,,,,,,,,,,,,,,,,,,,,,,,,,,,,,,,,,,,,,,,,,,,</v>
      </c>
      <c r="U42" s="121">
        <f>IFERROR(__xludf.DUMMYFUNCTION("iferror(AVERAGE(ARRAYFORMULA(VLOOKUP(SPLIT(T42,"","",TRUE,TRUE),$R$2:$S1000,2,FALSE))),0)"),0.0)</f>
        <v>0</v>
      </c>
      <c r="V42" s="123">
        <f>IFERROR(__xludf.DUMMYFUNCTION("RANK($I42, $I$2:$I1000, FALSE) + RANK($M42, Filter($M$2:$M1000, $I$2:$I1000=$I42),FALSE)+RANK($U42, Filter($U$2:$U1000, $I$2:$I1000=$I42,$M$2:$M1000=$M42),FALSE)-2"),1.0)</f>
        <v>1</v>
      </c>
      <c r="W42" s="124" t="str">
        <f t="shared" si="9"/>
        <v>Underplay</v>
      </c>
      <c r="X42" s="125" t="str">
        <f t="shared" si="10"/>
        <v/>
      </c>
      <c r="Y42" s="126">
        <f>MAXIFS(Matches!$A:$A,Matches!$C:$C,$B42)</f>
        <v>0</v>
      </c>
      <c r="Z42" s="126">
        <f t="array" ref="Z42">XLOOKUP(Y42,Quotas!$B$7:$B$10,Quotas!$A$7:$A$10,0,-1)</f>
        <v>0</v>
      </c>
      <c r="AB42" s="31"/>
      <c r="AC42" s="31">
        <f>COUNTIFS(Matches!$A:$A,"&gt;"&amp;Y42,Matches!$B:$B,$B42)</f>
        <v>0</v>
      </c>
      <c r="AD42" s="31"/>
      <c r="AE42" s="127">
        <f>SUMIF('Pool Changes'!B:B, B42, 'Pool Changes'!H:H)</f>
        <v>0</v>
      </c>
    </row>
    <row r="43">
      <c r="A43" s="104">
        <f t="shared" si="1"/>
        <v>1</v>
      </c>
      <c r="C43" s="128"/>
      <c r="D43" s="74"/>
      <c r="E43" s="1"/>
      <c r="F43" s="1"/>
      <c r="G43" s="1"/>
      <c r="H43" s="118">
        <f>COUNTIF(Entropy!$D:$D,$B43)+COUNTIF(Matches!$B:$B,$B43)+COUNTIF(Matches!$C:$C,$B43)</f>
        <v>0</v>
      </c>
      <c r="I43" s="119">
        <f>COUNTIF(Matches!$B:$B,B43)</f>
        <v>0</v>
      </c>
      <c r="J43" s="31">
        <f t="shared" si="2"/>
        <v>0</v>
      </c>
      <c r="K43" s="1" t="str">
        <f t="shared" si="3"/>
        <v>0 - 0</v>
      </c>
      <c r="L43" s="120">
        <f>COUNTIF(Entropy!$D:$D,$B43)</f>
        <v>0</v>
      </c>
      <c r="M43" s="121">
        <f t="shared" si="4"/>
        <v>0</v>
      </c>
      <c r="N43" s="121">
        <f t="shared" si="5"/>
        <v>0</v>
      </c>
      <c r="O43" s="118">
        <f>IF($J43=11,0,IF(AND($H43 &gt;=VLOOKUP('Combined Standings'!$C$2,Quotas!$A$7:$E$14,4,FALSE), $H43&lt;=VLOOKUP('Combined Standings'!$C$2,Quotas!$A$7:$E$14,5,FALSE)), 0,VLOOKUP('Combined Standings'!$C$2,Quotas!$A$7:$E$11,4,FALSE)-$H43))</f>
        <v>13</v>
      </c>
      <c r="P43" s="118">
        <f>IF($J43=11,0,IF(AND($H43 &gt;=VLOOKUP('Combined Standings'!$C$2,Quotas!$A$7:$E$14,5,FALSE), $H43&lt;=VLOOKUP('Combined Standings'!$C$2,Quotas!$A$7:$E$14,5,FALSE)), 0,VLOOKUP('Combined Standings'!$C$2,Quotas!$A$7:$E$11,5,FALSE)-$H43))</f>
        <v>15</v>
      </c>
      <c r="Q43" s="31">
        <f t="shared" si="6"/>
        <v>11</v>
      </c>
      <c r="R43" s="122" t="str">
        <f t="shared" si="7"/>
        <v/>
      </c>
      <c r="S43" s="121">
        <f t="shared" si="8"/>
        <v>0.33</v>
      </c>
      <c r="T43" s="122" t="str">
        <f>IFERROR(__xludf.DUMMYFUNCTION("JOIN("","",IFERROR(FILTER(Matches!$B:$B,B43=Matches!$C:$C),""""),IFERROR(FILTER(Matches!$C:$C,B43=Matches!$B:$B),""""))"),",,,,,,,,,,,,,,,,,,,,,,,,,,,,,,,,,,,,,,,,,,,,,,,,,,,,,,,,,,,,,,,,,,,,,,,,,,,,,,,,,,,,,,,,,,,,,,,,,,,,,,,,,,,,,,,,,,,,,,,,,,,,,,,,,,,,,,,,,,,,,,,,,,,,,,,,,,,,,,,,,,,,,,,,,,,,,,,,,,,,,,,,,,,,,,,,,,,,,,,,,,,,,,,,,,,,,,,,,,,,,,,,,,,,,,,,,,,,,,,,,,,,,,,,,,,,,,,")</f>
        <v>,,,,,,,,,,,,,,,,,,,,,,,,,,,,,,,,,,,,,,,,,,,,,,,,,,,,,,,,,,,,,,,,,,,,,,,,,,,,,,,,,,,,,,,,,,,,,,,,,,,,,,,,,,,,,,,,,,,,,,,,,,,,,,,,,,,,,,,,,,,,,,,,,,,,,,,,,,,,,,,,,,,,,,,,,,,,,,,,,,,,,,,,,,,,,,,,,,,,,,,,,,,,,,,,,,,,,,,,,,,,,,,,,,,,,,,,,,,,,,,,,,,,,,,,,,,,,,,</v>
      </c>
      <c r="U43" s="121">
        <f>IFERROR(__xludf.DUMMYFUNCTION("iferror(AVERAGE(ARRAYFORMULA(VLOOKUP(SPLIT(T43,"","",TRUE,TRUE),$R$2:$S1000,2,FALSE))),0)"),0.0)</f>
        <v>0</v>
      </c>
      <c r="V43" s="123">
        <f>IFERROR(__xludf.DUMMYFUNCTION("RANK($I43, $I$2:$I1000, FALSE) + RANK($M43, Filter($M$2:$M1000, $I$2:$I1000=$I43),FALSE)+RANK($U43, Filter($U$2:$U1000, $I$2:$I1000=$I43,$M$2:$M1000=$M43),FALSE)-2"),1.0)</f>
        <v>1</v>
      </c>
      <c r="W43" s="124" t="str">
        <f t="shared" si="9"/>
        <v>Underplay</v>
      </c>
      <c r="X43" s="125" t="str">
        <f t="shared" si="10"/>
        <v/>
      </c>
      <c r="Y43" s="126">
        <f>MAXIFS(Matches!$A:$A,Matches!$C:$C,$B43)</f>
        <v>0</v>
      </c>
      <c r="Z43" s="126">
        <f t="array" ref="Z43">XLOOKUP(Y43,Quotas!$B$7:$B$10,Quotas!$A$7:$A$10,0,-1)</f>
        <v>0</v>
      </c>
      <c r="AB43" s="31"/>
      <c r="AC43" s="31">
        <f>COUNTIFS(Matches!$A:$A,"&gt;"&amp;Y43,Matches!$B:$B,$B43)</f>
        <v>0</v>
      </c>
      <c r="AD43" s="31"/>
      <c r="AE43" s="127">
        <f>SUMIF('Pool Changes'!B:B, B43, 'Pool Changes'!H:H)</f>
        <v>0</v>
      </c>
    </row>
    <row r="44">
      <c r="A44" s="104">
        <f t="shared" si="1"/>
        <v>1</v>
      </c>
      <c r="C44" s="128"/>
      <c r="D44" s="74"/>
      <c r="E44" s="1"/>
      <c r="F44" s="1"/>
      <c r="G44" s="1"/>
      <c r="H44" s="118">
        <f>COUNTIF(Entropy!$D:$D,$B44)+COUNTIF(Matches!$B:$B,$B44)+COUNTIF(Matches!$C:$C,$B44)</f>
        <v>0</v>
      </c>
      <c r="I44" s="119">
        <f>COUNTIF(Matches!$B:$B,B44)</f>
        <v>0</v>
      </c>
      <c r="J44" s="31">
        <f t="shared" si="2"/>
        <v>0</v>
      </c>
      <c r="K44" s="1" t="str">
        <f t="shared" si="3"/>
        <v>0 - 0</v>
      </c>
      <c r="L44" s="120">
        <f>COUNTIF(Entropy!$D:$D,$B44)</f>
        <v>0</v>
      </c>
      <c r="M44" s="121">
        <f t="shared" si="4"/>
        <v>0</v>
      </c>
      <c r="N44" s="121">
        <f t="shared" si="5"/>
        <v>0</v>
      </c>
      <c r="O44" s="118">
        <f>IF($J44=11,0,IF(AND($H44 &gt;=VLOOKUP('Combined Standings'!$C$2,Quotas!$A$7:$E$14,4,FALSE), $H44&lt;=VLOOKUP('Combined Standings'!$C$2,Quotas!$A$7:$E$14,5,FALSE)), 0,VLOOKUP('Combined Standings'!$C$2,Quotas!$A$7:$E$11,4,FALSE)-$H44))</f>
        <v>13</v>
      </c>
      <c r="P44" s="118">
        <f>IF($J44=11,0,IF(AND($H44 &gt;=VLOOKUP('Combined Standings'!$C$2,Quotas!$A$7:$E$14,5,FALSE), $H44&lt;=VLOOKUP('Combined Standings'!$C$2,Quotas!$A$7:$E$14,5,FALSE)), 0,VLOOKUP('Combined Standings'!$C$2,Quotas!$A$7:$E$11,5,FALSE)-$H44))</f>
        <v>15</v>
      </c>
      <c r="Q44" s="31">
        <f t="shared" si="6"/>
        <v>11</v>
      </c>
      <c r="R44" s="122" t="str">
        <f t="shared" si="7"/>
        <v/>
      </c>
      <c r="S44" s="121">
        <f t="shared" si="8"/>
        <v>0.33</v>
      </c>
      <c r="T44" s="122" t="str">
        <f>IFERROR(__xludf.DUMMYFUNCTION("JOIN("","",IFERROR(FILTER(Matches!$B:$B,B44=Matches!$C:$C),""""),IFERROR(FILTER(Matches!$C:$C,B44=Matches!$B:$B),""""))"),",,,,,,,,,,,,,,,,,,,,,,,,,,,,,,,,,,,,,,,,,,,,,,,,,,,,,,,,,,,,,,,,,,,,,,,,,,,,,,,,,,,,,,,,,,,,,,,,,,,,,,,,,,,,,,,,,,,,,,,,,,,,,,,,,,,,,,,,,,,,,,,,,,,,,,,,,,,,,,,,,,,,,,,,,,,,,,,,,,,,,,,,,,,,,,,,,,,,,,,,,,,,,,,,,,,,,,,,,,,,,,,,,,,,,,,,,,,,,,,,,,,,,,,,,,,,,,,")</f>
        <v>,,,,,,,,,,,,,,,,,,,,,,,,,,,,,,,,,,,,,,,,,,,,,,,,,,,,,,,,,,,,,,,,,,,,,,,,,,,,,,,,,,,,,,,,,,,,,,,,,,,,,,,,,,,,,,,,,,,,,,,,,,,,,,,,,,,,,,,,,,,,,,,,,,,,,,,,,,,,,,,,,,,,,,,,,,,,,,,,,,,,,,,,,,,,,,,,,,,,,,,,,,,,,,,,,,,,,,,,,,,,,,,,,,,,,,,,,,,,,,,,,,,,,,,,,,,,,,,</v>
      </c>
      <c r="U44" s="121">
        <f>IFERROR(__xludf.DUMMYFUNCTION("iferror(AVERAGE(ARRAYFORMULA(VLOOKUP(SPLIT(T44,"","",TRUE,TRUE),$R$2:$S1000,2,FALSE))),0)"),0.0)</f>
        <v>0</v>
      </c>
      <c r="V44" s="123">
        <f>IFERROR(__xludf.DUMMYFUNCTION("RANK($I44, $I$2:$I1000, FALSE) + RANK($M44, Filter($M$2:$M1000, $I$2:$I1000=$I44),FALSE)+RANK($U44, Filter($U$2:$U1000, $I$2:$I1000=$I44,$M$2:$M1000=$M44),FALSE)-2"),1.0)</f>
        <v>1</v>
      </c>
      <c r="W44" s="124" t="str">
        <f t="shared" si="9"/>
        <v>Underplay</v>
      </c>
      <c r="X44" s="125" t="str">
        <f t="shared" si="10"/>
        <v/>
      </c>
      <c r="Y44" s="126">
        <f>MAXIFS(Matches!$A:$A,Matches!$C:$C,$B44)</f>
        <v>0</v>
      </c>
      <c r="Z44" s="126">
        <f t="array" ref="Z44">XLOOKUP(Y44,Quotas!$B$7:$B$10,Quotas!$A$7:$A$10,0,-1)</f>
        <v>0</v>
      </c>
      <c r="AB44" s="31"/>
      <c r="AC44" s="31">
        <f>COUNTIFS(Matches!$A:$A,"&gt;"&amp;Y44,Matches!$B:$B,$B44)</f>
        <v>0</v>
      </c>
      <c r="AD44" s="31"/>
      <c r="AE44" s="127">
        <f>SUMIF('Pool Changes'!B:B, B44, 'Pool Changes'!H:H)</f>
        <v>0</v>
      </c>
    </row>
    <row r="45">
      <c r="A45" s="104">
        <f t="shared" si="1"/>
        <v>1</v>
      </c>
      <c r="C45" s="128"/>
      <c r="D45" s="74"/>
      <c r="E45" s="1"/>
      <c r="F45" s="1"/>
      <c r="G45" s="1"/>
      <c r="H45" s="118">
        <f>COUNTIF(Entropy!$D:$D,$B45)+COUNTIF(Matches!$B:$B,$B45)+COUNTIF(Matches!$C:$C,$B45)</f>
        <v>0</v>
      </c>
      <c r="I45" s="119">
        <f>COUNTIF(Matches!$B:$B,B45)</f>
        <v>0</v>
      </c>
      <c r="J45" s="31">
        <f t="shared" si="2"/>
        <v>0</v>
      </c>
      <c r="K45" s="1" t="str">
        <f t="shared" si="3"/>
        <v>0 - 0</v>
      </c>
      <c r="L45" s="120">
        <f>COUNTIF(Entropy!$D:$D,$B45)</f>
        <v>0</v>
      </c>
      <c r="M45" s="121">
        <f t="shared" si="4"/>
        <v>0</v>
      </c>
      <c r="N45" s="121">
        <f t="shared" si="5"/>
        <v>0</v>
      </c>
      <c r="O45" s="118">
        <f>IF($J45=11,0,IF(AND($H45 &gt;=VLOOKUP('Combined Standings'!$C$2,Quotas!$A$7:$E$14,4,FALSE), $H45&lt;=VLOOKUP('Combined Standings'!$C$2,Quotas!$A$7:$E$14,5,FALSE)), 0,VLOOKUP('Combined Standings'!$C$2,Quotas!$A$7:$E$11,4,FALSE)-$H45))</f>
        <v>13</v>
      </c>
      <c r="P45" s="118">
        <f>IF($J45=11,0,IF(AND($H45 &gt;=VLOOKUP('Combined Standings'!$C$2,Quotas!$A$7:$E$14,5,FALSE), $H45&lt;=VLOOKUP('Combined Standings'!$C$2,Quotas!$A$7:$E$14,5,FALSE)), 0,VLOOKUP('Combined Standings'!$C$2,Quotas!$A$7:$E$11,5,FALSE)-$H45))</f>
        <v>15</v>
      </c>
      <c r="Q45" s="31">
        <f t="shared" si="6"/>
        <v>11</v>
      </c>
      <c r="R45" s="122" t="str">
        <f t="shared" si="7"/>
        <v/>
      </c>
      <c r="S45" s="121">
        <f t="shared" si="8"/>
        <v>0.33</v>
      </c>
      <c r="T45" s="122" t="str">
        <f>IFERROR(__xludf.DUMMYFUNCTION("JOIN("","",IFERROR(FILTER(Matches!$B:$B,B45=Matches!$C:$C),""""),IFERROR(FILTER(Matches!$C:$C,B45=Matches!$B:$B),""""))"),",,,,,,,,,,,,,,,,,,,,,,,,,,,,,,,,,,,,,,,,,,,,,,,,,,,,,,,,,,,,,,,,,,,,,,,,,,,,,,,,,,,,,,,,,,,,,,,,,,,,,,,,,,,,,,,,,,,,,,,,,,,,,,,,,,,,,,,,,,,,,,,,,,,,,,,,,,,,,,,,,,,,,,,,,,,,,,,,,,,,,,,,,,,,,,,,,,,,,,,,,,,,,,,,,,,,,,,,,,,,,,,,,,,,,,,,,,,,,,,,,,,,,,,,,,,,,,,")</f>
        <v>,,,,,,,,,,,,,,,,,,,,,,,,,,,,,,,,,,,,,,,,,,,,,,,,,,,,,,,,,,,,,,,,,,,,,,,,,,,,,,,,,,,,,,,,,,,,,,,,,,,,,,,,,,,,,,,,,,,,,,,,,,,,,,,,,,,,,,,,,,,,,,,,,,,,,,,,,,,,,,,,,,,,,,,,,,,,,,,,,,,,,,,,,,,,,,,,,,,,,,,,,,,,,,,,,,,,,,,,,,,,,,,,,,,,,,,,,,,,,,,,,,,,,,,,,,,,,,,</v>
      </c>
      <c r="U45" s="121">
        <f>IFERROR(__xludf.DUMMYFUNCTION("iferror(AVERAGE(ARRAYFORMULA(VLOOKUP(SPLIT(T45,"","",TRUE,TRUE),$R$2:$S1000,2,FALSE))),0)"),0.0)</f>
        <v>0</v>
      </c>
      <c r="V45" s="123">
        <f>IFERROR(__xludf.DUMMYFUNCTION("RANK($I45, $I$2:$I1000, FALSE) + RANK($M45, Filter($M$2:$M1000, $I$2:$I1000=$I45),FALSE)+RANK($U45, Filter($U$2:$U1000, $I$2:$I1000=$I45,$M$2:$M1000=$M45),FALSE)-2"),1.0)</f>
        <v>1</v>
      </c>
      <c r="W45" s="124" t="str">
        <f t="shared" si="9"/>
        <v>Underplay</v>
      </c>
      <c r="X45" s="125" t="str">
        <f t="shared" si="10"/>
        <v/>
      </c>
      <c r="Y45" s="126">
        <f>MAXIFS(Matches!$A:$A,Matches!$C:$C,$B45)</f>
        <v>0</v>
      </c>
      <c r="Z45" s="126">
        <f t="array" ref="Z45">XLOOKUP(Y45,Quotas!$B$7:$B$10,Quotas!$A$7:$A$10,0,-1)</f>
        <v>0</v>
      </c>
      <c r="AB45" s="31"/>
      <c r="AC45" s="31">
        <f>COUNTIFS(Matches!$A:$A,"&gt;"&amp;Y45,Matches!$B:$B,$B45)</f>
        <v>0</v>
      </c>
      <c r="AD45" s="31"/>
      <c r="AE45" s="127">
        <f>SUMIF('Pool Changes'!B:B, B45, 'Pool Changes'!H:H)</f>
        <v>0</v>
      </c>
    </row>
    <row r="46">
      <c r="A46" s="104">
        <f t="shared" si="1"/>
        <v>1</v>
      </c>
      <c r="C46" s="128"/>
      <c r="D46" s="74"/>
      <c r="E46" s="1"/>
      <c r="F46" s="1"/>
      <c r="G46" s="1"/>
      <c r="H46" s="118">
        <f>COUNTIF(Entropy!$D:$D,$B46)+COUNTIF(Matches!$B:$B,$B46)+COUNTIF(Matches!$C:$C,$B46)</f>
        <v>0</v>
      </c>
      <c r="I46" s="119">
        <f>COUNTIF(Matches!$B:$B,B46)</f>
        <v>0</v>
      </c>
      <c r="J46" s="31">
        <f t="shared" si="2"/>
        <v>0</v>
      </c>
      <c r="K46" s="1" t="str">
        <f t="shared" si="3"/>
        <v>0 - 0</v>
      </c>
      <c r="L46" s="120">
        <f>COUNTIF(Entropy!$D:$D,$B46)</f>
        <v>0</v>
      </c>
      <c r="M46" s="121">
        <f t="shared" si="4"/>
        <v>0</v>
      </c>
      <c r="N46" s="121">
        <f t="shared" si="5"/>
        <v>0</v>
      </c>
      <c r="O46" s="118">
        <f>IF($J46=11,0,IF(AND($H46 &gt;=VLOOKUP('Combined Standings'!$C$2,Quotas!$A$7:$E$14,4,FALSE), $H46&lt;=VLOOKUP('Combined Standings'!$C$2,Quotas!$A$7:$E$14,5,FALSE)), 0,VLOOKUP('Combined Standings'!$C$2,Quotas!$A$7:$E$11,4,FALSE)-$H46))</f>
        <v>13</v>
      </c>
      <c r="P46" s="118">
        <f>IF($J46=11,0,IF(AND($H46 &gt;=VLOOKUP('Combined Standings'!$C$2,Quotas!$A$7:$E$14,5,FALSE), $H46&lt;=VLOOKUP('Combined Standings'!$C$2,Quotas!$A$7:$E$14,5,FALSE)), 0,VLOOKUP('Combined Standings'!$C$2,Quotas!$A$7:$E$11,5,FALSE)-$H46))</f>
        <v>15</v>
      </c>
      <c r="Q46" s="31">
        <f t="shared" si="6"/>
        <v>11</v>
      </c>
      <c r="R46" s="122" t="str">
        <f t="shared" si="7"/>
        <v/>
      </c>
      <c r="S46" s="121">
        <f t="shared" si="8"/>
        <v>0.33</v>
      </c>
      <c r="T46" s="122" t="str">
        <f>IFERROR(__xludf.DUMMYFUNCTION("JOIN("","",IFERROR(FILTER(Matches!$B:$B,B46=Matches!$C:$C),""""),IFERROR(FILTER(Matches!$C:$C,B46=Matches!$B:$B),""""))"),",,,,,,,,,,,,,,,,,,,,,,,,,,,,,,,,,,,,,,,,,,,,,,,,,,,,,,,,,,,,,,,,,,,,,,,,,,,,,,,,,,,,,,,,,,,,,,,,,,,,,,,,,,,,,,,,,,,,,,,,,,,,,,,,,,,,,,,,,,,,,,,,,,,,,,,,,,,,,,,,,,,,,,,,,,,,,,,,,,,,,,,,,,,,,,,,,,,,,,,,,,,,,,,,,,,,,,,,,,,,,,,,,,,,,,,,,,,,,,,,,,,,,,,,,,,,,,,")</f>
        <v>,,,,,,,,,,,,,,,,,,,,,,,,,,,,,,,,,,,,,,,,,,,,,,,,,,,,,,,,,,,,,,,,,,,,,,,,,,,,,,,,,,,,,,,,,,,,,,,,,,,,,,,,,,,,,,,,,,,,,,,,,,,,,,,,,,,,,,,,,,,,,,,,,,,,,,,,,,,,,,,,,,,,,,,,,,,,,,,,,,,,,,,,,,,,,,,,,,,,,,,,,,,,,,,,,,,,,,,,,,,,,,,,,,,,,,,,,,,,,,,,,,,,,,,,,,,,,,,</v>
      </c>
      <c r="U46" s="121">
        <f>IFERROR(__xludf.DUMMYFUNCTION("iferror(AVERAGE(ARRAYFORMULA(VLOOKUP(SPLIT(T46,"","",TRUE,TRUE),$R$2:$S1000,2,FALSE))),0)"),0.0)</f>
        <v>0</v>
      </c>
      <c r="V46" s="123">
        <f>IFERROR(__xludf.DUMMYFUNCTION("RANK($I46, $I$2:$I1000, FALSE) + RANK($M46, Filter($M$2:$M1000, $I$2:$I1000=$I46),FALSE)+RANK($U46, Filter($U$2:$U1000, $I$2:$I1000=$I46,$M$2:$M1000=$M46),FALSE)-2"),1.0)</f>
        <v>1</v>
      </c>
      <c r="W46" s="124" t="str">
        <f t="shared" si="9"/>
        <v>Underplay</v>
      </c>
      <c r="X46" s="125" t="str">
        <f t="shared" si="10"/>
        <v/>
      </c>
      <c r="Y46" s="126">
        <f>MAXIFS(Matches!$A:$A,Matches!$C:$C,$B46)</f>
        <v>0</v>
      </c>
      <c r="Z46" s="126">
        <f t="array" ref="Z46">XLOOKUP(Y46,Quotas!$B$7:$B$10,Quotas!$A$7:$A$10,0,-1)</f>
        <v>0</v>
      </c>
      <c r="AB46" s="31"/>
      <c r="AC46" s="31">
        <f>COUNTIFS(Matches!$A:$A,"&gt;"&amp;Y46,Matches!$B:$B,$B46)</f>
        <v>0</v>
      </c>
      <c r="AD46" s="31"/>
      <c r="AE46" s="127">
        <f>SUMIF('Pool Changes'!B:B, B46, 'Pool Changes'!H:H)</f>
        <v>0</v>
      </c>
    </row>
    <row r="47">
      <c r="A47" s="104">
        <f t="shared" si="1"/>
        <v>1</v>
      </c>
      <c r="C47" s="128"/>
      <c r="D47" s="74"/>
      <c r="E47" s="1"/>
      <c r="F47" s="1"/>
      <c r="G47" s="1"/>
      <c r="H47" s="118">
        <f>COUNTIF(Entropy!$D:$D,$B47)+COUNTIF(Matches!$B:$B,$B47)+COUNTIF(Matches!$C:$C,$B47)</f>
        <v>0</v>
      </c>
      <c r="I47" s="119">
        <f>COUNTIF(Matches!$B:$B,B47)</f>
        <v>0</v>
      </c>
      <c r="J47" s="31">
        <f t="shared" si="2"/>
        <v>0</v>
      </c>
      <c r="K47" s="1" t="str">
        <f t="shared" si="3"/>
        <v>0 - 0</v>
      </c>
      <c r="L47" s="120">
        <f>COUNTIF(Entropy!$D:$D,$B47)</f>
        <v>0</v>
      </c>
      <c r="M47" s="121">
        <f t="shared" si="4"/>
        <v>0</v>
      </c>
      <c r="N47" s="121">
        <f t="shared" si="5"/>
        <v>0</v>
      </c>
      <c r="O47" s="118">
        <f>IF($J47=11,0,IF(AND($H47 &gt;=VLOOKUP('Combined Standings'!$C$2,Quotas!$A$7:$E$14,4,FALSE), $H47&lt;=VLOOKUP('Combined Standings'!$C$2,Quotas!$A$7:$E$14,5,FALSE)), 0,VLOOKUP('Combined Standings'!$C$2,Quotas!$A$7:$E$11,4,FALSE)-$H47))</f>
        <v>13</v>
      </c>
      <c r="P47" s="118">
        <f>IF($J47=11,0,IF(AND($H47 &gt;=VLOOKUP('Combined Standings'!$C$2,Quotas!$A$7:$E$14,5,FALSE), $H47&lt;=VLOOKUP('Combined Standings'!$C$2,Quotas!$A$7:$E$14,5,FALSE)), 0,VLOOKUP('Combined Standings'!$C$2,Quotas!$A$7:$E$11,5,FALSE)-$H47))</f>
        <v>15</v>
      </c>
      <c r="Q47" s="31">
        <f t="shared" si="6"/>
        <v>11</v>
      </c>
      <c r="R47" s="122" t="str">
        <f t="shared" si="7"/>
        <v/>
      </c>
      <c r="S47" s="121">
        <f t="shared" si="8"/>
        <v>0.33</v>
      </c>
      <c r="T47" s="122" t="str">
        <f>IFERROR(__xludf.DUMMYFUNCTION("JOIN("","",IFERROR(FILTER(Matches!$B:$B,B47=Matches!$C:$C),""""),IFERROR(FILTER(Matches!$C:$C,B47=Matches!$B:$B),""""))"),",,,,,,,,,,,,,,,,,,,,,,,,,,,,,,,,,,,,,,,,,,,,,,,,,,,,,,,,,,,,,,,,,,,,,,,,,,,,,,,,,,,,,,,,,,,,,,,,,,,,,,,,,,,,,,,,,,,,,,,,,,,,,,,,,,,,,,,,,,,,,,,,,,,,,,,,,,,,,,,,,,,,,,,,,,,,,,,,,,,,,,,,,,,,,,,,,,,,,,,,,,,,,,,,,,,,,,,,,,,,,,,,,,,,,,,,,,,,,,,,,,,,,,,,,,,,,,,")</f>
        <v>,,,,,,,,,,,,,,,,,,,,,,,,,,,,,,,,,,,,,,,,,,,,,,,,,,,,,,,,,,,,,,,,,,,,,,,,,,,,,,,,,,,,,,,,,,,,,,,,,,,,,,,,,,,,,,,,,,,,,,,,,,,,,,,,,,,,,,,,,,,,,,,,,,,,,,,,,,,,,,,,,,,,,,,,,,,,,,,,,,,,,,,,,,,,,,,,,,,,,,,,,,,,,,,,,,,,,,,,,,,,,,,,,,,,,,,,,,,,,,,,,,,,,,,,,,,,,,,</v>
      </c>
      <c r="U47" s="121">
        <f>IFERROR(__xludf.DUMMYFUNCTION("iferror(AVERAGE(ARRAYFORMULA(VLOOKUP(SPLIT(T47,"","",TRUE,TRUE),$R$2:$S1000,2,FALSE))),0)"),0.0)</f>
        <v>0</v>
      </c>
      <c r="V47" s="123">
        <f>IFERROR(__xludf.DUMMYFUNCTION("RANK($I47, $I$2:$I1000, FALSE) + RANK($M47, Filter($M$2:$M1000, $I$2:$I1000=$I47),FALSE)+RANK($U47, Filter($U$2:$U1000, $I$2:$I1000=$I47,$M$2:$M1000=$M47),FALSE)-2"),1.0)</f>
        <v>1</v>
      </c>
      <c r="W47" s="124" t="str">
        <f t="shared" si="9"/>
        <v>Underplay</v>
      </c>
      <c r="X47" s="125" t="str">
        <f t="shared" si="10"/>
        <v/>
      </c>
      <c r="Y47" s="126">
        <f>MAXIFS(Matches!$A:$A,Matches!$C:$C,$B47)</f>
        <v>0</v>
      </c>
      <c r="Z47" s="126">
        <f t="array" ref="Z47">XLOOKUP(Y47,Quotas!$B$7:$B$10,Quotas!$A$7:$A$10,0,-1)</f>
        <v>0</v>
      </c>
      <c r="AB47" s="31"/>
      <c r="AC47" s="31">
        <f>COUNTIFS(Matches!$A:$A,"&gt;"&amp;Y47,Matches!$B:$B,$B47)</f>
        <v>0</v>
      </c>
      <c r="AD47" s="31"/>
      <c r="AE47" s="127">
        <f>SUMIF('Pool Changes'!B:B, B47, 'Pool Changes'!H:H)</f>
        <v>0</v>
      </c>
    </row>
    <row r="48">
      <c r="A48" s="104">
        <f t="shared" si="1"/>
        <v>1</v>
      </c>
      <c r="C48" s="128"/>
      <c r="D48" s="74"/>
      <c r="E48" s="1"/>
      <c r="F48" s="1"/>
      <c r="G48" s="1"/>
      <c r="H48" s="118">
        <f>COUNTIF(Entropy!$D:$D,$B48)+COUNTIF(Matches!$B:$B,$B48)+COUNTIF(Matches!$C:$C,$B48)</f>
        <v>0</v>
      </c>
      <c r="I48" s="119">
        <f>COUNTIF(Matches!$B:$B,B48)</f>
        <v>0</v>
      </c>
      <c r="J48" s="31">
        <f t="shared" si="2"/>
        <v>0</v>
      </c>
      <c r="K48" s="1" t="str">
        <f t="shared" si="3"/>
        <v>0 - 0</v>
      </c>
      <c r="L48" s="120">
        <f>COUNTIF(Entropy!$D:$D,$B48)</f>
        <v>0</v>
      </c>
      <c r="M48" s="121">
        <f t="shared" si="4"/>
        <v>0</v>
      </c>
      <c r="N48" s="121">
        <f t="shared" si="5"/>
        <v>0</v>
      </c>
      <c r="O48" s="118">
        <f>IF($J48=11,0,IF(AND($H48 &gt;=VLOOKUP('Combined Standings'!$C$2,Quotas!$A$7:$E$14,4,FALSE), $H48&lt;=VLOOKUP('Combined Standings'!$C$2,Quotas!$A$7:$E$14,5,FALSE)), 0,VLOOKUP('Combined Standings'!$C$2,Quotas!$A$7:$E$11,4,FALSE)-$H48))</f>
        <v>13</v>
      </c>
      <c r="P48" s="118">
        <f>IF($J48=11,0,IF(AND($H48 &gt;=VLOOKUP('Combined Standings'!$C$2,Quotas!$A$7:$E$14,5,FALSE), $H48&lt;=VLOOKUP('Combined Standings'!$C$2,Quotas!$A$7:$E$14,5,FALSE)), 0,VLOOKUP('Combined Standings'!$C$2,Quotas!$A$7:$E$11,5,FALSE)-$H48))</f>
        <v>15</v>
      </c>
      <c r="Q48" s="31">
        <f t="shared" si="6"/>
        <v>11</v>
      </c>
      <c r="R48" s="122" t="str">
        <f t="shared" si="7"/>
        <v/>
      </c>
      <c r="S48" s="121">
        <f t="shared" si="8"/>
        <v>0.33</v>
      </c>
      <c r="T48" s="122" t="str">
        <f>IFERROR(__xludf.DUMMYFUNCTION("JOIN("","",IFERROR(FILTER(Matches!$B:$B,B48=Matches!$C:$C),""""),IFERROR(FILTER(Matches!$C:$C,B48=Matches!$B:$B),""""))"),",,,,,,,,,,,,,,,,,,,,,,,,,,,,,,,,,,,,,,,,,,,,,,,,,,,,,,,,,,,,,,,,,,,,,,,,,,,,,,,,,,,,,,,,,,,,,,,,,,,,,,,,,,,,,,,,,,,,,,,,,,,,,,,,,,,,,,,,,,,,,,,,,,,,,,,,,,,,,,,,,,,,,,,,,,,,,,,,,,,,,,,,,,,,,,,,,,,,,,,,,,,,,,,,,,,,,,,,,,,,,,,,,,,,,,,,,,,,,,,,,,,,,,,,,,,,,,,")</f>
        <v>,,,,,,,,,,,,,,,,,,,,,,,,,,,,,,,,,,,,,,,,,,,,,,,,,,,,,,,,,,,,,,,,,,,,,,,,,,,,,,,,,,,,,,,,,,,,,,,,,,,,,,,,,,,,,,,,,,,,,,,,,,,,,,,,,,,,,,,,,,,,,,,,,,,,,,,,,,,,,,,,,,,,,,,,,,,,,,,,,,,,,,,,,,,,,,,,,,,,,,,,,,,,,,,,,,,,,,,,,,,,,,,,,,,,,,,,,,,,,,,,,,,,,,,,,,,,,,,</v>
      </c>
      <c r="U48" s="121">
        <f>IFERROR(__xludf.DUMMYFUNCTION("iferror(AVERAGE(ARRAYFORMULA(VLOOKUP(SPLIT(T48,"","",TRUE,TRUE),$R$2:$S1000,2,FALSE))),0)"),0.0)</f>
        <v>0</v>
      </c>
      <c r="V48" s="123">
        <f>IFERROR(__xludf.DUMMYFUNCTION("RANK($I48, $I$2:$I1000, FALSE) + RANK($M48, Filter($M$2:$M1000, $I$2:$I1000=$I48),FALSE)+RANK($U48, Filter($U$2:$U1000, $I$2:$I1000=$I48,$M$2:$M1000=$M48),FALSE)-2"),1.0)</f>
        <v>1</v>
      </c>
      <c r="W48" s="124" t="str">
        <f t="shared" si="9"/>
        <v>Underplay</v>
      </c>
      <c r="X48" s="125" t="str">
        <f t="shared" si="10"/>
        <v/>
      </c>
      <c r="Y48" s="126">
        <f>MAXIFS(Matches!$A:$A,Matches!$C:$C,$B48)</f>
        <v>0</v>
      </c>
      <c r="Z48" s="126">
        <f t="array" ref="Z48">XLOOKUP(Y48,Quotas!$B$7:$B$10,Quotas!$A$7:$A$10,0,-1)</f>
        <v>0</v>
      </c>
      <c r="AB48" s="31"/>
      <c r="AC48" s="31">
        <f>COUNTIFS(Matches!$A:$A,"&gt;"&amp;Y48,Matches!$B:$B,$B48)</f>
        <v>0</v>
      </c>
      <c r="AD48" s="31"/>
      <c r="AE48" s="127">
        <f>SUMIF('Pool Changes'!B:B, B48, 'Pool Changes'!H:H)</f>
        <v>0</v>
      </c>
    </row>
    <row r="49">
      <c r="A49" s="104">
        <f t="shared" si="1"/>
        <v>1</v>
      </c>
      <c r="C49" s="128"/>
      <c r="D49" s="74"/>
      <c r="E49" s="1"/>
      <c r="F49" s="1"/>
      <c r="G49" s="1"/>
      <c r="H49" s="118">
        <f>COUNTIF(Entropy!$D:$D,$B49)+COUNTIF(Matches!$B:$B,$B49)+COUNTIF(Matches!$C:$C,$B49)</f>
        <v>0</v>
      </c>
      <c r="I49" s="119">
        <f>COUNTIF(Matches!$B:$B,B49)</f>
        <v>0</v>
      </c>
      <c r="J49" s="31">
        <f t="shared" si="2"/>
        <v>0</v>
      </c>
      <c r="K49" s="1" t="str">
        <f t="shared" si="3"/>
        <v>0 - 0</v>
      </c>
      <c r="L49" s="120">
        <f>COUNTIF(Entropy!$D:$D,$B49)</f>
        <v>0</v>
      </c>
      <c r="M49" s="121">
        <f t="shared" si="4"/>
        <v>0</v>
      </c>
      <c r="N49" s="121">
        <f t="shared" si="5"/>
        <v>0</v>
      </c>
      <c r="O49" s="118">
        <f>IF($J49=11,0,IF(AND($H49 &gt;=VLOOKUP('Combined Standings'!$C$2,Quotas!$A$7:$E$14,4,FALSE), $H49&lt;=VLOOKUP('Combined Standings'!$C$2,Quotas!$A$7:$E$14,5,FALSE)), 0,VLOOKUP('Combined Standings'!$C$2,Quotas!$A$7:$E$11,4,FALSE)-$H49))</f>
        <v>13</v>
      </c>
      <c r="P49" s="118">
        <f>IF($J49=11,0,IF(AND($H49 &gt;=VLOOKUP('Combined Standings'!$C$2,Quotas!$A$7:$E$14,5,FALSE), $H49&lt;=VLOOKUP('Combined Standings'!$C$2,Quotas!$A$7:$E$14,5,FALSE)), 0,VLOOKUP('Combined Standings'!$C$2,Quotas!$A$7:$E$11,5,FALSE)-$H49))</f>
        <v>15</v>
      </c>
      <c r="Q49" s="31">
        <f t="shared" si="6"/>
        <v>11</v>
      </c>
      <c r="R49" s="122" t="str">
        <f t="shared" si="7"/>
        <v/>
      </c>
      <c r="S49" s="121">
        <f t="shared" si="8"/>
        <v>0.33</v>
      </c>
      <c r="T49" s="122" t="str">
        <f>IFERROR(__xludf.DUMMYFUNCTION("JOIN("","",IFERROR(FILTER(Matches!$B:$B,B49=Matches!$C:$C),""""),IFERROR(FILTER(Matches!$C:$C,B49=Matches!$B:$B),""""))"),",,,,,,,,,,,,,,,,,,,,,,,,,,,,,,,,,,,,,,,,,,,,,,,,,,,,,,,,,,,,,,,,,,,,,,,,,,,,,,,,,,,,,,,,,,,,,,,,,,,,,,,,,,,,,,,,,,,,,,,,,,,,,,,,,,,,,,,,,,,,,,,,,,,,,,,,,,,,,,,,,,,,,,,,,,,,,,,,,,,,,,,,,,,,,,,,,,,,,,,,,,,,,,,,,,,,,,,,,,,,,,,,,,,,,,,,,,,,,,,,,,,,,,,,,,,,,,,")</f>
        <v>,,,,,,,,,,,,,,,,,,,,,,,,,,,,,,,,,,,,,,,,,,,,,,,,,,,,,,,,,,,,,,,,,,,,,,,,,,,,,,,,,,,,,,,,,,,,,,,,,,,,,,,,,,,,,,,,,,,,,,,,,,,,,,,,,,,,,,,,,,,,,,,,,,,,,,,,,,,,,,,,,,,,,,,,,,,,,,,,,,,,,,,,,,,,,,,,,,,,,,,,,,,,,,,,,,,,,,,,,,,,,,,,,,,,,,,,,,,,,,,,,,,,,,,,,,,,,,,</v>
      </c>
      <c r="U49" s="121">
        <f>IFERROR(__xludf.DUMMYFUNCTION("iferror(AVERAGE(ARRAYFORMULA(VLOOKUP(SPLIT(T49,"","",TRUE,TRUE),$R$2:$S1000,2,FALSE))),0)"),0.0)</f>
        <v>0</v>
      </c>
      <c r="V49" s="123">
        <f>IFERROR(__xludf.DUMMYFUNCTION("RANK($I49, $I$2:$I1000, FALSE) + RANK($M49, Filter($M$2:$M1000, $I$2:$I1000=$I49),FALSE)+RANK($U49, Filter($U$2:$U1000, $I$2:$I1000=$I49,$M$2:$M1000=$M49),FALSE)-2"),1.0)</f>
        <v>1</v>
      </c>
      <c r="W49" s="124" t="str">
        <f t="shared" si="9"/>
        <v>Underplay</v>
      </c>
      <c r="X49" s="125" t="str">
        <f t="shared" si="10"/>
        <v/>
      </c>
      <c r="Y49" s="126">
        <f>MAXIFS(Matches!$A:$A,Matches!$C:$C,$B49)</f>
        <v>0</v>
      </c>
      <c r="Z49" s="126">
        <f t="array" ref="Z49">XLOOKUP(Y49,Quotas!$B$7:$B$10,Quotas!$A$7:$A$10,0,-1)</f>
        <v>0</v>
      </c>
      <c r="AB49" s="31"/>
      <c r="AC49" s="31">
        <f>COUNTIFS(Matches!$A:$A,"&gt;"&amp;Y49,Matches!$B:$B,$B49)</f>
        <v>0</v>
      </c>
      <c r="AD49" s="31"/>
      <c r="AE49" s="127">
        <f>SUMIF('Pool Changes'!B:B, B49, 'Pool Changes'!H:H)</f>
        <v>0</v>
      </c>
    </row>
    <row r="50">
      <c r="A50" s="104">
        <f t="shared" si="1"/>
        <v>1</v>
      </c>
      <c r="C50" s="128"/>
      <c r="D50" s="74"/>
      <c r="E50" s="1"/>
      <c r="F50" s="1"/>
      <c r="G50" s="1"/>
      <c r="H50" s="118">
        <f>COUNTIF(Entropy!$D:$D,$B50)+COUNTIF(Matches!$B:$B,$B50)+COUNTIF(Matches!$C:$C,$B50)</f>
        <v>0</v>
      </c>
      <c r="I50" s="119">
        <f>COUNTIF(Matches!$B:$B,B50)</f>
        <v>0</v>
      </c>
      <c r="J50" s="31">
        <f t="shared" si="2"/>
        <v>0</v>
      </c>
      <c r="K50" s="1" t="str">
        <f t="shared" si="3"/>
        <v>0 - 0</v>
      </c>
      <c r="L50" s="120">
        <f>COUNTIF(Entropy!$D:$D,$B50)</f>
        <v>0</v>
      </c>
      <c r="M50" s="121">
        <f t="shared" si="4"/>
        <v>0</v>
      </c>
      <c r="N50" s="121">
        <f t="shared" si="5"/>
        <v>0</v>
      </c>
      <c r="O50" s="118">
        <f>IF($J50=11,0,IF(AND($H50 &gt;=VLOOKUP('Combined Standings'!$C$2,Quotas!$A$7:$E$14,4,FALSE), $H50&lt;=VLOOKUP('Combined Standings'!$C$2,Quotas!$A$7:$E$14,5,FALSE)), 0,VLOOKUP('Combined Standings'!$C$2,Quotas!$A$7:$E$11,4,FALSE)-$H50))</f>
        <v>13</v>
      </c>
      <c r="P50" s="118">
        <f>IF($J50=11,0,IF(AND($H50 &gt;=VLOOKUP('Combined Standings'!$C$2,Quotas!$A$7:$E$14,5,FALSE), $H50&lt;=VLOOKUP('Combined Standings'!$C$2,Quotas!$A$7:$E$14,5,FALSE)), 0,VLOOKUP('Combined Standings'!$C$2,Quotas!$A$7:$E$11,5,FALSE)-$H50))</f>
        <v>15</v>
      </c>
      <c r="Q50" s="31">
        <f t="shared" si="6"/>
        <v>11</v>
      </c>
      <c r="R50" s="122" t="str">
        <f t="shared" si="7"/>
        <v/>
      </c>
      <c r="S50" s="121">
        <f t="shared" si="8"/>
        <v>0.33</v>
      </c>
      <c r="T50" s="122" t="str">
        <f>IFERROR(__xludf.DUMMYFUNCTION("JOIN("","",IFERROR(FILTER(Matches!$B:$B,B50=Matches!$C:$C),""""),IFERROR(FILTER(Matches!$C:$C,B50=Matches!$B:$B),""""))"),",,,,,,,,,,,,,,,,,,,,,,,,,,,,,,,,,,,,,,,,,,,,,,,,,,,,,,,,,,,,,,,,,,,,,,,,,,,,,,,,,,,,,,,,,,,,,,,,,,,,,,,,,,,,,,,,,,,,,,,,,,,,,,,,,,,,,,,,,,,,,,,,,,,,,,,,,,,,,,,,,,,,,,,,,,,,,,,,,,,,,,,,,,,,,,,,,,,,,,,,,,,,,,,,,,,,,,,,,,,,,,,,,,,,,,,,,,,,,,,,,,,,,,,,,,,,,,,")</f>
        <v>,,,,,,,,,,,,,,,,,,,,,,,,,,,,,,,,,,,,,,,,,,,,,,,,,,,,,,,,,,,,,,,,,,,,,,,,,,,,,,,,,,,,,,,,,,,,,,,,,,,,,,,,,,,,,,,,,,,,,,,,,,,,,,,,,,,,,,,,,,,,,,,,,,,,,,,,,,,,,,,,,,,,,,,,,,,,,,,,,,,,,,,,,,,,,,,,,,,,,,,,,,,,,,,,,,,,,,,,,,,,,,,,,,,,,,,,,,,,,,,,,,,,,,,,,,,,,,,</v>
      </c>
      <c r="U50" s="121">
        <f>IFERROR(__xludf.DUMMYFUNCTION("iferror(AVERAGE(ARRAYFORMULA(VLOOKUP(SPLIT(T50,"","",TRUE,TRUE),$R$2:$S1000,2,FALSE))),0)"),0.0)</f>
        <v>0</v>
      </c>
      <c r="V50" s="123">
        <f>IFERROR(__xludf.DUMMYFUNCTION("RANK($I50, $I$2:$I1000, FALSE) + RANK($M50, Filter($M$2:$M1000, $I$2:$I1000=$I50),FALSE)+RANK($U50, Filter($U$2:$U1000, $I$2:$I1000=$I50,$M$2:$M1000=$M50),FALSE)-2"),1.0)</f>
        <v>1</v>
      </c>
      <c r="W50" s="124" t="str">
        <f t="shared" si="9"/>
        <v>Underplay</v>
      </c>
      <c r="X50" s="125" t="str">
        <f t="shared" si="10"/>
        <v/>
      </c>
      <c r="Y50" s="126">
        <f>MAXIFS(Matches!$A:$A,Matches!$C:$C,$B50)</f>
        <v>0</v>
      </c>
      <c r="Z50" s="126">
        <f t="array" ref="Z50">XLOOKUP(Y50,Quotas!$B$7:$B$10,Quotas!$A$7:$A$10,0,-1)</f>
        <v>0</v>
      </c>
      <c r="AB50" s="31"/>
      <c r="AC50" s="31">
        <f>COUNTIFS(Matches!$A:$A,"&gt;"&amp;Y50,Matches!$B:$B,$B50)</f>
        <v>0</v>
      </c>
      <c r="AD50" s="31"/>
      <c r="AE50" s="127">
        <f>SUMIF('Pool Changes'!B:B, B50, 'Pool Changes'!H:H)</f>
        <v>0</v>
      </c>
    </row>
    <row r="51">
      <c r="A51" s="104">
        <f t="shared" si="1"/>
        <v>1</v>
      </c>
      <c r="C51" s="128"/>
      <c r="D51" s="74"/>
      <c r="E51" s="1"/>
      <c r="F51" s="1"/>
      <c r="G51" s="1"/>
      <c r="H51" s="118">
        <f>COUNTIF(Entropy!$D:$D,$B51)+COUNTIF(Matches!$B:$B,$B51)+COUNTIF(Matches!$C:$C,$B51)</f>
        <v>0</v>
      </c>
      <c r="I51" s="119">
        <f>COUNTIF(Matches!$B:$B,B51)</f>
        <v>0</v>
      </c>
      <c r="J51" s="31">
        <f t="shared" si="2"/>
        <v>0</v>
      </c>
      <c r="K51" s="1" t="str">
        <f t="shared" si="3"/>
        <v>0 - 0</v>
      </c>
      <c r="L51" s="120">
        <f>COUNTIF(Entropy!$D:$D,$B51)</f>
        <v>0</v>
      </c>
      <c r="M51" s="121">
        <f t="shared" si="4"/>
        <v>0</v>
      </c>
      <c r="N51" s="121">
        <f t="shared" si="5"/>
        <v>0</v>
      </c>
      <c r="O51" s="118">
        <f>IF($J51=11,0,IF(AND($H51 &gt;=VLOOKUP('Combined Standings'!$C$2,Quotas!$A$7:$E$14,4,FALSE), $H51&lt;=VLOOKUP('Combined Standings'!$C$2,Quotas!$A$7:$E$14,5,FALSE)), 0,VLOOKUP('Combined Standings'!$C$2,Quotas!$A$7:$E$11,4,FALSE)-$H51))</f>
        <v>13</v>
      </c>
      <c r="P51" s="118">
        <f>IF($J51=11,0,IF(AND($H51 &gt;=VLOOKUP('Combined Standings'!$C$2,Quotas!$A$7:$E$14,5,FALSE), $H51&lt;=VLOOKUP('Combined Standings'!$C$2,Quotas!$A$7:$E$14,5,FALSE)), 0,VLOOKUP('Combined Standings'!$C$2,Quotas!$A$7:$E$11,5,FALSE)-$H51))</f>
        <v>15</v>
      </c>
      <c r="Q51" s="31">
        <f t="shared" si="6"/>
        <v>11</v>
      </c>
      <c r="R51" s="122" t="str">
        <f t="shared" si="7"/>
        <v/>
      </c>
      <c r="S51" s="121">
        <f t="shared" si="8"/>
        <v>0.33</v>
      </c>
      <c r="T51" s="122" t="str">
        <f>IFERROR(__xludf.DUMMYFUNCTION("JOIN("","",IFERROR(FILTER(Matches!$B:$B,B51=Matches!$C:$C),""""),IFERROR(FILTER(Matches!$C:$C,B51=Matches!$B:$B),""""))"),",,,,,,,,,,,,,,,,,,,,,,,,,,,,,,,,,,,,,,,,,,,,,,,,,,,,,,,,,,,,,,,,,,,,,,,,,,,,,,,,,,,,,,,,,,,,,,,,,,,,,,,,,,,,,,,,,,,,,,,,,,,,,,,,,,,,,,,,,,,,,,,,,,,,,,,,,,,,,,,,,,,,,,,,,,,,,,,,,,,,,,,,,,,,,,,,,,,,,,,,,,,,,,,,,,,,,,,,,,,,,,,,,,,,,,,,,,,,,,,,,,,,,,,,,,,,,,,")</f>
        <v>,,,,,,,,,,,,,,,,,,,,,,,,,,,,,,,,,,,,,,,,,,,,,,,,,,,,,,,,,,,,,,,,,,,,,,,,,,,,,,,,,,,,,,,,,,,,,,,,,,,,,,,,,,,,,,,,,,,,,,,,,,,,,,,,,,,,,,,,,,,,,,,,,,,,,,,,,,,,,,,,,,,,,,,,,,,,,,,,,,,,,,,,,,,,,,,,,,,,,,,,,,,,,,,,,,,,,,,,,,,,,,,,,,,,,,,,,,,,,,,,,,,,,,,,,,,,,,,</v>
      </c>
      <c r="U51" s="121">
        <f>IFERROR(__xludf.DUMMYFUNCTION("iferror(AVERAGE(ARRAYFORMULA(VLOOKUP(SPLIT(T51,"","",TRUE,TRUE),$R$2:$S1000,2,FALSE))),0)"),0.0)</f>
        <v>0</v>
      </c>
      <c r="V51" s="123">
        <f>IFERROR(__xludf.DUMMYFUNCTION("RANK($I51, $I$2:$I1000, FALSE) + RANK($M51, Filter($M$2:$M1000, $I$2:$I1000=$I51),FALSE)+RANK($U51, Filter($U$2:$U1000, $I$2:$I1000=$I51,$M$2:$M1000=$M51),FALSE)-2"),1.0)</f>
        <v>1</v>
      </c>
      <c r="W51" s="124" t="str">
        <f t="shared" si="9"/>
        <v>Underplay</v>
      </c>
      <c r="X51" s="125" t="str">
        <f t="shared" si="10"/>
        <v/>
      </c>
      <c r="Y51" s="126">
        <f>MAXIFS(Matches!$A:$A,Matches!$C:$C,$B51)</f>
        <v>0</v>
      </c>
      <c r="Z51" s="126">
        <f t="array" ref="Z51">XLOOKUP(Y51,Quotas!$B$7:$B$10,Quotas!$A$7:$A$10,0,-1)</f>
        <v>0</v>
      </c>
      <c r="AB51" s="31"/>
      <c r="AC51" s="31">
        <f>COUNTIFS(Matches!$A:$A,"&gt;"&amp;Y51,Matches!$B:$B,$B51)</f>
        <v>0</v>
      </c>
      <c r="AD51" s="31"/>
      <c r="AE51" s="127">
        <f>SUMIF('Pool Changes'!B:B, B51, 'Pool Changes'!H:H)</f>
        <v>0</v>
      </c>
    </row>
    <row r="52">
      <c r="A52" s="104">
        <f t="shared" si="1"/>
        <v>1</v>
      </c>
      <c r="C52" s="128"/>
      <c r="D52" s="74"/>
      <c r="E52" s="1"/>
      <c r="F52" s="1"/>
      <c r="G52" s="1"/>
      <c r="H52" s="118">
        <f>COUNTIF(Entropy!$D:$D,$B52)+COUNTIF(Matches!$B:$B,$B52)+COUNTIF(Matches!$C:$C,$B52)</f>
        <v>0</v>
      </c>
      <c r="I52" s="119">
        <f>COUNTIF(Matches!$B:$B,B52)</f>
        <v>0</v>
      </c>
      <c r="J52" s="31">
        <f t="shared" si="2"/>
        <v>0</v>
      </c>
      <c r="K52" s="1" t="str">
        <f t="shared" si="3"/>
        <v>0 - 0</v>
      </c>
      <c r="L52" s="120">
        <f>COUNTIF(Entropy!$D:$D,$B52)</f>
        <v>0</v>
      </c>
      <c r="M52" s="121">
        <f t="shared" si="4"/>
        <v>0</v>
      </c>
      <c r="N52" s="121">
        <f t="shared" si="5"/>
        <v>0</v>
      </c>
      <c r="O52" s="118">
        <f>IF($J52=11,0,IF(AND($H52 &gt;=VLOOKUP('Combined Standings'!$C$2,Quotas!$A$7:$E$14,4,FALSE), $H52&lt;=VLOOKUP('Combined Standings'!$C$2,Quotas!$A$7:$E$14,5,FALSE)), 0,VLOOKUP('Combined Standings'!$C$2,Quotas!$A$7:$E$11,4,FALSE)-$H52))</f>
        <v>13</v>
      </c>
      <c r="P52" s="118">
        <f>IF($J52=11,0,IF(AND($H52 &gt;=VLOOKUP('Combined Standings'!$C$2,Quotas!$A$7:$E$14,5,FALSE), $H52&lt;=VLOOKUP('Combined Standings'!$C$2,Quotas!$A$7:$E$14,5,FALSE)), 0,VLOOKUP('Combined Standings'!$C$2,Quotas!$A$7:$E$11,5,FALSE)-$H52))</f>
        <v>15</v>
      </c>
      <c r="Q52" s="31">
        <f t="shared" si="6"/>
        <v>11</v>
      </c>
      <c r="R52" s="122" t="str">
        <f t="shared" si="7"/>
        <v/>
      </c>
      <c r="S52" s="121">
        <f t="shared" si="8"/>
        <v>0.33</v>
      </c>
      <c r="T52" s="122" t="str">
        <f>IFERROR(__xludf.DUMMYFUNCTION("JOIN("","",IFERROR(FILTER(Matches!$B:$B,B52=Matches!$C:$C),""""),IFERROR(FILTER(Matches!$C:$C,B52=Matches!$B:$B),""""))"),",,,,,,,,,,,,,,,,,,,,,,,,,,,,,,,,,,,,,,,,,,,,,,,,,,,,,,,,,,,,,,,,,,,,,,,,,,,,,,,,,,,,,,,,,,,,,,,,,,,,,,,,,,,,,,,,,,,,,,,,,,,,,,,,,,,,,,,,,,,,,,,,,,,,,,,,,,,,,,,,,,,,,,,,,,,,,,,,,,,,,,,,,,,,,,,,,,,,,,,,,,,,,,,,,,,,,,,,,,,,,,,,,,,,,,,,,,,,,,,,,,,,,,,,,,,,,,,")</f>
        <v>,,,,,,,,,,,,,,,,,,,,,,,,,,,,,,,,,,,,,,,,,,,,,,,,,,,,,,,,,,,,,,,,,,,,,,,,,,,,,,,,,,,,,,,,,,,,,,,,,,,,,,,,,,,,,,,,,,,,,,,,,,,,,,,,,,,,,,,,,,,,,,,,,,,,,,,,,,,,,,,,,,,,,,,,,,,,,,,,,,,,,,,,,,,,,,,,,,,,,,,,,,,,,,,,,,,,,,,,,,,,,,,,,,,,,,,,,,,,,,,,,,,,,,,,,,,,,,,</v>
      </c>
      <c r="U52" s="121">
        <f>IFERROR(__xludf.DUMMYFUNCTION("iferror(AVERAGE(ARRAYFORMULA(VLOOKUP(SPLIT(T52,"","",TRUE,TRUE),$R$2:$S1000,2,FALSE))),0)"),0.0)</f>
        <v>0</v>
      </c>
      <c r="V52" s="123">
        <f>IFERROR(__xludf.DUMMYFUNCTION("RANK($I52, $I$2:$I1000, FALSE) + RANK($M52, Filter($M$2:$M1000, $I$2:$I1000=$I52),FALSE)+RANK($U52, Filter($U$2:$U1000, $I$2:$I1000=$I52,$M$2:$M1000=$M52),FALSE)-2"),1.0)</f>
        <v>1</v>
      </c>
      <c r="W52" s="124" t="str">
        <f t="shared" si="9"/>
        <v>Underplay</v>
      </c>
      <c r="X52" s="125" t="str">
        <f t="shared" si="10"/>
        <v/>
      </c>
      <c r="Y52" s="126">
        <f>MAXIFS(Matches!$A:$A,Matches!$C:$C,$B52)</f>
        <v>0</v>
      </c>
      <c r="Z52" s="126">
        <f t="array" ref="Z52">XLOOKUP(Y52,Quotas!$B$7:$B$10,Quotas!$A$7:$A$10,0,-1)</f>
        <v>0</v>
      </c>
      <c r="AB52" s="31"/>
      <c r="AC52" s="31">
        <f>COUNTIFS(Matches!$A:$A,"&gt;"&amp;Y52,Matches!$B:$B,$B52)</f>
        <v>0</v>
      </c>
      <c r="AD52" s="31"/>
      <c r="AE52" s="127">
        <f>SUMIF('Pool Changes'!B:B, B52, 'Pool Changes'!H:H)</f>
        <v>0</v>
      </c>
    </row>
    <row r="53">
      <c r="A53" s="104">
        <f t="shared" si="1"/>
        <v>1</v>
      </c>
      <c r="C53" s="128"/>
      <c r="D53" s="74"/>
      <c r="E53" s="1"/>
      <c r="F53" s="1"/>
      <c r="G53" s="1"/>
      <c r="H53" s="118">
        <f>COUNTIF(Entropy!$D:$D,$B53)+COUNTIF(Matches!$B:$B,$B53)+COUNTIF(Matches!$C:$C,$B53)</f>
        <v>0</v>
      </c>
      <c r="I53" s="119">
        <f>COUNTIF(Matches!$B:$B,B53)</f>
        <v>0</v>
      </c>
      <c r="J53" s="31">
        <f t="shared" si="2"/>
        <v>0</v>
      </c>
      <c r="K53" s="1" t="str">
        <f t="shared" si="3"/>
        <v>0 - 0</v>
      </c>
      <c r="L53" s="120">
        <f>COUNTIF(Entropy!$D:$D,$B53)</f>
        <v>0</v>
      </c>
      <c r="M53" s="121">
        <f t="shared" si="4"/>
        <v>0</v>
      </c>
      <c r="N53" s="121">
        <f t="shared" si="5"/>
        <v>0</v>
      </c>
      <c r="O53" s="118">
        <f>IF($J53=11,0,IF(AND($H53 &gt;=VLOOKUP('Combined Standings'!$C$2,Quotas!$A$7:$E$14,4,FALSE), $H53&lt;=VLOOKUP('Combined Standings'!$C$2,Quotas!$A$7:$E$14,5,FALSE)), 0,VLOOKUP('Combined Standings'!$C$2,Quotas!$A$7:$E$11,4,FALSE)-$H53))</f>
        <v>13</v>
      </c>
      <c r="P53" s="118">
        <f>IF($J53=11,0,IF(AND($H53 &gt;=VLOOKUP('Combined Standings'!$C$2,Quotas!$A$7:$E$14,5,FALSE), $H53&lt;=VLOOKUP('Combined Standings'!$C$2,Quotas!$A$7:$E$14,5,FALSE)), 0,VLOOKUP('Combined Standings'!$C$2,Quotas!$A$7:$E$11,5,FALSE)-$H53))</f>
        <v>15</v>
      </c>
      <c r="Q53" s="31">
        <f t="shared" si="6"/>
        <v>11</v>
      </c>
      <c r="R53" s="122" t="str">
        <f t="shared" si="7"/>
        <v/>
      </c>
      <c r="S53" s="121">
        <f t="shared" si="8"/>
        <v>0.33</v>
      </c>
      <c r="T53" s="122" t="str">
        <f>IFERROR(__xludf.DUMMYFUNCTION("JOIN("","",IFERROR(FILTER(Matches!$B:$B,B53=Matches!$C:$C),""""),IFERROR(FILTER(Matches!$C:$C,B53=Matches!$B:$B),""""))"),",,,,,,,,,,,,,,,,,,,,,,,,,,,,,,,,,,,,,,,,,,,,,,,,,,,,,,,,,,,,,,,,,,,,,,,,,,,,,,,,,,,,,,,,,,,,,,,,,,,,,,,,,,,,,,,,,,,,,,,,,,,,,,,,,,,,,,,,,,,,,,,,,,,,,,,,,,,,,,,,,,,,,,,,,,,,,,,,,,,,,,,,,,,,,,,,,,,,,,,,,,,,,,,,,,,,,,,,,,,,,,,,,,,,,,,,,,,,,,,,,,,,,,,,,,,,,,,")</f>
        <v>,,,,,,,,,,,,,,,,,,,,,,,,,,,,,,,,,,,,,,,,,,,,,,,,,,,,,,,,,,,,,,,,,,,,,,,,,,,,,,,,,,,,,,,,,,,,,,,,,,,,,,,,,,,,,,,,,,,,,,,,,,,,,,,,,,,,,,,,,,,,,,,,,,,,,,,,,,,,,,,,,,,,,,,,,,,,,,,,,,,,,,,,,,,,,,,,,,,,,,,,,,,,,,,,,,,,,,,,,,,,,,,,,,,,,,,,,,,,,,,,,,,,,,,,,,,,,,,</v>
      </c>
      <c r="U53" s="121">
        <f>IFERROR(__xludf.DUMMYFUNCTION("iferror(AVERAGE(ARRAYFORMULA(VLOOKUP(SPLIT(T53,"","",TRUE,TRUE),$R$2:$S1000,2,FALSE))),0)"),0.0)</f>
        <v>0</v>
      </c>
      <c r="V53" s="123">
        <f>IFERROR(__xludf.DUMMYFUNCTION("RANK($I53, $I$2:$I1000, FALSE) + RANK($M53, Filter($M$2:$M1000, $I$2:$I1000=$I53),FALSE)+RANK($U53, Filter($U$2:$U1000, $I$2:$I1000=$I53,$M$2:$M1000=$M53),FALSE)-2"),1.0)</f>
        <v>1</v>
      </c>
      <c r="W53" s="124" t="str">
        <f t="shared" si="9"/>
        <v>Underplay</v>
      </c>
      <c r="X53" s="125" t="str">
        <f t="shared" si="10"/>
        <v/>
      </c>
      <c r="Y53" s="126">
        <f>MAXIFS(Matches!$A:$A,Matches!$C:$C,$B53)</f>
        <v>0</v>
      </c>
      <c r="Z53" s="126">
        <f t="array" ref="Z53">XLOOKUP(Y53,Quotas!$B$7:$B$10,Quotas!$A$7:$A$10,0,-1)</f>
        <v>0</v>
      </c>
      <c r="AB53" s="31"/>
      <c r="AC53" s="31">
        <f>COUNTIFS(Matches!$A:$A,"&gt;"&amp;Y53,Matches!$B:$B,$B53)</f>
        <v>0</v>
      </c>
      <c r="AD53" s="31"/>
      <c r="AE53" s="127">
        <f>SUMIF('Pool Changes'!B:B, B53, 'Pool Changes'!H:H)</f>
        <v>0</v>
      </c>
    </row>
    <row r="54">
      <c r="A54" s="104">
        <f t="shared" si="1"/>
        <v>1</v>
      </c>
      <c r="C54" s="128"/>
      <c r="D54" s="74"/>
      <c r="E54" s="1"/>
      <c r="F54" s="1"/>
      <c r="G54" s="1"/>
      <c r="H54" s="118">
        <f>COUNTIF(Entropy!$D:$D,$B54)+COUNTIF(Matches!$B:$B,$B54)+COUNTIF(Matches!$C:$C,$B54)</f>
        <v>0</v>
      </c>
      <c r="I54" s="119">
        <f>COUNTIF(Matches!$B:$B,B54)</f>
        <v>0</v>
      </c>
      <c r="J54" s="31">
        <f t="shared" si="2"/>
        <v>0</v>
      </c>
      <c r="K54" s="1" t="str">
        <f t="shared" si="3"/>
        <v>0 - 0</v>
      </c>
      <c r="L54" s="120">
        <f>COUNTIF(Entropy!$D:$D,$B54)</f>
        <v>0</v>
      </c>
      <c r="M54" s="121">
        <f t="shared" si="4"/>
        <v>0</v>
      </c>
      <c r="N54" s="121">
        <f t="shared" si="5"/>
        <v>0</v>
      </c>
      <c r="O54" s="118">
        <f>IF($J54=11,0,IF(AND($H54 &gt;=VLOOKUP('Combined Standings'!$C$2,Quotas!$A$7:$E$14,4,FALSE), $H54&lt;=VLOOKUP('Combined Standings'!$C$2,Quotas!$A$7:$E$14,5,FALSE)), 0,VLOOKUP('Combined Standings'!$C$2,Quotas!$A$7:$E$11,4,FALSE)-$H54))</f>
        <v>13</v>
      </c>
      <c r="P54" s="118">
        <f>IF($J54=11,0,IF(AND($H54 &gt;=VLOOKUP('Combined Standings'!$C$2,Quotas!$A$7:$E$14,5,FALSE), $H54&lt;=VLOOKUP('Combined Standings'!$C$2,Quotas!$A$7:$E$14,5,FALSE)), 0,VLOOKUP('Combined Standings'!$C$2,Quotas!$A$7:$E$11,5,FALSE)-$H54))</f>
        <v>15</v>
      </c>
      <c r="Q54" s="31">
        <f t="shared" si="6"/>
        <v>11</v>
      </c>
      <c r="R54" s="122" t="str">
        <f t="shared" si="7"/>
        <v/>
      </c>
      <c r="S54" s="121">
        <f t="shared" si="8"/>
        <v>0.33</v>
      </c>
      <c r="T54" s="122" t="str">
        <f>IFERROR(__xludf.DUMMYFUNCTION("JOIN("","",IFERROR(FILTER(Matches!$B:$B,B54=Matches!$C:$C),""""),IFERROR(FILTER(Matches!$C:$C,B54=Matches!$B:$B),""""))"),",,,,,,,,,,,,,,,,,,,,,,,,,,,,,,,,,,,,,,,,,,,,,,,,,,,,,,,,,,,,,,,,,,,,,,,,,,,,,,,,,,,,,,,,,,,,,,,,,,,,,,,,,,,,,,,,,,,,,,,,,,,,,,,,,,,,,,,,,,,,,,,,,,,,,,,,,,,,,,,,,,,,,,,,,,,,,,,,,,,,,,,,,,,,,,,,,,,,,,,,,,,,,,,,,,,,,,,,,,,,,,,,,,,,,,,,,,,,,,,,,,,,,,,,,,,,,,,")</f>
        <v>,,,,,,,,,,,,,,,,,,,,,,,,,,,,,,,,,,,,,,,,,,,,,,,,,,,,,,,,,,,,,,,,,,,,,,,,,,,,,,,,,,,,,,,,,,,,,,,,,,,,,,,,,,,,,,,,,,,,,,,,,,,,,,,,,,,,,,,,,,,,,,,,,,,,,,,,,,,,,,,,,,,,,,,,,,,,,,,,,,,,,,,,,,,,,,,,,,,,,,,,,,,,,,,,,,,,,,,,,,,,,,,,,,,,,,,,,,,,,,,,,,,,,,,,,,,,,,,</v>
      </c>
      <c r="U54" s="121">
        <f>IFERROR(__xludf.DUMMYFUNCTION("iferror(AVERAGE(ARRAYFORMULA(VLOOKUP(SPLIT(T54,"","",TRUE,TRUE),$R$2:$S1000,2,FALSE))),0)"),0.0)</f>
        <v>0</v>
      </c>
      <c r="V54" s="123">
        <f>IFERROR(__xludf.DUMMYFUNCTION("RANK($I54, $I$2:$I1000, FALSE) + RANK($M54, Filter($M$2:$M1000, $I$2:$I1000=$I54),FALSE)+RANK($U54, Filter($U$2:$U1000, $I$2:$I1000=$I54,$M$2:$M1000=$M54),FALSE)-2"),1.0)</f>
        <v>1</v>
      </c>
      <c r="W54" s="124" t="str">
        <f t="shared" si="9"/>
        <v>Underplay</v>
      </c>
      <c r="X54" s="125" t="str">
        <f t="shared" si="10"/>
        <v/>
      </c>
      <c r="Y54" s="126">
        <f>MAXIFS(Matches!$A:$A,Matches!$C:$C,$B54)</f>
        <v>0</v>
      </c>
      <c r="Z54" s="126">
        <f t="array" ref="Z54">XLOOKUP(Y54,Quotas!$B$7:$B$10,Quotas!$A$7:$A$10,0,-1)</f>
        <v>0</v>
      </c>
      <c r="AB54" s="31"/>
      <c r="AC54" s="31">
        <f>COUNTIFS(Matches!$A:$A,"&gt;"&amp;Y54,Matches!$B:$B,$B54)</f>
        <v>0</v>
      </c>
      <c r="AD54" s="31"/>
      <c r="AE54" s="127">
        <f>SUMIF('Pool Changes'!B:B, B54, 'Pool Changes'!H:H)</f>
        <v>0</v>
      </c>
    </row>
    <row r="55">
      <c r="A55" s="104">
        <f t="shared" si="1"/>
        <v>1</v>
      </c>
      <c r="C55" s="128"/>
      <c r="D55" s="74"/>
      <c r="E55" s="1"/>
      <c r="F55" s="1"/>
      <c r="G55" s="1"/>
      <c r="H55" s="118">
        <f>COUNTIF(Entropy!$D:$D,$B55)+COUNTIF(Matches!$B:$B,$B55)+COUNTIF(Matches!$C:$C,$B55)</f>
        <v>0</v>
      </c>
      <c r="I55" s="119">
        <f>COUNTIF(Matches!$B:$B,B55)</f>
        <v>0</v>
      </c>
      <c r="J55" s="31">
        <f t="shared" si="2"/>
        <v>0</v>
      </c>
      <c r="K55" s="1" t="str">
        <f t="shared" si="3"/>
        <v>0 - 0</v>
      </c>
      <c r="L55" s="120">
        <f>COUNTIF(Entropy!$D:$D,$B55)</f>
        <v>0</v>
      </c>
      <c r="M55" s="121">
        <f t="shared" si="4"/>
        <v>0</v>
      </c>
      <c r="N55" s="121">
        <f t="shared" si="5"/>
        <v>0</v>
      </c>
      <c r="O55" s="118">
        <f>IF($J55=11,0,IF(AND($H55 &gt;=VLOOKUP('Combined Standings'!$C$2,Quotas!$A$7:$E$14,4,FALSE), $H55&lt;=VLOOKUP('Combined Standings'!$C$2,Quotas!$A$7:$E$14,5,FALSE)), 0,VLOOKUP('Combined Standings'!$C$2,Quotas!$A$7:$E$11,4,FALSE)-$H55))</f>
        <v>13</v>
      </c>
      <c r="P55" s="118">
        <f>IF($J55=11,0,IF(AND($H55 &gt;=VLOOKUP('Combined Standings'!$C$2,Quotas!$A$7:$E$14,5,FALSE), $H55&lt;=VLOOKUP('Combined Standings'!$C$2,Quotas!$A$7:$E$14,5,FALSE)), 0,VLOOKUP('Combined Standings'!$C$2,Quotas!$A$7:$E$11,5,FALSE)-$H55))</f>
        <v>15</v>
      </c>
      <c r="Q55" s="31">
        <f t="shared" si="6"/>
        <v>11</v>
      </c>
      <c r="R55" s="122" t="str">
        <f t="shared" si="7"/>
        <v/>
      </c>
      <c r="S55" s="121">
        <f t="shared" si="8"/>
        <v>0.33</v>
      </c>
      <c r="T55" s="122" t="str">
        <f>IFERROR(__xludf.DUMMYFUNCTION("JOIN("","",IFERROR(FILTER(Matches!$B:$B,B55=Matches!$C:$C),""""),IFERROR(FILTER(Matches!$C:$C,B55=Matches!$B:$B),""""))"),",,,,,,,,,,,,,,,,,,,,,,,,,,,,,,,,,,,,,,,,,,,,,,,,,,,,,,,,,,,,,,,,,,,,,,,,,,,,,,,,,,,,,,,,,,,,,,,,,,,,,,,,,,,,,,,,,,,,,,,,,,,,,,,,,,,,,,,,,,,,,,,,,,,,,,,,,,,,,,,,,,,,,,,,,,,,,,,,,,,,,,,,,,,,,,,,,,,,,,,,,,,,,,,,,,,,,,,,,,,,,,,,,,,,,,,,,,,,,,,,,,,,,,,,,,,,,,,")</f>
        <v>,,,,,,,,,,,,,,,,,,,,,,,,,,,,,,,,,,,,,,,,,,,,,,,,,,,,,,,,,,,,,,,,,,,,,,,,,,,,,,,,,,,,,,,,,,,,,,,,,,,,,,,,,,,,,,,,,,,,,,,,,,,,,,,,,,,,,,,,,,,,,,,,,,,,,,,,,,,,,,,,,,,,,,,,,,,,,,,,,,,,,,,,,,,,,,,,,,,,,,,,,,,,,,,,,,,,,,,,,,,,,,,,,,,,,,,,,,,,,,,,,,,,,,,,,,,,,,,</v>
      </c>
      <c r="U55" s="121">
        <f>IFERROR(__xludf.DUMMYFUNCTION("iferror(AVERAGE(ARRAYFORMULA(VLOOKUP(SPLIT(T55,"","",TRUE,TRUE),$R$2:$S1000,2,FALSE))),0)"),0.0)</f>
        <v>0</v>
      </c>
      <c r="V55" s="123">
        <f>IFERROR(__xludf.DUMMYFUNCTION("RANK($I55, $I$2:$I1000, FALSE) + RANK($M55, Filter($M$2:$M1000, $I$2:$I1000=$I55),FALSE)+RANK($U55, Filter($U$2:$U1000, $I$2:$I1000=$I55,$M$2:$M1000=$M55),FALSE)-2"),1.0)</f>
        <v>1</v>
      </c>
      <c r="W55" s="124" t="str">
        <f t="shared" si="9"/>
        <v>Underplay</v>
      </c>
      <c r="X55" s="125" t="str">
        <f t="shared" si="10"/>
        <v/>
      </c>
      <c r="Y55" s="126">
        <f>MAXIFS(Matches!$A:$A,Matches!$C:$C,$B55)</f>
        <v>0</v>
      </c>
      <c r="Z55" s="126">
        <f t="array" ref="Z55">XLOOKUP(Y55,Quotas!$B$7:$B$10,Quotas!$A$7:$A$10,0,-1)</f>
        <v>0</v>
      </c>
      <c r="AB55" s="31"/>
      <c r="AC55" s="31">
        <f>COUNTIFS(Matches!$A:$A,"&gt;"&amp;Y55,Matches!$B:$B,$B55)</f>
        <v>0</v>
      </c>
      <c r="AD55" s="31"/>
      <c r="AE55" s="127">
        <f>SUMIF('Pool Changes'!B:B, B55, 'Pool Changes'!H:H)</f>
        <v>0</v>
      </c>
    </row>
    <row r="56">
      <c r="A56" s="104">
        <f t="shared" si="1"/>
        <v>1</v>
      </c>
      <c r="C56" s="128"/>
      <c r="D56" s="74"/>
      <c r="E56" s="1"/>
      <c r="F56" s="1"/>
      <c r="G56" s="1"/>
      <c r="H56" s="118">
        <f>COUNTIF(Entropy!$D:$D,$B56)+COUNTIF(Matches!$B:$B,$B56)+COUNTIF(Matches!$C:$C,$B56)</f>
        <v>0</v>
      </c>
      <c r="I56" s="119">
        <f>COUNTIF(Matches!$B:$B,B56)</f>
        <v>0</v>
      </c>
      <c r="J56" s="31">
        <f t="shared" si="2"/>
        <v>0</v>
      </c>
      <c r="K56" s="1" t="str">
        <f t="shared" si="3"/>
        <v>0 - 0</v>
      </c>
      <c r="L56" s="120">
        <f>COUNTIF(Entropy!$D:$D,$B56)</f>
        <v>0</v>
      </c>
      <c r="M56" s="121">
        <f t="shared" si="4"/>
        <v>0</v>
      </c>
      <c r="N56" s="121">
        <f t="shared" si="5"/>
        <v>0</v>
      </c>
      <c r="O56" s="118">
        <f>IF($J56=11,0,IF(AND($H56 &gt;=VLOOKUP('Combined Standings'!$C$2,Quotas!$A$7:$E$14,4,FALSE), $H56&lt;=VLOOKUP('Combined Standings'!$C$2,Quotas!$A$7:$E$14,5,FALSE)), 0,VLOOKUP('Combined Standings'!$C$2,Quotas!$A$7:$E$11,4,FALSE)-$H56))</f>
        <v>13</v>
      </c>
      <c r="P56" s="118">
        <f>IF($J56=11,0,IF(AND($H56 &gt;=VLOOKUP('Combined Standings'!$C$2,Quotas!$A$7:$E$14,5,FALSE), $H56&lt;=VLOOKUP('Combined Standings'!$C$2,Quotas!$A$7:$E$14,5,FALSE)), 0,VLOOKUP('Combined Standings'!$C$2,Quotas!$A$7:$E$11,5,FALSE)-$H56))</f>
        <v>15</v>
      </c>
      <c r="Q56" s="31">
        <f t="shared" si="6"/>
        <v>11</v>
      </c>
      <c r="R56" s="122" t="str">
        <f t="shared" si="7"/>
        <v/>
      </c>
      <c r="S56" s="121">
        <f t="shared" si="8"/>
        <v>0.33</v>
      </c>
      <c r="T56" s="122" t="str">
        <f>IFERROR(__xludf.DUMMYFUNCTION("JOIN("","",IFERROR(FILTER(Matches!$B:$B,B56=Matches!$C:$C),""""),IFERROR(FILTER(Matches!$C:$C,B56=Matches!$B:$B),""""))"),",,,,,,,,,,,,,,,,,,,,,,,,,,,,,,,,,,,,,,,,,,,,,,,,,,,,,,,,,,,,,,,,,,,,,,,,,,,,,,,,,,,,,,,,,,,,,,,,,,,,,,,,,,,,,,,,,,,,,,,,,,,,,,,,,,,,,,,,,,,,,,,,,,,,,,,,,,,,,,,,,,,,,,,,,,,,,,,,,,,,,,,,,,,,,,,,,,,,,,,,,,,,,,,,,,,,,,,,,,,,,,,,,,,,,,,,,,,,,,,,,,,,,,,,,,,,,,,")</f>
        <v>,,,,,,,,,,,,,,,,,,,,,,,,,,,,,,,,,,,,,,,,,,,,,,,,,,,,,,,,,,,,,,,,,,,,,,,,,,,,,,,,,,,,,,,,,,,,,,,,,,,,,,,,,,,,,,,,,,,,,,,,,,,,,,,,,,,,,,,,,,,,,,,,,,,,,,,,,,,,,,,,,,,,,,,,,,,,,,,,,,,,,,,,,,,,,,,,,,,,,,,,,,,,,,,,,,,,,,,,,,,,,,,,,,,,,,,,,,,,,,,,,,,,,,,,,,,,,,,</v>
      </c>
      <c r="U56" s="121">
        <f>IFERROR(__xludf.DUMMYFUNCTION("iferror(AVERAGE(ARRAYFORMULA(VLOOKUP(SPLIT(T56,"","",TRUE,TRUE),$R$2:$S1000,2,FALSE))),0)"),0.0)</f>
        <v>0</v>
      </c>
      <c r="V56" s="123">
        <f>IFERROR(__xludf.DUMMYFUNCTION("RANK($I56, $I$2:$I1000, FALSE) + RANK($M56, Filter($M$2:$M1000, $I$2:$I1000=$I56),FALSE)+RANK($U56, Filter($U$2:$U1000, $I$2:$I1000=$I56,$M$2:$M1000=$M56),FALSE)-2"),1.0)</f>
        <v>1</v>
      </c>
      <c r="W56" s="124" t="str">
        <f t="shared" si="9"/>
        <v>Underplay</v>
      </c>
      <c r="X56" s="125" t="str">
        <f t="shared" si="10"/>
        <v/>
      </c>
      <c r="Y56" s="126">
        <f>MAXIFS(Matches!$A:$A,Matches!$C:$C,$B56)</f>
        <v>0</v>
      </c>
      <c r="Z56" s="126">
        <f t="array" ref="Z56">XLOOKUP(Y56,Quotas!$B$7:$B$10,Quotas!$A$7:$A$10,0,-1)</f>
        <v>0</v>
      </c>
      <c r="AB56" s="31"/>
      <c r="AC56" s="31">
        <f>COUNTIFS(Matches!$A:$A,"&gt;"&amp;Y56,Matches!$B:$B,$B56)</f>
        <v>0</v>
      </c>
      <c r="AD56" s="31"/>
      <c r="AE56" s="127">
        <f>SUMIF('Pool Changes'!B:B, B56, 'Pool Changes'!H:H)</f>
        <v>0</v>
      </c>
    </row>
    <row r="57">
      <c r="A57" s="104">
        <f t="shared" si="1"/>
        <v>1</v>
      </c>
      <c r="C57" s="128"/>
      <c r="D57" s="74"/>
      <c r="E57" s="1"/>
      <c r="F57" s="1"/>
      <c r="G57" s="1"/>
      <c r="H57" s="118">
        <f>COUNTIF(Entropy!$D:$D,$B57)+COUNTIF(Matches!$B:$B,$B57)+COUNTIF(Matches!$C:$C,$B57)</f>
        <v>0</v>
      </c>
      <c r="I57" s="119">
        <f>COUNTIF(Matches!$B:$B,B57)</f>
        <v>0</v>
      </c>
      <c r="J57" s="31">
        <f t="shared" si="2"/>
        <v>0</v>
      </c>
      <c r="K57" s="1" t="str">
        <f t="shared" si="3"/>
        <v>0 - 0</v>
      </c>
      <c r="L57" s="120">
        <f>COUNTIF(Entropy!$D:$D,$B57)</f>
        <v>0</v>
      </c>
      <c r="M57" s="121">
        <f t="shared" si="4"/>
        <v>0</v>
      </c>
      <c r="N57" s="121">
        <f t="shared" si="5"/>
        <v>0</v>
      </c>
      <c r="O57" s="118">
        <f>IF($J57=11,0,IF(AND($H57 &gt;=VLOOKUP('Combined Standings'!$C$2,Quotas!$A$7:$E$14,4,FALSE), $H57&lt;=VLOOKUP('Combined Standings'!$C$2,Quotas!$A$7:$E$14,5,FALSE)), 0,VLOOKUP('Combined Standings'!$C$2,Quotas!$A$7:$E$11,4,FALSE)-$H57))</f>
        <v>13</v>
      </c>
      <c r="P57" s="118">
        <f>IF($J57=11,0,IF(AND($H57 &gt;=VLOOKUP('Combined Standings'!$C$2,Quotas!$A$7:$E$14,5,FALSE), $H57&lt;=VLOOKUP('Combined Standings'!$C$2,Quotas!$A$7:$E$14,5,FALSE)), 0,VLOOKUP('Combined Standings'!$C$2,Quotas!$A$7:$E$11,5,FALSE)-$H57))</f>
        <v>15</v>
      </c>
      <c r="Q57" s="31">
        <f t="shared" si="6"/>
        <v>11</v>
      </c>
      <c r="R57" s="122" t="str">
        <f t="shared" si="7"/>
        <v/>
      </c>
      <c r="S57" s="121">
        <f t="shared" si="8"/>
        <v>0.33</v>
      </c>
      <c r="T57" s="122" t="str">
        <f>IFERROR(__xludf.DUMMYFUNCTION("JOIN("","",IFERROR(FILTER(Matches!$B:$B,B57=Matches!$C:$C),""""),IFERROR(FILTER(Matches!$C:$C,B57=Matches!$B:$B),""""))"),",,,,,,,,,,,,,,,,,,,,,,,,,,,,,,,,,,,,,,,,,,,,,,,,,,,,,,,,,,,,,,,,,,,,,,,,,,,,,,,,,,,,,,,,,,,,,,,,,,,,,,,,,,,,,,,,,,,,,,,,,,,,,,,,,,,,,,,,,,,,,,,,,,,,,,,,,,,,,,,,,,,,,,,,,,,,,,,,,,,,,,,,,,,,,,,,,,,,,,,,,,,,,,,,,,,,,,,,,,,,,,,,,,,,,,,,,,,,,,,,,,,,,,,,,,,,,,,")</f>
        <v>,,,,,,,,,,,,,,,,,,,,,,,,,,,,,,,,,,,,,,,,,,,,,,,,,,,,,,,,,,,,,,,,,,,,,,,,,,,,,,,,,,,,,,,,,,,,,,,,,,,,,,,,,,,,,,,,,,,,,,,,,,,,,,,,,,,,,,,,,,,,,,,,,,,,,,,,,,,,,,,,,,,,,,,,,,,,,,,,,,,,,,,,,,,,,,,,,,,,,,,,,,,,,,,,,,,,,,,,,,,,,,,,,,,,,,,,,,,,,,,,,,,,,,,,,,,,,,,</v>
      </c>
      <c r="U57" s="121">
        <f>IFERROR(__xludf.DUMMYFUNCTION("iferror(AVERAGE(ARRAYFORMULA(VLOOKUP(SPLIT(T57,"","",TRUE,TRUE),$R$2:$S1000,2,FALSE))),0)"),0.0)</f>
        <v>0</v>
      </c>
      <c r="V57" s="123">
        <f>IFERROR(__xludf.DUMMYFUNCTION("RANK($I57, $I$2:$I1000, FALSE) + RANK($M57, Filter($M$2:$M1000, $I$2:$I1000=$I57),FALSE)+RANK($U57, Filter($U$2:$U1000, $I$2:$I1000=$I57,$M$2:$M1000=$M57),FALSE)-2"),1.0)</f>
        <v>1</v>
      </c>
      <c r="W57" s="124" t="str">
        <f t="shared" si="9"/>
        <v>Underplay</v>
      </c>
      <c r="X57" s="125" t="str">
        <f t="shared" si="10"/>
        <v/>
      </c>
      <c r="Y57" s="126">
        <f>MAXIFS(Matches!$A:$A,Matches!$C:$C,$B57)</f>
        <v>0</v>
      </c>
      <c r="Z57" s="126">
        <f t="array" ref="Z57">XLOOKUP(Y57,Quotas!$B$7:$B$10,Quotas!$A$7:$A$10,0,-1)</f>
        <v>0</v>
      </c>
      <c r="AB57" s="31"/>
      <c r="AC57" s="31">
        <f>COUNTIFS(Matches!$A:$A,"&gt;"&amp;Y57,Matches!$B:$B,$B57)</f>
        <v>0</v>
      </c>
      <c r="AD57" s="31"/>
      <c r="AE57" s="127">
        <f>SUMIF('Pool Changes'!B:B, B57, 'Pool Changes'!H:H)</f>
        <v>0</v>
      </c>
    </row>
    <row r="58">
      <c r="A58" s="104">
        <f t="shared" si="1"/>
        <v>1</v>
      </c>
      <c r="C58" s="128"/>
      <c r="D58" s="74"/>
      <c r="E58" s="1"/>
      <c r="F58" s="1"/>
      <c r="G58" s="1"/>
      <c r="H58" s="118">
        <f>COUNTIF(Entropy!$D:$D,$B58)+COUNTIF(Matches!$B:$B,$B58)+COUNTIF(Matches!$C:$C,$B58)</f>
        <v>0</v>
      </c>
      <c r="I58" s="119">
        <f>COUNTIF(Matches!$B:$B,B58)</f>
        <v>0</v>
      </c>
      <c r="J58" s="31">
        <f t="shared" si="2"/>
        <v>0</v>
      </c>
      <c r="K58" s="1" t="str">
        <f t="shared" si="3"/>
        <v>0 - 0</v>
      </c>
      <c r="L58" s="120">
        <f>COUNTIF(Entropy!$D:$D,$B58)</f>
        <v>0</v>
      </c>
      <c r="M58" s="121">
        <f t="shared" si="4"/>
        <v>0</v>
      </c>
      <c r="N58" s="121">
        <f t="shared" si="5"/>
        <v>0</v>
      </c>
      <c r="O58" s="118">
        <f>IF($J58=11,0,IF(AND($H58 &gt;=VLOOKUP('Combined Standings'!$C$2,Quotas!$A$7:$E$14,4,FALSE), $H58&lt;=VLOOKUP('Combined Standings'!$C$2,Quotas!$A$7:$E$14,5,FALSE)), 0,VLOOKUP('Combined Standings'!$C$2,Quotas!$A$7:$E$11,4,FALSE)-$H58))</f>
        <v>13</v>
      </c>
      <c r="P58" s="118">
        <f>IF($J58=11,0,IF(AND($H58 &gt;=VLOOKUP('Combined Standings'!$C$2,Quotas!$A$7:$E$14,5,FALSE), $H58&lt;=VLOOKUP('Combined Standings'!$C$2,Quotas!$A$7:$E$14,5,FALSE)), 0,VLOOKUP('Combined Standings'!$C$2,Quotas!$A$7:$E$11,5,FALSE)-$H58))</f>
        <v>15</v>
      </c>
      <c r="Q58" s="31">
        <f t="shared" si="6"/>
        <v>11</v>
      </c>
      <c r="R58" s="122" t="str">
        <f t="shared" si="7"/>
        <v/>
      </c>
      <c r="S58" s="121">
        <f t="shared" si="8"/>
        <v>0.33</v>
      </c>
      <c r="T58" s="122" t="str">
        <f>IFERROR(__xludf.DUMMYFUNCTION("JOIN("","",IFERROR(FILTER(Matches!$B:$B,B58=Matches!$C:$C),""""),IFERROR(FILTER(Matches!$C:$C,B58=Matches!$B:$B),""""))"),",,,,,,,,,,,,,,,,,,,,,,,,,,,,,,,,,,,,,,,,,,,,,,,,,,,,,,,,,,,,,,,,,,,,,,,,,,,,,,,,,,,,,,,,,,,,,,,,,,,,,,,,,,,,,,,,,,,,,,,,,,,,,,,,,,,,,,,,,,,,,,,,,,,,,,,,,,,,,,,,,,,,,,,,,,,,,,,,,,,,,,,,,,,,,,,,,,,,,,,,,,,,,,,,,,,,,,,,,,,,,,,,,,,,,,,,,,,,,,,,,,,,,,,,,,,,,,,")</f>
        <v>,,,,,,,,,,,,,,,,,,,,,,,,,,,,,,,,,,,,,,,,,,,,,,,,,,,,,,,,,,,,,,,,,,,,,,,,,,,,,,,,,,,,,,,,,,,,,,,,,,,,,,,,,,,,,,,,,,,,,,,,,,,,,,,,,,,,,,,,,,,,,,,,,,,,,,,,,,,,,,,,,,,,,,,,,,,,,,,,,,,,,,,,,,,,,,,,,,,,,,,,,,,,,,,,,,,,,,,,,,,,,,,,,,,,,,,,,,,,,,,,,,,,,,,,,,,,,,,</v>
      </c>
      <c r="U58" s="121">
        <f>IFERROR(__xludf.DUMMYFUNCTION("iferror(AVERAGE(ARRAYFORMULA(VLOOKUP(SPLIT(T58,"","",TRUE,TRUE),$R$2:$S1000,2,FALSE))),0)"),0.0)</f>
        <v>0</v>
      </c>
      <c r="V58" s="123">
        <f>IFERROR(__xludf.DUMMYFUNCTION("RANK($I58, $I$2:$I1000, FALSE) + RANK($M58, Filter($M$2:$M1000, $I$2:$I1000=$I58),FALSE)+RANK($U58, Filter($U$2:$U1000, $I$2:$I1000=$I58,$M$2:$M1000=$M58),FALSE)-2"),1.0)</f>
        <v>1</v>
      </c>
      <c r="W58" s="124" t="str">
        <f t="shared" si="9"/>
        <v>Underplay</v>
      </c>
      <c r="X58" s="125" t="str">
        <f t="shared" si="10"/>
        <v/>
      </c>
      <c r="Y58" s="126">
        <f>MAXIFS(Matches!$A:$A,Matches!$C:$C,$B58)</f>
        <v>0</v>
      </c>
      <c r="Z58" s="126">
        <f t="array" ref="Z58">XLOOKUP(Y58,Quotas!$B$7:$B$10,Quotas!$A$7:$A$10,0,-1)</f>
        <v>0</v>
      </c>
      <c r="AB58" s="31"/>
      <c r="AC58" s="31">
        <f>COUNTIFS(Matches!$A:$A,"&gt;"&amp;Y58,Matches!$B:$B,$B58)</f>
        <v>0</v>
      </c>
      <c r="AD58" s="31"/>
      <c r="AE58" s="127">
        <f>SUMIF('Pool Changes'!B:B, B58, 'Pool Changes'!H:H)</f>
        <v>0</v>
      </c>
    </row>
    <row r="59">
      <c r="A59" s="104">
        <f t="shared" si="1"/>
        <v>1</v>
      </c>
      <c r="C59" s="128"/>
      <c r="D59" s="74"/>
      <c r="E59" s="1"/>
      <c r="F59" s="1"/>
      <c r="G59" s="1"/>
      <c r="H59" s="118">
        <f>COUNTIF(Entropy!$D:$D,$B59)+COUNTIF(Matches!$B:$B,$B59)+COUNTIF(Matches!$C:$C,$B59)</f>
        <v>0</v>
      </c>
      <c r="I59" s="119">
        <f>COUNTIF(Matches!$B:$B,B59)</f>
        <v>0</v>
      </c>
      <c r="J59" s="31">
        <f t="shared" si="2"/>
        <v>0</v>
      </c>
      <c r="K59" s="1" t="str">
        <f t="shared" si="3"/>
        <v>0 - 0</v>
      </c>
      <c r="L59" s="120">
        <f>COUNTIF(Entropy!$D:$D,$B59)</f>
        <v>0</v>
      </c>
      <c r="M59" s="121">
        <f t="shared" si="4"/>
        <v>0</v>
      </c>
      <c r="N59" s="121">
        <f t="shared" si="5"/>
        <v>0</v>
      </c>
      <c r="O59" s="118">
        <f>IF($J59=11,0,IF(AND($H59 &gt;=VLOOKUP('Combined Standings'!$C$2,Quotas!$A$7:$E$14,4,FALSE), $H59&lt;=VLOOKUP('Combined Standings'!$C$2,Quotas!$A$7:$E$14,5,FALSE)), 0,VLOOKUP('Combined Standings'!$C$2,Quotas!$A$7:$E$11,4,FALSE)-$H59))</f>
        <v>13</v>
      </c>
      <c r="P59" s="118">
        <f>IF($J59=11,0,IF(AND($H59 &gt;=VLOOKUP('Combined Standings'!$C$2,Quotas!$A$7:$E$14,5,FALSE), $H59&lt;=VLOOKUP('Combined Standings'!$C$2,Quotas!$A$7:$E$14,5,FALSE)), 0,VLOOKUP('Combined Standings'!$C$2,Quotas!$A$7:$E$11,5,FALSE)-$H59))</f>
        <v>15</v>
      </c>
      <c r="Q59" s="31">
        <f t="shared" si="6"/>
        <v>11</v>
      </c>
      <c r="R59" s="122" t="str">
        <f t="shared" si="7"/>
        <v/>
      </c>
      <c r="S59" s="121">
        <f t="shared" si="8"/>
        <v>0.33</v>
      </c>
      <c r="T59" s="122" t="str">
        <f>IFERROR(__xludf.DUMMYFUNCTION("JOIN("","",IFERROR(FILTER(Matches!$B:$B,B59=Matches!$C:$C),""""),IFERROR(FILTER(Matches!$C:$C,B59=Matches!$B:$B),""""))"),",,,,,,,,,,,,,,,,,,,,,,,,,,,,,,,,,,,,,,,,,,,,,,,,,,,,,,,,,,,,,,,,,,,,,,,,,,,,,,,,,,,,,,,,,,,,,,,,,,,,,,,,,,,,,,,,,,,,,,,,,,,,,,,,,,,,,,,,,,,,,,,,,,,,,,,,,,,,,,,,,,,,,,,,,,,,,,,,,,,,,,,,,,,,,,,,,,,,,,,,,,,,,,,,,,,,,,,,,,,,,,,,,,,,,,,,,,,,,,,,,,,,,,,,,,,,,,,")</f>
        <v>,,,,,,,,,,,,,,,,,,,,,,,,,,,,,,,,,,,,,,,,,,,,,,,,,,,,,,,,,,,,,,,,,,,,,,,,,,,,,,,,,,,,,,,,,,,,,,,,,,,,,,,,,,,,,,,,,,,,,,,,,,,,,,,,,,,,,,,,,,,,,,,,,,,,,,,,,,,,,,,,,,,,,,,,,,,,,,,,,,,,,,,,,,,,,,,,,,,,,,,,,,,,,,,,,,,,,,,,,,,,,,,,,,,,,,,,,,,,,,,,,,,,,,,,,,,,,,,</v>
      </c>
      <c r="U59" s="121">
        <f>IFERROR(__xludf.DUMMYFUNCTION("iferror(AVERAGE(ARRAYFORMULA(VLOOKUP(SPLIT(T59,"","",TRUE,TRUE),$R$2:$S1000,2,FALSE))),0)"),0.0)</f>
        <v>0</v>
      </c>
      <c r="V59" s="123">
        <f>IFERROR(__xludf.DUMMYFUNCTION("RANK($I59, $I$2:$I1000, FALSE) + RANK($M59, Filter($M$2:$M1000, $I$2:$I1000=$I59),FALSE)+RANK($U59, Filter($U$2:$U1000, $I$2:$I1000=$I59,$M$2:$M1000=$M59),FALSE)-2"),1.0)</f>
        <v>1</v>
      </c>
      <c r="W59" s="124" t="str">
        <f t="shared" si="9"/>
        <v>Underplay</v>
      </c>
      <c r="X59" s="125" t="str">
        <f t="shared" si="10"/>
        <v/>
      </c>
      <c r="Y59" s="126">
        <f>MAXIFS(Matches!$A:$A,Matches!$C:$C,$B59)</f>
        <v>0</v>
      </c>
      <c r="Z59" s="126">
        <f t="array" ref="Z59">XLOOKUP(Y59,Quotas!$B$7:$B$10,Quotas!$A$7:$A$10,0,-1)</f>
        <v>0</v>
      </c>
      <c r="AB59" s="31"/>
      <c r="AC59" s="31">
        <f>COUNTIFS(Matches!$A:$A,"&gt;"&amp;Y59,Matches!$B:$B,$B59)</f>
        <v>0</v>
      </c>
      <c r="AD59" s="31"/>
      <c r="AE59" s="127">
        <f>SUMIF('Pool Changes'!B:B, B59, 'Pool Changes'!H:H)</f>
        <v>0</v>
      </c>
    </row>
    <row r="60">
      <c r="A60" s="104">
        <f t="shared" si="1"/>
        <v>1</v>
      </c>
      <c r="C60" s="128"/>
      <c r="D60" s="74"/>
      <c r="E60" s="1"/>
      <c r="F60" s="1"/>
      <c r="G60" s="1"/>
      <c r="H60" s="118">
        <f>COUNTIF(Entropy!$D:$D,$B60)+COUNTIF(Matches!$B:$B,$B60)+COUNTIF(Matches!$C:$C,$B60)</f>
        <v>0</v>
      </c>
      <c r="I60" s="119">
        <f>COUNTIF(Matches!$B:$B,B60)</f>
        <v>0</v>
      </c>
      <c r="J60" s="31">
        <f t="shared" si="2"/>
        <v>0</v>
      </c>
      <c r="K60" s="1" t="str">
        <f t="shared" si="3"/>
        <v>0 - 0</v>
      </c>
      <c r="L60" s="120">
        <f>COUNTIF(Entropy!$D:$D,$B60)</f>
        <v>0</v>
      </c>
      <c r="M60" s="121">
        <f t="shared" si="4"/>
        <v>0</v>
      </c>
      <c r="N60" s="121">
        <f t="shared" si="5"/>
        <v>0</v>
      </c>
      <c r="O60" s="118">
        <f>IF($J60=11,0,IF(AND($H60 &gt;=VLOOKUP('Combined Standings'!$C$2,Quotas!$A$7:$E$14,4,FALSE), $H60&lt;=VLOOKUP('Combined Standings'!$C$2,Quotas!$A$7:$E$14,5,FALSE)), 0,VLOOKUP('Combined Standings'!$C$2,Quotas!$A$7:$E$11,4,FALSE)-$H60))</f>
        <v>13</v>
      </c>
      <c r="P60" s="118">
        <f>IF($J60=11,0,IF(AND($H60 &gt;=VLOOKUP('Combined Standings'!$C$2,Quotas!$A$7:$E$14,5,FALSE), $H60&lt;=VLOOKUP('Combined Standings'!$C$2,Quotas!$A$7:$E$14,5,FALSE)), 0,VLOOKUP('Combined Standings'!$C$2,Quotas!$A$7:$E$11,5,FALSE)-$H60))</f>
        <v>15</v>
      </c>
      <c r="Q60" s="31">
        <f t="shared" si="6"/>
        <v>11</v>
      </c>
      <c r="R60" s="122" t="str">
        <f t="shared" si="7"/>
        <v/>
      </c>
      <c r="S60" s="121">
        <f t="shared" si="8"/>
        <v>0.33</v>
      </c>
      <c r="T60" s="122" t="str">
        <f>IFERROR(__xludf.DUMMYFUNCTION("JOIN("","",IFERROR(FILTER(Matches!$B:$B,B60=Matches!$C:$C),""""),IFERROR(FILTER(Matches!$C:$C,B60=Matches!$B:$B),""""))"),",,,,,,,,,,,,,,,,,,,,,,,,,,,,,,,,,,,,,,,,,,,,,,,,,,,,,,,,,,,,,,,,,,,,,,,,,,,,,,,,,,,,,,,,,,,,,,,,,,,,,,,,,,,,,,,,,,,,,,,,,,,,,,,,,,,,,,,,,,,,,,,,,,,,,,,,,,,,,,,,,,,,,,,,,,,,,,,,,,,,,,,,,,,,,,,,,,,,,,,,,,,,,,,,,,,,,,,,,,,,,,,,,,,,,,,,,,,,,,,,,,,,,,,,,,,,,,,")</f>
        <v>,,,,,,,,,,,,,,,,,,,,,,,,,,,,,,,,,,,,,,,,,,,,,,,,,,,,,,,,,,,,,,,,,,,,,,,,,,,,,,,,,,,,,,,,,,,,,,,,,,,,,,,,,,,,,,,,,,,,,,,,,,,,,,,,,,,,,,,,,,,,,,,,,,,,,,,,,,,,,,,,,,,,,,,,,,,,,,,,,,,,,,,,,,,,,,,,,,,,,,,,,,,,,,,,,,,,,,,,,,,,,,,,,,,,,,,,,,,,,,,,,,,,,,,,,,,,,,,</v>
      </c>
      <c r="U60" s="121">
        <f>IFERROR(__xludf.DUMMYFUNCTION("iferror(AVERAGE(ARRAYFORMULA(VLOOKUP(SPLIT(T60,"","",TRUE,TRUE),$R$2:$S1000,2,FALSE))),0)"),0.0)</f>
        <v>0</v>
      </c>
      <c r="V60" s="123">
        <f>IFERROR(__xludf.DUMMYFUNCTION("RANK($I60, $I$2:$I1000, FALSE) + RANK($M60, Filter($M$2:$M1000, $I$2:$I1000=$I60),FALSE)+RANK($U60, Filter($U$2:$U1000, $I$2:$I1000=$I60,$M$2:$M1000=$M60),FALSE)-2"),1.0)</f>
        <v>1</v>
      </c>
      <c r="W60" s="124" t="str">
        <f t="shared" si="9"/>
        <v>Underplay</v>
      </c>
      <c r="X60" s="125" t="str">
        <f t="shared" si="10"/>
        <v/>
      </c>
      <c r="Y60" s="126">
        <f>MAXIFS(Matches!$A:$A,Matches!$C:$C,$B60)</f>
        <v>0</v>
      </c>
      <c r="Z60" s="126">
        <f t="array" ref="Z60">XLOOKUP(Y60,Quotas!$B$7:$B$10,Quotas!$A$7:$A$10,0,-1)</f>
        <v>0</v>
      </c>
      <c r="AB60" s="31"/>
      <c r="AC60" s="31">
        <f>COUNTIFS(Matches!$A:$A,"&gt;"&amp;Y60,Matches!$B:$B,$B60)</f>
        <v>0</v>
      </c>
      <c r="AD60" s="31"/>
      <c r="AE60" s="127">
        <f>SUMIF('Pool Changes'!B:B, B60, 'Pool Changes'!H:H)</f>
        <v>0</v>
      </c>
    </row>
    <row r="61">
      <c r="A61" s="104">
        <f t="shared" si="1"/>
        <v>1</v>
      </c>
      <c r="C61" s="128"/>
      <c r="D61" s="74"/>
      <c r="E61" s="1"/>
      <c r="F61" s="1"/>
      <c r="G61" s="1"/>
      <c r="H61" s="118">
        <f>COUNTIF(Entropy!$D:$D,$B61)+COUNTIF(Matches!$B:$B,$B61)+COUNTIF(Matches!$C:$C,$B61)</f>
        <v>0</v>
      </c>
      <c r="I61" s="119">
        <f>COUNTIF(Matches!$B:$B,B61)</f>
        <v>0</v>
      </c>
      <c r="J61" s="31">
        <f t="shared" si="2"/>
        <v>0</v>
      </c>
      <c r="K61" s="1" t="str">
        <f t="shared" si="3"/>
        <v>0 - 0</v>
      </c>
      <c r="L61" s="120">
        <f>COUNTIF(Entropy!$D:$D,$B61)</f>
        <v>0</v>
      </c>
      <c r="M61" s="121">
        <f t="shared" si="4"/>
        <v>0</v>
      </c>
      <c r="N61" s="121">
        <f t="shared" si="5"/>
        <v>0</v>
      </c>
      <c r="O61" s="118">
        <f>IF($J61=11,0,IF(AND($H61 &gt;=VLOOKUP('Combined Standings'!$C$2,Quotas!$A$7:$E$14,4,FALSE), $H61&lt;=VLOOKUP('Combined Standings'!$C$2,Quotas!$A$7:$E$14,5,FALSE)), 0,VLOOKUP('Combined Standings'!$C$2,Quotas!$A$7:$E$11,4,FALSE)-$H61))</f>
        <v>13</v>
      </c>
      <c r="P61" s="118">
        <f>IF($J61=11,0,IF(AND($H61 &gt;=VLOOKUP('Combined Standings'!$C$2,Quotas!$A$7:$E$14,5,FALSE), $H61&lt;=VLOOKUP('Combined Standings'!$C$2,Quotas!$A$7:$E$14,5,FALSE)), 0,VLOOKUP('Combined Standings'!$C$2,Quotas!$A$7:$E$11,5,FALSE)-$H61))</f>
        <v>15</v>
      </c>
      <c r="Q61" s="31">
        <f t="shared" si="6"/>
        <v>11</v>
      </c>
      <c r="R61" s="122" t="str">
        <f t="shared" si="7"/>
        <v/>
      </c>
      <c r="S61" s="121">
        <f t="shared" si="8"/>
        <v>0.33</v>
      </c>
      <c r="T61" s="122" t="str">
        <f>IFERROR(__xludf.DUMMYFUNCTION("JOIN("","",IFERROR(FILTER(Matches!$B:$B,B61=Matches!$C:$C),""""),IFERROR(FILTER(Matches!$C:$C,B61=Matches!$B:$B),""""))"),",,,,,,,,,,,,,,,,,,,,,,,,,,,,,,,,,,,,,,,,,,,,,,,,,,,,,,,,,,,,,,,,,,,,,,,,,,,,,,,,,,,,,,,,,,,,,,,,,,,,,,,,,,,,,,,,,,,,,,,,,,,,,,,,,,,,,,,,,,,,,,,,,,,,,,,,,,,,,,,,,,,,,,,,,,,,,,,,,,,,,,,,,,,,,,,,,,,,,,,,,,,,,,,,,,,,,,,,,,,,,,,,,,,,,,,,,,,,,,,,,,,,,,,,,,,,,,,")</f>
        <v>,,,,,,,,,,,,,,,,,,,,,,,,,,,,,,,,,,,,,,,,,,,,,,,,,,,,,,,,,,,,,,,,,,,,,,,,,,,,,,,,,,,,,,,,,,,,,,,,,,,,,,,,,,,,,,,,,,,,,,,,,,,,,,,,,,,,,,,,,,,,,,,,,,,,,,,,,,,,,,,,,,,,,,,,,,,,,,,,,,,,,,,,,,,,,,,,,,,,,,,,,,,,,,,,,,,,,,,,,,,,,,,,,,,,,,,,,,,,,,,,,,,,,,,,,,,,,,,</v>
      </c>
      <c r="U61" s="121">
        <f>IFERROR(__xludf.DUMMYFUNCTION("iferror(AVERAGE(ARRAYFORMULA(VLOOKUP(SPLIT(T61,"","",TRUE,TRUE),$R$2:$S1000,2,FALSE))),0)"),0.0)</f>
        <v>0</v>
      </c>
      <c r="V61" s="123">
        <f>IFERROR(__xludf.DUMMYFUNCTION("RANK($I61, $I$2:$I1000, FALSE) + RANK($M61, Filter($M$2:$M1000, $I$2:$I1000=$I61),FALSE)+RANK($U61, Filter($U$2:$U1000, $I$2:$I1000=$I61,$M$2:$M1000=$M61),FALSE)-2"),1.0)</f>
        <v>1</v>
      </c>
      <c r="W61" s="124" t="str">
        <f t="shared" si="9"/>
        <v>Underplay</v>
      </c>
      <c r="X61" s="125" t="str">
        <f t="shared" si="10"/>
        <v/>
      </c>
      <c r="Y61" s="126">
        <f>MAXIFS(Matches!$A:$A,Matches!$C:$C,$B61)</f>
        <v>0</v>
      </c>
      <c r="Z61" s="126">
        <f t="array" ref="Z61">XLOOKUP(Y61,Quotas!$B$7:$B$10,Quotas!$A$7:$A$10,0,-1)</f>
        <v>0</v>
      </c>
      <c r="AB61" s="31"/>
      <c r="AC61" s="31">
        <f>COUNTIFS(Matches!$A:$A,"&gt;"&amp;Y61,Matches!$B:$B,$B61)</f>
        <v>0</v>
      </c>
      <c r="AD61" s="31"/>
      <c r="AE61" s="127">
        <f>SUMIF('Pool Changes'!B:B, B61, 'Pool Changes'!H:H)</f>
        <v>0</v>
      </c>
    </row>
    <row r="62">
      <c r="A62" s="104">
        <f t="shared" si="1"/>
        <v>1</v>
      </c>
      <c r="C62" s="128"/>
      <c r="D62" s="74"/>
      <c r="E62" s="1"/>
      <c r="F62" s="1"/>
      <c r="G62" s="1"/>
      <c r="H62" s="118">
        <f>COUNTIF(Entropy!$D:$D,$B62)+COUNTIF(Matches!$B:$B,$B62)+COUNTIF(Matches!$C:$C,$B62)</f>
        <v>0</v>
      </c>
      <c r="I62" s="119">
        <f>COUNTIF(Matches!$B:$B,B62)</f>
        <v>0</v>
      </c>
      <c r="J62" s="31">
        <f t="shared" si="2"/>
        <v>0</v>
      </c>
      <c r="K62" s="1" t="str">
        <f t="shared" si="3"/>
        <v>0 - 0</v>
      </c>
      <c r="L62" s="120">
        <f>COUNTIF(Entropy!$D:$D,$B62)</f>
        <v>0</v>
      </c>
      <c r="M62" s="121">
        <f t="shared" si="4"/>
        <v>0</v>
      </c>
      <c r="N62" s="121">
        <f t="shared" si="5"/>
        <v>0</v>
      </c>
      <c r="O62" s="118">
        <f>IF($J62=11,0,IF(AND($H62 &gt;=VLOOKUP('Combined Standings'!$C$2,Quotas!$A$7:$E$14,4,FALSE), $H62&lt;=VLOOKUP('Combined Standings'!$C$2,Quotas!$A$7:$E$14,5,FALSE)), 0,VLOOKUP('Combined Standings'!$C$2,Quotas!$A$7:$E$11,4,FALSE)-$H62))</f>
        <v>13</v>
      </c>
      <c r="P62" s="118">
        <f>IF($J62=11,0,IF(AND($H62 &gt;=VLOOKUP('Combined Standings'!$C$2,Quotas!$A$7:$E$14,5,FALSE), $H62&lt;=VLOOKUP('Combined Standings'!$C$2,Quotas!$A$7:$E$14,5,FALSE)), 0,VLOOKUP('Combined Standings'!$C$2,Quotas!$A$7:$E$11,5,FALSE)-$H62))</f>
        <v>15</v>
      </c>
      <c r="Q62" s="31">
        <f t="shared" si="6"/>
        <v>11</v>
      </c>
      <c r="R62" s="122" t="str">
        <f t="shared" si="7"/>
        <v/>
      </c>
      <c r="S62" s="121">
        <f t="shared" si="8"/>
        <v>0.33</v>
      </c>
      <c r="T62" s="122" t="str">
        <f>IFERROR(__xludf.DUMMYFUNCTION("JOIN("","",IFERROR(FILTER(Matches!$B:$B,B62=Matches!$C:$C),""""),IFERROR(FILTER(Matches!$C:$C,B62=Matches!$B:$B),""""))"),",,,,,,,,,,,,,,,,,,,,,,,,,,,,,,,,,,,,,,,,,,,,,,,,,,,,,,,,,,,,,,,,,,,,,,,,,,,,,,,,,,,,,,,,,,,,,,,,,,,,,,,,,,,,,,,,,,,,,,,,,,,,,,,,,,,,,,,,,,,,,,,,,,,,,,,,,,,,,,,,,,,,,,,,,,,,,,,,,,,,,,,,,,,,,,,,,,,,,,,,,,,,,,,,,,,,,,,,,,,,,,,,,,,,,,,,,,,,,,,,,,,,,,,,,,,,,,,")</f>
        <v>,,,,,,,,,,,,,,,,,,,,,,,,,,,,,,,,,,,,,,,,,,,,,,,,,,,,,,,,,,,,,,,,,,,,,,,,,,,,,,,,,,,,,,,,,,,,,,,,,,,,,,,,,,,,,,,,,,,,,,,,,,,,,,,,,,,,,,,,,,,,,,,,,,,,,,,,,,,,,,,,,,,,,,,,,,,,,,,,,,,,,,,,,,,,,,,,,,,,,,,,,,,,,,,,,,,,,,,,,,,,,,,,,,,,,,,,,,,,,,,,,,,,,,,,,,,,,,,</v>
      </c>
      <c r="U62" s="121">
        <f>IFERROR(__xludf.DUMMYFUNCTION("iferror(AVERAGE(ARRAYFORMULA(VLOOKUP(SPLIT(T62,"","",TRUE,TRUE),$R$2:$S1000,2,FALSE))),0)"),0.0)</f>
        <v>0</v>
      </c>
      <c r="V62" s="123">
        <f>IFERROR(__xludf.DUMMYFUNCTION("RANK($I62, $I$2:$I1000, FALSE) + RANK($M62, Filter($M$2:$M1000, $I$2:$I1000=$I62),FALSE)+RANK($U62, Filter($U$2:$U1000, $I$2:$I1000=$I62,$M$2:$M1000=$M62),FALSE)-2"),1.0)</f>
        <v>1</v>
      </c>
      <c r="W62" s="124" t="str">
        <f t="shared" si="9"/>
        <v>Underplay</v>
      </c>
      <c r="X62" s="125" t="str">
        <f t="shared" si="10"/>
        <v/>
      </c>
      <c r="Y62" s="126">
        <f>MAXIFS(Matches!$A:$A,Matches!$C:$C,$B62)</f>
        <v>0</v>
      </c>
      <c r="Z62" s="126">
        <f t="array" ref="Z62">XLOOKUP(Y62,Quotas!$B$7:$B$10,Quotas!$A$7:$A$10,0,-1)</f>
        <v>0</v>
      </c>
      <c r="AB62" s="31"/>
      <c r="AC62" s="31">
        <f>COUNTIFS(Matches!$A:$A,"&gt;"&amp;Y62,Matches!$B:$B,$B62)</f>
        <v>0</v>
      </c>
      <c r="AD62" s="31"/>
      <c r="AE62" s="127">
        <f>SUMIF('Pool Changes'!B:B, B62, 'Pool Changes'!H:H)</f>
        <v>0</v>
      </c>
    </row>
    <row r="63">
      <c r="A63" s="104">
        <f t="shared" si="1"/>
        <v>1</v>
      </c>
      <c r="C63" s="128"/>
      <c r="D63" s="74"/>
      <c r="E63" s="1"/>
      <c r="F63" s="1"/>
      <c r="G63" s="1"/>
      <c r="H63" s="118">
        <f>COUNTIF(Entropy!$D:$D,$B63)+COUNTIF(Matches!$B:$B,$B63)+COUNTIF(Matches!$C:$C,$B63)</f>
        <v>0</v>
      </c>
      <c r="I63" s="119">
        <f>COUNTIF(Matches!$B:$B,B63)</f>
        <v>0</v>
      </c>
      <c r="J63" s="31">
        <f t="shared" si="2"/>
        <v>0</v>
      </c>
      <c r="K63" s="1" t="str">
        <f t="shared" si="3"/>
        <v>0 - 0</v>
      </c>
      <c r="L63" s="120">
        <f>COUNTIF(Entropy!$D:$D,$B63)</f>
        <v>0</v>
      </c>
      <c r="M63" s="121">
        <f t="shared" si="4"/>
        <v>0</v>
      </c>
      <c r="N63" s="121">
        <f t="shared" si="5"/>
        <v>0</v>
      </c>
      <c r="O63" s="118">
        <f>IF($J63=11,0,IF(AND($H63 &gt;=VLOOKUP('Combined Standings'!$C$2,Quotas!$A$7:$E$14,4,FALSE), $H63&lt;=VLOOKUP('Combined Standings'!$C$2,Quotas!$A$7:$E$14,5,FALSE)), 0,VLOOKUP('Combined Standings'!$C$2,Quotas!$A$7:$E$11,4,FALSE)-$H63))</f>
        <v>13</v>
      </c>
      <c r="P63" s="118">
        <f>IF($J63=11,0,IF(AND($H63 &gt;=VLOOKUP('Combined Standings'!$C$2,Quotas!$A$7:$E$14,5,FALSE), $H63&lt;=VLOOKUP('Combined Standings'!$C$2,Quotas!$A$7:$E$14,5,FALSE)), 0,VLOOKUP('Combined Standings'!$C$2,Quotas!$A$7:$E$11,5,FALSE)-$H63))</f>
        <v>15</v>
      </c>
      <c r="Q63" s="31">
        <f t="shared" si="6"/>
        <v>11</v>
      </c>
      <c r="R63" s="122" t="str">
        <f t="shared" si="7"/>
        <v/>
      </c>
      <c r="S63" s="121">
        <f t="shared" si="8"/>
        <v>0.33</v>
      </c>
      <c r="T63" s="122" t="str">
        <f>IFERROR(__xludf.DUMMYFUNCTION("JOIN("","",IFERROR(FILTER(Matches!$B:$B,B63=Matches!$C:$C),""""),IFERROR(FILTER(Matches!$C:$C,B63=Matches!$B:$B),""""))"),",,,,,,,,,,,,,,,,,,,,,,,,,,,,,,,,,,,,,,,,,,,,,,,,,,,,,,,,,,,,,,,,,,,,,,,,,,,,,,,,,,,,,,,,,,,,,,,,,,,,,,,,,,,,,,,,,,,,,,,,,,,,,,,,,,,,,,,,,,,,,,,,,,,,,,,,,,,,,,,,,,,,,,,,,,,,,,,,,,,,,,,,,,,,,,,,,,,,,,,,,,,,,,,,,,,,,,,,,,,,,,,,,,,,,,,,,,,,,,,,,,,,,,,,,,,,,,,")</f>
        <v>,,,,,,,,,,,,,,,,,,,,,,,,,,,,,,,,,,,,,,,,,,,,,,,,,,,,,,,,,,,,,,,,,,,,,,,,,,,,,,,,,,,,,,,,,,,,,,,,,,,,,,,,,,,,,,,,,,,,,,,,,,,,,,,,,,,,,,,,,,,,,,,,,,,,,,,,,,,,,,,,,,,,,,,,,,,,,,,,,,,,,,,,,,,,,,,,,,,,,,,,,,,,,,,,,,,,,,,,,,,,,,,,,,,,,,,,,,,,,,,,,,,,,,,,,,,,,,,</v>
      </c>
      <c r="U63" s="121">
        <f>IFERROR(__xludf.DUMMYFUNCTION("iferror(AVERAGE(ARRAYFORMULA(VLOOKUP(SPLIT(T63,"","",TRUE,TRUE),$R$2:$S1000,2,FALSE))),0)"),0.0)</f>
        <v>0</v>
      </c>
      <c r="V63" s="123">
        <f>IFERROR(__xludf.DUMMYFUNCTION("RANK($I63, $I$2:$I1000, FALSE) + RANK($M63, Filter($M$2:$M1000, $I$2:$I1000=$I63),FALSE)+RANK($U63, Filter($U$2:$U1000, $I$2:$I1000=$I63,$M$2:$M1000=$M63),FALSE)-2"),1.0)</f>
        <v>1</v>
      </c>
      <c r="W63" s="124" t="str">
        <f t="shared" si="9"/>
        <v>Underplay</v>
      </c>
      <c r="X63" s="125" t="str">
        <f t="shared" si="10"/>
        <v/>
      </c>
      <c r="Y63" s="126">
        <f>MAXIFS(Matches!$A:$A,Matches!$C:$C,$B63)</f>
        <v>0</v>
      </c>
      <c r="Z63" s="126">
        <f t="array" ref="Z63">XLOOKUP(Y63,Quotas!$B$7:$B$10,Quotas!$A$7:$A$10,0,-1)</f>
        <v>0</v>
      </c>
      <c r="AB63" s="31"/>
      <c r="AC63" s="31">
        <f>COUNTIFS(Matches!$A:$A,"&gt;"&amp;Y63,Matches!$B:$B,$B63)</f>
        <v>0</v>
      </c>
      <c r="AD63" s="31"/>
      <c r="AE63" s="127">
        <f>SUMIF('Pool Changes'!B:B, B63, 'Pool Changes'!H:H)</f>
        <v>0</v>
      </c>
    </row>
    <row r="64">
      <c r="A64" s="104">
        <f t="shared" si="1"/>
        <v>1</v>
      </c>
      <c r="C64" s="128"/>
      <c r="D64" s="74"/>
      <c r="E64" s="1"/>
      <c r="F64" s="1"/>
      <c r="G64" s="1"/>
      <c r="H64" s="118">
        <f>COUNTIF(Entropy!$D:$D,$B64)+COUNTIF(Matches!$B:$B,$B64)+COUNTIF(Matches!$C:$C,$B64)</f>
        <v>0</v>
      </c>
      <c r="I64" s="119">
        <f>COUNTIF(Matches!$B:$B,B64)</f>
        <v>0</v>
      </c>
      <c r="J64" s="31">
        <f t="shared" si="2"/>
        <v>0</v>
      </c>
      <c r="K64" s="1" t="str">
        <f t="shared" si="3"/>
        <v>0 - 0</v>
      </c>
      <c r="L64" s="120">
        <f>COUNTIF(Entropy!$D:$D,$B64)</f>
        <v>0</v>
      </c>
      <c r="M64" s="121">
        <f t="shared" si="4"/>
        <v>0</v>
      </c>
      <c r="N64" s="121">
        <f t="shared" si="5"/>
        <v>0</v>
      </c>
      <c r="O64" s="118">
        <f>IF($J64=11,0,IF(AND($H64 &gt;=VLOOKUP('Combined Standings'!$C$2,Quotas!$A$7:$E$14,4,FALSE), $H64&lt;=VLOOKUP('Combined Standings'!$C$2,Quotas!$A$7:$E$14,5,FALSE)), 0,VLOOKUP('Combined Standings'!$C$2,Quotas!$A$7:$E$11,4,FALSE)-$H64))</f>
        <v>13</v>
      </c>
      <c r="P64" s="118">
        <f>IF($J64=11,0,IF(AND($H64 &gt;=VLOOKUP('Combined Standings'!$C$2,Quotas!$A$7:$E$14,5,FALSE), $H64&lt;=VLOOKUP('Combined Standings'!$C$2,Quotas!$A$7:$E$14,5,FALSE)), 0,VLOOKUP('Combined Standings'!$C$2,Quotas!$A$7:$E$11,5,FALSE)-$H64))</f>
        <v>15</v>
      </c>
      <c r="Q64" s="31">
        <f t="shared" si="6"/>
        <v>11</v>
      </c>
      <c r="R64" s="122" t="str">
        <f t="shared" si="7"/>
        <v/>
      </c>
      <c r="S64" s="121">
        <f t="shared" si="8"/>
        <v>0.33</v>
      </c>
      <c r="T64" s="122" t="str">
        <f>IFERROR(__xludf.DUMMYFUNCTION("JOIN("","",IFERROR(FILTER(Matches!$B:$B,B64=Matches!$C:$C),""""),IFERROR(FILTER(Matches!$C:$C,B64=Matches!$B:$B),""""))"),",,,,,,,,,,,,,,,,,,,,,,,,,,,,,,,,,,,,,,,,,,,,,,,,,,,,,,,,,,,,,,,,,,,,,,,,,,,,,,,,,,,,,,,,,,,,,,,,,,,,,,,,,,,,,,,,,,,,,,,,,,,,,,,,,,,,,,,,,,,,,,,,,,,,,,,,,,,,,,,,,,,,,,,,,,,,,,,,,,,,,,,,,,,,,,,,,,,,,,,,,,,,,,,,,,,,,,,,,,,,,,,,,,,,,,,,,,,,,,,,,,,,,,,,,,,,,,,")</f>
        <v>,,,,,,,,,,,,,,,,,,,,,,,,,,,,,,,,,,,,,,,,,,,,,,,,,,,,,,,,,,,,,,,,,,,,,,,,,,,,,,,,,,,,,,,,,,,,,,,,,,,,,,,,,,,,,,,,,,,,,,,,,,,,,,,,,,,,,,,,,,,,,,,,,,,,,,,,,,,,,,,,,,,,,,,,,,,,,,,,,,,,,,,,,,,,,,,,,,,,,,,,,,,,,,,,,,,,,,,,,,,,,,,,,,,,,,,,,,,,,,,,,,,,,,,,,,,,,,,</v>
      </c>
      <c r="U64" s="121">
        <f>IFERROR(__xludf.DUMMYFUNCTION("iferror(AVERAGE(ARRAYFORMULA(VLOOKUP(SPLIT(T64,"","",TRUE,TRUE),$R$2:$S1000,2,FALSE))),0)"),0.0)</f>
        <v>0</v>
      </c>
      <c r="V64" s="123">
        <f>IFERROR(__xludf.DUMMYFUNCTION("RANK($I64, $I$2:$I1000, FALSE) + RANK($M64, Filter($M$2:$M1000, $I$2:$I1000=$I64),FALSE)+RANK($U64, Filter($U$2:$U1000, $I$2:$I1000=$I64,$M$2:$M1000=$M64),FALSE)-2"),1.0)</f>
        <v>1</v>
      </c>
      <c r="W64" s="124" t="str">
        <f t="shared" si="9"/>
        <v>Underplay</v>
      </c>
      <c r="X64" s="125" t="str">
        <f t="shared" si="10"/>
        <v/>
      </c>
      <c r="Y64" s="126">
        <f>MAXIFS(Matches!$A:$A,Matches!$C:$C,$B64)</f>
        <v>0</v>
      </c>
      <c r="Z64" s="126">
        <f t="array" ref="Z64">XLOOKUP(Y64,Quotas!$B$7:$B$10,Quotas!$A$7:$A$10,0,-1)</f>
        <v>0</v>
      </c>
      <c r="AB64" s="31"/>
      <c r="AC64" s="31">
        <f>COUNTIFS(Matches!$A:$A,"&gt;"&amp;Y64,Matches!$B:$B,$B64)</f>
        <v>0</v>
      </c>
      <c r="AD64" s="31"/>
      <c r="AE64" s="127">
        <f>SUMIF('Pool Changes'!B:B, B64, 'Pool Changes'!H:H)</f>
        <v>0</v>
      </c>
    </row>
    <row r="65">
      <c r="A65" s="104">
        <f t="shared" si="1"/>
        <v>1</v>
      </c>
      <c r="C65" s="128"/>
      <c r="D65" s="74"/>
      <c r="E65" s="1"/>
      <c r="F65" s="1"/>
      <c r="G65" s="1"/>
      <c r="H65" s="118">
        <f>COUNTIF(Entropy!$D:$D,$B65)+COUNTIF(Matches!$B:$B,$B65)+COUNTIF(Matches!$C:$C,$B65)</f>
        <v>0</v>
      </c>
      <c r="I65" s="119">
        <f>COUNTIF(Matches!$B:$B,B65)</f>
        <v>0</v>
      </c>
      <c r="J65" s="31">
        <f t="shared" si="2"/>
        <v>0</v>
      </c>
      <c r="K65" s="1" t="str">
        <f t="shared" si="3"/>
        <v>0 - 0</v>
      </c>
      <c r="L65" s="120">
        <f>COUNTIF(Entropy!$D:$D,$B65)</f>
        <v>0</v>
      </c>
      <c r="M65" s="121">
        <f t="shared" si="4"/>
        <v>0</v>
      </c>
      <c r="N65" s="121">
        <f t="shared" si="5"/>
        <v>0</v>
      </c>
      <c r="O65" s="118">
        <f>IF($J65=11,0,IF(AND($H65 &gt;=VLOOKUP('Combined Standings'!$C$2,Quotas!$A$7:$E$14,4,FALSE), $H65&lt;=VLOOKUP('Combined Standings'!$C$2,Quotas!$A$7:$E$14,5,FALSE)), 0,VLOOKUP('Combined Standings'!$C$2,Quotas!$A$7:$E$11,4,FALSE)-$H65))</f>
        <v>13</v>
      </c>
      <c r="P65" s="118">
        <f>IF($J65=11,0,IF(AND($H65 &gt;=VLOOKUP('Combined Standings'!$C$2,Quotas!$A$7:$E$14,5,FALSE), $H65&lt;=VLOOKUP('Combined Standings'!$C$2,Quotas!$A$7:$E$14,5,FALSE)), 0,VLOOKUP('Combined Standings'!$C$2,Quotas!$A$7:$E$11,5,FALSE)-$H65))</f>
        <v>15</v>
      </c>
      <c r="Q65" s="31">
        <f t="shared" si="6"/>
        <v>11</v>
      </c>
      <c r="R65" s="122" t="str">
        <f t="shared" si="7"/>
        <v/>
      </c>
      <c r="S65" s="121">
        <f t="shared" si="8"/>
        <v>0.33</v>
      </c>
      <c r="T65" s="122" t="str">
        <f>IFERROR(__xludf.DUMMYFUNCTION("JOIN("","",IFERROR(FILTER(Matches!$B:$B,B65=Matches!$C:$C),""""),IFERROR(FILTER(Matches!$C:$C,B65=Matches!$B:$B),""""))"),",,,,,,,,,,,,,,,,,,,,,,,,,,,,,,,,,,,,,,,,,,,,,,,,,,,,,,,,,,,,,,,,,,,,,,,,,,,,,,,,,,,,,,,,,,,,,,,,,,,,,,,,,,,,,,,,,,,,,,,,,,,,,,,,,,,,,,,,,,,,,,,,,,,,,,,,,,,,,,,,,,,,,,,,,,,,,,,,,,,,,,,,,,,,,,,,,,,,,,,,,,,,,,,,,,,,,,,,,,,,,,,,,,,,,,,,,,,,,,,,,,,,,,,,,,,,,,,")</f>
        <v>,,,,,,,,,,,,,,,,,,,,,,,,,,,,,,,,,,,,,,,,,,,,,,,,,,,,,,,,,,,,,,,,,,,,,,,,,,,,,,,,,,,,,,,,,,,,,,,,,,,,,,,,,,,,,,,,,,,,,,,,,,,,,,,,,,,,,,,,,,,,,,,,,,,,,,,,,,,,,,,,,,,,,,,,,,,,,,,,,,,,,,,,,,,,,,,,,,,,,,,,,,,,,,,,,,,,,,,,,,,,,,,,,,,,,,,,,,,,,,,,,,,,,,,,,,,,,,,</v>
      </c>
      <c r="U65" s="121">
        <f>IFERROR(__xludf.DUMMYFUNCTION("iferror(AVERAGE(ARRAYFORMULA(VLOOKUP(SPLIT(T65,"","",TRUE,TRUE),$R$2:$S1000,2,FALSE))),0)"),0.0)</f>
        <v>0</v>
      </c>
      <c r="V65" s="123">
        <f>IFERROR(__xludf.DUMMYFUNCTION("RANK($I65, $I$2:$I1000, FALSE) + RANK($M65, Filter($M$2:$M1000, $I$2:$I1000=$I65),FALSE)+RANK($U65, Filter($U$2:$U1000, $I$2:$I1000=$I65,$M$2:$M1000=$M65),FALSE)-2"),1.0)</f>
        <v>1</v>
      </c>
      <c r="W65" s="124" t="str">
        <f t="shared" si="9"/>
        <v>Underplay</v>
      </c>
      <c r="X65" s="125" t="str">
        <f t="shared" si="10"/>
        <v/>
      </c>
      <c r="Y65" s="126">
        <f>MAXIFS(Matches!$A:$A,Matches!$C:$C,$B65)</f>
        <v>0</v>
      </c>
      <c r="Z65" s="126">
        <f t="array" ref="Z65">XLOOKUP(Y65,Quotas!$B$7:$B$10,Quotas!$A$7:$A$10,0,-1)</f>
        <v>0</v>
      </c>
      <c r="AB65" s="31"/>
      <c r="AC65" s="31">
        <f>COUNTIFS(Matches!$A:$A,"&gt;"&amp;Y65,Matches!$B:$B,$B65)</f>
        <v>0</v>
      </c>
      <c r="AD65" s="31"/>
      <c r="AE65" s="127">
        <f>SUMIF('Pool Changes'!B:B, B65, 'Pool Changes'!H:H)</f>
        <v>0</v>
      </c>
    </row>
    <row r="66">
      <c r="A66" s="104">
        <f t="shared" si="1"/>
        <v>1</v>
      </c>
      <c r="C66" s="128"/>
      <c r="D66" s="74"/>
      <c r="E66" s="1"/>
      <c r="F66" s="1"/>
      <c r="G66" s="1"/>
      <c r="H66" s="118">
        <f>COUNTIF(Entropy!$D:$D,$B66)+COUNTIF(Matches!$B:$B,$B66)+COUNTIF(Matches!$C:$C,$B66)</f>
        <v>0</v>
      </c>
      <c r="I66" s="119">
        <f>COUNTIF(Matches!$B:$B,B66)</f>
        <v>0</v>
      </c>
      <c r="J66" s="31">
        <f t="shared" si="2"/>
        <v>0</v>
      </c>
      <c r="K66" s="1" t="str">
        <f t="shared" si="3"/>
        <v>0 - 0</v>
      </c>
      <c r="L66" s="120">
        <f>COUNTIF(Entropy!$D:$D,$B66)</f>
        <v>0</v>
      </c>
      <c r="M66" s="121">
        <f t="shared" si="4"/>
        <v>0</v>
      </c>
      <c r="N66" s="121">
        <f t="shared" si="5"/>
        <v>0</v>
      </c>
      <c r="O66" s="118">
        <f>IF($J66=11,0,IF(AND($H66 &gt;=VLOOKUP('Combined Standings'!$C$2,Quotas!$A$7:$E$14,4,FALSE), $H66&lt;=VLOOKUP('Combined Standings'!$C$2,Quotas!$A$7:$E$14,5,FALSE)), 0,VLOOKUP('Combined Standings'!$C$2,Quotas!$A$7:$E$11,4,FALSE)-$H66))</f>
        <v>13</v>
      </c>
      <c r="P66" s="118">
        <f>IF($J66=11,0,IF(AND($H66 &gt;=VLOOKUP('Combined Standings'!$C$2,Quotas!$A$7:$E$14,5,FALSE), $H66&lt;=VLOOKUP('Combined Standings'!$C$2,Quotas!$A$7:$E$14,5,FALSE)), 0,VLOOKUP('Combined Standings'!$C$2,Quotas!$A$7:$E$11,5,FALSE)-$H66))</f>
        <v>15</v>
      </c>
      <c r="Q66" s="31">
        <f t="shared" si="6"/>
        <v>11</v>
      </c>
      <c r="R66" s="122" t="str">
        <f t="shared" si="7"/>
        <v/>
      </c>
      <c r="S66" s="121">
        <f t="shared" si="8"/>
        <v>0.33</v>
      </c>
      <c r="T66" s="122" t="str">
        <f>IFERROR(__xludf.DUMMYFUNCTION("JOIN("","",IFERROR(FILTER(Matches!$B:$B,B66=Matches!$C:$C),""""),IFERROR(FILTER(Matches!$C:$C,B66=Matches!$B:$B),""""))"),",,,,,,,,,,,,,,,,,,,,,,,,,,,,,,,,,,,,,,,,,,,,,,,,,,,,,,,,,,,,,,,,,,,,,,,,,,,,,,,,,,,,,,,,,,,,,,,,,,,,,,,,,,,,,,,,,,,,,,,,,,,,,,,,,,,,,,,,,,,,,,,,,,,,,,,,,,,,,,,,,,,,,,,,,,,,,,,,,,,,,,,,,,,,,,,,,,,,,,,,,,,,,,,,,,,,,,,,,,,,,,,,,,,,,,,,,,,,,,,,,,,,,,,,,,,,,,,")</f>
        <v>,,,,,,,,,,,,,,,,,,,,,,,,,,,,,,,,,,,,,,,,,,,,,,,,,,,,,,,,,,,,,,,,,,,,,,,,,,,,,,,,,,,,,,,,,,,,,,,,,,,,,,,,,,,,,,,,,,,,,,,,,,,,,,,,,,,,,,,,,,,,,,,,,,,,,,,,,,,,,,,,,,,,,,,,,,,,,,,,,,,,,,,,,,,,,,,,,,,,,,,,,,,,,,,,,,,,,,,,,,,,,,,,,,,,,,,,,,,,,,,,,,,,,,,,,,,,,,,</v>
      </c>
      <c r="U66" s="121">
        <f>IFERROR(__xludf.DUMMYFUNCTION("iferror(AVERAGE(ARRAYFORMULA(VLOOKUP(SPLIT(T66,"","",TRUE,TRUE),$R$2:$S1000,2,FALSE))),0)"),0.0)</f>
        <v>0</v>
      </c>
      <c r="V66" s="123">
        <f>IFERROR(__xludf.DUMMYFUNCTION("RANK($I66, $I$2:$I1000, FALSE) + RANK($M66, Filter($M$2:$M1000, $I$2:$I1000=$I66),FALSE)+RANK($U66, Filter($U$2:$U1000, $I$2:$I1000=$I66,$M$2:$M1000=$M66),FALSE)-2"),1.0)</f>
        <v>1</v>
      </c>
      <c r="W66" s="124" t="str">
        <f t="shared" si="9"/>
        <v>Underplay</v>
      </c>
      <c r="X66" s="125" t="str">
        <f t="shared" si="10"/>
        <v/>
      </c>
      <c r="Y66" s="126">
        <f>MAXIFS(Matches!$A:$A,Matches!$C:$C,$B66)</f>
        <v>0</v>
      </c>
      <c r="Z66" s="126">
        <f t="array" ref="Z66">XLOOKUP(Y66,Quotas!$B$7:$B$10,Quotas!$A$7:$A$10,0,-1)</f>
        <v>0</v>
      </c>
      <c r="AB66" s="31"/>
      <c r="AC66" s="31">
        <f>COUNTIFS(Matches!$A:$A,"&gt;"&amp;Y66,Matches!$B:$B,$B66)</f>
        <v>0</v>
      </c>
      <c r="AD66" s="31"/>
      <c r="AE66" s="127">
        <f>SUMIF('Pool Changes'!B:B, B66, 'Pool Changes'!H:H)</f>
        <v>0</v>
      </c>
    </row>
    <row r="67">
      <c r="A67" s="104">
        <f t="shared" si="1"/>
        <v>1</v>
      </c>
      <c r="C67" s="128"/>
      <c r="D67" s="74"/>
      <c r="E67" s="1"/>
      <c r="F67" s="1"/>
      <c r="G67" s="1"/>
      <c r="H67" s="118">
        <f>COUNTIF(Entropy!$D:$D,$B67)+COUNTIF(Matches!$B:$B,$B67)+COUNTIF(Matches!$C:$C,$B67)</f>
        <v>0</v>
      </c>
      <c r="I67" s="119">
        <f>COUNTIF(Matches!$B:$B,B67)</f>
        <v>0</v>
      </c>
      <c r="J67" s="31">
        <f t="shared" si="2"/>
        <v>0</v>
      </c>
      <c r="K67" s="1" t="str">
        <f t="shared" si="3"/>
        <v>0 - 0</v>
      </c>
      <c r="L67" s="120">
        <f>COUNTIF(Entropy!$D:$D,$B67)</f>
        <v>0</v>
      </c>
      <c r="M67" s="121">
        <f t="shared" si="4"/>
        <v>0</v>
      </c>
      <c r="N67" s="121">
        <f t="shared" si="5"/>
        <v>0</v>
      </c>
      <c r="O67" s="118">
        <f>IF($J67=11,0,IF(AND($H67 &gt;=VLOOKUP('Combined Standings'!$C$2,Quotas!$A$7:$E$14,4,FALSE), $H67&lt;=VLOOKUP('Combined Standings'!$C$2,Quotas!$A$7:$E$14,5,FALSE)), 0,VLOOKUP('Combined Standings'!$C$2,Quotas!$A$7:$E$11,4,FALSE)-$H67))</f>
        <v>13</v>
      </c>
      <c r="P67" s="118">
        <f>IF($J67=11,0,IF(AND($H67 &gt;=VLOOKUP('Combined Standings'!$C$2,Quotas!$A$7:$E$14,5,FALSE), $H67&lt;=VLOOKUP('Combined Standings'!$C$2,Quotas!$A$7:$E$14,5,FALSE)), 0,VLOOKUP('Combined Standings'!$C$2,Quotas!$A$7:$E$11,5,FALSE)-$H67))</f>
        <v>15</v>
      </c>
      <c r="Q67" s="31">
        <f t="shared" si="6"/>
        <v>11</v>
      </c>
      <c r="R67" s="122" t="str">
        <f t="shared" si="7"/>
        <v/>
      </c>
      <c r="S67" s="121">
        <f t="shared" si="8"/>
        <v>0.33</v>
      </c>
      <c r="T67" s="122" t="str">
        <f>IFERROR(__xludf.DUMMYFUNCTION("JOIN("","",IFERROR(FILTER(Matches!$B:$B,B67=Matches!$C:$C),""""),IFERROR(FILTER(Matches!$C:$C,B67=Matches!$B:$B),""""))"),",,,,,,,,,,,,,,,,,,,,,,,,,,,,,,,,,,,,,,,,,,,,,,,,,,,,,,,,,,,,,,,,,,,,,,,,,,,,,,,,,,,,,,,,,,,,,,,,,,,,,,,,,,,,,,,,,,,,,,,,,,,,,,,,,,,,,,,,,,,,,,,,,,,,,,,,,,,,,,,,,,,,,,,,,,,,,,,,,,,,,,,,,,,,,,,,,,,,,,,,,,,,,,,,,,,,,,,,,,,,,,,,,,,,,,,,,,,,,,,,,,,,,,,,,,,,,,,")</f>
        <v>,,,,,,,,,,,,,,,,,,,,,,,,,,,,,,,,,,,,,,,,,,,,,,,,,,,,,,,,,,,,,,,,,,,,,,,,,,,,,,,,,,,,,,,,,,,,,,,,,,,,,,,,,,,,,,,,,,,,,,,,,,,,,,,,,,,,,,,,,,,,,,,,,,,,,,,,,,,,,,,,,,,,,,,,,,,,,,,,,,,,,,,,,,,,,,,,,,,,,,,,,,,,,,,,,,,,,,,,,,,,,,,,,,,,,,,,,,,,,,,,,,,,,,,,,,,,,,,</v>
      </c>
      <c r="U67" s="121">
        <f>IFERROR(__xludf.DUMMYFUNCTION("iferror(AVERAGE(ARRAYFORMULA(VLOOKUP(SPLIT(T67,"","",TRUE,TRUE),$R$2:$S1000,2,FALSE))),0)"),0.0)</f>
        <v>0</v>
      </c>
      <c r="V67" s="123">
        <f>IFERROR(__xludf.DUMMYFUNCTION("RANK($I67, $I$2:$I1000, FALSE) + RANK($M67, Filter($M$2:$M1000, $I$2:$I1000=$I67),FALSE)+RANK($U67, Filter($U$2:$U1000, $I$2:$I1000=$I67,$M$2:$M1000=$M67),FALSE)-2"),1.0)</f>
        <v>1</v>
      </c>
      <c r="W67" s="124" t="str">
        <f t="shared" si="9"/>
        <v>Underplay</v>
      </c>
      <c r="X67" s="125" t="str">
        <f t="shared" si="10"/>
        <v/>
      </c>
      <c r="Y67" s="126">
        <f>MAXIFS(Matches!$A:$A,Matches!$C:$C,$B67)</f>
        <v>0</v>
      </c>
      <c r="Z67" s="126">
        <f t="array" ref="Z67">XLOOKUP(Y67,Quotas!$B$7:$B$10,Quotas!$A$7:$A$10,0,-1)</f>
        <v>0</v>
      </c>
      <c r="AB67" s="31"/>
      <c r="AC67" s="31">
        <f>COUNTIFS(Matches!$A:$A,"&gt;"&amp;Y67,Matches!$B:$B,$B67)</f>
        <v>0</v>
      </c>
      <c r="AD67" s="31"/>
      <c r="AE67" s="127">
        <f>SUMIF('Pool Changes'!B:B, B67, 'Pool Changes'!H:H)</f>
        <v>0</v>
      </c>
    </row>
    <row r="68">
      <c r="A68" s="104">
        <f t="shared" si="1"/>
        <v>1</v>
      </c>
      <c r="C68" s="128"/>
      <c r="D68" s="74"/>
      <c r="E68" s="1"/>
      <c r="F68" s="1"/>
      <c r="G68" s="1"/>
      <c r="H68" s="118">
        <f>COUNTIF(Entropy!$D:$D,$B68)+COUNTIF(Matches!$B:$B,$B68)+COUNTIF(Matches!$C:$C,$B68)</f>
        <v>0</v>
      </c>
      <c r="I68" s="119">
        <f>COUNTIF(Matches!$B:$B,B68)</f>
        <v>0</v>
      </c>
      <c r="J68" s="31">
        <f t="shared" si="2"/>
        <v>0</v>
      </c>
      <c r="K68" s="1" t="str">
        <f t="shared" si="3"/>
        <v>0 - 0</v>
      </c>
      <c r="L68" s="120">
        <f>COUNTIF(Entropy!$D:$D,$B68)</f>
        <v>0</v>
      </c>
      <c r="M68" s="121">
        <f t="shared" si="4"/>
        <v>0</v>
      </c>
      <c r="N68" s="121">
        <f t="shared" si="5"/>
        <v>0</v>
      </c>
      <c r="O68" s="118">
        <f>IF($J68=11,0,IF(AND($H68 &gt;=VLOOKUP('Combined Standings'!$C$2,Quotas!$A$7:$E$14,4,FALSE), $H68&lt;=VLOOKUP('Combined Standings'!$C$2,Quotas!$A$7:$E$14,5,FALSE)), 0,VLOOKUP('Combined Standings'!$C$2,Quotas!$A$7:$E$11,4,FALSE)-$H68))</f>
        <v>13</v>
      </c>
      <c r="P68" s="118">
        <f>IF($J68=11,0,IF(AND($H68 &gt;=VLOOKUP('Combined Standings'!$C$2,Quotas!$A$7:$E$14,5,FALSE), $H68&lt;=VLOOKUP('Combined Standings'!$C$2,Quotas!$A$7:$E$14,5,FALSE)), 0,VLOOKUP('Combined Standings'!$C$2,Quotas!$A$7:$E$11,5,FALSE)-$H68))</f>
        <v>15</v>
      </c>
      <c r="Q68" s="31">
        <f t="shared" si="6"/>
        <v>11</v>
      </c>
      <c r="R68" s="122" t="str">
        <f t="shared" si="7"/>
        <v/>
      </c>
      <c r="S68" s="121">
        <f t="shared" si="8"/>
        <v>0.33</v>
      </c>
      <c r="T68" s="122" t="str">
        <f>IFERROR(__xludf.DUMMYFUNCTION("JOIN("","",IFERROR(FILTER(Matches!$B:$B,B68=Matches!$C:$C),""""),IFERROR(FILTER(Matches!$C:$C,B68=Matches!$B:$B),""""))"),",,,,,,,,,,,,,,,,,,,,,,,,,,,,,,,,,,,,,,,,,,,,,,,,,,,,,,,,,,,,,,,,,,,,,,,,,,,,,,,,,,,,,,,,,,,,,,,,,,,,,,,,,,,,,,,,,,,,,,,,,,,,,,,,,,,,,,,,,,,,,,,,,,,,,,,,,,,,,,,,,,,,,,,,,,,,,,,,,,,,,,,,,,,,,,,,,,,,,,,,,,,,,,,,,,,,,,,,,,,,,,,,,,,,,,,,,,,,,,,,,,,,,,,,,,,,,,,")</f>
        <v>,,,,,,,,,,,,,,,,,,,,,,,,,,,,,,,,,,,,,,,,,,,,,,,,,,,,,,,,,,,,,,,,,,,,,,,,,,,,,,,,,,,,,,,,,,,,,,,,,,,,,,,,,,,,,,,,,,,,,,,,,,,,,,,,,,,,,,,,,,,,,,,,,,,,,,,,,,,,,,,,,,,,,,,,,,,,,,,,,,,,,,,,,,,,,,,,,,,,,,,,,,,,,,,,,,,,,,,,,,,,,,,,,,,,,,,,,,,,,,,,,,,,,,,,,,,,,,,</v>
      </c>
      <c r="U68" s="121">
        <f>IFERROR(__xludf.DUMMYFUNCTION("iferror(AVERAGE(ARRAYFORMULA(VLOOKUP(SPLIT(T68,"","",TRUE,TRUE),$R$2:$S1000,2,FALSE))),0)"),0.0)</f>
        <v>0</v>
      </c>
      <c r="V68" s="123">
        <f>IFERROR(__xludf.DUMMYFUNCTION("RANK($I68, $I$2:$I1000, FALSE) + RANK($M68, Filter($M$2:$M1000, $I$2:$I1000=$I68),FALSE)+RANK($U68, Filter($U$2:$U1000, $I$2:$I1000=$I68,$M$2:$M1000=$M68),FALSE)-2"),1.0)</f>
        <v>1</v>
      </c>
      <c r="W68" s="124" t="str">
        <f t="shared" si="9"/>
        <v>Underplay</v>
      </c>
      <c r="X68" s="125" t="str">
        <f t="shared" si="10"/>
        <v/>
      </c>
      <c r="Y68" s="126">
        <f>MAXIFS(Matches!$A:$A,Matches!$C:$C,$B68)</f>
        <v>0</v>
      </c>
      <c r="Z68" s="126">
        <f t="array" ref="Z68">XLOOKUP(Y68,Quotas!$B$7:$B$10,Quotas!$A$7:$A$10,0,-1)</f>
        <v>0</v>
      </c>
      <c r="AB68" s="31"/>
      <c r="AC68" s="31">
        <f>COUNTIFS(Matches!$A:$A,"&gt;"&amp;Y68,Matches!$B:$B,$B68)</f>
        <v>0</v>
      </c>
      <c r="AD68" s="31"/>
      <c r="AE68" s="127">
        <f>SUMIF('Pool Changes'!B:B, B68, 'Pool Changes'!H:H)</f>
        <v>0</v>
      </c>
    </row>
    <row r="69">
      <c r="A69" s="104">
        <f t="shared" si="1"/>
        <v>1</v>
      </c>
      <c r="C69" s="128"/>
      <c r="D69" s="74"/>
      <c r="E69" s="1"/>
      <c r="F69" s="1"/>
      <c r="G69" s="1"/>
      <c r="H69" s="118">
        <f>COUNTIF(Entropy!$D:$D,$B69)+COUNTIF(Matches!$B:$B,$B69)+COUNTIF(Matches!$C:$C,$B69)</f>
        <v>0</v>
      </c>
      <c r="I69" s="119">
        <f>COUNTIF(Matches!$B:$B,B69)</f>
        <v>0</v>
      </c>
      <c r="J69" s="31">
        <f t="shared" si="2"/>
        <v>0</v>
      </c>
      <c r="K69" s="1" t="str">
        <f t="shared" si="3"/>
        <v>0 - 0</v>
      </c>
      <c r="L69" s="120">
        <f>COUNTIF(Entropy!$D:$D,$B69)</f>
        <v>0</v>
      </c>
      <c r="M69" s="121">
        <f t="shared" si="4"/>
        <v>0</v>
      </c>
      <c r="N69" s="121">
        <f t="shared" si="5"/>
        <v>0</v>
      </c>
      <c r="O69" s="118">
        <f>IF($J69=11,0,IF(AND($H69 &gt;=VLOOKUP('Combined Standings'!$C$2,Quotas!$A$7:$E$14,4,FALSE), $H69&lt;=VLOOKUP('Combined Standings'!$C$2,Quotas!$A$7:$E$14,5,FALSE)), 0,VLOOKUP('Combined Standings'!$C$2,Quotas!$A$7:$E$11,4,FALSE)-$H69))</f>
        <v>13</v>
      </c>
      <c r="P69" s="118">
        <f>IF($J69=11,0,IF(AND($H69 &gt;=VLOOKUP('Combined Standings'!$C$2,Quotas!$A$7:$E$14,5,FALSE), $H69&lt;=VLOOKUP('Combined Standings'!$C$2,Quotas!$A$7:$E$14,5,FALSE)), 0,VLOOKUP('Combined Standings'!$C$2,Quotas!$A$7:$E$11,5,FALSE)-$H69))</f>
        <v>15</v>
      </c>
      <c r="Q69" s="31">
        <f t="shared" si="6"/>
        <v>11</v>
      </c>
      <c r="R69" s="122" t="str">
        <f t="shared" si="7"/>
        <v/>
      </c>
      <c r="S69" s="121">
        <f t="shared" si="8"/>
        <v>0.33</v>
      </c>
      <c r="T69" s="122" t="str">
        <f>IFERROR(__xludf.DUMMYFUNCTION("JOIN("","",IFERROR(FILTER(Matches!$B:$B,B69=Matches!$C:$C),""""),IFERROR(FILTER(Matches!$C:$C,B69=Matches!$B:$B),""""))"),",,,,,,,,,,,,,,,,,,,,,,,,,,,,,,,,,,,,,,,,,,,,,,,,,,,,,,,,,,,,,,,,,,,,,,,,,,,,,,,,,,,,,,,,,,,,,,,,,,,,,,,,,,,,,,,,,,,,,,,,,,,,,,,,,,,,,,,,,,,,,,,,,,,,,,,,,,,,,,,,,,,,,,,,,,,,,,,,,,,,,,,,,,,,,,,,,,,,,,,,,,,,,,,,,,,,,,,,,,,,,,,,,,,,,,,,,,,,,,,,,,,,,,,,,,,,,,,")</f>
        <v>,,,,,,,,,,,,,,,,,,,,,,,,,,,,,,,,,,,,,,,,,,,,,,,,,,,,,,,,,,,,,,,,,,,,,,,,,,,,,,,,,,,,,,,,,,,,,,,,,,,,,,,,,,,,,,,,,,,,,,,,,,,,,,,,,,,,,,,,,,,,,,,,,,,,,,,,,,,,,,,,,,,,,,,,,,,,,,,,,,,,,,,,,,,,,,,,,,,,,,,,,,,,,,,,,,,,,,,,,,,,,,,,,,,,,,,,,,,,,,,,,,,,,,,,,,,,,,,</v>
      </c>
      <c r="U69" s="121">
        <f>IFERROR(__xludf.DUMMYFUNCTION("iferror(AVERAGE(ARRAYFORMULA(VLOOKUP(SPLIT(T69,"","",TRUE,TRUE),$R$2:$S1000,2,FALSE))),0)"),0.0)</f>
        <v>0</v>
      </c>
      <c r="V69" s="123">
        <f>IFERROR(__xludf.DUMMYFUNCTION("RANK($I69, $I$2:$I1000, FALSE) + RANK($M69, Filter($M$2:$M1000, $I$2:$I1000=$I69),FALSE)+RANK($U69, Filter($U$2:$U1000, $I$2:$I1000=$I69,$M$2:$M1000=$M69),FALSE)-2"),1.0)</f>
        <v>1</v>
      </c>
      <c r="W69" s="124" t="str">
        <f t="shared" si="9"/>
        <v>Underplay</v>
      </c>
      <c r="X69" s="125" t="str">
        <f t="shared" si="10"/>
        <v/>
      </c>
      <c r="Y69" s="126">
        <f>MAXIFS(Matches!$A:$A,Matches!$C:$C,$B69)</f>
        <v>0</v>
      </c>
      <c r="Z69" s="126">
        <f t="array" ref="Z69">XLOOKUP(Y69,Quotas!$B$7:$B$10,Quotas!$A$7:$A$10,0,-1)</f>
        <v>0</v>
      </c>
      <c r="AB69" s="31"/>
      <c r="AC69" s="31">
        <f>COUNTIFS(Matches!$A:$A,"&gt;"&amp;Y69,Matches!$B:$B,$B69)</f>
        <v>0</v>
      </c>
      <c r="AD69" s="31"/>
      <c r="AE69" s="127">
        <f>SUMIF('Pool Changes'!B:B, B69, 'Pool Changes'!H:H)</f>
        <v>0</v>
      </c>
    </row>
    <row r="70">
      <c r="A70" s="104">
        <f t="shared" si="1"/>
        <v>1</v>
      </c>
      <c r="C70" s="128"/>
      <c r="D70" s="74"/>
      <c r="E70" s="1"/>
      <c r="F70" s="1"/>
      <c r="G70" s="1"/>
      <c r="H70" s="118">
        <f>COUNTIF(Entropy!$D:$D,$B70)+COUNTIF(Matches!$B:$B,$B70)+COUNTIF(Matches!$C:$C,$B70)</f>
        <v>0</v>
      </c>
      <c r="I70" s="119">
        <f>COUNTIF(Matches!$B:$B,B70)</f>
        <v>0</v>
      </c>
      <c r="J70" s="31">
        <f t="shared" si="2"/>
        <v>0</v>
      </c>
      <c r="K70" s="1" t="str">
        <f t="shared" si="3"/>
        <v>0 - 0</v>
      </c>
      <c r="L70" s="120">
        <f>COUNTIF(Entropy!$D:$D,$B70)</f>
        <v>0</v>
      </c>
      <c r="M70" s="121">
        <f t="shared" si="4"/>
        <v>0</v>
      </c>
      <c r="N70" s="121">
        <f t="shared" si="5"/>
        <v>0</v>
      </c>
      <c r="O70" s="118">
        <f>IF($J70=11,0,IF(AND($H70 &gt;=VLOOKUP('Combined Standings'!$C$2,Quotas!$A$7:$E$14,4,FALSE), $H70&lt;=VLOOKUP('Combined Standings'!$C$2,Quotas!$A$7:$E$14,5,FALSE)), 0,VLOOKUP('Combined Standings'!$C$2,Quotas!$A$7:$E$11,4,FALSE)-$H70))</f>
        <v>13</v>
      </c>
      <c r="P70" s="118">
        <f>IF($J70=11,0,IF(AND($H70 &gt;=VLOOKUP('Combined Standings'!$C$2,Quotas!$A$7:$E$14,5,FALSE), $H70&lt;=VLOOKUP('Combined Standings'!$C$2,Quotas!$A$7:$E$14,5,FALSE)), 0,VLOOKUP('Combined Standings'!$C$2,Quotas!$A$7:$E$11,5,FALSE)-$H70))</f>
        <v>15</v>
      </c>
      <c r="Q70" s="31">
        <f t="shared" si="6"/>
        <v>11</v>
      </c>
      <c r="R70" s="122" t="str">
        <f t="shared" si="7"/>
        <v/>
      </c>
      <c r="S70" s="121">
        <f t="shared" si="8"/>
        <v>0.33</v>
      </c>
      <c r="T70" s="122" t="str">
        <f>IFERROR(__xludf.DUMMYFUNCTION("JOIN("","",IFERROR(FILTER(Matches!$B:$B,B70=Matches!$C:$C),""""),IFERROR(FILTER(Matches!$C:$C,B70=Matches!$B:$B),""""))"),",,,,,,,,,,,,,,,,,,,,,,,,,,,,,,,,,,,,,,,,,,,,,,,,,,,,,,,,,,,,,,,,,,,,,,,,,,,,,,,,,,,,,,,,,,,,,,,,,,,,,,,,,,,,,,,,,,,,,,,,,,,,,,,,,,,,,,,,,,,,,,,,,,,,,,,,,,,,,,,,,,,,,,,,,,,,,,,,,,,,,,,,,,,,,,,,,,,,,,,,,,,,,,,,,,,,,,,,,,,,,,,,,,,,,,,,,,,,,,,,,,,,,,,,,,,,,,,")</f>
        <v>,,,,,,,,,,,,,,,,,,,,,,,,,,,,,,,,,,,,,,,,,,,,,,,,,,,,,,,,,,,,,,,,,,,,,,,,,,,,,,,,,,,,,,,,,,,,,,,,,,,,,,,,,,,,,,,,,,,,,,,,,,,,,,,,,,,,,,,,,,,,,,,,,,,,,,,,,,,,,,,,,,,,,,,,,,,,,,,,,,,,,,,,,,,,,,,,,,,,,,,,,,,,,,,,,,,,,,,,,,,,,,,,,,,,,,,,,,,,,,,,,,,,,,,,,,,,,,,</v>
      </c>
      <c r="U70" s="121">
        <f>IFERROR(__xludf.DUMMYFUNCTION("iferror(AVERAGE(ARRAYFORMULA(VLOOKUP(SPLIT(T70,"","",TRUE,TRUE),$R$2:$S1000,2,FALSE))),0)"),0.0)</f>
        <v>0</v>
      </c>
      <c r="V70" s="123">
        <f>IFERROR(__xludf.DUMMYFUNCTION("RANK($I70, $I$2:$I1000, FALSE) + RANK($M70, Filter($M$2:$M1000, $I$2:$I1000=$I70),FALSE)+RANK($U70, Filter($U$2:$U1000, $I$2:$I1000=$I70,$M$2:$M1000=$M70),FALSE)-2"),1.0)</f>
        <v>1</v>
      </c>
      <c r="W70" s="124" t="str">
        <f t="shared" si="9"/>
        <v>Underplay</v>
      </c>
      <c r="X70" s="125" t="str">
        <f t="shared" si="10"/>
        <v/>
      </c>
      <c r="Y70" s="126">
        <f>MAXIFS(Matches!$A:$A,Matches!$C:$C,$B70)</f>
        <v>0</v>
      </c>
      <c r="Z70" s="126">
        <f t="array" ref="Z70">XLOOKUP(Y70,Quotas!$B$7:$B$10,Quotas!$A$7:$A$10,0,-1)</f>
        <v>0</v>
      </c>
      <c r="AB70" s="31"/>
      <c r="AC70" s="31">
        <f>COUNTIFS(Matches!$A:$A,"&gt;"&amp;Y70,Matches!$B:$B,$B70)</f>
        <v>0</v>
      </c>
      <c r="AD70" s="31"/>
      <c r="AE70" s="127">
        <f>SUMIF('Pool Changes'!B:B, B70, 'Pool Changes'!H:H)</f>
        <v>0</v>
      </c>
    </row>
    <row r="71">
      <c r="A71" s="104">
        <f t="shared" si="1"/>
        <v>1</v>
      </c>
      <c r="C71" s="128"/>
      <c r="D71" s="74"/>
      <c r="E71" s="1"/>
      <c r="F71" s="1"/>
      <c r="G71" s="1"/>
      <c r="H71" s="118">
        <f>COUNTIF(Entropy!$D:$D,$B71)+COUNTIF(Matches!$B:$B,$B71)+COUNTIF(Matches!$C:$C,$B71)</f>
        <v>0</v>
      </c>
      <c r="I71" s="119">
        <f>COUNTIF(Matches!$B:$B,B71)</f>
        <v>0</v>
      </c>
      <c r="J71" s="31">
        <f t="shared" si="2"/>
        <v>0</v>
      </c>
      <c r="K71" s="1" t="str">
        <f t="shared" si="3"/>
        <v>0 - 0</v>
      </c>
      <c r="L71" s="120">
        <f>COUNTIF(Entropy!$D:$D,$B71)</f>
        <v>0</v>
      </c>
      <c r="M71" s="121">
        <f t="shared" si="4"/>
        <v>0</v>
      </c>
      <c r="N71" s="121">
        <f t="shared" si="5"/>
        <v>0</v>
      </c>
      <c r="O71" s="118">
        <f>IF($J71=11,0,IF(AND($H71 &gt;=VLOOKUP('Combined Standings'!$C$2,Quotas!$A$7:$E$14,4,FALSE), $H71&lt;=VLOOKUP('Combined Standings'!$C$2,Quotas!$A$7:$E$14,5,FALSE)), 0,VLOOKUP('Combined Standings'!$C$2,Quotas!$A$7:$E$11,4,FALSE)-$H71))</f>
        <v>13</v>
      </c>
      <c r="P71" s="118">
        <f>IF($J71=11,0,IF(AND($H71 &gt;=VLOOKUP('Combined Standings'!$C$2,Quotas!$A$7:$E$14,5,FALSE), $H71&lt;=VLOOKUP('Combined Standings'!$C$2,Quotas!$A$7:$E$14,5,FALSE)), 0,VLOOKUP('Combined Standings'!$C$2,Quotas!$A$7:$E$11,5,FALSE)-$H71))</f>
        <v>15</v>
      </c>
      <c r="Q71" s="31">
        <f t="shared" si="6"/>
        <v>11</v>
      </c>
      <c r="R71" s="122" t="str">
        <f t="shared" si="7"/>
        <v/>
      </c>
      <c r="S71" s="121">
        <f t="shared" si="8"/>
        <v>0.33</v>
      </c>
      <c r="T71" s="122" t="str">
        <f>IFERROR(__xludf.DUMMYFUNCTION("JOIN("","",IFERROR(FILTER(Matches!$B:$B,B71=Matches!$C:$C),""""),IFERROR(FILTER(Matches!$C:$C,B71=Matches!$B:$B),""""))"),",,,,,,,,,,,,,,,,,,,,,,,,,,,,,,,,,,,,,,,,,,,,,,,,,,,,,,,,,,,,,,,,,,,,,,,,,,,,,,,,,,,,,,,,,,,,,,,,,,,,,,,,,,,,,,,,,,,,,,,,,,,,,,,,,,,,,,,,,,,,,,,,,,,,,,,,,,,,,,,,,,,,,,,,,,,,,,,,,,,,,,,,,,,,,,,,,,,,,,,,,,,,,,,,,,,,,,,,,,,,,,,,,,,,,,,,,,,,,,,,,,,,,,,,,,,,,,,")</f>
        <v>,,,,,,,,,,,,,,,,,,,,,,,,,,,,,,,,,,,,,,,,,,,,,,,,,,,,,,,,,,,,,,,,,,,,,,,,,,,,,,,,,,,,,,,,,,,,,,,,,,,,,,,,,,,,,,,,,,,,,,,,,,,,,,,,,,,,,,,,,,,,,,,,,,,,,,,,,,,,,,,,,,,,,,,,,,,,,,,,,,,,,,,,,,,,,,,,,,,,,,,,,,,,,,,,,,,,,,,,,,,,,,,,,,,,,,,,,,,,,,,,,,,,,,,,,,,,,,,</v>
      </c>
      <c r="U71" s="121">
        <f>IFERROR(__xludf.DUMMYFUNCTION("iferror(AVERAGE(ARRAYFORMULA(VLOOKUP(SPLIT(T71,"","",TRUE,TRUE),$R$2:$S1000,2,FALSE))),0)"),0.0)</f>
        <v>0</v>
      </c>
      <c r="V71" s="123">
        <f>IFERROR(__xludf.DUMMYFUNCTION("RANK($I71, $I$2:$I1000, FALSE) + RANK($M71, Filter($M$2:$M1000, $I$2:$I1000=$I71),FALSE)+RANK($U71, Filter($U$2:$U1000, $I$2:$I1000=$I71,$M$2:$M1000=$M71),FALSE)-2"),1.0)</f>
        <v>1</v>
      </c>
      <c r="W71" s="124" t="str">
        <f t="shared" si="9"/>
        <v>Underplay</v>
      </c>
      <c r="X71" s="125" t="str">
        <f t="shared" si="10"/>
        <v/>
      </c>
      <c r="Y71" s="126">
        <f>MAXIFS(Matches!$A:$A,Matches!$C:$C,$B71)</f>
        <v>0</v>
      </c>
      <c r="Z71" s="126">
        <f t="array" ref="Z71">XLOOKUP(Y71,Quotas!$B$7:$B$10,Quotas!$A$7:$A$10,0,-1)</f>
        <v>0</v>
      </c>
      <c r="AB71" s="31"/>
      <c r="AC71" s="31">
        <f>COUNTIFS(Matches!$A:$A,"&gt;"&amp;Y71,Matches!$B:$B,$B71)</f>
        <v>0</v>
      </c>
      <c r="AD71" s="31"/>
      <c r="AE71" s="127">
        <f>SUMIF('Pool Changes'!B:B, B71, 'Pool Changes'!H:H)</f>
        <v>0</v>
      </c>
    </row>
    <row r="72">
      <c r="A72" s="104">
        <f t="shared" si="1"/>
        <v>1</v>
      </c>
      <c r="C72" s="128"/>
      <c r="D72" s="74"/>
      <c r="E72" s="1"/>
      <c r="F72" s="1"/>
      <c r="G72" s="1"/>
      <c r="H72" s="118">
        <f>COUNTIF(Entropy!$D:$D,$B72)+COUNTIF(Matches!$B:$B,$B72)+COUNTIF(Matches!$C:$C,$B72)</f>
        <v>0</v>
      </c>
      <c r="I72" s="119">
        <f>COUNTIF(Matches!$B:$B,B72)</f>
        <v>0</v>
      </c>
      <c r="J72" s="31">
        <f t="shared" si="2"/>
        <v>0</v>
      </c>
      <c r="K72" s="1" t="str">
        <f t="shared" si="3"/>
        <v>0 - 0</v>
      </c>
      <c r="L72" s="120">
        <f>COUNTIF(Entropy!$D:$D,$B72)</f>
        <v>0</v>
      </c>
      <c r="M72" s="121">
        <f t="shared" si="4"/>
        <v>0</v>
      </c>
      <c r="N72" s="121">
        <f t="shared" si="5"/>
        <v>0</v>
      </c>
      <c r="O72" s="118">
        <f>IF($J72=11,0,IF(AND($H72 &gt;=VLOOKUP('Combined Standings'!$C$2,Quotas!$A$7:$E$14,4,FALSE), $H72&lt;=VLOOKUP('Combined Standings'!$C$2,Quotas!$A$7:$E$14,5,FALSE)), 0,VLOOKUP('Combined Standings'!$C$2,Quotas!$A$7:$E$11,4,FALSE)-$H72))</f>
        <v>13</v>
      </c>
      <c r="P72" s="118">
        <f>IF($J72=11,0,IF(AND($H72 &gt;=VLOOKUP('Combined Standings'!$C$2,Quotas!$A$7:$E$14,5,FALSE), $H72&lt;=VLOOKUP('Combined Standings'!$C$2,Quotas!$A$7:$E$14,5,FALSE)), 0,VLOOKUP('Combined Standings'!$C$2,Quotas!$A$7:$E$11,5,FALSE)-$H72))</f>
        <v>15</v>
      </c>
      <c r="Q72" s="31">
        <f t="shared" si="6"/>
        <v>11</v>
      </c>
      <c r="R72" s="122" t="str">
        <f t="shared" si="7"/>
        <v/>
      </c>
      <c r="S72" s="121">
        <f t="shared" si="8"/>
        <v>0.33</v>
      </c>
      <c r="T72" s="122" t="str">
        <f>IFERROR(__xludf.DUMMYFUNCTION("JOIN("","",IFERROR(FILTER(Matches!$B:$B,B72=Matches!$C:$C),""""),IFERROR(FILTER(Matches!$C:$C,B72=Matches!$B:$B),""""))"),",,,,,,,,,,,,,,,,,,,,,,,,,,,,,,,,,,,,,,,,,,,,,,,,,,,,,,,,,,,,,,,,,,,,,,,,,,,,,,,,,,,,,,,,,,,,,,,,,,,,,,,,,,,,,,,,,,,,,,,,,,,,,,,,,,,,,,,,,,,,,,,,,,,,,,,,,,,,,,,,,,,,,,,,,,,,,,,,,,,,,,,,,,,,,,,,,,,,,,,,,,,,,,,,,,,,,,,,,,,,,,,,,,,,,,,,,,,,,,,,,,,,,,,,,,,,,,,")</f>
        <v>,,,,,,,,,,,,,,,,,,,,,,,,,,,,,,,,,,,,,,,,,,,,,,,,,,,,,,,,,,,,,,,,,,,,,,,,,,,,,,,,,,,,,,,,,,,,,,,,,,,,,,,,,,,,,,,,,,,,,,,,,,,,,,,,,,,,,,,,,,,,,,,,,,,,,,,,,,,,,,,,,,,,,,,,,,,,,,,,,,,,,,,,,,,,,,,,,,,,,,,,,,,,,,,,,,,,,,,,,,,,,,,,,,,,,,,,,,,,,,,,,,,,,,,,,,,,,,,</v>
      </c>
      <c r="U72" s="121">
        <f>IFERROR(__xludf.DUMMYFUNCTION("iferror(AVERAGE(ARRAYFORMULA(VLOOKUP(SPLIT(T72,"","",TRUE,TRUE),$R$2:$S1000,2,FALSE))),0)"),0.0)</f>
        <v>0</v>
      </c>
      <c r="V72" s="123">
        <f>IFERROR(__xludf.DUMMYFUNCTION("RANK($I72, $I$2:$I1000, FALSE) + RANK($M72, Filter($M$2:$M1000, $I$2:$I1000=$I72),FALSE)+RANK($U72, Filter($U$2:$U1000, $I$2:$I1000=$I72,$M$2:$M1000=$M72),FALSE)-2"),1.0)</f>
        <v>1</v>
      </c>
      <c r="W72" s="124" t="str">
        <f t="shared" si="9"/>
        <v>Underplay</v>
      </c>
      <c r="X72" s="125" t="str">
        <f t="shared" si="10"/>
        <v/>
      </c>
      <c r="Y72" s="126">
        <f>MAXIFS(Matches!$A:$A,Matches!$C:$C,$B72)</f>
        <v>0</v>
      </c>
      <c r="Z72" s="126">
        <f t="array" ref="Z72">XLOOKUP(Y72,Quotas!$B$7:$B$10,Quotas!$A$7:$A$10,0,-1)</f>
        <v>0</v>
      </c>
      <c r="AB72" s="31"/>
      <c r="AC72" s="31">
        <f>COUNTIFS(Matches!$A:$A,"&gt;"&amp;Y72,Matches!$B:$B,$B72)</f>
        <v>0</v>
      </c>
      <c r="AD72" s="31"/>
      <c r="AE72" s="127">
        <f>SUMIF('Pool Changes'!B:B, B72, 'Pool Changes'!H:H)</f>
        <v>0</v>
      </c>
    </row>
    <row r="73">
      <c r="A73" s="104">
        <f t="shared" si="1"/>
        <v>1</v>
      </c>
      <c r="C73" s="128"/>
      <c r="D73" s="74"/>
      <c r="E73" s="1"/>
      <c r="F73" s="1"/>
      <c r="G73" s="1"/>
      <c r="H73" s="118">
        <f>COUNTIF(Entropy!$D:$D,$B73)+COUNTIF(Matches!$B:$B,$B73)+COUNTIF(Matches!$C:$C,$B73)</f>
        <v>0</v>
      </c>
      <c r="I73" s="119">
        <f>COUNTIF(Matches!$B:$B,B73)</f>
        <v>0</v>
      </c>
      <c r="J73" s="31">
        <f t="shared" si="2"/>
        <v>0</v>
      </c>
      <c r="K73" s="1" t="str">
        <f t="shared" si="3"/>
        <v>0 - 0</v>
      </c>
      <c r="L73" s="120">
        <f>COUNTIF(Entropy!$D:$D,$B73)</f>
        <v>0</v>
      </c>
      <c r="M73" s="121">
        <f t="shared" si="4"/>
        <v>0</v>
      </c>
      <c r="N73" s="121">
        <f t="shared" si="5"/>
        <v>0</v>
      </c>
      <c r="O73" s="118">
        <f>IF($J73=11,0,IF(AND($H73 &gt;=VLOOKUP('Combined Standings'!$C$2,Quotas!$A$7:$E$14,4,FALSE), $H73&lt;=VLOOKUP('Combined Standings'!$C$2,Quotas!$A$7:$E$14,5,FALSE)), 0,VLOOKUP('Combined Standings'!$C$2,Quotas!$A$7:$E$11,4,FALSE)-$H73))</f>
        <v>13</v>
      </c>
      <c r="P73" s="118">
        <f>IF($J73=11,0,IF(AND($H73 &gt;=VLOOKUP('Combined Standings'!$C$2,Quotas!$A$7:$E$14,5,FALSE), $H73&lt;=VLOOKUP('Combined Standings'!$C$2,Quotas!$A$7:$E$14,5,FALSE)), 0,VLOOKUP('Combined Standings'!$C$2,Quotas!$A$7:$E$11,5,FALSE)-$H73))</f>
        <v>15</v>
      </c>
      <c r="Q73" s="31">
        <f t="shared" si="6"/>
        <v>11</v>
      </c>
      <c r="R73" s="122" t="str">
        <f t="shared" si="7"/>
        <v/>
      </c>
      <c r="S73" s="121">
        <f t="shared" si="8"/>
        <v>0.33</v>
      </c>
      <c r="T73" s="122" t="str">
        <f>IFERROR(__xludf.DUMMYFUNCTION("JOIN("","",IFERROR(FILTER(Matches!$B:$B,B73=Matches!$C:$C),""""),IFERROR(FILTER(Matches!$C:$C,B73=Matches!$B:$B),""""))"),",,,,,,,,,,,,,,,,,,,,,,,,,,,,,,,,,,,,,,,,,,,,,,,,,,,,,,,,,,,,,,,,,,,,,,,,,,,,,,,,,,,,,,,,,,,,,,,,,,,,,,,,,,,,,,,,,,,,,,,,,,,,,,,,,,,,,,,,,,,,,,,,,,,,,,,,,,,,,,,,,,,,,,,,,,,,,,,,,,,,,,,,,,,,,,,,,,,,,,,,,,,,,,,,,,,,,,,,,,,,,,,,,,,,,,,,,,,,,,,,,,,,,,,,,,,,,,,")</f>
        <v>,,,,,,,,,,,,,,,,,,,,,,,,,,,,,,,,,,,,,,,,,,,,,,,,,,,,,,,,,,,,,,,,,,,,,,,,,,,,,,,,,,,,,,,,,,,,,,,,,,,,,,,,,,,,,,,,,,,,,,,,,,,,,,,,,,,,,,,,,,,,,,,,,,,,,,,,,,,,,,,,,,,,,,,,,,,,,,,,,,,,,,,,,,,,,,,,,,,,,,,,,,,,,,,,,,,,,,,,,,,,,,,,,,,,,,,,,,,,,,,,,,,,,,,,,,,,,,,</v>
      </c>
      <c r="U73" s="121">
        <f>IFERROR(__xludf.DUMMYFUNCTION("iferror(AVERAGE(ARRAYFORMULA(VLOOKUP(SPLIT(T73,"","",TRUE,TRUE),$R$2:$S1000,2,FALSE))),0)"),0.0)</f>
        <v>0</v>
      </c>
      <c r="V73" s="123">
        <f>IFERROR(__xludf.DUMMYFUNCTION("RANK($I73, $I$2:$I1000, FALSE) + RANK($M73, Filter($M$2:$M1000, $I$2:$I1000=$I73),FALSE)+RANK($U73, Filter($U$2:$U1000, $I$2:$I1000=$I73,$M$2:$M1000=$M73),FALSE)-2"),1.0)</f>
        <v>1</v>
      </c>
      <c r="W73" s="124" t="str">
        <f t="shared" si="9"/>
        <v>Underplay</v>
      </c>
      <c r="X73" s="125" t="str">
        <f t="shared" si="10"/>
        <v/>
      </c>
      <c r="Y73" s="126">
        <f>MAXIFS(Matches!$A:$A,Matches!$C:$C,$B73)</f>
        <v>0</v>
      </c>
      <c r="Z73" s="126">
        <f t="array" ref="Z73">XLOOKUP(Y73,Quotas!$B$7:$B$10,Quotas!$A$7:$A$10,0,-1)</f>
        <v>0</v>
      </c>
      <c r="AB73" s="31"/>
      <c r="AC73" s="31">
        <f>COUNTIFS(Matches!$A:$A,"&gt;"&amp;Y73,Matches!$B:$B,$B73)</f>
        <v>0</v>
      </c>
      <c r="AD73" s="31"/>
      <c r="AE73" s="127">
        <f>SUMIF('Pool Changes'!B:B, B73, 'Pool Changes'!H:H)</f>
        <v>0</v>
      </c>
    </row>
    <row r="74">
      <c r="A74" s="104">
        <f t="shared" si="1"/>
        <v>1</v>
      </c>
      <c r="C74" s="128"/>
      <c r="D74" s="74"/>
      <c r="E74" s="1"/>
      <c r="F74" s="1"/>
      <c r="G74" s="1"/>
      <c r="H74" s="118">
        <f>COUNTIF(Entropy!$D:$D,$B74)+COUNTIF(Matches!$B:$B,$B74)+COUNTIF(Matches!$C:$C,$B74)</f>
        <v>0</v>
      </c>
      <c r="I74" s="119">
        <f>COUNTIF(Matches!$B:$B,B74)</f>
        <v>0</v>
      </c>
      <c r="J74" s="31">
        <f t="shared" si="2"/>
        <v>0</v>
      </c>
      <c r="K74" s="1" t="str">
        <f t="shared" si="3"/>
        <v>0 - 0</v>
      </c>
      <c r="L74" s="120">
        <f>COUNTIF(Entropy!$D:$D,$B74)</f>
        <v>0</v>
      </c>
      <c r="M74" s="121">
        <f t="shared" si="4"/>
        <v>0</v>
      </c>
      <c r="N74" s="121">
        <f t="shared" si="5"/>
        <v>0</v>
      </c>
      <c r="O74" s="118">
        <f>IF($J74=11,0,IF(AND($H74 &gt;=VLOOKUP('Combined Standings'!$C$2,Quotas!$A$7:$E$14,4,FALSE), $H74&lt;=VLOOKUP('Combined Standings'!$C$2,Quotas!$A$7:$E$14,5,FALSE)), 0,VLOOKUP('Combined Standings'!$C$2,Quotas!$A$7:$E$11,4,FALSE)-$H74))</f>
        <v>13</v>
      </c>
      <c r="P74" s="118">
        <f>IF($J74=11,0,IF(AND($H74 &gt;=VLOOKUP('Combined Standings'!$C$2,Quotas!$A$7:$E$14,5,FALSE), $H74&lt;=VLOOKUP('Combined Standings'!$C$2,Quotas!$A$7:$E$14,5,FALSE)), 0,VLOOKUP('Combined Standings'!$C$2,Quotas!$A$7:$E$11,5,FALSE)-$H74))</f>
        <v>15</v>
      </c>
      <c r="Q74" s="31">
        <f t="shared" si="6"/>
        <v>11</v>
      </c>
      <c r="R74" s="122" t="str">
        <f t="shared" si="7"/>
        <v/>
      </c>
      <c r="S74" s="121">
        <f t="shared" si="8"/>
        <v>0.33</v>
      </c>
      <c r="T74" s="122" t="str">
        <f>IFERROR(__xludf.DUMMYFUNCTION("JOIN("","",IFERROR(FILTER(Matches!$B:$B,B74=Matches!$C:$C),""""),IFERROR(FILTER(Matches!$C:$C,B74=Matches!$B:$B),""""))"),",,,,,,,,,,,,,,,,,,,,,,,,,,,,,,,,,,,,,,,,,,,,,,,,,,,,,,,,,,,,,,,,,,,,,,,,,,,,,,,,,,,,,,,,,,,,,,,,,,,,,,,,,,,,,,,,,,,,,,,,,,,,,,,,,,,,,,,,,,,,,,,,,,,,,,,,,,,,,,,,,,,,,,,,,,,,,,,,,,,,,,,,,,,,,,,,,,,,,,,,,,,,,,,,,,,,,,,,,,,,,,,,,,,,,,,,,,,,,,,,,,,,,,,,,,,,,,,")</f>
        <v>,,,,,,,,,,,,,,,,,,,,,,,,,,,,,,,,,,,,,,,,,,,,,,,,,,,,,,,,,,,,,,,,,,,,,,,,,,,,,,,,,,,,,,,,,,,,,,,,,,,,,,,,,,,,,,,,,,,,,,,,,,,,,,,,,,,,,,,,,,,,,,,,,,,,,,,,,,,,,,,,,,,,,,,,,,,,,,,,,,,,,,,,,,,,,,,,,,,,,,,,,,,,,,,,,,,,,,,,,,,,,,,,,,,,,,,,,,,,,,,,,,,,,,,,,,,,,,,</v>
      </c>
      <c r="U74" s="121">
        <f>IFERROR(__xludf.DUMMYFUNCTION("iferror(AVERAGE(ARRAYFORMULA(VLOOKUP(SPLIT(T74,"","",TRUE,TRUE),$R$2:$S1000,2,FALSE))),0)"),0.0)</f>
        <v>0</v>
      </c>
      <c r="V74" s="123">
        <f>IFERROR(__xludf.DUMMYFUNCTION("RANK($I74, $I$2:$I1000, FALSE) + RANK($M74, Filter($M$2:$M1000, $I$2:$I1000=$I74),FALSE)+RANK($U74, Filter($U$2:$U1000, $I$2:$I1000=$I74,$M$2:$M1000=$M74),FALSE)-2"),1.0)</f>
        <v>1</v>
      </c>
      <c r="W74" s="124" t="str">
        <f t="shared" si="9"/>
        <v>Underplay</v>
      </c>
      <c r="X74" s="125" t="str">
        <f t="shared" si="10"/>
        <v/>
      </c>
      <c r="Y74" s="126">
        <f>MAXIFS(Matches!$A:$A,Matches!$C:$C,$B74)</f>
        <v>0</v>
      </c>
      <c r="Z74" s="126">
        <f t="array" ref="Z74">XLOOKUP(Y74,Quotas!$B$7:$B$10,Quotas!$A$7:$A$10,0,-1)</f>
        <v>0</v>
      </c>
      <c r="AB74" s="31"/>
      <c r="AC74" s="31">
        <f>COUNTIFS(Matches!$A:$A,"&gt;"&amp;Y74,Matches!$B:$B,$B74)</f>
        <v>0</v>
      </c>
      <c r="AD74" s="31"/>
      <c r="AE74" s="127">
        <f>SUMIF('Pool Changes'!B:B, B74, 'Pool Changes'!H:H)</f>
        <v>0</v>
      </c>
    </row>
    <row r="75">
      <c r="A75" s="104">
        <f t="shared" si="1"/>
        <v>1</v>
      </c>
      <c r="C75" s="128"/>
      <c r="D75" s="74"/>
      <c r="E75" s="1"/>
      <c r="F75" s="1"/>
      <c r="G75" s="1"/>
      <c r="H75" s="118">
        <f>COUNTIF(Entropy!$D:$D,$B75)+COUNTIF(Matches!$B:$B,$B75)+COUNTIF(Matches!$C:$C,$B75)</f>
        <v>0</v>
      </c>
      <c r="I75" s="119">
        <f>COUNTIF(Matches!$B:$B,B75)</f>
        <v>0</v>
      </c>
      <c r="J75" s="31">
        <f t="shared" si="2"/>
        <v>0</v>
      </c>
      <c r="K75" s="1" t="str">
        <f t="shared" si="3"/>
        <v>0 - 0</v>
      </c>
      <c r="L75" s="120">
        <f>COUNTIF(Entropy!$D:$D,$B75)</f>
        <v>0</v>
      </c>
      <c r="M75" s="121">
        <f t="shared" si="4"/>
        <v>0</v>
      </c>
      <c r="N75" s="121">
        <f t="shared" si="5"/>
        <v>0</v>
      </c>
      <c r="O75" s="118">
        <f>IF($J75=11,0,IF(AND($H75 &gt;=VLOOKUP('Combined Standings'!$C$2,Quotas!$A$7:$E$14,4,FALSE), $H75&lt;=VLOOKUP('Combined Standings'!$C$2,Quotas!$A$7:$E$14,5,FALSE)), 0,VLOOKUP('Combined Standings'!$C$2,Quotas!$A$7:$E$11,4,FALSE)-$H75))</f>
        <v>13</v>
      </c>
      <c r="P75" s="118">
        <f>IF($J75=11,0,IF(AND($H75 &gt;=VLOOKUP('Combined Standings'!$C$2,Quotas!$A$7:$E$14,5,FALSE), $H75&lt;=VLOOKUP('Combined Standings'!$C$2,Quotas!$A$7:$E$14,5,FALSE)), 0,VLOOKUP('Combined Standings'!$C$2,Quotas!$A$7:$E$11,5,FALSE)-$H75))</f>
        <v>15</v>
      </c>
      <c r="Q75" s="31">
        <f t="shared" si="6"/>
        <v>11</v>
      </c>
      <c r="R75" s="122" t="str">
        <f t="shared" si="7"/>
        <v/>
      </c>
      <c r="S75" s="121">
        <f t="shared" si="8"/>
        <v>0.33</v>
      </c>
      <c r="T75" s="122" t="str">
        <f>IFERROR(__xludf.DUMMYFUNCTION("JOIN("","",IFERROR(FILTER(Matches!$B:$B,B75=Matches!$C:$C),""""),IFERROR(FILTER(Matches!$C:$C,B75=Matches!$B:$B),""""))"),",,,,,,,,,,,,,,,,,,,,,,,,,,,,,,,,,,,,,,,,,,,,,,,,,,,,,,,,,,,,,,,,,,,,,,,,,,,,,,,,,,,,,,,,,,,,,,,,,,,,,,,,,,,,,,,,,,,,,,,,,,,,,,,,,,,,,,,,,,,,,,,,,,,,,,,,,,,,,,,,,,,,,,,,,,,,,,,,,,,,,,,,,,,,,,,,,,,,,,,,,,,,,,,,,,,,,,,,,,,,,,,,,,,,,,,,,,,,,,,,,,,,,,,,,,,,,,,")</f>
        <v>,,,,,,,,,,,,,,,,,,,,,,,,,,,,,,,,,,,,,,,,,,,,,,,,,,,,,,,,,,,,,,,,,,,,,,,,,,,,,,,,,,,,,,,,,,,,,,,,,,,,,,,,,,,,,,,,,,,,,,,,,,,,,,,,,,,,,,,,,,,,,,,,,,,,,,,,,,,,,,,,,,,,,,,,,,,,,,,,,,,,,,,,,,,,,,,,,,,,,,,,,,,,,,,,,,,,,,,,,,,,,,,,,,,,,,,,,,,,,,,,,,,,,,,,,,,,,,,</v>
      </c>
      <c r="U75" s="121">
        <f>IFERROR(__xludf.DUMMYFUNCTION("iferror(AVERAGE(ARRAYFORMULA(VLOOKUP(SPLIT(T75,"","",TRUE,TRUE),$R$2:$S1000,2,FALSE))),0)"),0.0)</f>
        <v>0</v>
      </c>
      <c r="V75" s="123">
        <f>IFERROR(__xludf.DUMMYFUNCTION("RANK($I75, $I$2:$I1000, FALSE) + RANK($M75, Filter($M$2:$M1000, $I$2:$I1000=$I75),FALSE)+RANK($U75, Filter($U$2:$U1000, $I$2:$I1000=$I75,$M$2:$M1000=$M75),FALSE)-2"),1.0)</f>
        <v>1</v>
      </c>
      <c r="W75" s="124" t="str">
        <f t="shared" si="9"/>
        <v>Underplay</v>
      </c>
      <c r="X75" s="125" t="str">
        <f t="shared" si="10"/>
        <v/>
      </c>
      <c r="Y75" s="126">
        <f>MAXIFS(Matches!$A:$A,Matches!$C:$C,$B75)</f>
        <v>0</v>
      </c>
      <c r="Z75" s="126">
        <f t="array" ref="Z75">XLOOKUP(Y75,Quotas!$B$7:$B$10,Quotas!$A$7:$A$10,0,-1)</f>
        <v>0</v>
      </c>
      <c r="AB75" s="31"/>
      <c r="AC75" s="31">
        <f>COUNTIFS(Matches!$A:$A,"&gt;"&amp;Y75,Matches!$B:$B,$B75)</f>
        <v>0</v>
      </c>
      <c r="AD75" s="31"/>
      <c r="AE75" s="127">
        <f>SUMIF('Pool Changes'!B:B, B75, 'Pool Changes'!H:H)</f>
        <v>0</v>
      </c>
    </row>
    <row r="76">
      <c r="A76" s="104">
        <f t="shared" si="1"/>
        <v>1</v>
      </c>
      <c r="C76" s="128"/>
      <c r="D76" s="74"/>
      <c r="E76" s="1"/>
      <c r="F76" s="1"/>
      <c r="G76" s="1"/>
      <c r="H76" s="118">
        <f>COUNTIF(Entropy!$D:$D,$B76)+COUNTIF(Matches!$B:$B,$B76)+COUNTIF(Matches!$C:$C,$B76)</f>
        <v>0</v>
      </c>
      <c r="I76" s="119">
        <f>COUNTIF(Matches!$B:$B,B76)</f>
        <v>0</v>
      </c>
      <c r="J76" s="31">
        <f t="shared" si="2"/>
        <v>0</v>
      </c>
      <c r="K76" s="1" t="str">
        <f t="shared" si="3"/>
        <v>0 - 0</v>
      </c>
      <c r="L76" s="120">
        <f>COUNTIF(Entropy!$D:$D,$B76)</f>
        <v>0</v>
      </c>
      <c r="M76" s="121">
        <f t="shared" si="4"/>
        <v>0</v>
      </c>
      <c r="N76" s="121">
        <f t="shared" si="5"/>
        <v>0</v>
      </c>
      <c r="O76" s="118">
        <f>IF($J76=11,0,IF(AND($H76 &gt;=VLOOKUP('Combined Standings'!$C$2,Quotas!$A$7:$E$14,4,FALSE), $H76&lt;=VLOOKUP('Combined Standings'!$C$2,Quotas!$A$7:$E$14,5,FALSE)), 0,VLOOKUP('Combined Standings'!$C$2,Quotas!$A$7:$E$11,4,FALSE)-$H76))</f>
        <v>13</v>
      </c>
      <c r="P76" s="118">
        <f>IF($J76=11,0,IF(AND($H76 &gt;=VLOOKUP('Combined Standings'!$C$2,Quotas!$A$7:$E$14,5,FALSE), $H76&lt;=VLOOKUP('Combined Standings'!$C$2,Quotas!$A$7:$E$14,5,FALSE)), 0,VLOOKUP('Combined Standings'!$C$2,Quotas!$A$7:$E$11,5,FALSE)-$H76))</f>
        <v>15</v>
      </c>
      <c r="Q76" s="31">
        <f t="shared" si="6"/>
        <v>11</v>
      </c>
      <c r="R76" s="122" t="str">
        <f t="shared" si="7"/>
        <v/>
      </c>
      <c r="S76" s="121">
        <f t="shared" si="8"/>
        <v>0.33</v>
      </c>
      <c r="T76" s="122" t="str">
        <f>IFERROR(__xludf.DUMMYFUNCTION("JOIN("","",IFERROR(FILTER(Matches!$B:$B,B76=Matches!$C:$C),""""),IFERROR(FILTER(Matches!$C:$C,B76=Matches!$B:$B),""""))"),",,,,,,,,,,,,,,,,,,,,,,,,,,,,,,,,,,,,,,,,,,,,,,,,,,,,,,,,,,,,,,,,,,,,,,,,,,,,,,,,,,,,,,,,,,,,,,,,,,,,,,,,,,,,,,,,,,,,,,,,,,,,,,,,,,,,,,,,,,,,,,,,,,,,,,,,,,,,,,,,,,,,,,,,,,,,,,,,,,,,,,,,,,,,,,,,,,,,,,,,,,,,,,,,,,,,,,,,,,,,,,,,,,,,,,,,,,,,,,,,,,,,,,,,,,,,,,,")</f>
        <v>,,,,,,,,,,,,,,,,,,,,,,,,,,,,,,,,,,,,,,,,,,,,,,,,,,,,,,,,,,,,,,,,,,,,,,,,,,,,,,,,,,,,,,,,,,,,,,,,,,,,,,,,,,,,,,,,,,,,,,,,,,,,,,,,,,,,,,,,,,,,,,,,,,,,,,,,,,,,,,,,,,,,,,,,,,,,,,,,,,,,,,,,,,,,,,,,,,,,,,,,,,,,,,,,,,,,,,,,,,,,,,,,,,,,,,,,,,,,,,,,,,,,,,,,,,,,,,,</v>
      </c>
      <c r="U76" s="121">
        <f>IFERROR(__xludf.DUMMYFUNCTION("iferror(AVERAGE(ARRAYFORMULA(VLOOKUP(SPLIT(T76,"","",TRUE,TRUE),$R$2:$S1000,2,FALSE))),0)"),0.0)</f>
        <v>0</v>
      </c>
      <c r="V76" s="123">
        <f>IFERROR(__xludf.DUMMYFUNCTION("RANK($I76, $I$2:$I1000, FALSE) + RANK($M76, Filter($M$2:$M1000, $I$2:$I1000=$I76),FALSE)+RANK($U76, Filter($U$2:$U1000, $I$2:$I1000=$I76,$M$2:$M1000=$M76),FALSE)-2"),1.0)</f>
        <v>1</v>
      </c>
      <c r="W76" s="124" t="str">
        <f t="shared" si="9"/>
        <v>Underplay</v>
      </c>
      <c r="X76" s="125" t="str">
        <f t="shared" si="10"/>
        <v/>
      </c>
      <c r="Y76" s="126">
        <f>MAXIFS(Matches!$A:$A,Matches!$C:$C,$B76)</f>
        <v>0</v>
      </c>
      <c r="Z76" s="126">
        <f t="array" ref="Z76">XLOOKUP(Y76,Quotas!$B$7:$B$10,Quotas!$A$7:$A$10,0,-1)</f>
        <v>0</v>
      </c>
      <c r="AB76" s="31"/>
      <c r="AC76" s="31">
        <f>COUNTIFS(Matches!$A:$A,"&gt;"&amp;Y76,Matches!$B:$B,$B76)</f>
        <v>0</v>
      </c>
      <c r="AD76" s="31"/>
      <c r="AE76" s="127">
        <f>SUMIF('Pool Changes'!B:B, B76, 'Pool Changes'!H:H)</f>
        <v>0</v>
      </c>
    </row>
    <row r="77">
      <c r="A77" s="104">
        <f t="shared" si="1"/>
        <v>1</v>
      </c>
      <c r="C77" s="128"/>
      <c r="D77" s="74"/>
      <c r="E77" s="1"/>
      <c r="F77" s="1"/>
      <c r="G77" s="1"/>
      <c r="H77" s="118">
        <f>COUNTIF(Entropy!$D:$D,$B77)+COUNTIF(Matches!$B:$B,$B77)+COUNTIF(Matches!$C:$C,$B77)</f>
        <v>0</v>
      </c>
      <c r="I77" s="119">
        <f>COUNTIF(Matches!$B:$B,B77)</f>
        <v>0</v>
      </c>
      <c r="J77" s="31">
        <f t="shared" si="2"/>
        <v>0</v>
      </c>
      <c r="K77" s="1" t="str">
        <f t="shared" si="3"/>
        <v>0 - 0</v>
      </c>
      <c r="L77" s="120">
        <f>COUNTIF(Entropy!$D:$D,$B77)</f>
        <v>0</v>
      </c>
      <c r="M77" s="121">
        <f t="shared" si="4"/>
        <v>0</v>
      </c>
      <c r="N77" s="121">
        <f t="shared" si="5"/>
        <v>0</v>
      </c>
      <c r="O77" s="118">
        <f>IF($J77=11,0,IF(AND($H77 &gt;=VLOOKUP('Combined Standings'!$C$2,Quotas!$A$7:$E$14,4,FALSE), $H77&lt;=VLOOKUP('Combined Standings'!$C$2,Quotas!$A$7:$E$14,5,FALSE)), 0,VLOOKUP('Combined Standings'!$C$2,Quotas!$A$7:$E$11,4,FALSE)-$H77))</f>
        <v>13</v>
      </c>
      <c r="P77" s="118">
        <f>IF($J77=11,0,IF(AND($H77 &gt;=VLOOKUP('Combined Standings'!$C$2,Quotas!$A$7:$E$14,5,FALSE), $H77&lt;=VLOOKUP('Combined Standings'!$C$2,Quotas!$A$7:$E$14,5,FALSE)), 0,VLOOKUP('Combined Standings'!$C$2,Quotas!$A$7:$E$11,5,FALSE)-$H77))</f>
        <v>15</v>
      </c>
      <c r="Q77" s="31">
        <f t="shared" si="6"/>
        <v>11</v>
      </c>
      <c r="R77" s="122" t="str">
        <f t="shared" si="7"/>
        <v/>
      </c>
      <c r="S77" s="121">
        <f t="shared" si="8"/>
        <v>0.33</v>
      </c>
      <c r="T77" s="122" t="str">
        <f>IFERROR(__xludf.DUMMYFUNCTION("JOIN("","",IFERROR(FILTER(Matches!$B:$B,B77=Matches!$C:$C),""""),IFERROR(FILTER(Matches!$C:$C,B77=Matches!$B:$B),""""))"),",,,,,,,,,,,,,,,,,,,,,,,,,,,,,,,,,,,,,,,,,,,,,,,,,,,,,,,,,,,,,,,,,,,,,,,,,,,,,,,,,,,,,,,,,,,,,,,,,,,,,,,,,,,,,,,,,,,,,,,,,,,,,,,,,,,,,,,,,,,,,,,,,,,,,,,,,,,,,,,,,,,,,,,,,,,,,,,,,,,,,,,,,,,,,,,,,,,,,,,,,,,,,,,,,,,,,,,,,,,,,,,,,,,,,,,,,,,,,,,,,,,,,,,,,,,,,,,")</f>
        <v>,,,,,,,,,,,,,,,,,,,,,,,,,,,,,,,,,,,,,,,,,,,,,,,,,,,,,,,,,,,,,,,,,,,,,,,,,,,,,,,,,,,,,,,,,,,,,,,,,,,,,,,,,,,,,,,,,,,,,,,,,,,,,,,,,,,,,,,,,,,,,,,,,,,,,,,,,,,,,,,,,,,,,,,,,,,,,,,,,,,,,,,,,,,,,,,,,,,,,,,,,,,,,,,,,,,,,,,,,,,,,,,,,,,,,,,,,,,,,,,,,,,,,,,,,,,,,,,</v>
      </c>
      <c r="U77" s="121">
        <f>IFERROR(__xludf.DUMMYFUNCTION("iferror(AVERAGE(ARRAYFORMULA(VLOOKUP(SPLIT(T77,"","",TRUE,TRUE),$R$2:$S1000,2,FALSE))),0)"),0.0)</f>
        <v>0</v>
      </c>
      <c r="V77" s="123">
        <f>IFERROR(__xludf.DUMMYFUNCTION("RANK($I77, $I$2:$I1000, FALSE) + RANK($M77, Filter($M$2:$M1000, $I$2:$I1000=$I77),FALSE)+RANK($U77, Filter($U$2:$U1000, $I$2:$I1000=$I77,$M$2:$M1000=$M77),FALSE)-2"),1.0)</f>
        <v>1</v>
      </c>
      <c r="W77" s="124" t="str">
        <f t="shared" si="9"/>
        <v>Underplay</v>
      </c>
      <c r="X77" s="125" t="str">
        <f t="shared" si="10"/>
        <v/>
      </c>
      <c r="Y77" s="126">
        <f>MAXIFS(Matches!$A:$A,Matches!$C:$C,$B77)</f>
        <v>0</v>
      </c>
      <c r="Z77" s="126">
        <f t="array" ref="Z77">XLOOKUP(Y77,Quotas!$B$7:$B$10,Quotas!$A$7:$A$10,0,-1)</f>
        <v>0</v>
      </c>
      <c r="AB77" s="31"/>
      <c r="AC77" s="31">
        <f>COUNTIFS(Matches!$A:$A,"&gt;"&amp;Y77,Matches!$B:$B,$B77)</f>
        <v>0</v>
      </c>
      <c r="AD77" s="31"/>
      <c r="AE77" s="127">
        <f>SUMIF('Pool Changes'!B:B, B77, 'Pool Changes'!H:H)</f>
        <v>0</v>
      </c>
    </row>
    <row r="78">
      <c r="A78" s="104">
        <f t="shared" si="1"/>
        <v>1</v>
      </c>
      <c r="C78" s="128"/>
      <c r="D78" s="74"/>
      <c r="E78" s="1"/>
      <c r="F78" s="1"/>
      <c r="G78" s="1"/>
      <c r="H78" s="118">
        <f>COUNTIF(Entropy!$D:$D,$B78)+COUNTIF(Matches!$B:$B,$B78)+COUNTIF(Matches!$C:$C,$B78)</f>
        <v>0</v>
      </c>
      <c r="I78" s="119">
        <f>COUNTIF(Matches!$B:$B,B78)</f>
        <v>0</v>
      </c>
      <c r="J78" s="31">
        <f t="shared" si="2"/>
        <v>0</v>
      </c>
      <c r="K78" s="1" t="str">
        <f t="shared" si="3"/>
        <v>0 - 0</v>
      </c>
      <c r="L78" s="120">
        <f>COUNTIF(Entropy!$D:$D,$B78)</f>
        <v>0</v>
      </c>
      <c r="M78" s="121">
        <f t="shared" si="4"/>
        <v>0</v>
      </c>
      <c r="N78" s="121">
        <f t="shared" si="5"/>
        <v>0</v>
      </c>
      <c r="O78" s="118">
        <f>IF($J78=11,0,IF(AND($H78 &gt;=VLOOKUP('Combined Standings'!$C$2,Quotas!$A$7:$E$14,4,FALSE), $H78&lt;=VLOOKUP('Combined Standings'!$C$2,Quotas!$A$7:$E$14,5,FALSE)), 0,VLOOKUP('Combined Standings'!$C$2,Quotas!$A$7:$E$11,4,FALSE)-$H78))</f>
        <v>13</v>
      </c>
      <c r="P78" s="118">
        <f>IF($J78=11,0,IF(AND($H78 &gt;=VLOOKUP('Combined Standings'!$C$2,Quotas!$A$7:$E$14,5,FALSE), $H78&lt;=VLOOKUP('Combined Standings'!$C$2,Quotas!$A$7:$E$14,5,FALSE)), 0,VLOOKUP('Combined Standings'!$C$2,Quotas!$A$7:$E$11,5,FALSE)-$H78))</f>
        <v>15</v>
      </c>
      <c r="Q78" s="31">
        <f t="shared" si="6"/>
        <v>11</v>
      </c>
      <c r="R78" s="122" t="str">
        <f t="shared" si="7"/>
        <v/>
      </c>
      <c r="S78" s="121">
        <f t="shared" si="8"/>
        <v>0.33</v>
      </c>
      <c r="T78" s="122" t="str">
        <f>IFERROR(__xludf.DUMMYFUNCTION("JOIN("","",IFERROR(FILTER(Matches!$B:$B,B78=Matches!$C:$C),""""),IFERROR(FILTER(Matches!$C:$C,B78=Matches!$B:$B),""""))"),",,,,,,,,,,,,,,,,,,,,,,,,,,,,,,,,,,,,,,,,,,,,,,,,,,,,,,,,,,,,,,,,,,,,,,,,,,,,,,,,,,,,,,,,,,,,,,,,,,,,,,,,,,,,,,,,,,,,,,,,,,,,,,,,,,,,,,,,,,,,,,,,,,,,,,,,,,,,,,,,,,,,,,,,,,,,,,,,,,,,,,,,,,,,,,,,,,,,,,,,,,,,,,,,,,,,,,,,,,,,,,,,,,,,,,,,,,,,,,,,,,,,,,,,,,,,,,,")</f>
        <v>,,,,,,,,,,,,,,,,,,,,,,,,,,,,,,,,,,,,,,,,,,,,,,,,,,,,,,,,,,,,,,,,,,,,,,,,,,,,,,,,,,,,,,,,,,,,,,,,,,,,,,,,,,,,,,,,,,,,,,,,,,,,,,,,,,,,,,,,,,,,,,,,,,,,,,,,,,,,,,,,,,,,,,,,,,,,,,,,,,,,,,,,,,,,,,,,,,,,,,,,,,,,,,,,,,,,,,,,,,,,,,,,,,,,,,,,,,,,,,,,,,,,,,,,,,,,,,,</v>
      </c>
      <c r="U78" s="121">
        <f>IFERROR(__xludf.DUMMYFUNCTION("iferror(AVERAGE(ARRAYFORMULA(VLOOKUP(SPLIT(T78,"","",TRUE,TRUE),$R$2:$S1000,2,FALSE))),0)"),0.0)</f>
        <v>0</v>
      </c>
      <c r="V78" s="123">
        <f>IFERROR(__xludf.DUMMYFUNCTION("RANK($I78, $I$2:$I1000, FALSE) + RANK($M78, Filter($M$2:$M1000, $I$2:$I1000=$I78),FALSE)+RANK($U78, Filter($U$2:$U1000, $I$2:$I1000=$I78,$M$2:$M1000=$M78),FALSE)-2"),1.0)</f>
        <v>1</v>
      </c>
      <c r="W78" s="124" t="str">
        <f t="shared" si="9"/>
        <v>Underplay</v>
      </c>
      <c r="X78" s="125" t="str">
        <f t="shared" si="10"/>
        <v/>
      </c>
      <c r="Y78" s="126">
        <f>MAXIFS(Matches!$A:$A,Matches!$C:$C,$B78)</f>
        <v>0</v>
      </c>
      <c r="Z78" s="126">
        <f t="array" ref="Z78">XLOOKUP(Y78,Quotas!$B$7:$B$10,Quotas!$A$7:$A$10,0,-1)</f>
        <v>0</v>
      </c>
      <c r="AB78" s="31"/>
      <c r="AC78" s="31">
        <f>COUNTIFS(Matches!$A:$A,"&gt;"&amp;Y78,Matches!$B:$B,$B78)</f>
        <v>0</v>
      </c>
      <c r="AD78" s="31"/>
      <c r="AE78" s="127">
        <f>SUMIF('Pool Changes'!B:B, B78, 'Pool Changes'!H:H)</f>
        <v>0</v>
      </c>
    </row>
    <row r="79">
      <c r="A79" s="104">
        <f t="shared" si="1"/>
        <v>1</v>
      </c>
      <c r="C79" s="128"/>
      <c r="D79" s="74"/>
      <c r="E79" s="1"/>
      <c r="F79" s="1"/>
      <c r="G79" s="1"/>
      <c r="H79" s="118">
        <f>COUNTIF(Entropy!$D:$D,$B79)+COUNTIF(Matches!$B:$B,$B79)+COUNTIF(Matches!$C:$C,$B79)</f>
        <v>0</v>
      </c>
      <c r="I79" s="119">
        <f>COUNTIF(Matches!$B:$B,B79)</f>
        <v>0</v>
      </c>
      <c r="J79" s="31">
        <f t="shared" si="2"/>
        <v>0</v>
      </c>
      <c r="K79" s="1" t="str">
        <f t="shared" si="3"/>
        <v>0 - 0</v>
      </c>
      <c r="L79" s="120">
        <f>COUNTIF(Entropy!$D:$D,$B79)</f>
        <v>0</v>
      </c>
      <c r="M79" s="121">
        <f t="shared" si="4"/>
        <v>0</v>
      </c>
      <c r="N79" s="121">
        <f t="shared" si="5"/>
        <v>0</v>
      </c>
      <c r="O79" s="118">
        <f>IF($J79=11,0,IF(AND($H79 &gt;=VLOOKUP('Combined Standings'!$C$2,Quotas!$A$7:$E$14,4,FALSE), $H79&lt;=VLOOKUP('Combined Standings'!$C$2,Quotas!$A$7:$E$14,5,FALSE)), 0,VLOOKUP('Combined Standings'!$C$2,Quotas!$A$7:$E$11,4,FALSE)-$H79))</f>
        <v>13</v>
      </c>
      <c r="P79" s="118">
        <f>IF($J79=11,0,IF(AND($H79 &gt;=VLOOKUP('Combined Standings'!$C$2,Quotas!$A$7:$E$14,5,FALSE), $H79&lt;=VLOOKUP('Combined Standings'!$C$2,Quotas!$A$7:$E$14,5,FALSE)), 0,VLOOKUP('Combined Standings'!$C$2,Quotas!$A$7:$E$11,5,FALSE)-$H79))</f>
        <v>15</v>
      </c>
      <c r="Q79" s="31">
        <f t="shared" si="6"/>
        <v>11</v>
      </c>
      <c r="R79" s="122" t="str">
        <f t="shared" si="7"/>
        <v/>
      </c>
      <c r="S79" s="121">
        <f t="shared" si="8"/>
        <v>0.33</v>
      </c>
      <c r="T79" s="122" t="str">
        <f>IFERROR(__xludf.DUMMYFUNCTION("JOIN("","",IFERROR(FILTER(Matches!$B:$B,B79=Matches!$C:$C),""""),IFERROR(FILTER(Matches!$C:$C,B79=Matches!$B:$B),""""))"),",,,,,,,,,,,,,,,,,,,,,,,,,,,,,,,,,,,,,,,,,,,,,,,,,,,,,,,,,,,,,,,,,,,,,,,,,,,,,,,,,,,,,,,,,,,,,,,,,,,,,,,,,,,,,,,,,,,,,,,,,,,,,,,,,,,,,,,,,,,,,,,,,,,,,,,,,,,,,,,,,,,,,,,,,,,,,,,,,,,,,,,,,,,,,,,,,,,,,,,,,,,,,,,,,,,,,,,,,,,,,,,,,,,,,,,,,,,,,,,,,,,,,,,,,,,,,,,")</f>
        <v>,,,,,,,,,,,,,,,,,,,,,,,,,,,,,,,,,,,,,,,,,,,,,,,,,,,,,,,,,,,,,,,,,,,,,,,,,,,,,,,,,,,,,,,,,,,,,,,,,,,,,,,,,,,,,,,,,,,,,,,,,,,,,,,,,,,,,,,,,,,,,,,,,,,,,,,,,,,,,,,,,,,,,,,,,,,,,,,,,,,,,,,,,,,,,,,,,,,,,,,,,,,,,,,,,,,,,,,,,,,,,,,,,,,,,,,,,,,,,,,,,,,,,,,,,,,,,,,</v>
      </c>
      <c r="U79" s="121">
        <f>IFERROR(__xludf.DUMMYFUNCTION("iferror(AVERAGE(ARRAYFORMULA(VLOOKUP(SPLIT(T79,"","",TRUE,TRUE),$R$2:$S1000,2,FALSE))),0)"),0.0)</f>
        <v>0</v>
      </c>
      <c r="V79" s="123">
        <f>IFERROR(__xludf.DUMMYFUNCTION("RANK($I79, $I$2:$I1000, FALSE) + RANK($M79, Filter($M$2:$M1000, $I$2:$I1000=$I79),FALSE)+RANK($U79, Filter($U$2:$U1000, $I$2:$I1000=$I79,$M$2:$M1000=$M79),FALSE)-2"),1.0)</f>
        <v>1</v>
      </c>
      <c r="W79" s="124" t="str">
        <f t="shared" si="9"/>
        <v>Underplay</v>
      </c>
      <c r="X79" s="125" t="str">
        <f t="shared" si="10"/>
        <v/>
      </c>
      <c r="Y79" s="126">
        <f>MAXIFS(Matches!$A:$A,Matches!$C:$C,$B79)</f>
        <v>0</v>
      </c>
      <c r="Z79" s="126">
        <f t="array" ref="Z79">XLOOKUP(Y79,Quotas!$B$7:$B$10,Quotas!$A$7:$A$10,0,-1)</f>
        <v>0</v>
      </c>
      <c r="AB79" s="31"/>
      <c r="AC79" s="31">
        <f>COUNTIFS(Matches!$A:$A,"&gt;"&amp;Y79,Matches!$B:$B,$B79)</f>
        <v>0</v>
      </c>
      <c r="AD79" s="31"/>
      <c r="AE79" s="127">
        <f>SUMIF('Pool Changes'!B:B, B79, 'Pool Changes'!H:H)</f>
        <v>0</v>
      </c>
    </row>
    <row r="80">
      <c r="A80" s="104">
        <f t="shared" si="1"/>
        <v>1</v>
      </c>
      <c r="C80" s="128"/>
      <c r="D80" s="74"/>
      <c r="E80" s="1"/>
      <c r="F80" s="1"/>
      <c r="G80" s="1"/>
      <c r="H80" s="118">
        <f>COUNTIF(Entropy!$D:$D,$B80)+COUNTIF(Matches!$B:$B,$B80)+COUNTIF(Matches!$C:$C,$B80)</f>
        <v>0</v>
      </c>
      <c r="I80" s="119">
        <f>COUNTIF(Matches!$B:$B,B80)</f>
        <v>0</v>
      </c>
      <c r="J80" s="31">
        <f t="shared" si="2"/>
        <v>0</v>
      </c>
      <c r="K80" s="1" t="str">
        <f t="shared" si="3"/>
        <v>0 - 0</v>
      </c>
      <c r="L80" s="120">
        <f>COUNTIF(Entropy!$D:$D,$B80)</f>
        <v>0</v>
      </c>
      <c r="M80" s="121">
        <f t="shared" si="4"/>
        <v>0</v>
      </c>
      <c r="N80" s="121">
        <f t="shared" si="5"/>
        <v>0</v>
      </c>
      <c r="O80" s="118">
        <f>IF($J80=11,0,IF(AND($H80 &gt;=VLOOKUP('Combined Standings'!$C$2,Quotas!$A$7:$E$14,4,FALSE), $H80&lt;=VLOOKUP('Combined Standings'!$C$2,Quotas!$A$7:$E$14,5,FALSE)), 0,VLOOKUP('Combined Standings'!$C$2,Quotas!$A$7:$E$11,4,FALSE)-$H80))</f>
        <v>13</v>
      </c>
      <c r="P80" s="118">
        <f>IF($J80=11,0,IF(AND($H80 &gt;=VLOOKUP('Combined Standings'!$C$2,Quotas!$A$7:$E$14,5,FALSE), $H80&lt;=VLOOKUP('Combined Standings'!$C$2,Quotas!$A$7:$E$14,5,FALSE)), 0,VLOOKUP('Combined Standings'!$C$2,Quotas!$A$7:$E$11,5,FALSE)-$H80))</f>
        <v>15</v>
      </c>
      <c r="Q80" s="31">
        <f t="shared" si="6"/>
        <v>11</v>
      </c>
      <c r="R80" s="122" t="str">
        <f t="shared" si="7"/>
        <v/>
      </c>
      <c r="S80" s="121">
        <f t="shared" si="8"/>
        <v>0.33</v>
      </c>
      <c r="T80" s="122" t="str">
        <f>IFERROR(__xludf.DUMMYFUNCTION("JOIN("","",IFERROR(FILTER(Matches!$B:$B,B80=Matches!$C:$C),""""),IFERROR(FILTER(Matches!$C:$C,B80=Matches!$B:$B),""""))"),",,,,,,,,,,,,,,,,,,,,,,,,,,,,,,,,,,,,,,,,,,,,,,,,,,,,,,,,,,,,,,,,,,,,,,,,,,,,,,,,,,,,,,,,,,,,,,,,,,,,,,,,,,,,,,,,,,,,,,,,,,,,,,,,,,,,,,,,,,,,,,,,,,,,,,,,,,,,,,,,,,,,,,,,,,,,,,,,,,,,,,,,,,,,,,,,,,,,,,,,,,,,,,,,,,,,,,,,,,,,,,,,,,,,,,,,,,,,,,,,,,,,,,,,,,,,,,,")</f>
        <v>,,,,,,,,,,,,,,,,,,,,,,,,,,,,,,,,,,,,,,,,,,,,,,,,,,,,,,,,,,,,,,,,,,,,,,,,,,,,,,,,,,,,,,,,,,,,,,,,,,,,,,,,,,,,,,,,,,,,,,,,,,,,,,,,,,,,,,,,,,,,,,,,,,,,,,,,,,,,,,,,,,,,,,,,,,,,,,,,,,,,,,,,,,,,,,,,,,,,,,,,,,,,,,,,,,,,,,,,,,,,,,,,,,,,,,,,,,,,,,,,,,,,,,,,,,,,,,,</v>
      </c>
      <c r="U80" s="121">
        <f>IFERROR(__xludf.DUMMYFUNCTION("iferror(AVERAGE(ARRAYFORMULA(VLOOKUP(SPLIT(T80,"","",TRUE,TRUE),$R$2:$S1000,2,FALSE))),0)"),0.0)</f>
        <v>0</v>
      </c>
      <c r="V80" s="123">
        <f>IFERROR(__xludf.DUMMYFUNCTION("RANK($I80, $I$2:$I1000, FALSE) + RANK($M80, Filter($M$2:$M1000, $I$2:$I1000=$I80),FALSE)+RANK($U80, Filter($U$2:$U1000, $I$2:$I1000=$I80,$M$2:$M1000=$M80),FALSE)-2"),1.0)</f>
        <v>1</v>
      </c>
      <c r="W80" s="124" t="str">
        <f t="shared" si="9"/>
        <v>Underplay</v>
      </c>
      <c r="X80" s="125" t="str">
        <f t="shared" si="10"/>
        <v/>
      </c>
      <c r="Y80" s="126">
        <f>MAXIFS(Matches!$A:$A,Matches!$C:$C,$B80)</f>
        <v>0</v>
      </c>
      <c r="Z80" s="126">
        <f t="array" ref="Z80">XLOOKUP(Y80,Quotas!$B$7:$B$10,Quotas!$A$7:$A$10,0,-1)</f>
        <v>0</v>
      </c>
      <c r="AB80" s="31"/>
      <c r="AC80" s="31">
        <f>COUNTIFS(Matches!$A:$A,"&gt;"&amp;Y80,Matches!$B:$B,$B80)</f>
        <v>0</v>
      </c>
      <c r="AD80" s="31"/>
      <c r="AE80" s="127">
        <f>SUMIF('Pool Changes'!B:B, B80, 'Pool Changes'!H:H)</f>
        <v>0</v>
      </c>
    </row>
    <row r="81">
      <c r="A81" s="104">
        <f t="shared" si="1"/>
        <v>1</v>
      </c>
      <c r="C81" s="128"/>
      <c r="D81" s="74"/>
      <c r="E81" s="1"/>
      <c r="F81" s="1"/>
      <c r="G81" s="1"/>
      <c r="H81" s="118">
        <f>COUNTIF(Entropy!$D:$D,$B81)+COUNTIF(Matches!$B:$B,$B81)+COUNTIF(Matches!$C:$C,$B81)</f>
        <v>0</v>
      </c>
      <c r="I81" s="119">
        <f>COUNTIF(Matches!$B:$B,B81)</f>
        <v>0</v>
      </c>
      <c r="J81" s="31">
        <f t="shared" si="2"/>
        <v>0</v>
      </c>
      <c r="K81" s="1" t="str">
        <f t="shared" si="3"/>
        <v>0 - 0</v>
      </c>
      <c r="L81" s="120">
        <f>COUNTIF(Entropy!$D:$D,$B81)</f>
        <v>0</v>
      </c>
      <c r="M81" s="121">
        <f t="shared" si="4"/>
        <v>0</v>
      </c>
      <c r="N81" s="121">
        <f t="shared" si="5"/>
        <v>0</v>
      </c>
      <c r="O81" s="118">
        <f>IF($J81=11,0,IF(AND($H81 &gt;=VLOOKUP('Combined Standings'!$C$2,Quotas!$A$7:$E$14,4,FALSE), $H81&lt;=VLOOKUP('Combined Standings'!$C$2,Quotas!$A$7:$E$14,5,FALSE)), 0,VLOOKUP('Combined Standings'!$C$2,Quotas!$A$7:$E$11,4,FALSE)-$H81))</f>
        <v>13</v>
      </c>
      <c r="P81" s="118">
        <f>IF($J81=11,0,IF(AND($H81 &gt;=VLOOKUP('Combined Standings'!$C$2,Quotas!$A$7:$E$14,5,FALSE), $H81&lt;=VLOOKUP('Combined Standings'!$C$2,Quotas!$A$7:$E$14,5,FALSE)), 0,VLOOKUP('Combined Standings'!$C$2,Quotas!$A$7:$E$11,5,FALSE)-$H81))</f>
        <v>15</v>
      </c>
      <c r="Q81" s="31">
        <f t="shared" si="6"/>
        <v>11</v>
      </c>
      <c r="R81" s="122" t="str">
        <f t="shared" si="7"/>
        <v/>
      </c>
      <c r="S81" s="121">
        <f t="shared" si="8"/>
        <v>0.33</v>
      </c>
      <c r="T81" s="122" t="str">
        <f>IFERROR(__xludf.DUMMYFUNCTION("JOIN("","",IFERROR(FILTER(Matches!$B:$B,B81=Matches!$C:$C),""""),IFERROR(FILTER(Matches!$C:$C,B81=Matches!$B:$B),""""))"),",,,,,,,,,,,,,,,,,,,,,,,,,,,,,,,,,,,,,,,,,,,,,,,,,,,,,,,,,,,,,,,,,,,,,,,,,,,,,,,,,,,,,,,,,,,,,,,,,,,,,,,,,,,,,,,,,,,,,,,,,,,,,,,,,,,,,,,,,,,,,,,,,,,,,,,,,,,,,,,,,,,,,,,,,,,,,,,,,,,,,,,,,,,,,,,,,,,,,,,,,,,,,,,,,,,,,,,,,,,,,,,,,,,,,,,,,,,,,,,,,,,,,,,,,,,,,,,")</f>
        <v>,,,,,,,,,,,,,,,,,,,,,,,,,,,,,,,,,,,,,,,,,,,,,,,,,,,,,,,,,,,,,,,,,,,,,,,,,,,,,,,,,,,,,,,,,,,,,,,,,,,,,,,,,,,,,,,,,,,,,,,,,,,,,,,,,,,,,,,,,,,,,,,,,,,,,,,,,,,,,,,,,,,,,,,,,,,,,,,,,,,,,,,,,,,,,,,,,,,,,,,,,,,,,,,,,,,,,,,,,,,,,,,,,,,,,,,,,,,,,,,,,,,,,,,,,,,,,,,</v>
      </c>
      <c r="U81" s="121">
        <f>IFERROR(__xludf.DUMMYFUNCTION("iferror(AVERAGE(ARRAYFORMULA(VLOOKUP(SPLIT(T81,"","",TRUE,TRUE),$R$2:$S1000,2,FALSE))),0)"),0.0)</f>
        <v>0</v>
      </c>
      <c r="V81" s="123">
        <f>IFERROR(__xludf.DUMMYFUNCTION("RANK($I81, $I$2:$I1000, FALSE) + RANK($M81, Filter($M$2:$M1000, $I$2:$I1000=$I81),FALSE)+RANK($U81, Filter($U$2:$U1000, $I$2:$I1000=$I81,$M$2:$M1000=$M81),FALSE)-2"),1.0)</f>
        <v>1</v>
      </c>
      <c r="W81" s="124" t="str">
        <f t="shared" si="9"/>
        <v>Underplay</v>
      </c>
      <c r="X81" s="125" t="str">
        <f t="shared" si="10"/>
        <v/>
      </c>
      <c r="Y81" s="126">
        <f>MAXIFS(Matches!$A:$A,Matches!$C:$C,$B81)</f>
        <v>0</v>
      </c>
      <c r="Z81" s="126">
        <f t="array" ref="Z81">XLOOKUP(Y81,Quotas!$B$7:$B$10,Quotas!$A$7:$A$10,0,-1)</f>
        <v>0</v>
      </c>
      <c r="AB81" s="31"/>
      <c r="AC81" s="31">
        <f>COUNTIFS(Matches!$A:$A,"&gt;"&amp;Y81,Matches!$B:$B,$B81)</f>
        <v>0</v>
      </c>
      <c r="AD81" s="31"/>
      <c r="AE81" s="127">
        <f>SUMIF('Pool Changes'!B:B, B81, 'Pool Changes'!H:H)</f>
        <v>0</v>
      </c>
    </row>
    <row r="82">
      <c r="A82" s="104">
        <f t="shared" si="1"/>
        <v>1</v>
      </c>
      <c r="C82" s="128"/>
      <c r="D82" s="74"/>
      <c r="E82" s="1"/>
      <c r="F82" s="1"/>
      <c r="G82" s="1"/>
      <c r="H82" s="118">
        <f>COUNTIF(Entropy!$D:$D,$B82)+COUNTIF(Matches!$B:$B,$B82)+COUNTIF(Matches!$C:$C,$B82)</f>
        <v>0</v>
      </c>
      <c r="I82" s="119">
        <f>COUNTIF(Matches!$B:$B,B82)</f>
        <v>0</v>
      </c>
      <c r="J82" s="31">
        <f t="shared" si="2"/>
        <v>0</v>
      </c>
      <c r="K82" s="1" t="str">
        <f t="shared" si="3"/>
        <v>0 - 0</v>
      </c>
      <c r="L82" s="120">
        <f>COUNTIF(Entropy!$D:$D,$B82)</f>
        <v>0</v>
      </c>
      <c r="M82" s="121">
        <f t="shared" si="4"/>
        <v>0</v>
      </c>
      <c r="N82" s="121">
        <f t="shared" si="5"/>
        <v>0</v>
      </c>
      <c r="O82" s="118">
        <f>IF($J82=11,0,IF(AND($H82 &gt;=VLOOKUP('Combined Standings'!$C$2,Quotas!$A$7:$E$14,4,FALSE), $H82&lt;=VLOOKUP('Combined Standings'!$C$2,Quotas!$A$7:$E$14,5,FALSE)), 0,VLOOKUP('Combined Standings'!$C$2,Quotas!$A$7:$E$11,4,FALSE)-$H82))</f>
        <v>13</v>
      </c>
      <c r="P82" s="118">
        <f>IF($J82=11,0,IF(AND($H82 &gt;=VLOOKUP('Combined Standings'!$C$2,Quotas!$A$7:$E$14,5,FALSE), $H82&lt;=VLOOKUP('Combined Standings'!$C$2,Quotas!$A$7:$E$14,5,FALSE)), 0,VLOOKUP('Combined Standings'!$C$2,Quotas!$A$7:$E$11,5,FALSE)-$H82))</f>
        <v>15</v>
      </c>
      <c r="Q82" s="31">
        <f t="shared" si="6"/>
        <v>11</v>
      </c>
      <c r="R82" s="122" t="str">
        <f t="shared" si="7"/>
        <v/>
      </c>
      <c r="S82" s="121">
        <f t="shared" si="8"/>
        <v>0.33</v>
      </c>
      <c r="T82" s="122" t="str">
        <f>IFERROR(__xludf.DUMMYFUNCTION("JOIN("","",IFERROR(FILTER(Matches!$B:$B,B82=Matches!$C:$C),""""),IFERROR(FILTER(Matches!$C:$C,B82=Matches!$B:$B),""""))"),",,,,,,,,,,,,,,,,,,,,,,,,,,,,,,,,,,,,,,,,,,,,,,,,,,,,,,,,,,,,,,,,,,,,,,,,,,,,,,,,,,,,,,,,,,,,,,,,,,,,,,,,,,,,,,,,,,,,,,,,,,,,,,,,,,,,,,,,,,,,,,,,,,,,,,,,,,,,,,,,,,,,,,,,,,,,,,,,,,,,,,,,,,,,,,,,,,,,,,,,,,,,,,,,,,,,,,,,,,,,,,,,,,,,,,,,,,,,,,,,,,,,,,,,,,,,,,,")</f>
        <v>,,,,,,,,,,,,,,,,,,,,,,,,,,,,,,,,,,,,,,,,,,,,,,,,,,,,,,,,,,,,,,,,,,,,,,,,,,,,,,,,,,,,,,,,,,,,,,,,,,,,,,,,,,,,,,,,,,,,,,,,,,,,,,,,,,,,,,,,,,,,,,,,,,,,,,,,,,,,,,,,,,,,,,,,,,,,,,,,,,,,,,,,,,,,,,,,,,,,,,,,,,,,,,,,,,,,,,,,,,,,,,,,,,,,,,,,,,,,,,,,,,,,,,,,,,,,,,,</v>
      </c>
      <c r="U82" s="121">
        <f>IFERROR(__xludf.DUMMYFUNCTION("iferror(AVERAGE(ARRAYFORMULA(VLOOKUP(SPLIT(T82,"","",TRUE,TRUE),$R$2:$S1000,2,FALSE))),0)"),0.0)</f>
        <v>0</v>
      </c>
      <c r="V82" s="123">
        <f>IFERROR(__xludf.DUMMYFUNCTION("RANK($I82, $I$2:$I1000, FALSE) + RANK($M82, Filter($M$2:$M1000, $I$2:$I1000=$I82),FALSE)+RANK($U82, Filter($U$2:$U1000, $I$2:$I1000=$I82,$M$2:$M1000=$M82),FALSE)-2"),1.0)</f>
        <v>1</v>
      </c>
      <c r="W82" s="124" t="str">
        <f t="shared" si="9"/>
        <v>Underplay</v>
      </c>
      <c r="X82" s="125" t="str">
        <f t="shared" si="10"/>
        <v/>
      </c>
      <c r="Y82" s="126">
        <f>MAXIFS(Matches!$A:$A,Matches!$C:$C,$B82)</f>
        <v>0</v>
      </c>
      <c r="Z82" s="126">
        <f t="array" ref="Z82">XLOOKUP(Y82,Quotas!$B$7:$B$10,Quotas!$A$7:$A$10,0,-1)</f>
        <v>0</v>
      </c>
      <c r="AB82" s="31"/>
      <c r="AC82" s="31">
        <f>COUNTIFS(Matches!$A:$A,"&gt;"&amp;Y82,Matches!$B:$B,$B82)</f>
        <v>0</v>
      </c>
      <c r="AD82" s="31"/>
      <c r="AE82" s="127">
        <f>SUMIF('Pool Changes'!B:B, B82, 'Pool Changes'!H:H)</f>
        <v>0</v>
      </c>
    </row>
    <row r="83">
      <c r="A83" s="104">
        <f t="shared" si="1"/>
        <v>1</v>
      </c>
      <c r="C83" s="128"/>
      <c r="D83" s="74"/>
      <c r="E83" s="1"/>
      <c r="F83" s="1"/>
      <c r="G83" s="1"/>
      <c r="H83" s="118">
        <f>COUNTIF(Entropy!$D:$D,$B83)+COUNTIF(Matches!$B:$B,$B83)+COUNTIF(Matches!$C:$C,$B83)</f>
        <v>0</v>
      </c>
      <c r="I83" s="119">
        <f>COUNTIF(Matches!$B:$B,B83)</f>
        <v>0</v>
      </c>
      <c r="J83" s="31">
        <f t="shared" si="2"/>
        <v>0</v>
      </c>
      <c r="K83" s="1" t="str">
        <f t="shared" si="3"/>
        <v>0 - 0</v>
      </c>
      <c r="L83" s="120">
        <f>COUNTIF(Entropy!$D:$D,$B83)</f>
        <v>0</v>
      </c>
      <c r="M83" s="121">
        <f t="shared" si="4"/>
        <v>0</v>
      </c>
      <c r="N83" s="121">
        <f t="shared" si="5"/>
        <v>0</v>
      </c>
      <c r="O83" s="118">
        <f>IF($J83=11,0,IF(AND($H83 &gt;=VLOOKUP('Combined Standings'!$C$2,Quotas!$A$7:$E$14,4,FALSE), $H83&lt;=VLOOKUP('Combined Standings'!$C$2,Quotas!$A$7:$E$14,5,FALSE)), 0,VLOOKUP('Combined Standings'!$C$2,Quotas!$A$7:$E$11,4,FALSE)-$H83))</f>
        <v>13</v>
      </c>
      <c r="P83" s="118">
        <f>IF($J83=11,0,IF(AND($H83 &gt;=VLOOKUP('Combined Standings'!$C$2,Quotas!$A$7:$E$14,5,FALSE), $H83&lt;=VLOOKUP('Combined Standings'!$C$2,Quotas!$A$7:$E$14,5,FALSE)), 0,VLOOKUP('Combined Standings'!$C$2,Quotas!$A$7:$E$11,5,FALSE)-$H83))</f>
        <v>15</v>
      </c>
      <c r="Q83" s="31">
        <f t="shared" si="6"/>
        <v>11</v>
      </c>
      <c r="R83" s="122" t="str">
        <f t="shared" si="7"/>
        <v/>
      </c>
      <c r="S83" s="121">
        <f t="shared" si="8"/>
        <v>0.33</v>
      </c>
      <c r="T83" s="122" t="str">
        <f>IFERROR(__xludf.DUMMYFUNCTION("JOIN("","",IFERROR(FILTER(Matches!$B:$B,B83=Matches!$C:$C),""""),IFERROR(FILTER(Matches!$C:$C,B83=Matches!$B:$B),""""))"),",,,,,,,,,,,,,,,,,,,,,,,,,,,,,,,,,,,,,,,,,,,,,,,,,,,,,,,,,,,,,,,,,,,,,,,,,,,,,,,,,,,,,,,,,,,,,,,,,,,,,,,,,,,,,,,,,,,,,,,,,,,,,,,,,,,,,,,,,,,,,,,,,,,,,,,,,,,,,,,,,,,,,,,,,,,,,,,,,,,,,,,,,,,,,,,,,,,,,,,,,,,,,,,,,,,,,,,,,,,,,,,,,,,,,,,,,,,,,,,,,,,,,,,,,,,,,,,")</f>
        <v>,,,,,,,,,,,,,,,,,,,,,,,,,,,,,,,,,,,,,,,,,,,,,,,,,,,,,,,,,,,,,,,,,,,,,,,,,,,,,,,,,,,,,,,,,,,,,,,,,,,,,,,,,,,,,,,,,,,,,,,,,,,,,,,,,,,,,,,,,,,,,,,,,,,,,,,,,,,,,,,,,,,,,,,,,,,,,,,,,,,,,,,,,,,,,,,,,,,,,,,,,,,,,,,,,,,,,,,,,,,,,,,,,,,,,,,,,,,,,,,,,,,,,,,,,,,,,,,</v>
      </c>
      <c r="U83" s="121">
        <f>IFERROR(__xludf.DUMMYFUNCTION("iferror(AVERAGE(ARRAYFORMULA(VLOOKUP(SPLIT(T83,"","",TRUE,TRUE),$R$2:$S1000,2,FALSE))),0)"),0.0)</f>
        <v>0</v>
      </c>
      <c r="V83" s="123">
        <f>IFERROR(__xludf.DUMMYFUNCTION("RANK($I83, $I$2:$I1000, FALSE) + RANK($M83, Filter($M$2:$M1000, $I$2:$I1000=$I83),FALSE)+RANK($U83, Filter($U$2:$U1000, $I$2:$I1000=$I83,$M$2:$M1000=$M83),FALSE)-2"),1.0)</f>
        <v>1</v>
      </c>
      <c r="W83" s="124" t="str">
        <f t="shared" si="9"/>
        <v>Underplay</v>
      </c>
      <c r="X83" s="125" t="str">
        <f t="shared" si="10"/>
        <v/>
      </c>
      <c r="Y83" s="126">
        <f>MAXIFS(Matches!$A:$A,Matches!$C:$C,$B83)</f>
        <v>0</v>
      </c>
      <c r="Z83" s="126">
        <f t="array" ref="Z83">XLOOKUP(Y83,Quotas!$B$7:$B$10,Quotas!$A$7:$A$10,0,-1)</f>
        <v>0</v>
      </c>
      <c r="AB83" s="31"/>
      <c r="AC83" s="31">
        <f>COUNTIFS(Matches!$A:$A,"&gt;"&amp;Y83,Matches!$B:$B,$B83)</f>
        <v>0</v>
      </c>
      <c r="AD83" s="31"/>
      <c r="AE83" s="127">
        <f>SUMIF('Pool Changes'!B:B, B83, 'Pool Changes'!H:H)</f>
        <v>0</v>
      </c>
    </row>
    <row r="84">
      <c r="A84" s="104">
        <f t="shared" si="1"/>
        <v>1</v>
      </c>
      <c r="C84" s="128"/>
      <c r="D84" s="74"/>
      <c r="E84" s="1"/>
      <c r="F84" s="1"/>
      <c r="G84" s="1"/>
      <c r="H84" s="118">
        <f>COUNTIF(Entropy!$D:$D,$B84)+COUNTIF(Matches!$B:$B,$B84)+COUNTIF(Matches!$C:$C,$B84)</f>
        <v>0</v>
      </c>
      <c r="I84" s="119">
        <f>COUNTIF(Matches!$B:$B,B84)</f>
        <v>0</v>
      </c>
      <c r="J84" s="31">
        <f t="shared" si="2"/>
        <v>0</v>
      </c>
      <c r="K84" s="1" t="str">
        <f t="shared" si="3"/>
        <v>0 - 0</v>
      </c>
      <c r="L84" s="120">
        <f>COUNTIF(Entropy!$D:$D,$B84)</f>
        <v>0</v>
      </c>
      <c r="M84" s="121">
        <f t="shared" si="4"/>
        <v>0</v>
      </c>
      <c r="N84" s="121">
        <f t="shared" si="5"/>
        <v>0</v>
      </c>
      <c r="O84" s="118">
        <f>IF($J84=11,0,IF(AND($H84 &gt;=VLOOKUP('Combined Standings'!$C$2,Quotas!$A$7:$E$14,4,FALSE), $H84&lt;=VLOOKUP('Combined Standings'!$C$2,Quotas!$A$7:$E$14,5,FALSE)), 0,VLOOKUP('Combined Standings'!$C$2,Quotas!$A$7:$E$11,4,FALSE)-$H84))</f>
        <v>13</v>
      </c>
      <c r="P84" s="118">
        <f>IF($J84=11,0,IF(AND($H84 &gt;=VLOOKUP('Combined Standings'!$C$2,Quotas!$A$7:$E$14,5,FALSE), $H84&lt;=VLOOKUP('Combined Standings'!$C$2,Quotas!$A$7:$E$14,5,FALSE)), 0,VLOOKUP('Combined Standings'!$C$2,Quotas!$A$7:$E$11,5,FALSE)-$H84))</f>
        <v>15</v>
      </c>
      <c r="Q84" s="31">
        <f t="shared" si="6"/>
        <v>11</v>
      </c>
      <c r="R84" s="122" t="str">
        <f t="shared" si="7"/>
        <v/>
      </c>
      <c r="S84" s="121">
        <f t="shared" si="8"/>
        <v>0.33</v>
      </c>
      <c r="T84" s="122" t="str">
        <f>IFERROR(__xludf.DUMMYFUNCTION("JOIN("","",IFERROR(FILTER(Matches!$B:$B,B84=Matches!$C:$C),""""),IFERROR(FILTER(Matches!$C:$C,B84=Matches!$B:$B),""""))"),",,,,,,,,,,,,,,,,,,,,,,,,,,,,,,,,,,,,,,,,,,,,,,,,,,,,,,,,,,,,,,,,,,,,,,,,,,,,,,,,,,,,,,,,,,,,,,,,,,,,,,,,,,,,,,,,,,,,,,,,,,,,,,,,,,,,,,,,,,,,,,,,,,,,,,,,,,,,,,,,,,,,,,,,,,,,,,,,,,,,,,,,,,,,,,,,,,,,,,,,,,,,,,,,,,,,,,,,,,,,,,,,,,,,,,,,,,,,,,,,,,,,,,,,,,,,,,,")</f>
        <v>,,,,,,,,,,,,,,,,,,,,,,,,,,,,,,,,,,,,,,,,,,,,,,,,,,,,,,,,,,,,,,,,,,,,,,,,,,,,,,,,,,,,,,,,,,,,,,,,,,,,,,,,,,,,,,,,,,,,,,,,,,,,,,,,,,,,,,,,,,,,,,,,,,,,,,,,,,,,,,,,,,,,,,,,,,,,,,,,,,,,,,,,,,,,,,,,,,,,,,,,,,,,,,,,,,,,,,,,,,,,,,,,,,,,,,,,,,,,,,,,,,,,,,,,,,,,,,,</v>
      </c>
      <c r="U84" s="121">
        <f>IFERROR(__xludf.DUMMYFUNCTION("iferror(AVERAGE(ARRAYFORMULA(VLOOKUP(SPLIT(T84,"","",TRUE,TRUE),$R$2:$S1000,2,FALSE))),0)"),0.0)</f>
        <v>0</v>
      </c>
      <c r="V84" s="123">
        <f>IFERROR(__xludf.DUMMYFUNCTION("RANK($I84, $I$2:$I1000, FALSE) + RANK($M84, Filter($M$2:$M1000, $I$2:$I1000=$I84),FALSE)+RANK($U84, Filter($U$2:$U1000, $I$2:$I1000=$I84,$M$2:$M1000=$M84),FALSE)-2"),1.0)</f>
        <v>1</v>
      </c>
      <c r="W84" s="124" t="str">
        <f t="shared" si="9"/>
        <v>Underplay</v>
      </c>
      <c r="X84" s="125" t="str">
        <f t="shared" si="10"/>
        <v/>
      </c>
      <c r="Y84" s="126">
        <f>MAXIFS(Matches!$A:$A,Matches!$C:$C,$B84)</f>
        <v>0</v>
      </c>
      <c r="Z84" s="126">
        <f t="array" ref="Z84">XLOOKUP(Y84,Quotas!$B$7:$B$10,Quotas!$A$7:$A$10,0,-1)</f>
        <v>0</v>
      </c>
      <c r="AB84" s="31"/>
      <c r="AC84" s="31">
        <f>COUNTIFS(Matches!$A:$A,"&gt;"&amp;Y84,Matches!$B:$B,$B84)</f>
        <v>0</v>
      </c>
      <c r="AD84" s="31"/>
      <c r="AE84" s="127">
        <f>SUMIF('Pool Changes'!B:B, B84, 'Pool Changes'!H:H)</f>
        <v>0</v>
      </c>
    </row>
    <row r="85">
      <c r="A85" s="104">
        <f t="shared" si="1"/>
        <v>1</v>
      </c>
      <c r="C85" s="128"/>
      <c r="D85" s="74"/>
      <c r="E85" s="1"/>
      <c r="F85" s="1"/>
      <c r="G85" s="1"/>
      <c r="H85" s="118">
        <f>COUNTIF(Entropy!$D:$D,$B85)+COUNTIF(Matches!$B:$B,$B85)+COUNTIF(Matches!$C:$C,$B85)</f>
        <v>0</v>
      </c>
      <c r="I85" s="119">
        <f>COUNTIF(Matches!$B:$B,B85)</f>
        <v>0</v>
      </c>
      <c r="J85" s="31">
        <f t="shared" si="2"/>
        <v>0</v>
      </c>
      <c r="K85" s="1" t="str">
        <f t="shared" si="3"/>
        <v>0 - 0</v>
      </c>
      <c r="L85" s="120">
        <f>COUNTIF(Entropy!$D:$D,$B85)</f>
        <v>0</v>
      </c>
      <c r="M85" s="121">
        <f t="shared" si="4"/>
        <v>0</v>
      </c>
      <c r="N85" s="121">
        <f t="shared" si="5"/>
        <v>0</v>
      </c>
      <c r="O85" s="118">
        <f>IF($J85=11,0,IF(AND($H85 &gt;=VLOOKUP('Combined Standings'!$C$2,Quotas!$A$7:$E$14,4,FALSE), $H85&lt;=VLOOKUP('Combined Standings'!$C$2,Quotas!$A$7:$E$14,5,FALSE)), 0,VLOOKUP('Combined Standings'!$C$2,Quotas!$A$7:$E$11,4,FALSE)-$H85))</f>
        <v>13</v>
      </c>
      <c r="P85" s="118">
        <f>IF($J85=11,0,IF(AND($H85 &gt;=VLOOKUP('Combined Standings'!$C$2,Quotas!$A$7:$E$14,5,FALSE), $H85&lt;=VLOOKUP('Combined Standings'!$C$2,Quotas!$A$7:$E$14,5,FALSE)), 0,VLOOKUP('Combined Standings'!$C$2,Quotas!$A$7:$E$11,5,FALSE)-$H85))</f>
        <v>15</v>
      </c>
      <c r="Q85" s="31">
        <f t="shared" si="6"/>
        <v>11</v>
      </c>
      <c r="R85" s="122" t="str">
        <f t="shared" si="7"/>
        <v/>
      </c>
      <c r="S85" s="121">
        <f t="shared" si="8"/>
        <v>0.33</v>
      </c>
      <c r="T85" s="122" t="str">
        <f>IFERROR(__xludf.DUMMYFUNCTION("JOIN("","",IFERROR(FILTER(Matches!$B:$B,B85=Matches!$C:$C),""""),IFERROR(FILTER(Matches!$C:$C,B85=Matches!$B:$B),""""))"),",,,,,,,,,,,,,,,,,,,,,,,,,,,,,,,,,,,,,,,,,,,,,,,,,,,,,,,,,,,,,,,,,,,,,,,,,,,,,,,,,,,,,,,,,,,,,,,,,,,,,,,,,,,,,,,,,,,,,,,,,,,,,,,,,,,,,,,,,,,,,,,,,,,,,,,,,,,,,,,,,,,,,,,,,,,,,,,,,,,,,,,,,,,,,,,,,,,,,,,,,,,,,,,,,,,,,,,,,,,,,,,,,,,,,,,,,,,,,,,,,,,,,,,,,,,,,,,")</f>
        <v>,,,,,,,,,,,,,,,,,,,,,,,,,,,,,,,,,,,,,,,,,,,,,,,,,,,,,,,,,,,,,,,,,,,,,,,,,,,,,,,,,,,,,,,,,,,,,,,,,,,,,,,,,,,,,,,,,,,,,,,,,,,,,,,,,,,,,,,,,,,,,,,,,,,,,,,,,,,,,,,,,,,,,,,,,,,,,,,,,,,,,,,,,,,,,,,,,,,,,,,,,,,,,,,,,,,,,,,,,,,,,,,,,,,,,,,,,,,,,,,,,,,,,,,,,,,,,,,</v>
      </c>
      <c r="U85" s="121">
        <f>IFERROR(__xludf.DUMMYFUNCTION("iferror(AVERAGE(ARRAYFORMULA(VLOOKUP(SPLIT(T85,"","",TRUE,TRUE),$R$2:$S1000,2,FALSE))),0)"),0.0)</f>
        <v>0</v>
      </c>
      <c r="V85" s="123">
        <f>IFERROR(__xludf.DUMMYFUNCTION("RANK($I85, $I$2:$I1000, FALSE) + RANK($M85, Filter($M$2:$M1000, $I$2:$I1000=$I85),FALSE)+RANK($U85, Filter($U$2:$U1000, $I$2:$I1000=$I85,$M$2:$M1000=$M85),FALSE)-2"),1.0)</f>
        <v>1</v>
      </c>
      <c r="W85" s="124" t="str">
        <f t="shared" si="9"/>
        <v>Underplay</v>
      </c>
      <c r="X85" s="125" t="str">
        <f t="shared" si="10"/>
        <v/>
      </c>
      <c r="Y85" s="126">
        <f>MAXIFS(Matches!$A:$A,Matches!$C:$C,$B85)</f>
        <v>0</v>
      </c>
      <c r="Z85" s="126">
        <f t="array" ref="Z85">XLOOKUP(Y85,Quotas!$B$7:$B$10,Quotas!$A$7:$A$10,0,-1)</f>
        <v>0</v>
      </c>
      <c r="AB85" s="31"/>
      <c r="AC85" s="31">
        <f>COUNTIFS(Matches!$A:$A,"&gt;"&amp;Y85,Matches!$B:$B,$B85)</f>
        <v>0</v>
      </c>
      <c r="AD85" s="31"/>
      <c r="AE85" s="127">
        <f>SUMIF('Pool Changes'!B:B, B85, 'Pool Changes'!H:H)</f>
        <v>0</v>
      </c>
    </row>
    <row r="86">
      <c r="A86" s="104">
        <f t="shared" si="1"/>
        <v>1</v>
      </c>
      <c r="C86" s="128"/>
      <c r="D86" s="74"/>
      <c r="E86" s="1"/>
      <c r="F86" s="1"/>
      <c r="G86" s="1"/>
      <c r="H86" s="118">
        <f>COUNTIF(Entropy!$D:$D,$B86)+COUNTIF(Matches!$B:$B,$B86)+COUNTIF(Matches!$C:$C,$B86)</f>
        <v>0</v>
      </c>
      <c r="I86" s="119">
        <f>COUNTIF(Matches!$B:$B,B86)</f>
        <v>0</v>
      </c>
      <c r="J86" s="31">
        <f t="shared" si="2"/>
        <v>0</v>
      </c>
      <c r="K86" s="1" t="str">
        <f t="shared" si="3"/>
        <v>0 - 0</v>
      </c>
      <c r="L86" s="120">
        <f>COUNTIF(Entropy!$D:$D,$B86)</f>
        <v>0</v>
      </c>
      <c r="M86" s="121">
        <f t="shared" si="4"/>
        <v>0</v>
      </c>
      <c r="N86" s="121">
        <f t="shared" si="5"/>
        <v>0</v>
      </c>
      <c r="O86" s="118">
        <f>IF($J86=11,0,IF(AND($H86 &gt;=VLOOKUP('Combined Standings'!$C$2,Quotas!$A$7:$E$14,4,FALSE), $H86&lt;=VLOOKUP('Combined Standings'!$C$2,Quotas!$A$7:$E$14,5,FALSE)), 0,VLOOKUP('Combined Standings'!$C$2,Quotas!$A$7:$E$11,4,FALSE)-$H86))</f>
        <v>13</v>
      </c>
      <c r="P86" s="118">
        <f>IF($J86=11,0,IF(AND($H86 &gt;=VLOOKUP('Combined Standings'!$C$2,Quotas!$A$7:$E$14,5,FALSE), $H86&lt;=VLOOKUP('Combined Standings'!$C$2,Quotas!$A$7:$E$14,5,FALSE)), 0,VLOOKUP('Combined Standings'!$C$2,Quotas!$A$7:$E$11,5,FALSE)-$H86))</f>
        <v>15</v>
      </c>
      <c r="Q86" s="31">
        <f t="shared" si="6"/>
        <v>11</v>
      </c>
      <c r="R86" s="122" t="str">
        <f t="shared" si="7"/>
        <v/>
      </c>
      <c r="S86" s="121">
        <f t="shared" si="8"/>
        <v>0.33</v>
      </c>
      <c r="T86" s="122" t="str">
        <f>IFERROR(__xludf.DUMMYFUNCTION("JOIN("","",IFERROR(FILTER(Matches!$B:$B,B86=Matches!$C:$C),""""),IFERROR(FILTER(Matches!$C:$C,B86=Matches!$B:$B),""""))"),",,,,,,,,,,,,,,,,,,,,,,,,,,,,,,,,,,,,,,,,,,,,,,,,,,,,,,,,,,,,,,,,,,,,,,,,,,,,,,,,,,,,,,,,,,,,,,,,,,,,,,,,,,,,,,,,,,,,,,,,,,,,,,,,,,,,,,,,,,,,,,,,,,,,,,,,,,,,,,,,,,,,,,,,,,,,,,,,,,,,,,,,,,,,,,,,,,,,,,,,,,,,,,,,,,,,,,,,,,,,,,,,,,,,,,,,,,,,,,,,,,,,,,,,,,,,,,,")</f>
        <v>,,,,,,,,,,,,,,,,,,,,,,,,,,,,,,,,,,,,,,,,,,,,,,,,,,,,,,,,,,,,,,,,,,,,,,,,,,,,,,,,,,,,,,,,,,,,,,,,,,,,,,,,,,,,,,,,,,,,,,,,,,,,,,,,,,,,,,,,,,,,,,,,,,,,,,,,,,,,,,,,,,,,,,,,,,,,,,,,,,,,,,,,,,,,,,,,,,,,,,,,,,,,,,,,,,,,,,,,,,,,,,,,,,,,,,,,,,,,,,,,,,,,,,,,,,,,,,,</v>
      </c>
      <c r="U86" s="121">
        <f>IFERROR(__xludf.DUMMYFUNCTION("iferror(AVERAGE(ARRAYFORMULA(VLOOKUP(SPLIT(T86,"","",TRUE,TRUE),$R$2:$S1000,2,FALSE))),0)"),0.0)</f>
        <v>0</v>
      </c>
      <c r="V86" s="123">
        <f>IFERROR(__xludf.DUMMYFUNCTION("RANK($I86, $I$2:$I1000, FALSE) + RANK($M86, Filter($M$2:$M1000, $I$2:$I1000=$I86),FALSE)+RANK($U86, Filter($U$2:$U1000, $I$2:$I1000=$I86,$M$2:$M1000=$M86),FALSE)-2"),1.0)</f>
        <v>1</v>
      </c>
      <c r="W86" s="124" t="str">
        <f t="shared" si="9"/>
        <v>Underplay</v>
      </c>
      <c r="X86" s="125" t="str">
        <f t="shared" si="10"/>
        <v/>
      </c>
      <c r="Y86" s="126">
        <f>MAXIFS(Matches!$A:$A,Matches!$C:$C,$B86)</f>
        <v>0</v>
      </c>
      <c r="Z86" s="126">
        <f t="array" ref="Z86">XLOOKUP(Y86,Quotas!$B$7:$B$10,Quotas!$A$7:$A$10,0,-1)</f>
        <v>0</v>
      </c>
      <c r="AB86" s="31"/>
      <c r="AC86" s="31">
        <f>COUNTIFS(Matches!$A:$A,"&gt;"&amp;Y86,Matches!$B:$B,$B86)</f>
        <v>0</v>
      </c>
      <c r="AD86" s="31"/>
      <c r="AE86" s="127">
        <f>SUMIF('Pool Changes'!B:B, B86, 'Pool Changes'!H:H)</f>
        <v>0</v>
      </c>
    </row>
    <row r="87">
      <c r="A87" s="104">
        <f t="shared" si="1"/>
        <v>1</v>
      </c>
      <c r="C87" s="128"/>
      <c r="D87" s="74"/>
      <c r="E87" s="1"/>
      <c r="F87" s="1"/>
      <c r="G87" s="1"/>
      <c r="H87" s="118">
        <f>COUNTIF(Entropy!$D:$D,$B87)+COUNTIF(Matches!$B:$B,$B87)+COUNTIF(Matches!$C:$C,$B87)</f>
        <v>0</v>
      </c>
      <c r="I87" s="119">
        <f>COUNTIF(Matches!$B:$B,B87)</f>
        <v>0</v>
      </c>
      <c r="J87" s="31">
        <f t="shared" si="2"/>
        <v>0</v>
      </c>
      <c r="K87" s="1" t="str">
        <f t="shared" si="3"/>
        <v>0 - 0</v>
      </c>
      <c r="L87" s="120">
        <f>COUNTIF(Entropy!$D:$D,$B87)</f>
        <v>0</v>
      </c>
      <c r="M87" s="121">
        <f t="shared" si="4"/>
        <v>0</v>
      </c>
      <c r="N87" s="121">
        <f t="shared" si="5"/>
        <v>0</v>
      </c>
      <c r="O87" s="118">
        <f>IF($J87=11,0,IF(AND($H87 &gt;=VLOOKUP('Combined Standings'!$C$2,Quotas!$A$7:$E$14,4,FALSE), $H87&lt;=VLOOKUP('Combined Standings'!$C$2,Quotas!$A$7:$E$14,5,FALSE)), 0,VLOOKUP('Combined Standings'!$C$2,Quotas!$A$7:$E$11,4,FALSE)-$H87))</f>
        <v>13</v>
      </c>
      <c r="P87" s="118">
        <f>IF($J87=11,0,IF(AND($H87 &gt;=VLOOKUP('Combined Standings'!$C$2,Quotas!$A$7:$E$14,5,FALSE), $H87&lt;=VLOOKUP('Combined Standings'!$C$2,Quotas!$A$7:$E$14,5,FALSE)), 0,VLOOKUP('Combined Standings'!$C$2,Quotas!$A$7:$E$11,5,FALSE)-$H87))</f>
        <v>15</v>
      </c>
      <c r="Q87" s="31">
        <f t="shared" si="6"/>
        <v>11</v>
      </c>
      <c r="R87" s="122" t="str">
        <f t="shared" si="7"/>
        <v/>
      </c>
      <c r="S87" s="121">
        <f t="shared" si="8"/>
        <v>0.33</v>
      </c>
      <c r="T87" s="122" t="str">
        <f>IFERROR(__xludf.DUMMYFUNCTION("JOIN("","",IFERROR(FILTER(Matches!$B:$B,B87=Matches!$C:$C),""""),IFERROR(FILTER(Matches!$C:$C,B87=Matches!$B:$B),""""))"),",,,,,,,,,,,,,,,,,,,,,,,,,,,,,,,,,,,,,,,,,,,,,,,,,,,,,,,,,,,,,,,,,,,,,,,,,,,,,,,,,,,,,,,,,,,,,,,,,,,,,,,,,,,,,,,,,,,,,,,,,,,,,,,,,,,,,,,,,,,,,,,,,,,,,,,,,,,,,,,,,,,,,,,,,,,,,,,,,,,,,,,,,,,,,,,,,,,,,,,,,,,,,,,,,,,,,,,,,,,,,,,,,,,,,,,,,,,,,,,,,,,,,,,,,,,,,,,")</f>
        <v>,,,,,,,,,,,,,,,,,,,,,,,,,,,,,,,,,,,,,,,,,,,,,,,,,,,,,,,,,,,,,,,,,,,,,,,,,,,,,,,,,,,,,,,,,,,,,,,,,,,,,,,,,,,,,,,,,,,,,,,,,,,,,,,,,,,,,,,,,,,,,,,,,,,,,,,,,,,,,,,,,,,,,,,,,,,,,,,,,,,,,,,,,,,,,,,,,,,,,,,,,,,,,,,,,,,,,,,,,,,,,,,,,,,,,,,,,,,,,,,,,,,,,,,,,,,,,,,</v>
      </c>
      <c r="U87" s="121">
        <f>IFERROR(__xludf.DUMMYFUNCTION("iferror(AVERAGE(ARRAYFORMULA(VLOOKUP(SPLIT(T87,"","",TRUE,TRUE),$R$2:$S1000,2,FALSE))),0)"),0.0)</f>
        <v>0</v>
      </c>
      <c r="V87" s="123">
        <f>IFERROR(__xludf.DUMMYFUNCTION("RANK($I87, $I$2:$I1000, FALSE) + RANK($M87, Filter($M$2:$M1000, $I$2:$I1000=$I87),FALSE)+RANK($U87, Filter($U$2:$U1000, $I$2:$I1000=$I87,$M$2:$M1000=$M87),FALSE)-2"),1.0)</f>
        <v>1</v>
      </c>
      <c r="W87" s="124" t="str">
        <f t="shared" si="9"/>
        <v>Underplay</v>
      </c>
      <c r="X87" s="125" t="str">
        <f t="shared" si="10"/>
        <v/>
      </c>
      <c r="Y87" s="126">
        <f>MAXIFS(Matches!$A:$A,Matches!$C:$C,$B87)</f>
        <v>0</v>
      </c>
      <c r="Z87" s="126">
        <f t="array" ref="Z87">XLOOKUP(Y87,Quotas!$B$7:$B$10,Quotas!$A$7:$A$10,0,-1)</f>
        <v>0</v>
      </c>
      <c r="AB87" s="31"/>
      <c r="AC87" s="31">
        <f>COUNTIFS(Matches!$A:$A,"&gt;"&amp;Y87,Matches!$B:$B,$B87)</f>
        <v>0</v>
      </c>
      <c r="AD87" s="31"/>
      <c r="AE87" s="127">
        <f>SUMIF('Pool Changes'!B:B, B87, 'Pool Changes'!H:H)</f>
        <v>0</v>
      </c>
    </row>
    <row r="88">
      <c r="A88" s="104">
        <f t="shared" si="1"/>
        <v>1</v>
      </c>
      <c r="C88" s="128"/>
      <c r="D88" s="74"/>
      <c r="E88" s="1"/>
      <c r="F88" s="1"/>
      <c r="G88" s="1"/>
      <c r="H88" s="118">
        <f>COUNTIF(Entropy!$D:$D,$B88)+COUNTIF(Matches!$B:$B,$B88)+COUNTIF(Matches!$C:$C,$B88)</f>
        <v>0</v>
      </c>
      <c r="I88" s="119">
        <f>COUNTIF(Matches!$B:$B,B88)</f>
        <v>0</v>
      </c>
      <c r="J88" s="31">
        <f t="shared" si="2"/>
        <v>0</v>
      </c>
      <c r="K88" s="1" t="str">
        <f t="shared" si="3"/>
        <v>0 - 0</v>
      </c>
      <c r="L88" s="120">
        <f>COUNTIF(Entropy!$D:$D,$B88)</f>
        <v>0</v>
      </c>
      <c r="M88" s="121">
        <f t="shared" si="4"/>
        <v>0</v>
      </c>
      <c r="N88" s="121">
        <f t="shared" si="5"/>
        <v>0</v>
      </c>
      <c r="O88" s="118">
        <f>IF($J88=11,0,IF(AND($H88 &gt;=VLOOKUP('Combined Standings'!$C$2,Quotas!$A$7:$E$14,4,FALSE), $H88&lt;=VLOOKUP('Combined Standings'!$C$2,Quotas!$A$7:$E$14,5,FALSE)), 0,VLOOKUP('Combined Standings'!$C$2,Quotas!$A$7:$E$11,4,FALSE)-$H88))</f>
        <v>13</v>
      </c>
      <c r="P88" s="118">
        <f>IF($J88=11,0,IF(AND($H88 &gt;=VLOOKUP('Combined Standings'!$C$2,Quotas!$A$7:$E$14,5,FALSE), $H88&lt;=VLOOKUP('Combined Standings'!$C$2,Quotas!$A$7:$E$14,5,FALSE)), 0,VLOOKUP('Combined Standings'!$C$2,Quotas!$A$7:$E$11,5,FALSE)-$H88))</f>
        <v>15</v>
      </c>
      <c r="Q88" s="31">
        <f t="shared" si="6"/>
        <v>11</v>
      </c>
      <c r="R88" s="122" t="str">
        <f t="shared" si="7"/>
        <v/>
      </c>
      <c r="S88" s="121">
        <f t="shared" si="8"/>
        <v>0.33</v>
      </c>
      <c r="T88" s="122" t="str">
        <f>IFERROR(__xludf.DUMMYFUNCTION("JOIN("","",IFERROR(FILTER(Matches!$B:$B,B88=Matches!$C:$C),""""),IFERROR(FILTER(Matches!$C:$C,B88=Matches!$B:$B),""""))"),",,,,,,,,,,,,,,,,,,,,,,,,,,,,,,,,,,,,,,,,,,,,,,,,,,,,,,,,,,,,,,,,,,,,,,,,,,,,,,,,,,,,,,,,,,,,,,,,,,,,,,,,,,,,,,,,,,,,,,,,,,,,,,,,,,,,,,,,,,,,,,,,,,,,,,,,,,,,,,,,,,,,,,,,,,,,,,,,,,,,,,,,,,,,,,,,,,,,,,,,,,,,,,,,,,,,,,,,,,,,,,,,,,,,,,,,,,,,,,,,,,,,,,,,,,,,,,,")</f>
        <v>,,,,,,,,,,,,,,,,,,,,,,,,,,,,,,,,,,,,,,,,,,,,,,,,,,,,,,,,,,,,,,,,,,,,,,,,,,,,,,,,,,,,,,,,,,,,,,,,,,,,,,,,,,,,,,,,,,,,,,,,,,,,,,,,,,,,,,,,,,,,,,,,,,,,,,,,,,,,,,,,,,,,,,,,,,,,,,,,,,,,,,,,,,,,,,,,,,,,,,,,,,,,,,,,,,,,,,,,,,,,,,,,,,,,,,,,,,,,,,,,,,,,,,,,,,,,,,,</v>
      </c>
      <c r="U88" s="121">
        <f>IFERROR(__xludf.DUMMYFUNCTION("iferror(AVERAGE(ARRAYFORMULA(VLOOKUP(SPLIT(T88,"","",TRUE,TRUE),$R$2:$S1000,2,FALSE))),0)"),0.0)</f>
        <v>0</v>
      </c>
      <c r="V88" s="123">
        <f>IFERROR(__xludf.DUMMYFUNCTION("RANK($I88, $I$2:$I1000, FALSE) + RANK($M88, Filter($M$2:$M1000, $I$2:$I1000=$I88),FALSE)+RANK($U88, Filter($U$2:$U1000, $I$2:$I1000=$I88,$M$2:$M1000=$M88),FALSE)-2"),1.0)</f>
        <v>1</v>
      </c>
      <c r="W88" s="124" t="str">
        <f t="shared" si="9"/>
        <v>Underplay</v>
      </c>
      <c r="X88" s="125" t="str">
        <f t="shared" si="10"/>
        <v/>
      </c>
      <c r="Y88" s="126">
        <f>MAXIFS(Matches!$A:$A,Matches!$C:$C,$B88)</f>
        <v>0</v>
      </c>
      <c r="Z88" s="126">
        <f t="array" ref="Z88">XLOOKUP(Y88,Quotas!$B$7:$B$10,Quotas!$A$7:$A$10,0,-1)</f>
        <v>0</v>
      </c>
      <c r="AB88" s="31"/>
      <c r="AC88" s="31">
        <f>COUNTIFS(Matches!$A:$A,"&gt;"&amp;Y88,Matches!$B:$B,$B88)</f>
        <v>0</v>
      </c>
      <c r="AD88" s="31"/>
      <c r="AE88" s="127">
        <f>SUMIF('Pool Changes'!B:B, B88, 'Pool Changes'!H:H)</f>
        <v>0</v>
      </c>
    </row>
    <row r="89">
      <c r="A89" s="104">
        <f t="shared" si="1"/>
        <v>1</v>
      </c>
      <c r="C89" s="128"/>
      <c r="D89" s="74"/>
      <c r="E89" s="1"/>
      <c r="F89" s="1"/>
      <c r="G89" s="1"/>
      <c r="H89" s="118">
        <f>COUNTIF(Entropy!$D:$D,$B89)+COUNTIF(Matches!$B:$B,$B89)+COUNTIF(Matches!$C:$C,$B89)</f>
        <v>0</v>
      </c>
      <c r="I89" s="119">
        <f>COUNTIF(Matches!$B:$B,B89)</f>
        <v>0</v>
      </c>
      <c r="J89" s="31">
        <f t="shared" si="2"/>
        <v>0</v>
      </c>
      <c r="K89" s="1" t="str">
        <f t="shared" si="3"/>
        <v>0 - 0</v>
      </c>
      <c r="L89" s="120">
        <f>COUNTIF(Entropy!$D:$D,$B89)</f>
        <v>0</v>
      </c>
      <c r="M89" s="121">
        <f t="shared" si="4"/>
        <v>0</v>
      </c>
      <c r="N89" s="121">
        <f t="shared" si="5"/>
        <v>0</v>
      </c>
      <c r="O89" s="118">
        <f>IF($J89=11,0,IF(AND($H89 &gt;=VLOOKUP('Combined Standings'!$C$2,Quotas!$A$7:$E$14,4,FALSE), $H89&lt;=VLOOKUP('Combined Standings'!$C$2,Quotas!$A$7:$E$14,5,FALSE)), 0,VLOOKUP('Combined Standings'!$C$2,Quotas!$A$7:$E$11,4,FALSE)-$H89))</f>
        <v>13</v>
      </c>
      <c r="P89" s="118">
        <f>IF($J89=11,0,IF(AND($H89 &gt;=VLOOKUP('Combined Standings'!$C$2,Quotas!$A$7:$E$14,5,FALSE), $H89&lt;=VLOOKUP('Combined Standings'!$C$2,Quotas!$A$7:$E$14,5,FALSE)), 0,VLOOKUP('Combined Standings'!$C$2,Quotas!$A$7:$E$11,5,FALSE)-$H89))</f>
        <v>15</v>
      </c>
      <c r="Q89" s="31">
        <f t="shared" si="6"/>
        <v>11</v>
      </c>
      <c r="R89" s="122" t="str">
        <f t="shared" si="7"/>
        <v/>
      </c>
      <c r="S89" s="121">
        <f t="shared" si="8"/>
        <v>0.33</v>
      </c>
      <c r="T89" s="122" t="str">
        <f>IFERROR(__xludf.DUMMYFUNCTION("JOIN("","",IFERROR(FILTER(Matches!$B:$B,B89=Matches!$C:$C),""""),IFERROR(FILTER(Matches!$C:$C,B89=Matches!$B:$B),""""))"),",,,,,,,,,,,,,,,,,,,,,,,,,,,,,,,,,,,,,,,,,,,,,,,,,,,,,,,,,,,,,,,,,,,,,,,,,,,,,,,,,,,,,,,,,,,,,,,,,,,,,,,,,,,,,,,,,,,,,,,,,,,,,,,,,,,,,,,,,,,,,,,,,,,,,,,,,,,,,,,,,,,,,,,,,,,,,,,,,,,,,,,,,,,,,,,,,,,,,,,,,,,,,,,,,,,,,,,,,,,,,,,,,,,,,,,,,,,,,,,,,,,,,,,,,,,,,,,")</f>
        <v>,,,,,,,,,,,,,,,,,,,,,,,,,,,,,,,,,,,,,,,,,,,,,,,,,,,,,,,,,,,,,,,,,,,,,,,,,,,,,,,,,,,,,,,,,,,,,,,,,,,,,,,,,,,,,,,,,,,,,,,,,,,,,,,,,,,,,,,,,,,,,,,,,,,,,,,,,,,,,,,,,,,,,,,,,,,,,,,,,,,,,,,,,,,,,,,,,,,,,,,,,,,,,,,,,,,,,,,,,,,,,,,,,,,,,,,,,,,,,,,,,,,,,,,,,,,,,,,</v>
      </c>
      <c r="U89" s="121">
        <f>IFERROR(__xludf.DUMMYFUNCTION("iferror(AVERAGE(ARRAYFORMULA(VLOOKUP(SPLIT(T89,"","",TRUE,TRUE),$R$2:$S1000,2,FALSE))),0)"),0.0)</f>
        <v>0</v>
      </c>
      <c r="V89" s="123">
        <f>IFERROR(__xludf.DUMMYFUNCTION("RANK($I89, $I$2:$I1000, FALSE) + RANK($M89, Filter($M$2:$M1000, $I$2:$I1000=$I89),FALSE)+RANK($U89, Filter($U$2:$U1000, $I$2:$I1000=$I89,$M$2:$M1000=$M89),FALSE)-2"),1.0)</f>
        <v>1</v>
      </c>
      <c r="W89" s="124" t="str">
        <f t="shared" si="9"/>
        <v>Underplay</v>
      </c>
      <c r="X89" s="125" t="str">
        <f t="shared" si="10"/>
        <v/>
      </c>
      <c r="Y89" s="126">
        <f>MAXIFS(Matches!$A:$A,Matches!$C:$C,$B89)</f>
        <v>0</v>
      </c>
      <c r="Z89" s="126">
        <f t="array" ref="Z89">XLOOKUP(Y89,Quotas!$B$7:$B$10,Quotas!$A$7:$A$10,0,-1)</f>
        <v>0</v>
      </c>
      <c r="AB89" s="31"/>
      <c r="AC89" s="31">
        <f>COUNTIFS(Matches!$A:$A,"&gt;"&amp;Y89,Matches!$B:$B,$B89)</f>
        <v>0</v>
      </c>
      <c r="AD89" s="31"/>
      <c r="AE89" s="127">
        <f>SUMIF('Pool Changes'!B:B, B89, 'Pool Changes'!H:H)</f>
        <v>0</v>
      </c>
    </row>
    <row r="90">
      <c r="A90" s="104">
        <f t="shared" si="1"/>
        <v>1</v>
      </c>
      <c r="C90" s="128"/>
      <c r="D90" s="74"/>
      <c r="E90" s="1"/>
      <c r="F90" s="1"/>
      <c r="G90" s="1"/>
      <c r="H90" s="118">
        <f>COUNTIF(Entropy!$D:$D,$B90)+COUNTIF(Matches!$B:$B,$B90)+COUNTIF(Matches!$C:$C,$B90)</f>
        <v>0</v>
      </c>
      <c r="I90" s="119">
        <f>COUNTIF(Matches!$B:$B,B90)</f>
        <v>0</v>
      </c>
      <c r="J90" s="31">
        <f t="shared" si="2"/>
        <v>0</v>
      </c>
      <c r="K90" s="1" t="str">
        <f t="shared" si="3"/>
        <v>0 - 0</v>
      </c>
      <c r="L90" s="120">
        <f>COUNTIF(Entropy!$D:$D,$B90)</f>
        <v>0</v>
      </c>
      <c r="M90" s="121">
        <f t="shared" si="4"/>
        <v>0</v>
      </c>
      <c r="N90" s="121">
        <f t="shared" si="5"/>
        <v>0</v>
      </c>
      <c r="O90" s="118">
        <f>IF($J90=11,0,IF(AND($H90 &gt;=VLOOKUP('Combined Standings'!$C$2,Quotas!$A$7:$E$14,4,FALSE), $H90&lt;=VLOOKUP('Combined Standings'!$C$2,Quotas!$A$7:$E$14,5,FALSE)), 0,VLOOKUP('Combined Standings'!$C$2,Quotas!$A$7:$E$11,4,FALSE)-$H90))</f>
        <v>13</v>
      </c>
      <c r="P90" s="118">
        <f>IF($J90=11,0,IF(AND($H90 &gt;=VLOOKUP('Combined Standings'!$C$2,Quotas!$A$7:$E$14,5,FALSE), $H90&lt;=VLOOKUP('Combined Standings'!$C$2,Quotas!$A$7:$E$14,5,FALSE)), 0,VLOOKUP('Combined Standings'!$C$2,Quotas!$A$7:$E$11,5,FALSE)-$H90))</f>
        <v>15</v>
      </c>
      <c r="Q90" s="31">
        <f t="shared" si="6"/>
        <v>11</v>
      </c>
      <c r="R90" s="122" t="str">
        <f t="shared" si="7"/>
        <v/>
      </c>
      <c r="S90" s="121">
        <f t="shared" si="8"/>
        <v>0.33</v>
      </c>
      <c r="T90" s="122" t="str">
        <f>IFERROR(__xludf.DUMMYFUNCTION("JOIN("","",IFERROR(FILTER(Matches!$B:$B,B90=Matches!$C:$C),""""),IFERROR(FILTER(Matches!$C:$C,B90=Matches!$B:$B),""""))"),",,,,,,,,,,,,,,,,,,,,,,,,,,,,,,,,,,,,,,,,,,,,,,,,,,,,,,,,,,,,,,,,,,,,,,,,,,,,,,,,,,,,,,,,,,,,,,,,,,,,,,,,,,,,,,,,,,,,,,,,,,,,,,,,,,,,,,,,,,,,,,,,,,,,,,,,,,,,,,,,,,,,,,,,,,,,,,,,,,,,,,,,,,,,,,,,,,,,,,,,,,,,,,,,,,,,,,,,,,,,,,,,,,,,,,,,,,,,,,,,,,,,,,,,,,,,,,,")</f>
        <v>,,,,,,,,,,,,,,,,,,,,,,,,,,,,,,,,,,,,,,,,,,,,,,,,,,,,,,,,,,,,,,,,,,,,,,,,,,,,,,,,,,,,,,,,,,,,,,,,,,,,,,,,,,,,,,,,,,,,,,,,,,,,,,,,,,,,,,,,,,,,,,,,,,,,,,,,,,,,,,,,,,,,,,,,,,,,,,,,,,,,,,,,,,,,,,,,,,,,,,,,,,,,,,,,,,,,,,,,,,,,,,,,,,,,,,,,,,,,,,,,,,,,,,,,,,,,,,,</v>
      </c>
      <c r="U90" s="121">
        <f>IFERROR(__xludf.DUMMYFUNCTION("iferror(AVERAGE(ARRAYFORMULA(VLOOKUP(SPLIT(T90,"","",TRUE,TRUE),$R$2:$S1000,2,FALSE))),0)"),0.0)</f>
        <v>0</v>
      </c>
      <c r="V90" s="123">
        <f>IFERROR(__xludf.DUMMYFUNCTION("RANK($I90, $I$2:$I1000, FALSE) + RANK($M90, Filter($M$2:$M1000, $I$2:$I1000=$I90),FALSE)+RANK($U90, Filter($U$2:$U1000, $I$2:$I1000=$I90,$M$2:$M1000=$M90),FALSE)-2"),1.0)</f>
        <v>1</v>
      </c>
      <c r="W90" s="124" t="str">
        <f t="shared" si="9"/>
        <v>Underplay</v>
      </c>
      <c r="X90" s="125" t="str">
        <f t="shared" si="10"/>
        <v/>
      </c>
      <c r="Y90" s="126">
        <f>MAXIFS(Matches!$A:$A,Matches!$C:$C,$B90)</f>
        <v>0</v>
      </c>
      <c r="Z90" s="126">
        <f t="array" ref="Z90">XLOOKUP(Y90,Quotas!$B$7:$B$10,Quotas!$A$7:$A$10,0,-1)</f>
        <v>0</v>
      </c>
      <c r="AB90" s="31"/>
      <c r="AC90" s="31">
        <f>COUNTIFS(Matches!$A:$A,"&gt;"&amp;Y90,Matches!$B:$B,$B90)</f>
        <v>0</v>
      </c>
      <c r="AD90" s="31"/>
      <c r="AE90" s="127">
        <f>SUMIF('Pool Changes'!B:B, B90, 'Pool Changes'!H:H)</f>
        <v>0</v>
      </c>
    </row>
    <row r="91">
      <c r="A91" s="104">
        <f t="shared" si="1"/>
        <v>1</v>
      </c>
      <c r="C91" s="128"/>
      <c r="D91" s="74"/>
      <c r="E91" s="1"/>
      <c r="F91" s="1"/>
      <c r="G91" s="1"/>
      <c r="H91" s="118">
        <f>COUNTIF(Entropy!$D:$D,$B91)+COUNTIF(Matches!$B:$B,$B91)+COUNTIF(Matches!$C:$C,$B91)</f>
        <v>0</v>
      </c>
      <c r="I91" s="119">
        <f>COUNTIF(Matches!$B:$B,B91)</f>
        <v>0</v>
      </c>
      <c r="J91" s="31">
        <f t="shared" si="2"/>
        <v>0</v>
      </c>
      <c r="K91" s="1" t="str">
        <f t="shared" si="3"/>
        <v>0 - 0</v>
      </c>
      <c r="L91" s="120">
        <f>COUNTIF(Entropy!$D:$D,$B91)</f>
        <v>0</v>
      </c>
      <c r="M91" s="121">
        <f t="shared" si="4"/>
        <v>0</v>
      </c>
      <c r="N91" s="121">
        <f t="shared" si="5"/>
        <v>0</v>
      </c>
      <c r="O91" s="118">
        <f>IF($J91=11,0,IF(AND($H91 &gt;=VLOOKUP('Combined Standings'!$C$2,Quotas!$A$7:$E$14,4,FALSE), $H91&lt;=VLOOKUP('Combined Standings'!$C$2,Quotas!$A$7:$E$14,5,FALSE)), 0,VLOOKUP('Combined Standings'!$C$2,Quotas!$A$7:$E$11,4,FALSE)-$H91))</f>
        <v>13</v>
      </c>
      <c r="P91" s="118">
        <f>IF($J91=11,0,IF(AND($H91 &gt;=VLOOKUP('Combined Standings'!$C$2,Quotas!$A$7:$E$14,5,FALSE), $H91&lt;=VLOOKUP('Combined Standings'!$C$2,Quotas!$A$7:$E$14,5,FALSE)), 0,VLOOKUP('Combined Standings'!$C$2,Quotas!$A$7:$E$11,5,FALSE)-$H91))</f>
        <v>15</v>
      </c>
      <c r="Q91" s="31">
        <f t="shared" si="6"/>
        <v>11</v>
      </c>
      <c r="R91" s="122" t="str">
        <f t="shared" si="7"/>
        <v/>
      </c>
      <c r="S91" s="121">
        <f t="shared" si="8"/>
        <v>0.33</v>
      </c>
      <c r="T91" s="122" t="str">
        <f>IFERROR(__xludf.DUMMYFUNCTION("JOIN("","",IFERROR(FILTER(Matches!$B:$B,B91=Matches!$C:$C),""""),IFERROR(FILTER(Matches!$C:$C,B91=Matches!$B:$B),""""))"),",,,,,,,,,,,,,,,,,,,,,,,,,,,,,,,,,,,,,,,,,,,,,,,,,,,,,,,,,,,,,,,,,,,,,,,,,,,,,,,,,,,,,,,,,,,,,,,,,,,,,,,,,,,,,,,,,,,,,,,,,,,,,,,,,,,,,,,,,,,,,,,,,,,,,,,,,,,,,,,,,,,,,,,,,,,,,,,,,,,,,,,,,,,,,,,,,,,,,,,,,,,,,,,,,,,,,,,,,,,,,,,,,,,,,,,,,,,,,,,,,,,,,,,,,,,,,,,")</f>
        <v>,,,,,,,,,,,,,,,,,,,,,,,,,,,,,,,,,,,,,,,,,,,,,,,,,,,,,,,,,,,,,,,,,,,,,,,,,,,,,,,,,,,,,,,,,,,,,,,,,,,,,,,,,,,,,,,,,,,,,,,,,,,,,,,,,,,,,,,,,,,,,,,,,,,,,,,,,,,,,,,,,,,,,,,,,,,,,,,,,,,,,,,,,,,,,,,,,,,,,,,,,,,,,,,,,,,,,,,,,,,,,,,,,,,,,,,,,,,,,,,,,,,,,,,,,,,,,,,</v>
      </c>
      <c r="U91" s="121">
        <f>IFERROR(__xludf.DUMMYFUNCTION("iferror(AVERAGE(ARRAYFORMULA(VLOOKUP(SPLIT(T91,"","",TRUE,TRUE),$R$2:$S1000,2,FALSE))),0)"),0.0)</f>
        <v>0</v>
      </c>
      <c r="V91" s="123">
        <f>IFERROR(__xludf.DUMMYFUNCTION("RANK($I91, $I$2:$I1000, FALSE) + RANK($M91, Filter($M$2:$M1000, $I$2:$I1000=$I91),FALSE)+RANK($U91, Filter($U$2:$U1000, $I$2:$I1000=$I91,$M$2:$M1000=$M91),FALSE)-2"),1.0)</f>
        <v>1</v>
      </c>
      <c r="W91" s="124" t="str">
        <f t="shared" si="9"/>
        <v>Underplay</v>
      </c>
      <c r="X91" s="125" t="str">
        <f t="shared" si="10"/>
        <v/>
      </c>
      <c r="Y91" s="126">
        <f>MAXIFS(Matches!$A:$A,Matches!$C:$C,$B91)</f>
        <v>0</v>
      </c>
      <c r="Z91" s="126">
        <f t="array" ref="Z91">XLOOKUP(Y91,Quotas!$B$7:$B$10,Quotas!$A$7:$A$10,0,-1)</f>
        <v>0</v>
      </c>
      <c r="AB91" s="31"/>
      <c r="AC91" s="31">
        <f>COUNTIFS(Matches!$A:$A,"&gt;"&amp;Y91,Matches!$B:$B,$B91)</f>
        <v>0</v>
      </c>
      <c r="AD91" s="31"/>
      <c r="AE91" s="127">
        <f>SUMIF('Pool Changes'!B:B, B91, 'Pool Changes'!H:H)</f>
        <v>0</v>
      </c>
    </row>
    <row r="92">
      <c r="A92" s="104">
        <f t="shared" si="1"/>
        <v>1</v>
      </c>
      <c r="C92" s="128"/>
      <c r="D92" s="74"/>
      <c r="E92" s="1"/>
      <c r="F92" s="1"/>
      <c r="G92" s="1"/>
      <c r="H92" s="118">
        <f>COUNTIF(Entropy!$D:$D,$B92)+COUNTIF(Matches!$B:$B,$B92)+COUNTIF(Matches!$C:$C,$B92)</f>
        <v>0</v>
      </c>
      <c r="I92" s="119">
        <f>COUNTIF(Matches!$B:$B,B92)</f>
        <v>0</v>
      </c>
      <c r="J92" s="31">
        <f t="shared" si="2"/>
        <v>0</v>
      </c>
      <c r="K92" s="1" t="str">
        <f t="shared" si="3"/>
        <v>0 - 0</v>
      </c>
      <c r="L92" s="120">
        <f>COUNTIF(Entropy!$D:$D,$B92)</f>
        <v>0</v>
      </c>
      <c r="M92" s="121">
        <f t="shared" si="4"/>
        <v>0</v>
      </c>
      <c r="N92" s="121">
        <f t="shared" si="5"/>
        <v>0</v>
      </c>
      <c r="O92" s="118">
        <f>IF($J92=11,0,IF(AND($H92 &gt;=VLOOKUP('Combined Standings'!$C$2,Quotas!$A$7:$E$14,4,FALSE), $H92&lt;=VLOOKUP('Combined Standings'!$C$2,Quotas!$A$7:$E$14,5,FALSE)), 0,VLOOKUP('Combined Standings'!$C$2,Quotas!$A$7:$E$11,4,FALSE)-$H92))</f>
        <v>13</v>
      </c>
      <c r="P92" s="118">
        <f>IF($J92=11,0,IF(AND($H92 &gt;=VLOOKUP('Combined Standings'!$C$2,Quotas!$A$7:$E$14,5,FALSE), $H92&lt;=VLOOKUP('Combined Standings'!$C$2,Quotas!$A$7:$E$14,5,FALSE)), 0,VLOOKUP('Combined Standings'!$C$2,Quotas!$A$7:$E$11,5,FALSE)-$H92))</f>
        <v>15</v>
      </c>
      <c r="Q92" s="31">
        <f t="shared" si="6"/>
        <v>11</v>
      </c>
      <c r="R92" s="122" t="str">
        <f t="shared" si="7"/>
        <v/>
      </c>
      <c r="S92" s="121">
        <f t="shared" si="8"/>
        <v>0.33</v>
      </c>
      <c r="T92" s="122" t="str">
        <f>IFERROR(__xludf.DUMMYFUNCTION("JOIN("","",IFERROR(FILTER(Matches!$B:$B,B92=Matches!$C:$C),""""),IFERROR(FILTER(Matches!$C:$C,B92=Matches!$B:$B),""""))"),",,,,,,,,,,,,,,,,,,,,,,,,,,,,,,,,,,,,,,,,,,,,,,,,,,,,,,,,,,,,,,,,,,,,,,,,,,,,,,,,,,,,,,,,,,,,,,,,,,,,,,,,,,,,,,,,,,,,,,,,,,,,,,,,,,,,,,,,,,,,,,,,,,,,,,,,,,,,,,,,,,,,,,,,,,,,,,,,,,,,,,,,,,,,,,,,,,,,,,,,,,,,,,,,,,,,,,,,,,,,,,,,,,,,,,,,,,,,,,,,,,,,,,,,,,,,,,,")</f>
        <v>,,,,,,,,,,,,,,,,,,,,,,,,,,,,,,,,,,,,,,,,,,,,,,,,,,,,,,,,,,,,,,,,,,,,,,,,,,,,,,,,,,,,,,,,,,,,,,,,,,,,,,,,,,,,,,,,,,,,,,,,,,,,,,,,,,,,,,,,,,,,,,,,,,,,,,,,,,,,,,,,,,,,,,,,,,,,,,,,,,,,,,,,,,,,,,,,,,,,,,,,,,,,,,,,,,,,,,,,,,,,,,,,,,,,,,,,,,,,,,,,,,,,,,,,,,,,,,,</v>
      </c>
      <c r="U92" s="121">
        <f>IFERROR(__xludf.DUMMYFUNCTION("iferror(AVERAGE(ARRAYFORMULA(VLOOKUP(SPLIT(T92,"","",TRUE,TRUE),$R$2:$S1000,2,FALSE))),0)"),0.0)</f>
        <v>0</v>
      </c>
      <c r="V92" s="123">
        <f>IFERROR(__xludf.DUMMYFUNCTION("RANK($I92, $I$2:$I1000, FALSE) + RANK($M92, Filter($M$2:$M1000, $I$2:$I1000=$I92),FALSE)+RANK($U92, Filter($U$2:$U1000, $I$2:$I1000=$I92,$M$2:$M1000=$M92),FALSE)-2"),1.0)</f>
        <v>1</v>
      </c>
      <c r="W92" s="124" t="str">
        <f t="shared" si="9"/>
        <v>Underplay</v>
      </c>
      <c r="X92" s="125" t="str">
        <f t="shared" si="10"/>
        <v/>
      </c>
      <c r="Y92" s="126">
        <f>MAXIFS(Matches!$A:$A,Matches!$C:$C,$B92)</f>
        <v>0</v>
      </c>
      <c r="Z92" s="126">
        <f t="array" ref="Z92">XLOOKUP(Y92,Quotas!$B$7:$B$10,Quotas!$A$7:$A$10,0,-1)</f>
        <v>0</v>
      </c>
      <c r="AB92" s="31"/>
      <c r="AC92" s="31">
        <f>COUNTIFS(Matches!$A:$A,"&gt;"&amp;Y92,Matches!$B:$B,$B92)</f>
        <v>0</v>
      </c>
      <c r="AD92" s="31"/>
      <c r="AE92" s="127">
        <f>SUMIF('Pool Changes'!B:B, B92, 'Pool Changes'!H:H)</f>
        <v>0</v>
      </c>
    </row>
    <row r="93">
      <c r="A93" s="104">
        <f t="shared" si="1"/>
        <v>1</v>
      </c>
      <c r="C93" s="128"/>
      <c r="D93" s="74"/>
      <c r="E93" s="1"/>
      <c r="F93" s="1"/>
      <c r="G93" s="1"/>
      <c r="H93" s="118">
        <f>COUNTIF(Entropy!$D:$D,$B93)+COUNTIF(Matches!$B:$B,$B93)+COUNTIF(Matches!$C:$C,$B93)</f>
        <v>0</v>
      </c>
      <c r="I93" s="119">
        <f>COUNTIF(Matches!$B:$B,B93)</f>
        <v>0</v>
      </c>
      <c r="J93" s="31">
        <f t="shared" si="2"/>
        <v>0</v>
      </c>
      <c r="K93" s="1" t="str">
        <f t="shared" si="3"/>
        <v>0 - 0</v>
      </c>
      <c r="L93" s="120">
        <f>COUNTIF(Entropy!$D:$D,$B93)</f>
        <v>0</v>
      </c>
      <c r="M93" s="121">
        <f t="shared" si="4"/>
        <v>0</v>
      </c>
      <c r="N93" s="121">
        <f t="shared" si="5"/>
        <v>0</v>
      </c>
      <c r="O93" s="118">
        <f>IF($J93=11,0,IF(AND($H93 &gt;=VLOOKUP('Combined Standings'!$C$2,Quotas!$A$7:$E$14,4,FALSE), $H93&lt;=VLOOKUP('Combined Standings'!$C$2,Quotas!$A$7:$E$14,5,FALSE)), 0,VLOOKUP('Combined Standings'!$C$2,Quotas!$A$7:$E$11,4,FALSE)-$H93))</f>
        <v>13</v>
      </c>
      <c r="P93" s="118">
        <f>IF($J93=11,0,IF(AND($H93 &gt;=VLOOKUP('Combined Standings'!$C$2,Quotas!$A$7:$E$14,5,FALSE), $H93&lt;=VLOOKUP('Combined Standings'!$C$2,Quotas!$A$7:$E$14,5,FALSE)), 0,VLOOKUP('Combined Standings'!$C$2,Quotas!$A$7:$E$11,5,FALSE)-$H93))</f>
        <v>15</v>
      </c>
      <c r="Q93" s="31">
        <f t="shared" si="6"/>
        <v>11</v>
      </c>
      <c r="R93" s="122" t="str">
        <f t="shared" si="7"/>
        <v/>
      </c>
      <c r="S93" s="121">
        <f t="shared" si="8"/>
        <v>0.33</v>
      </c>
      <c r="T93" s="122" t="str">
        <f>IFERROR(__xludf.DUMMYFUNCTION("JOIN("","",IFERROR(FILTER(Matches!$B:$B,B93=Matches!$C:$C),""""),IFERROR(FILTER(Matches!$C:$C,B93=Matches!$B:$B),""""))"),",,,,,,,,,,,,,,,,,,,,,,,,,,,,,,,,,,,,,,,,,,,,,,,,,,,,,,,,,,,,,,,,,,,,,,,,,,,,,,,,,,,,,,,,,,,,,,,,,,,,,,,,,,,,,,,,,,,,,,,,,,,,,,,,,,,,,,,,,,,,,,,,,,,,,,,,,,,,,,,,,,,,,,,,,,,,,,,,,,,,,,,,,,,,,,,,,,,,,,,,,,,,,,,,,,,,,,,,,,,,,,,,,,,,,,,,,,,,,,,,,,,,,,,,,,,,,,,")</f>
        <v>,,,,,,,,,,,,,,,,,,,,,,,,,,,,,,,,,,,,,,,,,,,,,,,,,,,,,,,,,,,,,,,,,,,,,,,,,,,,,,,,,,,,,,,,,,,,,,,,,,,,,,,,,,,,,,,,,,,,,,,,,,,,,,,,,,,,,,,,,,,,,,,,,,,,,,,,,,,,,,,,,,,,,,,,,,,,,,,,,,,,,,,,,,,,,,,,,,,,,,,,,,,,,,,,,,,,,,,,,,,,,,,,,,,,,,,,,,,,,,,,,,,,,,,,,,,,,,,</v>
      </c>
      <c r="U93" s="121">
        <f>IFERROR(__xludf.DUMMYFUNCTION("iferror(AVERAGE(ARRAYFORMULA(VLOOKUP(SPLIT(T93,"","",TRUE,TRUE),$R$2:$S1000,2,FALSE))),0)"),0.0)</f>
        <v>0</v>
      </c>
      <c r="V93" s="123">
        <f>IFERROR(__xludf.DUMMYFUNCTION("RANK($I93, $I$2:$I1000, FALSE) + RANK($M93, Filter($M$2:$M1000, $I$2:$I1000=$I93),FALSE)+RANK($U93, Filter($U$2:$U1000, $I$2:$I1000=$I93,$M$2:$M1000=$M93),FALSE)-2"),1.0)</f>
        <v>1</v>
      </c>
      <c r="W93" s="124" t="str">
        <f t="shared" si="9"/>
        <v>Underplay</v>
      </c>
      <c r="X93" s="125" t="str">
        <f t="shared" si="10"/>
        <v/>
      </c>
      <c r="Y93" s="126">
        <f>MAXIFS(Matches!$A:$A,Matches!$C:$C,$B93)</f>
        <v>0</v>
      </c>
      <c r="Z93" s="126">
        <f t="array" ref="Z93">XLOOKUP(Y93,Quotas!$B$7:$B$10,Quotas!$A$7:$A$10,0,-1)</f>
        <v>0</v>
      </c>
      <c r="AB93" s="31"/>
      <c r="AC93" s="31">
        <f>COUNTIFS(Matches!$A:$A,"&gt;"&amp;Y93,Matches!$B:$B,$B93)</f>
        <v>0</v>
      </c>
      <c r="AD93" s="31"/>
      <c r="AE93" s="127">
        <f>SUMIF('Pool Changes'!B:B, B93, 'Pool Changes'!H:H)</f>
        <v>0</v>
      </c>
    </row>
    <row r="94">
      <c r="A94" s="104">
        <f t="shared" si="1"/>
        <v>1</v>
      </c>
      <c r="C94" s="128"/>
      <c r="D94" s="74"/>
      <c r="E94" s="1"/>
      <c r="F94" s="1"/>
      <c r="G94" s="1"/>
      <c r="H94" s="118">
        <f>COUNTIF(Entropy!$D:$D,$B94)+COUNTIF(Matches!$B:$B,$B94)+COUNTIF(Matches!$C:$C,$B94)</f>
        <v>0</v>
      </c>
      <c r="I94" s="119">
        <f>COUNTIF(Matches!$B:$B,B94)</f>
        <v>0</v>
      </c>
      <c r="J94" s="31">
        <f t="shared" si="2"/>
        <v>0</v>
      </c>
      <c r="K94" s="1" t="str">
        <f t="shared" si="3"/>
        <v>0 - 0</v>
      </c>
      <c r="L94" s="120">
        <f>COUNTIF(Entropy!$D:$D,$B94)</f>
        <v>0</v>
      </c>
      <c r="M94" s="121">
        <f t="shared" si="4"/>
        <v>0</v>
      </c>
      <c r="N94" s="121">
        <f t="shared" si="5"/>
        <v>0</v>
      </c>
      <c r="O94" s="118">
        <f>IF($J94=11,0,IF(AND($H94 &gt;=VLOOKUP('Combined Standings'!$C$2,Quotas!$A$7:$E$14,4,FALSE), $H94&lt;=VLOOKUP('Combined Standings'!$C$2,Quotas!$A$7:$E$14,5,FALSE)), 0,VLOOKUP('Combined Standings'!$C$2,Quotas!$A$7:$E$11,4,FALSE)-$H94))</f>
        <v>13</v>
      </c>
      <c r="P94" s="118">
        <f>IF($J94=11,0,IF(AND($H94 &gt;=VLOOKUP('Combined Standings'!$C$2,Quotas!$A$7:$E$14,5,FALSE), $H94&lt;=VLOOKUP('Combined Standings'!$C$2,Quotas!$A$7:$E$14,5,FALSE)), 0,VLOOKUP('Combined Standings'!$C$2,Quotas!$A$7:$E$11,5,FALSE)-$H94))</f>
        <v>15</v>
      </c>
      <c r="Q94" s="31">
        <f t="shared" si="6"/>
        <v>11</v>
      </c>
      <c r="R94" s="122" t="str">
        <f t="shared" si="7"/>
        <v/>
      </c>
      <c r="S94" s="121">
        <f t="shared" si="8"/>
        <v>0.33</v>
      </c>
      <c r="T94" s="122" t="str">
        <f>IFERROR(__xludf.DUMMYFUNCTION("JOIN("","",IFERROR(FILTER(Matches!$B:$B,B94=Matches!$C:$C),""""),IFERROR(FILTER(Matches!$C:$C,B94=Matches!$B:$B),""""))"),",,,,,,,,,,,,,,,,,,,,,,,,,,,,,,,,,,,,,,,,,,,,,,,,,,,,,,,,,,,,,,,,,,,,,,,,,,,,,,,,,,,,,,,,,,,,,,,,,,,,,,,,,,,,,,,,,,,,,,,,,,,,,,,,,,,,,,,,,,,,,,,,,,,,,,,,,,,,,,,,,,,,,,,,,,,,,,,,,,,,,,,,,,,,,,,,,,,,,,,,,,,,,,,,,,,,,,,,,,,,,,,,,,,,,,,,,,,,,,,,,,,,,,,,,,,,,,,")</f>
        <v>,,,,,,,,,,,,,,,,,,,,,,,,,,,,,,,,,,,,,,,,,,,,,,,,,,,,,,,,,,,,,,,,,,,,,,,,,,,,,,,,,,,,,,,,,,,,,,,,,,,,,,,,,,,,,,,,,,,,,,,,,,,,,,,,,,,,,,,,,,,,,,,,,,,,,,,,,,,,,,,,,,,,,,,,,,,,,,,,,,,,,,,,,,,,,,,,,,,,,,,,,,,,,,,,,,,,,,,,,,,,,,,,,,,,,,,,,,,,,,,,,,,,,,,,,,,,,,,</v>
      </c>
      <c r="U94" s="121">
        <f>IFERROR(__xludf.DUMMYFUNCTION("iferror(AVERAGE(ARRAYFORMULA(VLOOKUP(SPLIT(T94,"","",TRUE,TRUE),$R$2:$S1000,2,FALSE))),0)"),0.0)</f>
        <v>0</v>
      </c>
      <c r="V94" s="123">
        <f>IFERROR(__xludf.DUMMYFUNCTION("RANK($I94, $I$2:$I1000, FALSE) + RANK($M94, Filter($M$2:$M1000, $I$2:$I1000=$I94),FALSE)+RANK($U94, Filter($U$2:$U1000, $I$2:$I1000=$I94,$M$2:$M1000=$M94),FALSE)-2"),1.0)</f>
        <v>1</v>
      </c>
      <c r="W94" s="124" t="str">
        <f t="shared" si="9"/>
        <v>Underplay</v>
      </c>
      <c r="X94" s="125" t="str">
        <f t="shared" si="10"/>
        <v/>
      </c>
      <c r="Y94" s="126">
        <f>MAXIFS(Matches!$A:$A,Matches!$C:$C,$B94)</f>
        <v>0</v>
      </c>
      <c r="Z94" s="126">
        <f t="array" ref="Z94">XLOOKUP(Y94,Quotas!$B$7:$B$10,Quotas!$A$7:$A$10,0,-1)</f>
        <v>0</v>
      </c>
      <c r="AB94" s="31"/>
      <c r="AC94" s="31">
        <f>COUNTIFS(Matches!$A:$A,"&gt;"&amp;Y94,Matches!$B:$B,$B94)</f>
        <v>0</v>
      </c>
      <c r="AD94" s="31"/>
      <c r="AE94" s="127">
        <f>SUMIF('Pool Changes'!B:B, B94, 'Pool Changes'!H:H)</f>
        <v>0</v>
      </c>
    </row>
    <row r="95">
      <c r="A95" s="104">
        <f t="shared" si="1"/>
        <v>1</v>
      </c>
      <c r="C95" s="128"/>
      <c r="D95" s="74"/>
      <c r="E95" s="1"/>
      <c r="F95" s="1"/>
      <c r="G95" s="1"/>
      <c r="H95" s="118">
        <f>COUNTIF(Entropy!$D:$D,$B95)+COUNTIF(Matches!$B:$B,$B95)+COUNTIF(Matches!$C:$C,$B95)</f>
        <v>0</v>
      </c>
      <c r="I95" s="119">
        <f>COUNTIF(Matches!$B:$B,B95)</f>
        <v>0</v>
      </c>
      <c r="J95" s="31">
        <f t="shared" si="2"/>
        <v>0</v>
      </c>
      <c r="K95" s="1" t="str">
        <f t="shared" si="3"/>
        <v>0 - 0</v>
      </c>
      <c r="L95" s="120">
        <f>COUNTIF(Entropy!$D:$D,$B95)</f>
        <v>0</v>
      </c>
      <c r="M95" s="121">
        <f t="shared" si="4"/>
        <v>0</v>
      </c>
      <c r="N95" s="121">
        <f t="shared" si="5"/>
        <v>0</v>
      </c>
      <c r="O95" s="118">
        <f>IF($J95=11,0,IF(AND($H95 &gt;=VLOOKUP('Combined Standings'!$C$2,Quotas!$A$7:$E$14,4,FALSE), $H95&lt;=VLOOKUP('Combined Standings'!$C$2,Quotas!$A$7:$E$14,5,FALSE)), 0,VLOOKUP('Combined Standings'!$C$2,Quotas!$A$7:$E$11,4,FALSE)-$H95))</f>
        <v>13</v>
      </c>
      <c r="P95" s="118">
        <f>IF($J95=11,0,IF(AND($H95 &gt;=VLOOKUP('Combined Standings'!$C$2,Quotas!$A$7:$E$14,5,FALSE), $H95&lt;=VLOOKUP('Combined Standings'!$C$2,Quotas!$A$7:$E$14,5,FALSE)), 0,VLOOKUP('Combined Standings'!$C$2,Quotas!$A$7:$E$11,5,FALSE)-$H95))</f>
        <v>15</v>
      </c>
      <c r="Q95" s="31">
        <f t="shared" si="6"/>
        <v>11</v>
      </c>
      <c r="R95" s="122" t="str">
        <f t="shared" si="7"/>
        <v/>
      </c>
      <c r="S95" s="121">
        <f t="shared" si="8"/>
        <v>0.33</v>
      </c>
      <c r="T95" s="122" t="str">
        <f>IFERROR(__xludf.DUMMYFUNCTION("JOIN("","",IFERROR(FILTER(Matches!$B:$B,B95=Matches!$C:$C),""""),IFERROR(FILTER(Matches!$C:$C,B95=Matches!$B:$B),""""))"),",,,,,,,,,,,,,,,,,,,,,,,,,,,,,,,,,,,,,,,,,,,,,,,,,,,,,,,,,,,,,,,,,,,,,,,,,,,,,,,,,,,,,,,,,,,,,,,,,,,,,,,,,,,,,,,,,,,,,,,,,,,,,,,,,,,,,,,,,,,,,,,,,,,,,,,,,,,,,,,,,,,,,,,,,,,,,,,,,,,,,,,,,,,,,,,,,,,,,,,,,,,,,,,,,,,,,,,,,,,,,,,,,,,,,,,,,,,,,,,,,,,,,,,,,,,,,,,")</f>
        <v>,,,,,,,,,,,,,,,,,,,,,,,,,,,,,,,,,,,,,,,,,,,,,,,,,,,,,,,,,,,,,,,,,,,,,,,,,,,,,,,,,,,,,,,,,,,,,,,,,,,,,,,,,,,,,,,,,,,,,,,,,,,,,,,,,,,,,,,,,,,,,,,,,,,,,,,,,,,,,,,,,,,,,,,,,,,,,,,,,,,,,,,,,,,,,,,,,,,,,,,,,,,,,,,,,,,,,,,,,,,,,,,,,,,,,,,,,,,,,,,,,,,,,,,,,,,,,,,</v>
      </c>
      <c r="U95" s="121">
        <f>IFERROR(__xludf.DUMMYFUNCTION("iferror(AVERAGE(ARRAYFORMULA(VLOOKUP(SPLIT(T95,"","",TRUE,TRUE),$R$2:$S1000,2,FALSE))),0)"),0.0)</f>
        <v>0</v>
      </c>
      <c r="V95" s="123">
        <f>IFERROR(__xludf.DUMMYFUNCTION("RANK($I95, $I$2:$I1000, FALSE) + RANK($M95, Filter($M$2:$M1000, $I$2:$I1000=$I95),FALSE)+RANK($U95, Filter($U$2:$U1000, $I$2:$I1000=$I95,$M$2:$M1000=$M95),FALSE)-2"),1.0)</f>
        <v>1</v>
      </c>
      <c r="W95" s="124" t="str">
        <f t="shared" si="9"/>
        <v>Underplay</v>
      </c>
      <c r="X95" s="125" t="str">
        <f t="shared" si="10"/>
        <v/>
      </c>
      <c r="Y95" s="126">
        <f>MAXIFS(Matches!$A:$A,Matches!$C:$C,$B95)</f>
        <v>0</v>
      </c>
      <c r="Z95" s="126">
        <f t="array" ref="Z95">XLOOKUP(Y95,Quotas!$B$7:$B$10,Quotas!$A$7:$A$10,0,-1)</f>
        <v>0</v>
      </c>
      <c r="AB95" s="31"/>
      <c r="AC95" s="31">
        <f>COUNTIFS(Matches!$A:$A,"&gt;"&amp;Y95,Matches!$B:$B,$B95)</f>
        <v>0</v>
      </c>
      <c r="AD95" s="31"/>
      <c r="AE95" s="127">
        <f>SUMIF('Pool Changes'!B:B, B95, 'Pool Changes'!H:H)</f>
        <v>0</v>
      </c>
    </row>
    <row r="96">
      <c r="A96" s="104">
        <f t="shared" si="1"/>
        <v>1</v>
      </c>
      <c r="C96" s="128"/>
      <c r="D96" s="74"/>
      <c r="E96" s="1"/>
      <c r="F96" s="1"/>
      <c r="G96" s="1"/>
      <c r="H96" s="118">
        <f>COUNTIF(Entropy!$D:$D,$B96)+COUNTIF(Matches!$B:$B,$B96)+COUNTIF(Matches!$C:$C,$B96)</f>
        <v>0</v>
      </c>
      <c r="I96" s="119">
        <f>COUNTIF(Matches!$B:$B,B96)</f>
        <v>0</v>
      </c>
      <c r="J96" s="31">
        <f t="shared" si="2"/>
        <v>0</v>
      </c>
      <c r="K96" s="1" t="str">
        <f t="shared" si="3"/>
        <v>0 - 0</v>
      </c>
      <c r="L96" s="120">
        <f>COUNTIF(Entropy!$D:$D,$B96)</f>
        <v>0</v>
      </c>
      <c r="M96" s="121">
        <f t="shared" si="4"/>
        <v>0</v>
      </c>
      <c r="N96" s="121">
        <f t="shared" si="5"/>
        <v>0</v>
      </c>
      <c r="O96" s="118">
        <f>IF($J96=11,0,IF(AND($H96 &gt;=VLOOKUP('Combined Standings'!$C$2,Quotas!$A$7:$E$14,4,FALSE), $H96&lt;=VLOOKUP('Combined Standings'!$C$2,Quotas!$A$7:$E$14,5,FALSE)), 0,VLOOKUP('Combined Standings'!$C$2,Quotas!$A$7:$E$11,4,FALSE)-$H96))</f>
        <v>13</v>
      </c>
      <c r="P96" s="118">
        <f>IF($J96=11,0,IF(AND($H96 &gt;=VLOOKUP('Combined Standings'!$C$2,Quotas!$A$7:$E$14,5,FALSE), $H96&lt;=VLOOKUP('Combined Standings'!$C$2,Quotas!$A$7:$E$14,5,FALSE)), 0,VLOOKUP('Combined Standings'!$C$2,Quotas!$A$7:$E$11,5,FALSE)-$H96))</f>
        <v>15</v>
      </c>
      <c r="Q96" s="31">
        <f t="shared" si="6"/>
        <v>11</v>
      </c>
      <c r="R96" s="122" t="str">
        <f t="shared" si="7"/>
        <v/>
      </c>
      <c r="S96" s="121">
        <f t="shared" si="8"/>
        <v>0.33</v>
      </c>
      <c r="T96" s="122" t="str">
        <f>IFERROR(__xludf.DUMMYFUNCTION("JOIN("","",IFERROR(FILTER(Matches!$B:$B,B96=Matches!$C:$C),""""),IFERROR(FILTER(Matches!$C:$C,B96=Matches!$B:$B),""""))"),",,,,,,,,,,,,,,,,,,,,,,,,,,,,,,,,,,,,,,,,,,,,,,,,,,,,,,,,,,,,,,,,,,,,,,,,,,,,,,,,,,,,,,,,,,,,,,,,,,,,,,,,,,,,,,,,,,,,,,,,,,,,,,,,,,,,,,,,,,,,,,,,,,,,,,,,,,,,,,,,,,,,,,,,,,,,,,,,,,,,,,,,,,,,,,,,,,,,,,,,,,,,,,,,,,,,,,,,,,,,,,,,,,,,,,,,,,,,,,,,,,,,,,,,,,,,,,,")</f>
        <v>,,,,,,,,,,,,,,,,,,,,,,,,,,,,,,,,,,,,,,,,,,,,,,,,,,,,,,,,,,,,,,,,,,,,,,,,,,,,,,,,,,,,,,,,,,,,,,,,,,,,,,,,,,,,,,,,,,,,,,,,,,,,,,,,,,,,,,,,,,,,,,,,,,,,,,,,,,,,,,,,,,,,,,,,,,,,,,,,,,,,,,,,,,,,,,,,,,,,,,,,,,,,,,,,,,,,,,,,,,,,,,,,,,,,,,,,,,,,,,,,,,,,,,,,,,,,,,,</v>
      </c>
      <c r="U96" s="121">
        <f>IFERROR(__xludf.DUMMYFUNCTION("iferror(AVERAGE(ARRAYFORMULA(VLOOKUP(SPLIT(T96,"","",TRUE,TRUE),$R$2:$S1000,2,FALSE))),0)"),0.0)</f>
        <v>0</v>
      </c>
      <c r="V96" s="123">
        <f>IFERROR(__xludf.DUMMYFUNCTION("RANK($I96, $I$2:$I1000, FALSE) + RANK($M96, Filter($M$2:$M1000, $I$2:$I1000=$I96),FALSE)+RANK($U96, Filter($U$2:$U1000, $I$2:$I1000=$I96,$M$2:$M1000=$M96),FALSE)-2"),1.0)</f>
        <v>1</v>
      </c>
      <c r="W96" s="124" t="str">
        <f t="shared" si="9"/>
        <v>Underplay</v>
      </c>
      <c r="X96" s="125" t="str">
        <f t="shared" si="10"/>
        <v/>
      </c>
      <c r="Y96" s="126">
        <f>MAXIFS(Matches!$A:$A,Matches!$C:$C,$B96)</f>
        <v>0</v>
      </c>
      <c r="Z96" s="126">
        <f t="array" ref="Z96">XLOOKUP(Y96,Quotas!$B$7:$B$10,Quotas!$A$7:$A$10,0,-1)</f>
        <v>0</v>
      </c>
      <c r="AB96" s="31"/>
      <c r="AC96" s="31">
        <f>COUNTIFS(Matches!$A:$A,"&gt;"&amp;Y96,Matches!$B:$B,$B96)</f>
        <v>0</v>
      </c>
      <c r="AD96" s="31"/>
      <c r="AE96" s="127">
        <f>SUMIF('Pool Changes'!B:B, B96, 'Pool Changes'!H:H)</f>
        <v>0</v>
      </c>
    </row>
    <row r="97">
      <c r="A97" s="104">
        <f t="shared" si="1"/>
        <v>1</v>
      </c>
      <c r="C97" s="128"/>
      <c r="D97" s="74"/>
      <c r="E97" s="1"/>
      <c r="F97" s="1"/>
      <c r="G97" s="1"/>
      <c r="H97" s="118">
        <f>COUNTIF(Entropy!$D:$D,$B97)+COUNTIF(Matches!$B:$B,$B97)+COUNTIF(Matches!$C:$C,$B97)</f>
        <v>0</v>
      </c>
      <c r="I97" s="119">
        <f>COUNTIF(Matches!$B:$B,B97)</f>
        <v>0</v>
      </c>
      <c r="J97" s="31">
        <f t="shared" si="2"/>
        <v>0</v>
      </c>
      <c r="K97" s="1" t="str">
        <f t="shared" si="3"/>
        <v>0 - 0</v>
      </c>
      <c r="L97" s="120">
        <f>COUNTIF(Entropy!$D:$D,$B97)</f>
        <v>0</v>
      </c>
      <c r="M97" s="121">
        <f t="shared" si="4"/>
        <v>0</v>
      </c>
      <c r="N97" s="121">
        <f t="shared" si="5"/>
        <v>0</v>
      </c>
      <c r="O97" s="118">
        <f>IF($J97=11,0,IF(AND($H97 &gt;=VLOOKUP('Combined Standings'!$C$2,Quotas!$A$7:$E$14,4,FALSE), $H97&lt;=VLOOKUP('Combined Standings'!$C$2,Quotas!$A$7:$E$14,5,FALSE)), 0,VLOOKUP('Combined Standings'!$C$2,Quotas!$A$7:$E$11,4,FALSE)-$H97))</f>
        <v>13</v>
      </c>
      <c r="P97" s="118">
        <f>IF($J97=11,0,IF(AND($H97 &gt;=VLOOKUP('Combined Standings'!$C$2,Quotas!$A$7:$E$14,5,FALSE), $H97&lt;=VLOOKUP('Combined Standings'!$C$2,Quotas!$A$7:$E$14,5,FALSE)), 0,VLOOKUP('Combined Standings'!$C$2,Quotas!$A$7:$E$11,5,FALSE)-$H97))</f>
        <v>15</v>
      </c>
      <c r="Q97" s="31">
        <f t="shared" si="6"/>
        <v>11</v>
      </c>
      <c r="R97" s="122" t="str">
        <f t="shared" si="7"/>
        <v/>
      </c>
      <c r="S97" s="121">
        <f t="shared" si="8"/>
        <v>0.33</v>
      </c>
      <c r="T97" s="122" t="str">
        <f>IFERROR(__xludf.DUMMYFUNCTION("JOIN("","",IFERROR(FILTER(Matches!$B:$B,B97=Matches!$C:$C),""""),IFERROR(FILTER(Matches!$C:$C,B97=Matches!$B:$B),""""))"),",,,,,,,,,,,,,,,,,,,,,,,,,,,,,,,,,,,,,,,,,,,,,,,,,,,,,,,,,,,,,,,,,,,,,,,,,,,,,,,,,,,,,,,,,,,,,,,,,,,,,,,,,,,,,,,,,,,,,,,,,,,,,,,,,,,,,,,,,,,,,,,,,,,,,,,,,,,,,,,,,,,,,,,,,,,,,,,,,,,,,,,,,,,,,,,,,,,,,,,,,,,,,,,,,,,,,,,,,,,,,,,,,,,,,,,,,,,,,,,,,,,,,,,,,,,,,,,")</f>
        <v>,,,,,,,,,,,,,,,,,,,,,,,,,,,,,,,,,,,,,,,,,,,,,,,,,,,,,,,,,,,,,,,,,,,,,,,,,,,,,,,,,,,,,,,,,,,,,,,,,,,,,,,,,,,,,,,,,,,,,,,,,,,,,,,,,,,,,,,,,,,,,,,,,,,,,,,,,,,,,,,,,,,,,,,,,,,,,,,,,,,,,,,,,,,,,,,,,,,,,,,,,,,,,,,,,,,,,,,,,,,,,,,,,,,,,,,,,,,,,,,,,,,,,,,,,,,,,,,</v>
      </c>
      <c r="U97" s="121">
        <f>IFERROR(__xludf.DUMMYFUNCTION("iferror(AVERAGE(ARRAYFORMULA(VLOOKUP(SPLIT(T97,"","",TRUE,TRUE),$R$2:$S1000,2,FALSE))),0)"),0.0)</f>
        <v>0</v>
      </c>
      <c r="V97" s="123">
        <f>IFERROR(__xludf.DUMMYFUNCTION("RANK($I97, $I$2:$I1000, FALSE) + RANK($M97, Filter($M$2:$M1000, $I$2:$I1000=$I97),FALSE)+RANK($U97, Filter($U$2:$U1000, $I$2:$I1000=$I97,$M$2:$M1000=$M97),FALSE)-2"),1.0)</f>
        <v>1</v>
      </c>
      <c r="W97" s="124" t="str">
        <f t="shared" si="9"/>
        <v>Underplay</v>
      </c>
      <c r="X97" s="125" t="str">
        <f t="shared" si="10"/>
        <v/>
      </c>
      <c r="Y97" s="126">
        <f>MAXIFS(Matches!$A:$A,Matches!$C:$C,$B97)</f>
        <v>0</v>
      </c>
      <c r="Z97" s="126">
        <f t="array" ref="Z97">XLOOKUP(Y97,Quotas!$B$7:$B$10,Quotas!$A$7:$A$10,0,-1)</f>
        <v>0</v>
      </c>
      <c r="AB97" s="31"/>
      <c r="AC97" s="31">
        <f>COUNTIFS(Matches!$A:$A,"&gt;"&amp;Y97,Matches!$B:$B,$B97)</f>
        <v>0</v>
      </c>
      <c r="AD97" s="31"/>
      <c r="AE97" s="127">
        <f>SUMIF('Pool Changes'!B:B, B97, 'Pool Changes'!H:H)</f>
        <v>0</v>
      </c>
    </row>
    <row r="98">
      <c r="A98" s="104">
        <f t="shared" si="1"/>
        <v>1</v>
      </c>
      <c r="C98" s="128"/>
      <c r="D98" s="74"/>
      <c r="E98" s="1"/>
      <c r="F98" s="1"/>
      <c r="G98" s="1"/>
      <c r="H98" s="118">
        <f>COUNTIF(Entropy!$D:$D,$B98)+COUNTIF(Matches!$B:$B,$B98)+COUNTIF(Matches!$C:$C,$B98)</f>
        <v>0</v>
      </c>
      <c r="I98" s="119">
        <f>COUNTIF(Matches!$B:$B,B98)</f>
        <v>0</v>
      </c>
      <c r="J98" s="31">
        <f t="shared" si="2"/>
        <v>0</v>
      </c>
      <c r="K98" s="1" t="str">
        <f t="shared" si="3"/>
        <v>0 - 0</v>
      </c>
      <c r="L98" s="120">
        <f>COUNTIF(Entropy!$D:$D,$B98)</f>
        <v>0</v>
      </c>
      <c r="M98" s="121">
        <f t="shared" si="4"/>
        <v>0</v>
      </c>
      <c r="N98" s="121">
        <f t="shared" si="5"/>
        <v>0</v>
      </c>
      <c r="O98" s="118">
        <f>IF($J98=11,0,IF(AND($H98 &gt;=VLOOKUP('Combined Standings'!$C$2,Quotas!$A$7:$E$14,4,FALSE), $H98&lt;=VLOOKUP('Combined Standings'!$C$2,Quotas!$A$7:$E$14,5,FALSE)), 0,VLOOKUP('Combined Standings'!$C$2,Quotas!$A$7:$E$11,4,FALSE)-$H98))</f>
        <v>13</v>
      </c>
      <c r="P98" s="118">
        <f>IF($J98=11,0,IF(AND($H98 &gt;=VLOOKUP('Combined Standings'!$C$2,Quotas!$A$7:$E$14,5,FALSE), $H98&lt;=VLOOKUP('Combined Standings'!$C$2,Quotas!$A$7:$E$14,5,FALSE)), 0,VLOOKUP('Combined Standings'!$C$2,Quotas!$A$7:$E$11,5,FALSE)-$H98))</f>
        <v>15</v>
      </c>
      <c r="Q98" s="31">
        <f t="shared" si="6"/>
        <v>11</v>
      </c>
      <c r="R98" s="122" t="str">
        <f t="shared" si="7"/>
        <v/>
      </c>
      <c r="S98" s="121">
        <f t="shared" si="8"/>
        <v>0.33</v>
      </c>
      <c r="T98" s="122" t="str">
        <f>IFERROR(__xludf.DUMMYFUNCTION("JOIN("","",IFERROR(FILTER(Matches!$B:$B,B98=Matches!$C:$C),""""),IFERROR(FILTER(Matches!$C:$C,B98=Matches!$B:$B),""""))"),",,,,,,,,,,,,,,,,,,,,,,,,,,,,,,,,,,,,,,,,,,,,,,,,,,,,,,,,,,,,,,,,,,,,,,,,,,,,,,,,,,,,,,,,,,,,,,,,,,,,,,,,,,,,,,,,,,,,,,,,,,,,,,,,,,,,,,,,,,,,,,,,,,,,,,,,,,,,,,,,,,,,,,,,,,,,,,,,,,,,,,,,,,,,,,,,,,,,,,,,,,,,,,,,,,,,,,,,,,,,,,,,,,,,,,,,,,,,,,,,,,,,,,,,,,,,,,,")</f>
        <v>,,,,,,,,,,,,,,,,,,,,,,,,,,,,,,,,,,,,,,,,,,,,,,,,,,,,,,,,,,,,,,,,,,,,,,,,,,,,,,,,,,,,,,,,,,,,,,,,,,,,,,,,,,,,,,,,,,,,,,,,,,,,,,,,,,,,,,,,,,,,,,,,,,,,,,,,,,,,,,,,,,,,,,,,,,,,,,,,,,,,,,,,,,,,,,,,,,,,,,,,,,,,,,,,,,,,,,,,,,,,,,,,,,,,,,,,,,,,,,,,,,,,,,,,,,,,,,,</v>
      </c>
      <c r="U98" s="121">
        <f>IFERROR(__xludf.DUMMYFUNCTION("iferror(AVERAGE(ARRAYFORMULA(VLOOKUP(SPLIT(T98,"","",TRUE,TRUE),$R$2:$S1000,2,FALSE))),0)"),0.0)</f>
        <v>0</v>
      </c>
      <c r="V98" s="123">
        <f>IFERROR(__xludf.DUMMYFUNCTION("RANK($I98, $I$2:$I1000, FALSE) + RANK($M98, Filter($M$2:$M1000, $I$2:$I1000=$I98),FALSE)+RANK($U98, Filter($U$2:$U1000, $I$2:$I1000=$I98,$M$2:$M1000=$M98),FALSE)-2"),1.0)</f>
        <v>1</v>
      </c>
      <c r="W98" s="124" t="str">
        <f t="shared" si="9"/>
        <v>Underplay</v>
      </c>
      <c r="X98" s="125" t="str">
        <f t="shared" si="10"/>
        <v/>
      </c>
      <c r="Y98" s="126">
        <f>MAXIFS(Matches!$A:$A,Matches!$C:$C,$B98)</f>
        <v>0</v>
      </c>
      <c r="Z98" s="126">
        <f t="array" ref="Z98">XLOOKUP(Y98,Quotas!$B$7:$B$10,Quotas!$A$7:$A$10,0,-1)</f>
        <v>0</v>
      </c>
      <c r="AB98" s="31"/>
      <c r="AC98" s="31">
        <f>COUNTIFS(Matches!$A:$A,"&gt;"&amp;Y98,Matches!$B:$B,$B98)</f>
        <v>0</v>
      </c>
      <c r="AD98" s="31"/>
      <c r="AE98" s="127">
        <f>SUMIF('Pool Changes'!B:B, B98, 'Pool Changes'!H:H)</f>
        <v>0</v>
      </c>
    </row>
    <row r="99">
      <c r="A99" s="104">
        <f t="shared" si="1"/>
        <v>1</v>
      </c>
      <c r="C99" s="128"/>
      <c r="D99" s="74"/>
      <c r="E99" s="1"/>
      <c r="F99" s="1"/>
      <c r="G99" s="1"/>
      <c r="H99" s="118">
        <f>COUNTIF(Entropy!$D:$D,$B99)+COUNTIF(Matches!$B:$B,$B99)+COUNTIF(Matches!$C:$C,$B99)</f>
        <v>0</v>
      </c>
      <c r="I99" s="119">
        <f>COUNTIF(Matches!$B:$B,B99)</f>
        <v>0</v>
      </c>
      <c r="J99" s="31">
        <f t="shared" si="2"/>
        <v>0</v>
      </c>
      <c r="K99" s="1" t="str">
        <f t="shared" si="3"/>
        <v>0 - 0</v>
      </c>
      <c r="L99" s="120">
        <f>COUNTIF(Entropy!$D:$D,$B99)</f>
        <v>0</v>
      </c>
      <c r="M99" s="121">
        <f t="shared" si="4"/>
        <v>0</v>
      </c>
      <c r="N99" s="121">
        <f t="shared" si="5"/>
        <v>0</v>
      </c>
      <c r="O99" s="118">
        <f>IF($J99=11,0,IF(AND($H99 &gt;=VLOOKUP('Combined Standings'!$C$2,Quotas!$A$7:$E$14,4,FALSE), $H99&lt;=VLOOKUP('Combined Standings'!$C$2,Quotas!$A$7:$E$14,5,FALSE)), 0,VLOOKUP('Combined Standings'!$C$2,Quotas!$A$7:$E$11,4,FALSE)-$H99))</f>
        <v>13</v>
      </c>
      <c r="P99" s="118">
        <f>IF($J99=11,0,IF(AND($H99 &gt;=VLOOKUP('Combined Standings'!$C$2,Quotas!$A$7:$E$14,5,FALSE), $H99&lt;=VLOOKUP('Combined Standings'!$C$2,Quotas!$A$7:$E$14,5,FALSE)), 0,VLOOKUP('Combined Standings'!$C$2,Quotas!$A$7:$E$11,5,FALSE)-$H99))</f>
        <v>15</v>
      </c>
      <c r="Q99" s="31">
        <f t="shared" si="6"/>
        <v>11</v>
      </c>
      <c r="R99" s="122" t="str">
        <f t="shared" si="7"/>
        <v/>
      </c>
      <c r="S99" s="121">
        <f t="shared" si="8"/>
        <v>0.33</v>
      </c>
      <c r="T99" s="122" t="str">
        <f>IFERROR(__xludf.DUMMYFUNCTION("JOIN("","",IFERROR(FILTER(Matches!$B:$B,B99=Matches!$C:$C),""""),IFERROR(FILTER(Matches!$C:$C,B99=Matches!$B:$B),""""))"),",,,,,,,,,,,,,,,,,,,,,,,,,,,,,,,,,,,,,,,,,,,,,,,,,,,,,,,,,,,,,,,,,,,,,,,,,,,,,,,,,,,,,,,,,,,,,,,,,,,,,,,,,,,,,,,,,,,,,,,,,,,,,,,,,,,,,,,,,,,,,,,,,,,,,,,,,,,,,,,,,,,,,,,,,,,,,,,,,,,,,,,,,,,,,,,,,,,,,,,,,,,,,,,,,,,,,,,,,,,,,,,,,,,,,,,,,,,,,,,,,,,,,,,,,,,,,,,")</f>
        <v>,,,,,,,,,,,,,,,,,,,,,,,,,,,,,,,,,,,,,,,,,,,,,,,,,,,,,,,,,,,,,,,,,,,,,,,,,,,,,,,,,,,,,,,,,,,,,,,,,,,,,,,,,,,,,,,,,,,,,,,,,,,,,,,,,,,,,,,,,,,,,,,,,,,,,,,,,,,,,,,,,,,,,,,,,,,,,,,,,,,,,,,,,,,,,,,,,,,,,,,,,,,,,,,,,,,,,,,,,,,,,,,,,,,,,,,,,,,,,,,,,,,,,,,,,,,,,,,</v>
      </c>
      <c r="U99" s="121">
        <f>IFERROR(__xludf.DUMMYFUNCTION("iferror(AVERAGE(ARRAYFORMULA(VLOOKUP(SPLIT(T99,"","",TRUE,TRUE),$R$2:$S1000,2,FALSE))),0)"),0.0)</f>
        <v>0</v>
      </c>
      <c r="V99" s="123">
        <f>IFERROR(__xludf.DUMMYFUNCTION("RANK($I99, $I$2:$I1000, FALSE) + RANK($M99, Filter($M$2:$M1000, $I$2:$I1000=$I99),FALSE)+RANK($U99, Filter($U$2:$U1000, $I$2:$I1000=$I99,$M$2:$M1000=$M99),FALSE)-2"),1.0)</f>
        <v>1</v>
      </c>
      <c r="W99" s="124" t="str">
        <f t="shared" si="9"/>
        <v>Underplay</v>
      </c>
      <c r="X99" s="125" t="str">
        <f t="shared" si="10"/>
        <v/>
      </c>
      <c r="Y99" s="126">
        <f>MAXIFS(Matches!$A:$A,Matches!$C:$C,$B99)</f>
        <v>0</v>
      </c>
      <c r="Z99" s="126">
        <f t="array" ref="Z99">XLOOKUP(Y99,Quotas!$B$7:$B$10,Quotas!$A$7:$A$10,0,-1)</f>
        <v>0</v>
      </c>
      <c r="AB99" s="31"/>
      <c r="AC99" s="31">
        <f>COUNTIFS(Matches!$A:$A,"&gt;"&amp;Y99,Matches!$B:$B,$B99)</f>
        <v>0</v>
      </c>
      <c r="AD99" s="31"/>
      <c r="AE99" s="127">
        <f>SUMIF('Pool Changes'!B:B, B99, 'Pool Changes'!H:H)</f>
        <v>0</v>
      </c>
    </row>
    <row r="100">
      <c r="A100" s="104">
        <f t="shared" si="1"/>
        <v>1</v>
      </c>
      <c r="C100" s="128"/>
      <c r="D100" s="74"/>
      <c r="E100" s="1"/>
      <c r="F100" s="1"/>
      <c r="G100" s="1"/>
      <c r="H100" s="118">
        <f>COUNTIF(Entropy!$D:$D,$B100)+COUNTIF(Matches!$B:$B,$B100)+COUNTIF(Matches!$C:$C,$B100)</f>
        <v>0</v>
      </c>
      <c r="I100" s="119">
        <f>COUNTIF(Matches!$B:$B,B100)</f>
        <v>0</v>
      </c>
      <c r="J100" s="31">
        <f t="shared" si="2"/>
        <v>0</v>
      </c>
      <c r="K100" s="1" t="str">
        <f t="shared" si="3"/>
        <v>0 - 0</v>
      </c>
      <c r="L100" s="120">
        <f>COUNTIF(Entropy!$D:$D,$B100)</f>
        <v>0</v>
      </c>
      <c r="M100" s="121">
        <f t="shared" si="4"/>
        <v>0</v>
      </c>
      <c r="N100" s="121">
        <f t="shared" si="5"/>
        <v>0</v>
      </c>
      <c r="O100" s="118">
        <f>IF($J100=11,0,IF(AND($H100 &gt;=VLOOKUP('Combined Standings'!$C$2,Quotas!$A$7:$E$14,4,FALSE), $H100&lt;=VLOOKUP('Combined Standings'!$C$2,Quotas!$A$7:$E$14,5,FALSE)), 0,VLOOKUP('Combined Standings'!$C$2,Quotas!$A$7:$E$11,4,FALSE)-$H100))</f>
        <v>13</v>
      </c>
      <c r="P100" s="118">
        <f>IF($J100=11,0,IF(AND($H100 &gt;=VLOOKUP('Combined Standings'!$C$2,Quotas!$A$7:$E$14,5,FALSE), $H100&lt;=VLOOKUP('Combined Standings'!$C$2,Quotas!$A$7:$E$14,5,FALSE)), 0,VLOOKUP('Combined Standings'!$C$2,Quotas!$A$7:$E$11,5,FALSE)-$H100))</f>
        <v>15</v>
      </c>
      <c r="Q100" s="31">
        <f t="shared" si="6"/>
        <v>11</v>
      </c>
      <c r="R100" s="122" t="str">
        <f t="shared" si="7"/>
        <v/>
      </c>
      <c r="S100" s="121">
        <f t="shared" si="8"/>
        <v>0.33</v>
      </c>
      <c r="T100" s="122" t="str">
        <f>IFERROR(__xludf.DUMMYFUNCTION("JOIN("","",IFERROR(FILTER(Matches!$B:$B,B100=Matches!$C:$C),""""),IFERROR(FILTER(Matches!$C:$C,B100=Matches!$B:$B),""""))"),",,,,,,,,,,,,,,,,,,,,,,,,,,,,,,,,,,,,,,,,,,,,,,,,,,,,,,,,,,,,,,,,,,,,,,,,,,,,,,,,,,,,,,,,,,,,,,,,,,,,,,,,,,,,,,,,,,,,,,,,,,,,,,,,,,,,,,,,,,,,,,,,,,,,,,,,,,,,,,,,,,,,,,,,,,,,,,,,,,,,,,,,,,,,,,,,,,,,,,,,,,,,,,,,,,,,,,,,,,,,,,,,,,,,,,,,,,,,,,,,,,,,,,,,,,,,,,,")</f>
        <v>,,,,,,,,,,,,,,,,,,,,,,,,,,,,,,,,,,,,,,,,,,,,,,,,,,,,,,,,,,,,,,,,,,,,,,,,,,,,,,,,,,,,,,,,,,,,,,,,,,,,,,,,,,,,,,,,,,,,,,,,,,,,,,,,,,,,,,,,,,,,,,,,,,,,,,,,,,,,,,,,,,,,,,,,,,,,,,,,,,,,,,,,,,,,,,,,,,,,,,,,,,,,,,,,,,,,,,,,,,,,,,,,,,,,,,,,,,,,,,,,,,,,,,,,,,,,,,,</v>
      </c>
      <c r="U100" s="121">
        <f>IFERROR(__xludf.DUMMYFUNCTION("iferror(AVERAGE(ARRAYFORMULA(VLOOKUP(SPLIT(T100,"","",TRUE,TRUE),$R$2:$S1000,2,FALSE))),0)"),0.0)</f>
        <v>0</v>
      </c>
      <c r="V100" s="123">
        <f>IFERROR(__xludf.DUMMYFUNCTION("RANK($I100, $I$2:$I1000, FALSE) + RANK($M100, Filter($M$2:$M1000, $I$2:$I1000=$I100),FALSE)+RANK($U100, Filter($U$2:$U1000, $I$2:$I1000=$I100,$M$2:$M1000=$M100),FALSE)-2"),1.0)</f>
        <v>1</v>
      </c>
      <c r="W100" s="124" t="str">
        <f t="shared" si="9"/>
        <v>Underplay</v>
      </c>
      <c r="X100" s="125" t="str">
        <f t="shared" si="10"/>
        <v/>
      </c>
      <c r="Y100" s="126">
        <f>MAXIFS(Matches!$A:$A,Matches!$C:$C,$B100)</f>
        <v>0</v>
      </c>
      <c r="Z100" s="126">
        <f t="array" ref="Z100">XLOOKUP(Y100,Quotas!$B$7:$B$10,Quotas!$A$7:$A$10,0,-1)</f>
        <v>0</v>
      </c>
      <c r="AB100" s="31"/>
      <c r="AC100" s="31">
        <f>COUNTIFS(Matches!$A:$A,"&gt;"&amp;Y100,Matches!$B:$B,$B100)</f>
        <v>0</v>
      </c>
      <c r="AD100" s="31"/>
      <c r="AE100" s="127">
        <f>SUMIF('Pool Changes'!B:B, B100, 'Pool Changes'!H:H)</f>
        <v>0</v>
      </c>
    </row>
    <row r="101">
      <c r="A101" s="104">
        <f t="shared" si="1"/>
        <v>1</v>
      </c>
      <c r="C101" s="128"/>
      <c r="D101" s="74"/>
      <c r="E101" s="1"/>
      <c r="F101" s="1"/>
      <c r="G101" s="1"/>
      <c r="H101" s="118">
        <f>COUNTIF(Entropy!$D:$D,$B101)+COUNTIF(Matches!$B:$B,$B101)+COUNTIF(Matches!$C:$C,$B101)</f>
        <v>0</v>
      </c>
      <c r="I101" s="119">
        <f>COUNTIF(Matches!$B:$B,B101)</f>
        <v>0</v>
      </c>
      <c r="J101" s="31">
        <f t="shared" si="2"/>
        <v>0</v>
      </c>
      <c r="K101" s="1" t="str">
        <f t="shared" si="3"/>
        <v>0 - 0</v>
      </c>
      <c r="L101" s="120">
        <f>COUNTIF(Entropy!$D:$D,$B101)</f>
        <v>0</v>
      </c>
      <c r="M101" s="121">
        <f t="shared" si="4"/>
        <v>0</v>
      </c>
      <c r="N101" s="121">
        <f t="shared" si="5"/>
        <v>0</v>
      </c>
      <c r="O101" s="118">
        <f>IF($J101=11,0,IF(AND($H101 &gt;=VLOOKUP('Combined Standings'!$C$2,Quotas!$A$7:$E$14,4,FALSE), $H101&lt;=VLOOKUP('Combined Standings'!$C$2,Quotas!$A$7:$E$14,5,FALSE)), 0,VLOOKUP('Combined Standings'!$C$2,Quotas!$A$7:$E$11,4,FALSE)-$H101))</f>
        <v>13</v>
      </c>
      <c r="P101" s="118">
        <f>IF($J101=11,0,IF(AND($H101 &gt;=VLOOKUP('Combined Standings'!$C$2,Quotas!$A$7:$E$14,5,FALSE), $H101&lt;=VLOOKUP('Combined Standings'!$C$2,Quotas!$A$7:$E$14,5,FALSE)), 0,VLOOKUP('Combined Standings'!$C$2,Quotas!$A$7:$E$11,5,FALSE)-$H101))</f>
        <v>15</v>
      </c>
      <c r="Q101" s="31">
        <f t="shared" si="6"/>
        <v>11</v>
      </c>
      <c r="R101" s="122" t="str">
        <f t="shared" si="7"/>
        <v/>
      </c>
      <c r="S101" s="121">
        <f t="shared" si="8"/>
        <v>0.33</v>
      </c>
      <c r="T101" s="122" t="str">
        <f>IFERROR(__xludf.DUMMYFUNCTION("JOIN("","",IFERROR(FILTER(Matches!$B:$B,B101=Matches!$C:$C),""""),IFERROR(FILTER(Matches!$C:$C,B101=Matches!$B:$B),""""))"),",,,,,,,,,,,,,,,,,,,,,,,,,,,,,,,,,,,,,,,,,,,,,,,,,,,,,,,,,,,,,,,,,,,,,,,,,,,,,,,,,,,,,,,,,,,,,,,,,,,,,,,,,,,,,,,,,,,,,,,,,,,,,,,,,,,,,,,,,,,,,,,,,,,,,,,,,,,,,,,,,,,,,,,,,,,,,,,,,,,,,,,,,,,,,,,,,,,,,,,,,,,,,,,,,,,,,,,,,,,,,,,,,,,,,,,,,,,,,,,,,,,,,,,,,,,,,,,")</f>
        <v>,,,,,,,,,,,,,,,,,,,,,,,,,,,,,,,,,,,,,,,,,,,,,,,,,,,,,,,,,,,,,,,,,,,,,,,,,,,,,,,,,,,,,,,,,,,,,,,,,,,,,,,,,,,,,,,,,,,,,,,,,,,,,,,,,,,,,,,,,,,,,,,,,,,,,,,,,,,,,,,,,,,,,,,,,,,,,,,,,,,,,,,,,,,,,,,,,,,,,,,,,,,,,,,,,,,,,,,,,,,,,,,,,,,,,,,,,,,,,,,,,,,,,,,,,,,,,,,</v>
      </c>
      <c r="U101" s="121">
        <f>IFERROR(__xludf.DUMMYFUNCTION("iferror(AVERAGE(ARRAYFORMULA(VLOOKUP(SPLIT(T101,"","",TRUE,TRUE),$R$2:$S1000,2,FALSE))),0)"),0.0)</f>
        <v>0</v>
      </c>
      <c r="V101" s="123">
        <f>IFERROR(__xludf.DUMMYFUNCTION("RANK($I101, $I$2:$I1000, FALSE) + RANK($M101, Filter($M$2:$M1000, $I$2:$I1000=$I101),FALSE)+RANK($U101, Filter($U$2:$U1000, $I$2:$I1000=$I101,$M$2:$M1000=$M101),FALSE)-2"),1.0)</f>
        <v>1</v>
      </c>
      <c r="W101" s="124" t="str">
        <f t="shared" si="9"/>
        <v>Underplay</v>
      </c>
      <c r="X101" s="125" t="str">
        <f t="shared" si="10"/>
        <v/>
      </c>
      <c r="Y101" s="126">
        <f>MAXIFS(Matches!$A:$A,Matches!$C:$C,$B101)</f>
        <v>0</v>
      </c>
      <c r="Z101" s="126">
        <f t="array" ref="Z101">XLOOKUP(Y101,Quotas!$B$7:$B$10,Quotas!$A$7:$A$10,0,-1)</f>
        <v>0</v>
      </c>
      <c r="AB101" s="31"/>
      <c r="AC101" s="31">
        <f>COUNTIFS(Matches!$A:$A,"&gt;"&amp;Y101,Matches!$B:$B,$B101)</f>
        <v>0</v>
      </c>
      <c r="AD101" s="31"/>
      <c r="AE101" s="127">
        <f>SUMIF('Pool Changes'!B:B, B101, 'Pool Changes'!H:H)</f>
        <v>0</v>
      </c>
    </row>
    <row r="102">
      <c r="A102" s="104">
        <f t="shared" si="1"/>
        <v>1</v>
      </c>
      <c r="C102" s="128"/>
      <c r="D102" s="74"/>
      <c r="E102" s="1"/>
      <c r="F102" s="1"/>
      <c r="G102" s="1"/>
      <c r="H102" s="118">
        <f>COUNTIF(Entropy!$D:$D,$B102)+COUNTIF(Matches!$B:$B,$B102)+COUNTIF(Matches!$C:$C,$B102)</f>
        <v>0</v>
      </c>
      <c r="I102" s="119">
        <f>COUNTIF(Matches!$B:$B,B102)</f>
        <v>0</v>
      </c>
      <c r="J102" s="31">
        <f t="shared" si="2"/>
        <v>0</v>
      </c>
      <c r="K102" s="1" t="str">
        <f t="shared" si="3"/>
        <v>0 - 0</v>
      </c>
      <c r="L102" s="120">
        <f>COUNTIF(Entropy!$D:$D,$B102)</f>
        <v>0</v>
      </c>
      <c r="M102" s="121">
        <f t="shared" si="4"/>
        <v>0</v>
      </c>
      <c r="N102" s="121">
        <f t="shared" si="5"/>
        <v>0</v>
      </c>
      <c r="O102" s="118">
        <f>IF($J102=11,0,IF(AND($H102 &gt;=VLOOKUP('Combined Standings'!$C$2,Quotas!$A$7:$E$14,4,FALSE), $H102&lt;=VLOOKUP('Combined Standings'!$C$2,Quotas!$A$7:$E$14,5,FALSE)), 0,VLOOKUP('Combined Standings'!$C$2,Quotas!$A$7:$E$11,4,FALSE)-$H102))</f>
        <v>13</v>
      </c>
      <c r="P102" s="118">
        <f>IF($J102=11,0,IF(AND($H102 &gt;=VLOOKUP('Combined Standings'!$C$2,Quotas!$A$7:$E$14,5,FALSE), $H102&lt;=VLOOKUP('Combined Standings'!$C$2,Quotas!$A$7:$E$14,5,FALSE)), 0,VLOOKUP('Combined Standings'!$C$2,Quotas!$A$7:$E$11,5,FALSE)-$H102))</f>
        <v>15</v>
      </c>
      <c r="Q102" s="31">
        <f t="shared" si="6"/>
        <v>11</v>
      </c>
      <c r="R102" s="122" t="str">
        <f t="shared" si="7"/>
        <v/>
      </c>
      <c r="S102" s="121">
        <f t="shared" si="8"/>
        <v>0.33</v>
      </c>
      <c r="T102" s="122" t="str">
        <f>IFERROR(__xludf.DUMMYFUNCTION("JOIN("","",IFERROR(FILTER(Matches!$B:$B,B102=Matches!$C:$C),""""),IFERROR(FILTER(Matches!$C:$C,B102=Matches!$B:$B),""""))"),",,,,,,,,,,,,,,,,,,,,,,,,,,,,,,,,,,,,,,,,,,,,,,,,,,,,,,,,,,,,,,,,,,,,,,,,,,,,,,,,,,,,,,,,,,,,,,,,,,,,,,,,,,,,,,,,,,,,,,,,,,,,,,,,,,,,,,,,,,,,,,,,,,,,,,,,,,,,,,,,,,,,,,,,,,,,,,,,,,,,,,,,,,,,,,,,,,,,,,,,,,,,,,,,,,,,,,,,,,,,,,,,,,,,,,,,,,,,,,,,,,,,,,,,,,,,,,,")</f>
        <v>,,,,,,,,,,,,,,,,,,,,,,,,,,,,,,,,,,,,,,,,,,,,,,,,,,,,,,,,,,,,,,,,,,,,,,,,,,,,,,,,,,,,,,,,,,,,,,,,,,,,,,,,,,,,,,,,,,,,,,,,,,,,,,,,,,,,,,,,,,,,,,,,,,,,,,,,,,,,,,,,,,,,,,,,,,,,,,,,,,,,,,,,,,,,,,,,,,,,,,,,,,,,,,,,,,,,,,,,,,,,,,,,,,,,,,,,,,,,,,,,,,,,,,,,,,,,,,,</v>
      </c>
      <c r="U102" s="121">
        <f>IFERROR(__xludf.DUMMYFUNCTION("iferror(AVERAGE(ARRAYFORMULA(VLOOKUP(SPLIT(T102,"","",TRUE,TRUE),$R$2:$S1000,2,FALSE))),0)"),0.0)</f>
        <v>0</v>
      </c>
      <c r="V102" s="123">
        <f>IFERROR(__xludf.DUMMYFUNCTION("RANK($I102, $I$2:$I1000, FALSE) + RANK($M102, Filter($M$2:$M1000, $I$2:$I1000=$I102),FALSE)+RANK($U102, Filter($U$2:$U1000, $I$2:$I1000=$I102,$M$2:$M1000=$M102),FALSE)-2"),1.0)</f>
        <v>1</v>
      </c>
      <c r="W102" s="124" t="str">
        <f t="shared" si="9"/>
        <v>Underplay</v>
      </c>
      <c r="X102" s="125" t="str">
        <f t="shared" si="10"/>
        <v/>
      </c>
      <c r="Y102" s="126">
        <f>MAXIFS(Matches!$A:$A,Matches!$C:$C,$B102)</f>
        <v>0</v>
      </c>
      <c r="Z102" s="126">
        <f t="array" ref="Z102">XLOOKUP(Y102,Quotas!$B$7:$B$10,Quotas!$A$7:$A$10,0,-1)</f>
        <v>0</v>
      </c>
      <c r="AB102" s="31"/>
      <c r="AC102" s="31">
        <f>COUNTIFS(Matches!$A:$A,"&gt;"&amp;Y102,Matches!$B:$B,$B102)</f>
        <v>0</v>
      </c>
      <c r="AD102" s="31"/>
      <c r="AE102" s="127">
        <f>SUMIF('Pool Changes'!B:B, B102, 'Pool Changes'!H:H)</f>
        <v>0</v>
      </c>
    </row>
    <row r="103">
      <c r="A103" s="104">
        <f t="shared" si="1"/>
        <v>1</v>
      </c>
      <c r="C103" s="128"/>
      <c r="D103" s="74"/>
      <c r="E103" s="1"/>
      <c r="F103" s="1"/>
      <c r="G103" s="1"/>
      <c r="H103" s="118">
        <f>COUNTIF(Entropy!$D:$D,$B103)+COUNTIF(Matches!$B:$B,$B103)+COUNTIF(Matches!$C:$C,$B103)</f>
        <v>0</v>
      </c>
      <c r="I103" s="119">
        <f>COUNTIF(Matches!$B:$B,B103)</f>
        <v>0</v>
      </c>
      <c r="J103" s="31">
        <f t="shared" si="2"/>
        <v>0</v>
      </c>
      <c r="K103" s="1" t="str">
        <f t="shared" si="3"/>
        <v>0 - 0</v>
      </c>
      <c r="L103" s="120">
        <f>COUNTIF(Entropy!$D:$D,$B103)</f>
        <v>0</v>
      </c>
      <c r="M103" s="121">
        <f t="shared" si="4"/>
        <v>0</v>
      </c>
      <c r="N103" s="121">
        <f t="shared" si="5"/>
        <v>0</v>
      </c>
      <c r="O103" s="118">
        <f>IF($J103=11,0,IF(AND($H103 &gt;=VLOOKUP('Combined Standings'!$C$2,Quotas!$A$7:$E$14,4,FALSE), $H103&lt;=VLOOKUP('Combined Standings'!$C$2,Quotas!$A$7:$E$14,5,FALSE)), 0,VLOOKUP('Combined Standings'!$C$2,Quotas!$A$7:$E$11,4,FALSE)-$H103))</f>
        <v>13</v>
      </c>
      <c r="P103" s="118">
        <f>IF($J103=11,0,IF(AND($H103 &gt;=VLOOKUP('Combined Standings'!$C$2,Quotas!$A$7:$E$14,5,FALSE), $H103&lt;=VLOOKUP('Combined Standings'!$C$2,Quotas!$A$7:$E$14,5,FALSE)), 0,VLOOKUP('Combined Standings'!$C$2,Quotas!$A$7:$E$11,5,FALSE)-$H103))</f>
        <v>15</v>
      </c>
      <c r="Q103" s="31">
        <f t="shared" si="6"/>
        <v>11</v>
      </c>
      <c r="R103" s="122" t="str">
        <f t="shared" si="7"/>
        <v/>
      </c>
      <c r="S103" s="121">
        <f t="shared" si="8"/>
        <v>0.33</v>
      </c>
      <c r="T103" s="122" t="str">
        <f>IFERROR(__xludf.DUMMYFUNCTION("JOIN("","",IFERROR(FILTER(Matches!$B:$B,B103=Matches!$C:$C),""""),IFERROR(FILTER(Matches!$C:$C,B103=Matches!$B:$B),""""))"),",,,,,,,,,,,,,,,,,,,,,,,,,,,,,,,,,,,,,,,,,,,,,,,,,,,,,,,,,,,,,,,,,,,,,,,,,,,,,,,,,,,,,,,,,,,,,,,,,,,,,,,,,,,,,,,,,,,,,,,,,,,,,,,,,,,,,,,,,,,,,,,,,,,,,,,,,,,,,,,,,,,,,,,,,,,,,,,,,,,,,,,,,,,,,,,,,,,,,,,,,,,,,,,,,,,,,,,,,,,,,,,,,,,,,,,,,,,,,,,,,,,,,,,,,,,,,,,")</f>
        <v>,,,,,,,,,,,,,,,,,,,,,,,,,,,,,,,,,,,,,,,,,,,,,,,,,,,,,,,,,,,,,,,,,,,,,,,,,,,,,,,,,,,,,,,,,,,,,,,,,,,,,,,,,,,,,,,,,,,,,,,,,,,,,,,,,,,,,,,,,,,,,,,,,,,,,,,,,,,,,,,,,,,,,,,,,,,,,,,,,,,,,,,,,,,,,,,,,,,,,,,,,,,,,,,,,,,,,,,,,,,,,,,,,,,,,,,,,,,,,,,,,,,,,,,,,,,,,,,</v>
      </c>
      <c r="U103" s="121">
        <f>IFERROR(__xludf.DUMMYFUNCTION("iferror(AVERAGE(ARRAYFORMULA(VLOOKUP(SPLIT(T103,"","",TRUE,TRUE),$R$2:$S1000,2,FALSE))),0)"),0.0)</f>
        <v>0</v>
      </c>
      <c r="V103" s="123">
        <f>IFERROR(__xludf.DUMMYFUNCTION("RANK($I103, $I$2:$I1000, FALSE) + RANK($M103, Filter($M$2:$M1000, $I$2:$I1000=$I103),FALSE)+RANK($U103, Filter($U$2:$U1000, $I$2:$I1000=$I103,$M$2:$M1000=$M103),FALSE)-2"),1.0)</f>
        <v>1</v>
      </c>
      <c r="W103" s="124" t="str">
        <f t="shared" si="9"/>
        <v>Underplay</v>
      </c>
      <c r="X103" s="125" t="str">
        <f t="shared" si="10"/>
        <v/>
      </c>
      <c r="Y103" s="126">
        <f>MAXIFS(Matches!$A:$A,Matches!$C:$C,$B103)</f>
        <v>0</v>
      </c>
      <c r="Z103" s="126">
        <f t="array" ref="Z103">XLOOKUP(Y103,Quotas!$B$7:$B$10,Quotas!$A$7:$A$10,0,-1)</f>
        <v>0</v>
      </c>
      <c r="AB103" s="31"/>
      <c r="AC103" s="31">
        <f>COUNTIFS(Matches!$A:$A,"&gt;"&amp;Y103,Matches!$B:$B,$B103)</f>
        <v>0</v>
      </c>
      <c r="AD103" s="31"/>
      <c r="AE103" s="127">
        <f>SUMIF('Pool Changes'!B:B, B103, 'Pool Changes'!H:H)</f>
        <v>0</v>
      </c>
    </row>
    <row r="104">
      <c r="A104" s="104">
        <f t="shared" si="1"/>
        <v>1</v>
      </c>
      <c r="C104" s="128"/>
      <c r="D104" s="74"/>
      <c r="E104" s="1"/>
      <c r="F104" s="1"/>
      <c r="G104" s="1"/>
      <c r="H104" s="118">
        <f>COUNTIF(Entropy!$D:$D,$B104)+COUNTIF(Matches!$B:$B,$B104)+COUNTIF(Matches!$C:$C,$B104)</f>
        <v>0</v>
      </c>
      <c r="I104" s="119">
        <f>COUNTIF(Matches!$B:$B,B104)</f>
        <v>0</v>
      </c>
      <c r="J104" s="31">
        <f t="shared" si="2"/>
        <v>0</v>
      </c>
      <c r="K104" s="1" t="str">
        <f t="shared" si="3"/>
        <v>0 - 0</v>
      </c>
      <c r="L104" s="120">
        <f>COUNTIF(Entropy!$D:$D,$B104)</f>
        <v>0</v>
      </c>
      <c r="M104" s="121">
        <f t="shared" si="4"/>
        <v>0</v>
      </c>
      <c r="N104" s="121">
        <f t="shared" si="5"/>
        <v>0</v>
      </c>
      <c r="O104" s="118">
        <f>IF($J104=11,0,IF(AND($H104 &gt;=VLOOKUP('Combined Standings'!$C$2,Quotas!$A$7:$E$14,4,FALSE), $H104&lt;=VLOOKUP('Combined Standings'!$C$2,Quotas!$A$7:$E$14,5,FALSE)), 0,VLOOKUP('Combined Standings'!$C$2,Quotas!$A$7:$E$11,4,FALSE)-$H104))</f>
        <v>13</v>
      </c>
      <c r="P104" s="118">
        <f>IF($J104=11,0,IF(AND($H104 &gt;=VLOOKUP('Combined Standings'!$C$2,Quotas!$A$7:$E$14,5,FALSE), $H104&lt;=VLOOKUP('Combined Standings'!$C$2,Quotas!$A$7:$E$14,5,FALSE)), 0,VLOOKUP('Combined Standings'!$C$2,Quotas!$A$7:$E$11,5,FALSE)-$H104))</f>
        <v>15</v>
      </c>
      <c r="Q104" s="31">
        <f t="shared" si="6"/>
        <v>11</v>
      </c>
      <c r="R104" s="122" t="str">
        <f t="shared" si="7"/>
        <v/>
      </c>
      <c r="S104" s="121">
        <f t="shared" si="8"/>
        <v>0.33</v>
      </c>
      <c r="T104" s="122" t="str">
        <f>IFERROR(__xludf.DUMMYFUNCTION("JOIN("","",IFERROR(FILTER(Matches!$B:$B,B104=Matches!$C:$C),""""),IFERROR(FILTER(Matches!$C:$C,B104=Matches!$B:$B),""""))"),",,,,,,,,,,,,,,,,,,,,,,,,,,,,,,,,,,,,,,,,,,,,,,,,,,,,,,,,,,,,,,,,,,,,,,,,,,,,,,,,,,,,,,,,,,,,,,,,,,,,,,,,,,,,,,,,,,,,,,,,,,,,,,,,,,,,,,,,,,,,,,,,,,,,,,,,,,,,,,,,,,,,,,,,,,,,,,,,,,,,,,,,,,,,,,,,,,,,,,,,,,,,,,,,,,,,,,,,,,,,,,,,,,,,,,,,,,,,,,,,,,,,,,,,,,,,,,,")</f>
        <v>,,,,,,,,,,,,,,,,,,,,,,,,,,,,,,,,,,,,,,,,,,,,,,,,,,,,,,,,,,,,,,,,,,,,,,,,,,,,,,,,,,,,,,,,,,,,,,,,,,,,,,,,,,,,,,,,,,,,,,,,,,,,,,,,,,,,,,,,,,,,,,,,,,,,,,,,,,,,,,,,,,,,,,,,,,,,,,,,,,,,,,,,,,,,,,,,,,,,,,,,,,,,,,,,,,,,,,,,,,,,,,,,,,,,,,,,,,,,,,,,,,,,,,,,,,,,,,,</v>
      </c>
      <c r="U104" s="121">
        <f>IFERROR(__xludf.DUMMYFUNCTION("iferror(AVERAGE(ARRAYFORMULA(VLOOKUP(SPLIT(T104,"","",TRUE,TRUE),$R$2:$S1000,2,FALSE))),0)"),0.0)</f>
        <v>0</v>
      </c>
      <c r="V104" s="123">
        <f>IFERROR(__xludf.DUMMYFUNCTION("RANK($I104, $I$2:$I1000, FALSE) + RANK($M104, Filter($M$2:$M1000, $I$2:$I1000=$I104),FALSE)+RANK($U104, Filter($U$2:$U1000, $I$2:$I1000=$I104,$M$2:$M1000=$M104),FALSE)-2"),1.0)</f>
        <v>1</v>
      </c>
      <c r="W104" s="124" t="str">
        <f t="shared" si="9"/>
        <v>Underplay</v>
      </c>
      <c r="X104" s="125" t="str">
        <f t="shared" si="10"/>
        <v/>
      </c>
      <c r="Y104" s="126">
        <f>MAXIFS(Matches!$A:$A,Matches!$C:$C,$B104)</f>
        <v>0</v>
      </c>
      <c r="Z104" s="126">
        <f t="array" ref="Z104">XLOOKUP(Y104,Quotas!$B$7:$B$10,Quotas!$A$7:$A$10,0,-1)</f>
        <v>0</v>
      </c>
      <c r="AB104" s="31"/>
      <c r="AC104" s="31">
        <f>COUNTIFS(Matches!$A:$A,"&gt;"&amp;Y104,Matches!$B:$B,$B104)</f>
        <v>0</v>
      </c>
      <c r="AD104" s="31"/>
      <c r="AE104" s="127">
        <f>SUMIF('Pool Changes'!B:B, B104, 'Pool Changes'!H:H)</f>
        <v>0</v>
      </c>
    </row>
    <row r="105">
      <c r="A105" s="104">
        <f t="shared" si="1"/>
        <v>1</v>
      </c>
      <c r="C105" s="128"/>
      <c r="D105" s="74"/>
      <c r="E105" s="1"/>
      <c r="F105" s="1"/>
      <c r="G105" s="1"/>
      <c r="H105" s="118">
        <f>COUNTIF(Entropy!$D:$D,$B105)+COUNTIF(Matches!$B:$B,$B105)+COUNTIF(Matches!$C:$C,$B105)</f>
        <v>0</v>
      </c>
      <c r="I105" s="119">
        <f>COUNTIF(Matches!$B:$B,B105)</f>
        <v>0</v>
      </c>
      <c r="J105" s="31">
        <f t="shared" si="2"/>
        <v>0</v>
      </c>
      <c r="K105" s="1" t="str">
        <f t="shared" si="3"/>
        <v>0 - 0</v>
      </c>
      <c r="L105" s="120">
        <f>COUNTIF(Entropy!$D:$D,$B105)</f>
        <v>0</v>
      </c>
      <c r="M105" s="121">
        <f t="shared" si="4"/>
        <v>0</v>
      </c>
      <c r="N105" s="121">
        <f t="shared" si="5"/>
        <v>0</v>
      </c>
      <c r="O105" s="118">
        <f>IF($J105=11,0,IF(AND($H105 &gt;=VLOOKUP('Combined Standings'!$C$2,Quotas!$A$7:$E$14,4,FALSE), $H105&lt;=VLOOKUP('Combined Standings'!$C$2,Quotas!$A$7:$E$14,5,FALSE)), 0,VLOOKUP('Combined Standings'!$C$2,Quotas!$A$7:$E$11,4,FALSE)-$H105))</f>
        <v>13</v>
      </c>
      <c r="P105" s="118">
        <f>IF($J105=11,0,IF(AND($H105 &gt;=VLOOKUP('Combined Standings'!$C$2,Quotas!$A$7:$E$14,5,FALSE), $H105&lt;=VLOOKUP('Combined Standings'!$C$2,Quotas!$A$7:$E$14,5,FALSE)), 0,VLOOKUP('Combined Standings'!$C$2,Quotas!$A$7:$E$11,5,FALSE)-$H105))</f>
        <v>15</v>
      </c>
      <c r="Q105" s="31">
        <f t="shared" si="6"/>
        <v>11</v>
      </c>
      <c r="R105" s="122" t="str">
        <f t="shared" si="7"/>
        <v/>
      </c>
      <c r="S105" s="121">
        <f t="shared" si="8"/>
        <v>0.33</v>
      </c>
      <c r="T105" s="122" t="str">
        <f>IFERROR(__xludf.DUMMYFUNCTION("JOIN("","",IFERROR(FILTER(Matches!$B:$B,B105=Matches!$C:$C),""""),IFERROR(FILTER(Matches!$C:$C,B105=Matches!$B:$B),""""))"),",,,,,,,,,,,,,,,,,,,,,,,,,,,,,,,,,,,,,,,,,,,,,,,,,,,,,,,,,,,,,,,,,,,,,,,,,,,,,,,,,,,,,,,,,,,,,,,,,,,,,,,,,,,,,,,,,,,,,,,,,,,,,,,,,,,,,,,,,,,,,,,,,,,,,,,,,,,,,,,,,,,,,,,,,,,,,,,,,,,,,,,,,,,,,,,,,,,,,,,,,,,,,,,,,,,,,,,,,,,,,,,,,,,,,,,,,,,,,,,,,,,,,,,,,,,,,,,")</f>
        <v>,,,,,,,,,,,,,,,,,,,,,,,,,,,,,,,,,,,,,,,,,,,,,,,,,,,,,,,,,,,,,,,,,,,,,,,,,,,,,,,,,,,,,,,,,,,,,,,,,,,,,,,,,,,,,,,,,,,,,,,,,,,,,,,,,,,,,,,,,,,,,,,,,,,,,,,,,,,,,,,,,,,,,,,,,,,,,,,,,,,,,,,,,,,,,,,,,,,,,,,,,,,,,,,,,,,,,,,,,,,,,,,,,,,,,,,,,,,,,,,,,,,,,,,,,,,,,,,</v>
      </c>
      <c r="U105" s="121">
        <f>IFERROR(__xludf.DUMMYFUNCTION("iferror(AVERAGE(ARRAYFORMULA(VLOOKUP(SPLIT(T105,"","",TRUE,TRUE),$R$2:$S1000,2,FALSE))),0)"),0.0)</f>
        <v>0</v>
      </c>
      <c r="V105" s="123">
        <f>IFERROR(__xludf.DUMMYFUNCTION("RANK($I105, $I$2:$I1000, FALSE) + RANK($M105, Filter($M$2:$M1000, $I$2:$I1000=$I105),FALSE)+RANK($U105, Filter($U$2:$U1000, $I$2:$I1000=$I105,$M$2:$M1000=$M105),FALSE)-2"),1.0)</f>
        <v>1</v>
      </c>
      <c r="W105" s="124" t="str">
        <f t="shared" si="9"/>
        <v>Underplay</v>
      </c>
      <c r="X105" s="125" t="str">
        <f t="shared" si="10"/>
        <v/>
      </c>
      <c r="Y105" s="126">
        <f>MAXIFS(Matches!$A:$A,Matches!$C:$C,$B105)</f>
        <v>0</v>
      </c>
      <c r="Z105" s="126">
        <f t="array" ref="Z105">XLOOKUP(Y105,Quotas!$B$7:$B$10,Quotas!$A$7:$A$10,0,-1)</f>
        <v>0</v>
      </c>
      <c r="AB105" s="31"/>
      <c r="AC105" s="31">
        <f>COUNTIFS(Matches!$A:$A,"&gt;"&amp;Y105,Matches!$B:$B,$B105)</f>
        <v>0</v>
      </c>
      <c r="AD105" s="31"/>
      <c r="AE105" s="127">
        <f>SUMIF('Pool Changes'!B:B, B105, 'Pool Changes'!H:H)</f>
        <v>0</v>
      </c>
    </row>
    <row r="106">
      <c r="A106" s="104">
        <f t="shared" si="1"/>
        <v>1</v>
      </c>
      <c r="C106" s="128"/>
      <c r="D106" s="74"/>
      <c r="E106" s="1"/>
      <c r="F106" s="1"/>
      <c r="G106" s="1"/>
      <c r="H106" s="118">
        <f>COUNTIF(Entropy!$D:$D,$B106)+COUNTIF(Matches!$B:$B,$B106)+COUNTIF(Matches!$C:$C,$B106)</f>
        <v>0</v>
      </c>
      <c r="I106" s="119">
        <f>COUNTIF(Matches!$B:$B,B106)</f>
        <v>0</v>
      </c>
      <c r="J106" s="31">
        <f t="shared" si="2"/>
        <v>0</v>
      </c>
      <c r="K106" s="1" t="str">
        <f t="shared" si="3"/>
        <v>0 - 0</v>
      </c>
      <c r="L106" s="120">
        <f>COUNTIF(Entropy!$D:$D,$B106)</f>
        <v>0</v>
      </c>
      <c r="M106" s="121">
        <f t="shared" si="4"/>
        <v>0</v>
      </c>
      <c r="N106" s="121">
        <f t="shared" si="5"/>
        <v>0</v>
      </c>
      <c r="O106" s="118">
        <f>IF($J106=11,0,IF(AND($H106 &gt;=VLOOKUP('Combined Standings'!$C$2,Quotas!$A$7:$E$14,4,FALSE), $H106&lt;=VLOOKUP('Combined Standings'!$C$2,Quotas!$A$7:$E$14,5,FALSE)), 0,VLOOKUP('Combined Standings'!$C$2,Quotas!$A$7:$E$11,4,FALSE)-$H106))</f>
        <v>13</v>
      </c>
      <c r="P106" s="118">
        <f>IF($J106=11,0,IF(AND($H106 &gt;=VLOOKUP('Combined Standings'!$C$2,Quotas!$A$7:$E$14,5,FALSE), $H106&lt;=VLOOKUP('Combined Standings'!$C$2,Quotas!$A$7:$E$14,5,FALSE)), 0,VLOOKUP('Combined Standings'!$C$2,Quotas!$A$7:$E$11,5,FALSE)-$H106))</f>
        <v>15</v>
      </c>
      <c r="Q106" s="31">
        <f t="shared" si="6"/>
        <v>11</v>
      </c>
      <c r="R106" s="122" t="str">
        <f t="shared" si="7"/>
        <v/>
      </c>
      <c r="S106" s="121">
        <f t="shared" si="8"/>
        <v>0.33</v>
      </c>
      <c r="T106" s="122" t="str">
        <f>IFERROR(__xludf.DUMMYFUNCTION("JOIN("","",IFERROR(FILTER(Matches!$B:$B,B106=Matches!$C:$C),""""),IFERROR(FILTER(Matches!$C:$C,B106=Matches!$B:$B),""""))"),",,,,,,,,,,,,,,,,,,,,,,,,,,,,,,,,,,,,,,,,,,,,,,,,,,,,,,,,,,,,,,,,,,,,,,,,,,,,,,,,,,,,,,,,,,,,,,,,,,,,,,,,,,,,,,,,,,,,,,,,,,,,,,,,,,,,,,,,,,,,,,,,,,,,,,,,,,,,,,,,,,,,,,,,,,,,,,,,,,,,,,,,,,,,,,,,,,,,,,,,,,,,,,,,,,,,,,,,,,,,,,,,,,,,,,,,,,,,,,,,,,,,,,,,,,,,,,,")</f>
        <v>,,,,,,,,,,,,,,,,,,,,,,,,,,,,,,,,,,,,,,,,,,,,,,,,,,,,,,,,,,,,,,,,,,,,,,,,,,,,,,,,,,,,,,,,,,,,,,,,,,,,,,,,,,,,,,,,,,,,,,,,,,,,,,,,,,,,,,,,,,,,,,,,,,,,,,,,,,,,,,,,,,,,,,,,,,,,,,,,,,,,,,,,,,,,,,,,,,,,,,,,,,,,,,,,,,,,,,,,,,,,,,,,,,,,,,,,,,,,,,,,,,,,,,,,,,,,,,,</v>
      </c>
      <c r="U106" s="121">
        <f>IFERROR(__xludf.DUMMYFUNCTION("iferror(AVERAGE(ARRAYFORMULA(VLOOKUP(SPLIT(T106,"","",TRUE,TRUE),$R$2:$S1000,2,FALSE))),0)"),0.0)</f>
        <v>0</v>
      </c>
      <c r="V106" s="123">
        <f>IFERROR(__xludf.DUMMYFUNCTION("RANK($I106, $I$2:$I1000, FALSE) + RANK($M106, Filter($M$2:$M1000, $I$2:$I1000=$I106),FALSE)+RANK($U106, Filter($U$2:$U1000, $I$2:$I1000=$I106,$M$2:$M1000=$M106),FALSE)-2"),1.0)</f>
        <v>1</v>
      </c>
      <c r="W106" s="124" t="str">
        <f t="shared" si="9"/>
        <v>Underplay</v>
      </c>
      <c r="X106" s="125" t="str">
        <f t="shared" si="10"/>
        <v/>
      </c>
      <c r="Y106" s="126">
        <f>MAXIFS(Matches!$A:$A,Matches!$C:$C,$B106)</f>
        <v>0</v>
      </c>
      <c r="Z106" s="126">
        <f t="array" ref="Z106">XLOOKUP(Y106,Quotas!$B$7:$B$10,Quotas!$A$7:$A$10,0,-1)</f>
        <v>0</v>
      </c>
      <c r="AB106" s="31"/>
      <c r="AC106" s="31">
        <f>COUNTIFS(Matches!$A:$A,"&gt;"&amp;Y106,Matches!$B:$B,$B106)</f>
        <v>0</v>
      </c>
      <c r="AD106" s="31"/>
      <c r="AE106" s="127">
        <f>SUMIF('Pool Changes'!B:B, B106, 'Pool Changes'!H:H)</f>
        <v>0</v>
      </c>
    </row>
    <row r="107">
      <c r="A107" s="104">
        <f t="shared" si="1"/>
        <v>1</v>
      </c>
      <c r="C107" s="128"/>
      <c r="D107" s="74"/>
      <c r="E107" s="1"/>
      <c r="F107" s="1"/>
      <c r="G107" s="1"/>
      <c r="H107" s="118">
        <f>COUNTIF(Entropy!$D:$D,$B107)+COUNTIF(Matches!$B:$B,$B107)+COUNTIF(Matches!$C:$C,$B107)</f>
        <v>0</v>
      </c>
      <c r="I107" s="119">
        <f>COUNTIF(Matches!$B:$B,B107)</f>
        <v>0</v>
      </c>
      <c r="J107" s="31">
        <f t="shared" si="2"/>
        <v>0</v>
      </c>
      <c r="K107" s="1" t="str">
        <f t="shared" si="3"/>
        <v>0 - 0</v>
      </c>
      <c r="L107" s="120">
        <f>COUNTIF(Entropy!$D:$D,$B107)</f>
        <v>0</v>
      </c>
      <c r="M107" s="121">
        <f t="shared" si="4"/>
        <v>0</v>
      </c>
      <c r="N107" s="121">
        <f t="shared" si="5"/>
        <v>0</v>
      </c>
      <c r="O107" s="118">
        <f>IF($J107=11,0,IF(AND($H107 &gt;=VLOOKUP('Combined Standings'!$C$2,Quotas!$A$7:$E$14,4,FALSE), $H107&lt;=VLOOKUP('Combined Standings'!$C$2,Quotas!$A$7:$E$14,5,FALSE)), 0,VLOOKUP('Combined Standings'!$C$2,Quotas!$A$7:$E$11,4,FALSE)-$H107))</f>
        <v>13</v>
      </c>
      <c r="P107" s="118">
        <f>IF($J107=11,0,IF(AND($H107 &gt;=VLOOKUP('Combined Standings'!$C$2,Quotas!$A$7:$E$14,5,FALSE), $H107&lt;=VLOOKUP('Combined Standings'!$C$2,Quotas!$A$7:$E$14,5,FALSE)), 0,VLOOKUP('Combined Standings'!$C$2,Quotas!$A$7:$E$11,5,FALSE)-$H107))</f>
        <v>15</v>
      </c>
      <c r="Q107" s="31">
        <f t="shared" si="6"/>
        <v>11</v>
      </c>
      <c r="R107" s="122" t="str">
        <f t="shared" si="7"/>
        <v/>
      </c>
      <c r="S107" s="121">
        <f t="shared" si="8"/>
        <v>0.33</v>
      </c>
      <c r="T107" s="122" t="str">
        <f>IFERROR(__xludf.DUMMYFUNCTION("JOIN("","",IFERROR(FILTER(Matches!$B:$B,B107=Matches!$C:$C),""""),IFERROR(FILTER(Matches!$C:$C,B107=Matches!$B:$B),""""))"),",,,,,,,,,,,,,,,,,,,,,,,,,,,,,,,,,,,,,,,,,,,,,,,,,,,,,,,,,,,,,,,,,,,,,,,,,,,,,,,,,,,,,,,,,,,,,,,,,,,,,,,,,,,,,,,,,,,,,,,,,,,,,,,,,,,,,,,,,,,,,,,,,,,,,,,,,,,,,,,,,,,,,,,,,,,,,,,,,,,,,,,,,,,,,,,,,,,,,,,,,,,,,,,,,,,,,,,,,,,,,,,,,,,,,,,,,,,,,,,,,,,,,,,,,,,,,,,")</f>
        <v>,,,,,,,,,,,,,,,,,,,,,,,,,,,,,,,,,,,,,,,,,,,,,,,,,,,,,,,,,,,,,,,,,,,,,,,,,,,,,,,,,,,,,,,,,,,,,,,,,,,,,,,,,,,,,,,,,,,,,,,,,,,,,,,,,,,,,,,,,,,,,,,,,,,,,,,,,,,,,,,,,,,,,,,,,,,,,,,,,,,,,,,,,,,,,,,,,,,,,,,,,,,,,,,,,,,,,,,,,,,,,,,,,,,,,,,,,,,,,,,,,,,,,,,,,,,,,,,</v>
      </c>
      <c r="U107" s="121">
        <f>IFERROR(__xludf.DUMMYFUNCTION("iferror(AVERAGE(ARRAYFORMULA(VLOOKUP(SPLIT(T107,"","",TRUE,TRUE),$R$2:$S1000,2,FALSE))),0)"),0.0)</f>
        <v>0</v>
      </c>
      <c r="V107" s="123">
        <f>IFERROR(__xludf.DUMMYFUNCTION("RANK($I107, $I$2:$I1000, FALSE) + RANK($M107, Filter($M$2:$M1000, $I$2:$I1000=$I107),FALSE)+RANK($U107, Filter($U$2:$U1000, $I$2:$I1000=$I107,$M$2:$M1000=$M107),FALSE)-2"),1.0)</f>
        <v>1</v>
      </c>
      <c r="W107" s="124" t="str">
        <f t="shared" si="9"/>
        <v>Underplay</v>
      </c>
      <c r="X107" s="125" t="str">
        <f t="shared" si="10"/>
        <v/>
      </c>
      <c r="Y107" s="126">
        <f>MAXIFS(Matches!$A:$A,Matches!$C:$C,$B107)</f>
        <v>0</v>
      </c>
      <c r="Z107" s="126">
        <f t="array" ref="Z107">XLOOKUP(Y107,Quotas!$B$7:$B$10,Quotas!$A$7:$A$10,0,-1)</f>
        <v>0</v>
      </c>
      <c r="AB107" s="31"/>
      <c r="AC107" s="31">
        <f>COUNTIFS(Matches!$A:$A,"&gt;"&amp;Y107,Matches!$B:$B,$B107)</f>
        <v>0</v>
      </c>
      <c r="AD107" s="31"/>
      <c r="AE107" s="127">
        <f>SUMIF('Pool Changes'!B:B, B107, 'Pool Changes'!H:H)</f>
        <v>0</v>
      </c>
    </row>
    <row r="108">
      <c r="A108" s="104">
        <f t="shared" si="1"/>
        <v>1</v>
      </c>
      <c r="C108" s="128"/>
      <c r="D108" s="74"/>
      <c r="E108" s="1"/>
      <c r="F108" s="1"/>
      <c r="G108" s="1"/>
      <c r="H108" s="118">
        <f>COUNTIF(Entropy!$D:$D,$B108)+COUNTIF(Matches!$B:$B,$B108)+COUNTIF(Matches!$C:$C,$B108)</f>
        <v>0</v>
      </c>
      <c r="I108" s="119">
        <f>COUNTIF(Matches!$B:$B,B108)</f>
        <v>0</v>
      </c>
      <c r="J108" s="31">
        <f t="shared" si="2"/>
        <v>0</v>
      </c>
      <c r="K108" s="1" t="str">
        <f t="shared" si="3"/>
        <v>0 - 0</v>
      </c>
      <c r="L108" s="120">
        <f>COUNTIF(Entropy!$D:$D,$B108)</f>
        <v>0</v>
      </c>
      <c r="M108" s="121">
        <f t="shared" si="4"/>
        <v>0</v>
      </c>
      <c r="N108" s="121">
        <f t="shared" si="5"/>
        <v>0</v>
      </c>
      <c r="O108" s="118">
        <f>IF($J108=11,0,IF(AND($H108 &gt;=VLOOKUP('Combined Standings'!$C$2,Quotas!$A$7:$E$14,4,FALSE), $H108&lt;=VLOOKUP('Combined Standings'!$C$2,Quotas!$A$7:$E$14,5,FALSE)), 0,VLOOKUP('Combined Standings'!$C$2,Quotas!$A$7:$E$11,4,FALSE)-$H108))</f>
        <v>13</v>
      </c>
      <c r="P108" s="118">
        <f>IF($J108=11,0,IF(AND($H108 &gt;=VLOOKUP('Combined Standings'!$C$2,Quotas!$A$7:$E$14,5,FALSE), $H108&lt;=VLOOKUP('Combined Standings'!$C$2,Quotas!$A$7:$E$14,5,FALSE)), 0,VLOOKUP('Combined Standings'!$C$2,Quotas!$A$7:$E$11,5,FALSE)-$H108))</f>
        <v>15</v>
      </c>
      <c r="Q108" s="31">
        <f t="shared" si="6"/>
        <v>11</v>
      </c>
      <c r="R108" s="122" t="str">
        <f t="shared" si="7"/>
        <v/>
      </c>
      <c r="S108" s="121">
        <f t="shared" si="8"/>
        <v>0.33</v>
      </c>
      <c r="T108" s="122" t="str">
        <f>IFERROR(__xludf.DUMMYFUNCTION("JOIN("","",IFERROR(FILTER(Matches!$B:$B,B108=Matches!$C:$C),""""),IFERROR(FILTER(Matches!$C:$C,B108=Matches!$B:$B),""""))"),",,,,,,,,,,,,,,,,,,,,,,,,,,,,,,,,,,,,,,,,,,,,,,,,,,,,,,,,,,,,,,,,,,,,,,,,,,,,,,,,,,,,,,,,,,,,,,,,,,,,,,,,,,,,,,,,,,,,,,,,,,,,,,,,,,,,,,,,,,,,,,,,,,,,,,,,,,,,,,,,,,,,,,,,,,,,,,,,,,,,,,,,,,,,,,,,,,,,,,,,,,,,,,,,,,,,,,,,,,,,,,,,,,,,,,,,,,,,,,,,,,,,,,,,,,,,,,,")</f>
        <v>,,,,,,,,,,,,,,,,,,,,,,,,,,,,,,,,,,,,,,,,,,,,,,,,,,,,,,,,,,,,,,,,,,,,,,,,,,,,,,,,,,,,,,,,,,,,,,,,,,,,,,,,,,,,,,,,,,,,,,,,,,,,,,,,,,,,,,,,,,,,,,,,,,,,,,,,,,,,,,,,,,,,,,,,,,,,,,,,,,,,,,,,,,,,,,,,,,,,,,,,,,,,,,,,,,,,,,,,,,,,,,,,,,,,,,,,,,,,,,,,,,,,,,,,,,,,,,,</v>
      </c>
      <c r="U108" s="121">
        <f>IFERROR(__xludf.DUMMYFUNCTION("iferror(AVERAGE(ARRAYFORMULA(VLOOKUP(SPLIT(T108,"","",TRUE,TRUE),$R$2:$S1000,2,FALSE))),0)"),0.0)</f>
        <v>0</v>
      </c>
      <c r="V108" s="123">
        <f>IFERROR(__xludf.DUMMYFUNCTION("RANK($I108, $I$2:$I1000, FALSE) + RANK($M108, Filter($M$2:$M1000, $I$2:$I1000=$I108),FALSE)+RANK($U108, Filter($U$2:$U1000, $I$2:$I1000=$I108,$M$2:$M1000=$M108),FALSE)-2"),1.0)</f>
        <v>1</v>
      </c>
      <c r="W108" s="124" t="str">
        <f t="shared" si="9"/>
        <v>Underplay</v>
      </c>
      <c r="X108" s="125" t="str">
        <f t="shared" si="10"/>
        <v/>
      </c>
      <c r="Y108" s="126">
        <f>MAXIFS(Matches!$A:$A,Matches!$C:$C,$B108)</f>
        <v>0</v>
      </c>
      <c r="Z108" s="126">
        <f t="array" ref="Z108">XLOOKUP(Y108,Quotas!$B$7:$B$10,Quotas!$A$7:$A$10,0,-1)</f>
        <v>0</v>
      </c>
      <c r="AB108" s="31"/>
      <c r="AC108" s="31">
        <f>COUNTIFS(Matches!$A:$A,"&gt;"&amp;Y108,Matches!$B:$B,$B108)</f>
        <v>0</v>
      </c>
      <c r="AD108" s="31"/>
      <c r="AE108" s="127">
        <f>SUMIF('Pool Changes'!B:B, B108, 'Pool Changes'!H:H)</f>
        <v>0</v>
      </c>
    </row>
    <row r="109">
      <c r="A109" s="104">
        <f t="shared" si="1"/>
        <v>1</v>
      </c>
      <c r="C109" s="128"/>
      <c r="D109" s="74"/>
      <c r="E109" s="1"/>
      <c r="F109" s="1"/>
      <c r="G109" s="1"/>
      <c r="H109" s="118">
        <f>COUNTIF(Entropy!$D:$D,$B109)+COUNTIF(Matches!$B:$B,$B109)+COUNTIF(Matches!$C:$C,$B109)</f>
        <v>0</v>
      </c>
      <c r="I109" s="119">
        <f>COUNTIF(Matches!$B:$B,B109)</f>
        <v>0</v>
      </c>
      <c r="J109" s="31">
        <f t="shared" si="2"/>
        <v>0</v>
      </c>
      <c r="K109" s="1" t="str">
        <f t="shared" si="3"/>
        <v>0 - 0</v>
      </c>
      <c r="L109" s="120">
        <f>COUNTIF(Entropy!$D:$D,$B109)</f>
        <v>0</v>
      </c>
      <c r="M109" s="121">
        <f t="shared" si="4"/>
        <v>0</v>
      </c>
      <c r="N109" s="121">
        <f t="shared" si="5"/>
        <v>0</v>
      </c>
      <c r="O109" s="118">
        <f>IF($J109=11,0,IF(AND($H109 &gt;=VLOOKUP('Combined Standings'!$C$2,Quotas!$A$7:$E$14,4,FALSE), $H109&lt;=VLOOKUP('Combined Standings'!$C$2,Quotas!$A$7:$E$14,5,FALSE)), 0,VLOOKUP('Combined Standings'!$C$2,Quotas!$A$7:$E$11,4,FALSE)-$H109))</f>
        <v>13</v>
      </c>
      <c r="P109" s="118">
        <f>IF($J109=11,0,IF(AND($H109 &gt;=VLOOKUP('Combined Standings'!$C$2,Quotas!$A$7:$E$14,5,FALSE), $H109&lt;=VLOOKUP('Combined Standings'!$C$2,Quotas!$A$7:$E$14,5,FALSE)), 0,VLOOKUP('Combined Standings'!$C$2,Quotas!$A$7:$E$11,5,FALSE)-$H109))</f>
        <v>15</v>
      </c>
      <c r="Q109" s="31">
        <f t="shared" si="6"/>
        <v>11</v>
      </c>
      <c r="R109" s="122" t="str">
        <f t="shared" si="7"/>
        <v/>
      </c>
      <c r="S109" s="121">
        <f t="shared" si="8"/>
        <v>0.33</v>
      </c>
      <c r="T109" s="122" t="str">
        <f>IFERROR(__xludf.DUMMYFUNCTION("JOIN("","",IFERROR(FILTER(Matches!$B:$B,B109=Matches!$C:$C),""""),IFERROR(FILTER(Matches!$C:$C,B109=Matches!$B:$B),""""))"),",,,,,,,,,,,,,,,,,,,,,,,,,,,,,,,,,,,,,,,,,,,,,,,,,,,,,,,,,,,,,,,,,,,,,,,,,,,,,,,,,,,,,,,,,,,,,,,,,,,,,,,,,,,,,,,,,,,,,,,,,,,,,,,,,,,,,,,,,,,,,,,,,,,,,,,,,,,,,,,,,,,,,,,,,,,,,,,,,,,,,,,,,,,,,,,,,,,,,,,,,,,,,,,,,,,,,,,,,,,,,,,,,,,,,,,,,,,,,,,,,,,,,,,,,,,,,,,")</f>
        <v>,,,,,,,,,,,,,,,,,,,,,,,,,,,,,,,,,,,,,,,,,,,,,,,,,,,,,,,,,,,,,,,,,,,,,,,,,,,,,,,,,,,,,,,,,,,,,,,,,,,,,,,,,,,,,,,,,,,,,,,,,,,,,,,,,,,,,,,,,,,,,,,,,,,,,,,,,,,,,,,,,,,,,,,,,,,,,,,,,,,,,,,,,,,,,,,,,,,,,,,,,,,,,,,,,,,,,,,,,,,,,,,,,,,,,,,,,,,,,,,,,,,,,,,,,,,,,,,</v>
      </c>
      <c r="U109" s="121">
        <f>IFERROR(__xludf.DUMMYFUNCTION("iferror(AVERAGE(ARRAYFORMULA(VLOOKUP(SPLIT(T109,"","",TRUE,TRUE),$R$2:$S1000,2,FALSE))),0)"),0.0)</f>
        <v>0</v>
      </c>
      <c r="V109" s="123">
        <f>IFERROR(__xludf.DUMMYFUNCTION("RANK($I109, $I$2:$I1000, FALSE) + RANK($M109, Filter($M$2:$M1000, $I$2:$I1000=$I109),FALSE)+RANK($U109, Filter($U$2:$U1000, $I$2:$I1000=$I109,$M$2:$M1000=$M109),FALSE)-2"),1.0)</f>
        <v>1</v>
      </c>
      <c r="W109" s="124" t="str">
        <f t="shared" si="9"/>
        <v>Underplay</v>
      </c>
      <c r="X109" s="125" t="str">
        <f t="shared" si="10"/>
        <v/>
      </c>
      <c r="Y109" s="126">
        <f>MAXIFS(Matches!$A:$A,Matches!$C:$C,$B109)</f>
        <v>0</v>
      </c>
      <c r="Z109" s="126">
        <f t="array" ref="Z109">XLOOKUP(Y109,Quotas!$B$7:$B$10,Quotas!$A$7:$A$10,0,-1)</f>
        <v>0</v>
      </c>
      <c r="AB109" s="31"/>
      <c r="AC109" s="31">
        <f>COUNTIFS(Matches!$A:$A,"&gt;"&amp;Y109,Matches!$B:$B,$B109)</f>
        <v>0</v>
      </c>
      <c r="AD109" s="31"/>
      <c r="AE109" s="127">
        <f>SUMIF('Pool Changes'!B:B, B109, 'Pool Changes'!H:H)</f>
        <v>0</v>
      </c>
    </row>
    <row r="110">
      <c r="A110" s="104">
        <f t="shared" si="1"/>
        <v>1</v>
      </c>
      <c r="C110" s="128"/>
      <c r="D110" s="74"/>
      <c r="E110" s="1"/>
      <c r="F110" s="1"/>
      <c r="G110" s="1"/>
      <c r="H110" s="118">
        <f>COUNTIF(Entropy!$D:$D,$B110)+COUNTIF(Matches!$B:$B,$B110)+COUNTIF(Matches!$C:$C,$B110)</f>
        <v>0</v>
      </c>
      <c r="I110" s="119">
        <f>COUNTIF(Matches!$B:$B,B110)</f>
        <v>0</v>
      </c>
      <c r="J110" s="31">
        <f t="shared" si="2"/>
        <v>0</v>
      </c>
      <c r="K110" s="1" t="str">
        <f t="shared" si="3"/>
        <v>0 - 0</v>
      </c>
      <c r="L110" s="120">
        <f>COUNTIF(Entropy!$D:$D,$B110)</f>
        <v>0</v>
      </c>
      <c r="M110" s="121">
        <f t="shared" si="4"/>
        <v>0</v>
      </c>
      <c r="N110" s="121">
        <f t="shared" si="5"/>
        <v>0</v>
      </c>
      <c r="O110" s="118">
        <f>IF($J110=11,0,IF(AND($H110 &gt;=VLOOKUP('Combined Standings'!$C$2,Quotas!$A$7:$E$14,4,FALSE), $H110&lt;=VLOOKUP('Combined Standings'!$C$2,Quotas!$A$7:$E$14,5,FALSE)), 0,VLOOKUP('Combined Standings'!$C$2,Quotas!$A$7:$E$11,4,FALSE)-$H110))</f>
        <v>13</v>
      </c>
      <c r="P110" s="118">
        <f>IF($J110=11,0,IF(AND($H110 &gt;=VLOOKUP('Combined Standings'!$C$2,Quotas!$A$7:$E$14,5,FALSE), $H110&lt;=VLOOKUP('Combined Standings'!$C$2,Quotas!$A$7:$E$14,5,FALSE)), 0,VLOOKUP('Combined Standings'!$C$2,Quotas!$A$7:$E$11,5,FALSE)-$H110))</f>
        <v>15</v>
      </c>
      <c r="Q110" s="31">
        <f t="shared" si="6"/>
        <v>11</v>
      </c>
      <c r="R110" s="122" t="str">
        <f t="shared" si="7"/>
        <v/>
      </c>
      <c r="S110" s="121">
        <f t="shared" si="8"/>
        <v>0.33</v>
      </c>
      <c r="T110" s="122" t="str">
        <f>IFERROR(__xludf.DUMMYFUNCTION("JOIN("","",IFERROR(FILTER(Matches!$B:$B,B110=Matches!$C:$C),""""),IFERROR(FILTER(Matches!$C:$C,B110=Matches!$B:$B),""""))"),",,,,,,,,,,,,,,,,,,,,,,,,,,,,,,,,,,,,,,,,,,,,,,,,,,,,,,,,,,,,,,,,,,,,,,,,,,,,,,,,,,,,,,,,,,,,,,,,,,,,,,,,,,,,,,,,,,,,,,,,,,,,,,,,,,,,,,,,,,,,,,,,,,,,,,,,,,,,,,,,,,,,,,,,,,,,,,,,,,,,,,,,,,,,,,,,,,,,,,,,,,,,,,,,,,,,,,,,,,,,,,,,,,,,,,,,,,,,,,,,,,,,,,,,,,,,,,,")</f>
        <v>,,,,,,,,,,,,,,,,,,,,,,,,,,,,,,,,,,,,,,,,,,,,,,,,,,,,,,,,,,,,,,,,,,,,,,,,,,,,,,,,,,,,,,,,,,,,,,,,,,,,,,,,,,,,,,,,,,,,,,,,,,,,,,,,,,,,,,,,,,,,,,,,,,,,,,,,,,,,,,,,,,,,,,,,,,,,,,,,,,,,,,,,,,,,,,,,,,,,,,,,,,,,,,,,,,,,,,,,,,,,,,,,,,,,,,,,,,,,,,,,,,,,,,,,,,,,,,,</v>
      </c>
      <c r="U110" s="121">
        <f>IFERROR(__xludf.DUMMYFUNCTION("iferror(AVERAGE(ARRAYFORMULA(VLOOKUP(SPLIT(T110,"","",TRUE,TRUE),$R$2:$S1000,2,FALSE))),0)"),0.0)</f>
        <v>0</v>
      </c>
      <c r="V110" s="123">
        <f>IFERROR(__xludf.DUMMYFUNCTION("RANK($I110, $I$2:$I1000, FALSE) + RANK($M110, Filter($M$2:$M1000, $I$2:$I1000=$I110),FALSE)+RANK($U110, Filter($U$2:$U1000, $I$2:$I1000=$I110,$M$2:$M1000=$M110),FALSE)-2"),1.0)</f>
        <v>1</v>
      </c>
      <c r="W110" s="124" t="str">
        <f t="shared" si="9"/>
        <v>Underplay</v>
      </c>
      <c r="X110" s="125" t="str">
        <f t="shared" si="10"/>
        <v/>
      </c>
      <c r="Y110" s="126">
        <f>MAXIFS(Matches!$A:$A,Matches!$C:$C,$B110)</f>
        <v>0</v>
      </c>
      <c r="Z110" s="126">
        <f t="array" ref="Z110">XLOOKUP(Y110,Quotas!$B$7:$B$10,Quotas!$A$7:$A$10,0,-1)</f>
        <v>0</v>
      </c>
      <c r="AB110" s="31"/>
      <c r="AC110" s="31">
        <f>COUNTIFS(Matches!$A:$A,"&gt;"&amp;Y110,Matches!$B:$B,$B110)</f>
        <v>0</v>
      </c>
      <c r="AD110" s="31"/>
      <c r="AE110" s="127">
        <f>SUMIF('Pool Changes'!B:B, B110, 'Pool Changes'!H:H)</f>
        <v>0</v>
      </c>
    </row>
    <row r="111">
      <c r="A111" s="104">
        <f t="shared" si="1"/>
        <v>1</v>
      </c>
      <c r="C111" s="128"/>
      <c r="D111" s="74"/>
      <c r="E111" s="1"/>
      <c r="F111" s="1"/>
      <c r="G111" s="1"/>
      <c r="H111" s="118">
        <f>COUNTIF(Entropy!$D:$D,$B111)+COUNTIF(Matches!$B:$B,$B111)+COUNTIF(Matches!$C:$C,$B111)</f>
        <v>0</v>
      </c>
      <c r="I111" s="119">
        <f>COUNTIF(Matches!$B:$B,B111)</f>
        <v>0</v>
      </c>
      <c r="J111" s="31">
        <f t="shared" si="2"/>
        <v>0</v>
      </c>
      <c r="K111" s="1" t="str">
        <f t="shared" si="3"/>
        <v>0 - 0</v>
      </c>
      <c r="L111" s="120">
        <f>COUNTIF(Entropy!$D:$D,$B111)</f>
        <v>0</v>
      </c>
      <c r="M111" s="121">
        <f t="shared" si="4"/>
        <v>0</v>
      </c>
      <c r="N111" s="121">
        <f t="shared" si="5"/>
        <v>0</v>
      </c>
      <c r="O111" s="118">
        <f>IF($J111=11,0,IF(AND($H111 &gt;=VLOOKUP('Combined Standings'!$C$2,Quotas!$A$7:$E$14,4,FALSE), $H111&lt;=VLOOKUP('Combined Standings'!$C$2,Quotas!$A$7:$E$14,5,FALSE)), 0,VLOOKUP('Combined Standings'!$C$2,Quotas!$A$7:$E$11,4,FALSE)-$H111))</f>
        <v>13</v>
      </c>
      <c r="P111" s="118">
        <f>IF($J111=11,0,IF(AND($H111 &gt;=VLOOKUP('Combined Standings'!$C$2,Quotas!$A$7:$E$14,5,FALSE), $H111&lt;=VLOOKUP('Combined Standings'!$C$2,Quotas!$A$7:$E$14,5,FALSE)), 0,VLOOKUP('Combined Standings'!$C$2,Quotas!$A$7:$E$11,5,FALSE)-$H111))</f>
        <v>15</v>
      </c>
      <c r="Q111" s="31">
        <f t="shared" si="6"/>
        <v>11</v>
      </c>
      <c r="R111" s="122" t="str">
        <f t="shared" si="7"/>
        <v/>
      </c>
      <c r="S111" s="121">
        <f t="shared" si="8"/>
        <v>0.33</v>
      </c>
      <c r="T111" s="122" t="str">
        <f>IFERROR(__xludf.DUMMYFUNCTION("JOIN("","",IFERROR(FILTER(Matches!$B:$B,B111=Matches!$C:$C),""""),IFERROR(FILTER(Matches!$C:$C,B111=Matches!$B:$B),""""))"),",,,,,,,,,,,,,,,,,,,,,,,,,,,,,,,,,,,,,,,,,,,,,,,,,,,,,,,,,,,,,,,,,,,,,,,,,,,,,,,,,,,,,,,,,,,,,,,,,,,,,,,,,,,,,,,,,,,,,,,,,,,,,,,,,,,,,,,,,,,,,,,,,,,,,,,,,,,,,,,,,,,,,,,,,,,,,,,,,,,,,,,,,,,,,,,,,,,,,,,,,,,,,,,,,,,,,,,,,,,,,,,,,,,,,,,,,,,,,,,,,,,,,,,,,,,,,,,")</f>
        <v>,,,,,,,,,,,,,,,,,,,,,,,,,,,,,,,,,,,,,,,,,,,,,,,,,,,,,,,,,,,,,,,,,,,,,,,,,,,,,,,,,,,,,,,,,,,,,,,,,,,,,,,,,,,,,,,,,,,,,,,,,,,,,,,,,,,,,,,,,,,,,,,,,,,,,,,,,,,,,,,,,,,,,,,,,,,,,,,,,,,,,,,,,,,,,,,,,,,,,,,,,,,,,,,,,,,,,,,,,,,,,,,,,,,,,,,,,,,,,,,,,,,,,,,,,,,,,,,</v>
      </c>
      <c r="U111" s="121">
        <f>IFERROR(__xludf.DUMMYFUNCTION("iferror(AVERAGE(ARRAYFORMULA(VLOOKUP(SPLIT(T111,"","",TRUE,TRUE),$R$2:$S1000,2,FALSE))),0)"),0.0)</f>
        <v>0</v>
      </c>
      <c r="V111" s="123">
        <f>IFERROR(__xludf.DUMMYFUNCTION("RANK($I111, $I$2:$I1000, FALSE) + RANK($M111, Filter($M$2:$M1000, $I$2:$I1000=$I111),FALSE)+RANK($U111, Filter($U$2:$U1000, $I$2:$I1000=$I111,$M$2:$M1000=$M111),FALSE)-2"),1.0)</f>
        <v>1</v>
      </c>
      <c r="W111" s="124" t="str">
        <f t="shared" si="9"/>
        <v>Underplay</v>
      </c>
      <c r="X111" s="125" t="str">
        <f t="shared" si="10"/>
        <v/>
      </c>
      <c r="Y111" s="126">
        <f>MAXIFS(Matches!$A:$A,Matches!$C:$C,$B111)</f>
        <v>0</v>
      </c>
      <c r="Z111" s="126">
        <f t="array" ref="Z111">XLOOKUP(Y111,Quotas!$B$7:$B$10,Quotas!$A$7:$A$10,0,-1)</f>
        <v>0</v>
      </c>
      <c r="AB111" s="31"/>
      <c r="AC111" s="31">
        <f>COUNTIFS(Matches!$A:$A,"&gt;"&amp;Y111,Matches!$B:$B,$B111)</f>
        <v>0</v>
      </c>
      <c r="AD111" s="31"/>
      <c r="AE111" s="127">
        <f>SUMIF('Pool Changes'!B:B, B111, 'Pool Changes'!H:H)</f>
        <v>0</v>
      </c>
    </row>
    <row r="112">
      <c r="A112" s="104">
        <f t="shared" si="1"/>
        <v>1</v>
      </c>
      <c r="C112" s="128"/>
      <c r="D112" s="74"/>
      <c r="E112" s="1"/>
      <c r="F112" s="1"/>
      <c r="G112" s="1"/>
      <c r="H112" s="118">
        <f>COUNTIF(Entropy!$D:$D,$B112)+COUNTIF(Matches!$B:$B,$B112)+COUNTIF(Matches!$C:$C,$B112)</f>
        <v>0</v>
      </c>
      <c r="I112" s="119">
        <f>COUNTIF(Matches!$B:$B,B112)</f>
        <v>0</v>
      </c>
      <c r="J112" s="31">
        <f t="shared" si="2"/>
        <v>0</v>
      </c>
      <c r="K112" s="1" t="str">
        <f t="shared" si="3"/>
        <v>0 - 0</v>
      </c>
      <c r="L112" s="120">
        <f>COUNTIF(Entropy!$D:$D,$B112)</f>
        <v>0</v>
      </c>
      <c r="M112" s="121">
        <f t="shared" si="4"/>
        <v>0</v>
      </c>
      <c r="N112" s="121">
        <f t="shared" si="5"/>
        <v>0</v>
      </c>
      <c r="O112" s="118">
        <f>IF($J112=11,0,IF(AND($H112 &gt;=VLOOKUP('Combined Standings'!$C$2,Quotas!$A$7:$E$14,4,FALSE), $H112&lt;=VLOOKUP('Combined Standings'!$C$2,Quotas!$A$7:$E$14,5,FALSE)), 0,VLOOKUP('Combined Standings'!$C$2,Quotas!$A$7:$E$11,4,FALSE)-$H112))</f>
        <v>13</v>
      </c>
      <c r="P112" s="118">
        <f>IF($J112=11,0,IF(AND($H112 &gt;=VLOOKUP('Combined Standings'!$C$2,Quotas!$A$7:$E$14,5,FALSE), $H112&lt;=VLOOKUP('Combined Standings'!$C$2,Quotas!$A$7:$E$14,5,FALSE)), 0,VLOOKUP('Combined Standings'!$C$2,Quotas!$A$7:$E$11,5,FALSE)-$H112))</f>
        <v>15</v>
      </c>
      <c r="Q112" s="31">
        <f t="shared" si="6"/>
        <v>11</v>
      </c>
      <c r="R112" s="122" t="str">
        <f t="shared" si="7"/>
        <v/>
      </c>
      <c r="S112" s="121">
        <f t="shared" si="8"/>
        <v>0.33</v>
      </c>
      <c r="T112" s="122" t="str">
        <f>IFERROR(__xludf.DUMMYFUNCTION("JOIN("","",IFERROR(FILTER(Matches!$B:$B,B112=Matches!$C:$C),""""),IFERROR(FILTER(Matches!$C:$C,B112=Matches!$B:$B),""""))"),",,,,,,,,,,,,,,,,,,,,,,,,,,,,,,,,,,,,,,,,,,,,,,,,,,,,,,,,,,,,,,,,,,,,,,,,,,,,,,,,,,,,,,,,,,,,,,,,,,,,,,,,,,,,,,,,,,,,,,,,,,,,,,,,,,,,,,,,,,,,,,,,,,,,,,,,,,,,,,,,,,,,,,,,,,,,,,,,,,,,,,,,,,,,,,,,,,,,,,,,,,,,,,,,,,,,,,,,,,,,,,,,,,,,,,,,,,,,,,,,,,,,,,,,,,,,,,,")</f>
        <v>,,,,,,,,,,,,,,,,,,,,,,,,,,,,,,,,,,,,,,,,,,,,,,,,,,,,,,,,,,,,,,,,,,,,,,,,,,,,,,,,,,,,,,,,,,,,,,,,,,,,,,,,,,,,,,,,,,,,,,,,,,,,,,,,,,,,,,,,,,,,,,,,,,,,,,,,,,,,,,,,,,,,,,,,,,,,,,,,,,,,,,,,,,,,,,,,,,,,,,,,,,,,,,,,,,,,,,,,,,,,,,,,,,,,,,,,,,,,,,,,,,,,,,,,,,,,,,,</v>
      </c>
      <c r="U112" s="121">
        <f>IFERROR(__xludf.DUMMYFUNCTION("iferror(AVERAGE(ARRAYFORMULA(VLOOKUP(SPLIT(T112,"","",TRUE,TRUE),$R$2:$S1000,2,FALSE))),0)"),0.0)</f>
        <v>0</v>
      </c>
      <c r="V112" s="123">
        <f>IFERROR(__xludf.DUMMYFUNCTION("RANK($I112, $I$2:$I1000, FALSE) + RANK($M112, Filter($M$2:$M1000, $I$2:$I1000=$I112),FALSE)+RANK($U112, Filter($U$2:$U1000, $I$2:$I1000=$I112,$M$2:$M1000=$M112),FALSE)-2"),1.0)</f>
        <v>1</v>
      </c>
      <c r="W112" s="124" t="str">
        <f t="shared" si="9"/>
        <v>Underplay</v>
      </c>
      <c r="X112" s="125" t="str">
        <f t="shared" si="10"/>
        <v/>
      </c>
      <c r="Y112" s="126">
        <f>MAXIFS(Matches!$A:$A,Matches!$C:$C,$B112)</f>
        <v>0</v>
      </c>
      <c r="Z112" s="126">
        <f t="array" ref="Z112">XLOOKUP(Y112,Quotas!$B$7:$B$10,Quotas!$A$7:$A$10,0,-1)</f>
        <v>0</v>
      </c>
      <c r="AB112" s="31"/>
      <c r="AC112" s="31">
        <f>COUNTIFS(Matches!$A:$A,"&gt;"&amp;Y112,Matches!$B:$B,$B112)</f>
        <v>0</v>
      </c>
      <c r="AD112" s="31"/>
      <c r="AE112" s="127">
        <f>SUMIF('Pool Changes'!B:B, B112, 'Pool Changes'!H:H)</f>
        <v>0</v>
      </c>
    </row>
    <row r="113">
      <c r="A113" s="104">
        <f t="shared" si="1"/>
        <v>1</v>
      </c>
      <c r="C113" s="128"/>
      <c r="D113" s="74"/>
      <c r="E113" s="1"/>
      <c r="F113" s="1"/>
      <c r="G113" s="1"/>
      <c r="H113" s="118">
        <f>COUNTIF(Entropy!$D:$D,$B113)+COUNTIF(Matches!$B:$B,$B113)+COUNTIF(Matches!$C:$C,$B113)</f>
        <v>0</v>
      </c>
      <c r="I113" s="119">
        <f>COUNTIF(Matches!$B:$B,B113)</f>
        <v>0</v>
      </c>
      <c r="J113" s="31">
        <f t="shared" si="2"/>
        <v>0</v>
      </c>
      <c r="K113" s="1" t="str">
        <f t="shared" si="3"/>
        <v>0 - 0</v>
      </c>
      <c r="L113" s="120">
        <f>COUNTIF(Entropy!$D:$D,$B113)</f>
        <v>0</v>
      </c>
      <c r="M113" s="121">
        <f t="shared" si="4"/>
        <v>0</v>
      </c>
      <c r="N113" s="121">
        <f t="shared" si="5"/>
        <v>0</v>
      </c>
      <c r="O113" s="118">
        <f>IF($J113=11,0,IF(AND($H113 &gt;=VLOOKUP('Combined Standings'!$C$2,Quotas!$A$7:$E$14,4,FALSE), $H113&lt;=VLOOKUP('Combined Standings'!$C$2,Quotas!$A$7:$E$14,5,FALSE)), 0,VLOOKUP('Combined Standings'!$C$2,Quotas!$A$7:$E$11,4,FALSE)-$H113))</f>
        <v>13</v>
      </c>
      <c r="P113" s="118">
        <f>IF($J113=11,0,IF(AND($H113 &gt;=VLOOKUP('Combined Standings'!$C$2,Quotas!$A$7:$E$14,5,FALSE), $H113&lt;=VLOOKUP('Combined Standings'!$C$2,Quotas!$A$7:$E$14,5,FALSE)), 0,VLOOKUP('Combined Standings'!$C$2,Quotas!$A$7:$E$11,5,FALSE)-$H113))</f>
        <v>15</v>
      </c>
      <c r="Q113" s="31">
        <f t="shared" si="6"/>
        <v>11</v>
      </c>
      <c r="R113" s="122" t="str">
        <f t="shared" si="7"/>
        <v/>
      </c>
      <c r="S113" s="121">
        <f t="shared" si="8"/>
        <v>0.33</v>
      </c>
      <c r="T113" s="122" t="str">
        <f>IFERROR(__xludf.DUMMYFUNCTION("JOIN("","",IFERROR(FILTER(Matches!$B:$B,B113=Matches!$C:$C),""""),IFERROR(FILTER(Matches!$C:$C,B113=Matches!$B:$B),""""))"),",,,,,,,,,,,,,,,,,,,,,,,,,,,,,,,,,,,,,,,,,,,,,,,,,,,,,,,,,,,,,,,,,,,,,,,,,,,,,,,,,,,,,,,,,,,,,,,,,,,,,,,,,,,,,,,,,,,,,,,,,,,,,,,,,,,,,,,,,,,,,,,,,,,,,,,,,,,,,,,,,,,,,,,,,,,,,,,,,,,,,,,,,,,,,,,,,,,,,,,,,,,,,,,,,,,,,,,,,,,,,,,,,,,,,,,,,,,,,,,,,,,,,,,,,,,,,,,")</f>
        <v>,,,,,,,,,,,,,,,,,,,,,,,,,,,,,,,,,,,,,,,,,,,,,,,,,,,,,,,,,,,,,,,,,,,,,,,,,,,,,,,,,,,,,,,,,,,,,,,,,,,,,,,,,,,,,,,,,,,,,,,,,,,,,,,,,,,,,,,,,,,,,,,,,,,,,,,,,,,,,,,,,,,,,,,,,,,,,,,,,,,,,,,,,,,,,,,,,,,,,,,,,,,,,,,,,,,,,,,,,,,,,,,,,,,,,,,,,,,,,,,,,,,,,,,,,,,,,,,</v>
      </c>
      <c r="U113" s="121">
        <f>IFERROR(__xludf.DUMMYFUNCTION("iferror(AVERAGE(ARRAYFORMULA(VLOOKUP(SPLIT(T113,"","",TRUE,TRUE),$R$2:$S1000,2,FALSE))),0)"),0.0)</f>
        <v>0</v>
      </c>
      <c r="V113" s="123">
        <f>IFERROR(__xludf.DUMMYFUNCTION("RANK($I113, $I$2:$I1000, FALSE) + RANK($M113, Filter($M$2:$M1000, $I$2:$I1000=$I113),FALSE)+RANK($U113, Filter($U$2:$U1000, $I$2:$I1000=$I113,$M$2:$M1000=$M113),FALSE)-2"),1.0)</f>
        <v>1</v>
      </c>
      <c r="W113" s="124" t="str">
        <f t="shared" si="9"/>
        <v>Underplay</v>
      </c>
      <c r="X113" s="125" t="str">
        <f t="shared" si="10"/>
        <v/>
      </c>
      <c r="Y113" s="126">
        <f>MAXIFS(Matches!$A:$A,Matches!$C:$C,$B113)</f>
        <v>0</v>
      </c>
      <c r="Z113" s="126">
        <f t="array" ref="Z113">XLOOKUP(Y113,Quotas!$B$7:$B$10,Quotas!$A$7:$A$10,0,-1)</f>
        <v>0</v>
      </c>
      <c r="AB113" s="31"/>
      <c r="AC113" s="31">
        <f>COUNTIFS(Matches!$A:$A,"&gt;"&amp;Y113,Matches!$B:$B,$B113)</f>
        <v>0</v>
      </c>
      <c r="AD113" s="31"/>
      <c r="AE113" s="127">
        <f>SUMIF('Pool Changes'!B:B, B113, 'Pool Changes'!H:H)</f>
        <v>0</v>
      </c>
    </row>
    <row r="114">
      <c r="A114" s="104">
        <f t="shared" si="1"/>
        <v>1</v>
      </c>
      <c r="C114" s="128"/>
      <c r="D114" s="74"/>
      <c r="E114" s="1"/>
      <c r="F114" s="1"/>
      <c r="G114" s="1"/>
      <c r="H114" s="118">
        <f>COUNTIF(Entropy!$D:$D,$B114)+COUNTIF(Matches!$B:$B,$B114)+COUNTIF(Matches!$C:$C,$B114)</f>
        <v>0</v>
      </c>
      <c r="I114" s="119">
        <f>COUNTIF(Matches!$B:$B,B114)</f>
        <v>0</v>
      </c>
      <c r="J114" s="31">
        <f t="shared" si="2"/>
        <v>0</v>
      </c>
      <c r="K114" s="1" t="str">
        <f t="shared" si="3"/>
        <v>0 - 0</v>
      </c>
      <c r="L114" s="120">
        <f>COUNTIF(Entropy!$D:$D,$B114)</f>
        <v>0</v>
      </c>
      <c r="M114" s="121">
        <f t="shared" si="4"/>
        <v>0</v>
      </c>
      <c r="N114" s="121">
        <f t="shared" si="5"/>
        <v>0</v>
      </c>
      <c r="O114" s="118">
        <f>IF($J114=11,0,IF(AND($H114 &gt;=VLOOKUP('Combined Standings'!$C$2,Quotas!$A$7:$E$14,4,FALSE), $H114&lt;=VLOOKUP('Combined Standings'!$C$2,Quotas!$A$7:$E$14,5,FALSE)), 0,VLOOKUP('Combined Standings'!$C$2,Quotas!$A$7:$E$11,4,FALSE)-$H114))</f>
        <v>13</v>
      </c>
      <c r="P114" s="118">
        <f>IF($J114=11,0,IF(AND($H114 &gt;=VLOOKUP('Combined Standings'!$C$2,Quotas!$A$7:$E$14,5,FALSE), $H114&lt;=VLOOKUP('Combined Standings'!$C$2,Quotas!$A$7:$E$14,5,FALSE)), 0,VLOOKUP('Combined Standings'!$C$2,Quotas!$A$7:$E$11,5,FALSE)-$H114))</f>
        <v>15</v>
      </c>
      <c r="Q114" s="31">
        <f t="shared" si="6"/>
        <v>11</v>
      </c>
      <c r="R114" s="122" t="str">
        <f t="shared" si="7"/>
        <v/>
      </c>
      <c r="S114" s="121">
        <f t="shared" si="8"/>
        <v>0.33</v>
      </c>
      <c r="T114" s="122" t="str">
        <f>IFERROR(__xludf.DUMMYFUNCTION("JOIN("","",IFERROR(FILTER(Matches!$B:$B,B114=Matches!$C:$C),""""),IFERROR(FILTER(Matches!$C:$C,B114=Matches!$B:$B),""""))"),",,,,,,,,,,,,,,,,,,,,,,,,,,,,,,,,,,,,,,,,,,,,,,,,,,,,,,,,,,,,,,,,,,,,,,,,,,,,,,,,,,,,,,,,,,,,,,,,,,,,,,,,,,,,,,,,,,,,,,,,,,,,,,,,,,,,,,,,,,,,,,,,,,,,,,,,,,,,,,,,,,,,,,,,,,,,,,,,,,,,,,,,,,,,,,,,,,,,,,,,,,,,,,,,,,,,,,,,,,,,,,,,,,,,,,,,,,,,,,,,,,,,,,,,,,,,,,,")</f>
        <v>,,,,,,,,,,,,,,,,,,,,,,,,,,,,,,,,,,,,,,,,,,,,,,,,,,,,,,,,,,,,,,,,,,,,,,,,,,,,,,,,,,,,,,,,,,,,,,,,,,,,,,,,,,,,,,,,,,,,,,,,,,,,,,,,,,,,,,,,,,,,,,,,,,,,,,,,,,,,,,,,,,,,,,,,,,,,,,,,,,,,,,,,,,,,,,,,,,,,,,,,,,,,,,,,,,,,,,,,,,,,,,,,,,,,,,,,,,,,,,,,,,,,,,,,,,,,,,,</v>
      </c>
      <c r="U114" s="121">
        <f>IFERROR(__xludf.DUMMYFUNCTION("iferror(AVERAGE(ARRAYFORMULA(VLOOKUP(SPLIT(T114,"","",TRUE,TRUE),$R$2:$S1000,2,FALSE))),0)"),0.0)</f>
        <v>0</v>
      </c>
      <c r="V114" s="123">
        <f>IFERROR(__xludf.DUMMYFUNCTION("RANK($I114, $I$2:$I1000, FALSE) + RANK($M114, Filter($M$2:$M1000, $I$2:$I1000=$I114),FALSE)+RANK($U114, Filter($U$2:$U1000, $I$2:$I1000=$I114,$M$2:$M1000=$M114),FALSE)-2"),1.0)</f>
        <v>1</v>
      </c>
      <c r="W114" s="124" t="str">
        <f t="shared" si="9"/>
        <v>Underplay</v>
      </c>
      <c r="X114" s="125" t="str">
        <f t="shared" si="10"/>
        <v/>
      </c>
      <c r="Y114" s="126">
        <f>MAXIFS(Matches!$A:$A,Matches!$C:$C,$B114)</f>
        <v>0</v>
      </c>
      <c r="Z114" s="126">
        <f t="array" ref="Z114">XLOOKUP(Y114,Quotas!$B$7:$B$10,Quotas!$A$7:$A$10,0,-1)</f>
        <v>0</v>
      </c>
      <c r="AB114" s="31"/>
      <c r="AC114" s="31">
        <f>COUNTIFS(Matches!$A:$A,"&gt;"&amp;Y114,Matches!$B:$B,$B114)</f>
        <v>0</v>
      </c>
      <c r="AD114" s="31"/>
      <c r="AE114" s="127">
        <f>SUMIF('Pool Changes'!B:B, B114, 'Pool Changes'!H:H)</f>
        <v>0</v>
      </c>
    </row>
    <row r="115">
      <c r="A115" s="104">
        <f t="shared" si="1"/>
        <v>1</v>
      </c>
      <c r="C115" s="128"/>
      <c r="D115" s="74"/>
      <c r="E115" s="1"/>
      <c r="F115" s="1"/>
      <c r="G115" s="1"/>
      <c r="H115" s="118">
        <f>COUNTIF(Entropy!$D:$D,$B115)+COUNTIF(Matches!$B:$B,$B115)+COUNTIF(Matches!$C:$C,$B115)</f>
        <v>0</v>
      </c>
      <c r="I115" s="119">
        <f>COUNTIF(Matches!$B:$B,B115)</f>
        <v>0</v>
      </c>
      <c r="J115" s="31">
        <f t="shared" si="2"/>
        <v>0</v>
      </c>
      <c r="K115" s="1" t="str">
        <f t="shared" si="3"/>
        <v>0 - 0</v>
      </c>
      <c r="L115" s="120">
        <f>COUNTIF(Entropy!$D:$D,$B115)</f>
        <v>0</v>
      </c>
      <c r="M115" s="121">
        <f t="shared" si="4"/>
        <v>0</v>
      </c>
      <c r="N115" s="121">
        <f t="shared" si="5"/>
        <v>0</v>
      </c>
      <c r="O115" s="118">
        <f>IF($J115=11,0,IF(AND($H115 &gt;=VLOOKUP('Combined Standings'!$C$2,Quotas!$A$7:$E$14,4,FALSE), $H115&lt;=VLOOKUP('Combined Standings'!$C$2,Quotas!$A$7:$E$14,5,FALSE)), 0,VLOOKUP('Combined Standings'!$C$2,Quotas!$A$7:$E$11,4,FALSE)-$H115))</f>
        <v>13</v>
      </c>
      <c r="P115" s="118">
        <f>IF($J115=11,0,IF(AND($H115 &gt;=VLOOKUP('Combined Standings'!$C$2,Quotas!$A$7:$E$14,5,FALSE), $H115&lt;=VLOOKUP('Combined Standings'!$C$2,Quotas!$A$7:$E$14,5,FALSE)), 0,VLOOKUP('Combined Standings'!$C$2,Quotas!$A$7:$E$11,5,FALSE)-$H115))</f>
        <v>15</v>
      </c>
      <c r="Q115" s="31">
        <f t="shared" si="6"/>
        <v>11</v>
      </c>
      <c r="R115" s="122" t="str">
        <f t="shared" si="7"/>
        <v/>
      </c>
      <c r="S115" s="121">
        <f t="shared" si="8"/>
        <v>0.33</v>
      </c>
      <c r="T115" s="122" t="str">
        <f>IFERROR(__xludf.DUMMYFUNCTION("JOIN("","",IFERROR(FILTER(Matches!$B:$B,B115=Matches!$C:$C),""""),IFERROR(FILTER(Matches!$C:$C,B115=Matches!$B:$B),""""))"),",,,,,,,,,,,,,,,,,,,,,,,,,,,,,,,,,,,,,,,,,,,,,,,,,,,,,,,,,,,,,,,,,,,,,,,,,,,,,,,,,,,,,,,,,,,,,,,,,,,,,,,,,,,,,,,,,,,,,,,,,,,,,,,,,,,,,,,,,,,,,,,,,,,,,,,,,,,,,,,,,,,,,,,,,,,,,,,,,,,,,,,,,,,,,,,,,,,,,,,,,,,,,,,,,,,,,,,,,,,,,,,,,,,,,,,,,,,,,,,,,,,,,,,,,,,,,,,")</f>
        <v>,,,,,,,,,,,,,,,,,,,,,,,,,,,,,,,,,,,,,,,,,,,,,,,,,,,,,,,,,,,,,,,,,,,,,,,,,,,,,,,,,,,,,,,,,,,,,,,,,,,,,,,,,,,,,,,,,,,,,,,,,,,,,,,,,,,,,,,,,,,,,,,,,,,,,,,,,,,,,,,,,,,,,,,,,,,,,,,,,,,,,,,,,,,,,,,,,,,,,,,,,,,,,,,,,,,,,,,,,,,,,,,,,,,,,,,,,,,,,,,,,,,,,,,,,,,,,,,</v>
      </c>
      <c r="U115" s="121">
        <f>IFERROR(__xludf.DUMMYFUNCTION("iferror(AVERAGE(ARRAYFORMULA(VLOOKUP(SPLIT(T115,"","",TRUE,TRUE),$R$2:$S1000,2,FALSE))),0)"),0.0)</f>
        <v>0</v>
      </c>
      <c r="V115" s="123">
        <f>IFERROR(__xludf.DUMMYFUNCTION("RANK($I115, $I$2:$I1000, FALSE) + RANK($M115, Filter($M$2:$M1000, $I$2:$I1000=$I115),FALSE)+RANK($U115, Filter($U$2:$U1000, $I$2:$I1000=$I115,$M$2:$M1000=$M115),FALSE)-2"),1.0)</f>
        <v>1</v>
      </c>
      <c r="W115" s="124" t="str">
        <f t="shared" si="9"/>
        <v>Underplay</v>
      </c>
      <c r="X115" s="125" t="str">
        <f t="shared" si="10"/>
        <v/>
      </c>
      <c r="Y115" s="126">
        <f>MAXIFS(Matches!$A:$A,Matches!$C:$C,$B115)</f>
        <v>0</v>
      </c>
      <c r="Z115" s="126">
        <f t="array" ref="Z115">XLOOKUP(Y115,Quotas!$B$7:$B$10,Quotas!$A$7:$A$10,0,-1)</f>
        <v>0</v>
      </c>
      <c r="AB115" s="31"/>
      <c r="AC115" s="31">
        <f>COUNTIFS(Matches!$A:$A,"&gt;"&amp;Y115,Matches!$B:$B,$B115)</f>
        <v>0</v>
      </c>
      <c r="AD115" s="31"/>
      <c r="AE115" s="127">
        <f>SUMIF('Pool Changes'!B:B, B115, 'Pool Changes'!H:H)</f>
        <v>0</v>
      </c>
    </row>
    <row r="116">
      <c r="A116" s="104">
        <f t="shared" si="1"/>
        <v>1</v>
      </c>
      <c r="C116" s="128"/>
      <c r="D116" s="74"/>
      <c r="E116" s="1"/>
      <c r="F116" s="1"/>
      <c r="G116" s="1"/>
      <c r="H116" s="118">
        <f>COUNTIF(Entropy!$D:$D,$B116)+COUNTIF(Matches!$B:$B,$B116)+COUNTIF(Matches!$C:$C,$B116)</f>
        <v>0</v>
      </c>
      <c r="I116" s="119">
        <f>COUNTIF(Matches!$B:$B,B116)</f>
        <v>0</v>
      </c>
      <c r="J116" s="31">
        <f t="shared" si="2"/>
        <v>0</v>
      </c>
      <c r="K116" s="1" t="str">
        <f t="shared" si="3"/>
        <v>0 - 0</v>
      </c>
      <c r="L116" s="120">
        <f>COUNTIF(Entropy!$D:$D,$B116)</f>
        <v>0</v>
      </c>
      <c r="M116" s="121">
        <f t="shared" si="4"/>
        <v>0</v>
      </c>
      <c r="N116" s="121">
        <f t="shared" si="5"/>
        <v>0</v>
      </c>
      <c r="O116" s="118">
        <f>IF($J116=11,0,IF(AND($H116 &gt;=VLOOKUP('Combined Standings'!$C$2,Quotas!$A$7:$E$14,4,FALSE), $H116&lt;=VLOOKUP('Combined Standings'!$C$2,Quotas!$A$7:$E$14,5,FALSE)), 0,VLOOKUP('Combined Standings'!$C$2,Quotas!$A$7:$E$11,4,FALSE)-$H116))</f>
        <v>13</v>
      </c>
      <c r="P116" s="118">
        <f>IF($J116=11,0,IF(AND($H116 &gt;=VLOOKUP('Combined Standings'!$C$2,Quotas!$A$7:$E$14,5,FALSE), $H116&lt;=VLOOKUP('Combined Standings'!$C$2,Quotas!$A$7:$E$14,5,FALSE)), 0,VLOOKUP('Combined Standings'!$C$2,Quotas!$A$7:$E$11,5,FALSE)-$H116))</f>
        <v>15</v>
      </c>
      <c r="Q116" s="31">
        <f t="shared" si="6"/>
        <v>11</v>
      </c>
      <c r="R116" s="122" t="str">
        <f t="shared" si="7"/>
        <v/>
      </c>
      <c r="S116" s="121">
        <f t="shared" si="8"/>
        <v>0.33</v>
      </c>
      <c r="T116" s="122" t="str">
        <f>IFERROR(__xludf.DUMMYFUNCTION("JOIN("","",IFERROR(FILTER(Matches!$B:$B,B116=Matches!$C:$C),""""),IFERROR(FILTER(Matches!$C:$C,B116=Matches!$B:$B),""""))"),",,,,,,,,,,,,,,,,,,,,,,,,,,,,,,,,,,,,,,,,,,,,,,,,,,,,,,,,,,,,,,,,,,,,,,,,,,,,,,,,,,,,,,,,,,,,,,,,,,,,,,,,,,,,,,,,,,,,,,,,,,,,,,,,,,,,,,,,,,,,,,,,,,,,,,,,,,,,,,,,,,,,,,,,,,,,,,,,,,,,,,,,,,,,,,,,,,,,,,,,,,,,,,,,,,,,,,,,,,,,,,,,,,,,,,,,,,,,,,,,,,,,,,,,,,,,,,,")</f>
        <v>,,,,,,,,,,,,,,,,,,,,,,,,,,,,,,,,,,,,,,,,,,,,,,,,,,,,,,,,,,,,,,,,,,,,,,,,,,,,,,,,,,,,,,,,,,,,,,,,,,,,,,,,,,,,,,,,,,,,,,,,,,,,,,,,,,,,,,,,,,,,,,,,,,,,,,,,,,,,,,,,,,,,,,,,,,,,,,,,,,,,,,,,,,,,,,,,,,,,,,,,,,,,,,,,,,,,,,,,,,,,,,,,,,,,,,,,,,,,,,,,,,,,,,,,,,,,,,,</v>
      </c>
      <c r="U116" s="121">
        <f>IFERROR(__xludf.DUMMYFUNCTION("iferror(AVERAGE(ARRAYFORMULA(VLOOKUP(SPLIT(T116,"","",TRUE,TRUE),$R$2:$S1000,2,FALSE))),0)"),0.0)</f>
        <v>0</v>
      </c>
      <c r="V116" s="123">
        <f>IFERROR(__xludf.DUMMYFUNCTION("RANK($I116, $I$2:$I1000, FALSE) + RANK($M116, Filter($M$2:$M1000, $I$2:$I1000=$I116),FALSE)+RANK($U116, Filter($U$2:$U1000, $I$2:$I1000=$I116,$M$2:$M1000=$M116),FALSE)-2"),1.0)</f>
        <v>1</v>
      </c>
      <c r="W116" s="124" t="str">
        <f t="shared" si="9"/>
        <v>Underplay</v>
      </c>
      <c r="X116" s="125" t="str">
        <f t="shared" si="10"/>
        <v/>
      </c>
      <c r="Y116" s="126">
        <f>MAXIFS(Matches!$A:$A,Matches!$C:$C,$B116)</f>
        <v>0</v>
      </c>
      <c r="Z116" s="126">
        <f t="array" ref="Z116">XLOOKUP(Y116,Quotas!$B$7:$B$10,Quotas!$A$7:$A$10,0,-1)</f>
        <v>0</v>
      </c>
      <c r="AB116" s="31"/>
      <c r="AC116" s="31">
        <f>COUNTIFS(Matches!$A:$A,"&gt;"&amp;Y116,Matches!$B:$B,$B116)</f>
        <v>0</v>
      </c>
      <c r="AD116" s="31"/>
      <c r="AE116" s="127">
        <f>SUMIF('Pool Changes'!B:B, B116, 'Pool Changes'!H:H)</f>
        <v>0</v>
      </c>
    </row>
    <row r="117">
      <c r="A117" s="104">
        <f t="shared" si="1"/>
        <v>1</v>
      </c>
      <c r="C117" s="128"/>
      <c r="D117" s="74"/>
      <c r="E117" s="1"/>
      <c r="F117" s="1"/>
      <c r="G117" s="1"/>
      <c r="H117" s="118">
        <f>COUNTIF(Entropy!$D:$D,$B117)+COUNTIF(Matches!$B:$B,$B117)+COUNTIF(Matches!$C:$C,$B117)</f>
        <v>0</v>
      </c>
      <c r="I117" s="119">
        <f>COUNTIF(Matches!$B:$B,B117)</f>
        <v>0</v>
      </c>
      <c r="J117" s="31">
        <f t="shared" si="2"/>
        <v>0</v>
      </c>
      <c r="K117" s="1" t="str">
        <f t="shared" si="3"/>
        <v>0 - 0</v>
      </c>
      <c r="L117" s="120">
        <f>COUNTIF(Entropy!$D:$D,$B117)</f>
        <v>0</v>
      </c>
      <c r="M117" s="121">
        <f t="shared" si="4"/>
        <v>0</v>
      </c>
      <c r="N117" s="121">
        <f t="shared" si="5"/>
        <v>0</v>
      </c>
      <c r="O117" s="118">
        <f>IF($J117=11,0,IF(AND($H117 &gt;=VLOOKUP('Combined Standings'!$C$2,Quotas!$A$7:$E$14,4,FALSE), $H117&lt;=VLOOKUP('Combined Standings'!$C$2,Quotas!$A$7:$E$14,5,FALSE)), 0,VLOOKUP('Combined Standings'!$C$2,Quotas!$A$7:$E$11,4,FALSE)-$H117))</f>
        <v>13</v>
      </c>
      <c r="P117" s="118">
        <f>IF($J117=11,0,IF(AND($H117 &gt;=VLOOKUP('Combined Standings'!$C$2,Quotas!$A$7:$E$14,5,FALSE), $H117&lt;=VLOOKUP('Combined Standings'!$C$2,Quotas!$A$7:$E$14,5,FALSE)), 0,VLOOKUP('Combined Standings'!$C$2,Quotas!$A$7:$E$11,5,FALSE)-$H117))</f>
        <v>15</v>
      </c>
      <c r="Q117" s="31">
        <f t="shared" si="6"/>
        <v>11</v>
      </c>
      <c r="R117" s="122" t="str">
        <f t="shared" si="7"/>
        <v/>
      </c>
      <c r="S117" s="121">
        <f t="shared" si="8"/>
        <v>0.33</v>
      </c>
      <c r="T117" s="122" t="str">
        <f>IFERROR(__xludf.DUMMYFUNCTION("JOIN("","",IFERROR(FILTER(Matches!$B:$B,B117=Matches!$C:$C),""""),IFERROR(FILTER(Matches!$C:$C,B117=Matches!$B:$B),""""))"),",,,,,,,,,,,,,,,,,,,,,,,,,,,,,,,,,,,,,,,,,,,,,,,,,,,,,,,,,,,,,,,,,,,,,,,,,,,,,,,,,,,,,,,,,,,,,,,,,,,,,,,,,,,,,,,,,,,,,,,,,,,,,,,,,,,,,,,,,,,,,,,,,,,,,,,,,,,,,,,,,,,,,,,,,,,,,,,,,,,,,,,,,,,,,,,,,,,,,,,,,,,,,,,,,,,,,,,,,,,,,,,,,,,,,,,,,,,,,,,,,,,,,,,,,,,,,,,")</f>
        <v>,,,,,,,,,,,,,,,,,,,,,,,,,,,,,,,,,,,,,,,,,,,,,,,,,,,,,,,,,,,,,,,,,,,,,,,,,,,,,,,,,,,,,,,,,,,,,,,,,,,,,,,,,,,,,,,,,,,,,,,,,,,,,,,,,,,,,,,,,,,,,,,,,,,,,,,,,,,,,,,,,,,,,,,,,,,,,,,,,,,,,,,,,,,,,,,,,,,,,,,,,,,,,,,,,,,,,,,,,,,,,,,,,,,,,,,,,,,,,,,,,,,,,,,,,,,,,,,</v>
      </c>
      <c r="U117" s="121">
        <f>IFERROR(__xludf.DUMMYFUNCTION("iferror(AVERAGE(ARRAYFORMULA(VLOOKUP(SPLIT(T117,"","",TRUE,TRUE),$R$2:$S1000,2,FALSE))),0)"),0.0)</f>
        <v>0</v>
      </c>
      <c r="V117" s="123">
        <f>IFERROR(__xludf.DUMMYFUNCTION("RANK($I117, $I$2:$I1000, FALSE) + RANK($M117, Filter($M$2:$M1000, $I$2:$I1000=$I117),FALSE)+RANK($U117, Filter($U$2:$U1000, $I$2:$I1000=$I117,$M$2:$M1000=$M117),FALSE)-2"),1.0)</f>
        <v>1</v>
      </c>
      <c r="W117" s="124" t="str">
        <f t="shared" si="9"/>
        <v>Underplay</v>
      </c>
      <c r="X117" s="125" t="str">
        <f t="shared" si="10"/>
        <v/>
      </c>
      <c r="Y117" s="126">
        <f>MAXIFS(Matches!$A:$A,Matches!$C:$C,$B117)</f>
        <v>0</v>
      </c>
      <c r="Z117" s="126">
        <f t="array" ref="Z117">XLOOKUP(Y117,Quotas!$B$7:$B$10,Quotas!$A$7:$A$10,0,-1)</f>
        <v>0</v>
      </c>
      <c r="AB117" s="31"/>
      <c r="AC117" s="31">
        <f>COUNTIFS(Matches!$A:$A,"&gt;"&amp;Y117,Matches!$B:$B,$B117)</f>
        <v>0</v>
      </c>
      <c r="AD117" s="31"/>
      <c r="AE117" s="127">
        <f>SUMIF('Pool Changes'!B:B, B117, 'Pool Changes'!H:H)</f>
        <v>0</v>
      </c>
    </row>
    <row r="118">
      <c r="A118" s="104">
        <f t="shared" si="1"/>
        <v>1</v>
      </c>
      <c r="C118" s="128"/>
      <c r="D118" s="74"/>
      <c r="E118" s="1"/>
      <c r="F118" s="1"/>
      <c r="G118" s="1"/>
      <c r="H118" s="118">
        <f>COUNTIF(Entropy!$D:$D,$B118)+COUNTIF(Matches!$B:$B,$B118)+COUNTIF(Matches!$C:$C,$B118)</f>
        <v>0</v>
      </c>
      <c r="I118" s="119">
        <f>COUNTIF(Matches!$B:$B,B118)</f>
        <v>0</v>
      </c>
      <c r="J118" s="31">
        <f t="shared" si="2"/>
        <v>0</v>
      </c>
      <c r="K118" s="1" t="str">
        <f t="shared" si="3"/>
        <v>0 - 0</v>
      </c>
      <c r="L118" s="120">
        <f>COUNTIF(Entropy!$D:$D,$B118)</f>
        <v>0</v>
      </c>
      <c r="M118" s="121">
        <f t="shared" si="4"/>
        <v>0</v>
      </c>
      <c r="N118" s="121">
        <f t="shared" si="5"/>
        <v>0</v>
      </c>
      <c r="O118" s="118">
        <f>IF($J118=11,0,IF(AND($H118 &gt;=VLOOKUP('Combined Standings'!$C$2,Quotas!$A$7:$E$14,4,FALSE), $H118&lt;=VLOOKUP('Combined Standings'!$C$2,Quotas!$A$7:$E$14,5,FALSE)), 0,VLOOKUP('Combined Standings'!$C$2,Quotas!$A$7:$E$11,4,FALSE)-$H118))</f>
        <v>13</v>
      </c>
      <c r="P118" s="118">
        <f>IF($J118=11,0,IF(AND($H118 &gt;=VLOOKUP('Combined Standings'!$C$2,Quotas!$A$7:$E$14,5,FALSE), $H118&lt;=VLOOKUP('Combined Standings'!$C$2,Quotas!$A$7:$E$14,5,FALSE)), 0,VLOOKUP('Combined Standings'!$C$2,Quotas!$A$7:$E$11,5,FALSE)-$H118))</f>
        <v>15</v>
      </c>
      <c r="Q118" s="31">
        <f t="shared" si="6"/>
        <v>11</v>
      </c>
      <c r="R118" s="122" t="str">
        <f t="shared" si="7"/>
        <v/>
      </c>
      <c r="S118" s="121">
        <f t="shared" si="8"/>
        <v>0.33</v>
      </c>
      <c r="T118" s="122" t="str">
        <f>IFERROR(__xludf.DUMMYFUNCTION("JOIN("","",IFERROR(FILTER(Matches!$B:$B,B118=Matches!$C:$C),""""),IFERROR(FILTER(Matches!$C:$C,B118=Matches!$B:$B),""""))"),",,,,,,,,,,,,,,,,,,,,,,,,,,,,,,,,,,,,,,,,,,,,,,,,,,,,,,,,,,,,,,,,,,,,,,,,,,,,,,,,,,,,,,,,,,,,,,,,,,,,,,,,,,,,,,,,,,,,,,,,,,,,,,,,,,,,,,,,,,,,,,,,,,,,,,,,,,,,,,,,,,,,,,,,,,,,,,,,,,,,,,,,,,,,,,,,,,,,,,,,,,,,,,,,,,,,,,,,,,,,,,,,,,,,,,,,,,,,,,,,,,,,,,,,,,,,,,,")</f>
        <v>,,,,,,,,,,,,,,,,,,,,,,,,,,,,,,,,,,,,,,,,,,,,,,,,,,,,,,,,,,,,,,,,,,,,,,,,,,,,,,,,,,,,,,,,,,,,,,,,,,,,,,,,,,,,,,,,,,,,,,,,,,,,,,,,,,,,,,,,,,,,,,,,,,,,,,,,,,,,,,,,,,,,,,,,,,,,,,,,,,,,,,,,,,,,,,,,,,,,,,,,,,,,,,,,,,,,,,,,,,,,,,,,,,,,,,,,,,,,,,,,,,,,,,,,,,,,,,,</v>
      </c>
      <c r="U118" s="121">
        <f>IFERROR(__xludf.DUMMYFUNCTION("iferror(AVERAGE(ARRAYFORMULA(VLOOKUP(SPLIT(T118,"","",TRUE,TRUE),$R$2:$S1000,2,FALSE))),0)"),0.0)</f>
        <v>0</v>
      </c>
      <c r="V118" s="123">
        <f>IFERROR(__xludf.DUMMYFUNCTION("RANK($I118, $I$2:$I1000, FALSE) + RANK($M118, Filter($M$2:$M1000, $I$2:$I1000=$I118),FALSE)+RANK($U118, Filter($U$2:$U1000, $I$2:$I1000=$I118,$M$2:$M1000=$M118),FALSE)-2"),1.0)</f>
        <v>1</v>
      </c>
      <c r="W118" s="124" t="str">
        <f t="shared" si="9"/>
        <v>Underplay</v>
      </c>
      <c r="X118" s="125" t="str">
        <f t="shared" si="10"/>
        <v/>
      </c>
      <c r="Y118" s="126">
        <f>MAXIFS(Matches!$A:$A,Matches!$C:$C,$B118)</f>
        <v>0</v>
      </c>
      <c r="Z118" s="126">
        <f t="array" ref="Z118">XLOOKUP(Y118,Quotas!$B$7:$B$10,Quotas!$A$7:$A$10,0,-1)</f>
        <v>0</v>
      </c>
      <c r="AB118" s="31"/>
      <c r="AC118" s="31">
        <f>COUNTIFS(Matches!$A:$A,"&gt;"&amp;Y118,Matches!$B:$B,$B118)</f>
        <v>0</v>
      </c>
      <c r="AD118" s="31"/>
      <c r="AE118" s="127">
        <f>SUMIF('Pool Changes'!B:B, B118, 'Pool Changes'!H:H)</f>
        <v>0</v>
      </c>
    </row>
    <row r="119">
      <c r="A119" s="104">
        <f t="shared" si="1"/>
        <v>1</v>
      </c>
      <c r="C119" s="128"/>
      <c r="D119" s="74"/>
      <c r="E119" s="1"/>
      <c r="F119" s="1"/>
      <c r="G119" s="1"/>
      <c r="H119" s="118">
        <f>COUNTIF(Entropy!$D:$D,$B119)+COUNTIF(Matches!$B:$B,$B119)+COUNTIF(Matches!$C:$C,$B119)</f>
        <v>0</v>
      </c>
      <c r="I119" s="119">
        <f>COUNTIF(Matches!$B:$B,B119)</f>
        <v>0</v>
      </c>
      <c r="J119" s="31">
        <f t="shared" si="2"/>
        <v>0</v>
      </c>
      <c r="K119" s="1" t="str">
        <f t="shared" si="3"/>
        <v>0 - 0</v>
      </c>
      <c r="L119" s="120">
        <f>COUNTIF(Entropy!$D:$D,$B119)</f>
        <v>0</v>
      </c>
      <c r="M119" s="121">
        <f t="shared" si="4"/>
        <v>0</v>
      </c>
      <c r="N119" s="121">
        <f t="shared" si="5"/>
        <v>0</v>
      </c>
      <c r="O119" s="118">
        <f>IF($J119=11,0,IF(AND($H119 &gt;=VLOOKUP('Combined Standings'!$C$2,Quotas!$A$7:$E$14,4,FALSE), $H119&lt;=VLOOKUP('Combined Standings'!$C$2,Quotas!$A$7:$E$14,5,FALSE)), 0,VLOOKUP('Combined Standings'!$C$2,Quotas!$A$7:$E$11,4,FALSE)-$H119))</f>
        <v>13</v>
      </c>
      <c r="P119" s="118">
        <f>IF($J119=11,0,IF(AND($H119 &gt;=VLOOKUP('Combined Standings'!$C$2,Quotas!$A$7:$E$14,5,FALSE), $H119&lt;=VLOOKUP('Combined Standings'!$C$2,Quotas!$A$7:$E$14,5,FALSE)), 0,VLOOKUP('Combined Standings'!$C$2,Quotas!$A$7:$E$11,5,FALSE)-$H119))</f>
        <v>15</v>
      </c>
      <c r="Q119" s="31">
        <f t="shared" si="6"/>
        <v>11</v>
      </c>
      <c r="R119" s="122" t="str">
        <f t="shared" si="7"/>
        <v/>
      </c>
      <c r="S119" s="121">
        <f t="shared" si="8"/>
        <v>0.33</v>
      </c>
      <c r="T119" s="122" t="str">
        <f>IFERROR(__xludf.DUMMYFUNCTION("JOIN("","",IFERROR(FILTER(Matches!$B:$B,B119=Matches!$C:$C),""""),IFERROR(FILTER(Matches!$C:$C,B119=Matches!$B:$B),""""))"),",,,,,,,,,,,,,,,,,,,,,,,,,,,,,,,,,,,,,,,,,,,,,,,,,,,,,,,,,,,,,,,,,,,,,,,,,,,,,,,,,,,,,,,,,,,,,,,,,,,,,,,,,,,,,,,,,,,,,,,,,,,,,,,,,,,,,,,,,,,,,,,,,,,,,,,,,,,,,,,,,,,,,,,,,,,,,,,,,,,,,,,,,,,,,,,,,,,,,,,,,,,,,,,,,,,,,,,,,,,,,,,,,,,,,,,,,,,,,,,,,,,,,,,,,,,,,,,")</f>
        <v>,,,,,,,,,,,,,,,,,,,,,,,,,,,,,,,,,,,,,,,,,,,,,,,,,,,,,,,,,,,,,,,,,,,,,,,,,,,,,,,,,,,,,,,,,,,,,,,,,,,,,,,,,,,,,,,,,,,,,,,,,,,,,,,,,,,,,,,,,,,,,,,,,,,,,,,,,,,,,,,,,,,,,,,,,,,,,,,,,,,,,,,,,,,,,,,,,,,,,,,,,,,,,,,,,,,,,,,,,,,,,,,,,,,,,,,,,,,,,,,,,,,,,,,,,,,,,,,</v>
      </c>
      <c r="U119" s="121">
        <f>IFERROR(__xludf.DUMMYFUNCTION("iferror(AVERAGE(ARRAYFORMULA(VLOOKUP(SPLIT(T119,"","",TRUE,TRUE),$R$2:$S1000,2,FALSE))),0)"),0.0)</f>
        <v>0</v>
      </c>
      <c r="V119" s="123">
        <f>IFERROR(__xludf.DUMMYFUNCTION("RANK($I119, $I$2:$I1000, FALSE) + RANK($M119, Filter($M$2:$M1000, $I$2:$I1000=$I119),FALSE)+RANK($U119, Filter($U$2:$U1000, $I$2:$I1000=$I119,$M$2:$M1000=$M119),FALSE)-2"),1.0)</f>
        <v>1</v>
      </c>
      <c r="W119" s="124" t="str">
        <f t="shared" si="9"/>
        <v>Underplay</v>
      </c>
      <c r="X119" s="125" t="str">
        <f t="shared" si="10"/>
        <v/>
      </c>
      <c r="Y119" s="126">
        <f>MAXIFS(Matches!$A:$A,Matches!$C:$C,$B119)</f>
        <v>0</v>
      </c>
      <c r="Z119" s="126">
        <f t="array" ref="Z119">XLOOKUP(Y119,Quotas!$B$7:$B$10,Quotas!$A$7:$A$10,0,-1)</f>
        <v>0</v>
      </c>
      <c r="AB119" s="31"/>
      <c r="AC119" s="31">
        <f>COUNTIFS(Matches!$A:$A,"&gt;"&amp;Y119,Matches!$B:$B,$B119)</f>
        <v>0</v>
      </c>
      <c r="AD119" s="31"/>
      <c r="AE119" s="127">
        <f>SUMIF('Pool Changes'!B:B, B119, 'Pool Changes'!H:H)</f>
        <v>0</v>
      </c>
    </row>
    <row r="120">
      <c r="A120" s="104">
        <f t="shared" si="1"/>
        <v>1</v>
      </c>
      <c r="C120" s="128"/>
      <c r="D120" s="74"/>
      <c r="E120" s="1"/>
      <c r="F120" s="1"/>
      <c r="G120" s="1"/>
      <c r="H120" s="118">
        <f>COUNTIF(Entropy!$D:$D,$B120)+COUNTIF(Matches!$B:$B,$B120)+COUNTIF(Matches!$C:$C,$B120)</f>
        <v>0</v>
      </c>
      <c r="I120" s="119">
        <f>COUNTIF(Matches!$B:$B,B120)</f>
        <v>0</v>
      </c>
      <c r="J120" s="31">
        <f t="shared" si="2"/>
        <v>0</v>
      </c>
      <c r="K120" s="1" t="str">
        <f t="shared" si="3"/>
        <v>0 - 0</v>
      </c>
      <c r="L120" s="120">
        <f>COUNTIF(Entropy!$D:$D,$B120)</f>
        <v>0</v>
      </c>
      <c r="M120" s="121">
        <f t="shared" si="4"/>
        <v>0</v>
      </c>
      <c r="N120" s="121">
        <f t="shared" si="5"/>
        <v>0</v>
      </c>
      <c r="O120" s="118">
        <f>IF($J120=11,0,IF(AND($H120 &gt;=VLOOKUP('Combined Standings'!$C$2,Quotas!$A$7:$E$14,4,FALSE), $H120&lt;=VLOOKUP('Combined Standings'!$C$2,Quotas!$A$7:$E$14,5,FALSE)), 0,VLOOKUP('Combined Standings'!$C$2,Quotas!$A$7:$E$11,4,FALSE)-$H120))</f>
        <v>13</v>
      </c>
      <c r="P120" s="118">
        <f>IF($J120=11,0,IF(AND($H120 &gt;=VLOOKUP('Combined Standings'!$C$2,Quotas!$A$7:$E$14,5,FALSE), $H120&lt;=VLOOKUP('Combined Standings'!$C$2,Quotas!$A$7:$E$14,5,FALSE)), 0,VLOOKUP('Combined Standings'!$C$2,Quotas!$A$7:$E$11,5,FALSE)-$H120))</f>
        <v>15</v>
      </c>
      <c r="Q120" s="31">
        <f t="shared" si="6"/>
        <v>11</v>
      </c>
      <c r="R120" s="122" t="str">
        <f t="shared" si="7"/>
        <v/>
      </c>
      <c r="S120" s="121">
        <f t="shared" si="8"/>
        <v>0.33</v>
      </c>
      <c r="T120" s="122" t="str">
        <f>IFERROR(__xludf.DUMMYFUNCTION("JOIN("","",IFERROR(FILTER(Matches!$B:$B,B120=Matches!$C:$C),""""),IFERROR(FILTER(Matches!$C:$C,B120=Matches!$B:$B),""""))"),",,,,,,,,,,,,,,,,,,,,,,,,,,,,,,,,,,,,,,,,,,,,,,,,,,,,,,,,,,,,,,,,,,,,,,,,,,,,,,,,,,,,,,,,,,,,,,,,,,,,,,,,,,,,,,,,,,,,,,,,,,,,,,,,,,,,,,,,,,,,,,,,,,,,,,,,,,,,,,,,,,,,,,,,,,,,,,,,,,,,,,,,,,,,,,,,,,,,,,,,,,,,,,,,,,,,,,,,,,,,,,,,,,,,,,,,,,,,,,,,,,,,,,,,,,,,,,,")</f>
        <v>,,,,,,,,,,,,,,,,,,,,,,,,,,,,,,,,,,,,,,,,,,,,,,,,,,,,,,,,,,,,,,,,,,,,,,,,,,,,,,,,,,,,,,,,,,,,,,,,,,,,,,,,,,,,,,,,,,,,,,,,,,,,,,,,,,,,,,,,,,,,,,,,,,,,,,,,,,,,,,,,,,,,,,,,,,,,,,,,,,,,,,,,,,,,,,,,,,,,,,,,,,,,,,,,,,,,,,,,,,,,,,,,,,,,,,,,,,,,,,,,,,,,,,,,,,,,,,,</v>
      </c>
      <c r="U120" s="121">
        <f>IFERROR(__xludf.DUMMYFUNCTION("iferror(AVERAGE(ARRAYFORMULA(VLOOKUP(SPLIT(T120,"","",TRUE,TRUE),$R$2:$S1000,2,FALSE))),0)"),0.0)</f>
        <v>0</v>
      </c>
      <c r="V120" s="123">
        <f>IFERROR(__xludf.DUMMYFUNCTION("RANK($I120, $I$2:$I1000, FALSE) + RANK($M120, Filter($M$2:$M1000, $I$2:$I1000=$I120),FALSE)+RANK($U120, Filter($U$2:$U1000, $I$2:$I1000=$I120,$M$2:$M1000=$M120),FALSE)-2"),1.0)</f>
        <v>1</v>
      </c>
      <c r="W120" s="124" t="str">
        <f t="shared" si="9"/>
        <v>Underplay</v>
      </c>
      <c r="X120" s="125" t="str">
        <f t="shared" si="10"/>
        <v/>
      </c>
      <c r="Y120" s="126">
        <f>MAXIFS(Matches!$A:$A,Matches!$C:$C,$B120)</f>
        <v>0</v>
      </c>
      <c r="Z120" s="126">
        <f t="array" ref="Z120">XLOOKUP(Y120,Quotas!$B$7:$B$10,Quotas!$A$7:$A$10,0,-1)</f>
        <v>0</v>
      </c>
      <c r="AB120" s="31"/>
      <c r="AC120" s="31">
        <f>COUNTIFS(Matches!$A:$A,"&gt;"&amp;Y120,Matches!$B:$B,$B120)</f>
        <v>0</v>
      </c>
      <c r="AD120" s="31"/>
      <c r="AE120" s="127">
        <f>SUMIF('Pool Changes'!B:B, B120, 'Pool Changes'!H:H)</f>
        <v>0</v>
      </c>
    </row>
    <row r="121">
      <c r="A121" s="104">
        <f t="shared" si="1"/>
        <v>1</v>
      </c>
      <c r="C121" s="128"/>
      <c r="D121" s="74"/>
      <c r="E121" s="1"/>
      <c r="F121" s="1"/>
      <c r="G121" s="1"/>
      <c r="H121" s="118">
        <f>COUNTIF(Entropy!$D:$D,$B121)+COUNTIF(Matches!$B:$B,$B121)+COUNTIF(Matches!$C:$C,$B121)</f>
        <v>0</v>
      </c>
      <c r="I121" s="119">
        <f>COUNTIF(Matches!$B:$B,B121)</f>
        <v>0</v>
      </c>
      <c r="J121" s="31">
        <f t="shared" si="2"/>
        <v>0</v>
      </c>
      <c r="K121" s="1" t="str">
        <f t="shared" si="3"/>
        <v>0 - 0</v>
      </c>
      <c r="L121" s="120">
        <f>COUNTIF(Entropy!$D:$D,$B121)</f>
        <v>0</v>
      </c>
      <c r="M121" s="121">
        <f t="shared" si="4"/>
        <v>0</v>
      </c>
      <c r="N121" s="121">
        <f t="shared" si="5"/>
        <v>0</v>
      </c>
      <c r="O121" s="118">
        <f>IF($J121=11,0,IF(AND($H121 &gt;=VLOOKUP('Combined Standings'!$C$2,Quotas!$A$7:$E$14,4,FALSE), $H121&lt;=VLOOKUP('Combined Standings'!$C$2,Quotas!$A$7:$E$14,5,FALSE)), 0,VLOOKUP('Combined Standings'!$C$2,Quotas!$A$7:$E$11,4,FALSE)-$H121))</f>
        <v>13</v>
      </c>
      <c r="P121" s="118">
        <f>IF($J121=11,0,IF(AND($H121 &gt;=VLOOKUP('Combined Standings'!$C$2,Quotas!$A$7:$E$14,5,FALSE), $H121&lt;=VLOOKUP('Combined Standings'!$C$2,Quotas!$A$7:$E$14,5,FALSE)), 0,VLOOKUP('Combined Standings'!$C$2,Quotas!$A$7:$E$11,5,FALSE)-$H121))</f>
        <v>15</v>
      </c>
      <c r="Q121" s="31">
        <f t="shared" si="6"/>
        <v>11</v>
      </c>
      <c r="R121" s="122" t="str">
        <f t="shared" si="7"/>
        <v/>
      </c>
      <c r="S121" s="121">
        <f t="shared" si="8"/>
        <v>0.33</v>
      </c>
      <c r="T121" s="122" t="str">
        <f>IFERROR(__xludf.DUMMYFUNCTION("JOIN("","",IFERROR(FILTER(Matches!$B:$B,B121=Matches!$C:$C),""""),IFERROR(FILTER(Matches!$C:$C,B121=Matches!$B:$B),""""))"),",,,,,,,,,,,,,,,,,,,,,,,,,,,,,,,,,,,,,,,,,,,,,,,,,,,,,,,,,,,,,,,,,,,,,,,,,,,,,,,,,,,,,,,,,,,,,,,,,,,,,,,,,,,,,,,,,,,,,,,,,,,,,,,,,,,,,,,,,,,,,,,,,,,,,,,,,,,,,,,,,,,,,,,,,,,,,,,,,,,,,,,,,,,,,,,,,,,,,,,,,,,,,,,,,,,,,,,,,,,,,,,,,,,,,,,,,,,,,,,,,,,,,,,,,,,,,,,")</f>
        <v>,,,,,,,,,,,,,,,,,,,,,,,,,,,,,,,,,,,,,,,,,,,,,,,,,,,,,,,,,,,,,,,,,,,,,,,,,,,,,,,,,,,,,,,,,,,,,,,,,,,,,,,,,,,,,,,,,,,,,,,,,,,,,,,,,,,,,,,,,,,,,,,,,,,,,,,,,,,,,,,,,,,,,,,,,,,,,,,,,,,,,,,,,,,,,,,,,,,,,,,,,,,,,,,,,,,,,,,,,,,,,,,,,,,,,,,,,,,,,,,,,,,,,,,,,,,,,,,</v>
      </c>
      <c r="U121" s="121">
        <f>IFERROR(__xludf.DUMMYFUNCTION("iferror(AVERAGE(ARRAYFORMULA(VLOOKUP(SPLIT(T121,"","",TRUE,TRUE),$R$2:$S1000,2,FALSE))),0)"),0.0)</f>
        <v>0</v>
      </c>
      <c r="V121" s="123">
        <f>IFERROR(__xludf.DUMMYFUNCTION("RANK($I121, $I$2:$I1000, FALSE) + RANK($M121, Filter($M$2:$M1000, $I$2:$I1000=$I121),FALSE)+RANK($U121, Filter($U$2:$U1000, $I$2:$I1000=$I121,$M$2:$M1000=$M121),FALSE)-2"),1.0)</f>
        <v>1</v>
      </c>
      <c r="W121" s="124" t="str">
        <f t="shared" si="9"/>
        <v>Underplay</v>
      </c>
      <c r="X121" s="125" t="str">
        <f t="shared" si="10"/>
        <v/>
      </c>
      <c r="Y121" s="126">
        <f>MAXIFS(Matches!$A:$A,Matches!$C:$C,$B121)</f>
        <v>0</v>
      </c>
      <c r="Z121" s="126">
        <f t="array" ref="Z121">XLOOKUP(Y121,Quotas!$B$7:$B$10,Quotas!$A$7:$A$10,0,-1)</f>
        <v>0</v>
      </c>
      <c r="AB121" s="31"/>
      <c r="AC121" s="31">
        <f>COUNTIFS(Matches!$A:$A,"&gt;"&amp;Y121,Matches!$B:$B,$B121)</f>
        <v>0</v>
      </c>
      <c r="AD121" s="31"/>
      <c r="AE121" s="127">
        <f>SUMIF('Pool Changes'!B:B, B121, 'Pool Changes'!H:H)</f>
        <v>0</v>
      </c>
    </row>
    <row r="122">
      <c r="A122" s="104">
        <f t="shared" si="1"/>
        <v>1</v>
      </c>
      <c r="C122" s="128"/>
      <c r="D122" s="74"/>
      <c r="E122" s="1"/>
      <c r="F122" s="1"/>
      <c r="G122" s="1"/>
      <c r="H122" s="118">
        <f>COUNTIF(Entropy!$D:$D,$B122)+COUNTIF(Matches!$B:$B,$B122)+COUNTIF(Matches!$C:$C,$B122)</f>
        <v>0</v>
      </c>
      <c r="I122" s="119">
        <f>COUNTIF(Matches!$B:$B,B122)</f>
        <v>0</v>
      </c>
      <c r="J122" s="31">
        <f t="shared" si="2"/>
        <v>0</v>
      </c>
      <c r="K122" s="1" t="str">
        <f t="shared" si="3"/>
        <v>0 - 0</v>
      </c>
      <c r="L122" s="120">
        <f>COUNTIF(Entropy!$D:$D,$B122)</f>
        <v>0</v>
      </c>
      <c r="M122" s="121">
        <f t="shared" si="4"/>
        <v>0</v>
      </c>
      <c r="N122" s="121">
        <f t="shared" si="5"/>
        <v>0</v>
      </c>
      <c r="O122" s="118">
        <f>IF($J122=11,0,IF(AND($H122 &gt;=VLOOKUP('Combined Standings'!$C$2,Quotas!$A$7:$E$14,4,FALSE), $H122&lt;=VLOOKUP('Combined Standings'!$C$2,Quotas!$A$7:$E$14,5,FALSE)), 0,VLOOKUP('Combined Standings'!$C$2,Quotas!$A$7:$E$11,4,FALSE)-$H122))</f>
        <v>13</v>
      </c>
      <c r="P122" s="118">
        <f>IF($J122=11,0,IF(AND($H122 &gt;=VLOOKUP('Combined Standings'!$C$2,Quotas!$A$7:$E$14,5,FALSE), $H122&lt;=VLOOKUP('Combined Standings'!$C$2,Quotas!$A$7:$E$14,5,FALSE)), 0,VLOOKUP('Combined Standings'!$C$2,Quotas!$A$7:$E$11,5,FALSE)-$H122))</f>
        <v>15</v>
      </c>
      <c r="Q122" s="31">
        <f t="shared" si="6"/>
        <v>11</v>
      </c>
      <c r="R122" s="122" t="str">
        <f t="shared" si="7"/>
        <v/>
      </c>
      <c r="S122" s="121">
        <f t="shared" si="8"/>
        <v>0.33</v>
      </c>
      <c r="T122" s="122" t="str">
        <f>IFERROR(__xludf.DUMMYFUNCTION("JOIN("","",IFERROR(FILTER(Matches!$B:$B,B122=Matches!$C:$C),""""),IFERROR(FILTER(Matches!$C:$C,B122=Matches!$B:$B),""""))"),",,,,,,,,,,,,,,,,,,,,,,,,,,,,,,,,,,,,,,,,,,,,,,,,,,,,,,,,,,,,,,,,,,,,,,,,,,,,,,,,,,,,,,,,,,,,,,,,,,,,,,,,,,,,,,,,,,,,,,,,,,,,,,,,,,,,,,,,,,,,,,,,,,,,,,,,,,,,,,,,,,,,,,,,,,,,,,,,,,,,,,,,,,,,,,,,,,,,,,,,,,,,,,,,,,,,,,,,,,,,,,,,,,,,,,,,,,,,,,,,,,,,,,,,,,,,,,,")</f>
        <v>,,,,,,,,,,,,,,,,,,,,,,,,,,,,,,,,,,,,,,,,,,,,,,,,,,,,,,,,,,,,,,,,,,,,,,,,,,,,,,,,,,,,,,,,,,,,,,,,,,,,,,,,,,,,,,,,,,,,,,,,,,,,,,,,,,,,,,,,,,,,,,,,,,,,,,,,,,,,,,,,,,,,,,,,,,,,,,,,,,,,,,,,,,,,,,,,,,,,,,,,,,,,,,,,,,,,,,,,,,,,,,,,,,,,,,,,,,,,,,,,,,,,,,,,,,,,,,,</v>
      </c>
      <c r="U122" s="121">
        <f>IFERROR(__xludf.DUMMYFUNCTION("iferror(AVERAGE(ARRAYFORMULA(VLOOKUP(SPLIT(T122,"","",TRUE,TRUE),$R$2:$S1000,2,FALSE))),0)"),0.0)</f>
        <v>0</v>
      </c>
      <c r="V122" s="123">
        <f>IFERROR(__xludf.DUMMYFUNCTION("RANK($I122, $I$2:$I1000, FALSE) + RANK($M122, Filter($M$2:$M1000, $I$2:$I1000=$I122),FALSE)+RANK($U122, Filter($U$2:$U1000, $I$2:$I1000=$I122,$M$2:$M1000=$M122),FALSE)-2"),1.0)</f>
        <v>1</v>
      </c>
      <c r="W122" s="124" t="str">
        <f t="shared" si="9"/>
        <v>Underplay</v>
      </c>
      <c r="X122" s="125" t="str">
        <f t="shared" si="10"/>
        <v/>
      </c>
      <c r="Y122" s="126">
        <f>MAXIFS(Matches!$A:$A,Matches!$C:$C,$B122)</f>
        <v>0</v>
      </c>
      <c r="Z122" s="126">
        <f t="array" ref="Z122">XLOOKUP(Y122,Quotas!$B$7:$B$10,Quotas!$A$7:$A$10,0,-1)</f>
        <v>0</v>
      </c>
      <c r="AB122" s="31"/>
      <c r="AC122" s="31">
        <f>COUNTIFS(Matches!$A:$A,"&gt;"&amp;Y122,Matches!$B:$B,$B122)</f>
        <v>0</v>
      </c>
      <c r="AD122" s="31"/>
      <c r="AE122" s="127">
        <f>SUMIF('Pool Changes'!B:B, B122, 'Pool Changes'!H:H)</f>
        <v>0</v>
      </c>
    </row>
    <row r="123">
      <c r="A123" s="104">
        <f t="shared" si="1"/>
        <v>1</v>
      </c>
      <c r="C123" s="128"/>
      <c r="D123" s="74"/>
      <c r="E123" s="1"/>
      <c r="F123" s="1"/>
      <c r="G123" s="1"/>
      <c r="H123" s="118">
        <f>COUNTIF(Entropy!$D:$D,$B123)+COUNTIF(Matches!$B:$B,$B123)+COUNTIF(Matches!$C:$C,$B123)</f>
        <v>0</v>
      </c>
      <c r="I123" s="119">
        <f>COUNTIF(Matches!$B:$B,B123)</f>
        <v>0</v>
      </c>
      <c r="J123" s="31">
        <f t="shared" si="2"/>
        <v>0</v>
      </c>
      <c r="K123" s="1" t="str">
        <f t="shared" si="3"/>
        <v>0 - 0</v>
      </c>
      <c r="L123" s="120">
        <f>COUNTIF(Entropy!$D:$D,$B123)</f>
        <v>0</v>
      </c>
      <c r="M123" s="121">
        <f t="shared" si="4"/>
        <v>0</v>
      </c>
      <c r="N123" s="121">
        <f t="shared" si="5"/>
        <v>0</v>
      </c>
      <c r="O123" s="118">
        <f>IF($J123=11,0,IF(AND($H123 &gt;=VLOOKUP('Combined Standings'!$C$2,Quotas!$A$7:$E$14,4,FALSE), $H123&lt;=VLOOKUP('Combined Standings'!$C$2,Quotas!$A$7:$E$14,5,FALSE)), 0,VLOOKUP('Combined Standings'!$C$2,Quotas!$A$7:$E$11,4,FALSE)-$H123))</f>
        <v>13</v>
      </c>
      <c r="P123" s="118">
        <f>IF($J123=11,0,IF(AND($H123 &gt;=VLOOKUP('Combined Standings'!$C$2,Quotas!$A$7:$E$14,5,FALSE), $H123&lt;=VLOOKUP('Combined Standings'!$C$2,Quotas!$A$7:$E$14,5,FALSE)), 0,VLOOKUP('Combined Standings'!$C$2,Quotas!$A$7:$E$11,5,FALSE)-$H123))</f>
        <v>15</v>
      </c>
      <c r="Q123" s="31">
        <f t="shared" si="6"/>
        <v>11</v>
      </c>
      <c r="R123" s="122" t="str">
        <f t="shared" si="7"/>
        <v/>
      </c>
      <c r="S123" s="121">
        <f t="shared" si="8"/>
        <v>0.33</v>
      </c>
      <c r="T123" s="122" t="str">
        <f>IFERROR(__xludf.DUMMYFUNCTION("JOIN("","",IFERROR(FILTER(Matches!$B:$B,B123=Matches!$C:$C),""""),IFERROR(FILTER(Matches!$C:$C,B123=Matches!$B:$B),""""))"),",,,,,,,,,,,,,,,,,,,,,,,,,,,,,,,,,,,,,,,,,,,,,,,,,,,,,,,,,,,,,,,,,,,,,,,,,,,,,,,,,,,,,,,,,,,,,,,,,,,,,,,,,,,,,,,,,,,,,,,,,,,,,,,,,,,,,,,,,,,,,,,,,,,,,,,,,,,,,,,,,,,,,,,,,,,,,,,,,,,,,,,,,,,,,,,,,,,,,,,,,,,,,,,,,,,,,,,,,,,,,,,,,,,,,,,,,,,,,,,,,,,,,,,,,,,,,,,")</f>
        <v>,,,,,,,,,,,,,,,,,,,,,,,,,,,,,,,,,,,,,,,,,,,,,,,,,,,,,,,,,,,,,,,,,,,,,,,,,,,,,,,,,,,,,,,,,,,,,,,,,,,,,,,,,,,,,,,,,,,,,,,,,,,,,,,,,,,,,,,,,,,,,,,,,,,,,,,,,,,,,,,,,,,,,,,,,,,,,,,,,,,,,,,,,,,,,,,,,,,,,,,,,,,,,,,,,,,,,,,,,,,,,,,,,,,,,,,,,,,,,,,,,,,,,,,,,,,,,,,</v>
      </c>
      <c r="U123" s="121">
        <f>IFERROR(__xludf.DUMMYFUNCTION("iferror(AVERAGE(ARRAYFORMULA(VLOOKUP(SPLIT(T123,"","",TRUE,TRUE),$R$2:$S1000,2,FALSE))),0)"),0.0)</f>
        <v>0</v>
      </c>
      <c r="V123" s="123">
        <f>IFERROR(__xludf.DUMMYFUNCTION("RANK($I123, $I$2:$I1000, FALSE) + RANK($M123, Filter($M$2:$M1000, $I$2:$I1000=$I123),FALSE)+RANK($U123, Filter($U$2:$U1000, $I$2:$I1000=$I123,$M$2:$M1000=$M123),FALSE)-2"),1.0)</f>
        <v>1</v>
      </c>
      <c r="W123" s="124" t="str">
        <f t="shared" si="9"/>
        <v>Underplay</v>
      </c>
      <c r="X123" s="125" t="str">
        <f t="shared" si="10"/>
        <v/>
      </c>
      <c r="Y123" s="126">
        <f>MAXIFS(Matches!$A:$A,Matches!$C:$C,$B123)</f>
        <v>0</v>
      </c>
      <c r="Z123" s="126">
        <f t="array" ref="Z123">XLOOKUP(Y123,Quotas!$B$7:$B$10,Quotas!$A$7:$A$10,0,-1)</f>
        <v>0</v>
      </c>
      <c r="AB123" s="31"/>
      <c r="AC123" s="31">
        <f>COUNTIFS(Matches!$A:$A,"&gt;"&amp;Y123,Matches!$B:$B,$B123)</f>
        <v>0</v>
      </c>
      <c r="AD123" s="31"/>
      <c r="AE123" s="127">
        <f>SUMIF('Pool Changes'!B:B, B123, 'Pool Changes'!H:H)</f>
        <v>0</v>
      </c>
    </row>
    <row r="124">
      <c r="A124" s="104">
        <f t="shared" si="1"/>
        <v>1</v>
      </c>
      <c r="C124" s="128"/>
      <c r="D124" s="74"/>
      <c r="E124" s="1"/>
      <c r="F124" s="1"/>
      <c r="G124" s="1"/>
      <c r="H124" s="118">
        <f>COUNTIF(Entropy!$D:$D,$B124)+COUNTIF(Matches!$B:$B,$B124)+COUNTIF(Matches!$C:$C,$B124)</f>
        <v>0</v>
      </c>
      <c r="I124" s="119">
        <f>COUNTIF(Matches!$B:$B,B124)</f>
        <v>0</v>
      </c>
      <c r="J124" s="31">
        <f t="shared" si="2"/>
        <v>0</v>
      </c>
      <c r="K124" s="1" t="str">
        <f t="shared" si="3"/>
        <v>0 - 0</v>
      </c>
      <c r="L124" s="120">
        <f>COUNTIF(Entropy!$D:$D,$B124)</f>
        <v>0</v>
      </c>
      <c r="M124" s="121">
        <f t="shared" si="4"/>
        <v>0</v>
      </c>
      <c r="N124" s="121">
        <f t="shared" si="5"/>
        <v>0</v>
      </c>
      <c r="O124" s="118">
        <f>IF($J124=11,0,IF(AND($H124 &gt;=VLOOKUP('Combined Standings'!$C$2,Quotas!$A$7:$E$14,4,FALSE), $H124&lt;=VLOOKUP('Combined Standings'!$C$2,Quotas!$A$7:$E$14,5,FALSE)), 0,VLOOKUP('Combined Standings'!$C$2,Quotas!$A$7:$E$11,4,FALSE)-$H124))</f>
        <v>13</v>
      </c>
      <c r="P124" s="118">
        <f>IF($J124=11,0,IF(AND($H124 &gt;=VLOOKUP('Combined Standings'!$C$2,Quotas!$A$7:$E$14,5,FALSE), $H124&lt;=VLOOKUP('Combined Standings'!$C$2,Quotas!$A$7:$E$14,5,FALSE)), 0,VLOOKUP('Combined Standings'!$C$2,Quotas!$A$7:$E$11,5,FALSE)-$H124))</f>
        <v>15</v>
      </c>
      <c r="Q124" s="31">
        <f t="shared" si="6"/>
        <v>11</v>
      </c>
      <c r="R124" s="122" t="str">
        <f t="shared" si="7"/>
        <v/>
      </c>
      <c r="S124" s="121">
        <f t="shared" si="8"/>
        <v>0.33</v>
      </c>
      <c r="T124" s="122" t="str">
        <f>IFERROR(__xludf.DUMMYFUNCTION("JOIN("","",IFERROR(FILTER(Matches!$B:$B,B124=Matches!$C:$C),""""),IFERROR(FILTER(Matches!$C:$C,B124=Matches!$B:$B),""""))"),",,,,,,,,,,,,,,,,,,,,,,,,,,,,,,,,,,,,,,,,,,,,,,,,,,,,,,,,,,,,,,,,,,,,,,,,,,,,,,,,,,,,,,,,,,,,,,,,,,,,,,,,,,,,,,,,,,,,,,,,,,,,,,,,,,,,,,,,,,,,,,,,,,,,,,,,,,,,,,,,,,,,,,,,,,,,,,,,,,,,,,,,,,,,,,,,,,,,,,,,,,,,,,,,,,,,,,,,,,,,,,,,,,,,,,,,,,,,,,,,,,,,,,,,,,,,,,,")</f>
        <v>,,,,,,,,,,,,,,,,,,,,,,,,,,,,,,,,,,,,,,,,,,,,,,,,,,,,,,,,,,,,,,,,,,,,,,,,,,,,,,,,,,,,,,,,,,,,,,,,,,,,,,,,,,,,,,,,,,,,,,,,,,,,,,,,,,,,,,,,,,,,,,,,,,,,,,,,,,,,,,,,,,,,,,,,,,,,,,,,,,,,,,,,,,,,,,,,,,,,,,,,,,,,,,,,,,,,,,,,,,,,,,,,,,,,,,,,,,,,,,,,,,,,,,,,,,,,,,,</v>
      </c>
      <c r="U124" s="121">
        <f>IFERROR(__xludf.DUMMYFUNCTION("iferror(AVERAGE(ARRAYFORMULA(VLOOKUP(SPLIT(T124,"","",TRUE,TRUE),$R$2:$S1000,2,FALSE))),0)"),0.0)</f>
        <v>0</v>
      </c>
      <c r="V124" s="123">
        <f>IFERROR(__xludf.DUMMYFUNCTION("RANK($I124, $I$2:$I1000, FALSE) + RANK($M124, Filter($M$2:$M1000, $I$2:$I1000=$I124),FALSE)+RANK($U124, Filter($U$2:$U1000, $I$2:$I1000=$I124,$M$2:$M1000=$M124),FALSE)-2"),1.0)</f>
        <v>1</v>
      </c>
      <c r="W124" s="124" t="str">
        <f t="shared" si="9"/>
        <v>Underplay</v>
      </c>
      <c r="X124" s="125" t="str">
        <f t="shared" si="10"/>
        <v/>
      </c>
      <c r="Y124" s="126">
        <f>MAXIFS(Matches!$A:$A,Matches!$C:$C,$B124)</f>
        <v>0</v>
      </c>
      <c r="Z124" s="126">
        <f t="array" ref="Z124">XLOOKUP(Y124,Quotas!$B$7:$B$10,Quotas!$A$7:$A$10,0,-1)</f>
        <v>0</v>
      </c>
      <c r="AB124" s="31"/>
      <c r="AC124" s="31">
        <f>COUNTIFS(Matches!$A:$A,"&gt;"&amp;Y124,Matches!$B:$B,$B124)</f>
        <v>0</v>
      </c>
      <c r="AD124" s="31"/>
      <c r="AE124" s="127">
        <f>SUMIF('Pool Changes'!B:B, B124, 'Pool Changes'!H:H)</f>
        <v>0</v>
      </c>
    </row>
    <row r="125">
      <c r="A125" s="104">
        <f t="shared" si="1"/>
        <v>1</v>
      </c>
      <c r="C125" s="128"/>
      <c r="D125" s="74"/>
      <c r="E125" s="1"/>
      <c r="F125" s="1"/>
      <c r="G125" s="1"/>
      <c r="H125" s="118">
        <f>COUNTIF(Entropy!$D:$D,$B125)+COUNTIF(Matches!$B:$B,$B125)+COUNTIF(Matches!$C:$C,$B125)</f>
        <v>0</v>
      </c>
      <c r="I125" s="119">
        <f>COUNTIF(Matches!$B:$B,B125)</f>
        <v>0</v>
      </c>
      <c r="J125" s="31">
        <f t="shared" si="2"/>
        <v>0</v>
      </c>
      <c r="K125" s="1" t="str">
        <f t="shared" si="3"/>
        <v>0 - 0</v>
      </c>
      <c r="L125" s="120">
        <f>COUNTIF(Entropy!$D:$D,$B125)</f>
        <v>0</v>
      </c>
      <c r="M125" s="121">
        <f t="shared" si="4"/>
        <v>0</v>
      </c>
      <c r="N125" s="121">
        <f t="shared" si="5"/>
        <v>0</v>
      </c>
      <c r="O125" s="118">
        <f>IF($J125=11,0,IF(AND($H125 &gt;=VLOOKUP('Combined Standings'!$C$2,Quotas!$A$7:$E$14,4,FALSE), $H125&lt;=VLOOKUP('Combined Standings'!$C$2,Quotas!$A$7:$E$14,5,FALSE)), 0,VLOOKUP('Combined Standings'!$C$2,Quotas!$A$7:$E$11,4,FALSE)-$H125))</f>
        <v>13</v>
      </c>
      <c r="P125" s="118">
        <f>IF($J125=11,0,IF(AND($H125 &gt;=VLOOKUP('Combined Standings'!$C$2,Quotas!$A$7:$E$14,5,FALSE), $H125&lt;=VLOOKUP('Combined Standings'!$C$2,Quotas!$A$7:$E$14,5,FALSE)), 0,VLOOKUP('Combined Standings'!$C$2,Quotas!$A$7:$E$11,5,FALSE)-$H125))</f>
        <v>15</v>
      </c>
      <c r="Q125" s="31">
        <f t="shared" si="6"/>
        <v>11</v>
      </c>
      <c r="R125" s="122" t="str">
        <f t="shared" si="7"/>
        <v/>
      </c>
      <c r="S125" s="121">
        <f t="shared" si="8"/>
        <v>0.33</v>
      </c>
      <c r="T125" s="122" t="str">
        <f>IFERROR(__xludf.DUMMYFUNCTION("JOIN("","",IFERROR(FILTER(Matches!$B:$B,B125=Matches!$C:$C),""""),IFERROR(FILTER(Matches!$C:$C,B125=Matches!$B:$B),""""))"),",,,,,,,,,,,,,,,,,,,,,,,,,,,,,,,,,,,,,,,,,,,,,,,,,,,,,,,,,,,,,,,,,,,,,,,,,,,,,,,,,,,,,,,,,,,,,,,,,,,,,,,,,,,,,,,,,,,,,,,,,,,,,,,,,,,,,,,,,,,,,,,,,,,,,,,,,,,,,,,,,,,,,,,,,,,,,,,,,,,,,,,,,,,,,,,,,,,,,,,,,,,,,,,,,,,,,,,,,,,,,,,,,,,,,,,,,,,,,,,,,,,,,,,,,,,,,,,")</f>
        <v>,,,,,,,,,,,,,,,,,,,,,,,,,,,,,,,,,,,,,,,,,,,,,,,,,,,,,,,,,,,,,,,,,,,,,,,,,,,,,,,,,,,,,,,,,,,,,,,,,,,,,,,,,,,,,,,,,,,,,,,,,,,,,,,,,,,,,,,,,,,,,,,,,,,,,,,,,,,,,,,,,,,,,,,,,,,,,,,,,,,,,,,,,,,,,,,,,,,,,,,,,,,,,,,,,,,,,,,,,,,,,,,,,,,,,,,,,,,,,,,,,,,,,,,,,,,,,,,</v>
      </c>
      <c r="U125" s="121">
        <f>IFERROR(__xludf.DUMMYFUNCTION("iferror(AVERAGE(ARRAYFORMULA(VLOOKUP(SPLIT(T125,"","",TRUE,TRUE),$R$2:$S1000,2,FALSE))),0)"),0.0)</f>
        <v>0</v>
      </c>
      <c r="V125" s="123">
        <f>IFERROR(__xludf.DUMMYFUNCTION("RANK($I125, $I$2:$I1000, FALSE) + RANK($M125, Filter($M$2:$M1000, $I$2:$I1000=$I125),FALSE)+RANK($U125, Filter($U$2:$U1000, $I$2:$I1000=$I125,$M$2:$M1000=$M125),FALSE)-2"),1.0)</f>
        <v>1</v>
      </c>
      <c r="W125" s="124" t="str">
        <f t="shared" si="9"/>
        <v>Underplay</v>
      </c>
      <c r="X125" s="125" t="str">
        <f t="shared" si="10"/>
        <v/>
      </c>
      <c r="Y125" s="126">
        <f>MAXIFS(Matches!$A:$A,Matches!$C:$C,$B125)</f>
        <v>0</v>
      </c>
      <c r="Z125" s="126">
        <f t="array" ref="Z125">XLOOKUP(Y125,Quotas!$B$7:$B$10,Quotas!$A$7:$A$10,0,-1)</f>
        <v>0</v>
      </c>
      <c r="AB125" s="31"/>
      <c r="AC125" s="31">
        <f>COUNTIFS(Matches!$A:$A,"&gt;"&amp;Y125,Matches!$B:$B,$B125)</f>
        <v>0</v>
      </c>
      <c r="AD125" s="31"/>
      <c r="AE125" s="127">
        <f>SUMIF('Pool Changes'!B:B, B125, 'Pool Changes'!H:H)</f>
        <v>0</v>
      </c>
    </row>
    <row r="126">
      <c r="A126" s="104">
        <f t="shared" si="1"/>
        <v>1</v>
      </c>
      <c r="C126" s="128"/>
      <c r="D126" s="74"/>
      <c r="E126" s="1"/>
      <c r="F126" s="1"/>
      <c r="G126" s="1"/>
      <c r="H126" s="118">
        <f>COUNTIF(Entropy!$D:$D,$B126)+COUNTIF(Matches!$B:$B,$B126)+COUNTIF(Matches!$C:$C,$B126)</f>
        <v>0</v>
      </c>
      <c r="I126" s="119">
        <f>COUNTIF(Matches!$B:$B,B126)</f>
        <v>0</v>
      </c>
      <c r="J126" s="31">
        <f t="shared" si="2"/>
        <v>0</v>
      </c>
      <c r="K126" s="1" t="str">
        <f t="shared" si="3"/>
        <v>0 - 0</v>
      </c>
      <c r="L126" s="120">
        <f>COUNTIF(Entropy!$D:$D,$B126)</f>
        <v>0</v>
      </c>
      <c r="M126" s="121">
        <f t="shared" si="4"/>
        <v>0</v>
      </c>
      <c r="N126" s="121">
        <f t="shared" si="5"/>
        <v>0</v>
      </c>
      <c r="O126" s="118">
        <f>IF($J126=11,0,IF(AND($H126 &gt;=VLOOKUP('Combined Standings'!$C$2,Quotas!$A$7:$E$14,4,FALSE), $H126&lt;=VLOOKUP('Combined Standings'!$C$2,Quotas!$A$7:$E$14,5,FALSE)), 0,VLOOKUP('Combined Standings'!$C$2,Quotas!$A$7:$E$11,4,FALSE)-$H126))</f>
        <v>13</v>
      </c>
      <c r="P126" s="118">
        <f>IF($J126=11,0,IF(AND($H126 &gt;=VLOOKUP('Combined Standings'!$C$2,Quotas!$A$7:$E$14,5,FALSE), $H126&lt;=VLOOKUP('Combined Standings'!$C$2,Quotas!$A$7:$E$14,5,FALSE)), 0,VLOOKUP('Combined Standings'!$C$2,Quotas!$A$7:$E$11,5,FALSE)-$H126))</f>
        <v>15</v>
      </c>
      <c r="Q126" s="31">
        <f t="shared" si="6"/>
        <v>11</v>
      </c>
      <c r="R126" s="122" t="str">
        <f t="shared" si="7"/>
        <v/>
      </c>
      <c r="S126" s="121">
        <f t="shared" si="8"/>
        <v>0.33</v>
      </c>
      <c r="T126" s="122" t="str">
        <f>IFERROR(__xludf.DUMMYFUNCTION("JOIN("","",IFERROR(FILTER(Matches!$B:$B,B126=Matches!$C:$C),""""),IFERROR(FILTER(Matches!$C:$C,B126=Matches!$B:$B),""""))"),",,,,,,,,,,,,,,,,,,,,,,,,,,,,,,,,,,,,,,,,,,,,,,,,,,,,,,,,,,,,,,,,,,,,,,,,,,,,,,,,,,,,,,,,,,,,,,,,,,,,,,,,,,,,,,,,,,,,,,,,,,,,,,,,,,,,,,,,,,,,,,,,,,,,,,,,,,,,,,,,,,,,,,,,,,,,,,,,,,,,,,,,,,,,,,,,,,,,,,,,,,,,,,,,,,,,,,,,,,,,,,,,,,,,,,,,,,,,,,,,,,,,,,,,,,,,,,,")</f>
        <v>,,,,,,,,,,,,,,,,,,,,,,,,,,,,,,,,,,,,,,,,,,,,,,,,,,,,,,,,,,,,,,,,,,,,,,,,,,,,,,,,,,,,,,,,,,,,,,,,,,,,,,,,,,,,,,,,,,,,,,,,,,,,,,,,,,,,,,,,,,,,,,,,,,,,,,,,,,,,,,,,,,,,,,,,,,,,,,,,,,,,,,,,,,,,,,,,,,,,,,,,,,,,,,,,,,,,,,,,,,,,,,,,,,,,,,,,,,,,,,,,,,,,,,,,,,,,,,,</v>
      </c>
      <c r="U126" s="121">
        <f>IFERROR(__xludf.DUMMYFUNCTION("iferror(AVERAGE(ARRAYFORMULA(VLOOKUP(SPLIT(T126,"","",TRUE,TRUE),$R$2:$S1000,2,FALSE))),0)"),0.0)</f>
        <v>0</v>
      </c>
      <c r="V126" s="123">
        <f>IFERROR(__xludf.DUMMYFUNCTION("RANK($I126, $I$2:$I1000, FALSE) + RANK($M126, Filter($M$2:$M1000, $I$2:$I1000=$I126),FALSE)+RANK($U126, Filter($U$2:$U1000, $I$2:$I1000=$I126,$M$2:$M1000=$M126),FALSE)-2"),1.0)</f>
        <v>1</v>
      </c>
      <c r="W126" s="124" t="str">
        <f t="shared" si="9"/>
        <v>Underplay</v>
      </c>
      <c r="X126" s="125" t="str">
        <f t="shared" si="10"/>
        <v/>
      </c>
      <c r="Y126" s="126">
        <f>MAXIFS(Matches!$A:$A,Matches!$C:$C,$B126)</f>
        <v>0</v>
      </c>
      <c r="Z126" s="126">
        <f t="array" ref="Z126">XLOOKUP(Y126,Quotas!$B$7:$B$10,Quotas!$A$7:$A$10,0,-1)</f>
        <v>0</v>
      </c>
      <c r="AB126" s="31"/>
      <c r="AC126" s="31">
        <f>COUNTIFS(Matches!$A:$A,"&gt;"&amp;Y126,Matches!$B:$B,$B126)</f>
        <v>0</v>
      </c>
      <c r="AD126" s="31"/>
      <c r="AE126" s="127">
        <f>SUMIF('Pool Changes'!B:B, B126, 'Pool Changes'!H:H)</f>
        <v>0</v>
      </c>
    </row>
    <row r="127">
      <c r="A127" s="104">
        <f t="shared" si="1"/>
        <v>1</v>
      </c>
      <c r="C127" s="128"/>
      <c r="D127" s="74"/>
      <c r="E127" s="1"/>
      <c r="F127" s="1"/>
      <c r="G127" s="1"/>
      <c r="H127" s="118">
        <f>COUNTIF(Entropy!$D:$D,$B127)+COUNTIF(Matches!$B:$B,$B127)+COUNTIF(Matches!$C:$C,$B127)</f>
        <v>0</v>
      </c>
      <c r="I127" s="119">
        <f>COUNTIF(Matches!$B:$B,B127)</f>
        <v>0</v>
      </c>
      <c r="J127" s="31">
        <f t="shared" si="2"/>
        <v>0</v>
      </c>
      <c r="K127" s="1" t="str">
        <f t="shared" si="3"/>
        <v>0 - 0</v>
      </c>
      <c r="L127" s="120">
        <f>COUNTIF(Entropy!$D:$D,$B127)</f>
        <v>0</v>
      </c>
      <c r="M127" s="121">
        <f t="shared" si="4"/>
        <v>0</v>
      </c>
      <c r="N127" s="121">
        <f t="shared" si="5"/>
        <v>0</v>
      </c>
      <c r="O127" s="118">
        <f>IF($J127=11,0,IF(AND($H127 &gt;=VLOOKUP('Combined Standings'!$C$2,Quotas!$A$7:$E$14,4,FALSE), $H127&lt;=VLOOKUP('Combined Standings'!$C$2,Quotas!$A$7:$E$14,5,FALSE)), 0,VLOOKUP('Combined Standings'!$C$2,Quotas!$A$7:$E$11,4,FALSE)-$H127))</f>
        <v>13</v>
      </c>
      <c r="P127" s="118">
        <f>IF($J127=11,0,IF(AND($H127 &gt;=VLOOKUP('Combined Standings'!$C$2,Quotas!$A$7:$E$14,5,FALSE), $H127&lt;=VLOOKUP('Combined Standings'!$C$2,Quotas!$A$7:$E$14,5,FALSE)), 0,VLOOKUP('Combined Standings'!$C$2,Quotas!$A$7:$E$11,5,FALSE)-$H127))</f>
        <v>15</v>
      </c>
      <c r="Q127" s="31">
        <f t="shared" si="6"/>
        <v>11</v>
      </c>
      <c r="R127" s="122" t="str">
        <f t="shared" si="7"/>
        <v/>
      </c>
      <c r="S127" s="121">
        <f t="shared" si="8"/>
        <v>0.33</v>
      </c>
      <c r="T127" s="122" t="str">
        <f>IFERROR(__xludf.DUMMYFUNCTION("JOIN("","",IFERROR(FILTER(Matches!$B:$B,B127=Matches!$C:$C),""""),IFERROR(FILTER(Matches!$C:$C,B127=Matches!$B:$B),""""))"),",,,,,,,,,,,,,,,,,,,,,,,,,,,,,,,,,,,,,,,,,,,,,,,,,,,,,,,,,,,,,,,,,,,,,,,,,,,,,,,,,,,,,,,,,,,,,,,,,,,,,,,,,,,,,,,,,,,,,,,,,,,,,,,,,,,,,,,,,,,,,,,,,,,,,,,,,,,,,,,,,,,,,,,,,,,,,,,,,,,,,,,,,,,,,,,,,,,,,,,,,,,,,,,,,,,,,,,,,,,,,,,,,,,,,,,,,,,,,,,,,,,,,,,,,,,,,,,")</f>
        <v>,,,,,,,,,,,,,,,,,,,,,,,,,,,,,,,,,,,,,,,,,,,,,,,,,,,,,,,,,,,,,,,,,,,,,,,,,,,,,,,,,,,,,,,,,,,,,,,,,,,,,,,,,,,,,,,,,,,,,,,,,,,,,,,,,,,,,,,,,,,,,,,,,,,,,,,,,,,,,,,,,,,,,,,,,,,,,,,,,,,,,,,,,,,,,,,,,,,,,,,,,,,,,,,,,,,,,,,,,,,,,,,,,,,,,,,,,,,,,,,,,,,,,,,,,,,,,,,</v>
      </c>
      <c r="U127" s="121">
        <f>IFERROR(__xludf.DUMMYFUNCTION("iferror(AVERAGE(ARRAYFORMULA(VLOOKUP(SPLIT(T127,"","",TRUE,TRUE),$R$2:$S1000,2,FALSE))),0)"),0.0)</f>
        <v>0</v>
      </c>
      <c r="V127" s="123">
        <f>IFERROR(__xludf.DUMMYFUNCTION("RANK($I127, $I$2:$I1000, FALSE) + RANK($M127, Filter($M$2:$M1000, $I$2:$I1000=$I127),FALSE)+RANK($U127, Filter($U$2:$U1000, $I$2:$I1000=$I127,$M$2:$M1000=$M127),FALSE)-2"),1.0)</f>
        <v>1</v>
      </c>
      <c r="W127" s="124" t="str">
        <f t="shared" si="9"/>
        <v>Underplay</v>
      </c>
      <c r="X127" s="125" t="str">
        <f t="shared" si="10"/>
        <v/>
      </c>
      <c r="Y127" s="126">
        <f>MAXIFS(Matches!$A:$A,Matches!$C:$C,$B127)</f>
        <v>0</v>
      </c>
      <c r="Z127" s="126">
        <f t="array" ref="Z127">XLOOKUP(Y127,Quotas!$B$7:$B$10,Quotas!$A$7:$A$10,0,-1)</f>
        <v>0</v>
      </c>
      <c r="AB127" s="31"/>
      <c r="AC127" s="31">
        <f>COUNTIFS(Matches!$A:$A,"&gt;"&amp;Y127,Matches!$B:$B,$B127)</f>
        <v>0</v>
      </c>
      <c r="AD127" s="31"/>
      <c r="AE127" s="127">
        <f>SUMIF('Pool Changes'!B:B, B127, 'Pool Changes'!H:H)</f>
        <v>0</v>
      </c>
    </row>
    <row r="128">
      <c r="A128" s="104">
        <f t="shared" si="1"/>
        <v>1</v>
      </c>
      <c r="C128" s="128"/>
      <c r="D128" s="74"/>
      <c r="E128" s="1"/>
      <c r="F128" s="1"/>
      <c r="G128" s="1"/>
      <c r="H128" s="118">
        <f>COUNTIF(Entropy!$D:$D,$B128)+COUNTIF(Matches!$B:$B,$B128)+COUNTIF(Matches!$C:$C,$B128)</f>
        <v>0</v>
      </c>
      <c r="I128" s="119">
        <f>COUNTIF(Matches!$B:$B,B128)</f>
        <v>0</v>
      </c>
      <c r="J128" s="31">
        <f t="shared" si="2"/>
        <v>0</v>
      </c>
      <c r="K128" s="1" t="str">
        <f t="shared" si="3"/>
        <v>0 - 0</v>
      </c>
      <c r="L128" s="120">
        <f>COUNTIF(Entropy!$D:$D,$B128)</f>
        <v>0</v>
      </c>
      <c r="M128" s="121">
        <f t="shared" si="4"/>
        <v>0</v>
      </c>
      <c r="N128" s="121">
        <f t="shared" si="5"/>
        <v>0</v>
      </c>
      <c r="O128" s="118">
        <f>IF($J128=11,0,IF(AND($H128 &gt;=VLOOKUP('Combined Standings'!$C$2,Quotas!$A$7:$E$14,4,FALSE), $H128&lt;=VLOOKUP('Combined Standings'!$C$2,Quotas!$A$7:$E$14,5,FALSE)), 0,VLOOKUP('Combined Standings'!$C$2,Quotas!$A$7:$E$11,4,FALSE)-$H128))</f>
        <v>13</v>
      </c>
      <c r="P128" s="118">
        <f>IF($J128=11,0,IF(AND($H128 &gt;=VLOOKUP('Combined Standings'!$C$2,Quotas!$A$7:$E$14,5,FALSE), $H128&lt;=VLOOKUP('Combined Standings'!$C$2,Quotas!$A$7:$E$14,5,FALSE)), 0,VLOOKUP('Combined Standings'!$C$2,Quotas!$A$7:$E$11,5,FALSE)-$H128))</f>
        <v>15</v>
      </c>
      <c r="Q128" s="31">
        <f t="shared" si="6"/>
        <v>11</v>
      </c>
      <c r="R128" s="122" t="str">
        <f t="shared" si="7"/>
        <v/>
      </c>
      <c r="S128" s="121">
        <f t="shared" si="8"/>
        <v>0.33</v>
      </c>
      <c r="T128" s="122" t="str">
        <f>IFERROR(__xludf.DUMMYFUNCTION("JOIN("","",IFERROR(FILTER(Matches!$B:$B,B128=Matches!$C:$C),""""),IFERROR(FILTER(Matches!$C:$C,B128=Matches!$B:$B),""""))"),",,,,,,,,,,,,,,,,,,,,,,,,,,,,,,,,,,,,,,,,,,,,,,,,,,,,,,,,,,,,,,,,,,,,,,,,,,,,,,,,,,,,,,,,,,,,,,,,,,,,,,,,,,,,,,,,,,,,,,,,,,,,,,,,,,,,,,,,,,,,,,,,,,,,,,,,,,,,,,,,,,,,,,,,,,,,,,,,,,,,,,,,,,,,,,,,,,,,,,,,,,,,,,,,,,,,,,,,,,,,,,,,,,,,,,,,,,,,,,,,,,,,,,,,,,,,,,,")</f>
        <v>,,,,,,,,,,,,,,,,,,,,,,,,,,,,,,,,,,,,,,,,,,,,,,,,,,,,,,,,,,,,,,,,,,,,,,,,,,,,,,,,,,,,,,,,,,,,,,,,,,,,,,,,,,,,,,,,,,,,,,,,,,,,,,,,,,,,,,,,,,,,,,,,,,,,,,,,,,,,,,,,,,,,,,,,,,,,,,,,,,,,,,,,,,,,,,,,,,,,,,,,,,,,,,,,,,,,,,,,,,,,,,,,,,,,,,,,,,,,,,,,,,,,,,,,,,,,,,,</v>
      </c>
      <c r="U128" s="121">
        <f>IFERROR(__xludf.DUMMYFUNCTION("iferror(AVERAGE(ARRAYFORMULA(VLOOKUP(SPLIT(T128,"","",TRUE,TRUE),$R$2:$S1000,2,FALSE))),0)"),0.0)</f>
        <v>0</v>
      </c>
      <c r="V128" s="123">
        <f>IFERROR(__xludf.DUMMYFUNCTION("RANK($I128, $I$2:$I1000, FALSE) + RANK($M128, Filter($M$2:$M1000, $I$2:$I1000=$I128),FALSE)+RANK($U128, Filter($U$2:$U1000, $I$2:$I1000=$I128,$M$2:$M1000=$M128),FALSE)-2"),1.0)</f>
        <v>1</v>
      </c>
      <c r="W128" s="124" t="str">
        <f t="shared" si="9"/>
        <v>Underplay</v>
      </c>
      <c r="X128" s="125" t="str">
        <f t="shared" si="10"/>
        <v/>
      </c>
      <c r="Y128" s="126">
        <f>MAXIFS(Matches!$A:$A,Matches!$C:$C,$B128)</f>
        <v>0</v>
      </c>
      <c r="Z128" s="126">
        <f t="array" ref="Z128">XLOOKUP(Y128,Quotas!$B$7:$B$10,Quotas!$A$7:$A$10,0,-1)</f>
        <v>0</v>
      </c>
      <c r="AB128" s="31"/>
      <c r="AC128" s="31">
        <f>COUNTIFS(Matches!$A:$A,"&gt;"&amp;Y128,Matches!$B:$B,$B128)</f>
        <v>0</v>
      </c>
      <c r="AD128" s="31"/>
      <c r="AE128" s="127">
        <f>SUMIF('Pool Changes'!B:B, B128, 'Pool Changes'!H:H)</f>
        <v>0</v>
      </c>
    </row>
    <row r="129">
      <c r="A129" s="104">
        <f t="shared" si="1"/>
        <v>1</v>
      </c>
      <c r="C129" s="128"/>
      <c r="D129" s="74"/>
      <c r="E129" s="1"/>
      <c r="F129" s="1"/>
      <c r="G129" s="1"/>
      <c r="H129" s="118">
        <f>COUNTIF(Entropy!$D:$D,$B129)+COUNTIF(Matches!$B:$B,$B129)+COUNTIF(Matches!$C:$C,$B129)</f>
        <v>0</v>
      </c>
      <c r="I129" s="119">
        <f>COUNTIF(Matches!$B:$B,B129)</f>
        <v>0</v>
      </c>
      <c r="J129" s="31">
        <f t="shared" si="2"/>
        <v>0</v>
      </c>
      <c r="K129" s="1" t="str">
        <f t="shared" si="3"/>
        <v>0 - 0</v>
      </c>
      <c r="L129" s="120">
        <f>COUNTIF(Entropy!$D:$D,$B129)</f>
        <v>0</v>
      </c>
      <c r="M129" s="121">
        <f t="shared" si="4"/>
        <v>0</v>
      </c>
      <c r="N129" s="121">
        <f t="shared" si="5"/>
        <v>0</v>
      </c>
      <c r="O129" s="118">
        <f>IF($J129=11,0,IF(AND($H129 &gt;=VLOOKUP('Combined Standings'!$C$2,Quotas!$A$7:$E$14,4,FALSE), $H129&lt;=VLOOKUP('Combined Standings'!$C$2,Quotas!$A$7:$E$14,5,FALSE)), 0,VLOOKUP('Combined Standings'!$C$2,Quotas!$A$7:$E$11,4,FALSE)-$H129))</f>
        <v>13</v>
      </c>
      <c r="P129" s="118">
        <f>IF($J129=11,0,IF(AND($H129 &gt;=VLOOKUP('Combined Standings'!$C$2,Quotas!$A$7:$E$14,5,FALSE), $H129&lt;=VLOOKUP('Combined Standings'!$C$2,Quotas!$A$7:$E$14,5,FALSE)), 0,VLOOKUP('Combined Standings'!$C$2,Quotas!$A$7:$E$11,5,FALSE)-$H129))</f>
        <v>15</v>
      </c>
      <c r="Q129" s="31">
        <f t="shared" si="6"/>
        <v>11</v>
      </c>
      <c r="R129" s="122" t="str">
        <f t="shared" si="7"/>
        <v/>
      </c>
      <c r="S129" s="121">
        <f t="shared" si="8"/>
        <v>0.33</v>
      </c>
      <c r="T129" s="122" t="str">
        <f>IFERROR(__xludf.DUMMYFUNCTION("JOIN("","",IFERROR(FILTER(Matches!$B:$B,B129=Matches!$C:$C),""""),IFERROR(FILTER(Matches!$C:$C,B129=Matches!$B:$B),""""))"),",,,,,,,,,,,,,,,,,,,,,,,,,,,,,,,,,,,,,,,,,,,,,,,,,,,,,,,,,,,,,,,,,,,,,,,,,,,,,,,,,,,,,,,,,,,,,,,,,,,,,,,,,,,,,,,,,,,,,,,,,,,,,,,,,,,,,,,,,,,,,,,,,,,,,,,,,,,,,,,,,,,,,,,,,,,,,,,,,,,,,,,,,,,,,,,,,,,,,,,,,,,,,,,,,,,,,,,,,,,,,,,,,,,,,,,,,,,,,,,,,,,,,,,,,,,,,,,")</f>
        <v>,,,,,,,,,,,,,,,,,,,,,,,,,,,,,,,,,,,,,,,,,,,,,,,,,,,,,,,,,,,,,,,,,,,,,,,,,,,,,,,,,,,,,,,,,,,,,,,,,,,,,,,,,,,,,,,,,,,,,,,,,,,,,,,,,,,,,,,,,,,,,,,,,,,,,,,,,,,,,,,,,,,,,,,,,,,,,,,,,,,,,,,,,,,,,,,,,,,,,,,,,,,,,,,,,,,,,,,,,,,,,,,,,,,,,,,,,,,,,,,,,,,,,,,,,,,,,,,</v>
      </c>
      <c r="U129" s="121">
        <f>IFERROR(__xludf.DUMMYFUNCTION("iferror(AVERAGE(ARRAYFORMULA(VLOOKUP(SPLIT(T129,"","",TRUE,TRUE),$R$2:$S1000,2,FALSE))),0)"),0.0)</f>
        <v>0</v>
      </c>
      <c r="V129" s="123">
        <f>IFERROR(__xludf.DUMMYFUNCTION("RANK($I129, $I$2:$I1000, FALSE) + RANK($M129, Filter($M$2:$M1000, $I$2:$I1000=$I129),FALSE)+RANK($U129, Filter($U$2:$U1000, $I$2:$I1000=$I129,$M$2:$M1000=$M129),FALSE)-2"),1.0)</f>
        <v>1</v>
      </c>
      <c r="W129" s="124" t="str">
        <f t="shared" si="9"/>
        <v>Underplay</v>
      </c>
      <c r="X129" s="125" t="str">
        <f t="shared" si="10"/>
        <v/>
      </c>
      <c r="Y129" s="126">
        <f>MAXIFS(Matches!$A:$A,Matches!$C:$C,$B129)</f>
        <v>0</v>
      </c>
      <c r="Z129" s="126">
        <f t="array" ref="Z129">XLOOKUP(Y129,Quotas!$B$7:$B$10,Quotas!$A$7:$A$10,0,-1)</f>
        <v>0</v>
      </c>
      <c r="AB129" s="31"/>
      <c r="AC129" s="31">
        <f>COUNTIFS(Matches!$A:$A,"&gt;"&amp;Y129,Matches!$B:$B,$B129)</f>
        <v>0</v>
      </c>
      <c r="AD129" s="31"/>
      <c r="AE129" s="127">
        <f>SUMIF('Pool Changes'!B:B, B129, 'Pool Changes'!H:H)</f>
        <v>0</v>
      </c>
    </row>
    <row r="130">
      <c r="A130" s="104">
        <f t="shared" si="1"/>
        <v>1</v>
      </c>
      <c r="C130" s="128"/>
      <c r="D130" s="74"/>
      <c r="E130" s="1"/>
      <c r="F130" s="1"/>
      <c r="G130" s="1"/>
      <c r="H130" s="118">
        <f>COUNTIF(Entropy!$D:$D,$B130)+COUNTIF(Matches!$B:$B,$B130)+COUNTIF(Matches!$C:$C,$B130)</f>
        <v>0</v>
      </c>
      <c r="I130" s="119">
        <f>COUNTIF(Matches!$B:$B,B130)</f>
        <v>0</v>
      </c>
      <c r="J130" s="31">
        <f t="shared" si="2"/>
        <v>0</v>
      </c>
      <c r="K130" s="1" t="str">
        <f t="shared" si="3"/>
        <v>0 - 0</v>
      </c>
      <c r="L130" s="120">
        <f>COUNTIF(Entropy!$D:$D,$B130)</f>
        <v>0</v>
      </c>
      <c r="M130" s="121">
        <f t="shared" si="4"/>
        <v>0</v>
      </c>
      <c r="N130" s="121">
        <f t="shared" si="5"/>
        <v>0</v>
      </c>
      <c r="O130" s="118">
        <f>IF($J130=11,0,IF(AND($H130 &gt;=VLOOKUP('Combined Standings'!$C$2,Quotas!$A$7:$E$14,4,FALSE), $H130&lt;=VLOOKUP('Combined Standings'!$C$2,Quotas!$A$7:$E$14,5,FALSE)), 0,VLOOKUP('Combined Standings'!$C$2,Quotas!$A$7:$E$11,4,FALSE)-$H130))</f>
        <v>13</v>
      </c>
      <c r="P130" s="118">
        <f>IF($J130=11,0,IF(AND($H130 &gt;=VLOOKUP('Combined Standings'!$C$2,Quotas!$A$7:$E$14,5,FALSE), $H130&lt;=VLOOKUP('Combined Standings'!$C$2,Quotas!$A$7:$E$14,5,FALSE)), 0,VLOOKUP('Combined Standings'!$C$2,Quotas!$A$7:$E$11,5,FALSE)-$H130))</f>
        <v>15</v>
      </c>
      <c r="Q130" s="31">
        <f t="shared" si="6"/>
        <v>11</v>
      </c>
      <c r="R130" s="122" t="str">
        <f t="shared" si="7"/>
        <v/>
      </c>
      <c r="S130" s="121">
        <f t="shared" si="8"/>
        <v>0.33</v>
      </c>
      <c r="T130" s="122" t="str">
        <f>IFERROR(__xludf.DUMMYFUNCTION("JOIN("","",IFERROR(FILTER(Matches!$B:$B,B130=Matches!$C:$C),""""),IFERROR(FILTER(Matches!$C:$C,B130=Matches!$B:$B),""""))"),",,,,,,,,,,,,,,,,,,,,,,,,,,,,,,,,,,,,,,,,,,,,,,,,,,,,,,,,,,,,,,,,,,,,,,,,,,,,,,,,,,,,,,,,,,,,,,,,,,,,,,,,,,,,,,,,,,,,,,,,,,,,,,,,,,,,,,,,,,,,,,,,,,,,,,,,,,,,,,,,,,,,,,,,,,,,,,,,,,,,,,,,,,,,,,,,,,,,,,,,,,,,,,,,,,,,,,,,,,,,,,,,,,,,,,,,,,,,,,,,,,,,,,,,,,,,,,,")</f>
        <v>,,,,,,,,,,,,,,,,,,,,,,,,,,,,,,,,,,,,,,,,,,,,,,,,,,,,,,,,,,,,,,,,,,,,,,,,,,,,,,,,,,,,,,,,,,,,,,,,,,,,,,,,,,,,,,,,,,,,,,,,,,,,,,,,,,,,,,,,,,,,,,,,,,,,,,,,,,,,,,,,,,,,,,,,,,,,,,,,,,,,,,,,,,,,,,,,,,,,,,,,,,,,,,,,,,,,,,,,,,,,,,,,,,,,,,,,,,,,,,,,,,,,,,,,,,,,,,,</v>
      </c>
      <c r="U130" s="121">
        <f>IFERROR(__xludf.DUMMYFUNCTION("iferror(AVERAGE(ARRAYFORMULA(VLOOKUP(SPLIT(T130,"","",TRUE,TRUE),$R$2:$S1000,2,FALSE))),0)"),0.0)</f>
        <v>0</v>
      </c>
      <c r="V130" s="123">
        <f>IFERROR(__xludf.DUMMYFUNCTION("RANK($I130, $I$2:$I1000, FALSE) + RANK($M130, Filter($M$2:$M1000, $I$2:$I1000=$I130),FALSE)+RANK($U130, Filter($U$2:$U1000, $I$2:$I1000=$I130,$M$2:$M1000=$M130),FALSE)-2"),1.0)</f>
        <v>1</v>
      </c>
      <c r="W130" s="124" t="str">
        <f t="shared" si="9"/>
        <v>Underplay</v>
      </c>
      <c r="X130" s="125" t="str">
        <f t="shared" si="10"/>
        <v/>
      </c>
      <c r="Y130" s="126">
        <f>MAXIFS(Matches!$A:$A,Matches!$C:$C,$B130)</f>
        <v>0</v>
      </c>
      <c r="Z130" s="126">
        <f t="array" ref="Z130">XLOOKUP(Y130,Quotas!$B$7:$B$10,Quotas!$A$7:$A$10,0,-1)</f>
        <v>0</v>
      </c>
      <c r="AB130" s="31"/>
      <c r="AC130" s="31">
        <f>COUNTIFS(Matches!$A:$A,"&gt;"&amp;Y130,Matches!$B:$B,$B130)</f>
        <v>0</v>
      </c>
      <c r="AD130" s="31"/>
      <c r="AE130" s="127">
        <f>SUMIF('Pool Changes'!B:B, B130, 'Pool Changes'!H:H)</f>
        <v>0</v>
      </c>
    </row>
    <row r="131">
      <c r="A131" s="104">
        <f t="shared" si="1"/>
        <v>1</v>
      </c>
      <c r="C131" s="128"/>
      <c r="D131" s="74"/>
      <c r="E131" s="1"/>
      <c r="F131" s="1"/>
      <c r="G131" s="1"/>
      <c r="H131" s="118">
        <f>COUNTIF(Entropy!$D:$D,$B131)+COUNTIF(Matches!$B:$B,$B131)+COUNTIF(Matches!$C:$C,$B131)</f>
        <v>0</v>
      </c>
      <c r="I131" s="119">
        <f>COUNTIF(Matches!$B:$B,B131)</f>
        <v>0</v>
      </c>
      <c r="J131" s="31">
        <f t="shared" si="2"/>
        <v>0</v>
      </c>
      <c r="K131" s="1" t="str">
        <f t="shared" si="3"/>
        <v>0 - 0</v>
      </c>
      <c r="L131" s="120">
        <f>COUNTIF(Entropy!$D:$D,$B131)</f>
        <v>0</v>
      </c>
      <c r="M131" s="121">
        <f t="shared" si="4"/>
        <v>0</v>
      </c>
      <c r="N131" s="121">
        <f t="shared" si="5"/>
        <v>0</v>
      </c>
      <c r="O131" s="118">
        <f>IF($J131=11,0,IF(AND($H131 &gt;=VLOOKUP('Combined Standings'!$C$2,Quotas!$A$7:$E$14,4,FALSE), $H131&lt;=VLOOKUP('Combined Standings'!$C$2,Quotas!$A$7:$E$14,5,FALSE)), 0,VLOOKUP('Combined Standings'!$C$2,Quotas!$A$7:$E$11,4,FALSE)-$H131))</f>
        <v>13</v>
      </c>
      <c r="P131" s="118">
        <f>IF($J131=11,0,IF(AND($H131 &gt;=VLOOKUP('Combined Standings'!$C$2,Quotas!$A$7:$E$14,5,FALSE), $H131&lt;=VLOOKUP('Combined Standings'!$C$2,Quotas!$A$7:$E$14,5,FALSE)), 0,VLOOKUP('Combined Standings'!$C$2,Quotas!$A$7:$E$11,5,FALSE)-$H131))</f>
        <v>15</v>
      </c>
      <c r="Q131" s="31">
        <f t="shared" si="6"/>
        <v>11</v>
      </c>
      <c r="R131" s="122" t="str">
        <f t="shared" si="7"/>
        <v/>
      </c>
      <c r="S131" s="121">
        <f t="shared" si="8"/>
        <v>0.33</v>
      </c>
      <c r="T131" s="122" t="str">
        <f>IFERROR(__xludf.DUMMYFUNCTION("JOIN("","",IFERROR(FILTER(Matches!$B:$B,B131=Matches!$C:$C),""""),IFERROR(FILTER(Matches!$C:$C,B131=Matches!$B:$B),""""))"),",,,,,,,,,,,,,,,,,,,,,,,,,,,,,,,,,,,,,,,,,,,,,,,,,,,,,,,,,,,,,,,,,,,,,,,,,,,,,,,,,,,,,,,,,,,,,,,,,,,,,,,,,,,,,,,,,,,,,,,,,,,,,,,,,,,,,,,,,,,,,,,,,,,,,,,,,,,,,,,,,,,,,,,,,,,,,,,,,,,,,,,,,,,,,,,,,,,,,,,,,,,,,,,,,,,,,,,,,,,,,,,,,,,,,,,,,,,,,,,,,,,,,,,,,,,,,,,")</f>
        <v>,,,,,,,,,,,,,,,,,,,,,,,,,,,,,,,,,,,,,,,,,,,,,,,,,,,,,,,,,,,,,,,,,,,,,,,,,,,,,,,,,,,,,,,,,,,,,,,,,,,,,,,,,,,,,,,,,,,,,,,,,,,,,,,,,,,,,,,,,,,,,,,,,,,,,,,,,,,,,,,,,,,,,,,,,,,,,,,,,,,,,,,,,,,,,,,,,,,,,,,,,,,,,,,,,,,,,,,,,,,,,,,,,,,,,,,,,,,,,,,,,,,,,,,,,,,,,,,</v>
      </c>
      <c r="U131" s="121">
        <f>IFERROR(__xludf.DUMMYFUNCTION("iferror(AVERAGE(ARRAYFORMULA(VLOOKUP(SPLIT(T131,"","",TRUE,TRUE),$R$2:$S1000,2,FALSE))),0)"),0.0)</f>
        <v>0</v>
      </c>
      <c r="V131" s="123">
        <f>IFERROR(__xludf.DUMMYFUNCTION("RANK($I131, $I$2:$I1000, FALSE) + RANK($M131, Filter($M$2:$M1000, $I$2:$I1000=$I131),FALSE)+RANK($U131, Filter($U$2:$U1000, $I$2:$I1000=$I131,$M$2:$M1000=$M131),FALSE)-2"),1.0)</f>
        <v>1</v>
      </c>
      <c r="W131" s="124" t="str">
        <f t="shared" si="9"/>
        <v>Underplay</v>
      </c>
      <c r="X131" s="125" t="str">
        <f t="shared" si="10"/>
        <v/>
      </c>
      <c r="Y131" s="126">
        <f>MAXIFS(Matches!$A:$A,Matches!$C:$C,$B131)</f>
        <v>0</v>
      </c>
      <c r="Z131" s="126">
        <f t="array" ref="Z131">XLOOKUP(Y131,Quotas!$B$7:$B$10,Quotas!$A$7:$A$10,0,-1)</f>
        <v>0</v>
      </c>
      <c r="AB131" s="31"/>
      <c r="AC131" s="31">
        <f>COUNTIFS(Matches!$A:$A,"&gt;"&amp;Y131,Matches!$B:$B,$B131)</f>
        <v>0</v>
      </c>
      <c r="AD131" s="31"/>
      <c r="AE131" s="127">
        <f>SUMIF('Pool Changes'!B:B, B131, 'Pool Changes'!H:H)</f>
        <v>0</v>
      </c>
    </row>
    <row r="132">
      <c r="A132" s="104">
        <f t="shared" si="1"/>
        <v>1</v>
      </c>
      <c r="C132" s="128"/>
      <c r="D132" s="74"/>
      <c r="E132" s="1"/>
      <c r="F132" s="1"/>
      <c r="G132" s="1"/>
      <c r="H132" s="118">
        <f>COUNTIF(Entropy!$D:$D,$B132)+COUNTIF(Matches!$B:$B,$B132)+COUNTIF(Matches!$C:$C,$B132)</f>
        <v>0</v>
      </c>
      <c r="I132" s="119">
        <f>COUNTIF(Matches!$B:$B,B132)</f>
        <v>0</v>
      </c>
      <c r="J132" s="31">
        <f t="shared" si="2"/>
        <v>0</v>
      </c>
      <c r="K132" s="1" t="str">
        <f t="shared" si="3"/>
        <v>0 - 0</v>
      </c>
      <c r="L132" s="120">
        <f>COUNTIF(Entropy!$D:$D,$B132)</f>
        <v>0</v>
      </c>
      <c r="M132" s="121">
        <f t="shared" si="4"/>
        <v>0</v>
      </c>
      <c r="N132" s="121">
        <f t="shared" si="5"/>
        <v>0</v>
      </c>
      <c r="O132" s="118">
        <f>IF($J132=11,0,IF(AND($H132 &gt;=VLOOKUP('Combined Standings'!$C$2,Quotas!$A$7:$E$14,4,FALSE), $H132&lt;=VLOOKUP('Combined Standings'!$C$2,Quotas!$A$7:$E$14,5,FALSE)), 0,VLOOKUP('Combined Standings'!$C$2,Quotas!$A$7:$E$11,4,FALSE)-$H132))</f>
        <v>13</v>
      </c>
      <c r="P132" s="118">
        <f>IF($J132=11,0,IF(AND($H132 &gt;=VLOOKUP('Combined Standings'!$C$2,Quotas!$A$7:$E$14,5,FALSE), $H132&lt;=VLOOKUP('Combined Standings'!$C$2,Quotas!$A$7:$E$14,5,FALSE)), 0,VLOOKUP('Combined Standings'!$C$2,Quotas!$A$7:$E$11,5,FALSE)-$H132))</f>
        <v>15</v>
      </c>
      <c r="Q132" s="31">
        <f t="shared" si="6"/>
        <v>11</v>
      </c>
      <c r="R132" s="122" t="str">
        <f t="shared" si="7"/>
        <v/>
      </c>
      <c r="S132" s="121">
        <f t="shared" si="8"/>
        <v>0.33</v>
      </c>
      <c r="T132" s="122" t="str">
        <f>IFERROR(__xludf.DUMMYFUNCTION("JOIN("","",IFERROR(FILTER(Matches!$B:$B,B132=Matches!$C:$C),""""),IFERROR(FILTER(Matches!$C:$C,B132=Matches!$B:$B),""""))"),",,,,,,,,,,,,,,,,,,,,,,,,,,,,,,,,,,,,,,,,,,,,,,,,,,,,,,,,,,,,,,,,,,,,,,,,,,,,,,,,,,,,,,,,,,,,,,,,,,,,,,,,,,,,,,,,,,,,,,,,,,,,,,,,,,,,,,,,,,,,,,,,,,,,,,,,,,,,,,,,,,,,,,,,,,,,,,,,,,,,,,,,,,,,,,,,,,,,,,,,,,,,,,,,,,,,,,,,,,,,,,,,,,,,,,,,,,,,,,,,,,,,,,,,,,,,,,,")</f>
        <v>,,,,,,,,,,,,,,,,,,,,,,,,,,,,,,,,,,,,,,,,,,,,,,,,,,,,,,,,,,,,,,,,,,,,,,,,,,,,,,,,,,,,,,,,,,,,,,,,,,,,,,,,,,,,,,,,,,,,,,,,,,,,,,,,,,,,,,,,,,,,,,,,,,,,,,,,,,,,,,,,,,,,,,,,,,,,,,,,,,,,,,,,,,,,,,,,,,,,,,,,,,,,,,,,,,,,,,,,,,,,,,,,,,,,,,,,,,,,,,,,,,,,,,,,,,,,,,,</v>
      </c>
      <c r="U132" s="121">
        <f>IFERROR(__xludf.DUMMYFUNCTION("iferror(AVERAGE(ARRAYFORMULA(VLOOKUP(SPLIT(T132,"","",TRUE,TRUE),$R$2:$S1000,2,FALSE))),0)"),0.0)</f>
        <v>0</v>
      </c>
      <c r="V132" s="123">
        <f>IFERROR(__xludf.DUMMYFUNCTION("RANK($I132, $I$2:$I1000, FALSE) + RANK($M132, Filter($M$2:$M1000, $I$2:$I1000=$I132),FALSE)+RANK($U132, Filter($U$2:$U1000, $I$2:$I1000=$I132,$M$2:$M1000=$M132),FALSE)-2"),1.0)</f>
        <v>1</v>
      </c>
      <c r="W132" s="124" t="str">
        <f t="shared" si="9"/>
        <v>Underplay</v>
      </c>
      <c r="X132" s="125" t="str">
        <f t="shared" si="10"/>
        <v/>
      </c>
      <c r="Y132" s="126">
        <f>MAXIFS(Matches!$A:$A,Matches!$C:$C,$B132)</f>
        <v>0</v>
      </c>
      <c r="Z132" s="126">
        <f t="array" ref="Z132">XLOOKUP(Y132,Quotas!$B$7:$B$10,Quotas!$A$7:$A$10,0,-1)</f>
        <v>0</v>
      </c>
      <c r="AB132" s="31"/>
      <c r="AC132" s="31">
        <f>COUNTIFS(Matches!$A:$A,"&gt;"&amp;Y132,Matches!$B:$B,$B132)</f>
        <v>0</v>
      </c>
      <c r="AD132" s="31"/>
      <c r="AE132" s="127">
        <f>SUMIF('Pool Changes'!B:B, B132, 'Pool Changes'!H:H)</f>
        <v>0</v>
      </c>
    </row>
    <row r="133">
      <c r="A133" s="104">
        <f t="shared" si="1"/>
        <v>1</v>
      </c>
      <c r="C133" s="128"/>
      <c r="D133" s="74"/>
      <c r="E133" s="1"/>
      <c r="F133" s="1"/>
      <c r="G133" s="1"/>
      <c r="H133" s="118">
        <f>COUNTIF(Entropy!$D:$D,$B133)+COUNTIF(Matches!$B:$B,$B133)+COUNTIF(Matches!$C:$C,$B133)</f>
        <v>0</v>
      </c>
      <c r="I133" s="119">
        <f>COUNTIF(Matches!$B:$B,B133)</f>
        <v>0</v>
      </c>
      <c r="J133" s="31">
        <f t="shared" si="2"/>
        <v>0</v>
      </c>
      <c r="K133" s="1" t="str">
        <f t="shared" si="3"/>
        <v>0 - 0</v>
      </c>
      <c r="L133" s="120">
        <f>COUNTIF(Entropy!$D:$D,$B133)</f>
        <v>0</v>
      </c>
      <c r="M133" s="121">
        <f t="shared" si="4"/>
        <v>0</v>
      </c>
      <c r="N133" s="121">
        <f t="shared" si="5"/>
        <v>0</v>
      </c>
      <c r="O133" s="118">
        <f>IF($J133=11,0,IF(AND($H133 &gt;=VLOOKUP('Combined Standings'!$C$2,Quotas!$A$7:$E$14,4,FALSE), $H133&lt;=VLOOKUP('Combined Standings'!$C$2,Quotas!$A$7:$E$14,5,FALSE)), 0,VLOOKUP('Combined Standings'!$C$2,Quotas!$A$7:$E$11,4,FALSE)-$H133))</f>
        <v>13</v>
      </c>
      <c r="P133" s="118">
        <f>IF($J133=11,0,IF(AND($H133 &gt;=VLOOKUP('Combined Standings'!$C$2,Quotas!$A$7:$E$14,5,FALSE), $H133&lt;=VLOOKUP('Combined Standings'!$C$2,Quotas!$A$7:$E$14,5,FALSE)), 0,VLOOKUP('Combined Standings'!$C$2,Quotas!$A$7:$E$11,5,FALSE)-$H133))</f>
        <v>15</v>
      </c>
      <c r="Q133" s="31">
        <f t="shared" si="6"/>
        <v>11</v>
      </c>
      <c r="R133" s="122" t="str">
        <f t="shared" si="7"/>
        <v/>
      </c>
      <c r="S133" s="121">
        <f t="shared" si="8"/>
        <v>0.33</v>
      </c>
      <c r="T133" s="122" t="str">
        <f>IFERROR(__xludf.DUMMYFUNCTION("JOIN("","",IFERROR(FILTER(Matches!$B:$B,B133=Matches!$C:$C),""""),IFERROR(FILTER(Matches!$C:$C,B133=Matches!$B:$B),""""))"),",,,,,,,,,,,,,,,,,,,,,,,,,,,,,,,,,,,,,,,,,,,,,,,,,,,,,,,,,,,,,,,,,,,,,,,,,,,,,,,,,,,,,,,,,,,,,,,,,,,,,,,,,,,,,,,,,,,,,,,,,,,,,,,,,,,,,,,,,,,,,,,,,,,,,,,,,,,,,,,,,,,,,,,,,,,,,,,,,,,,,,,,,,,,,,,,,,,,,,,,,,,,,,,,,,,,,,,,,,,,,,,,,,,,,,,,,,,,,,,,,,,,,,,,,,,,,,,")</f>
        <v>,,,,,,,,,,,,,,,,,,,,,,,,,,,,,,,,,,,,,,,,,,,,,,,,,,,,,,,,,,,,,,,,,,,,,,,,,,,,,,,,,,,,,,,,,,,,,,,,,,,,,,,,,,,,,,,,,,,,,,,,,,,,,,,,,,,,,,,,,,,,,,,,,,,,,,,,,,,,,,,,,,,,,,,,,,,,,,,,,,,,,,,,,,,,,,,,,,,,,,,,,,,,,,,,,,,,,,,,,,,,,,,,,,,,,,,,,,,,,,,,,,,,,,,,,,,,,,,</v>
      </c>
      <c r="U133" s="121">
        <f>IFERROR(__xludf.DUMMYFUNCTION("iferror(AVERAGE(ARRAYFORMULA(VLOOKUP(SPLIT(T133,"","",TRUE,TRUE),$R$2:$S1000,2,FALSE))),0)"),0.0)</f>
        <v>0</v>
      </c>
      <c r="V133" s="123">
        <f>IFERROR(__xludf.DUMMYFUNCTION("RANK($I133, $I$2:$I1000, FALSE) + RANK($M133, Filter($M$2:$M1000, $I$2:$I1000=$I133),FALSE)+RANK($U133, Filter($U$2:$U1000, $I$2:$I1000=$I133,$M$2:$M1000=$M133),FALSE)-2"),1.0)</f>
        <v>1</v>
      </c>
      <c r="W133" s="124" t="str">
        <f t="shared" si="9"/>
        <v>Underplay</v>
      </c>
      <c r="X133" s="125" t="str">
        <f t="shared" si="10"/>
        <v/>
      </c>
      <c r="Y133" s="126">
        <f>MAXIFS(Matches!$A:$A,Matches!$C:$C,$B133)</f>
        <v>0</v>
      </c>
      <c r="Z133" s="126">
        <f t="array" ref="Z133">XLOOKUP(Y133,Quotas!$B$7:$B$10,Quotas!$A$7:$A$10,0,-1)</f>
        <v>0</v>
      </c>
      <c r="AB133" s="31"/>
      <c r="AC133" s="31">
        <f>COUNTIFS(Matches!$A:$A,"&gt;"&amp;Y133,Matches!$B:$B,$B133)</f>
        <v>0</v>
      </c>
      <c r="AD133" s="31"/>
      <c r="AE133" s="127">
        <f>SUMIF('Pool Changes'!B:B, B133, 'Pool Changes'!H:H)</f>
        <v>0</v>
      </c>
    </row>
    <row r="134">
      <c r="A134" s="104">
        <f t="shared" si="1"/>
        <v>1</v>
      </c>
      <c r="C134" s="128"/>
      <c r="D134" s="74"/>
      <c r="E134" s="1"/>
      <c r="F134" s="1"/>
      <c r="G134" s="1"/>
      <c r="H134" s="118">
        <f>COUNTIF(Entropy!$D:$D,$B134)+COUNTIF(Matches!$B:$B,$B134)+COUNTIF(Matches!$C:$C,$B134)</f>
        <v>0</v>
      </c>
      <c r="I134" s="119">
        <f>COUNTIF(Matches!$B:$B,B134)</f>
        <v>0</v>
      </c>
      <c r="J134" s="31">
        <f t="shared" si="2"/>
        <v>0</v>
      </c>
      <c r="K134" s="1" t="str">
        <f t="shared" si="3"/>
        <v>0 - 0</v>
      </c>
      <c r="L134" s="120">
        <f>COUNTIF(Entropy!$D:$D,$B134)</f>
        <v>0</v>
      </c>
      <c r="M134" s="121">
        <f t="shared" si="4"/>
        <v>0</v>
      </c>
      <c r="N134" s="121">
        <f t="shared" si="5"/>
        <v>0</v>
      </c>
      <c r="O134" s="118">
        <f>IF($J134=11,0,IF(AND($H134 &gt;=VLOOKUP('Combined Standings'!$C$2,Quotas!$A$7:$E$14,4,FALSE), $H134&lt;=VLOOKUP('Combined Standings'!$C$2,Quotas!$A$7:$E$14,5,FALSE)), 0,VLOOKUP('Combined Standings'!$C$2,Quotas!$A$7:$E$11,4,FALSE)-$H134))</f>
        <v>13</v>
      </c>
      <c r="P134" s="118">
        <f>IF($J134=11,0,IF(AND($H134 &gt;=VLOOKUP('Combined Standings'!$C$2,Quotas!$A$7:$E$14,5,FALSE), $H134&lt;=VLOOKUP('Combined Standings'!$C$2,Quotas!$A$7:$E$14,5,FALSE)), 0,VLOOKUP('Combined Standings'!$C$2,Quotas!$A$7:$E$11,5,FALSE)-$H134))</f>
        <v>15</v>
      </c>
      <c r="Q134" s="31">
        <f t="shared" si="6"/>
        <v>11</v>
      </c>
      <c r="R134" s="122" t="str">
        <f t="shared" si="7"/>
        <v/>
      </c>
      <c r="S134" s="121">
        <f t="shared" si="8"/>
        <v>0.33</v>
      </c>
      <c r="T134" s="122" t="str">
        <f>IFERROR(__xludf.DUMMYFUNCTION("JOIN("","",IFERROR(FILTER(Matches!$B:$B,B134=Matches!$C:$C),""""),IFERROR(FILTER(Matches!$C:$C,B134=Matches!$B:$B),""""))"),",,,,,,,,,,,,,,,,,,,,,,,,,,,,,,,,,,,,,,,,,,,,,,,,,,,,,,,,,,,,,,,,,,,,,,,,,,,,,,,,,,,,,,,,,,,,,,,,,,,,,,,,,,,,,,,,,,,,,,,,,,,,,,,,,,,,,,,,,,,,,,,,,,,,,,,,,,,,,,,,,,,,,,,,,,,,,,,,,,,,,,,,,,,,,,,,,,,,,,,,,,,,,,,,,,,,,,,,,,,,,,,,,,,,,,,,,,,,,,,,,,,,,,,,,,,,,,,")</f>
        <v>,,,,,,,,,,,,,,,,,,,,,,,,,,,,,,,,,,,,,,,,,,,,,,,,,,,,,,,,,,,,,,,,,,,,,,,,,,,,,,,,,,,,,,,,,,,,,,,,,,,,,,,,,,,,,,,,,,,,,,,,,,,,,,,,,,,,,,,,,,,,,,,,,,,,,,,,,,,,,,,,,,,,,,,,,,,,,,,,,,,,,,,,,,,,,,,,,,,,,,,,,,,,,,,,,,,,,,,,,,,,,,,,,,,,,,,,,,,,,,,,,,,,,,,,,,,,,,,</v>
      </c>
      <c r="U134" s="121">
        <f>IFERROR(__xludf.DUMMYFUNCTION("iferror(AVERAGE(ARRAYFORMULA(VLOOKUP(SPLIT(T134,"","",TRUE,TRUE),$R$2:$S1000,2,FALSE))),0)"),0.0)</f>
        <v>0</v>
      </c>
      <c r="V134" s="123">
        <f>IFERROR(__xludf.DUMMYFUNCTION("RANK($I134, $I$2:$I1000, FALSE) + RANK($M134, Filter($M$2:$M1000, $I$2:$I1000=$I134),FALSE)+RANK($U134, Filter($U$2:$U1000, $I$2:$I1000=$I134,$M$2:$M1000=$M134),FALSE)-2"),1.0)</f>
        <v>1</v>
      </c>
      <c r="W134" s="124" t="str">
        <f t="shared" si="9"/>
        <v>Underplay</v>
      </c>
      <c r="X134" s="125" t="str">
        <f t="shared" si="10"/>
        <v/>
      </c>
      <c r="Y134" s="126">
        <f>MAXIFS(Matches!$A:$A,Matches!$C:$C,$B134)</f>
        <v>0</v>
      </c>
      <c r="Z134" s="126">
        <f t="array" ref="Z134">XLOOKUP(Y134,Quotas!$B$7:$B$10,Quotas!$A$7:$A$10,0,-1)</f>
        <v>0</v>
      </c>
      <c r="AB134" s="31"/>
      <c r="AC134" s="31">
        <f>COUNTIFS(Matches!$A:$A,"&gt;"&amp;Y134,Matches!$B:$B,$B134)</f>
        <v>0</v>
      </c>
      <c r="AD134" s="31"/>
      <c r="AE134" s="127">
        <f>SUMIF('Pool Changes'!B:B, B134, 'Pool Changes'!H:H)</f>
        <v>0</v>
      </c>
    </row>
    <row r="135">
      <c r="A135" s="104">
        <f t="shared" si="1"/>
        <v>1</v>
      </c>
      <c r="C135" s="128"/>
      <c r="D135" s="74"/>
      <c r="E135" s="1"/>
      <c r="F135" s="1"/>
      <c r="G135" s="1"/>
      <c r="H135" s="118">
        <f>COUNTIF(Entropy!$D:$D,$B135)+COUNTIF(Matches!$B:$B,$B135)+COUNTIF(Matches!$C:$C,$B135)</f>
        <v>0</v>
      </c>
      <c r="I135" s="119">
        <f>COUNTIF(Matches!$B:$B,B135)</f>
        <v>0</v>
      </c>
      <c r="J135" s="31">
        <f t="shared" si="2"/>
        <v>0</v>
      </c>
      <c r="K135" s="1" t="str">
        <f t="shared" si="3"/>
        <v>0 - 0</v>
      </c>
      <c r="L135" s="120">
        <f>COUNTIF(Entropy!$D:$D,$B135)</f>
        <v>0</v>
      </c>
      <c r="M135" s="121">
        <f t="shared" si="4"/>
        <v>0</v>
      </c>
      <c r="N135" s="121">
        <f t="shared" si="5"/>
        <v>0</v>
      </c>
      <c r="O135" s="118">
        <f>IF($J135=11,0,IF(AND($H135 &gt;=VLOOKUP('Combined Standings'!$C$2,Quotas!$A$7:$E$14,4,FALSE), $H135&lt;=VLOOKUP('Combined Standings'!$C$2,Quotas!$A$7:$E$14,5,FALSE)), 0,VLOOKUP('Combined Standings'!$C$2,Quotas!$A$7:$E$11,4,FALSE)-$H135))</f>
        <v>13</v>
      </c>
      <c r="P135" s="118">
        <f>IF($J135=11,0,IF(AND($H135 &gt;=VLOOKUP('Combined Standings'!$C$2,Quotas!$A$7:$E$14,5,FALSE), $H135&lt;=VLOOKUP('Combined Standings'!$C$2,Quotas!$A$7:$E$14,5,FALSE)), 0,VLOOKUP('Combined Standings'!$C$2,Quotas!$A$7:$E$11,5,FALSE)-$H135))</f>
        <v>15</v>
      </c>
      <c r="Q135" s="31">
        <f t="shared" si="6"/>
        <v>11</v>
      </c>
      <c r="R135" s="122" t="str">
        <f t="shared" si="7"/>
        <v/>
      </c>
      <c r="S135" s="121">
        <f t="shared" si="8"/>
        <v>0.33</v>
      </c>
      <c r="T135" s="122" t="str">
        <f>IFERROR(__xludf.DUMMYFUNCTION("JOIN("","",IFERROR(FILTER(Matches!$B:$B,B135=Matches!$C:$C),""""),IFERROR(FILTER(Matches!$C:$C,B135=Matches!$B:$B),""""))"),",,,,,,,,,,,,,,,,,,,,,,,,,,,,,,,,,,,,,,,,,,,,,,,,,,,,,,,,,,,,,,,,,,,,,,,,,,,,,,,,,,,,,,,,,,,,,,,,,,,,,,,,,,,,,,,,,,,,,,,,,,,,,,,,,,,,,,,,,,,,,,,,,,,,,,,,,,,,,,,,,,,,,,,,,,,,,,,,,,,,,,,,,,,,,,,,,,,,,,,,,,,,,,,,,,,,,,,,,,,,,,,,,,,,,,,,,,,,,,,,,,,,,,,,,,,,,,,")</f>
        <v>,,,,,,,,,,,,,,,,,,,,,,,,,,,,,,,,,,,,,,,,,,,,,,,,,,,,,,,,,,,,,,,,,,,,,,,,,,,,,,,,,,,,,,,,,,,,,,,,,,,,,,,,,,,,,,,,,,,,,,,,,,,,,,,,,,,,,,,,,,,,,,,,,,,,,,,,,,,,,,,,,,,,,,,,,,,,,,,,,,,,,,,,,,,,,,,,,,,,,,,,,,,,,,,,,,,,,,,,,,,,,,,,,,,,,,,,,,,,,,,,,,,,,,,,,,,,,,,</v>
      </c>
      <c r="U135" s="121">
        <f>IFERROR(__xludf.DUMMYFUNCTION("iferror(AVERAGE(ARRAYFORMULA(VLOOKUP(SPLIT(T135,"","",TRUE,TRUE),$R$2:$S1000,2,FALSE))),0)"),0.0)</f>
        <v>0</v>
      </c>
      <c r="V135" s="123">
        <f>IFERROR(__xludf.DUMMYFUNCTION("RANK($I135, $I$2:$I1000, FALSE) + RANK($M135, Filter($M$2:$M1000, $I$2:$I1000=$I135),FALSE)+RANK($U135, Filter($U$2:$U1000, $I$2:$I1000=$I135,$M$2:$M1000=$M135),FALSE)-2"),1.0)</f>
        <v>1</v>
      </c>
      <c r="W135" s="124" t="str">
        <f t="shared" si="9"/>
        <v>Underplay</v>
      </c>
      <c r="X135" s="125" t="str">
        <f t="shared" si="10"/>
        <v/>
      </c>
      <c r="Y135" s="126">
        <f>MAXIFS(Matches!$A:$A,Matches!$C:$C,$B135)</f>
        <v>0</v>
      </c>
      <c r="Z135" s="126">
        <f t="array" ref="Z135">XLOOKUP(Y135,Quotas!$B$7:$B$10,Quotas!$A$7:$A$10,0,-1)</f>
        <v>0</v>
      </c>
      <c r="AB135" s="31"/>
      <c r="AC135" s="31">
        <f>COUNTIFS(Matches!$A:$A,"&gt;"&amp;Y135,Matches!$B:$B,$B135)</f>
        <v>0</v>
      </c>
      <c r="AD135" s="31"/>
      <c r="AE135" s="127">
        <f>SUMIF('Pool Changes'!B:B, B135, 'Pool Changes'!H:H)</f>
        <v>0</v>
      </c>
    </row>
    <row r="136">
      <c r="A136" s="104">
        <f t="shared" si="1"/>
        <v>1</v>
      </c>
      <c r="C136" s="128"/>
      <c r="D136" s="74"/>
      <c r="E136" s="1"/>
      <c r="F136" s="1"/>
      <c r="G136" s="1"/>
      <c r="H136" s="118">
        <f>COUNTIF(Entropy!$D:$D,$B136)+COUNTIF(Matches!$B:$B,$B136)+COUNTIF(Matches!$C:$C,$B136)</f>
        <v>0</v>
      </c>
      <c r="I136" s="119">
        <f>COUNTIF(Matches!$B:$B,B136)</f>
        <v>0</v>
      </c>
      <c r="J136" s="31">
        <f t="shared" si="2"/>
        <v>0</v>
      </c>
      <c r="K136" s="1" t="str">
        <f t="shared" si="3"/>
        <v>0 - 0</v>
      </c>
      <c r="L136" s="120">
        <f>COUNTIF(Entropy!$D:$D,$B136)</f>
        <v>0</v>
      </c>
      <c r="M136" s="121">
        <f t="shared" si="4"/>
        <v>0</v>
      </c>
      <c r="N136" s="121">
        <f t="shared" si="5"/>
        <v>0</v>
      </c>
      <c r="O136" s="118">
        <f>IF($J136=11,0,IF(AND($H136 &gt;=VLOOKUP('Combined Standings'!$C$2,Quotas!$A$7:$E$14,4,FALSE), $H136&lt;=VLOOKUP('Combined Standings'!$C$2,Quotas!$A$7:$E$14,5,FALSE)), 0,VLOOKUP('Combined Standings'!$C$2,Quotas!$A$7:$E$11,4,FALSE)-$H136))</f>
        <v>13</v>
      </c>
      <c r="P136" s="118">
        <f>IF($J136=11,0,IF(AND($H136 &gt;=VLOOKUP('Combined Standings'!$C$2,Quotas!$A$7:$E$14,5,FALSE), $H136&lt;=VLOOKUP('Combined Standings'!$C$2,Quotas!$A$7:$E$14,5,FALSE)), 0,VLOOKUP('Combined Standings'!$C$2,Quotas!$A$7:$E$11,5,FALSE)-$H136))</f>
        <v>15</v>
      </c>
      <c r="Q136" s="31">
        <f t="shared" si="6"/>
        <v>11</v>
      </c>
      <c r="R136" s="122" t="str">
        <f t="shared" si="7"/>
        <v/>
      </c>
      <c r="S136" s="121">
        <f t="shared" si="8"/>
        <v>0.33</v>
      </c>
      <c r="T136" s="122" t="str">
        <f>IFERROR(__xludf.DUMMYFUNCTION("JOIN("","",IFERROR(FILTER(Matches!$B:$B,B136=Matches!$C:$C),""""),IFERROR(FILTER(Matches!$C:$C,B136=Matches!$B:$B),""""))"),",,,,,,,,,,,,,,,,,,,,,,,,,,,,,,,,,,,,,,,,,,,,,,,,,,,,,,,,,,,,,,,,,,,,,,,,,,,,,,,,,,,,,,,,,,,,,,,,,,,,,,,,,,,,,,,,,,,,,,,,,,,,,,,,,,,,,,,,,,,,,,,,,,,,,,,,,,,,,,,,,,,,,,,,,,,,,,,,,,,,,,,,,,,,,,,,,,,,,,,,,,,,,,,,,,,,,,,,,,,,,,,,,,,,,,,,,,,,,,,,,,,,,,,,,,,,,,,")</f>
        <v>,,,,,,,,,,,,,,,,,,,,,,,,,,,,,,,,,,,,,,,,,,,,,,,,,,,,,,,,,,,,,,,,,,,,,,,,,,,,,,,,,,,,,,,,,,,,,,,,,,,,,,,,,,,,,,,,,,,,,,,,,,,,,,,,,,,,,,,,,,,,,,,,,,,,,,,,,,,,,,,,,,,,,,,,,,,,,,,,,,,,,,,,,,,,,,,,,,,,,,,,,,,,,,,,,,,,,,,,,,,,,,,,,,,,,,,,,,,,,,,,,,,,,,,,,,,,,,,</v>
      </c>
      <c r="U136" s="121">
        <f>IFERROR(__xludf.DUMMYFUNCTION("iferror(AVERAGE(ARRAYFORMULA(VLOOKUP(SPLIT(T136,"","",TRUE,TRUE),$R$2:$S1000,2,FALSE))),0)"),0.0)</f>
        <v>0</v>
      </c>
      <c r="V136" s="123">
        <f>IFERROR(__xludf.DUMMYFUNCTION("RANK($I136, $I$2:$I1000, FALSE) + RANK($M136, Filter($M$2:$M1000, $I$2:$I1000=$I136),FALSE)+RANK($U136, Filter($U$2:$U1000, $I$2:$I1000=$I136,$M$2:$M1000=$M136),FALSE)-2"),1.0)</f>
        <v>1</v>
      </c>
      <c r="W136" s="124" t="str">
        <f t="shared" si="9"/>
        <v>Underplay</v>
      </c>
      <c r="X136" s="125" t="str">
        <f t="shared" si="10"/>
        <v/>
      </c>
      <c r="Y136" s="126">
        <f>MAXIFS(Matches!$A:$A,Matches!$C:$C,$B136)</f>
        <v>0</v>
      </c>
      <c r="Z136" s="126">
        <f t="array" ref="Z136">XLOOKUP(Y136,Quotas!$B$7:$B$10,Quotas!$A$7:$A$10,0,-1)</f>
        <v>0</v>
      </c>
      <c r="AB136" s="31"/>
      <c r="AC136" s="31">
        <f>COUNTIFS(Matches!$A:$A,"&gt;"&amp;Y136,Matches!$B:$B,$B136)</f>
        <v>0</v>
      </c>
      <c r="AD136" s="31"/>
      <c r="AE136" s="127">
        <f>SUMIF('Pool Changes'!B:B, B136, 'Pool Changes'!H:H)</f>
        <v>0</v>
      </c>
    </row>
    <row r="137">
      <c r="A137" s="104">
        <f t="shared" si="1"/>
        <v>1</v>
      </c>
      <c r="C137" s="128"/>
      <c r="D137" s="74"/>
      <c r="E137" s="1"/>
      <c r="F137" s="1"/>
      <c r="G137" s="1"/>
      <c r="H137" s="118">
        <f>COUNTIF(Entropy!$D:$D,$B137)+COUNTIF(Matches!$B:$B,$B137)+COUNTIF(Matches!$C:$C,$B137)</f>
        <v>0</v>
      </c>
      <c r="I137" s="119">
        <f>COUNTIF(Matches!$B:$B,B137)</f>
        <v>0</v>
      </c>
      <c r="J137" s="31">
        <f t="shared" si="2"/>
        <v>0</v>
      </c>
      <c r="K137" s="1" t="str">
        <f t="shared" si="3"/>
        <v>0 - 0</v>
      </c>
      <c r="L137" s="120">
        <f>COUNTIF(Entropy!$D:$D,$B137)</f>
        <v>0</v>
      </c>
      <c r="M137" s="121">
        <f t="shared" si="4"/>
        <v>0</v>
      </c>
      <c r="N137" s="121">
        <f t="shared" si="5"/>
        <v>0</v>
      </c>
      <c r="O137" s="118">
        <f>IF($J137=11,0,IF(AND($H137 &gt;=VLOOKUP('Combined Standings'!$C$2,Quotas!$A$7:$E$14,4,FALSE), $H137&lt;=VLOOKUP('Combined Standings'!$C$2,Quotas!$A$7:$E$14,5,FALSE)), 0,VLOOKUP('Combined Standings'!$C$2,Quotas!$A$7:$E$11,4,FALSE)-$H137))</f>
        <v>13</v>
      </c>
      <c r="P137" s="118">
        <f>IF($J137=11,0,IF(AND($H137 &gt;=VLOOKUP('Combined Standings'!$C$2,Quotas!$A$7:$E$14,5,FALSE), $H137&lt;=VLOOKUP('Combined Standings'!$C$2,Quotas!$A$7:$E$14,5,FALSE)), 0,VLOOKUP('Combined Standings'!$C$2,Quotas!$A$7:$E$11,5,FALSE)-$H137))</f>
        <v>15</v>
      </c>
      <c r="Q137" s="31">
        <f t="shared" si="6"/>
        <v>11</v>
      </c>
      <c r="R137" s="122" t="str">
        <f t="shared" si="7"/>
        <v/>
      </c>
      <c r="S137" s="121">
        <f t="shared" si="8"/>
        <v>0.33</v>
      </c>
      <c r="T137" s="122" t="str">
        <f>IFERROR(__xludf.DUMMYFUNCTION("JOIN("","",IFERROR(FILTER(Matches!$B:$B,B137=Matches!$C:$C),""""),IFERROR(FILTER(Matches!$C:$C,B137=Matches!$B:$B),""""))"),",,,,,,,,,,,,,,,,,,,,,,,,,,,,,,,,,,,,,,,,,,,,,,,,,,,,,,,,,,,,,,,,,,,,,,,,,,,,,,,,,,,,,,,,,,,,,,,,,,,,,,,,,,,,,,,,,,,,,,,,,,,,,,,,,,,,,,,,,,,,,,,,,,,,,,,,,,,,,,,,,,,,,,,,,,,,,,,,,,,,,,,,,,,,,,,,,,,,,,,,,,,,,,,,,,,,,,,,,,,,,,,,,,,,,,,,,,,,,,,,,,,,,,,,,,,,,,,")</f>
        <v>,,,,,,,,,,,,,,,,,,,,,,,,,,,,,,,,,,,,,,,,,,,,,,,,,,,,,,,,,,,,,,,,,,,,,,,,,,,,,,,,,,,,,,,,,,,,,,,,,,,,,,,,,,,,,,,,,,,,,,,,,,,,,,,,,,,,,,,,,,,,,,,,,,,,,,,,,,,,,,,,,,,,,,,,,,,,,,,,,,,,,,,,,,,,,,,,,,,,,,,,,,,,,,,,,,,,,,,,,,,,,,,,,,,,,,,,,,,,,,,,,,,,,,,,,,,,,,,</v>
      </c>
      <c r="U137" s="121">
        <f>IFERROR(__xludf.DUMMYFUNCTION("iferror(AVERAGE(ARRAYFORMULA(VLOOKUP(SPLIT(T137,"","",TRUE,TRUE),$R$2:$S1000,2,FALSE))),0)"),0.0)</f>
        <v>0</v>
      </c>
      <c r="V137" s="123">
        <f>IFERROR(__xludf.DUMMYFUNCTION("RANK($I137, $I$2:$I1000, FALSE) + RANK($M137, Filter($M$2:$M1000, $I$2:$I1000=$I137),FALSE)+RANK($U137, Filter($U$2:$U1000, $I$2:$I1000=$I137,$M$2:$M1000=$M137),FALSE)-2"),1.0)</f>
        <v>1</v>
      </c>
      <c r="W137" s="124" t="str">
        <f t="shared" si="9"/>
        <v>Underplay</v>
      </c>
      <c r="X137" s="125" t="str">
        <f t="shared" si="10"/>
        <v/>
      </c>
      <c r="Y137" s="126">
        <f>MAXIFS(Matches!$A:$A,Matches!$C:$C,$B137)</f>
        <v>0</v>
      </c>
      <c r="Z137" s="126">
        <f t="array" ref="Z137">XLOOKUP(Y137,Quotas!$B$7:$B$10,Quotas!$A$7:$A$10,0,-1)</f>
        <v>0</v>
      </c>
      <c r="AB137" s="31"/>
      <c r="AC137" s="31">
        <f>COUNTIFS(Matches!$A:$A,"&gt;"&amp;Y137,Matches!$B:$B,$B137)</f>
        <v>0</v>
      </c>
      <c r="AD137" s="31"/>
      <c r="AE137" s="127">
        <f>SUMIF('Pool Changes'!B:B, B137, 'Pool Changes'!H:H)</f>
        <v>0</v>
      </c>
    </row>
    <row r="138">
      <c r="A138" s="104">
        <f t="shared" si="1"/>
        <v>1</v>
      </c>
      <c r="C138" s="128"/>
      <c r="D138" s="74"/>
      <c r="E138" s="1"/>
      <c r="F138" s="1"/>
      <c r="G138" s="1"/>
      <c r="H138" s="118">
        <f>COUNTIF(Entropy!$D:$D,$B138)+COUNTIF(Matches!$B:$B,$B138)+COUNTIF(Matches!$C:$C,$B138)</f>
        <v>0</v>
      </c>
      <c r="I138" s="119">
        <f>COUNTIF(Matches!$B:$B,B138)</f>
        <v>0</v>
      </c>
      <c r="J138" s="31">
        <f t="shared" si="2"/>
        <v>0</v>
      </c>
      <c r="K138" s="1" t="str">
        <f t="shared" si="3"/>
        <v>0 - 0</v>
      </c>
      <c r="L138" s="120">
        <f>COUNTIF(Entropy!$D:$D,$B138)</f>
        <v>0</v>
      </c>
      <c r="M138" s="121">
        <f t="shared" si="4"/>
        <v>0</v>
      </c>
      <c r="N138" s="121">
        <f t="shared" si="5"/>
        <v>0</v>
      </c>
      <c r="O138" s="118">
        <f>IF($J138=11,0,IF(AND($H138 &gt;=VLOOKUP('Combined Standings'!$C$2,Quotas!$A$7:$E$14,4,FALSE), $H138&lt;=VLOOKUP('Combined Standings'!$C$2,Quotas!$A$7:$E$14,5,FALSE)), 0,VLOOKUP('Combined Standings'!$C$2,Quotas!$A$7:$E$11,4,FALSE)-$H138))</f>
        <v>13</v>
      </c>
      <c r="P138" s="118">
        <f>IF($J138=11,0,IF(AND($H138 &gt;=VLOOKUP('Combined Standings'!$C$2,Quotas!$A$7:$E$14,5,FALSE), $H138&lt;=VLOOKUP('Combined Standings'!$C$2,Quotas!$A$7:$E$14,5,FALSE)), 0,VLOOKUP('Combined Standings'!$C$2,Quotas!$A$7:$E$11,5,FALSE)-$H138))</f>
        <v>15</v>
      </c>
      <c r="Q138" s="31">
        <f t="shared" si="6"/>
        <v>11</v>
      </c>
      <c r="R138" s="122" t="str">
        <f t="shared" si="7"/>
        <v/>
      </c>
      <c r="S138" s="121">
        <f t="shared" si="8"/>
        <v>0.33</v>
      </c>
      <c r="T138" s="122" t="str">
        <f>IFERROR(__xludf.DUMMYFUNCTION("JOIN("","",IFERROR(FILTER(Matches!$B:$B,B138=Matches!$C:$C),""""),IFERROR(FILTER(Matches!$C:$C,B138=Matches!$B:$B),""""))"),",,,,,,,,,,,,,,,,,,,,,,,,,,,,,,,,,,,,,,,,,,,,,,,,,,,,,,,,,,,,,,,,,,,,,,,,,,,,,,,,,,,,,,,,,,,,,,,,,,,,,,,,,,,,,,,,,,,,,,,,,,,,,,,,,,,,,,,,,,,,,,,,,,,,,,,,,,,,,,,,,,,,,,,,,,,,,,,,,,,,,,,,,,,,,,,,,,,,,,,,,,,,,,,,,,,,,,,,,,,,,,,,,,,,,,,,,,,,,,,,,,,,,,,,,,,,,,,")</f>
        <v>,,,,,,,,,,,,,,,,,,,,,,,,,,,,,,,,,,,,,,,,,,,,,,,,,,,,,,,,,,,,,,,,,,,,,,,,,,,,,,,,,,,,,,,,,,,,,,,,,,,,,,,,,,,,,,,,,,,,,,,,,,,,,,,,,,,,,,,,,,,,,,,,,,,,,,,,,,,,,,,,,,,,,,,,,,,,,,,,,,,,,,,,,,,,,,,,,,,,,,,,,,,,,,,,,,,,,,,,,,,,,,,,,,,,,,,,,,,,,,,,,,,,,,,,,,,,,,,</v>
      </c>
      <c r="U138" s="121">
        <f>IFERROR(__xludf.DUMMYFUNCTION("iferror(AVERAGE(ARRAYFORMULA(VLOOKUP(SPLIT(T138,"","",TRUE,TRUE),$R$2:$S1000,2,FALSE))),0)"),0.0)</f>
        <v>0</v>
      </c>
      <c r="V138" s="123">
        <f>IFERROR(__xludf.DUMMYFUNCTION("RANK($I138, $I$2:$I1000, FALSE) + RANK($M138, Filter($M$2:$M1000, $I$2:$I1000=$I138),FALSE)+RANK($U138, Filter($U$2:$U1000, $I$2:$I1000=$I138,$M$2:$M1000=$M138),FALSE)-2"),1.0)</f>
        <v>1</v>
      </c>
      <c r="W138" s="124" t="str">
        <f t="shared" si="9"/>
        <v>Underplay</v>
      </c>
      <c r="X138" s="125" t="str">
        <f t="shared" si="10"/>
        <v/>
      </c>
      <c r="Y138" s="126">
        <f>MAXIFS(Matches!$A:$A,Matches!$C:$C,$B138)</f>
        <v>0</v>
      </c>
      <c r="Z138" s="126">
        <f t="array" ref="Z138">XLOOKUP(Y138,Quotas!$B$7:$B$10,Quotas!$A$7:$A$10,0,-1)</f>
        <v>0</v>
      </c>
      <c r="AB138" s="31"/>
      <c r="AC138" s="31">
        <f>COUNTIFS(Matches!$A:$A,"&gt;"&amp;Y138,Matches!$B:$B,$B138)</f>
        <v>0</v>
      </c>
      <c r="AD138" s="31"/>
      <c r="AE138" s="127">
        <f>SUMIF('Pool Changes'!B:B, B138, 'Pool Changes'!H:H)</f>
        <v>0</v>
      </c>
    </row>
    <row r="139">
      <c r="A139" s="104">
        <f t="shared" si="1"/>
        <v>1</v>
      </c>
      <c r="C139" s="128"/>
      <c r="D139" s="74"/>
      <c r="E139" s="1"/>
      <c r="F139" s="1"/>
      <c r="G139" s="1"/>
      <c r="H139" s="118">
        <f>COUNTIF(Entropy!$D:$D,$B139)+COUNTIF(Matches!$B:$B,$B139)+COUNTIF(Matches!$C:$C,$B139)</f>
        <v>0</v>
      </c>
      <c r="I139" s="119">
        <f>COUNTIF(Matches!$B:$B,B139)</f>
        <v>0</v>
      </c>
      <c r="J139" s="31">
        <f t="shared" si="2"/>
        <v>0</v>
      </c>
      <c r="K139" s="1" t="str">
        <f t="shared" si="3"/>
        <v>0 - 0</v>
      </c>
      <c r="L139" s="120">
        <f>COUNTIF(Entropy!$D:$D,$B139)</f>
        <v>0</v>
      </c>
      <c r="M139" s="121">
        <f t="shared" si="4"/>
        <v>0</v>
      </c>
      <c r="N139" s="121">
        <f t="shared" si="5"/>
        <v>0</v>
      </c>
      <c r="O139" s="118">
        <f>IF($J139=11,0,IF(AND($H139 &gt;=VLOOKUP('Combined Standings'!$C$2,Quotas!$A$7:$E$14,4,FALSE), $H139&lt;=VLOOKUP('Combined Standings'!$C$2,Quotas!$A$7:$E$14,5,FALSE)), 0,VLOOKUP('Combined Standings'!$C$2,Quotas!$A$7:$E$11,4,FALSE)-$H139))</f>
        <v>13</v>
      </c>
      <c r="P139" s="118">
        <f>IF($J139=11,0,IF(AND($H139 &gt;=VLOOKUP('Combined Standings'!$C$2,Quotas!$A$7:$E$14,5,FALSE), $H139&lt;=VLOOKUP('Combined Standings'!$C$2,Quotas!$A$7:$E$14,5,FALSE)), 0,VLOOKUP('Combined Standings'!$C$2,Quotas!$A$7:$E$11,5,FALSE)-$H139))</f>
        <v>15</v>
      </c>
      <c r="Q139" s="31">
        <f t="shared" si="6"/>
        <v>11</v>
      </c>
      <c r="R139" s="122" t="str">
        <f t="shared" si="7"/>
        <v/>
      </c>
      <c r="S139" s="121">
        <f t="shared" si="8"/>
        <v>0.33</v>
      </c>
      <c r="T139" s="122" t="str">
        <f>IFERROR(__xludf.DUMMYFUNCTION("JOIN("","",IFERROR(FILTER(Matches!$B:$B,B139=Matches!$C:$C),""""),IFERROR(FILTER(Matches!$C:$C,B139=Matches!$B:$B),""""))"),",,,,,,,,,,,,,,,,,,,,,,,,,,,,,,,,,,,,,,,,,,,,,,,,,,,,,,,,,,,,,,,,,,,,,,,,,,,,,,,,,,,,,,,,,,,,,,,,,,,,,,,,,,,,,,,,,,,,,,,,,,,,,,,,,,,,,,,,,,,,,,,,,,,,,,,,,,,,,,,,,,,,,,,,,,,,,,,,,,,,,,,,,,,,,,,,,,,,,,,,,,,,,,,,,,,,,,,,,,,,,,,,,,,,,,,,,,,,,,,,,,,,,,,,,,,,,,,")</f>
        <v>,,,,,,,,,,,,,,,,,,,,,,,,,,,,,,,,,,,,,,,,,,,,,,,,,,,,,,,,,,,,,,,,,,,,,,,,,,,,,,,,,,,,,,,,,,,,,,,,,,,,,,,,,,,,,,,,,,,,,,,,,,,,,,,,,,,,,,,,,,,,,,,,,,,,,,,,,,,,,,,,,,,,,,,,,,,,,,,,,,,,,,,,,,,,,,,,,,,,,,,,,,,,,,,,,,,,,,,,,,,,,,,,,,,,,,,,,,,,,,,,,,,,,,,,,,,,,,,</v>
      </c>
      <c r="U139" s="121">
        <f>IFERROR(__xludf.DUMMYFUNCTION("iferror(AVERAGE(ARRAYFORMULA(VLOOKUP(SPLIT(T139,"","",TRUE,TRUE),$R$2:$S1000,2,FALSE))),0)"),0.0)</f>
        <v>0</v>
      </c>
      <c r="V139" s="123">
        <f>IFERROR(__xludf.DUMMYFUNCTION("RANK($I139, $I$2:$I1000, FALSE) + RANK($M139, Filter($M$2:$M1000, $I$2:$I1000=$I139),FALSE)+RANK($U139, Filter($U$2:$U1000, $I$2:$I1000=$I139,$M$2:$M1000=$M139),FALSE)-2"),1.0)</f>
        <v>1</v>
      </c>
      <c r="W139" s="124" t="str">
        <f t="shared" si="9"/>
        <v>Underplay</v>
      </c>
      <c r="X139" s="125" t="str">
        <f t="shared" si="10"/>
        <v/>
      </c>
      <c r="Y139" s="126">
        <f>MAXIFS(Matches!$A:$A,Matches!$C:$C,$B139)</f>
        <v>0</v>
      </c>
      <c r="Z139" s="126">
        <f t="array" ref="Z139">XLOOKUP(Y139,Quotas!$B$7:$B$10,Quotas!$A$7:$A$10,0,-1)</f>
        <v>0</v>
      </c>
      <c r="AB139" s="31"/>
      <c r="AC139" s="31">
        <f>COUNTIFS(Matches!$A:$A,"&gt;"&amp;Y139,Matches!$B:$B,$B139)</f>
        <v>0</v>
      </c>
      <c r="AD139" s="31"/>
      <c r="AE139" s="127">
        <f>SUMIF('Pool Changes'!B:B, B139, 'Pool Changes'!H:H)</f>
        <v>0</v>
      </c>
    </row>
    <row r="140">
      <c r="A140" s="104">
        <f t="shared" si="1"/>
        <v>1</v>
      </c>
      <c r="C140" s="128"/>
      <c r="D140" s="74"/>
      <c r="E140" s="1"/>
      <c r="F140" s="1"/>
      <c r="G140" s="1"/>
      <c r="H140" s="118">
        <f>COUNTIF(Entropy!$D:$D,$B140)+COUNTIF(Matches!$B:$B,$B140)+COUNTIF(Matches!$C:$C,$B140)</f>
        <v>0</v>
      </c>
      <c r="I140" s="119">
        <f>COUNTIF(Matches!$B:$B,B140)</f>
        <v>0</v>
      </c>
      <c r="J140" s="31">
        <f t="shared" si="2"/>
        <v>0</v>
      </c>
      <c r="K140" s="1" t="str">
        <f t="shared" si="3"/>
        <v>0 - 0</v>
      </c>
      <c r="L140" s="120">
        <f>COUNTIF(Entropy!$D:$D,$B140)</f>
        <v>0</v>
      </c>
      <c r="M140" s="121">
        <f t="shared" si="4"/>
        <v>0</v>
      </c>
      <c r="N140" s="121">
        <f t="shared" si="5"/>
        <v>0</v>
      </c>
      <c r="O140" s="118">
        <f>IF($J140=11,0,IF(AND($H140 &gt;=VLOOKUP('Combined Standings'!$C$2,Quotas!$A$7:$E$14,4,FALSE), $H140&lt;=VLOOKUP('Combined Standings'!$C$2,Quotas!$A$7:$E$14,5,FALSE)), 0,VLOOKUP('Combined Standings'!$C$2,Quotas!$A$7:$E$11,4,FALSE)-$H140))</f>
        <v>13</v>
      </c>
      <c r="P140" s="118">
        <f>IF($J140=11,0,IF(AND($H140 &gt;=VLOOKUP('Combined Standings'!$C$2,Quotas!$A$7:$E$14,5,FALSE), $H140&lt;=VLOOKUP('Combined Standings'!$C$2,Quotas!$A$7:$E$14,5,FALSE)), 0,VLOOKUP('Combined Standings'!$C$2,Quotas!$A$7:$E$11,5,FALSE)-$H140))</f>
        <v>15</v>
      </c>
      <c r="Q140" s="31">
        <f t="shared" si="6"/>
        <v>11</v>
      </c>
      <c r="R140" s="122" t="str">
        <f t="shared" si="7"/>
        <v/>
      </c>
      <c r="S140" s="121">
        <f t="shared" si="8"/>
        <v>0.33</v>
      </c>
      <c r="T140" s="122" t="str">
        <f>IFERROR(__xludf.DUMMYFUNCTION("JOIN("","",IFERROR(FILTER(Matches!$B:$B,B140=Matches!$C:$C),""""),IFERROR(FILTER(Matches!$C:$C,B140=Matches!$B:$B),""""))"),",,,,,,,,,,,,,,,,,,,,,,,,,,,,,,,,,,,,,,,,,,,,,,,,,,,,,,,,,,,,,,,,,,,,,,,,,,,,,,,,,,,,,,,,,,,,,,,,,,,,,,,,,,,,,,,,,,,,,,,,,,,,,,,,,,,,,,,,,,,,,,,,,,,,,,,,,,,,,,,,,,,,,,,,,,,,,,,,,,,,,,,,,,,,,,,,,,,,,,,,,,,,,,,,,,,,,,,,,,,,,,,,,,,,,,,,,,,,,,,,,,,,,,,,,,,,,,,")</f>
        <v>,,,,,,,,,,,,,,,,,,,,,,,,,,,,,,,,,,,,,,,,,,,,,,,,,,,,,,,,,,,,,,,,,,,,,,,,,,,,,,,,,,,,,,,,,,,,,,,,,,,,,,,,,,,,,,,,,,,,,,,,,,,,,,,,,,,,,,,,,,,,,,,,,,,,,,,,,,,,,,,,,,,,,,,,,,,,,,,,,,,,,,,,,,,,,,,,,,,,,,,,,,,,,,,,,,,,,,,,,,,,,,,,,,,,,,,,,,,,,,,,,,,,,,,,,,,,,,,</v>
      </c>
      <c r="U140" s="121">
        <f>IFERROR(__xludf.DUMMYFUNCTION("iferror(AVERAGE(ARRAYFORMULA(VLOOKUP(SPLIT(T140,"","",TRUE,TRUE),$R$2:$S1000,2,FALSE))),0)"),0.0)</f>
        <v>0</v>
      </c>
      <c r="V140" s="123">
        <f>IFERROR(__xludf.DUMMYFUNCTION("RANK($I140, $I$2:$I1000, FALSE) + RANK($M140, Filter($M$2:$M1000, $I$2:$I1000=$I140),FALSE)+RANK($U140, Filter($U$2:$U1000, $I$2:$I1000=$I140,$M$2:$M1000=$M140),FALSE)-2"),1.0)</f>
        <v>1</v>
      </c>
      <c r="W140" s="124" t="str">
        <f t="shared" si="9"/>
        <v>Underplay</v>
      </c>
      <c r="X140" s="125" t="str">
        <f t="shared" si="10"/>
        <v/>
      </c>
      <c r="Y140" s="126">
        <f>MAXIFS(Matches!$A:$A,Matches!$C:$C,$B140)</f>
        <v>0</v>
      </c>
      <c r="Z140" s="126">
        <f t="array" ref="Z140">XLOOKUP(Y140,Quotas!$B$7:$B$10,Quotas!$A$7:$A$10,0,-1)</f>
        <v>0</v>
      </c>
      <c r="AB140" s="31"/>
      <c r="AC140" s="31">
        <f>COUNTIFS(Matches!$A:$A,"&gt;"&amp;Y140,Matches!$B:$B,$B140)</f>
        <v>0</v>
      </c>
      <c r="AD140" s="31"/>
      <c r="AE140" s="127">
        <f>SUMIF('Pool Changes'!B:B, B140, 'Pool Changes'!H:H)</f>
        <v>0</v>
      </c>
    </row>
    <row r="141">
      <c r="A141" s="104">
        <f t="shared" si="1"/>
        <v>1</v>
      </c>
      <c r="C141" s="128"/>
      <c r="D141" s="74"/>
      <c r="E141" s="1"/>
      <c r="F141" s="1"/>
      <c r="G141" s="1"/>
      <c r="H141" s="118">
        <f>COUNTIF(Entropy!$D:$D,$B141)+COUNTIF(Matches!$B:$B,$B141)+COUNTIF(Matches!$C:$C,$B141)</f>
        <v>0</v>
      </c>
      <c r="I141" s="119">
        <f>COUNTIF(Matches!$B:$B,B141)</f>
        <v>0</v>
      </c>
      <c r="J141" s="31">
        <f t="shared" si="2"/>
        <v>0</v>
      </c>
      <c r="K141" s="1" t="str">
        <f t="shared" si="3"/>
        <v>0 - 0</v>
      </c>
      <c r="L141" s="120">
        <f>COUNTIF(Entropy!$D:$D,$B141)</f>
        <v>0</v>
      </c>
      <c r="M141" s="121">
        <f t="shared" si="4"/>
        <v>0</v>
      </c>
      <c r="N141" s="121">
        <f t="shared" si="5"/>
        <v>0</v>
      </c>
      <c r="O141" s="118">
        <f>IF($J141=11,0,IF(AND($H141 &gt;=VLOOKUP('Combined Standings'!$C$2,Quotas!$A$7:$E$14,4,FALSE), $H141&lt;=VLOOKUP('Combined Standings'!$C$2,Quotas!$A$7:$E$14,5,FALSE)), 0,VLOOKUP('Combined Standings'!$C$2,Quotas!$A$7:$E$11,4,FALSE)-$H141))</f>
        <v>13</v>
      </c>
      <c r="P141" s="118">
        <f>IF($J141=11,0,IF(AND($H141 &gt;=VLOOKUP('Combined Standings'!$C$2,Quotas!$A$7:$E$14,5,FALSE), $H141&lt;=VLOOKUP('Combined Standings'!$C$2,Quotas!$A$7:$E$14,5,FALSE)), 0,VLOOKUP('Combined Standings'!$C$2,Quotas!$A$7:$E$11,5,FALSE)-$H141))</f>
        <v>15</v>
      </c>
      <c r="Q141" s="31">
        <f t="shared" si="6"/>
        <v>11</v>
      </c>
      <c r="R141" s="122" t="str">
        <f t="shared" si="7"/>
        <v/>
      </c>
      <c r="S141" s="121">
        <f t="shared" si="8"/>
        <v>0.33</v>
      </c>
      <c r="T141" s="122" t="str">
        <f>IFERROR(__xludf.DUMMYFUNCTION("JOIN("","",IFERROR(FILTER(Matches!$B:$B,B141=Matches!$C:$C),""""),IFERROR(FILTER(Matches!$C:$C,B141=Matches!$B:$B),""""))"),",,,,,,,,,,,,,,,,,,,,,,,,,,,,,,,,,,,,,,,,,,,,,,,,,,,,,,,,,,,,,,,,,,,,,,,,,,,,,,,,,,,,,,,,,,,,,,,,,,,,,,,,,,,,,,,,,,,,,,,,,,,,,,,,,,,,,,,,,,,,,,,,,,,,,,,,,,,,,,,,,,,,,,,,,,,,,,,,,,,,,,,,,,,,,,,,,,,,,,,,,,,,,,,,,,,,,,,,,,,,,,,,,,,,,,,,,,,,,,,,,,,,,,,,,,,,,,,")</f>
        <v>,,,,,,,,,,,,,,,,,,,,,,,,,,,,,,,,,,,,,,,,,,,,,,,,,,,,,,,,,,,,,,,,,,,,,,,,,,,,,,,,,,,,,,,,,,,,,,,,,,,,,,,,,,,,,,,,,,,,,,,,,,,,,,,,,,,,,,,,,,,,,,,,,,,,,,,,,,,,,,,,,,,,,,,,,,,,,,,,,,,,,,,,,,,,,,,,,,,,,,,,,,,,,,,,,,,,,,,,,,,,,,,,,,,,,,,,,,,,,,,,,,,,,,,,,,,,,,,</v>
      </c>
      <c r="U141" s="121">
        <f>IFERROR(__xludf.DUMMYFUNCTION("iferror(AVERAGE(ARRAYFORMULA(VLOOKUP(SPLIT(T141,"","",TRUE,TRUE),$R$2:$S1000,2,FALSE))),0)"),0.0)</f>
        <v>0</v>
      </c>
      <c r="V141" s="123">
        <f>IFERROR(__xludf.DUMMYFUNCTION("RANK($I141, $I$2:$I1000, FALSE) + RANK($M141, Filter($M$2:$M1000, $I$2:$I1000=$I141),FALSE)+RANK($U141, Filter($U$2:$U1000, $I$2:$I1000=$I141,$M$2:$M1000=$M141),FALSE)-2"),1.0)</f>
        <v>1</v>
      </c>
      <c r="W141" s="124" t="str">
        <f t="shared" si="9"/>
        <v>Underplay</v>
      </c>
      <c r="X141" s="125" t="str">
        <f t="shared" si="10"/>
        <v/>
      </c>
      <c r="Y141" s="126">
        <f>MAXIFS(Matches!$A:$A,Matches!$C:$C,$B141)</f>
        <v>0</v>
      </c>
      <c r="Z141" s="126">
        <f t="array" ref="Z141">XLOOKUP(Y141,Quotas!$B$7:$B$10,Quotas!$A$7:$A$10,0,-1)</f>
        <v>0</v>
      </c>
      <c r="AB141" s="31"/>
      <c r="AC141" s="31">
        <f>COUNTIFS(Matches!$A:$A,"&gt;"&amp;Y141,Matches!$B:$B,$B141)</f>
        <v>0</v>
      </c>
      <c r="AD141" s="31"/>
      <c r="AE141" s="127">
        <f>SUMIF('Pool Changes'!B:B, B141, 'Pool Changes'!H:H)</f>
        <v>0</v>
      </c>
    </row>
    <row r="142">
      <c r="A142" s="104">
        <f t="shared" si="1"/>
        <v>1</v>
      </c>
      <c r="C142" s="128"/>
      <c r="D142" s="74"/>
      <c r="E142" s="1"/>
      <c r="F142" s="1"/>
      <c r="G142" s="1"/>
      <c r="H142" s="118">
        <f>COUNTIF(Entropy!$D:$D,$B142)+COUNTIF(Matches!$B:$B,$B142)+COUNTIF(Matches!$C:$C,$B142)</f>
        <v>0</v>
      </c>
      <c r="I142" s="119">
        <f>COUNTIF(Matches!$B:$B,B142)</f>
        <v>0</v>
      </c>
      <c r="J142" s="31">
        <f t="shared" si="2"/>
        <v>0</v>
      </c>
      <c r="K142" s="1" t="str">
        <f t="shared" si="3"/>
        <v>0 - 0</v>
      </c>
      <c r="L142" s="120">
        <f>COUNTIF(Entropy!$D:$D,$B142)</f>
        <v>0</v>
      </c>
      <c r="M142" s="121">
        <f t="shared" si="4"/>
        <v>0</v>
      </c>
      <c r="N142" s="121">
        <f t="shared" si="5"/>
        <v>0</v>
      </c>
      <c r="O142" s="118">
        <f>IF($J142=11,0,IF(AND($H142 &gt;=VLOOKUP('Combined Standings'!$C$2,Quotas!$A$7:$E$14,4,FALSE), $H142&lt;=VLOOKUP('Combined Standings'!$C$2,Quotas!$A$7:$E$14,5,FALSE)), 0,VLOOKUP('Combined Standings'!$C$2,Quotas!$A$7:$E$11,4,FALSE)-$H142))</f>
        <v>13</v>
      </c>
      <c r="P142" s="118">
        <f>IF($J142=11,0,IF(AND($H142 &gt;=VLOOKUP('Combined Standings'!$C$2,Quotas!$A$7:$E$14,5,FALSE), $H142&lt;=VLOOKUP('Combined Standings'!$C$2,Quotas!$A$7:$E$14,5,FALSE)), 0,VLOOKUP('Combined Standings'!$C$2,Quotas!$A$7:$E$11,5,FALSE)-$H142))</f>
        <v>15</v>
      </c>
      <c r="Q142" s="31">
        <f t="shared" si="6"/>
        <v>11</v>
      </c>
      <c r="R142" s="122" t="str">
        <f t="shared" si="7"/>
        <v/>
      </c>
      <c r="S142" s="121">
        <f t="shared" si="8"/>
        <v>0.33</v>
      </c>
      <c r="T142" s="122" t="str">
        <f>IFERROR(__xludf.DUMMYFUNCTION("JOIN("","",IFERROR(FILTER(Matches!$B:$B,B142=Matches!$C:$C),""""),IFERROR(FILTER(Matches!$C:$C,B142=Matches!$B:$B),""""))"),",,,,,,,,,,,,,,,,,,,,,,,,,,,,,,,,,,,,,,,,,,,,,,,,,,,,,,,,,,,,,,,,,,,,,,,,,,,,,,,,,,,,,,,,,,,,,,,,,,,,,,,,,,,,,,,,,,,,,,,,,,,,,,,,,,,,,,,,,,,,,,,,,,,,,,,,,,,,,,,,,,,,,,,,,,,,,,,,,,,,,,,,,,,,,,,,,,,,,,,,,,,,,,,,,,,,,,,,,,,,,,,,,,,,,,,,,,,,,,,,,,,,,,,,,,,,,,,")</f>
        <v>,,,,,,,,,,,,,,,,,,,,,,,,,,,,,,,,,,,,,,,,,,,,,,,,,,,,,,,,,,,,,,,,,,,,,,,,,,,,,,,,,,,,,,,,,,,,,,,,,,,,,,,,,,,,,,,,,,,,,,,,,,,,,,,,,,,,,,,,,,,,,,,,,,,,,,,,,,,,,,,,,,,,,,,,,,,,,,,,,,,,,,,,,,,,,,,,,,,,,,,,,,,,,,,,,,,,,,,,,,,,,,,,,,,,,,,,,,,,,,,,,,,,,,,,,,,,,,,</v>
      </c>
      <c r="U142" s="121">
        <f>IFERROR(__xludf.DUMMYFUNCTION("iferror(AVERAGE(ARRAYFORMULA(VLOOKUP(SPLIT(T142,"","",TRUE,TRUE),$R$2:$S1000,2,FALSE))),0)"),0.0)</f>
        <v>0</v>
      </c>
      <c r="V142" s="123">
        <f>IFERROR(__xludf.DUMMYFUNCTION("RANK($I142, $I$2:$I1000, FALSE) + RANK($M142, Filter($M$2:$M1000, $I$2:$I1000=$I142),FALSE)+RANK($U142, Filter($U$2:$U1000, $I$2:$I1000=$I142,$M$2:$M1000=$M142),FALSE)-2"),1.0)</f>
        <v>1</v>
      </c>
      <c r="W142" s="124" t="str">
        <f t="shared" si="9"/>
        <v>Underplay</v>
      </c>
      <c r="X142" s="125" t="str">
        <f t="shared" si="10"/>
        <v/>
      </c>
      <c r="Y142" s="126">
        <f>MAXIFS(Matches!$A:$A,Matches!$C:$C,$B142)</f>
        <v>0</v>
      </c>
      <c r="Z142" s="126">
        <f t="array" ref="Z142">XLOOKUP(Y142,Quotas!$B$7:$B$10,Quotas!$A$7:$A$10,0,-1)</f>
        <v>0</v>
      </c>
      <c r="AB142" s="31"/>
      <c r="AC142" s="31">
        <f>COUNTIFS(Matches!$A:$A,"&gt;"&amp;Y142,Matches!$B:$B,$B142)</f>
        <v>0</v>
      </c>
      <c r="AD142" s="31"/>
      <c r="AE142" s="127">
        <f>SUMIF('Pool Changes'!B:B, B142, 'Pool Changes'!H:H)</f>
        <v>0</v>
      </c>
    </row>
    <row r="143">
      <c r="A143" s="104">
        <f t="shared" si="1"/>
        <v>1</v>
      </c>
      <c r="C143" s="128"/>
      <c r="D143" s="74"/>
      <c r="E143" s="1"/>
      <c r="F143" s="1"/>
      <c r="G143" s="1"/>
      <c r="H143" s="118">
        <f>COUNTIF(Entropy!$D:$D,$B143)+COUNTIF(Matches!$B:$B,$B143)+COUNTIF(Matches!$C:$C,$B143)</f>
        <v>0</v>
      </c>
      <c r="I143" s="119">
        <f>COUNTIF(Matches!$B:$B,B143)</f>
        <v>0</v>
      </c>
      <c r="J143" s="31">
        <f t="shared" si="2"/>
        <v>0</v>
      </c>
      <c r="K143" s="1" t="str">
        <f t="shared" si="3"/>
        <v>0 - 0</v>
      </c>
      <c r="L143" s="120">
        <f>COUNTIF(Entropy!$D:$D,$B143)</f>
        <v>0</v>
      </c>
      <c r="M143" s="121">
        <f t="shared" si="4"/>
        <v>0</v>
      </c>
      <c r="N143" s="121">
        <f t="shared" si="5"/>
        <v>0</v>
      </c>
      <c r="O143" s="118">
        <f>IF($J143=11,0,IF(AND($H143 &gt;=VLOOKUP('Combined Standings'!$C$2,Quotas!$A$7:$E$14,4,FALSE), $H143&lt;=VLOOKUP('Combined Standings'!$C$2,Quotas!$A$7:$E$14,5,FALSE)), 0,VLOOKUP('Combined Standings'!$C$2,Quotas!$A$7:$E$11,4,FALSE)-$H143))</f>
        <v>13</v>
      </c>
      <c r="P143" s="118">
        <f>IF($J143=11,0,IF(AND($H143 &gt;=VLOOKUP('Combined Standings'!$C$2,Quotas!$A$7:$E$14,5,FALSE), $H143&lt;=VLOOKUP('Combined Standings'!$C$2,Quotas!$A$7:$E$14,5,FALSE)), 0,VLOOKUP('Combined Standings'!$C$2,Quotas!$A$7:$E$11,5,FALSE)-$H143))</f>
        <v>15</v>
      </c>
      <c r="Q143" s="31">
        <f t="shared" si="6"/>
        <v>11</v>
      </c>
      <c r="R143" s="122" t="str">
        <f t="shared" si="7"/>
        <v/>
      </c>
      <c r="S143" s="121">
        <f t="shared" si="8"/>
        <v>0.33</v>
      </c>
      <c r="T143" s="122" t="str">
        <f>IFERROR(__xludf.DUMMYFUNCTION("JOIN("","",IFERROR(FILTER(Matches!$B:$B,B143=Matches!$C:$C),""""),IFERROR(FILTER(Matches!$C:$C,B143=Matches!$B:$B),""""))"),",,,,,,,,,,,,,,,,,,,,,,,,,,,,,,,,,,,,,,,,,,,,,,,,,,,,,,,,,,,,,,,,,,,,,,,,,,,,,,,,,,,,,,,,,,,,,,,,,,,,,,,,,,,,,,,,,,,,,,,,,,,,,,,,,,,,,,,,,,,,,,,,,,,,,,,,,,,,,,,,,,,,,,,,,,,,,,,,,,,,,,,,,,,,,,,,,,,,,,,,,,,,,,,,,,,,,,,,,,,,,,,,,,,,,,,,,,,,,,,,,,,,,,,,,,,,,,,")</f>
        <v>,,,,,,,,,,,,,,,,,,,,,,,,,,,,,,,,,,,,,,,,,,,,,,,,,,,,,,,,,,,,,,,,,,,,,,,,,,,,,,,,,,,,,,,,,,,,,,,,,,,,,,,,,,,,,,,,,,,,,,,,,,,,,,,,,,,,,,,,,,,,,,,,,,,,,,,,,,,,,,,,,,,,,,,,,,,,,,,,,,,,,,,,,,,,,,,,,,,,,,,,,,,,,,,,,,,,,,,,,,,,,,,,,,,,,,,,,,,,,,,,,,,,,,,,,,,,,,,</v>
      </c>
      <c r="U143" s="121">
        <f>IFERROR(__xludf.DUMMYFUNCTION("iferror(AVERAGE(ARRAYFORMULA(VLOOKUP(SPLIT(T143,"","",TRUE,TRUE),$R$2:$S1000,2,FALSE))),0)"),0.0)</f>
        <v>0</v>
      </c>
      <c r="V143" s="123">
        <f>IFERROR(__xludf.DUMMYFUNCTION("RANK($I143, $I$2:$I1000, FALSE) + RANK($M143, Filter($M$2:$M1000, $I$2:$I1000=$I143),FALSE)+RANK($U143, Filter($U$2:$U1000, $I$2:$I1000=$I143,$M$2:$M1000=$M143),FALSE)-2"),1.0)</f>
        <v>1</v>
      </c>
      <c r="W143" s="124" t="str">
        <f t="shared" si="9"/>
        <v>Underplay</v>
      </c>
      <c r="X143" s="125" t="str">
        <f t="shared" si="10"/>
        <v/>
      </c>
      <c r="Y143" s="126">
        <f>MAXIFS(Matches!$A:$A,Matches!$C:$C,$B143)</f>
        <v>0</v>
      </c>
      <c r="Z143" s="126">
        <f t="array" ref="Z143">XLOOKUP(Y143,Quotas!$B$7:$B$10,Quotas!$A$7:$A$10,0,-1)</f>
        <v>0</v>
      </c>
      <c r="AB143" s="31"/>
      <c r="AC143" s="31">
        <f>COUNTIFS(Matches!$A:$A,"&gt;"&amp;Y143,Matches!$B:$B,$B143)</f>
        <v>0</v>
      </c>
      <c r="AD143" s="31"/>
      <c r="AE143" s="127">
        <f>SUMIF('Pool Changes'!B:B, B143, 'Pool Changes'!H:H)</f>
        <v>0</v>
      </c>
    </row>
    <row r="144">
      <c r="A144" s="104">
        <f t="shared" si="1"/>
        <v>1</v>
      </c>
      <c r="C144" s="128"/>
      <c r="D144" s="74"/>
      <c r="E144" s="1"/>
      <c r="F144" s="1"/>
      <c r="G144" s="1"/>
      <c r="H144" s="118">
        <f>COUNTIF(Entropy!$D:$D,$B144)+COUNTIF(Matches!$B:$B,$B144)+COUNTIF(Matches!$C:$C,$B144)</f>
        <v>0</v>
      </c>
      <c r="I144" s="119">
        <f>COUNTIF(Matches!$B:$B,B144)</f>
        <v>0</v>
      </c>
      <c r="J144" s="31">
        <f t="shared" si="2"/>
        <v>0</v>
      </c>
      <c r="K144" s="1" t="str">
        <f t="shared" si="3"/>
        <v>0 - 0</v>
      </c>
      <c r="L144" s="120">
        <f>COUNTIF(Entropy!$D:$D,$B144)</f>
        <v>0</v>
      </c>
      <c r="M144" s="121">
        <f t="shared" si="4"/>
        <v>0</v>
      </c>
      <c r="N144" s="121">
        <f t="shared" si="5"/>
        <v>0</v>
      </c>
      <c r="O144" s="118">
        <f>IF($J144=11,0,IF(AND($H144 &gt;=VLOOKUP('Combined Standings'!$C$2,Quotas!$A$7:$E$14,4,FALSE), $H144&lt;=VLOOKUP('Combined Standings'!$C$2,Quotas!$A$7:$E$14,5,FALSE)), 0,VLOOKUP('Combined Standings'!$C$2,Quotas!$A$7:$E$11,4,FALSE)-$H144))</f>
        <v>13</v>
      </c>
      <c r="P144" s="118">
        <f>IF($J144=11,0,IF(AND($H144 &gt;=VLOOKUP('Combined Standings'!$C$2,Quotas!$A$7:$E$14,5,FALSE), $H144&lt;=VLOOKUP('Combined Standings'!$C$2,Quotas!$A$7:$E$14,5,FALSE)), 0,VLOOKUP('Combined Standings'!$C$2,Quotas!$A$7:$E$11,5,FALSE)-$H144))</f>
        <v>15</v>
      </c>
      <c r="Q144" s="31">
        <f t="shared" si="6"/>
        <v>11</v>
      </c>
      <c r="R144" s="122" t="str">
        <f t="shared" si="7"/>
        <v/>
      </c>
      <c r="S144" s="121">
        <f t="shared" si="8"/>
        <v>0.33</v>
      </c>
      <c r="T144" s="122" t="str">
        <f>IFERROR(__xludf.DUMMYFUNCTION("JOIN("","",IFERROR(FILTER(Matches!$B:$B,B144=Matches!$C:$C),""""),IFERROR(FILTER(Matches!$C:$C,B144=Matches!$B:$B),""""))"),",,,,,,,,,,,,,,,,,,,,,,,,,,,,,,,,,,,,,,,,,,,,,,,,,,,,,,,,,,,,,,,,,,,,,,,,,,,,,,,,,,,,,,,,,,,,,,,,,,,,,,,,,,,,,,,,,,,,,,,,,,,,,,,,,,,,,,,,,,,,,,,,,,,,,,,,,,,,,,,,,,,,,,,,,,,,,,,,,,,,,,,,,,,,,,,,,,,,,,,,,,,,,,,,,,,,,,,,,,,,,,,,,,,,,,,,,,,,,,,,,,,,,,,,,,,,,,,")</f>
        <v>,,,,,,,,,,,,,,,,,,,,,,,,,,,,,,,,,,,,,,,,,,,,,,,,,,,,,,,,,,,,,,,,,,,,,,,,,,,,,,,,,,,,,,,,,,,,,,,,,,,,,,,,,,,,,,,,,,,,,,,,,,,,,,,,,,,,,,,,,,,,,,,,,,,,,,,,,,,,,,,,,,,,,,,,,,,,,,,,,,,,,,,,,,,,,,,,,,,,,,,,,,,,,,,,,,,,,,,,,,,,,,,,,,,,,,,,,,,,,,,,,,,,,,,,,,,,,,,</v>
      </c>
      <c r="U144" s="121">
        <f>IFERROR(__xludf.DUMMYFUNCTION("iferror(AVERAGE(ARRAYFORMULA(VLOOKUP(SPLIT(T144,"","",TRUE,TRUE),$R$2:$S1000,2,FALSE))),0)"),0.0)</f>
        <v>0</v>
      </c>
      <c r="V144" s="123">
        <f>IFERROR(__xludf.DUMMYFUNCTION("RANK($I144, $I$2:$I1000, FALSE) + RANK($M144, Filter($M$2:$M1000, $I$2:$I1000=$I144),FALSE)+RANK($U144, Filter($U$2:$U1000, $I$2:$I1000=$I144,$M$2:$M1000=$M144),FALSE)-2"),1.0)</f>
        <v>1</v>
      </c>
      <c r="W144" s="124" t="str">
        <f t="shared" si="9"/>
        <v>Underplay</v>
      </c>
      <c r="X144" s="125" t="str">
        <f t="shared" si="10"/>
        <v/>
      </c>
      <c r="Y144" s="126">
        <f>MAXIFS(Matches!$A:$A,Matches!$C:$C,$B144)</f>
        <v>0</v>
      </c>
      <c r="Z144" s="126">
        <f t="array" ref="Z144">XLOOKUP(Y144,Quotas!$B$7:$B$10,Quotas!$A$7:$A$10,0,-1)</f>
        <v>0</v>
      </c>
      <c r="AB144" s="31"/>
      <c r="AC144" s="31">
        <f>COUNTIFS(Matches!$A:$A,"&gt;"&amp;Y144,Matches!$B:$B,$B144)</f>
        <v>0</v>
      </c>
      <c r="AD144" s="31"/>
      <c r="AE144" s="127">
        <f>SUMIF('Pool Changes'!B:B, B144, 'Pool Changes'!H:H)</f>
        <v>0</v>
      </c>
    </row>
    <row r="145">
      <c r="A145" s="104">
        <f t="shared" si="1"/>
        <v>1</v>
      </c>
      <c r="C145" s="128"/>
      <c r="D145" s="74"/>
      <c r="E145" s="1"/>
      <c r="F145" s="1"/>
      <c r="G145" s="1"/>
      <c r="H145" s="118">
        <f>COUNTIF(Entropy!$D:$D,$B145)+COUNTIF(Matches!$B:$B,$B145)+COUNTIF(Matches!$C:$C,$B145)</f>
        <v>0</v>
      </c>
      <c r="I145" s="119">
        <f>COUNTIF(Matches!$B:$B,B145)</f>
        <v>0</v>
      </c>
      <c r="J145" s="31">
        <f t="shared" si="2"/>
        <v>0</v>
      </c>
      <c r="K145" s="1" t="str">
        <f t="shared" si="3"/>
        <v>0 - 0</v>
      </c>
      <c r="L145" s="120">
        <f>COUNTIF(Entropy!$D:$D,$B145)</f>
        <v>0</v>
      </c>
      <c r="M145" s="121">
        <f t="shared" si="4"/>
        <v>0</v>
      </c>
      <c r="N145" s="121">
        <f t="shared" si="5"/>
        <v>0</v>
      </c>
      <c r="O145" s="118">
        <f>IF($J145=11,0,IF(AND($H145 &gt;=VLOOKUP('Combined Standings'!$C$2,Quotas!$A$7:$E$14,4,FALSE), $H145&lt;=VLOOKUP('Combined Standings'!$C$2,Quotas!$A$7:$E$14,5,FALSE)), 0,VLOOKUP('Combined Standings'!$C$2,Quotas!$A$7:$E$11,4,FALSE)-$H145))</f>
        <v>13</v>
      </c>
      <c r="P145" s="118">
        <f>IF($J145=11,0,IF(AND($H145 &gt;=VLOOKUP('Combined Standings'!$C$2,Quotas!$A$7:$E$14,5,FALSE), $H145&lt;=VLOOKUP('Combined Standings'!$C$2,Quotas!$A$7:$E$14,5,FALSE)), 0,VLOOKUP('Combined Standings'!$C$2,Quotas!$A$7:$E$11,5,FALSE)-$H145))</f>
        <v>15</v>
      </c>
      <c r="Q145" s="31">
        <f t="shared" si="6"/>
        <v>11</v>
      </c>
      <c r="R145" s="122" t="str">
        <f t="shared" si="7"/>
        <v/>
      </c>
      <c r="S145" s="121">
        <f t="shared" si="8"/>
        <v>0.33</v>
      </c>
      <c r="T145" s="122" t="str">
        <f>IFERROR(__xludf.DUMMYFUNCTION("JOIN("","",IFERROR(FILTER(Matches!$B:$B,B145=Matches!$C:$C),""""),IFERROR(FILTER(Matches!$C:$C,B145=Matches!$B:$B),""""))"),",,,,,,,,,,,,,,,,,,,,,,,,,,,,,,,,,,,,,,,,,,,,,,,,,,,,,,,,,,,,,,,,,,,,,,,,,,,,,,,,,,,,,,,,,,,,,,,,,,,,,,,,,,,,,,,,,,,,,,,,,,,,,,,,,,,,,,,,,,,,,,,,,,,,,,,,,,,,,,,,,,,,,,,,,,,,,,,,,,,,,,,,,,,,,,,,,,,,,,,,,,,,,,,,,,,,,,,,,,,,,,,,,,,,,,,,,,,,,,,,,,,,,,,,,,,,,,,")</f>
        <v>,,,,,,,,,,,,,,,,,,,,,,,,,,,,,,,,,,,,,,,,,,,,,,,,,,,,,,,,,,,,,,,,,,,,,,,,,,,,,,,,,,,,,,,,,,,,,,,,,,,,,,,,,,,,,,,,,,,,,,,,,,,,,,,,,,,,,,,,,,,,,,,,,,,,,,,,,,,,,,,,,,,,,,,,,,,,,,,,,,,,,,,,,,,,,,,,,,,,,,,,,,,,,,,,,,,,,,,,,,,,,,,,,,,,,,,,,,,,,,,,,,,,,,,,,,,,,,,</v>
      </c>
      <c r="U145" s="121">
        <f>IFERROR(__xludf.DUMMYFUNCTION("iferror(AVERAGE(ARRAYFORMULA(VLOOKUP(SPLIT(T145,"","",TRUE,TRUE),$R$2:$S1000,2,FALSE))),0)"),0.0)</f>
        <v>0</v>
      </c>
      <c r="V145" s="123">
        <f>IFERROR(__xludf.DUMMYFUNCTION("RANK($I145, $I$2:$I1000, FALSE) + RANK($M145, Filter($M$2:$M1000, $I$2:$I1000=$I145),FALSE)+RANK($U145, Filter($U$2:$U1000, $I$2:$I1000=$I145,$M$2:$M1000=$M145),FALSE)-2"),1.0)</f>
        <v>1</v>
      </c>
      <c r="W145" s="124" t="str">
        <f t="shared" si="9"/>
        <v>Underplay</v>
      </c>
      <c r="X145" s="125" t="str">
        <f t="shared" si="10"/>
        <v/>
      </c>
      <c r="Y145" s="126">
        <f>MAXIFS(Matches!$A:$A,Matches!$C:$C,$B145)</f>
        <v>0</v>
      </c>
      <c r="Z145" s="126">
        <f t="array" ref="Z145">XLOOKUP(Y145,Quotas!$B$7:$B$10,Quotas!$A$7:$A$10,0,-1)</f>
        <v>0</v>
      </c>
      <c r="AB145" s="31"/>
      <c r="AC145" s="31">
        <f>COUNTIFS(Matches!$A:$A,"&gt;"&amp;Y145,Matches!$B:$B,$B145)</f>
        <v>0</v>
      </c>
      <c r="AD145" s="31"/>
      <c r="AE145" s="127">
        <f>SUMIF('Pool Changes'!B:B, B145, 'Pool Changes'!H:H)</f>
        <v>0</v>
      </c>
    </row>
    <row r="146">
      <c r="A146" s="104">
        <f t="shared" si="1"/>
        <v>1</v>
      </c>
      <c r="C146" s="128"/>
      <c r="D146" s="74"/>
      <c r="E146" s="1"/>
      <c r="F146" s="1"/>
      <c r="G146" s="1"/>
      <c r="H146" s="118">
        <f>COUNTIF(Entropy!$D:$D,$B146)+COUNTIF(Matches!$B:$B,$B146)+COUNTIF(Matches!$C:$C,$B146)</f>
        <v>0</v>
      </c>
      <c r="I146" s="119">
        <f>COUNTIF(Matches!$B:$B,B146)</f>
        <v>0</v>
      </c>
      <c r="J146" s="31">
        <f t="shared" si="2"/>
        <v>0</v>
      </c>
      <c r="K146" s="1" t="str">
        <f t="shared" si="3"/>
        <v>0 - 0</v>
      </c>
      <c r="L146" s="120">
        <f>COUNTIF(Entropy!$D:$D,$B146)</f>
        <v>0</v>
      </c>
      <c r="M146" s="121">
        <f t="shared" si="4"/>
        <v>0</v>
      </c>
      <c r="N146" s="121">
        <f t="shared" si="5"/>
        <v>0</v>
      </c>
      <c r="O146" s="118">
        <f>IF($J146=11,0,IF(AND($H146 &gt;=VLOOKUP('Combined Standings'!$C$2,Quotas!$A$7:$E$14,4,FALSE), $H146&lt;=VLOOKUP('Combined Standings'!$C$2,Quotas!$A$7:$E$14,5,FALSE)), 0,VLOOKUP('Combined Standings'!$C$2,Quotas!$A$7:$E$11,4,FALSE)-$H146))</f>
        <v>13</v>
      </c>
      <c r="P146" s="118">
        <f>IF($J146=11,0,IF(AND($H146 &gt;=VLOOKUP('Combined Standings'!$C$2,Quotas!$A$7:$E$14,5,FALSE), $H146&lt;=VLOOKUP('Combined Standings'!$C$2,Quotas!$A$7:$E$14,5,FALSE)), 0,VLOOKUP('Combined Standings'!$C$2,Quotas!$A$7:$E$11,5,FALSE)-$H146))</f>
        <v>15</v>
      </c>
      <c r="Q146" s="31">
        <f t="shared" si="6"/>
        <v>11</v>
      </c>
      <c r="R146" s="122" t="str">
        <f t="shared" si="7"/>
        <v/>
      </c>
      <c r="S146" s="121">
        <f t="shared" si="8"/>
        <v>0.33</v>
      </c>
      <c r="T146" s="122" t="str">
        <f>IFERROR(__xludf.DUMMYFUNCTION("JOIN("","",IFERROR(FILTER(Matches!$B:$B,B146=Matches!$C:$C),""""),IFERROR(FILTER(Matches!$C:$C,B146=Matches!$B:$B),""""))"),",,,,,,,,,,,,,,,,,,,,,,,,,,,,,,,,,,,,,,,,,,,,,,,,,,,,,,,,,,,,,,,,,,,,,,,,,,,,,,,,,,,,,,,,,,,,,,,,,,,,,,,,,,,,,,,,,,,,,,,,,,,,,,,,,,,,,,,,,,,,,,,,,,,,,,,,,,,,,,,,,,,,,,,,,,,,,,,,,,,,,,,,,,,,,,,,,,,,,,,,,,,,,,,,,,,,,,,,,,,,,,,,,,,,,,,,,,,,,,,,,,,,,,,,,,,,,,,")</f>
        <v>,,,,,,,,,,,,,,,,,,,,,,,,,,,,,,,,,,,,,,,,,,,,,,,,,,,,,,,,,,,,,,,,,,,,,,,,,,,,,,,,,,,,,,,,,,,,,,,,,,,,,,,,,,,,,,,,,,,,,,,,,,,,,,,,,,,,,,,,,,,,,,,,,,,,,,,,,,,,,,,,,,,,,,,,,,,,,,,,,,,,,,,,,,,,,,,,,,,,,,,,,,,,,,,,,,,,,,,,,,,,,,,,,,,,,,,,,,,,,,,,,,,,,,,,,,,,,,,</v>
      </c>
      <c r="U146" s="121">
        <f>IFERROR(__xludf.DUMMYFUNCTION("iferror(AVERAGE(ARRAYFORMULA(VLOOKUP(SPLIT(T146,"","",TRUE,TRUE),$R$2:$S1000,2,FALSE))),0)"),0.0)</f>
        <v>0</v>
      </c>
      <c r="V146" s="123">
        <f>IFERROR(__xludf.DUMMYFUNCTION("RANK($I146, $I$2:$I1000, FALSE) + RANK($M146, Filter($M$2:$M1000, $I$2:$I1000=$I146),FALSE)+RANK($U146, Filter($U$2:$U1000, $I$2:$I1000=$I146,$M$2:$M1000=$M146),FALSE)-2"),1.0)</f>
        <v>1</v>
      </c>
      <c r="W146" s="124" t="str">
        <f t="shared" si="9"/>
        <v>Underplay</v>
      </c>
      <c r="X146" s="125" t="str">
        <f t="shared" si="10"/>
        <v/>
      </c>
      <c r="Y146" s="126">
        <f>MAXIFS(Matches!$A:$A,Matches!$C:$C,$B146)</f>
        <v>0</v>
      </c>
      <c r="Z146" s="126">
        <f t="array" ref="Z146">XLOOKUP(Y146,Quotas!$B$7:$B$10,Quotas!$A$7:$A$10,0,-1)</f>
        <v>0</v>
      </c>
      <c r="AB146" s="31"/>
      <c r="AC146" s="31">
        <f>COUNTIFS(Matches!$A:$A,"&gt;"&amp;Y146,Matches!$B:$B,$B146)</f>
        <v>0</v>
      </c>
      <c r="AD146" s="31"/>
      <c r="AE146" s="127">
        <f>SUMIF('Pool Changes'!B:B, B146, 'Pool Changes'!H:H)</f>
        <v>0</v>
      </c>
    </row>
    <row r="147">
      <c r="A147" s="104">
        <f t="shared" si="1"/>
        <v>1</v>
      </c>
      <c r="C147" s="128"/>
      <c r="D147" s="74"/>
      <c r="E147" s="1"/>
      <c r="F147" s="1"/>
      <c r="G147" s="1"/>
      <c r="H147" s="118">
        <f>COUNTIF(Entropy!$D:$D,$B147)+COUNTIF(Matches!$B:$B,$B147)+COUNTIF(Matches!$C:$C,$B147)</f>
        <v>0</v>
      </c>
      <c r="I147" s="119">
        <f>COUNTIF(Matches!$B:$B,B147)</f>
        <v>0</v>
      </c>
      <c r="J147" s="31">
        <f t="shared" si="2"/>
        <v>0</v>
      </c>
      <c r="K147" s="1" t="str">
        <f t="shared" si="3"/>
        <v>0 - 0</v>
      </c>
      <c r="L147" s="120">
        <f>COUNTIF(Entropy!$D:$D,$B147)</f>
        <v>0</v>
      </c>
      <c r="M147" s="121">
        <f t="shared" si="4"/>
        <v>0</v>
      </c>
      <c r="N147" s="121">
        <f t="shared" si="5"/>
        <v>0</v>
      </c>
      <c r="O147" s="118">
        <f>IF($J147=11,0,IF(AND($H147 &gt;=VLOOKUP('Combined Standings'!$C$2,Quotas!$A$7:$E$14,4,FALSE), $H147&lt;=VLOOKUP('Combined Standings'!$C$2,Quotas!$A$7:$E$14,5,FALSE)), 0,VLOOKUP('Combined Standings'!$C$2,Quotas!$A$7:$E$11,4,FALSE)-$H147))</f>
        <v>13</v>
      </c>
      <c r="P147" s="118">
        <f>IF($J147=11,0,IF(AND($H147 &gt;=VLOOKUP('Combined Standings'!$C$2,Quotas!$A$7:$E$14,5,FALSE), $H147&lt;=VLOOKUP('Combined Standings'!$C$2,Quotas!$A$7:$E$14,5,FALSE)), 0,VLOOKUP('Combined Standings'!$C$2,Quotas!$A$7:$E$11,5,FALSE)-$H147))</f>
        <v>15</v>
      </c>
      <c r="Q147" s="31">
        <f t="shared" si="6"/>
        <v>11</v>
      </c>
      <c r="R147" s="122" t="str">
        <f t="shared" si="7"/>
        <v/>
      </c>
      <c r="S147" s="121">
        <f t="shared" si="8"/>
        <v>0.33</v>
      </c>
      <c r="T147" s="122" t="str">
        <f>IFERROR(__xludf.DUMMYFUNCTION("JOIN("","",IFERROR(FILTER(Matches!$B:$B,B147=Matches!$C:$C),""""),IFERROR(FILTER(Matches!$C:$C,B147=Matches!$B:$B),""""))"),",,,,,,,,,,,,,,,,,,,,,,,,,,,,,,,,,,,,,,,,,,,,,,,,,,,,,,,,,,,,,,,,,,,,,,,,,,,,,,,,,,,,,,,,,,,,,,,,,,,,,,,,,,,,,,,,,,,,,,,,,,,,,,,,,,,,,,,,,,,,,,,,,,,,,,,,,,,,,,,,,,,,,,,,,,,,,,,,,,,,,,,,,,,,,,,,,,,,,,,,,,,,,,,,,,,,,,,,,,,,,,,,,,,,,,,,,,,,,,,,,,,,,,,,,,,,,,,")</f>
        <v>,,,,,,,,,,,,,,,,,,,,,,,,,,,,,,,,,,,,,,,,,,,,,,,,,,,,,,,,,,,,,,,,,,,,,,,,,,,,,,,,,,,,,,,,,,,,,,,,,,,,,,,,,,,,,,,,,,,,,,,,,,,,,,,,,,,,,,,,,,,,,,,,,,,,,,,,,,,,,,,,,,,,,,,,,,,,,,,,,,,,,,,,,,,,,,,,,,,,,,,,,,,,,,,,,,,,,,,,,,,,,,,,,,,,,,,,,,,,,,,,,,,,,,,,,,,,,,,</v>
      </c>
      <c r="U147" s="121">
        <f>IFERROR(__xludf.DUMMYFUNCTION("iferror(AVERAGE(ARRAYFORMULA(VLOOKUP(SPLIT(T147,"","",TRUE,TRUE),$R$2:$S1000,2,FALSE))),0)"),0.0)</f>
        <v>0</v>
      </c>
      <c r="V147" s="123">
        <f>IFERROR(__xludf.DUMMYFUNCTION("RANK($I147, $I$2:$I1000, FALSE) + RANK($M147, Filter($M$2:$M1000, $I$2:$I1000=$I147),FALSE)+RANK($U147, Filter($U$2:$U1000, $I$2:$I1000=$I147,$M$2:$M1000=$M147),FALSE)-2"),1.0)</f>
        <v>1</v>
      </c>
      <c r="W147" s="124" t="str">
        <f t="shared" si="9"/>
        <v>Underplay</v>
      </c>
      <c r="X147" s="125" t="str">
        <f t="shared" si="10"/>
        <v/>
      </c>
      <c r="Y147" s="126">
        <f>MAXIFS(Matches!$A:$A,Matches!$C:$C,$B147)</f>
        <v>0</v>
      </c>
      <c r="Z147" s="126">
        <f t="array" ref="Z147">XLOOKUP(Y147,Quotas!$B$7:$B$10,Quotas!$A$7:$A$10,0,-1)</f>
        <v>0</v>
      </c>
      <c r="AB147" s="31"/>
      <c r="AC147" s="31">
        <f>COUNTIFS(Matches!$A:$A,"&gt;"&amp;Y147,Matches!$B:$B,$B147)</f>
        <v>0</v>
      </c>
      <c r="AD147" s="31"/>
      <c r="AE147" s="127">
        <f>SUMIF('Pool Changes'!B:B, B147, 'Pool Changes'!H:H)</f>
        <v>0</v>
      </c>
    </row>
    <row r="148">
      <c r="A148" s="104">
        <f t="shared" si="1"/>
        <v>1</v>
      </c>
      <c r="C148" s="128"/>
      <c r="D148" s="74"/>
      <c r="E148" s="1"/>
      <c r="F148" s="1"/>
      <c r="G148" s="1"/>
      <c r="H148" s="118">
        <f>COUNTIF(Entropy!$D:$D,$B148)+COUNTIF(Matches!$B:$B,$B148)+COUNTIF(Matches!$C:$C,$B148)</f>
        <v>0</v>
      </c>
      <c r="I148" s="119">
        <f>COUNTIF(Matches!$B:$B,B148)</f>
        <v>0</v>
      </c>
      <c r="J148" s="31">
        <f t="shared" si="2"/>
        <v>0</v>
      </c>
      <c r="K148" s="1" t="str">
        <f t="shared" si="3"/>
        <v>0 - 0</v>
      </c>
      <c r="L148" s="120">
        <f>COUNTIF(Entropy!$D:$D,$B148)</f>
        <v>0</v>
      </c>
      <c r="M148" s="121">
        <f t="shared" si="4"/>
        <v>0</v>
      </c>
      <c r="N148" s="121">
        <f t="shared" si="5"/>
        <v>0</v>
      </c>
      <c r="O148" s="118">
        <f>IF($J148=11,0,IF(AND($H148 &gt;=VLOOKUP('Combined Standings'!$C$2,Quotas!$A$7:$E$14,4,FALSE), $H148&lt;=VLOOKUP('Combined Standings'!$C$2,Quotas!$A$7:$E$14,5,FALSE)), 0,VLOOKUP('Combined Standings'!$C$2,Quotas!$A$7:$E$11,4,FALSE)-$H148))</f>
        <v>13</v>
      </c>
      <c r="P148" s="118">
        <f>IF($J148=11,0,IF(AND($H148 &gt;=VLOOKUP('Combined Standings'!$C$2,Quotas!$A$7:$E$14,5,FALSE), $H148&lt;=VLOOKUP('Combined Standings'!$C$2,Quotas!$A$7:$E$14,5,FALSE)), 0,VLOOKUP('Combined Standings'!$C$2,Quotas!$A$7:$E$11,5,FALSE)-$H148))</f>
        <v>15</v>
      </c>
      <c r="Q148" s="31">
        <f t="shared" si="6"/>
        <v>11</v>
      </c>
      <c r="R148" s="122" t="str">
        <f t="shared" si="7"/>
        <v/>
      </c>
      <c r="S148" s="121">
        <f t="shared" si="8"/>
        <v>0.33</v>
      </c>
      <c r="T148" s="122" t="str">
        <f>IFERROR(__xludf.DUMMYFUNCTION("JOIN("","",IFERROR(FILTER(Matches!$B:$B,B148=Matches!$C:$C),""""),IFERROR(FILTER(Matches!$C:$C,B148=Matches!$B:$B),""""))"),",,,,,,,,,,,,,,,,,,,,,,,,,,,,,,,,,,,,,,,,,,,,,,,,,,,,,,,,,,,,,,,,,,,,,,,,,,,,,,,,,,,,,,,,,,,,,,,,,,,,,,,,,,,,,,,,,,,,,,,,,,,,,,,,,,,,,,,,,,,,,,,,,,,,,,,,,,,,,,,,,,,,,,,,,,,,,,,,,,,,,,,,,,,,,,,,,,,,,,,,,,,,,,,,,,,,,,,,,,,,,,,,,,,,,,,,,,,,,,,,,,,,,,,,,,,,,,,")</f>
        <v>,,,,,,,,,,,,,,,,,,,,,,,,,,,,,,,,,,,,,,,,,,,,,,,,,,,,,,,,,,,,,,,,,,,,,,,,,,,,,,,,,,,,,,,,,,,,,,,,,,,,,,,,,,,,,,,,,,,,,,,,,,,,,,,,,,,,,,,,,,,,,,,,,,,,,,,,,,,,,,,,,,,,,,,,,,,,,,,,,,,,,,,,,,,,,,,,,,,,,,,,,,,,,,,,,,,,,,,,,,,,,,,,,,,,,,,,,,,,,,,,,,,,,,,,,,,,,,,</v>
      </c>
      <c r="U148" s="121">
        <f>IFERROR(__xludf.DUMMYFUNCTION("iferror(AVERAGE(ARRAYFORMULA(VLOOKUP(SPLIT(T148,"","",TRUE,TRUE),$R$2:$S1000,2,FALSE))),0)"),0.0)</f>
        <v>0</v>
      </c>
      <c r="V148" s="123">
        <f>IFERROR(__xludf.DUMMYFUNCTION("RANK($I148, $I$2:$I1000, FALSE) + RANK($M148, Filter($M$2:$M1000, $I$2:$I1000=$I148),FALSE)+RANK($U148, Filter($U$2:$U1000, $I$2:$I1000=$I148,$M$2:$M1000=$M148),FALSE)-2"),1.0)</f>
        <v>1</v>
      </c>
      <c r="W148" s="124" t="str">
        <f t="shared" si="9"/>
        <v>Underplay</v>
      </c>
      <c r="X148" s="125" t="str">
        <f t="shared" si="10"/>
        <v/>
      </c>
      <c r="Y148" s="126">
        <f>MAXIFS(Matches!$A:$A,Matches!$C:$C,$B148)</f>
        <v>0</v>
      </c>
      <c r="Z148" s="126">
        <f t="array" ref="Z148">XLOOKUP(Y148,Quotas!$B$7:$B$10,Quotas!$A$7:$A$10,0,-1)</f>
        <v>0</v>
      </c>
      <c r="AB148" s="31"/>
      <c r="AC148" s="31">
        <f>COUNTIFS(Matches!$A:$A,"&gt;"&amp;Y148,Matches!$B:$B,$B148)</f>
        <v>0</v>
      </c>
      <c r="AD148" s="31"/>
      <c r="AE148" s="127">
        <f>SUMIF('Pool Changes'!B:B, B148, 'Pool Changes'!H:H)</f>
        <v>0</v>
      </c>
    </row>
    <row r="149">
      <c r="A149" s="104">
        <f t="shared" si="1"/>
        <v>1</v>
      </c>
      <c r="C149" s="128"/>
      <c r="D149" s="74"/>
      <c r="E149" s="1"/>
      <c r="F149" s="1"/>
      <c r="G149" s="1"/>
      <c r="H149" s="118">
        <f>COUNTIF(Entropy!$D:$D,$B149)+COUNTIF(Matches!$B:$B,$B149)+COUNTIF(Matches!$C:$C,$B149)</f>
        <v>0</v>
      </c>
      <c r="I149" s="119">
        <f>COUNTIF(Matches!$B:$B,B149)</f>
        <v>0</v>
      </c>
      <c r="J149" s="31">
        <f t="shared" si="2"/>
        <v>0</v>
      </c>
      <c r="K149" s="1" t="str">
        <f t="shared" si="3"/>
        <v>0 - 0</v>
      </c>
      <c r="L149" s="120">
        <f>COUNTIF(Entropy!$D:$D,$B149)</f>
        <v>0</v>
      </c>
      <c r="M149" s="121">
        <f t="shared" si="4"/>
        <v>0</v>
      </c>
      <c r="N149" s="121">
        <f t="shared" si="5"/>
        <v>0</v>
      </c>
      <c r="O149" s="118">
        <f>IF($J149=11,0,IF(AND($H149 &gt;=VLOOKUP('Combined Standings'!$C$2,Quotas!$A$7:$E$14,4,FALSE), $H149&lt;=VLOOKUP('Combined Standings'!$C$2,Quotas!$A$7:$E$14,5,FALSE)), 0,VLOOKUP('Combined Standings'!$C$2,Quotas!$A$7:$E$11,4,FALSE)-$H149))</f>
        <v>13</v>
      </c>
      <c r="P149" s="118">
        <f>IF($J149=11,0,IF(AND($H149 &gt;=VLOOKUP('Combined Standings'!$C$2,Quotas!$A$7:$E$14,5,FALSE), $H149&lt;=VLOOKUP('Combined Standings'!$C$2,Quotas!$A$7:$E$14,5,FALSE)), 0,VLOOKUP('Combined Standings'!$C$2,Quotas!$A$7:$E$11,5,FALSE)-$H149))</f>
        <v>15</v>
      </c>
      <c r="Q149" s="31">
        <f t="shared" si="6"/>
        <v>11</v>
      </c>
      <c r="R149" s="122" t="str">
        <f t="shared" si="7"/>
        <v/>
      </c>
      <c r="S149" s="121">
        <f t="shared" si="8"/>
        <v>0.33</v>
      </c>
      <c r="T149" s="122" t="str">
        <f>IFERROR(__xludf.DUMMYFUNCTION("JOIN("","",IFERROR(FILTER(Matches!$B:$B,B149=Matches!$C:$C),""""),IFERROR(FILTER(Matches!$C:$C,B149=Matches!$B:$B),""""))"),",,,,,,,,,,,,,,,,,,,,,,,,,,,,,,,,,,,,,,,,,,,,,,,,,,,,,,,,,,,,,,,,,,,,,,,,,,,,,,,,,,,,,,,,,,,,,,,,,,,,,,,,,,,,,,,,,,,,,,,,,,,,,,,,,,,,,,,,,,,,,,,,,,,,,,,,,,,,,,,,,,,,,,,,,,,,,,,,,,,,,,,,,,,,,,,,,,,,,,,,,,,,,,,,,,,,,,,,,,,,,,,,,,,,,,,,,,,,,,,,,,,,,,,,,,,,,,,")</f>
        <v>,,,,,,,,,,,,,,,,,,,,,,,,,,,,,,,,,,,,,,,,,,,,,,,,,,,,,,,,,,,,,,,,,,,,,,,,,,,,,,,,,,,,,,,,,,,,,,,,,,,,,,,,,,,,,,,,,,,,,,,,,,,,,,,,,,,,,,,,,,,,,,,,,,,,,,,,,,,,,,,,,,,,,,,,,,,,,,,,,,,,,,,,,,,,,,,,,,,,,,,,,,,,,,,,,,,,,,,,,,,,,,,,,,,,,,,,,,,,,,,,,,,,,,,,,,,,,,,</v>
      </c>
      <c r="U149" s="121">
        <f>IFERROR(__xludf.DUMMYFUNCTION("iferror(AVERAGE(ARRAYFORMULA(VLOOKUP(SPLIT(T149,"","",TRUE,TRUE),$R$2:$S1000,2,FALSE))),0)"),0.0)</f>
        <v>0</v>
      </c>
      <c r="V149" s="123">
        <f>IFERROR(__xludf.DUMMYFUNCTION("RANK($I149, $I$2:$I1000, FALSE) + RANK($M149, Filter($M$2:$M1000, $I$2:$I1000=$I149),FALSE)+RANK($U149, Filter($U$2:$U1000, $I$2:$I1000=$I149,$M$2:$M1000=$M149),FALSE)-2"),1.0)</f>
        <v>1</v>
      </c>
      <c r="W149" s="124" t="str">
        <f t="shared" si="9"/>
        <v>Underplay</v>
      </c>
      <c r="X149" s="125" t="str">
        <f t="shared" si="10"/>
        <v/>
      </c>
      <c r="Y149" s="126">
        <f>MAXIFS(Matches!$A:$A,Matches!$C:$C,$B149)</f>
        <v>0</v>
      </c>
      <c r="Z149" s="126">
        <f t="array" ref="Z149">XLOOKUP(Y149,Quotas!$B$7:$B$10,Quotas!$A$7:$A$10,0,-1)</f>
        <v>0</v>
      </c>
      <c r="AB149" s="31"/>
      <c r="AC149" s="31">
        <f>COUNTIFS(Matches!$A:$A,"&gt;"&amp;Y149,Matches!$B:$B,$B149)</f>
        <v>0</v>
      </c>
      <c r="AD149" s="31"/>
      <c r="AE149" s="127">
        <f>SUMIF('Pool Changes'!B:B, B149, 'Pool Changes'!H:H)</f>
        <v>0</v>
      </c>
    </row>
    <row r="150">
      <c r="A150" s="104">
        <f t="shared" si="1"/>
        <v>1</v>
      </c>
      <c r="C150" s="128"/>
      <c r="D150" s="74"/>
      <c r="E150" s="1"/>
      <c r="F150" s="1"/>
      <c r="G150" s="1"/>
      <c r="H150" s="118">
        <f>COUNTIF(Entropy!$D:$D,$B150)+COUNTIF(Matches!$B:$B,$B150)+COUNTIF(Matches!$C:$C,$B150)</f>
        <v>0</v>
      </c>
      <c r="I150" s="119">
        <f>COUNTIF(Matches!$B:$B,B150)</f>
        <v>0</v>
      </c>
      <c r="J150" s="31">
        <f t="shared" si="2"/>
        <v>0</v>
      </c>
      <c r="K150" s="1" t="str">
        <f t="shared" si="3"/>
        <v>0 - 0</v>
      </c>
      <c r="L150" s="120">
        <f>COUNTIF(Entropy!$D:$D,$B150)</f>
        <v>0</v>
      </c>
      <c r="M150" s="121">
        <f t="shared" si="4"/>
        <v>0</v>
      </c>
      <c r="N150" s="121">
        <f t="shared" si="5"/>
        <v>0</v>
      </c>
      <c r="O150" s="118">
        <f>IF($J150=11,0,IF(AND($H150 &gt;=VLOOKUP('Combined Standings'!$C$2,Quotas!$A$7:$E$14,4,FALSE), $H150&lt;=VLOOKUP('Combined Standings'!$C$2,Quotas!$A$7:$E$14,5,FALSE)), 0,VLOOKUP('Combined Standings'!$C$2,Quotas!$A$7:$E$11,4,FALSE)-$H150))</f>
        <v>13</v>
      </c>
      <c r="P150" s="118">
        <f>IF($J150=11,0,IF(AND($H150 &gt;=VLOOKUP('Combined Standings'!$C$2,Quotas!$A$7:$E$14,5,FALSE), $H150&lt;=VLOOKUP('Combined Standings'!$C$2,Quotas!$A$7:$E$14,5,FALSE)), 0,VLOOKUP('Combined Standings'!$C$2,Quotas!$A$7:$E$11,5,FALSE)-$H150))</f>
        <v>15</v>
      </c>
      <c r="Q150" s="31">
        <f t="shared" si="6"/>
        <v>11</v>
      </c>
      <c r="R150" s="122" t="str">
        <f t="shared" si="7"/>
        <v/>
      </c>
      <c r="S150" s="121">
        <f t="shared" si="8"/>
        <v>0.33</v>
      </c>
      <c r="T150" s="122" t="str">
        <f>IFERROR(__xludf.DUMMYFUNCTION("JOIN("","",IFERROR(FILTER(Matches!$B:$B,B150=Matches!$C:$C),""""),IFERROR(FILTER(Matches!$C:$C,B150=Matches!$B:$B),""""))"),",,,,,,,,,,,,,,,,,,,,,,,,,,,,,,,,,,,,,,,,,,,,,,,,,,,,,,,,,,,,,,,,,,,,,,,,,,,,,,,,,,,,,,,,,,,,,,,,,,,,,,,,,,,,,,,,,,,,,,,,,,,,,,,,,,,,,,,,,,,,,,,,,,,,,,,,,,,,,,,,,,,,,,,,,,,,,,,,,,,,,,,,,,,,,,,,,,,,,,,,,,,,,,,,,,,,,,,,,,,,,,,,,,,,,,,,,,,,,,,,,,,,,,,,,,,,,,,")</f>
        <v>,,,,,,,,,,,,,,,,,,,,,,,,,,,,,,,,,,,,,,,,,,,,,,,,,,,,,,,,,,,,,,,,,,,,,,,,,,,,,,,,,,,,,,,,,,,,,,,,,,,,,,,,,,,,,,,,,,,,,,,,,,,,,,,,,,,,,,,,,,,,,,,,,,,,,,,,,,,,,,,,,,,,,,,,,,,,,,,,,,,,,,,,,,,,,,,,,,,,,,,,,,,,,,,,,,,,,,,,,,,,,,,,,,,,,,,,,,,,,,,,,,,,,,,,,,,,,,,</v>
      </c>
      <c r="U150" s="121">
        <f>IFERROR(__xludf.DUMMYFUNCTION("iferror(AVERAGE(ARRAYFORMULA(VLOOKUP(SPLIT(T150,"","",TRUE,TRUE),$R$2:$S1000,2,FALSE))),0)"),0.0)</f>
        <v>0</v>
      </c>
      <c r="V150" s="123">
        <f>IFERROR(__xludf.DUMMYFUNCTION("RANK($I150, $I$2:$I1000, FALSE) + RANK($M150, Filter($M$2:$M1000, $I$2:$I1000=$I150),FALSE)+RANK($U150, Filter($U$2:$U1000, $I$2:$I1000=$I150,$M$2:$M1000=$M150),FALSE)-2"),1.0)</f>
        <v>1</v>
      </c>
      <c r="W150" s="124" t="str">
        <f t="shared" si="9"/>
        <v>Underplay</v>
      </c>
      <c r="X150" s="125" t="str">
        <f t="shared" si="10"/>
        <v/>
      </c>
      <c r="Y150" s="126">
        <f>MAXIFS(Matches!$A:$A,Matches!$C:$C,$B150)</f>
        <v>0</v>
      </c>
      <c r="Z150" s="126">
        <f t="array" ref="Z150">XLOOKUP(Y150,Quotas!$B$7:$B$10,Quotas!$A$7:$A$10,0,-1)</f>
        <v>0</v>
      </c>
      <c r="AB150" s="31"/>
      <c r="AC150" s="31">
        <f>COUNTIFS(Matches!$A:$A,"&gt;"&amp;Y150,Matches!$B:$B,$B150)</f>
        <v>0</v>
      </c>
      <c r="AD150" s="31"/>
      <c r="AE150" s="127">
        <f>SUMIF('Pool Changes'!B:B, B150, 'Pool Changes'!H:H)</f>
        <v>0</v>
      </c>
    </row>
    <row r="151">
      <c r="A151" s="104">
        <f t="shared" si="1"/>
        <v>1</v>
      </c>
      <c r="C151" s="128"/>
      <c r="D151" s="74"/>
      <c r="E151" s="1"/>
      <c r="F151" s="1"/>
      <c r="G151" s="1"/>
      <c r="H151" s="118">
        <f>COUNTIF(Entropy!$D:$D,$B151)+COUNTIF(Matches!$B:$B,$B151)+COUNTIF(Matches!$C:$C,$B151)</f>
        <v>0</v>
      </c>
      <c r="I151" s="119">
        <f>COUNTIF(Matches!$B:$B,B151)</f>
        <v>0</v>
      </c>
      <c r="J151" s="31">
        <f t="shared" si="2"/>
        <v>0</v>
      </c>
      <c r="K151" s="1" t="str">
        <f t="shared" si="3"/>
        <v>0 - 0</v>
      </c>
      <c r="L151" s="120">
        <f>COUNTIF(Entropy!$D:$D,$B151)</f>
        <v>0</v>
      </c>
      <c r="M151" s="121">
        <f t="shared" si="4"/>
        <v>0</v>
      </c>
      <c r="N151" s="121">
        <f t="shared" si="5"/>
        <v>0</v>
      </c>
      <c r="O151" s="118">
        <f>IF($J151=11,0,IF(AND($H151 &gt;=VLOOKUP('Combined Standings'!$C$2,Quotas!$A$7:$E$14,4,FALSE), $H151&lt;=VLOOKUP('Combined Standings'!$C$2,Quotas!$A$7:$E$14,5,FALSE)), 0,VLOOKUP('Combined Standings'!$C$2,Quotas!$A$7:$E$11,4,FALSE)-$H151))</f>
        <v>13</v>
      </c>
      <c r="P151" s="118">
        <f>IF($J151=11,0,IF(AND($H151 &gt;=VLOOKUP('Combined Standings'!$C$2,Quotas!$A$7:$E$14,5,FALSE), $H151&lt;=VLOOKUP('Combined Standings'!$C$2,Quotas!$A$7:$E$14,5,FALSE)), 0,VLOOKUP('Combined Standings'!$C$2,Quotas!$A$7:$E$11,5,FALSE)-$H151))</f>
        <v>15</v>
      </c>
      <c r="Q151" s="31">
        <f t="shared" si="6"/>
        <v>11</v>
      </c>
      <c r="R151" s="122" t="str">
        <f t="shared" si="7"/>
        <v/>
      </c>
      <c r="S151" s="121">
        <f t="shared" si="8"/>
        <v>0.33</v>
      </c>
      <c r="T151" s="122" t="str">
        <f>IFERROR(__xludf.DUMMYFUNCTION("JOIN("","",IFERROR(FILTER(Matches!$B:$B,B151=Matches!$C:$C),""""),IFERROR(FILTER(Matches!$C:$C,B151=Matches!$B:$B),""""))"),",,,,,,,,,,,,,,,,,,,,,,,,,,,,,,,,,,,,,,,,,,,,,,,,,,,,,,,,,,,,,,,,,,,,,,,,,,,,,,,,,,,,,,,,,,,,,,,,,,,,,,,,,,,,,,,,,,,,,,,,,,,,,,,,,,,,,,,,,,,,,,,,,,,,,,,,,,,,,,,,,,,,,,,,,,,,,,,,,,,,,,,,,,,,,,,,,,,,,,,,,,,,,,,,,,,,,,,,,,,,,,,,,,,,,,,,,,,,,,,,,,,,,,,,,,,,,,,")</f>
        <v>,,,,,,,,,,,,,,,,,,,,,,,,,,,,,,,,,,,,,,,,,,,,,,,,,,,,,,,,,,,,,,,,,,,,,,,,,,,,,,,,,,,,,,,,,,,,,,,,,,,,,,,,,,,,,,,,,,,,,,,,,,,,,,,,,,,,,,,,,,,,,,,,,,,,,,,,,,,,,,,,,,,,,,,,,,,,,,,,,,,,,,,,,,,,,,,,,,,,,,,,,,,,,,,,,,,,,,,,,,,,,,,,,,,,,,,,,,,,,,,,,,,,,,,,,,,,,,,</v>
      </c>
      <c r="U151" s="121">
        <f>IFERROR(__xludf.DUMMYFUNCTION("iferror(AVERAGE(ARRAYFORMULA(VLOOKUP(SPLIT(T151,"","",TRUE,TRUE),$R$2:$S1000,2,FALSE))),0)"),0.0)</f>
        <v>0</v>
      </c>
      <c r="V151" s="123">
        <f>IFERROR(__xludf.DUMMYFUNCTION("RANK($I151, $I$2:$I1000, FALSE) + RANK($M151, Filter($M$2:$M1000, $I$2:$I1000=$I151),FALSE)+RANK($U151, Filter($U$2:$U1000, $I$2:$I1000=$I151,$M$2:$M1000=$M151),FALSE)-2"),1.0)</f>
        <v>1</v>
      </c>
      <c r="W151" s="124" t="str">
        <f t="shared" si="9"/>
        <v>Underplay</v>
      </c>
      <c r="X151" s="125" t="str">
        <f t="shared" si="10"/>
        <v/>
      </c>
      <c r="Y151" s="126">
        <f>MAXIFS(Matches!$A:$A,Matches!$C:$C,$B151)</f>
        <v>0</v>
      </c>
      <c r="Z151" s="126">
        <f t="array" ref="Z151">XLOOKUP(Y151,Quotas!$B$7:$B$10,Quotas!$A$7:$A$10,0,-1)</f>
        <v>0</v>
      </c>
      <c r="AB151" s="31"/>
      <c r="AC151" s="31">
        <f>COUNTIFS(Matches!$A:$A,"&gt;"&amp;Y151,Matches!$B:$B,$B151)</f>
        <v>0</v>
      </c>
      <c r="AD151" s="31"/>
      <c r="AE151" s="127">
        <f>SUMIF('Pool Changes'!B:B, B151, 'Pool Changes'!H:H)</f>
        <v>0</v>
      </c>
    </row>
    <row r="152">
      <c r="A152" s="104">
        <f t="shared" si="1"/>
        <v>1</v>
      </c>
      <c r="C152" s="128"/>
      <c r="D152" s="74"/>
      <c r="E152" s="1"/>
      <c r="F152" s="1"/>
      <c r="G152" s="1"/>
      <c r="H152" s="118">
        <f>COUNTIF(Entropy!$D:$D,$B152)+COUNTIF(Matches!$B:$B,$B152)+COUNTIF(Matches!$C:$C,$B152)</f>
        <v>0</v>
      </c>
      <c r="I152" s="119">
        <f>COUNTIF(Matches!$B:$B,B152)</f>
        <v>0</v>
      </c>
      <c r="J152" s="31">
        <f t="shared" si="2"/>
        <v>0</v>
      </c>
      <c r="K152" s="1" t="str">
        <f t="shared" si="3"/>
        <v>0 - 0</v>
      </c>
      <c r="L152" s="120">
        <f>COUNTIF(Entropy!$D:$D,$B152)</f>
        <v>0</v>
      </c>
      <c r="M152" s="121">
        <f t="shared" si="4"/>
        <v>0</v>
      </c>
      <c r="N152" s="121">
        <f t="shared" si="5"/>
        <v>0</v>
      </c>
      <c r="O152" s="118">
        <f>IF($J152=11,0,IF(AND($H152 &gt;=VLOOKUP('Combined Standings'!$C$2,Quotas!$A$7:$E$14,4,FALSE), $H152&lt;=VLOOKUP('Combined Standings'!$C$2,Quotas!$A$7:$E$14,5,FALSE)), 0,VLOOKUP('Combined Standings'!$C$2,Quotas!$A$7:$E$11,4,FALSE)-$H152))</f>
        <v>13</v>
      </c>
      <c r="P152" s="118">
        <f>IF($J152=11,0,IF(AND($H152 &gt;=VLOOKUP('Combined Standings'!$C$2,Quotas!$A$7:$E$14,5,FALSE), $H152&lt;=VLOOKUP('Combined Standings'!$C$2,Quotas!$A$7:$E$14,5,FALSE)), 0,VLOOKUP('Combined Standings'!$C$2,Quotas!$A$7:$E$11,5,FALSE)-$H152))</f>
        <v>15</v>
      </c>
      <c r="Q152" s="31">
        <f t="shared" si="6"/>
        <v>11</v>
      </c>
      <c r="R152" s="122" t="str">
        <f t="shared" si="7"/>
        <v/>
      </c>
      <c r="S152" s="121">
        <f t="shared" si="8"/>
        <v>0.33</v>
      </c>
      <c r="T152" s="122" t="str">
        <f>IFERROR(__xludf.DUMMYFUNCTION("JOIN("","",IFERROR(FILTER(Matches!$B:$B,B152=Matches!$C:$C),""""),IFERROR(FILTER(Matches!$C:$C,B152=Matches!$B:$B),""""))"),",,,,,,,,,,,,,,,,,,,,,,,,,,,,,,,,,,,,,,,,,,,,,,,,,,,,,,,,,,,,,,,,,,,,,,,,,,,,,,,,,,,,,,,,,,,,,,,,,,,,,,,,,,,,,,,,,,,,,,,,,,,,,,,,,,,,,,,,,,,,,,,,,,,,,,,,,,,,,,,,,,,,,,,,,,,,,,,,,,,,,,,,,,,,,,,,,,,,,,,,,,,,,,,,,,,,,,,,,,,,,,,,,,,,,,,,,,,,,,,,,,,,,,,,,,,,,,,")</f>
        <v>,,,,,,,,,,,,,,,,,,,,,,,,,,,,,,,,,,,,,,,,,,,,,,,,,,,,,,,,,,,,,,,,,,,,,,,,,,,,,,,,,,,,,,,,,,,,,,,,,,,,,,,,,,,,,,,,,,,,,,,,,,,,,,,,,,,,,,,,,,,,,,,,,,,,,,,,,,,,,,,,,,,,,,,,,,,,,,,,,,,,,,,,,,,,,,,,,,,,,,,,,,,,,,,,,,,,,,,,,,,,,,,,,,,,,,,,,,,,,,,,,,,,,,,,,,,,,,,</v>
      </c>
      <c r="U152" s="121">
        <f>IFERROR(__xludf.DUMMYFUNCTION("iferror(AVERAGE(ARRAYFORMULA(VLOOKUP(SPLIT(T152,"","",TRUE,TRUE),$R$2:$S1000,2,FALSE))),0)"),0.0)</f>
        <v>0</v>
      </c>
      <c r="V152" s="123">
        <f>IFERROR(__xludf.DUMMYFUNCTION("RANK($I152, $I$2:$I1000, FALSE) + RANK($M152, Filter($M$2:$M1000, $I$2:$I1000=$I152),FALSE)+RANK($U152, Filter($U$2:$U1000, $I$2:$I1000=$I152,$M$2:$M1000=$M152),FALSE)-2"),1.0)</f>
        <v>1</v>
      </c>
      <c r="W152" s="124" t="str">
        <f t="shared" si="9"/>
        <v>Underplay</v>
      </c>
      <c r="X152" s="125" t="str">
        <f t="shared" si="10"/>
        <v/>
      </c>
      <c r="Y152" s="126">
        <f>MAXIFS(Matches!$A:$A,Matches!$C:$C,$B152)</f>
        <v>0</v>
      </c>
      <c r="Z152" s="126">
        <f t="array" ref="Z152">XLOOKUP(Y152,Quotas!$B$7:$B$10,Quotas!$A$7:$A$10,0,-1)</f>
        <v>0</v>
      </c>
      <c r="AB152" s="31"/>
      <c r="AC152" s="31">
        <f>COUNTIFS(Matches!$A:$A,"&gt;"&amp;Y152,Matches!$B:$B,$B152)</f>
        <v>0</v>
      </c>
      <c r="AD152" s="31"/>
      <c r="AE152" s="127">
        <f>SUMIF('Pool Changes'!B:B, B152, 'Pool Changes'!H:H)</f>
        <v>0</v>
      </c>
    </row>
    <row r="153">
      <c r="A153" s="104">
        <f t="shared" si="1"/>
        <v>1</v>
      </c>
      <c r="C153" s="128"/>
      <c r="D153" s="74"/>
      <c r="E153" s="1"/>
      <c r="F153" s="1"/>
      <c r="G153" s="1"/>
      <c r="H153" s="118">
        <f>COUNTIF(Entropy!$D:$D,$B153)+COUNTIF(Matches!$B:$B,$B153)+COUNTIF(Matches!$C:$C,$B153)</f>
        <v>0</v>
      </c>
      <c r="I153" s="119">
        <f>COUNTIF(Matches!$B:$B,B153)</f>
        <v>0</v>
      </c>
      <c r="J153" s="31">
        <f t="shared" si="2"/>
        <v>0</v>
      </c>
      <c r="K153" s="1" t="str">
        <f t="shared" si="3"/>
        <v>0 - 0</v>
      </c>
      <c r="L153" s="120">
        <f>COUNTIF(Entropy!$D:$D,$B153)</f>
        <v>0</v>
      </c>
      <c r="M153" s="121">
        <f t="shared" si="4"/>
        <v>0</v>
      </c>
      <c r="N153" s="121">
        <f t="shared" si="5"/>
        <v>0</v>
      </c>
      <c r="O153" s="118">
        <f>IF($J153=11,0,IF(AND($H153 &gt;=VLOOKUP('Combined Standings'!$C$2,Quotas!$A$7:$E$14,4,FALSE), $H153&lt;=VLOOKUP('Combined Standings'!$C$2,Quotas!$A$7:$E$14,5,FALSE)), 0,VLOOKUP('Combined Standings'!$C$2,Quotas!$A$7:$E$11,4,FALSE)-$H153))</f>
        <v>13</v>
      </c>
      <c r="P153" s="118">
        <f>IF($J153=11,0,IF(AND($H153 &gt;=VLOOKUP('Combined Standings'!$C$2,Quotas!$A$7:$E$14,5,FALSE), $H153&lt;=VLOOKUP('Combined Standings'!$C$2,Quotas!$A$7:$E$14,5,FALSE)), 0,VLOOKUP('Combined Standings'!$C$2,Quotas!$A$7:$E$11,5,FALSE)-$H153))</f>
        <v>15</v>
      </c>
      <c r="Q153" s="31">
        <f t="shared" si="6"/>
        <v>11</v>
      </c>
      <c r="R153" s="122" t="str">
        <f t="shared" si="7"/>
        <v/>
      </c>
      <c r="S153" s="121">
        <f t="shared" si="8"/>
        <v>0.33</v>
      </c>
      <c r="T153" s="122" t="str">
        <f>IFERROR(__xludf.DUMMYFUNCTION("JOIN("","",IFERROR(FILTER(Matches!$B:$B,B153=Matches!$C:$C),""""),IFERROR(FILTER(Matches!$C:$C,B153=Matches!$B:$B),""""))"),",,,,,,,,,,,,,,,,,,,,,,,,,,,,,,,,,,,,,,,,,,,,,,,,,,,,,,,,,,,,,,,,,,,,,,,,,,,,,,,,,,,,,,,,,,,,,,,,,,,,,,,,,,,,,,,,,,,,,,,,,,,,,,,,,,,,,,,,,,,,,,,,,,,,,,,,,,,,,,,,,,,,,,,,,,,,,,,,,,,,,,,,,,,,,,,,,,,,,,,,,,,,,,,,,,,,,,,,,,,,,,,,,,,,,,,,,,,,,,,,,,,,,,,,,,,,,,,")</f>
        <v>,,,,,,,,,,,,,,,,,,,,,,,,,,,,,,,,,,,,,,,,,,,,,,,,,,,,,,,,,,,,,,,,,,,,,,,,,,,,,,,,,,,,,,,,,,,,,,,,,,,,,,,,,,,,,,,,,,,,,,,,,,,,,,,,,,,,,,,,,,,,,,,,,,,,,,,,,,,,,,,,,,,,,,,,,,,,,,,,,,,,,,,,,,,,,,,,,,,,,,,,,,,,,,,,,,,,,,,,,,,,,,,,,,,,,,,,,,,,,,,,,,,,,,,,,,,,,,,</v>
      </c>
      <c r="U153" s="121">
        <f>IFERROR(__xludf.DUMMYFUNCTION("iferror(AVERAGE(ARRAYFORMULA(VLOOKUP(SPLIT(T153,"","",TRUE,TRUE),$R$2:$S1000,2,FALSE))),0)"),0.0)</f>
        <v>0</v>
      </c>
      <c r="V153" s="123">
        <f>IFERROR(__xludf.DUMMYFUNCTION("RANK($I153, $I$2:$I1000, FALSE) + RANK($M153, Filter($M$2:$M1000, $I$2:$I1000=$I153),FALSE)+RANK($U153, Filter($U$2:$U1000, $I$2:$I1000=$I153,$M$2:$M1000=$M153),FALSE)-2"),1.0)</f>
        <v>1</v>
      </c>
      <c r="W153" s="124" t="str">
        <f t="shared" si="9"/>
        <v>Underplay</v>
      </c>
      <c r="X153" s="125" t="str">
        <f t="shared" si="10"/>
        <v/>
      </c>
      <c r="Y153" s="126">
        <f>MAXIFS(Matches!$A:$A,Matches!$C:$C,$B153)</f>
        <v>0</v>
      </c>
      <c r="Z153" s="126">
        <f t="array" ref="Z153">XLOOKUP(Y153,Quotas!$B$7:$B$10,Quotas!$A$7:$A$10,0,-1)</f>
        <v>0</v>
      </c>
      <c r="AB153" s="31"/>
      <c r="AC153" s="31">
        <f>COUNTIFS(Matches!$A:$A,"&gt;"&amp;Y153,Matches!$B:$B,$B153)</f>
        <v>0</v>
      </c>
      <c r="AD153" s="31"/>
      <c r="AE153" s="127">
        <f>SUMIF('Pool Changes'!B:B, B153, 'Pool Changes'!H:H)</f>
        <v>0</v>
      </c>
    </row>
    <row r="154">
      <c r="A154" s="104">
        <f t="shared" si="1"/>
        <v>1</v>
      </c>
      <c r="C154" s="128"/>
      <c r="D154" s="74"/>
      <c r="E154" s="1"/>
      <c r="F154" s="1"/>
      <c r="G154" s="1"/>
      <c r="H154" s="118">
        <f>COUNTIF(Entropy!$D:$D,$B154)+COUNTIF(Matches!$B:$B,$B154)+COUNTIF(Matches!$C:$C,$B154)</f>
        <v>0</v>
      </c>
      <c r="I154" s="119">
        <f>COUNTIF(Matches!$B:$B,B154)</f>
        <v>0</v>
      </c>
      <c r="J154" s="31">
        <f t="shared" si="2"/>
        <v>0</v>
      </c>
      <c r="K154" s="1" t="str">
        <f t="shared" si="3"/>
        <v>0 - 0</v>
      </c>
      <c r="L154" s="120">
        <f>COUNTIF(Entropy!$D:$D,$B154)</f>
        <v>0</v>
      </c>
      <c r="M154" s="121">
        <f t="shared" si="4"/>
        <v>0</v>
      </c>
      <c r="N154" s="121">
        <f t="shared" si="5"/>
        <v>0</v>
      </c>
      <c r="O154" s="118">
        <f>IF($J154=11,0,IF(AND($H154 &gt;=VLOOKUP('Combined Standings'!$C$2,Quotas!$A$7:$E$14,4,FALSE), $H154&lt;=VLOOKUP('Combined Standings'!$C$2,Quotas!$A$7:$E$14,5,FALSE)), 0,VLOOKUP('Combined Standings'!$C$2,Quotas!$A$7:$E$11,4,FALSE)-$H154))</f>
        <v>13</v>
      </c>
      <c r="P154" s="118">
        <f>IF($J154=11,0,IF(AND($H154 &gt;=VLOOKUP('Combined Standings'!$C$2,Quotas!$A$7:$E$14,5,FALSE), $H154&lt;=VLOOKUP('Combined Standings'!$C$2,Quotas!$A$7:$E$14,5,FALSE)), 0,VLOOKUP('Combined Standings'!$C$2,Quotas!$A$7:$E$11,5,FALSE)-$H154))</f>
        <v>15</v>
      </c>
      <c r="Q154" s="31">
        <f t="shared" si="6"/>
        <v>11</v>
      </c>
      <c r="R154" s="122" t="str">
        <f t="shared" si="7"/>
        <v/>
      </c>
      <c r="S154" s="121">
        <f t="shared" si="8"/>
        <v>0.33</v>
      </c>
      <c r="T154" s="122" t="str">
        <f>IFERROR(__xludf.DUMMYFUNCTION("JOIN("","",IFERROR(FILTER(Matches!$B:$B,B154=Matches!$C:$C),""""),IFERROR(FILTER(Matches!$C:$C,B154=Matches!$B:$B),""""))"),",,,,,,,,,,,,,,,,,,,,,,,,,,,,,,,,,,,,,,,,,,,,,,,,,,,,,,,,,,,,,,,,,,,,,,,,,,,,,,,,,,,,,,,,,,,,,,,,,,,,,,,,,,,,,,,,,,,,,,,,,,,,,,,,,,,,,,,,,,,,,,,,,,,,,,,,,,,,,,,,,,,,,,,,,,,,,,,,,,,,,,,,,,,,,,,,,,,,,,,,,,,,,,,,,,,,,,,,,,,,,,,,,,,,,,,,,,,,,,,,,,,,,,,,,,,,,,,")</f>
        <v>,,,,,,,,,,,,,,,,,,,,,,,,,,,,,,,,,,,,,,,,,,,,,,,,,,,,,,,,,,,,,,,,,,,,,,,,,,,,,,,,,,,,,,,,,,,,,,,,,,,,,,,,,,,,,,,,,,,,,,,,,,,,,,,,,,,,,,,,,,,,,,,,,,,,,,,,,,,,,,,,,,,,,,,,,,,,,,,,,,,,,,,,,,,,,,,,,,,,,,,,,,,,,,,,,,,,,,,,,,,,,,,,,,,,,,,,,,,,,,,,,,,,,,,,,,,,,,,</v>
      </c>
      <c r="U154" s="121">
        <f>IFERROR(__xludf.DUMMYFUNCTION("iferror(AVERAGE(ARRAYFORMULA(VLOOKUP(SPLIT(T154,"","",TRUE,TRUE),$R$2:$S1000,2,FALSE))),0)"),0.0)</f>
        <v>0</v>
      </c>
      <c r="V154" s="123">
        <f>IFERROR(__xludf.DUMMYFUNCTION("RANK($I154, $I$2:$I1000, FALSE) + RANK($M154, Filter($M$2:$M1000, $I$2:$I1000=$I154),FALSE)+RANK($U154, Filter($U$2:$U1000, $I$2:$I1000=$I154,$M$2:$M1000=$M154),FALSE)-2"),1.0)</f>
        <v>1</v>
      </c>
      <c r="W154" s="124" t="str">
        <f t="shared" si="9"/>
        <v>Underplay</v>
      </c>
      <c r="X154" s="125" t="str">
        <f t="shared" si="10"/>
        <v/>
      </c>
      <c r="Y154" s="126">
        <f>MAXIFS(Matches!$A:$A,Matches!$C:$C,$B154)</f>
        <v>0</v>
      </c>
      <c r="Z154" s="126">
        <f t="array" ref="Z154">XLOOKUP(Y154,Quotas!$B$7:$B$10,Quotas!$A$7:$A$10,0,-1)</f>
        <v>0</v>
      </c>
      <c r="AB154" s="31"/>
      <c r="AC154" s="31">
        <f>COUNTIFS(Matches!$A:$A,"&gt;"&amp;Y154,Matches!$B:$B,$B154)</f>
        <v>0</v>
      </c>
      <c r="AD154" s="31"/>
      <c r="AE154" s="127">
        <f>SUMIF('Pool Changes'!B:B, B154, 'Pool Changes'!H:H)</f>
        <v>0</v>
      </c>
    </row>
    <row r="155">
      <c r="A155" s="104">
        <f t="shared" si="1"/>
        <v>1</v>
      </c>
      <c r="C155" s="128"/>
      <c r="D155" s="74"/>
      <c r="E155" s="1"/>
      <c r="F155" s="1"/>
      <c r="G155" s="1"/>
      <c r="H155" s="118">
        <f>COUNTIF(Entropy!$D:$D,$B155)+COUNTIF(Matches!$B:$B,$B155)+COUNTIF(Matches!$C:$C,$B155)</f>
        <v>0</v>
      </c>
      <c r="I155" s="119">
        <f>COUNTIF(Matches!$B:$B,B155)</f>
        <v>0</v>
      </c>
      <c r="J155" s="31">
        <f t="shared" si="2"/>
        <v>0</v>
      </c>
      <c r="K155" s="1" t="str">
        <f t="shared" si="3"/>
        <v>0 - 0</v>
      </c>
      <c r="L155" s="120">
        <f>COUNTIF(Entropy!$D:$D,$B155)</f>
        <v>0</v>
      </c>
      <c r="M155" s="121">
        <f t="shared" si="4"/>
        <v>0</v>
      </c>
      <c r="N155" s="121">
        <f t="shared" si="5"/>
        <v>0</v>
      </c>
      <c r="O155" s="118">
        <f>IF($J155=11,0,IF(AND($H155 &gt;=VLOOKUP('Combined Standings'!$C$2,Quotas!$A$7:$E$14,4,FALSE), $H155&lt;=VLOOKUP('Combined Standings'!$C$2,Quotas!$A$7:$E$14,5,FALSE)), 0,VLOOKUP('Combined Standings'!$C$2,Quotas!$A$7:$E$11,4,FALSE)-$H155))</f>
        <v>13</v>
      </c>
      <c r="P155" s="118">
        <f>IF($J155=11,0,IF(AND($H155 &gt;=VLOOKUP('Combined Standings'!$C$2,Quotas!$A$7:$E$14,5,FALSE), $H155&lt;=VLOOKUP('Combined Standings'!$C$2,Quotas!$A$7:$E$14,5,FALSE)), 0,VLOOKUP('Combined Standings'!$C$2,Quotas!$A$7:$E$11,5,FALSE)-$H155))</f>
        <v>15</v>
      </c>
      <c r="Q155" s="31">
        <f t="shared" si="6"/>
        <v>11</v>
      </c>
      <c r="R155" s="122" t="str">
        <f t="shared" si="7"/>
        <v/>
      </c>
      <c r="S155" s="121">
        <f t="shared" si="8"/>
        <v>0.33</v>
      </c>
      <c r="T155" s="122" t="str">
        <f>IFERROR(__xludf.DUMMYFUNCTION("JOIN("","",IFERROR(FILTER(Matches!$B:$B,B155=Matches!$C:$C),""""),IFERROR(FILTER(Matches!$C:$C,B155=Matches!$B:$B),""""))"),",,,,,,,,,,,,,,,,,,,,,,,,,,,,,,,,,,,,,,,,,,,,,,,,,,,,,,,,,,,,,,,,,,,,,,,,,,,,,,,,,,,,,,,,,,,,,,,,,,,,,,,,,,,,,,,,,,,,,,,,,,,,,,,,,,,,,,,,,,,,,,,,,,,,,,,,,,,,,,,,,,,,,,,,,,,,,,,,,,,,,,,,,,,,,,,,,,,,,,,,,,,,,,,,,,,,,,,,,,,,,,,,,,,,,,,,,,,,,,,,,,,,,,,,,,,,,,,")</f>
        <v>,,,,,,,,,,,,,,,,,,,,,,,,,,,,,,,,,,,,,,,,,,,,,,,,,,,,,,,,,,,,,,,,,,,,,,,,,,,,,,,,,,,,,,,,,,,,,,,,,,,,,,,,,,,,,,,,,,,,,,,,,,,,,,,,,,,,,,,,,,,,,,,,,,,,,,,,,,,,,,,,,,,,,,,,,,,,,,,,,,,,,,,,,,,,,,,,,,,,,,,,,,,,,,,,,,,,,,,,,,,,,,,,,,,,,,,,,,,,,,,,,,,,,,,,,,,,,,,</v>
      </c>
      <c r="U155" s="121">
        <f>IFERROR(__xludf.DUMMYFUNCTION("iferror(AVERAGE(ARRAYFORMULA(VLOOKUP(SPLIT(T155,"","",TRUE,TRUE),$R$2:$S1000,2,FALSE))),0)"),0.0)</f>
        <v>0</v>
      </c>
      <c r="V155" s="123">
        <f>IFERROR(__xludf.DUMMYFUNCTION("RANK($I155, $I$2:$I1000, FALSE) + RANK($M155, Filter($M$2:$M1000, $I$2:$I1000=$I155),FALSE)+RANK($U155, Filter($U$2:$U1000, $I$2:$I1000=$I155,$M$2:$M1000=$M155),FALSE)-2"),1.0)</f>
        <v>1</v>
      </c>
      <c r="W155" s="124" t="str">
        <f t="shared" si="9"/>
        <v>Underplay</v>
      </c>
      <c r="X155" s="125" t="str">
        <f t="shared" si="10"/>
        <v/>
      </c>
      <c r="Y155" s="126">
        <f>MAXIFS(Matches!$A:$A,Matches!$C:$C,$B155)</f>
        <v>0</v>
      </c>
      <c r="Z155" s="126">
        <f t="array" ref="Z155">XLOOKUP(Y155,Quotas!$B$7:$B$10,Quotas!$A$7:$A$10,0,-1)</f>
        <v>0</v>
      </c>
      <c r="AB155" s="31"/>
      <c r="AC155" s="31">
        <f>COUNTIFS(Matches!$A:$A,"&gt;"&amp;Y155,Matches!$B:$B,$B155)</f>
        <v>0</v>
      </c>
      <c r="AD155" s="31"/>
      <c r="AE155" s="127">
        <f>SUMIF('Pool Changes'!B:B, B155, 'Pool Changes'!H:H)</f>
        <v>0</v>
      </c>
    </row>
    <row r="156">
      <c r="A156" s="104">
        <f t="shared" si="1"/>
        <v>1</v>
      </c>
      <c r="C156" s="128"/>
      <c r="D156" s="74"/>
      <c r="E156" s="1"/>
      <c r="F156" s="1"/>
      <c r="G156" s="1"/>
      <c r="H156" s="118">
        <f>COUNTIF(Entropy!$D:$D,$B156)+COUNTIF(Matches!$B:$B,$B156)+COUNTIF(Matches!$C:$C,$B156)</f>
        <v>0</v>
      </c>
      <c r="I156" s="119">
        <f>COUNTIF(Matches!$B:$B,B156)</f>
        <v>0</v>
      </c>
      <c r="J156" s="31">
        <f t="shared" si="2"/>
        <v>0</v>
      </c>
      <c r="K156" s="1" t="str">
        <f t="shared" si="3"/>
        <v>0 - 0</v>
      </c>
      <c r="L156" s="120">
        <f>COUNTIF(Entropy!$D:$D,$B156)</f>
        <v>0</v>
      </c>
      <c r="M156" s="121">
        <f t="shared" si="4"/>
        <v>0</v>
      </c>
      <c r="N156" s="121">
        <f t="shared" si="5"/>
        <v>0</v>
      </c>
      <c r="O156" s="118">
        <f>IF($J156=11,0,IF(AND($H156 &gt;=VLOOKUP('Combined Standings'!$C$2,Quotas!$A$7:$E$14,4,FALSE), $H156&lt;=VLOOKUP('Combined Standings'!$C$2,Quotas!$A$7:$E$14,5,FALSE)), 0,VLOOKUP('Combined Standings'!$C$2,Quotas!$A$7:$E$11,4,FALSE)-$H156))</f>
        <v>13</v>
      </c>
      <c r="P156" s="118">
        <f>IF($J156=11,0,IF(AND($H156 &gt;=VLOOKUP('Combined Standings'!$C$2,Quotas!$A$7:$E$14,5,FALSE), $H156&lt;=VLOOKUP('Combined Standings'!$C$2,Quotas!$A$7:$E$14,5,FALSE)), 0,VLOOKUP('Combined Standings'!$C$2,Quotas!$A$7:$E$11,5,FALSE)-$H156))</f>
        <v>15</v>
      </c>
      <c r="Q156" s="31">
        <f t="shared" si="6"/>
        <v>11</v>
      </c>
      <c r="R156" s="122" t="str">
        <f t="shared" si="7"/>
        <v/>
      </c>
      <c r="S156" s="121">
        <f t="shared" si="8"/>
        <v>0.33</v>
      </c>
      <c r="T156" s="122" t="str">
        <f>IFERROR(__xludf.DUMMYFUNCTION("JOIN("","",IFERROR(FILTER(Matches!$B:$B,B156=Matches!$C:$C),""""),IFERROR(FILTER(Matches!$C:$C,B156=Matches!$B:$B),""""))"),",,,,,,,,,,,,,,,,,,,,,,,,,,,,,,,,,,,,,,,,,,,,,,,,,,,,,,,,,,,,,,,,,,,,,,,,,,,,,,,,,,,,,,,,,,,,,,,,,,,,,,,,,,,,,,,,,,,,,,,,,,,,,,,,,,,,,,,,,,,,,,,,,,,,,,,,,,,,,,,,,,,,,,,,,,,,,,,,,,,,,,,,,,,,,,,,,,,,,,,,,,,,,,,,,,,,,,,,,,,,,,,,,,,,,,,,,,,,,,,,,,,,,,,,,,,,,,,")</f>
        <v>,,,,,,,,,,,,,,,,,,,,,,,,,,,,,,,,,,,,,,,,,,,,,,,,,,,,,,,,,,,,,,,,,,,,,,,,,,,,,,,,,,,,,,,,,,,,,,,,,,,,,,,,,,,,,,,,,,,,,,,,,,,,,,,,,,,,,,,,,,,,,,,,,,,,,,,,,,,,,,,,,,,,,,,,,,,,,,,,,,,,,,,,,,,,,,,,,,,,,,,,,,,,,,,,,,,,,,,,,,,,,,,,,,,,,,,,,,,,,,,,,,,,,,,,,,,,,,,</v>
      </c>
      <c r="U156" s="121">
        <f>IFERROR(__xludf.DUMMYFUNCTION("iferror(AVERAGE(ARRAYFORMULA(VLOOKUP(SPLIT(T156,"","",TRUE,TRUE),$R$2:$S1000,2,FALSE))),0)"),0.0)</f>
        <v>0</v>
      </c>
      <c r="V156" s="123">
        <f>IFERROR(__xludf.DUMMYFUNCTION("RANK($I156, $I$2:$I1000, FALSE) + RANK($M156, Filter($M$2:$M1000, $I$2:$I1000=$I156),FALSE)+RANK($U156, Filter($U$2:$U1000, $I$2:$I1000=$I156,$M$2:$M1000=$M156),FALSE)-2"),1.0)</f>
        <v>1</v>
      </c>
      <c r="W156" s="124" t="str">
        <f t="shared" si="9"/>
        <v>Underplay</v>
      </c>
      <c r="X156" s="125" t="str">
        <f t="shared" si="10"/>
        <v/>
      </c>
      <c r="Y156" s="126">
        <f>MAXIFS(Matches!$A:$A,Matches!$C:$C,$B156)</f>
        <v>0</v>
      </c>
      <c r="Z156" s="126">
        <f t="array" ref="Z156">XLOOKUP(Y156,Quotas!$B$7:$B$10,Quotas!$A$7:$A$10,0,-1)</f>
        <v>0</v>
      </c>
      <c r="AB156" s="31"/>
      <c r="AC156" s="31">
        <f>COUNTIFS(Matches!$A:$A,"&gt;"&amp;Y156,Matches!$B:$B,$B156)</f>
        <v>0</v>
      </c>
      <c r="AD156" s="31"/>
      <c r="AE156" s="127">
        <f>SUMIF('Pool Changes'!B:B, B156, 'Pool Changes'!H:H)</f>
        <v>0</v>
      </c>
    </row>
    <row r="157">
      <c r="A157" s="104">
        <f t="shared" si="1"/>
        <v>1</v>
      </c>
      <c r="C157" s="128"/>
      <c r="D157" s="74"/>
      <c r="E157" s="1"/>
      <c r="F157" s="1"/>
      <c r="G157" s="1"/>
      <c r="H157" s="118">
        <f>COUNTIF(Entropy!$D:$D,$B157)+COUNTIF(Matches!$B:$B,$B157)+COUNTIF(Matches!$C:$C,$B157)</f>
        <v>0</v>
      </c>
      <c r="I157" s="119">
        <f>COUNTIF(Matches!$B:$B,B157)</f>
        <v>0</v>
      </c>
      <c r="J157" s="31">
        <f t="shared" si="2"/>
        <v>0</v>
      </c>
      <c r="K157" s="1" t="str">
        <f t="shared" si="3"/>
        <v>0 - 0</v>
      </c>
      <c r="L157" s="120">
        <f>COUNTIF(Entropy!$D:$D,$B157)</f>
        <v>0</v>
      </c>
      <c r="M157" s="121">
        <f t="shared" si="4"/>
        <v>0</v>
      </c>
      <c r="N157" s="121">
        <f t="shared" si="5"/>
        <v>0</v>
      </c>
      <c r="O157" s="118">
        <f>IF($J157=11,0,IF(AND($H157 &gt;=VLOOKUP('Combined Standings'!$C$2,Quotas!$A$7:$E$14,4,FALSE), $H157&lt;=VLOOKUP('Combined Standings'!$C$2,Quotas!$A$7:$E$14,5,FALSE)), 0,VLOOKUP('Combined Standings'!$C$2,Quotas!$A$7:$E$11,4,FALSE)-$H157))</f>
        <v>13</v>
      </c>
      <c r="P157" s="118">
        <f>IF($J157=11,0,IF(AND($H157 &gt;=VLOOKUP('Combined Standings'!$C$2,Quotas!$A$7:$E$14,5,FALSE), $H157&lt;=VLOOKUP('Combined Standings'!$C$2,Quotas!$A$7:$E$14,5,FALSE)), 0,VLOOKUP('Combined Standings'!$C$2,Quotas!$A$7:$E$11,5,FALSE)-$H157))</f>
        <v>15</v>
      </c>
      <c r="Q157" s="31">
        <f t="shared" si="6"/>
        <v>11</v>
      </c>
      <c r="R157" s="122" t="str">
        <f t="shared" si="7"/>
        <v/>
      </c>
      <c r="S157" s="121">
        <f t="shared" si="8"/>
        <v>0.33</v>
      </c>
      <c r="T157" s="122" t="str">
        <f>IFERROR(__xludf.DUMMYFUNCTION("JOIN("","",IFERROR(FILTER(Matches!$B:$B,B157=Matches!$C:$C),""""),IFERROR(FILTER(Matches!$C:$C,B157=Matches!$B:$B),""""))"),",,,,,,,,,,,,,,,,,,,,,,,,,,,,,,,,,,,,,,,,,,,,,,,,,,,,,,,,,,,,,,,,,,,,,,,,,,,,,,,,,,,,,,,,,,,,,,,,,,,,,,,,,,,,,,,,,,,,,,,,,,,,,,,,,,,,,,,,,,,,,,,,,,,,,,,,,,,,,,,,,,,,,,,,,,,,,,,,,,,,,,,,,,,,,,,,,,,,,,,,,,,,,,,,,,,,,,,,,,,,,,,,,,,,,,,,,,,,,,,,,,,,,,,,,,,,,,,")</f>
        <v>,,,,,,,,,,,,,,,,,,,,,,,,,,,,,,,,,,,,,,,,,,,,,,,,,,,,,,,,,,,,,,,,,,,,,,,,,,,,,,,,,,,,,,,,,,,,,,,,,,,,,,,,,,,,,,,,,,,,,,,,,,,,,,,,,,,,,,,,,,,,,,,,,,,,,,,,,,,,,,,,,,,,,,,,,,,,,,,,,,,,,,,,,,,,,,,,,,,,,,,,,,,,,,,,,,,,,,,,,,,,,,,,,,,,,,,,,,,,,,,,,,,,,,,,,,,,,,,</v>
      </c>
      <c r="U157" s="121">
        <f>IFERROR(__xludf.DUMMYFUNCTION("iferror(AVERAGE(ARRAYFORMULA(VLOOKUP(SPLIT(T157,"","",TRUE,TRUE),$R$2:$S1000,2,FALSE))),0)"),0.0)</f>
        <v>0</v>
      </c>
      <c r="V157" s="123">
        <f>IFERROR(__xludf.DUMMYFUNCTION("RANK($I157, $I$2:$I1000, FALSE) + RANK($M157, Filter($M$2:$M1000, $I$2:$I1000=$I157),FALSE)+RANK($U157, Filter($U$2:$U1000, $I$2:$I1000=$I157,$M$2:$M1000=$M157),FALSE)-2"),1.0)</f>
        <v>1</v>
      </c>
      <c r="W157" s="124" t="str">
        <f t="shared" si="9"/>
        <v>Underplay</v>
      </c>
      <c r="X157" s="125" t="str">
        <f t="shared" si="10"/>
        <v/>
      </c>
      <c r="Y157" s="126">
        <f>MAXIFS(Matches!$A:$A,Matches!$C:$C,$B157)</f>
        <v>0</v>
      </c>
      <c r="Z157" s="126">
        <f t="array" ref="Z157">XLOOKUP(Y157,Quotas!$B$7:$B$10,Quotas!$A$7:$A$10,0,-1)</f>
        <v>0</v>
      </c>
      <c r="AB157" s="31"/>
      <c r="AC157" s="31">
        <f>COUNTIFS(Matches!$A:$A,"&gt;"&amp;Y157,Matches!$B:$B,$B157)</f>
        <v>0</v>
      </c>
      <c r="AD157" s="31"/>
      <c r="AE157" s="127">
        <f>SUMIF('Pool Changes'!B:B, B157, 'Pool Changes'!H:H)</f>
        <v>0</v>
      </c>
    </row>
    <row r="158">
      <c r="A158" s="104">
        <f t="shared" si="1"/>
        <v>1</v>
      </c>
      <c r="C158" s="128"/>
      <c r="D158" s="74"/>
      <c r="E158" s="1"/>
      <c r="F158" s="1"/>
      <c r="G158" s="1"/>
      <c r="H158" s="118">
        <f>COUNTIF(Entropy!$D:$D,$B158)+COUNTIF(Matches!$B:$B,$B158)+COUNTIF(Matches!$C:$C,$B158)</f>
        <v>0</v>
      </c>
      <c r="I158" s="119">
        <f>COUNTIF(Matches!$B:$B,B158)</f>
        <v>0</v>
      </c>
      <c r="J158" s="31">
        <f t="shared" si="2"/>
        <v>0</v>
      </c>
      <c r="K158" s="1" t="str">
        <f t="shared" si="3"/>
        <v>0 - 0</v>
      </c>
      <c r="L158" s="120">
        <f>COUNTIF(Entropy!$D:$D,$B158)</f>
        <v>0</v>
      </c>
      <c r="M158" s="121">
        <f t="shared" si="4"/>
        <v>0</v>
      </c>
      <c r="N158" s="121">
        <f t="shared" si="5"/>
        <v>0</v>
      </c>
      <c r="O158" s="118">
        <f>IF($J158=11,0,IF(AND($H158 &gt;=VLOOKUP('Combined Standings'!$C$2,Quotas!$A$7:$E$14,4,FALSE), $H158&lt;=VLOOKUP('Combined Standings'!$C$2,Quotas!$A$7:$E$14,5,FALSE)), 0,VLOOKUP('Combined Standings'!$C$2,Quotas!$A$7:$E$11,4,FALSE)-$H158))</f>
        <v>13</v>
      </c>
      <c r="P158" s="118">
        <f>IF($J158=11,0,IF(AND($H158 &gt;=VLOOKUP('Combined Standings'!$C$2,Quotas!$A$7:$E$14,5,FALSE), $H158&lt;=VLOOKUP('Combined Standings'!$C$2,Quotas!$A$7:$E$14,5,FALSE)), 0,VLOOKUP('Combined Standings'!$C$2,Quotas!$A$7:$E$11,5,FALSE)-$H158))</f>
        <v>15</v>
      </c>
      <c r="Q158" s="31">
        <f t="shared" si="6"/>
        <v>11</v>
      </c>
      <c r="R158" s="122" t="str">
        <f t="shared" si="7"/>
        <v/>
      </c>
      <c r="S158" s="121">
        <f t="shared" si="8"/>
        <v>0.33</v>
      </c>
      <c r="T158" s="122" t="str">
        <f>IFERROR(__xludf.DUMMYFUNCTION("JOIN("","",IFERROR(FILTER(Matches!$B:$B,B158=Matches!$C:$C),""""),IFERROR(FILTER(Matches!$C:$C,B158=Matches!$B:$B),""""))"),",,,,,,,,,,,,,,,,,,,,,,,,,,,,,,,,,,,,,,,,,,,,,,,,,,,,,,,,,,,,,,,,,,,,,,,,,,,,,,,,,,,,,,,,,,,,,,,,,,,,,,,,,,,,,,,,,,,,,,,,,,,,,,,,,,,,,,,,,,,,,,,,,,,,,,,,,,,,,,,,,,,,,,,,,,,,,,,,,,,,,,,,,,,,,,,,,,,,,,,,,,,,,,,,,,,,,,,,,,,,,,,,,,,,,,,,,,,,,,,,,,,,,,,,,,,,,,,")</f>
        <v>,,,,,,,,,,,,,,,,,,,,,,,,,,,,,,,,,,,,,,,,,,,,,,,,,,,,,,,,,,,,,,,,,,,,,,,,,,,,,,,,,,,,,,,,,,,,,,,,,,,,,,,,,,,,,,,,,,,,,,,,,,,,,,,,,,,,,,,,,,,,,,,,,,,,,,,,,,,,,,,,,,,,,,,,,,,,,,,,,,,,,,,,,,,,,,,,,,,,,,,,,,,,,,,,,,,,,,,,,,,,,,,,,,,,,,,,,,,,,,,,,,,,,,,,,,,,,,,</v>
      </c>
      <c r="U158" s="121">
        <f>IFERROR(__xludf.DUMMYFUNCTION("iferror(AVERAGE(ARRAYFORMULA(VLOOKUP(SPLIT(T158,"","",TRUE,TRUE),$R$2:$S1000,2,FALSE))),0)"),0.0)</f>
        <v>0</v>
      </c>
      <c r="V158" s="123">
        <f>IFERROR(__xludf.DUMMYFUNCTION("RANK($I158, $I$2:$I1000, FALSE) + RANK($M158, Filter($M$2:$M1000, $I$2:$I1000=$I158),FALSE)+RANK($U158, Filter($U$2:$U1000, $I$2:$I1000=$I158,$M$2:$M1000=$M158),FALSE)-2"),1.0)</f>
        <v>1</v>
      </c>
      <c r="W158" s="124" t="str">
        <f t="shared" si="9"/>
        <v>Underplay</v>
      </c>
      <c r="X158" s="125" t="str">
        <f t="shared" si="10"/>
        <v/>
      </c>
      <c r="Y158" s="126">
        <f>MAXIFS(Matches!$A:$A,Matches!$C:$C,$B158)</f>
        <v>0</v>
      </c>
      <c r="Z158" s="126">
        <f t="array" ref="Z158">XLOOKUP(Y158,Quotas!$B$7:$B$10,Quotas!$A$7:$A$10,0,-1)</f>
        <v>0</v>
      </c>
      <c r="AB158" s="31"/>
      <c r="AC158" s="31">
        <f>COUNTIFS(Matches!$A:$A,"&gt;"&amp;Y158,Matches!$B:$B,$B158)</f>
        <v>0</v>
      </c>
      <c r="AD158" s="31"/>
      <c r="AE158" s="127">
        <f>SUMIF('Pool Changes'!B:B, B158, 'Pool Changes'!H:H)</f>
        <v>0</v>
      </c>
    </row>
    <row r="159">
      <c r="A159" s="104">
        <f t="shared" si="1"/>
        <v>1</v>
      </c>
      <c r="C159" s="128"/>
      <c r="D159" s="74"/>
      <c r="E159" s="1"/>
      <c r="F159" s="1"/>
      <c r="G159" s="1"/>
      <c r="H159" s="118">
        <f>COUNTIF(Entropy!$D:$D,$B159)+COUNTIF(Matches!$B:$B,$B159)+COUNTIF(Matches!$C:$C,$B159)</f>
        <v>0</v>
      </c>
      <c r="I159" s="119">
        <f>COUNTIF(Matches!$B:$B,B159)</f>
        <v>0</v>
      </c>
      <c r="J159" s="31">
        <f t="shared" si="2"/>
        <v>0</v>
      </c>
      <c r="K159" s="1" t="str">
        <f t="shared" si="3"/>
        <v>0 - 0</v>
      </c>
      <c r="L159" s="120">
        <f>COUNTIF(Entropy!$D:$D,$B159)</f>
        <v>0</v>
      </c>
      <c r="M159" s="121">
        <f t="shared" si="4"/>
        <v>0</v>
      </c>
      <c r="N159" s="121">
        <f t="shared" si="5"/>
        <v>0</v>
      </c>
      <c r="O159" s="118">
        <f>IF($J159=11,0,IF(AND($H159 &gt;=VLOOKUP('Combined Standings'!$C$2,Quotas!$A$7:$E$14,4,FALSE), $H159&lt;=VLOOKUP('Combined Standings'!$C$2,Quotas!$A$7:$E$14,5,FALSE)), 0,VLOOKUP('Combined Standings'!$C$2,Quotas!$A$7:$E$11,4,FALSE)-$H159))</f>
        <v>13</v>
      </c>
      <c r="P159" s="118">
        <f>IF($J159=11,0,IF(AND($H159 &gt;=VLOOKUP('Combined Standings'!$C$2,Quotas!$A$7:$E$14,5,FALSE), $H159&lt;=VLOOKUP('Combined Standings'!$C$2,Quotas!$A$7:$E$14,5,FALSE)), 0,VLOOKUP('Combined Standings'!$C$2,Quotas!$A$7:$E$11,5,FALSE)-$H159))</f>
        <v>15</v>
      </c>
      <c r="Q159" s="31">
        <f t="shared" si="6"/>
        <v>11</v>
      </c>
      <c r="R159" s="122" t="str">
        <f t="shared" si="7"/>
        <v/>
      </c>
      <c r="S159" s="121">
        <f t="shared" si="8"/>
        <v>0.33</v>
      </c>
      <c r="T159" s="122" t="str">
        <f>IFERROR(__xludf.DUMMYFUNCTION("JOIN("","",IFERROR(FILTER(Matches!$B:$B,B159=Matches!$C:$C),""""),IFERROR(FILTER(Matches!$C:$C,B159=Matches!$B:$B),""""))"),",,,,,,,,,,,,,,,,,,,,,,,,,,,,,,,,,,,,,,,,,,,,,,,,,,,,,,,,,,,,,,,,,,,,,,,,,,,,,,,,,,,,,,,,,,,,,,,,,,,,,,,,,,,,,,,,,,,,,,,,,,,,,,,,,,,,,,,,,,,,,,,,,,,,,,,,,,,,,,,,,,,,,,,,,,,,,,,,,,,,,,,,,,,,,,,,,,,,,,,,,,,,,,,,,,,,,,,,,,,,,,,,,,,,,,,,,,,,,,,,,,,,,,,,,,,,,,,")</f>
        <v>,,,,,,,,,,,,,,,,,,,,,,,,,,,,,,,,,,,,,,,,,,,,,,,,,,,,,,,,,,,,,,,,,,,,,,,,,,,,,,,,,,,,,,,,,,,,,,,,,,,,,,,,,,,,,,,,,,,,,,,,,,,,,,,,,,,,,,,,,,,,,,,,,,,,,,,,,,,,,,,,,,,,,,,,,,,,,,,,,,,,,,,,,,,,,,,,,,,,,,,,,,,,,,,,,,,,,,,,,,,,,,,,,,,,,,,,,,,,,,,,,,,,,,,,,,,,,,,</v>
      </c>
      <c r="U159" s="121">
        <f>IFERROR(__xludf.DUMMYFUNCTION("iferror(AVERAGE(ARRAYFORMULA(VLOOKUP(SPLIT(T159,"","",TRUE,TRUE),$R$2:$S1000,2,FALSE))),0)"),0.0)</f>
        <v>0</v>
      </c>
      <c r="V159" s="123">
        <f>IFERROR(__xludf.DUMMYFUNCTION("RANK($I159, $I$2:$I1000, FALSE) + RANK($M159, Filter($M$2:$M1000, $I$2:$I1000=$I159),FALSE)+RANK($U159, Filter($U$2:$U1000, $I$2:$I1000=$I159,$M$2:$M1000=$M159),FALSE)-2"),1.0)</f>
        <v>1</v>
      </c>
      <c r="W159" s="124" t="str">
        <f t="shared" si="9"/>
        <v>Underplay</v>
      </c>
      <c r="X159" s="125" t="str">
        <f t="shared" si="10"/>
        <v/>
      </c>
      <c r="Y159" s="126">
        <f>MAXIFS(Matches!$A:$A,Matches!$C:$C,$B159)</f>
        <v>0</v>
      </c>
      <c r="Z159" s="126">
        <f t="array" ref="Z159">XLOOKUP(Y159,Quotas!$B$7:$B$10,Quotas!$A$7:$A$10,0,-1)</f>
        <v>0</v>
      </c>
      <c r="AB159" s="31"/>
      <c r="AC159" s="31">
        <f>COUNTIFS(Matches!$A:$A,"&gt;"&amp;Y159,Matches!$B:$B,$B159)</f>
        <v>0</v>
      </c>
      <c r="AD159" s="31"/>
      <c r="AE159" s="127">
        <f>SUMIF('Pool Changes'!B:B, B159, 'Pool Changes'!H:H)</f>
        <v>0</v>
      </c>
    </row>
    <row r="160">
      <c r="A160" s="104">
        <f t="shared" si="1"/>
        <v>1</v>
      </c>
      <c r="C160" s="128"/>
      <c r="D160" s="74"/>
      <c r="E160" s="1"/>
      <c r="F160" s="1"/>
      <c r="G160" s="1"/>
      <c r="H160" s="118">
        <f>COUNTIF(Entropy!$D:$D,$B160)+COUNTIF(Matches!$B:$B,$B160)+COUNTIF(Matches!$C:$C,$B160)</f>
        <v>0</v>
      </c>
      <c r="I160" s="119">
        <f>COUNTIF(Matches!$B:$B,B160)</f>
        <v>0</v>
      </c>
      <c r="J160" s="31">
        <f t="shared" si="2"/>
        <v>0</v>
      </c>
      <c r="K160" s="1" t="str">
        <f t="shared" si="3"/>
        <v>0 - 0</v>
      </c>
      <c r="L160" s="120">
        <f>COUNTIF(Entropy!$D:$D,$B160)</f>
        <v>0</v>
      </c>
      <c r="M160" s="121">
        <f t="shared" si="4"/>
        <v>0</v>
      </c>
      <c r="N160" s="121">
        <f t="shared" si="5"/>
        <v>0</v>
      </c>
      <c r="O160" s="118">
        <f>IF($J160=11,0,IF(AND($H160 &gt;=VLOOKUP('Combined Standings'!$C$2,Quotas!$A$7:$E$14,4,FALSE), $H160&lt;=VLOOKUP('Combined Standings'!$C$2,Quotas!$A$7:$E$14,5,FALSE)), 0,VLOOKUP('Combined Standings'!$C$2,Quotas!$A$7:$E$11,4,FALSE)-$H160))</f>
        <v>13</v>
      </c>
      <c r="P160" s="118">
        <f>IF($J160=11,0,IF(AND($H160 &gt;=VLOOKUP('Combined Standings'!$C$2,Quotas!$A$7:$E$14,5,FALSE), $H160&lt;=VLOOKUP('Combined Standings'!$C$2,Quotas!$A$7:$E$14,5,FALSE)), 0,VLOOKUP('Combined Standings'!$C$2,Quotas!$A$7:$E$11,5,FALSE)-$H160))</f>
        <v>15</v>
      </c>
      <c r="Q160" s="31">
        <f t="shared" si="6"/>
        <v>11</v>
      </c>
      <c r="R160" s="122" t="str">
        <f t="shared" si="7"/>
        <v/>
      </c>
      <c r="S160" s="121">
        <f t="shared" si="8"/>
        <v>0.33</v>
      </c>
      <c r="T160" s="122" t="str">
        <f>IFERROR(__xludf.DUMMYFUNCTION("JOIN("","",IFERROR(FILTER(Matches!$B:$B,B160=Matches!$C:$C),""""),IFERROR(FILTER(Matches!$C:$C,B160=Matches!$B:$B),""""))"),",,,,,,,,,,,,,,,,,,,,,,,,,,,,,,,,,,,,,,,,,,,,,,,,,,,,,,,,,,,,,,,,,,,,,,,,,,,,,,,,,,,,,,,,,,,,,,,,,,,,,,,,,,,,,,,,,,,,,,,,,,,,,,,,,,,,,,,,,,,,,,,,,,,,,,,,,,,,,,,,,,,,,,,,,,,,,,,,,,,,,,,,,,,,,,,,,,,,,,,,,,,,,,,,,,,,,,,,,,,,,,,,,,,,,,,,,,,,,,,,,,,,,,,,,,,,,,,")</f>
        <v>,,,,,,,,,,,,,,,,,,,,,,,,,,,,,,,,,,,,,,,,,,,,,,,,,,,,,,,,,,,,,,,,,,,,,,,,,,,,,,,,,,,,,,,,,,,,,,,,,,,,,,,,,,,,,,,,,,,,,,,,,,,,,,,,,,,,,,,,,,,,,,,,,,,,,,,,,,,,,,,,,,,,,,,,,,,,,,,,,,,,,,,,,,,,,,,,,,,,,,,,,,,,,,,,,,,,,,,,,,,,,,,,,,,,,,,,,,,,,,,,,,,,,,,,,,,,,,,</v>
      </c>
      <c r="U160" s="121">
        <f>IFERROR(__xludf.DUMMYFUNCTION("iferror(AVERAGE(ARRAYFORMULA(VLOOKUP(SPLIT(T160,"","",TRUE,TRUE),$R$2:$S1000,2,FALSE))),0)"),0.0)</f>
        <v>0</v>
      </c>
      <c r="V160" s="123">
        <f>IFERROR(__xludf.DUMMYFUNCTION("RANK($I160, $I$2:$I1000, FALSE) + RANK($M160, Filter($M$2:$M1000, $I$2:$I1000=$I160),FALSE)+RANK($U160, Filter($U$2:$U1000, $I$2:$I1000=$I160,$M$2:$M1000=$M160),FALSE)-2"),1.0)</f>
        <v>1</v>
      </c>
      <c r="W160" s="124" t="str">
        <f t="shared" si="9"/>
        <v>Underplay</v>
      </c>
      <c r="X160" s="125" t="str">
        <f t="shared" si="10"/>
        <v/>
      </c>
      <c r="Y160" s="126">
        <f>MAXIFS(Matches!$A:$A,Matches!$C:$C,$B160)</f>
        <v>0</v>
      </c>
      <c r="Z160" s="126">
        <f t="array" ref="Z160">XLOOKUP(Y160,Quotas!$B$7:$B$10,Quotas!$A$7:$A$10,0,-1)</f>
        <v>0</v>
      </c>
      <c r="AB160" s="31"/>
      <c r="AC160" s="31">
        <f>COUNTIFS(Matches!$A:$A,"&gt;"&amp;Y160,Matches!$B:$B,$B160)</f>
        <v>0</v>
      </c>
      <c r="AD160" s="31"/>
      <c r="AE160" s="127">
        <f>SUMIF('Pool Changes'!B:B, B160, 'Pool Changes'!H:H)</f>
        <v>0</v>
      </c>
    </row>
    <row r="161">
      <c r="A161" s="104">
        <f t="shared" si="1"/>
        <v>1</v>
      </c>
      <c r="C161" s="128"/>
      <c r="D161" s="74"/>
      <c r="E161" s="1"/>
      <c r="F161" s="1"/>
      <c r="G161" s="1"/>
      <c r="H161" s="118">
        <f>COUNTIF(Entropy!$D:$D,$B161)+COUNTIF(Matches!$B:$B,$B161)+COUNTIF(Matches!$C:$C,$B161)</f>
        <v>0</v>
      </c>
      <c r="I161" s="119">
        <f>COUNTIF(Matches!$B:$B,B161)</f>
        <v>0</v>
      </c>
      <c r="J161" s="31">
        <f t="shared" si="2"/>
        <v>0</v>
      </c>
      <c r="K161" s="1" t="str">
        <f t="shared" si="3"/>
        <v>0 - 0</v>
      </c>
      <c r="L161" s="120">
        <f>COUNTIF(Entropy!$D:$D,$B161)</f>
        <v>0</v>
      </c>
      <c r="M161" s="121">
        <f t="shared" si="4"/>
        <v>0</v>
      </c>
      <c r="N161" s="121">
        <f t="shared" si="5"/>
        <v>0</v>
      </c>
      <c r="O161" s="118">
        <f>IF($J161=11,0,IF(AND($H161 &gt;=VLOOKUP('Combined Standings'!$C$2,Quotas!$A$7:$E$14,4,FALSE), $H161&lt;=VLOOKUP('Combined Standings'!$C$2,Quotas!$A$7:$E$14,5,FALSE)), 0,VLOOKUP('Combined Standings'!$C$2,Quotas!$A$7:$E$11,4,FALSE)-$H161))</f>
        <v>13</v>
      </c>
      <c r="P161" s="118">
        <f>IF($J161=11,0,IF(AND($H161 &gt;=VLOOKUP('Combined Standings'!$C$2,Quotas!$A$7:$E$14,5,FALSE), $H161&lt;=VLOOKUP('Combined Standings'!$C$2,Quotas!$A$7:$E$14,5,FALSE)), 0,VLOOKUP('Combined Standings'!$C$2,Quotas!$A$7:$E$11,5,FALSE)-$H161))</f>
        <v>15</v>
      </c>
      <c r="Q161" s="31">
        <f t="shared" si="6"/>
        <v>11</v>
      </c>
      <c r="R161" s="122" t="str">
        <f t="shared" si="7"/>
        <v/>
      </c>
      <c r="S161" s="121">
        <f t="shared" si="8"/>
        <v>0.33</v>
      </c>
      <c r="T161" s="122" t="str">
        <f>IFERROR(__xludf.DUMMYFUNCTION("JOIN("","",IFERROR(FILTER(Matches!$B:$B,B161=Matches!$C:$C),""""),IFERROR(FILTER(Matches!$C:$C,B161=Matches!$B:$B),""""))"),",,,,,,,,,,,,,,,,,,,,,,,,,,,,,,,,,,,,,,,,,,,,,,,,,,,,,,,,,,,,,,,,,,,,,,,,,,,,,,,,,,,,,,,,,,,,,,,,,,,,,,,,,,,,,,,,,,,,,,,,,,,,,,,,,,,,,,,,,,,,,,,,,,,,,,,,,,,,,,,,,,,,,,,,,,,,,,,,,,,,,,,,,,,,,,,,,,,,,,,,,,,,,,,,,,,,,,,,,,,,,,,,,,,,,,,,,,,,,,,,,,,,,,,,,,,,,,,")</f>
        <v>,,,,,,,,,,,,,,,,,,,,,,,,,,,,,,,,,,,,,,,,,,,,,,,,,,,,,,,,,,,,,,,,,,,,,,,,,,,,,,,,,,,,,,,,,,,,,,,,,,,,,,,,,,,,,,,,,,,,,,,,,,,,,,,,,,,,,,,,,,,,,,,,,,,,,,,,,,,,,,,,,,,,,,,,,,,,,,,,,,,,,,,,,,,,,,,,,,,,,,,,,,,,,,,,,,,,,,,,,,,,,,,,,,,,,,,,,,,,,,,,,,,,,,,,,,,,,,,</v>
      </c>
      <c r="U161" s="121">
        <f>IFERROR(__xludf.DUMMYFUNCTION("iferror(AVERAGE(ARRAYFORMULA(VLOOKUP(SPLIT(T161,"","",TRUE,TRUE),$R$2:$S1000,2,FALSE))),0)"),0.0)</f>
        <v>0</v>
      </c>
      <c r="V161" s="123">
        <f>IFERROR(__xludf.DUMMYFUNCTION("RANK($I161, $I$2:$I1000, FALSE) + RANK($M161, Filter($M$2:$M1000, $I$2:$I1000=$I161),FALSE)+RANK($U161, Filter($U$2:$U1000, $I$2:$I1000=$I161,$M$2:$M1000=$M161),FALSE)-2"),1.0)</f>
        <v>1</v>
      </c>
      <c r="W161" s="124" t="str">
        <f t="shared" si="9"/>
        <v>Underplay</v>
      </c>
      <c r="X161" s="125" t="str">
        <f t="shared" si="10"/>
        <v/>
      </c>
      <c r="Y161" s="126">
        <f>MAXIFS(Matches!$A:$A,Matches!$C:$C,$B161)</f>
        <v>0</v>
      </c>
      <c r="Z161" s="126">
        <f t="array" ref="Z161">XLOOKUP(Y161,Quotas!$B$7:$B$10,Quotas!$A$7:$A$10,0,-1)</f>
        <v>0</v>
      </c>
      <c r="AB161" s="31"/>
      <c r="AC161" s="31">
        <f>COUNTIFS(Matches!$A:$A,"&gt;"&amp;Y161,Matches!$B:$B,$B161)</f>
        <v>0</v>
      </c>
      <c r="AD161" s="31"/>
      <c r="AE161" s="127">
        <f>SUMIF('Pool Changes'!B:B, B161, 'Pool Changes'!H:H)</f>
        <v>0</v>
      </c>
    </row>
    <row r="162">
      <c r="A162" s="104">
        <f t="shared" si="1"/>
        <v>1</v>
      </c>
      <c r="C162" s="128"/>
      <c r="D162" s="74"/>
      <c r="E162" s="1"/>
      <c r="F162" s="1"/>
      <c r="G162" s="1"/>
      <c r="H162" s="118">
        <f>COUNTIF(Entropy!$D:$D,$B162)+COUNTIF(Matches!$B:$B,$B162)+COUNTIF(Matches!$C:$C,$B162)</f>
        <v>0</v>
      </c>
      <c r="I162" s="119">
        <f>COUNTIF(Matches!$B:$B,B162)</f>
        <v>0</v>
      </c>
      <c r="J162" s="31">
        <f t="shared" si="2"/>
        <v>0</v>
      </c>
      <c r="K162" s="1" t="str">
        <f t="shared" si="3"/>
        <v>0 - 0</v>
      </c>
      <c r="L162" s="120">
        <f>COUNTIF(Entropy!$D:$D,$B162)</f>
        <v>0</v>
      </c>
      <c r="M162" s="121">
        <f t="shared" si="4"/>
        <v>0</v>
      </c>
      <c r="N162" s="121">
        <f t="shared" si="5"/>
        <v>0</v>
      </c>
      <c r="O162" s="118">
        <f>IF($J162=11,0,IF(AND($H162 &gt;=VLOOKUP('Combined Standings'!$C$2,Quotas!$A$7:$E$14,4,FALSE), $H162&lt;=VLOOKUP('Combined Standings'!$C$2,Quotas!$A$7:$E$14,5,FALSE)), 0,VLOOKUP('Combined Standings'!$C$2,Quotas!$A$7:$E$11,4,FALSE)-$H162))</f>
        <v>13</v>
      </c>
      <c r="P162" s="118">
        <f>IF($J162=11,0,IF(AND($H162 &gt;=VLOOKUP('Combined Standings'!$C$2,Quotas!$A$7:$E$14,5,FALSE), $H162&lt;=VLOOKUP('Combined Standings'!$C$2,Quotas!$A$7:$E$14,5,FALSE)), 0,VLOOKUP('Combined Standings'!$C$2,Quotas!$A$7:$E$11,5,FALSE)-$H162))</f>
        <v>15</v>
      </c>
      <c r="Q162" s="31">
        <f t="shared" si="6"/>
        <v>11</v>
      </c>
      <c r="R162" s="122" t="str">
        <f t="shared" si="7"/>
        <v/>
      </c>
      <c r="S162" s="121">
        <f t="shared" si="8"/>
        <v>0.33</v>
      </c>
      <c r="T162" s="122" t="str">
        <f>IFERROR(__xludf.DUMMYFUNCTION("JOIN("","",IFERROR(FILTER(Matches!$B:$B,B162=Matches!$C:$C),""""),IFERROR(FILTER(Matches!$C:$C,B162=Matches!$B:$B),""""))"),",,,,,,,,,,,,,,,,,,,,,,,,,,,,,,,,,,,,,,,,,,,,,,,,,,,,,,,,,,,,,,,,,,,,,,,,,,,,,,,,,,,,,,,,,,,,,,,,,,,,,,,,,,,,,,,,,,,,,,,,,,,,,,,,,,,,,,,,,,,,,,,,,,,,,,,,,,,,,,,,,,,,,,,,,,,,,,,,,,,,,,,,,,,,,,,,,,,,,,,,,,,,,,,,,,,,,,,,,,,,,,,,,,,,,,,,,,,,,,,,,,,,,,,,,,,,,,,")</f>
        <v>,,,,,,,,,,,,,,,,,,,,,,,,,,,,,,,,,,,,,,,,,,,,,,,,,,,,,,,,,,,,,,,,,,,,,,,,,,,,,,,,,,,,,,,,,,,,,,,,,,,,,,,,,,,,,,,,,,,,,,,,,,,,,,,,,,,,,,,,,,,,,,,,,,,,,,,,,,,,,,,,,,,,,,,,,,,,,,,,,,,,,,,,,,,,,,,,,,,,,,,,,,,,,,,,,,,,,,,,,,,,,,,,,,,,,,,,,,,,,,,,,,,,,,,,,,,,,,,</v>
      </c>
      <c r="U162" s="121">
        <f>IFERROR(__xludf.DUMMYFUNCTION("iferror(AVERAGE(ARRAYFORMULA(VLOOKUP(SPLIT(T162,"","",TRUE,TRUE),$R$2:$S1000,2,FALSE))),0)"),0.0)</f>
        <v>0</v>
      </c>
      <c r="V162" s="123">
        <f>IFERROR(__xludf.DUMMYFUNCTION("RANK($I162, $I$2:$I1000, FALSE) + RANK($M162, Filter($M$2:$M1000, $I$2:$I1000=$I162),FALSE)+RANK($U162, Filter($U$2:$U1000, $I$2:$I1000=$I162,$M$2:$M1000=$M162),FALSE)-2"),1.0)</f>
        <v>1</v>
      </c>
      <c r="W162" s="124" t="str">
        <f t="shared" si="9"/>
        <v>Underplay</v>
      </c>
      <c r="X162" s="125" t="str">
        <f t="shared" si="10"/>
        <v/>
      </c>
      <c r="Y162" s="126">
        <f>MAXIFS(Matches!$A:$A,Matches!$C:$C,$B162)</f>
        <v>0</v>
      </c>
      <c r="Z162" s="126">
        <f t="array" ref="Z162">XLOOKUP(Y162,Quotas!$B$7:$B$10,Quotas!$A$7:$A$10,0,-1)</f>
        <v>0</v>
      </c>
      <c r="AB162" s="31"/>
      <c r="AC162" s="31">
        <f>COUNTIFS(Matches!$A:$A,"&gt;"&amp;Y162,Matches!$B:$B,$B162)</f>
        <v>0</v>
      </c>
      <c r="AD162" s="31"/>
      <c r="AE162" s="127">
        <f>SUMIF('Pool Changes'!B:B, B162, 'Pool Changes'!H:H)</f>
        <v>0</v>
      </c>
    </row>
    <row r="163">
      <c r="A163" s="104">
        <f t="shared" si="1"/>
        <v>1</v>
      </c>
      <c r="C163" s="128"/>
      <c r="D163" s="74"/>
      <c r="E163" s="1"/>
      <c r="F163" s="1"/>
      <c r="G163" s="1"/>
      <c r="H163" s="118">
        <f>COUNTIF(Entropy!$D:$D,$B163)+COUNTIF(Matches!$B:$B,$B163)+COUNTIF(Matches!$C:$C,$B163)</f>
        <v>0</v>
      </c>
      <c r="I163" s="119">
        <f>COUNTIF(Matches!$B:$B,B163)</f>
        <v>0</v>
      </c>
      <c r="J163" s="31">
        <f t="shared" si="2"/>
        <v>0</v>
      </c>
      <c r="K163" s="1" t="str">
        <f t="shared" si="3"/>
        <v>0 - 0</v>
      </c>
      <c r="L163" s="120">
        <f>COUNTIF(Entropy!$D:$D,$B163)</f>
        <v>0</v>
      </c>
      <c r="M163" s="121">
        <f t="shared" si="4"/>
        <v>0</v>
      </c>
      <c r="N163" s="121">
        <f t="shared" si="5"/>
        <v>0</v>
      </c>
      <c r="O163" s="118">
        <f>IF($J163=11,0,IF(AND($H163 &gt;=VLOOKUP('Combined Standings'!$C$2,Quotas!$A$7:$E$14,4,FALSE), $H163&lt;=VLOOKUP('Combined Standings'!$C$2,Quotas!$A$7:$E$14,5,FALSE)), 0,VLOOKUP('Combined Standings'!$C$2,Quotas!$A$7:$E$11,4,FALSE)-$H163))</f>
        <v>13</v>
      </c>
      <c r="P163" s="118">
        <f>IF($J163=11,0,IF(AND($H163 &gt;=VLOOKUP('Combined Standings'!$C$2,Quotas!$A$7:$E$14,5,FALSE), $H163&lt;=VLOOKUP('Combined Standings'!$C$2,Quotas!$A$7:$E$14,5,FALSE)), 0,VLOOKUP('Combined Standings'!$C$2,Quotas!$A$7:$E$11,5,FALSE)-$H163))</f>
        <v>15</v>
      </c>
      <c r="Q163" s="31">
        <f t="shared" si="6"/>
        <v>11</v>
      </c>
      <c r="R163" s="122" t="str">
        <f t="shared" si="7"/>
        <v/>
      </c>
      <c r="S163" s="121">
        <f t="shared" si="8"/>
        <v>0.33</v>
      </c>
      <c r="T163" s="122" t="str">
        <f>IFERROR(__xludf.DUMMYFUNCTION("JOIN("","",IFERROR(FILTER(Matches!$B:$B,B163=Matches!$C:$C),""""),IFERROR(FILTER(Matches!$C:$C,B163=Matches!$B:$B),""""))"),",,,,,,,,,,,,,,,,,,,,,,,,,,,,,,,,,,,,,,,,,,,,,,,,,,,,,,,,,,,,,,,,,,,,,,,,,,,,,,,,,,,,,,,,,,,,,,,,,,,,,,,,,,,,,,,,,,,,,,,,,,,,,,,,,,,,,,,,,,,,,,,,,,,,,,,,,,,,,,,,,,,,,,,,,,,,,,,,,,,,,,,,,,,,,,,,,,,,,,,,,,,,,,,,,,,,,,,,,,,,,,,,,,,,,,,,,,,,,,,,,,,,,,,,,,,,,,,")</f>
        <v>,,,,,,,,,,,,,,,,,,,,,,,,,,,,,,,,,,,,,,,,,,,,,,,,,,,,,,,,,,,,,,,,,,,,,,,,,,,,,,,,,,,,,,,,,,,,,,,,,,,,,,,,,,,,,,,,,,,,,,,,,,,,,,,,,,,,,,,,,,,,,,,,,,,,,,,,,,,,,,,,,,,,,,,,,,,,,,,,,,,,,,,,,,,,,,,,,,,,,,,,,,,,,,,,,,,,,,,,,,,,,,,,,,,,,,,,,,,,,,,,,,,,,,,,,,,,,,,</v>
      </c>
      <c r="U163" s="121">
        <f>IFERROR(__xludf.DUMMYFUNCTION("iferror(AVERAGE(ARRAYFORMULA(VLOOKUP(SPLIT(T163,"","",TRUE,TRUE),$R$2:$S1000,2,FALSE))),0)"),0.0)</f>
        <v>0</v>
      </c>
      <c r="V163" s="123">
        <f>IFERROR(__xludf.DUMMYFUNCTION("RANK($I163, $I$2:$I1000, FALSE) + RANK($M163, Filter($M$2:$M1000, $I$2:$I1000=$I163),FALSE)+RANK($U163, Filter($U$2:$U1000, $I$2:$I1000=$I163,$M$2:$M1000=$M163),FALSE)-2"),1.0)</f>
        <v>1</v>
      </c>
      <c r="W163" s="124" t="str">
        <f t="shared" si="9"/>
        <v>Underplay</v>
      </c>
      <c r="X163" s="125" t="str">
        <f t="shared" si="10"/>
        <v/>
      </c>
      <c r="Y163" s="126">
        <f>MAXIFS(Matches!$A:$A,Matches!$C:$C,$B163)</f>
        <v>0</v>
      </c>
      <c r="Z163" s="126">
        <f t="array" ref="Z163">XLOOKUP(Y163,Quotas!$B$7:$B$10,Quotas!$A$7:$A$10,0,-1)</f>
        <v>0</v>
      </c>
      <c r="AB163" s="31"/>
      <c r="AC163" s="31">
        <f>COUNTIFS(Matches!$A:$A,"&gt;"&amp;Y163,Matches!$B:$B,$B163)</f>
        <v>0</v>
      </c>
      <c r="AD163" s="31"/>
      <c r="AE163" s="127">
        <f>SUMIF('Pool Changes'!B:B, B163, 'Pool Changes'!H:H)</f>
        <v>0</v>
      </c>
    </row>
    <row r="164">
      <c r="A164" s="104">
        <f t="shared" si="1"/>
        <v>1</v>
      </c>
      <c r="C164" s="128"/>
      <c r="D164" s="74"/>
      <c r="E164" s="1"/>
      <c r="F164" s="1"/>
      <c r="G164" s="1"/>
      <c r="H164" s="118">
        <f>COUNTIF(Entropy!$D:$D,$B164)+COUNTIF(Matches!$B:$B,$B164)+COUNTIF(Matches!$C:$C,$B164)</f>
        <v>0</v>
      </c>
      <c r="I164" s="119">
        <f>COUNTIF(Matches!$B:$B,B164)</f>
        <v>0</v>
      </c>
      <c r="J164" s="31">
        <f t="shared" si="2"/>
        <v>0</v>
      </c>
      <c r="K164" s="1" t="str">
        <f t="shared" si="3"/>
        <v>0 - 0</v>
      </c>
      <c r="L164" s="120">
        <f>COUNTIF(Entropy!$D:$D,$B164)</f>
        <v>0</v>
      </c>
      <c r="M164" s="121">
        <f t="shared" si="4"/>
        <v>0</v>
      </c>
      <c r="N164" s="121">
        <f t="shared" si="5"/>
        <v>0</v>
      </c>
      <c r="O164" s="118">
        <f>IF($J164=11,0,IF(AND($H164 &gt;=VLOOKUP('Combined Standings'!$C$2,Quotas!$A$7:$E$14,4,FALSE), $H164&lt;=VLOOKUP('Combined Standings'!$C$2,Quotas!$A$7:$E$14,5,FALSE)), 0,VLOOKUP('Combined Standings'!$C$2,Quotas!$A$7:$E$11,4,FALSE)-$H164))</f>
        <v>13</v>
      </c>
      <c r="P164" s="118">
        <f>IF($J164=11,0,IF(AND($H164 &gt;=VLOOKUP('Combined Standings'!$C$2,Quotas!$A$7:$E$14,5,FALSE), $H164&lt;=VLOOKUP('Combined Standings'!$C$2,Quotas!$A$7:$E$14,5,FALSE)), 0,VLOOKUP('Combined Standings'!$C$2,Quotas!$A$7:$E$11,5,FALSE)-$H164))</f>
        <v>15</v>
      </c>
      <c r="Q164" s="31">
        <f t="shared" si="6"/>
        <v>11</v>
      </c>
      <c r="R164" s="122" t="str">
        <f t="shared" si="7"/>
        <v/>
      </c>
      <c r="S164" s="121">
        <f t="shared" si="8"/>
        <v>0.33</v>
      </c>
      <c r="T164" s="122" t="str">
        <f>IFERROR(__xludf.DUMMYFUNCTION("JOIN("","",IFERROR(FILTER(Matches!$B:$B,B164=Matches!$C:$C),""""),IFERROR(FILTER(Matches!$C:$C,B164=Matches!$B:$B),""""))"),",,,,,,,,,,,,,,,,,,,,,,,,,,,,,,,,,,,,,,,,,,,,,,,,,,,,,,,,,,,,,,,,,,,,,,,,,,,,,,,,,,,,,,,,,,,,,,,,,,,,,,,,,,,,,,,,,,,,,,,,,,,,,,,,,,,,,,,,,,,,,,,,,,,,,,,,,,,,,,,,,,,,,,,,,,,,,,,,,,,,,,,,,,,,,,,,,,,,,,,,,,,,,,,,,,,,,,,,,,,,,,,,,,,,,,,,,,,,,,,,,,,,,,,,,,,,,,,")</f>
        <v>,,,,,,,,,,,,,,,,,,,,,,,,,,,,,,,,,,,,,,,,,,,,,,,,,,,,,,,,,,,,,,,,,,,,,,,,,,,,,,,,,,,,,,,,,,,,,,,,,,,,,,,,,,,,,,,,,,,,,,,,,,,,,,,,,,,,,,,,,,,,,,,,,,,,,,,,,,,,,,,,,,,,,,,,,,,,,,,,,,,,,,,,,,,,,,,,,,,,,,,,,,,,,,,,,,,,,,,,,,,,,,,,,,,,,,,,,,,,,,,,,,,,,,,,,,,,,,,</v>
      </c>
      <c r="U164" s="121">
        <f>IFERROR(__xludf.DUMMYFUNCTION("iferror(AVERAGE(ARRAYFORMULA(VLOOKUP(SPLIT(T164,"","",TRUE,TRUE),$R$2:$S1000,2,FALSE))),0)"),0.0)</f>
        <v>0</v>
      </c>
      <c r="V164" s="123">
        <f>IFERROR(__xludf.DUMMYFUNCTION("RANK($I164, $I$2:$I1000, FALSE) + RANK($M164, Filter($M$2:$M1000, $I$2:$I1000=$I164),FALSE)+RANK($U164, Filter($U$2:$U1000, $I$2:$I1000=$I164,$M$2:$M1000=$M164),FALSE)-2"),1.0)</f>
        <v>1</v>
      </c>
      <c r="W164" s="124" t="str">
        <f t="shared" si="9"/>
        <v>Underplay</v>
      </c>
      <c r="X164" s="125" t="str">
        <f t="shared" si="10"/>
        <v/>
      </c>
      <c r="Y164" s="126">
        <f>MAXIFS(Matches!$A:$A,Matches!$C:$C,$B164)</f>
        <v>0</v>
      </c>
      <c r="Z164" s="126">
        <f t="array" ref="Z164">XLOOKUP(Y164,Quotas!$B$7:$B$10,Quotas!$A$7:$A$10,0,-1)</f>
        <v>0</v>
      </c>
      <c r="AB164" s="31"/>
      <c r="AC164" s="31">
        <f>COUNTIFS(Matches!$A:$A,"&gt;"&amp;Y164,Matches!$B:$B,$B164)</f>
        <v>0</v>
      </c>
      <c r="AD164" s="31"/>
      <c r="AE164" s="127">
        <f>SUMIF('Pool Changes'!B:B, B164, 'Pool Changes'!H:H)</f>
        <v>0</v>
      </c>
    </row>
    <row r="165">
      <c r="A165" s="104">
        <f t="shared" si="1"/>
        <v>1</v>
      </c>
      <c r="C165" s="128"/>
      <c r="D165" s="74"/>
      <c r="E165" s="1"/>
      <c r="F165" s="1"/>
      <c r="G165" s="1"/>
      <c r="H165" s="118">
        <f>COUNTIF(Entropy!$D:$D,$B165)+COUNTIF(Matches!$B:$B,$B165)+COUNTIF(Matches!$C:$C,$B165)</f>
        <v>0</v>
      </c>
      <c r="I165" s="119">
        <f>COUNTIF(Matches!$B:$B,B165)</f>
        <v>0</v>
      </c>
      <c r="J165" s="31">
        <f t="shared" si="2"/>
        <v>0</v>
      </c>
      <c r="K165" s="1" t="str">
        <f t="shared" si="3"/>
        <v>0 - 0</v>
      </c>
      <c r="L165" s="120">
        <f>COUNTIF(Entropy!$D:$D,$B165)</f>
        <v>0</v>
      </c>
      <c r="M165" s="121">
        <f t="shared" si="4"/>
        <v>0</v>
      </c>
      <c r="N165" s="121">
        <f t="shared" si="5"/>
        <v>0</v>
      </c>
      <c r="O165" s="118">
        <f>IF($J165=11,0,IF(AND($H165 &gt;=VLOOKUP('Combined Standings'!$C$2,Quotas!$A$7:$E$14,4,FALSE), $H165&lt;=VLOOKUP('Combined Standings'!$C$2,Quotas!$A$7:$E$14,5,FALSE)), 0,VLOOKUP('Combined Standings'!$C$2,Quotas!$A$7:$E$11,4,FALSE)-$H165))</f>
        <v>13</v>
      </c>
      <c r="P165" s="118">
        <f>IF($J165=11,0,IF(AND($H165 &gt;=VLOOKUP('Combined Standings'!$C$2,Quotas!$A$7:$E$14,5,FALSE), $H165&lt;=VLOOKUP('Combined Standings'!$C$2,Quotas!$A$7:$E$14,5,FALSE)), 0,VLOOKUP('Combined Standings'!$C$2,Quotas!$A$7:$E$11,5,FALSE)-$H165))</f>
        <v>15</v>
      </c>
      <c r="Q165" s="31">
        <f t="shared" si="6"/>
        <v>11</v>
      </c>
      <c r="R165" s="122" t="str">
        <f t="shared" si="7"/>
        <v/>
      </c>
      <c r="S165" s="121">
        <f t="shared" si="8"/>
        <v>0.33</v>
      </c>
      <c r="T165" s="122" t="str">
        <f>IFERROR(__xludf.DUMMYFUNCTION("JOIN("","",IFERROR(FILTER(Matches!$B:$B,B165=Matches!$C:$C),""""),IFERROR(FILTER(Matches!$C:$C,B165=Matches!$B:$B),""""))"),",,,,,,,,,,,,,,,,,,,,,,,,,,,,,,,,,,,,,,,,,,,,,,,,,,,,,,,,,,,,,,,,,,,,,,,,,,,,,,,,,,,,,,,,,,,,,,,,,,,,,,,,,,,,,,,,,,,,,,,,,,,,,,,,,,,,,,,,,,,,,,,,,,,,,,,,,,,,,,,,,,,,,,,,,,,,,,,,,,,,,,,,,,,,,,,,,,,,,,,,,,,,,,,,,,,,,,,,,,,,,,,,,,,,,,,,,,,,,,,,,,,,,,,,,,,,,,,")</f>
        <v>,,,,,,,,,,,,,,,,,,,,,,,,,,,,,,,,,,,,,,,,,,,,,,,,,,,,,,,,,,,,,,,,,,,,,,,,,,,,,,,,,,,,,,,,,,,,,,,,,,,,,,,,,,,,,,,,,,,,,,,,,,,,,,,,,,,,,,,,,,,,,,,,,,,,,,,,,,,,,,,,,,,,,,,,,,,,,,,,,,,,,,,,,,,,,,,,,,,,,,,,,,,,,,,,,,,,,,,,,,,,,,,,,,,,,,,,,,,,,,,,,,,,,,,,,,,,,,,</v>
      </c>
      <c r="U165" s="121">
        <f>IFERROR(__xludf.DUMMYFUNCTION("iferror(AVERAGE(ARRAYFORMULA(VLOOKUP(SPLIT(T165,"","",TRUE,TRUE),$R$2:$S1000,2,FALSE))),0)"),0.0)</f>
        <v>0</v>
      </c>
      <c r="V165" s="123">
        <f>IFERROR(__xludf.DUMMYFUNCTION("RANK($I165, $I$2:$I1000, FALSE) + RANK($M165, Filter($M$2:$M1000, $I$2:$I1000=$I165),FALSE)+RANK($U165, Filter($U$2:$U1000, $I$2:$I1000=$I165,$M$2:$M1000=$M165),FALSE)-2"),1.0)</f>
        <v>1</v>
      </c>
      <c r="W165" s="124" t="str">
        <f t="shared" si="9"/>
        <v>Underplay</v>
      </c>
      <c r="X165" s="125" t="str">
        <f t="shared" si="10"/>
        <v/>
      </c>
      <c r="Y165" s="126">
        <f>MAXIFS(Matches!$A:$A,Matches!$C:$C,$B165)</f>
        <v>0</v>
      </c>
      <c r="Z165" s="126">
        <f t="array" ref="Z165">XLOOKUP(Y165,Quotas!$B$7:$B$10,Quotas!$A$7:$A$10,0,-1)</f>
        <v>0</v>
      </c>
      <c r="AB165" s="31"/>
      <c r="AC165" s="31">
        <f>COUNTIFS(Matches!$A:$A,"&gt;"&amp;Y165,Matches!$B:$B,$B165)</f>
        <v>0</v>
      </c>
      <c r="AD165" s="31"/>
      <c r="AE165" s="127">
        <f>SUMIF('Pool Changes'!B:B, B165, 'Pool Changes'!H:H)</f>
        <v>0</v>
      </c>
    </row>
    <row r="166">
      <c r="A166" s="104">
        <f t="shared" si="1"/>
        <v>1</v>
      </c>
      <c r="C166" s="128"/>
      <c r="D166" s="74"/>
      <c r="E166" s="1"/>
      <c r="F166" s="1"/>
      <c r="G166" s="1"/>
      <c r="H166" s="118">
        <f>COUNTIF(Entropy!$D:$D,$B166)+COUNTIF(Matches!$B:$B,$B166)+COUNTIF(Matches!$C:$C,$B166)</f>
        <v>0</v>
      </c>
      <c r="I166" s="119">
        <f>COUNTIF(Matches!$B:$B,B166)</f>
        <v>0</v>
      </c>
      <c r="J166" s="31">
        <f t="shared" si="2"/>
        <v>0</v>
      </c>
      <c r="K166" s="1" t="str">
        <f t="shared" si="3"/>
        <v>0 - 0</v>
      </c>
      <c r="L166" s="120">
        <f>COUNTIF(Entropy!$D:$D,$B166)</f>
        <v>0</v>
      </c>
      <c r="M166" s="121">
        <f t="shared" si="4"/>
        <v>0</v>
      </c>
      <c r="N166" s="121">
        <f t="shared" si="5"/>
        <v>0</v>
      </c>
      <c r="O166" s="118">
        <f>IF($J166=11,0,IF(AND($H166 &gt;=VLOOKUP('Combined Standings'!$C$2,Quotas!$A$7:$E$14,4,FALSE), $H166&lt;=VLOOKUP('Combined Standings'!$C$2,Quotas!$A$7:$E$14,5,FALSE)), 0,VLOOKUP('Combined Standings'!$C$2,Quotas!$A$7:$E$11,4,FALSE)-$H166))</f>
        <v>13</v>
      </c>
      <c r="P166" s="118">
        <f>IF($J166=11,0,IF(AND($H166 &gt;=VLOOKUP('Combined Standings'!$C$2,Quotas!$A$7:$E$14,5,FALSE), $H166&lt;=VLOOKUP('Combined Standings'!$C$2,Quotas!$A$7:$E$14,5,FALSE)), 0,VLOOKUP('Combined Standings'!$C$2,Quotas!$A$7:$E$11,5,FALSE)-$H166))</f>
        <v>15</v>
      </c>
      <c r="Q166" s="31">
        <f t="shared" si="6"/>
        <v>11</v>
      </c>
      <c r="R166" s="122" t="str">
        <f t="shared" si="7"/>
        <v/>
      </c>
      <c r="S166" s="121">
        <f t="shared" si="8"/>
        <v>0.33</v>
      </c>
      <c r="T166" s="122" t="str">
        <f>IFERROR(__xludf.DUMMYFUNCTION("JOIN("","",IFERROR(FILTER(Matches!$B:$B,B166=Matches!$C:$C),""""),IFERROR(FILTER(Matches!$C:$C,B166=Matches!$B:$B),""""))"),",,,,,,,,,,,,,,,,,,,,,,,,,,,,,,,,,,,,,,,,,,,,,,,,,,,,,,,,,,,,,,,,,,,,,,,,,,,,,,,,,,,,,,,,,,,,,,,,,,,,,,,,,,,,,,,,,,,,,,,,,,,,,,,,,,,,,,,,,,,,,,,,,,,,,,,,,,,,,,,,,,,,,,,,,,,,,,,,,,,,,,,,,,,,,,,,,,,,,,,,,,,,,,,,,,,,,,,,,,,,,,,,,,,,,,,,,,,,,,,,,,,,,,,,,,,,,,,")</f>
        <v>,,,,,,,,,,,,,,,,,,,,,,,,,,,,,,,,,,,,,,,,,,,,,,,,,,,,,,,,,,,,,,,,,,,,,,,,,,,,,,,,,,,,,,,,,,,,,,,,,,,,,,,,,,,,,,,,,,,,,,,,,,,,,,,,,,,,,,,,,,,,,,,,,,,,,,,,,,,,,,,,,,,,,,,,,,,,,,,,,,,,,,,,,,,,,,,,,,,,,,,,,,,,,,,,,,,,,,,,,,,,,,,,,,,,,,,,,,,,,,,,,,,,,,,,,,,,,,,</v>
      </c>
      <c r="U166" s="121">
        <f>IFERROR(__xludf.DUMMYFUNCTION("iferror(AVERAGE(ARRAYFORMULA(VLOOKUP(SPLIT(T166,"","",TRUE,TRUE),$R$2:$S1000,2,FALSE))),0)"),0.0)</f>
        <v>0</v>
      </c>
      <c r="V166" s="123">
        <f>IFERROR(__xludf.DUMMYFUNCTION("RANK($I166, $I$2:$I1000, FALSE) + RANK($M166, Filter($M$2:$M1000, $I$2:$I1000=$I166),FALSE)+RANK($U166, Filter($U$2:$U1000, $I$2:$I1000=$I166,$M$2:$M1000=$M166),FALSE)-2"),1.0)</f>
        <v>1</v>
      </c>
      <c r="W166" s="124" t="str">
        <f t="shared" si="9"/>
        <v>Underplay</v>
      </c>
      <c r="X166" s="125" t="str">
        <f t="shared" si="10"/>
        <v/>
      </c>
      <c r="Y166" s="126">
        <f>MAXIFS(Matches!$A:$A,Matches!$C:$C,$B166)</f>
        <v>0</v>
      </c>
      <c r="Z166" s="126">
        <f t="array" ref="Z166">XLOOKUP(Y166,Quotas!$B$7:$B$10,Quotas!$A$7:$A$10,0,-1)</f>
        <v>0</v>
      </c>
      <c r="AB166" s="31"/>
      <c r="AC166" s="31">
        <f>COUNTIFS(Matches!$A:$A,"&gt;"&amp;Y166,Matches!$B:$B,$B166)</f>
        <v>0</v>
      </c>
      <c r="AD166" s="31"/>
      <c r="AE166" s="127">
        <f>SUMIF('Pool Changes'!B:B, B166, 'Pool Changes'!H:H)</f>
        <v>0</v>
      </c>
    </row>
    <row r="167">
      <c r="A167" s="104">
        <f t="shared" si="1"/>
        <v>1</v>
      </c>
      <c r="C167" s="128"/>
      <c r="D167" s="74"/>
      <c r="E167" s="1"/>
      <c r="F167" s="1"/>
      <c r="G167" s="1"/>
      <c r="H167" s="118">
        <f>COUNTIF(Entropy!$D:$D,$B167)+COUNTIF(Matches!$B:$B,$B167)+COUNTIF(Matches!$C:$C,$B167)</f>
        <v>0</v>
      </c>
      <c r="I167" s="119">
        <f>COUNTIF(Matches!$B:$B,B167)</f>
        <v>0</v>
      </c>
      <c r="J167" s="31">
        <f t="shared" si="2"/>
        <v>0</v>
      </c>
      <c r="K167" s="1" t="str">
        <f t="shared" si="3"/>
        <v>0 - 0</v>
      </c>
      <c r="L167" s="120">
        <f>COUNTIF(Entropy!$D:$D,$B167)</f>
        <v>0</v>
      </c>
      <c r="M167" s="121">
        <f t="shared" si="4"/>
        <v>0</v>
      </c>
      <c r="N167" s="121">
        <f t="shared" si="5"/>
        <v>0</v>
      </c>
      <c r="O167" s="118">
        <f>IF($J167=11,0,IF(AND($H167 &gt;=VLOOKUP('Combined Standings'!$C$2,Quotas!$A$7:$E$14,4,FALSE), $H167&lt;=VLOOKUP('Combined Standings'!$C$2,Quotas!$A$7:$E$14,5,FALSE)), 0,VLOOKUP('Combined Standings'!$C$2,Quotas!$A$7:$E$11,4,FALSE)-$H167))</f>
        <v>13</v>
      </c>
      <c r="P167" s="118">
        <f>IF($J167=11,0,IF(AND($H167 &gt;=VLOOKUP('Combined Standings'!$C$2,Quotas!$A$7:$E$14,5,FALSE), $H167&lt;=VLOOKUP('Combined Standings'!$C$2,Quotas!$A$7:$E$14,5,FALSE)), 0,VLOOKUP('Combined Standings'!$C$2,Quotas!$A$7:$E$11,5,FALSE)-$H167))</f>
        <v>15</v>
      </c>
      <c r="Q167" s="31">
        <f t="shared" si="6"/>
        <v>11</v>
      </c>
      <c r="R167" s="122" t="str">
        <f t="shared" si="7"/>
        <v/>
      </c>
      <c r="S167" s="121">
        <f t="shared" si="8"/>
        <v>0.33</v>
      </c>
      <c r="T167" s="122" t="str">
        <f>IFERROR(__xludf.DUMMYFUNCTION("JOIN("","",IFERROR(FILTER(Matches!$B:$B,B167=Matches!$C:$C),""""),IFERROR(FILTER(Matches!$C:$C,B167=Matches!$B:$B),""""))"),",,,,,,,,,,,,,,,,,,,,,,,,,,,,,,,,,,,,,,,,,,,,,,,,,,,,,,,,,,,,,,,,,,,,,,,,,,,,,,,,,,,,,,,,,,,,,,,,,,,,,,,,,,,,,,,,,,,,,,,,,,,,,,,,,,,,,,,,,,,,,,,,,,,,,,,,,,,,,,,,,,,,,,,,,,,,,,,,,,,,,,,,,,,,,,,,,,,,,,,,,,,,,,,,,,,,,,,,,,,,,,,,,,,,,,,,,,,,,,,,,,,,,,,,,,,,,,,")</f>
        <v>,,,,,,,,,,,,,,,,,,,,,,,,,,,,,,,,,,,,,,,,,,,,,,,,,,,,,,,,,,,,,,,,,,,,,,,,,,,,,,,,,,,,,,,,,,,,,,,,,,,,,,,,,,,,,,,,,,,,,,,,,,,,,,,,,,,,,,,,,,,,,,,,,,,,,,,,,,,,,,,,,,,,,,,,,,,,,,,,,,,,,,,,,,,,,,,,,,,,,,,,,,,,,,,,,,,,,,,,,,,,,,,,,,,,,,,,,,,,,,,,,,,,,,,,,,,,,,,</v>
      </c>
      <c r="U167" s="121">
        <f>IFERROR(__xludf.DUMMYFUNCTION("iferror(AVERAGE(ARRAYFORMULA(VLOOKUP(SPLIT(T167,"","",TRUE,TRUE),$R$2:$S1000,2,FALSE))),0)"),0.0)</f>
        <v>0</v>
      </c>
      <c r="V167" s="123">
        <f>IFERROR(__xludf.DUMMYFUNCTION("RANK($I167, $I$2:$I1000, FALSE) + RANK($M167, Filter($M$2:$M1000, $I$2:$I1000=$I167),FALSE)+RANK($U167, Filter($U$2:$U1000, $I$2:$I1000=$I167,$M$2:$M1000=$M167),FALSE)-2"),1.0)</f>
        <v>1</v>
      </c>
      <c r="W167" s="124" t="str">
        <f t="shared" si="9"/>
        <v>Underplay</v>
      </c>
      <c r="X167" s="125" t="str">
        <f t="shared" si="10"/>
        <v/>
      </c>
      <c r="Y167" s="126">
        <f>MAXIFS(Matches!$A:$A,Matches!$C:$C,$B167)</f>
        <v>0</v>
      </c>
      <c r="Z167" s="126">
        <f t="array" ref="Z167">XLOOKUP(Y167,Quotas!$B$7:$B$10,Quotas!$A$7:$A$10,0,-1)</f>
        <v>0</v>
      </c>
      <c r="AB167" s="31"/>
      <c r="AC167" s="31">
        <f>COUNTIFS(Matches!$A:$A,"&gt;"&amp;Y167,Matches!$B:$B,$B167)</f>
        <v>0</v>
      </c>
      <c r="AD167" s="31"/>
      <c r="AE167" s="127">
        <f>SUMIF('Pool Changes'!B:B, B167, 'Pool Changes'!H:H)</f>
        <v>0</v>
      </c>
    </row>
    <row r="168">
      <c r="A168" s="104">
        <f t="shared" si="1"/>
        <v>1</v>
      </c>
      <c r="C168" s="128"/>
      <c r="D168" s="74"/>
      <c r="E168" s="1"/>
      <c r="F168" s="1"/>
      <c r="G168" s="1"/>
      <c r="H168" s="118">
        <f>COUNTIF(Entropy!$D:$D,$B168)+COUNTIF(Matches!$B:$B,$B168)+COUNTIF(Matches!$C:$C,$B168)</f>
        <v>0</v>
      </c>
      <c r="I168" s="119">
        <f>COUNTIF(Matches!$B:$B,B168)</f>
        <v>0</v>
      </c>
      <c r="J168" s="31">
        <f t="shared" si="2"/>
        <v>0</v>
      </c>
      <c r="K168" s="1" t="str">
        <f t="shared" si="3"/>
        <v>0 - 0</v>
      </c>
      <c r="L168" s="120">
        <f>COUNTIF(Entropy!$D:$D,$B168)</f>
        <v>0</v>
      </c>
      <c r="M168" s="121">
        <f t="shared" si="4"/>
        <v>0</v>
      </c>
      <c r="N168" s="121">
        <f t="shared" si="5"/>
        <v>0</v>
      </c>
      <c r="O168" s="118">
        <f>IF($J168=11,0,IF(AND($H168 &gt;=VLOOKUP('Combined Standings'!$C$2,Quotas!$A$7:$E$14,4,FALSE), $H168&lt;=VLOOKUP('Combined Standings'!$C$2,Quotas!$A$7:$E$14,5,FALSE)), 0,VLOOKUP('Combined Standings'!$C$2,Quotas!$A$7:$E$11,4,FALSE)-$H168))</f>
        <v>13</v>
      </c>
      <c r="P168" s="118">
        <f>IF($J168=11,0,IF(AND($H168 &gt;=VLOOKUP('Combined Standings'!$C$2,Quotas!$A$7:$E$14,5,FALSE), $H168&lt;=VLOOKUP('Combined Standings'!$C$2,Quotas!$A$7:$E$14,5,FALSE)), 0,VLOOKUP('Combined Standings'!$C$2,Quotas!$A$7:$E$11,5,FALSE)-$H168))</f>
        <v>15</v>
      </c>
      <c r="Q168" s="31">
        <f t="shared" si="6"/>
        <v>11</v>
      </c>
      <c r="R168" s="122" t="str">
        <f t="shared" si="7"/>
        <v/>
      </c>
      <c r="S168" s="121">
        <f t="shared" si="8"/>
        <v>0.33</v>
      </c>
      <c r="T168" s="122" t="str">
        <f>IFERROR(__xludf.DUMMYFUNCTION("JOIN("","",IFERROR(FILTER(Matches!$B:$B,B168=Matches!$C:$C),""""),IFERROR(FILTER(Matches!$C:$C,B168=Matches!$B:$B),""""))"),",,,,,,,,,,,,,,,,,,,,,,,,,,,,,,,,,,,,,,,,,,,,,,,,,,,,,,,,,,,,,,,,,,,,,,,,,,,,,,,,,,,,,,,,,,,,,,,,,,,,,,,,,,,,,,,,,,,,,,,,,,,,,,,,,,,,,,,,,,,,,,,,,,,,,,,,,,,,,,,,,,,,,,,,,,,,,,,,,,,,,,,,,,,,,,,,,,,,,,,,,,,,,,,,,,,,,,,,,,,,,,,,,,,,,,,,,,,,,,,,,,,,,,,,,,,,,,,")</f>
        <v>,,,,,,,,,,,,,,,,,,,,,,,,,,,,,,,,,,,,,,,,,,,,,,,,,,,,,,,,,,,,,,,,,,,,,,,,,,,,,,,,,,,,,,,,,,,,,,,,,,,,,,,,,,,,,,,,,,,,,,,,,,,,,,,,,,,,,,,,,,,,,,,,,,,,,,,,,,,,,,,,,,,,,,,,,,,,,,,,,,,,,,,,,,,,,,,,,,,,,,,,,,,,,,,,,,,,,,,,,,,,,,,,,,,,,,,,,,,,,,,,,,,,,,,,,,,,,,,</v>
      </c>
      <c r="U168" s="121">
        <f>IFERROR(__xludf.DUMMYFUNCTION("iferror(AVERAGE(ARRAYFORMULA(VLOOKUP(SPLIT(T168,"","",TRUE,TRUE),$R$2:$S1000,2,FALSE))),0)"),0.0)</f>
        <v>0</v>
      </c>
      <c r="V168" s="123">
        <f>IFERROR(__xludf.DUMMYFUNCTION("RANK($I168, $I$2:$I1000, FALSE) + RANK($M168, Filter($M$2:$M1000, $I$2:$I1000=$I168),FALSE)+RANK($U168, Filter($U$2:$U1000, $I$2:$I1000=$I168,$M$2:$M1000=$M168),FALSE)-2"),1.0)</f>
        <v>1</v>
      </c>
      <c r="W168" s="124" t="str">
        <f t="shared" si="9"/>
        <v>Underplay</v>
      </c>
      <c r="X168" s="125" t="str">
        <f t="shared" si="10"/>
        <v/>
      </c>
      <c r="Y168" s="126">
        <f>MAXIFS(Matches!$A:$A,Matches!$C:$C,$B168)</f>
        <v>0</v>
      </c>
      <c r="Z168" s="126">
        <f t="array" ref="Z168">XLOOKUP(Y168,Quotas!$B$7:$B$10,Quotas!$A$7:$A$10,0,-1)</f>
        <v>0</v>
      </c>
      <c r="AB168" s="31"/>
      <c r="AC168" s="31">
        <f>COUNTIFS(Matches!$A:$A,"&gt;"&amp;Y168,Matches!$B:$B,$B168)</f>
        <v>0</v>
      </c>
      <c r="AD168" s="31"/>
      <c r="AE168" s="127">
        <f>SUMIF('Pool Changes'!B:B, B168, 'Pool Changes'!H:H)</f>
        <v>0</v>
      </c>
    </row>
    <row r="169">
      <c r="A169" s="104">
        <f t="shared" si="1"/>
        <v>1</v>
      </c>
      <c r="C169" s="128"/>
      <c r="D169" s="74"/>
      <c r="E169" s="1"/>
      <c r="F169" s="1"/>
      <c r="G169" s="1"/>
      <c r="H169" s="118">
        <f>COUNTIF(Entropy!$D:$D,$B169)+COUNTIF(Matches!$B:$B,$B169)+COUNTIF(Matches!$C:$C,$B169)</f>
        <v>0</v>
      </c>
      <c r="I169" s="119">
        <f>COUNTIF(Matches!$B:$B,B169)</f>
        <v>0</v>
      </c>
      <c r="J169" s="31">
        <f t="shared" si="2"/>
        <v>0</v>
      </c>
      <c r="K169" s="1" t="str">
        <f t="shared" si="3"/>
        <v>0 - 0</v>
      </c>
      <c r="L169" s="120">
        <f>COUNTIF(Entropy!$D:$D,$B169)</f>
        <v>0</v>
      </c>
      <c r="M169" s="121">
        <f t="shared" si="4"/>
        <v>0</v>
      </c>
      <c r="N169" s="121">
        <f t="shared" si="5"/>
        <v>0</v>
      </c>
      <c r="O169" s="118">
        <f>IF($J169=11,0,IF(AND($H169 &gt;=VLOOKUP('Combined Standings'!$C$2,Quotas!$A$7:$E$14,4,FALSE), $H169&lt;=VLOOKUP('Combined Standings'!$C$2,Quotas!$A$7:$E$14,5,FALSE)), 0,VLOOKUP('Combined Standings'!$C$2,Quotas!$A$7:$E$11,4,FALSE)-$H169))</f>
        <v>13</v>
      </c>
      <c r="P169" s="118">
        <f>IF($J169=11,0,IF(AND($H169 &gt;=VLOOKUP('Combined Standings'!$C$2,Quotas!$A$7:$E$14,5,FALSE), $H169&lt;=VLOOKUP('Combined Standings'!$C$2,Quotas!$A$7:$E$14,5,FALSE)), 0,VLOOKUP('Combined Standings'!$C$2,Quotas!$A$7:$E$11,5,FALSE)-$H169))</f>
        <v>15</v>
      </c>
      <c r="Q169" s="31">
        <f t="shared" si="6"/>
        <v>11</v>
      </c>
      <c r="R169" s="122" t="str">
        <f t="shared" si="7"/>
        <v/>
      </c>
      <c r="S169" s="121">
        <f t="shared" si="8"/>
        <v>0.33</v>
      </c>
      <c r="T169" s="122" t="str">
        <f>IFERROR(__xludf.DUMMYFUNCTION("JOIN("","",IFERROR(FILTER(Matches!$B:$B,B169=Matches!$C:$C),""""),IFERROR(FILTER(Matches!$C:$C,B169=Matches!$B:$B),""""))"),",,,,,,,,,,,,,,,,,,,,,,,,,,,,,,,,,,,,,,,,,,,,,,,,,,,,,,,,,,,,,,,,,,,,,,,,,,,,,,,,,,,,,,,,,,,,,,,,,,,,,,,,,,,,,,,,,,,,,,,,,,,,,,,,,,,,,,,,,,,,,,,,,,,,,,,,,,,,,,,,,,,,,,,,,,,,,,,,,,,,,,,,,,,,,,,,,,,,,,,,,,,,,,,,,,,,,,,,,,,,,,,,,,,,,,,,,,,,,,,,,,,,,,,,,,,,,,,")</f>
        <v>,,,,,,,,,,,,,,,,,,,,,,,,,,,,,,,,,,,,,,,,,,,,,,,,,,,,,,,,,,,,,,,,,,,,,,,,,,,,,,,,,,,,,,,,,,,,,,,,,,,,,,,,,,,,,,,,,,,,,,,,,,,,,,,,,,,,,,,,,,,,,,,,,,,,,,,,,,,,,,,,,,,,,,,,,,,,,,,,,,,,,,,,,,,,,,,,,,,,,,,,,,,,,,,,,,,,,,,,,,,,,,,,,,,,,,,,,,,,,,,,,,,,,,,,,,,,,,,</v>
      </c>
      <c r="U169" s="121">
        <f>IFERROR(__xludf.DUMMYFUNCTION("iferror(AVERAGE(ARRAYFORMULA(VLOOKUP(SPLIT(T169,"","",TRUE,TRUE),$R$2:$S1000,2,FALSE))),0)"),0.0)</f>
        <v>0</v>
      </c>
      <c r="V169" s="123">
        <f>IFERROR(__xludf.DUMMYFUNCTION("RANK($I169, $I$2:$I1000, FALSE) + RANK($M169, Filter($M$2:$M1000, $I$2:$I1000=$I169),FALSE)+RANK($U169, Filter($U$2:$U1000, $I$2:$I1000=$I169,$M$2:$M1000=$M169),FALSE)-2"),1.0)</f>
        <v>1</v>
      </c>
      <c r="W169" s="124" t="str">
        <f t="shared" si="9"/>
        <v>Underplay</v>
      </c>
      <c r="X169" s="125" t="str">
        <f t="shared" si="10"/>
        <v/>
      </c>
      <c r="Y169" s="126">
        <f>MAXIFS(Matches!$A:$A,Matches!$C:$C,$B169)</f>
        <v>0</v>
      </c>
      <c r="Z169" s="126">
        <f t="array" ref="Z169">XLOOKUP(Y169,Quotas!$B$7:$B$10,Quotas!$A$7:$A$10,0,-1)</f>
        <v>0</v>
      </c>
      <c r="AA169" s="104" t="s">
        <v>5782</v>
      </c>
      <c r="AB169" s="31"/>
      <c r="AC169" s="31">
        <f>COUNTIFS(Matches!$A:$A,"&gt;"&amp;Y169,Matches!$B:$B,$B169)</f>
        <v>0</v>
      </c>
      <c r="AD169" s="31"/>
      <c r="AE169" s="127">
        <f>SUMIF('Pool Changes'!B:B, B169, 'Pool Changes'!H:H)</f>
        <v>0</v>
      </c>
    </row>
    <row r="170">
      <c r="A170" s="104">
        <f t="shared" si="1"/>
        <v>1</v>
      </c>
      <c r="C170" s="128"/>
      <c r="D170" s="74"/>
      <c r="E170" s="1"/>
      <c r="F170" s="1"/>
      <c r="G170" s="1"/>
      <c r="H170" s="118">
        <f>COUNTIF(Entropy!$D:$D,$B170)+COUNTIF(Matches!$B:$B,$B170)+COUNTIF(Matches!$C:$C,$B170)</f>
        <v>0</v>
      </c>
      <c r="I170" s="119">
        <f>COUNTIF(Matches!$B:$B,B170)</f>
        <v>0</v>
      </c>
      <c r="J170" s="31">
        <f t="shared" si="2"/>
        <v>0</v>
      </c>
      <c r="K170" s="1" t="str">
        <f t="shared" si="3"/>
        <v>0 - 0</v>
      </c>
      <c r="L170" s="120">
        <f>COUNTIF(Entropy!$D:$D,$B170)</f>
        <v>0</v>
      </c>
      <c r="M170" s="121">
        <f t="shared" si="4"/>
        <v>0</v>
      </c>
      <c r="N170" s="121">
        <f t="shared" si="5"/>
        <v>0</v>
      </c>
      <c r="O170" s="118">
        <f>IF($J170=11,0,IF(AND($H170 &gt;=VLOOKUP('Combined Standings'!$C$2,Quotas!$A$7:$E$14,4,FALSE), $H170&lt;=VLOOKUP('Combined Standings'!$C$2,Quotas!$A$7:$E$14,5,FALSE)), 0,VLOOKUP('Combined Standings'!$C$2,Quotas!$A$7:$E$11,4,FALSE)-$H170))</f>
        <v>13</v>
      </c>
      <c r="P170" s="118">
        <f>IF($J170=11,0,IF(AND($H170 &gt;=VLOOKUP('Combined Standings'!$C$2,Quotas!$A$7:$E$14,5,FALSE), $H170&lt;=VLOOKUP('Combined Standings'!$C$2,Quotas!$A$7:$E$14,5,FALSE)), 0,VLOOKUP('Combined Standings'!$C$2,Quotas!$A$7:$E$11,5,FALSE)-$H170))</f>
        <v>15</v>
      </c>
      <c r="Q170" s="31">
        <f t="shared" si="6"/>
        <v>11</v>
      </c>
      <c r="R170" s="122" t="str">
        <f t="shared" si="7"/>
        <v/>
      </c>
      <c r="S170" s="121">
        <f t="shared" si="8"/>
        <v>0.33</v>
      </c>
      <c r="T170" s="122" t="str">
        <f>IFERROR(__xludf.DUMMYFUNCTION("JOIN("","",IFERROR(FILTER(Matches!$B:$B,B170=Matches!$C:$C),""""),IFERROR(FILTER(Matches!$C:$C,B170=Matches!$B:$B),""""))"),",,,,,,,,,,,,,,,,,,,,,,,,,,,,,,,,,,,,,,,,,,,,,,,,,,,,,,,,,,,,,,,,,,,,,,,,,,,,,,,,,,,,,,,,,,,,,,,,,,,,,,,,,,,,,,,,,,,,,,,,,,,,,,,,,,,,,,,,,,,,,,,,,,,,,,,,,,,,,,,,,,,,,,,,,,,,,,,,,,,,,,,,,,,,,,,,,,,,,,,,,,,,,,,,,,,,,,,,,,,,,,,,,,,,,,,,,,,,,,,,,,,,,,,,,,,,,,,")</f>
        <v>,,,,,,,,,,,,,,,,,,,,,,,,,,,,,,,,,,,,,,,,,,,,,,,,,,,,,,,,,,,,,,,,,,,,,,,,,,,,,,,,,,,,,,,,,,,,,,,,,,,,,,,,,,,,,,,,,,,,,,,,,,,,,,,,,,,,,,,,,,,,,,,,,,,,,,,,,,,,,,,,,,,,,,,,,,,,,,,,,,,,,,,,,,,,,,,,,,,,,,,,,,,,,,,,,,,,,,,,,,,,,,,,,,,,,,,,,,,,,,,,,,,,,,,,,,,,,,,</v>
      </c>
      <c r="U170" s="121">
        <f>IFERROR(__xludf.DUMMYFUNCTION("iferror(AVERAGE(ARRAYFORMULA(VLOOKUP(SPLIT(T170,"","",TRUE,TRUE),$R$2:$S1000,2,FALSE))),0)"),0.0)</f>
        <v>0</v>
      </c>
      <c r="V170" s="123">
        <f>IFERROR(__xludf.DUMMYFUNCTION("RANK($I170, $I$2:$I1000, FALSE) + RANK($M170, Filter($M$2:$M1000, $I$2:$I1000=$I170),FALSE)+RANK($U170, Filter($U$2:$U1000, $I$2:$I1000=$I170,$M$2:$M1000=$M170),FALSE)-2"),1.0)</f>
        <v>1</v>
      </c>
      <c r="W170" s="124" t="str">
        <f t="shared" si="9"/>
        <v>Underplay</v>
      </c>
      <c r="X170" s="125" t="str">
        <f t="shared" si="10"/>
        <v/>
      </c>
      <c r="Y170" s="126">
        <f>MAXIFS(Matches!$A:$A,Matches!$C:$C,$B170)</f>
        <v>0</v>
      </c>
      <c r="Z170" s="126">
        <f t="array" ref="Z170">XLOOKUP(Y170,Quotas!$B$7:$B$10,Quotas!$A$7:$A$10,0,-1)</f>
        <v>0</v>
      </c>
      <c r="AB170" s="31"/>
      <c r="AC170" s="31">
        <f>COUNTIFS(Matches!$A:$A,"&gt;"&amp;Y170,Matches!$B:$B,$B170)</f>
        <v>0</v>
      </c>
      <c r="AD170" s="31"/>
      <c r="AE170" s="127">
        <f>SUMIF('Pool Changes'!B:B, B170, 'Pool Changes'!H:H)</f>
        <v>0</v>
      </c>
    </row>
    <row r="171">
      <c r="A171" s="104">
        <f t="shared" si="1"/>
        <v>1</v>
      </c>
      <c r="C171" s="128"/>
      <c r="D171" s="74"/>
      <c r="E171" s="1"/>
      <c r="F171" s="1"/>
      <c r="G171" s="1"/>
      <c r="H171" s="118">
        <f>COUNTIF(Entropy!$D:$D,$B171)+COUNTIF(Matches!$B:$B,$B171)+COUNTIF(Matches!$C:$C,$B171)</f>
        <v>0</v>
      </c>
      <c r="I171" s="119">
        <f>COUNTIF(Matches!$B:$B,B171)</f>
        <v>0</v>
      </c>
      <c r="J171" s="31">
        <f t="shared" si="2"/>
        <v>0</v>
      </c>
      <c r="K171" s="1" t="str">
        <f t="shared" si="3"/>
        <v>0 - 0</v>
      </c>
      <c r="L171" s="120">
        <f>COUNTIF(Entropy!$D:$D,$B171)</f>
        <v>0</v>
      </c>
      <c r="M171" s="121">
        <f t="shared" si="4"/>
        <v>0</v>
      </c>
      <c r="N171" s="121">
        <f t="shared" si="5"/>
        <v>0</v>
      </c>
      <c r="O171" s="118">
        <f>IF($J171=11,0,IF(AND($H171 &gt;=VLOOKUP('Combined Standings'!$C$2,Quotas!$A$7:$E$14,4,FALSE), $H171&lt;=VLOOKUP('Combined Standings'!$C$2,Quotas!$A$7:$E$14,5,FALSE)), 0,VLOOKUP('Combined Standings'!$C$2,Quotas!$A$7:$E$11,4,FALSE)-$H171))</f>
        <v>13</v>
      </c>
      <c r="P171" s="118">
        <f>IF($J171=11,0,IF(AND($H171 &gt;=VLOOKUP('Combined Standings'!$C$2,Quotas!$A$7:$E$14,5,FALSE), $H171&lt;=VLOOKUP('Combined Standings'!$C$2,Quotas!$A$7:$E$14,5,FALSE)), 0,VLOOKUP('Combined Standings'!$C$2,Quotas!$A$7:$E$11,5,FALSE)-$H171))</f>
        <v>15</v>
      </c>
      <c r="Q171" s="31">
        <f t="shared" si="6"/>
        <v>11</v>
      </c>
      <c r="R171" s="122" t="str">
        <f t="shared" si="7"/>
        <v/>
      </c>
      <c r="S171" s="121">
        <f t="shared" si="8"/>
        <v>0.33</v>
      </c>
      <c r="T171" s="122" t="str">
        <f>IFERROR(__xludf.DUMMYFUNCTION("JOIN("","",IFERROR(FILTER(Matches!$B:$B,B171=Matches!$C:$C),""""),IFERROR(FILTER(Matches!$C:$C,B171=Matches!$B:$B),""""))"),",,,,,,,,,,,,,,,,,,,,,,,,,,,,,,,,,,,,,,,,,,,,,,,,,,,,,,,,,,,,,,,,,,,,,,,,,,,,,,,,,,,,,,,,,,,,,,,,,,,,,,,,,,,,,,,,,,,,,,,,,,,,,,,,,,,,,,,,,,,,,,,,,,,,,,,,,,,,,,,,,,,,,,,,,,,,,,,,,,,,,,,,,,,,,,,,,,,,,,,,,,,,,,,,,,,,,,,,,,,,,,,,,,,,,,,,,,,,,,,,,,,,,,,,,,,,,,,")</f>
        <v>,,,,,,,,,,,,,,,,,,,,,,,,,,,,,,,,,,,,,,,,,,,,,,,,,,,,,,,,,,,,,,,,,,,,,,,,,,,,,,,,,,,,,,,,,,,,,,,,,,,,,,,,,,,,,,,,,,,,,,,,,,,,,,,,,,,,,,,,,,,,,,,,,,,,,,,,,,,,,,,,,,,,,,,,,,,,,,,,,,,,,,,,,,,,,,,,,,,,,,,,,,,,,,,,,,,,,,,,,,,,,,,,,,,,,,,,,,,,,,,,,,,,,,,,,,,,,,,</v>
      </c>
      <c r="U171" s="121">
        <f>IFERROR(__xludf.DUMMYFUNCTION("iferror(AVERAGE(ARRAYFORMULA(VLOOKUP(SPLIT(T171,"","",TRUE,TRUE),$R$2:$S1000,2,FALSE))),0)"),0.0)</f>
        <v>0</v>
      </c>
      <c r="V171" s="123">
        <f>IFERROR(__xludf.DUMMYFUNCTION("RANK($I171, $I$2:$I1000, FALSE) + RANK($M171, Filter($M$2:$M1000, $I$2:$I1000=$I171),FALSE)+RANK($U171, Filter($U$2:$U1000, $I$2:$I1000=$I171,$M$2:$M1000=$M171),FALSE)-2"),1.0)</f>
        <v>1</v>
      </c>
      <c r="W171" s="124" t="str">
        <f t="shared" si="9"/>
        <v>Underplay</v>
      </c>
      <c r="X171" s="125" t="str">
        <f t="shared" si="10"/>
        <v/>
      </c>
      <c r="Y171" s="126">
        <f>MAXIFS(Matches!$A:$A,Matches!$C:$C,$B171)</f>
        <v>0</v>
      </c>
      <c r="Z171" s="126">
        <f t="array" ref="Z171">XLOOKUP(Y171,Quotas!$B$7:$B$10,Quotas!$A$7:$A$10,0,-1)</f>
        <v>0</v>
      </c>
      <c r="AB171" s="31"/>
      <c r="AC171" s="31">
        <f>COUNTIFS(Matches!$A:$A,"&gt;"&amp;Y171,Matches!$B:$B,$B171)</f>
        <v>0</v>
      </c>
      <c r="AD171" s="31"/>
      <c r="AE171" s="127">
        <f>SUMIF('Pool Changes'!B:B, B171, 'Pool Changes'!H:H)</f>
        <v>0</v>
      </c>
    </row>
    <row r="172">
      <c r="A172" s="104">
        <f t="shared" si="1"/>
        <v>1</v>
      </c>
      <c r="C172" s="128"/>
      <c r="D172" s="74"/>
      <c r="E172" s="1"/>
      <c r="F172" s="1"/>
      <c r="G172" s="1"/>
      <c r="H172" s="118">
        <f>COUNTIF(Entropy!$D:$D,$B172)+COUNTIF(Matches!$B:$B,$B172)+COUNTIF(Matches!$C:$C,$B172)</f>
        <v>0</v>
      </c>
      <c r="I172" s="119">
        <f>COUNTIF(Matches!$B:$B,B172)</f>
        <v>0</v>
      </c>
      <c r="J172" s="31">
        <f t="shared" si="2"/>
        <v>0</v>
      </c>
      <c r="K172" s="1" t="str">
        <f t="shared" si="3"/>
        <v>0 - 0</v>
      </c>
      <c r="L172" s="120">
        <f>COUNTIF(Entropy!$D:$D,$B172)</f>
        <v>0</v>
      </c>
      <c r="M172" s="121">
        <f t="shared" si="4"/>
        <v>0</v>
      </c>
      <c r="N172" s="121">
        <f t="shared" si="5"/>
        <v>0</v>
      </c>
      <c r="O172" s="118">
        <f>IF($J172=11,0,IF(AND($H172 &gt;=VLOOKUP('Combined Standings'!$C$2,Quotas!$A$7:$E$14,4,FALSE), $H172&lt;=VLOOKUP('Combined Standings'!$C$2,Quotas!$A$7:$E$14,5,FALSE)), 0,VLOOKUP('Combined Standings'!$C$2,Quotas!$A$7:$E$11,4,FALSE)-$H172))</f>
        <v>13</v>
      </c>
      <c r="P172" s="118">
        <f>IF($J172=11,0,IF(AND($H172 &gt;=VLOOKUP('Combined Standings'!$C$2,Quotas!$A$7:$E$14,5,FALSE), $H172&lt;=VLOOKUP('Combined Standings'!$C$2,Quotas!$A$7:$E$14,5,FALSE)), 0,VLOOKUP('Combined Standings'!$C$2,Quotas!$A$7:$E$11,5,FALSE)-$H172))</f>
        <v>15</v>
      </c>
      <c r="Q172" s="31">
        <f t="shared" si="6"/>
        <v>11</v>
      </c>
      <c r="R172" s="122" t="str">
        <f t="shared" si="7"/>
        <v/>
      </c>
      <c r="S172" s="121">
        <f t="shared" si="8"/>
        <v>0.33</v>
      </c>
      <c r="T172" s="122" t="str">
        <f>IFERROR(__xludf.DUMMYFUNCTION("JOIN("","",IFERROR(FILTER(Matches!$B:$B,B172=Matches!$C:$C),""""),IFERROR(FILTER(Matches!$C:$C,B172=Matches!$B:$B),""""))"),",,,,,,,,,,,,,,,,,,,,,,,,,,,,,,,,,,,,,,,,,,,,,,,,,,,,,,,,,,,,,,,,,,,,,,,,,,,,,,,,,,,,,,,,,,,,,,,,,,,,,,,,,,,,,,,,,,,,,,,,,,,,,,,,,,,,,,,,,,,,,,,,,,,,,,,,,,,,,,,,,,,,,,,,,,,,,,,,,,,,,,,,,,,,,,,,,,,,,,,,,,,,,,,,,,,,,,,,,,,,,,,,,,,,,,,,,,,,,,,,,,,,,,,,,,,,,,,")</f>
        <v>,,,,,,,,,,,,,,,,,,,,,,,,,,,,,,,,,,,,,,,,,,,,,,,,,,,,,,,,,,,,,,,,,,,,,,,,,,,,,,,,,,,,,,,,,,,,,,,,,,,,,,,,,,,,,,,,,,,,,,,,,,,,,,,,,,,,,,,,,,,,,,,,,,,,,,,,,,,,,,,,,,,,,,,,,,,,,,,,,,,,,,,,,,,,,,,,,,,,,,,,,,,,,,,,,,,,,,,,,,,,,,,,,,,,,,,,,,,,,,,,,,,,,,,,,,,,,,,</v>
      </c>
      <c r="U172" s="121">
        <f>IFERROR(__xludf.DUMMYFUNCTION("iferror(AVERAGE(ARRAYFORMULA(VLOOKUP(SPLIT(T172,"","",TRUE,TRUE),$R$2:$S1000,2,FALSE))),0)"),0.0)</f>
        <v>0</v>
      </c>
      <c r="V172" s="123">
        <f>IFERROR(__xludf.DUMMYFUNCTION("RANK($I172, $I$2:$I1000, FALSE) + RANK($M172, Filter($M$2:$M1000, $I$2:$I1000=$I172),FALSE)+RANK($U172, Filter($U$2:$U1000, $I$2:$I1000=$I172,$M$2:$M1000=$M172),FALSE)-2"),1.0)</f>
        <v>1</v>
      </c>
      <c r="W172" s="124" t="str">
        <f t="shared" si="9"/>
        <v>Underplay</v>
      </c>
      <c r="X172" s="125" t="str">
        <f t="shared" si="10"/>
        <v/>
      </c>
      <c r="Y172" s="126">
        <f>MAXIFS(Matches!$A:$A,Matches!$C:$C,$B172)</f>
        <v>0</v>
      </c>
      <c r="Z172" s="126">
        <f t="array" ref="Z172">XLOOKUP(Y172,Quotas!$B$7:$B$10,Quotas!$A$7:$A$10,0,-1)</f>
        <v>0</v>
      </c>
      <c r="AB172" s="31"/>
      <c r="AC172" s="31">
        <f>COUNTIFS(Matches!$A:$A,"&gt;"&amp;Y172,Matches!$B:$B,$B172)</f>
        <v>0</v>
      </c>
      <c r="AD172" s="31"/>
      <c r="AE172" s="127">
        <f>SUMIF('Pool Changes'!B:B, B172, 'Pool Changes'!H:H)</f>
        <v>0</v>
      </c>
    </row>
    <row r="173">
      <c r="A173" s="104">
        <f t="shared" si="1"/>
        <v>1</v>
      </c>
      <c r="C173" s="128"/>
      <c r="D173" s="74"/>
      <c r="E173" s="1"/>
      <c r="F173" s="1"/>
      <c r="G173" s="1"/>
      <c r="H173" s="118">
        <f>COUNTIF(Entropy!$D:$D,$B173)+COUNTIF(Matches!$B:$B,$B173)+COUNTIF(Matches!$C:$C,$B173)</f>
        <v>0</v>
      </c>
      <c r="I173" s="119">
        <f>COUNTIF(Matches!$B:$B,B173)</f>
        <v>0</v>
      </c>
      <c r="J173" s="31">
        <f t="shared" si="2"/>
        <v>0</v>
      </c>
      <c r="K173" s="1" t="str">
        <f t="shared" si="3"/>
        <v>0 - 0</v>
      </c>
      <c r="L173" s="120">
        <f>COUNTIF(Entropy!$D:$D,$B173)</f>
        <v>0</v>
      </c>
      <c r="M173" s="121">
        <f t="shared" si="4"/>
        <v>0</v>
      </c>
      <c r="N173" s="121">
        <f t="shared" si="5"/>
        <v>0</v>
      </c>
      <c r="O173" s="118">
        <f>IF($J173=11,0,IF(AND($H173 &gt;=VLOOKUP('Combined Standings'!$C$2,Quotas!$A$7:$E$14,4,FALSE), $H173&lt;=VLOOKUP('Combined Standings'!$C$2,Quotas!$A$7:$E$14,5,FALSE)), 0,VLOOKUP('Combined Standings'!$C$2,Quotas!$A$7:$E$11,4,FALSE)-$H173))</f>
        <v>13</v>
      </c>
      <c r="P173" s="118">
        <f>IF($J173=11,0,IF(AND($H173 &gt;=VLOOKUP('Combined Standings'!$C$2,Quotas!$A$7:$E$14,5,FALSE), $H173&lt;=VLOOKUP('Combined Standings'!$C$2,Quotas!$A$7:$E$14,5,FALSE)), 0,VLOOKUP('Combined Standings'!$C$2,Quotas!$A$7:$E$11,5,FALSE)-$H173))</f>
        <v>15</v>
      </c>
      <c r="Q173" s="31">
        <f t="shared" si="6"/>
        <v>11</v>
      </c>
      <c r="R173" s="122" t="str">
        <f t="shared" si="7"/>
        <v/>
      </c>
      <c r="S173" s="121">
        <f t="shared" si="8"/>
        <v>0.33</v>
      </c>
      <c r="T173" s="122" t="str">
        <f>IFERROR(__xludf.DUMMYFUNCTION("JOIN("","",IFERROR(FILTER(Matches!$B:$B,B173=Matches!$C:$C),""""),IFERROR(FILTER(Matches!$C:$C,B173=Matches!$B:$B),""""))"),",,,,,,,,,,,,,,,,,,,,,,,,,,,,,,,,,,,,,,,,,,,,,,,,,,,,,,,,,,,,,,,,,,,,,,,,,,,,,,,,,,,,,,,,,,,,,,,,,,,,,,,,,,,,,,,,,,,,,,,,,,,,,,,,,,,,,,,,,,,,,,,,,,,,,,,,,,,,,,,,,,,,,,,,,,,,,,,,,,,,,,,,,,,,,,,,,,,,,,,,,,,,,,,,,,,,,,,,,,,,,,,,,,,,,,,,,,,,,,,,,,,,,,,,,,,,,,,")</f>
        <v>,,,,,,,,,,,,,,,,,,,,,,,,,,,,,,,,,,,,,,,,,,,,,,,,,,,,,,,,,,,,,,,,,,,,,,,,,,,,,,,,,,,,,,,,,,,,,,,,,,,,,,,,,,,,,,,,,,,,,,,,,,,,,,,,,,,,,,,,,,,,,,,,,,,,,,,,,,,,,,,,,,,,,,,,,,,,,,,,,,,,,,,,,,,,,,,,,,,,,,,,,,,,,,,,,,,,,,,,,,,,,,,,,,,,,,,,,,,,,,,,,,,,,,,,,,,,,,,</v>
      </c>
      <c r="U173" s="121">
        <f>IFERROR(__xludf.DUMMYFUNCTION("iferror(AVERAGE(ARRAYFORMULA(VLOOKUP(SPLIT(T173,"","",TRUE,TRUE),$R$2:$S1000,2,FALSE))),0)"),0.0)</f>
        <v>0</v>
      </c>
      <c r="V173" s="123">
        <f>IFERROR(__xludf.DUMMYFUNCTION("RANK($I173, $I$2:$I1000, FALSE) + RANK($M173, Filter($M$2:$M1000, $I$2:$I1000=$I173),FALSE)+RANK($U173, Filter($U$2:$U1000, $I$2:$I1000=$I173,$M$2:$M1000=$M173),FALSE)-2"),1.0)</f>
        <v>1</v>
      </c>
      <c r="W173" s="124" t="str">
        <f t="shared" si="9"/>
        <v>Underplay</v>
      </c>
      <c r="X173" s="125" t="str">
        <f t="shared" si="10"/>
        <v/>
      </c>
      <c r="Y173" s="126">
        <f>MAXIFS(Matches!$A:$A,Matches!$C:$C,$B173)</f>
        <v>0</v>
      </c>
      <c r="Z173" s="126">
        <f t="array" ref="Z173">XLOOKUP(Y173,Quotas!$B$7:$B$10,Quotas!$A$7:$A$10,0,-1)</f>
        <v>0</v>
      </c>
      <c r="AB173" s="31"/>
      <c r="AC173" s="31">
        <f>COUNTIFS(Matches!$A:$A,"&gt;"&amp;Y173,Matches!$B:$B,$B173)</f>
        <v>0</v>
      </c>
      <c r="AD173" s="31"/>
      <c r="AE173" s="127">
        <f>SUMIF('Pool Changes'!B:B, B173, 'Pool Changes'!H:H)</f>
        <v>0</v>
      </c>
    </row>
    <row r="174">
      <c r="C174" s="54"/>
      <c r="D174" s="54"/>
      <c r="L174" s="54"/>
      <c r="M174" s="175"/>
      <c r="N174" s="175"/>
      <c r="R174" s="175"/>
      <c r="S174" s="175"/>
      <c r="T174" s="175"/>
      <c r="U174" s="175"/>
      <c r="X174" s="176"/>
      <c r="Y174" s="176"/>
      <c r="Z174" s="176"/>
      <c r="AE174" s="54"/>
    </row>
    <row r="175">
      <c r="C175" s="54"/>
      <c r="D175" s="54"/>
      <c r="L175" s="54"/>
      <c r="M175" s="175"/>
      <c r="N175" s="175"/>
      <c r="R175" s="175"/>
      <c r="S175" s="175"/>
      <c r="T175" s="175"/>
      <c r="U175" s="175"/>
      <c r="X175" s="176"/>
      <c r="Y175" s="176"/>
      <c r="Z175" s="176"/>
      <c r="AE175" s="54"/>
    </row>
    <row r="176">
      <c r="C176" s="54"/>
      <c r="D176" s="54"/>
      <c r="L176" s="54"/>
      <c r="M176" s="175"/>
      <c r="N176" s="175"/>
      <c r="R176" s="175"/>
      <c r="S176" s="175"/>
      <c r="T176" s="175"/>
      <c r="U176" s="175"/>
      <c r="X176" s="176"/>
      <c r="Y176" s="176"/>
      <c r="Z176" s="176"/>
      <c r="AE176" s="54"/>
    </row>
    <row r="177">
      <c r="C177" s="54"/>
      <c r="D177" s="54"/>
      <c r="L177" s="54"/>
      <c r="M177" s="175"/>
      <c r="N177" s="175"/>
      <c r="R177" s="175"/>
      <c r="S177" s="175"/>
      <c r="T177" s="175"/>
      <c r="U177" s="175"/>
      <c r="X177" s="176"/>
      <c r="Y177" s="176"/>
      <c r="Z177" s="176"/>
      <c r="AE177" s="54"/>
    </row>
    <row r="178">
      <c r="C178" s="54"/>
      <c r="D178" s="54"/>
      <c r="L178" s="54"/>
      <c r="M178" s="175"/>
      <c r="N178" s="175"/>
      <c r="R178" s="175"/>
      <c r="S178" s="175"/>
      <c r="T178" s="175"/>
      <c r="U178" s="175"/>
      <c r="X178" s="176"/>
      <c r="Y178" s="176"/>
      <c r="Z178" s="176"/>
      <c r="AE178" s="54"/>
    </row>
    <row r="179">
      <c r="C179" s="54"/>
      <c r="D179" s="54"/>
      <c r="L179" s="54"/>
      <c r="M179" s="175"/>
      <c r="N179" s="175"/>
      <c r="R179" s="175"/>
      <c r="S179" s="175"/>
      <c r="T179" s="175"/>
      <c r="U179" s="175"/>
      <c r="X179" s="176"/>
      <c r="Y179" s="176"/>
      <c r="Z179" s="176"/>
      <c r="AE179" s="54"/>
    </row>
    <row r="180">
      <c r="C180" s="54"/>
      <c r="D180" s="54"/>
      <c r="L180" s="54"/>
      <c r="M180" s="175"/>
      <c r="N180" s="175"/>
      <c r="R180" s="175"/>
      <c r="S180" s="175"/>
      <c r="T180" s="175"/>
      <c r="U180" s="175"/>
      <c r="X180" s="176"/>
      <c r="Y180" s="176"/>
      <c r="Z180" s="176"/>
      <c r="AE180" s="54"/>
    </row>
    <row r="181">
      <c r="C181" s="54"/>
      <c r="D181" s="54"/>
      <c r="L181" s="54"/>
      <c r="M181" s="175"/>
      <c r="N181" s="175"/>
      <c r="R181" s="175"/>
      <c r="S181" s="175"/>
      <c r="T181" s="175"/>
      <c r="U181" s="175"/>
      <c r="X181" s="176"/>
      <c r="Y181" s="176"/>
      <c r="Z181" s="176"/>
      <c r="AE181" s="54"/>
    </row>
    <row r="182">
      <c r="C182" s="54"/>
      <c r="D182" s="54"/>
      <c r="L182" s="54"/>
      <c r="M182" s="175"/>
      <c r="N182" s="175"/>
      <c r="R182" s="175"/>
      <c r="S182" s="175"/>
      <c r="T182" s="175"/>
      <c r="U182" s="175"/>
      <c r="X182" s="176"/>
      <c r="Y182" s="176"/>
      <c r="Z182" s="176"/>
      <c r="AE182" s="54"/>
    </row>
    <row r="183">
      <c r="C183" s="54"/>
      <c r="D183" s="54"/>
      <c r="L183" s="54"/>
      <c r="M183" s="175"/>
      <c r="N183" s="175"/>
      <c r="R183" s="175"/>
      <c r="S183" s="175"/>
      <c r="T183" s="175"/>
      <c r="U183" s="175"/>
      <c r="X183" s="176"/>
      <c r="Y183" s="176"/>
      <c r="Z183" s="176"/>
      <c r="AE183" s="54"/>
    </row>
    <row r="184">
      <c r="C184" s="54"/>
      <c r="D184" s="54"/>
      <c r="L184" s="54"/>
      <c r="M184" s="175"/>
      <c r="N184" s="175"/>
      <c r="R184" s="175"/>
      <c r="S184" s="175"/>
      <c r="T184" s="175"/>
      <c r="U184" s="175"/>
      <c r="X184" s="176"/>
      <c r="Y184" s="176"/>
      <c r="Z184" s="176"/>
      <c r="AE184" s="54"/>
    </row>
    <row r="185">
      <c r="C185" s="54"/>
      <c r="D185" s="54"/>
      <c r="L185" s="54"/>
      <c r="M185" s="175"/>
      <c r="N185" s="175"/>
      <c r="R185" s="175"/>
      <c r="S185" s="175"/>
      <c r="T185" s="175"/>
      <c r="U185" s="175"/>
      <c r="X185" s="176"/>
      <c r="Y185" s="176"/>
      <c r="Z185" s="176"/>
      <c r="AE185" s="54"/>
    </row>
    <row r="186">
      <c r="C186" s="54"/>
      <c r="D186" s="54"/>
      <c r="L186" s="54"/>
      <c r="M186" s="175"/>
      <c r="N186" s="175"/>
      <c r="R186" s="175"/>
      <c r="S186" s="175"/>
      <c r="T186" s="175"/>
      <c r="U186" s="175"/>
      <c r="X186" s="176"/>
      <c r="Y186" s="176"/>
      <c r="Z186" s="176"/>
      <c r="AE186" s="54"/>
    </row>
    <row r="187">
      <c r="C187" s="54"/>
      <c r="D187" s="54"/>
      <c r="L187" s="54"/>
      <c r="M187" s="175"/>
      <c r="N187" s="175"/>
      <c r="R187" s="175"/>
      <c r="S187" s="175"/>
      <c r="T187" s="175"/>
      <c r="U187" s="175"/>
      <c r="X187" s="176"/>
      <c r="Y187" s="176"/>
      <c r="Z187" s="176"/>
    </row>
    <row r="188">
      <c r="C188" s="54"/>
      <c r="D188" s="54"/>
      <c r="L188" s="54"/>
      <c r="M188" s="175"/>
      <c r="N188" s="175"/>
      <c r="R188" s="175"/>
      <c r="S188" s="175"/>
      <c r="T188" s="175"/>
      <c r="U188" s="175"/>
      <c r="X188" s="176"/>
      <c r="Y188" s="176"/>
      <c r="Z188" s="176"/>
    </row>
    <row r="189">
      <c r="C189" s="54"/>
      <c r="D189" s="54"/>
      <c r="L189" s="54"/>
      <c r="M189" s="175"/>
      <c r="N189" s="175"/>
      <c r="R189" s="175"/>
      <c r="S189" s="175"/>
      <c r="T189" s="175"/>
      <c r="U189" s="175"/>
      <c r="X189" s="176"/>
      <c r="Y189" s="176"/>
      <c r="Z189" s="176"/>
    </row>
    <row r="190">
      <c r="C190" s="54"/>
      <c r="D190" s="54"/>
      <c r="L190" s="54"/>
      <c r="M190" s="175"/>
      <c r="N190" s="175"/>
      <c r="R190" s="175"/>
      <c r="S190" s="175"/>
      <c r="T190" s="175"/>
      <c r="U190" s="175"/>
      <c r="X190" s="176"/>
      <c r="Y190" s="176"/>
      <c r="Z190" s="176"/>
    </row>
    <row r="191">
      <c r="C191" s="54"/>
      <c r="D191" s="54"/>
      <c r="L191" s="54"/>
      <c r="M191" s="175"/>
      <c r="N191" s="175"/>
      <c r="R191" s="175"/>
      <c r="S191" s="175"/>
      <c r="T191" s="175"/>
      <c r="U191" s="175"/>
      <c r="X191" s="176"/>
      <c r="Y191" s="176"/>
      <c r="Z191" s="176"/>
    </row>
    <row r="192">
      <c r="C192" s="54"/>
      <c r="D192" s="54"/>
      <c r="L192" s="54"/>
      <c r="M192" s="175"/>
      <c r="N192" s="175"/>
      <c r="R192" s="175"/>
      <c r="S192" s="175"/>
      <c r="T192" s="175"/>
      <c r="U192" s="175"/>
      <c r="X192" s="176"/>
      <c r="Y192" s="176"/>
      <c r="Z192" s="176"/>
    </row>
    <row r="193">
      <c r="C193" s="54"/>
      <c r="D193" s="54"/>
      <c r="L193" s="54"/>
      <c r="M193" s="175"/>
      <c r="N193" s="175"/>
      <c r="R193" s="175"/>
      <c r="S193" s="175"/>
      <c r="T193" s="175"/>
      <c r="U193" s="175"/>
      <c r="X193" s="176"/>
      <c r="Y193" s="176"/>
      <c r="Z193" s="176"/>
    </row>
    <row r="194">
      <c r="C194" s="54"/>
      <c r="D194" s="54"/>
      <c r="L194" s="54"/>
      <c r="M194" s="175"/>
      <c r="N194" s="175"/>
      <c r="R194" s="175"/>
      <c r="S194" s="175"/>
      <c r="T194" s="175"/>
      <c r="U194" s="175"/>
      <c r="X194" s="176"/>
      <c r="Y194" s="176"/>
      <c r="Z194" s="176"/>
    </row>
    <row r="195">
      <c r="C195" s="54"/>
      <c r="D195" s="54"/>
      <c r="L195" s="54"/>
      <c r="M195" s="175"/>
      <c r="N195" s="175"/>
      <c r="R195" s="175"/>
      <c r="S195" s="175"/>
      <c r="T195" s="175"/>
      <c r="U195" s="175"/>
      <c r="X195" s="176"/>
      <c r="Y195" s="176"/>
      <c r="Z195" s="176"/>
    </row>
    <row r="196">
      <c r="C196" s="54"/>
      <c r="D196" s="54"/>
      <c r="L196" s="54"/>
      <c r="M196" s="175"/>
      <c r="N196" s="175"/>
      <c r="R196" s="175"/>
      <c r="S196" s="175"/>
      <c r="T196" s="175"/>
      <c r="U196" s="175"/>
      <c r="X196" s="176"/>
      <c r="Y196" s="176"/>
      <c r="Z196" s="176"/>
    </row>
    <row r="197">
      <c r="C197" s="54"/>
      <c r="D197" s="54"/>
      <c r="L197" s="54"/>
      <c r="M197" s="175"/>
      <c r="N197" s="175"/>
      <c r="R197" s="175"/>
      <c r="S197" s="175"/>
      <c r="T197" s="175"/>
      <c r="U197" s="175"/>
      <c r="X197" s="176"/>
      <c r="Y197" s="176"/>
      <c r="Z197" s="176"/>
    </row>
    <row r="198">
      <c r="C198" s="54"/>
      <c r="D198" s="54"/>
      <c r="L198" s="54"/>
      <c r="M198" s="175"/>
      <c r="N198" s="175"/>
      <c r="R198" s="175"/>
      <c r="S198" s="175"/>
      <c r="T198" s="175"/>
      <c r="U198" s="175"/>
      <c r="X198" s="176"/>
      <c r="Y198" s="176"/>
      <c r="Z198" s="176"/>
    </row>
    <row r="199">
      <c r="C199" s="54"/>
      <c r="D199" s="54"/>
      <c r="L199" s="54"/>
      <c r="M199" s="175"/>
      <c r="N199" s="175"/>
      <c r="R199" s="175"/>
      <c r="S199" s="175"/>
      <c r="T199" s="175"/>
      <c r="U199" s="175"/>
      <c r="X199" s="176"/>
      <c r="Y199" s="176"/>
      <c r="Z199" s="176"/>
    </row>
    <row r="200">
      <c r="C200" s="54"/>
      <c r="D200" s="54"/>
      <c r="L200" s="54"/>
      <c r="M200" s="175"/>
      <c r="N200" s="175"/>
      <c r="R200" s="175"/>
      <c r="S200" s="175"/>
      <c r="T200" s="175"/>
      <c r="U200" s="175"/>
      <c r="X200" s="176"/>
      <c r="Y200" s="176"/>
      <c r="Z200" s="176"/>
    </row>
    <row r="201">
      <c r="C201" s="54"/>
      <c r="D201" s="54"/>
      <c r="L201" s="54"/>
      <c r="M201" s="175"/>
      <c r="N201" s="175"/>
      <c r="R201" s="175"/>
      <c r="S201" s="175"/>
      <c r="T201" s="175"/>
      <c r="U201" s="175"/>
      <c r="X201" s="176"/>
      <c r="Y201" s="176"/>
      <c r="Z201" s="176"/>
    </row>
    <row r="202">
      <c r="C202" s="54"/>
      <c r="D202" s="54"/>
      <c r="L202" s="54"/>
      <c r="M202" s="175"/>
      <c r="N202" s="175"/>
      <c r="R202" s="175"/>
      <c r="S202" s="175"/>
      <c r="T202" s="175"/>
      <c r="U202" s="175"/>
      <c r="X202" s="176"/>
      <c r="Y202" s="176"/>
      <c r="Z202" s="176"/>
    </row>
    <row r="203">
      <c r="C203" s="54"/>
      <c r="D203" s="54"/>
      <c r="L203" s="54"/>
      <c r="M203" s="175"/>
      <c r="N203" s="175"/>
      <c r="R203" s="175"/>
      <c r="S203" s="175"/>
      <c r="T203" s="175"/>
      <c r="U203" s="175"/>
      <c r="X203" s="176"/>
      <c r="Y203" s="176"/>
      <c r="Z203" s="176"/>
    </row>
    <row r="204">
      <c r="C204" s="54"/>
      <c r="D204" s="54"/>
      <c r="L204" s="54"/>
      <c r="M204" s="175"/>
      <c r="N204" s="175"/>
      <c r="R204" s="175"/>
      <c r="S204" s="175"/>
      <c r="T204" s="175"/>
      <c r="U204" s="175"/>
      <c r="X204" s="176"/>
      <c r="Y204" s="176"/>
      <c r="Z204" s="176"/>
    </row>
    <row r="205">
      <c r="A205" s="104"/>
      <c r="C205" s="128"/>
      <c r="D205" s="74"/>
      <c r="E205" s="1"/>
      <c r="F205" s="1"/>
      <c r="G205" s="1"/>
      <c r="H205" s="118"/>
      <c r="I205" s="177"/>
      <c r="J205" s="31"/>
      <c r="K205" s="1"/>
      <c r="L205" s="120"/>
      <c r="M205" s="121"/>
      <c r="N205" s="121"/>
      <c r="O205" s="118"/>
      <c r="P205" s="118"/>
      <c r="Q205" s="31"/>
      <c r="R205" s="122"/>
      <c r="S205" s="121"/>
      <c r="T205" s="122"/>
      <c r="U205" s="121"/>
      <c r="V205" s="123"/>
      <c r="W205" s="124"/>
      <c r="X205" s="178"/>
      <c r="Y205" s="126"/>
      <c r="Z205" s="126"/>
      <c r="AB205" s="31"/>
      <c r="AC205" s="31"/>
      <c r="AD205" s="31"/>
      <c r="AE205" s="1"/>
    </row>
    <row r="206">
      <c r="A206" s="104"/>
      <c r="C206" s="128"/>
      <c r="D206" s="74"/>
      <c r="E206" s="1"/>
      <c r="F206" s="1"/>
      <c r="G206" s="1"/>
      <c r="H206" s="118"/>
      <c r="I206" s="177"/>
      <c r="J206" s="31"/>
      <c r="K206" s="1"/>
      <c r="L206" s="120"/>
      <c r="M206" s="121"/>
      <c r="N206" s="121"/>
      <c r="O206" s="118"/>
      <c r="P206" s="118"/>
      <c r="Q206" s="31"/>
      <c r="R206" s="122"/>
      <c r="S206" s="121"/>
      <c r="T206" s="122"/>
      <c r="U206" s="121"/>
      <c r="V206" s="123"/>
      <c r="W206" s="124"/>
      <c r="X206" s="178"/>
      <c r="Y206" s="126"/>
      <c r="Z206" s="126"/>
      <c r="AB206" s="31"/>
      <c r="AC206" s="31"/>
      <c r="AD206" s="31"/>
      <c r="AE206" s="1"/>
    </row>
    <row r="207">
      <c r="A207" s="104"/>
      <c r="C207" s="128"/>
      <c r="D207" s="74"/>
      <c r="E207" s="1"/>
      <c r="F207" s="1"/>
      <c r="G207" s="1"/>
      <c r="H207" s="118"/>
      <c r="I207" s="177"/>
      <c r="J207" s="31"/>
      <c r="K207" s="1"/>
      <c r="L207" s="120"/>
      <c r="M207" s="121"/>
      <c r="N207" s="121"/>
      <c r="O207" s="118"/>
      <c r="P207" s="118"/>
      <c r="Q207" s="31"/>
      <c r="R207" s="122"/>
      <c r="S207" s="121"/>
      <c r="T207" s="122"/>
      <c r="U207" s="121"/>
      <c r="V207" s="123"/>
      <c r="W207" s="124"/>
      <c r="X207" s="178"/>
      <c r="Y207" s="126"/>
      <c r="Z207" s="126"/>
      <c r="AB207" s="31"/>
      <c r="AC207" s="31"/>
      <c r="AD207" s="31"/>
      <c r="AE207" s="1"/>
    </row>
    <row r="208">
      <c r="A208" s="104"/>
      <c r="C208" s="128"/>
      <c r="D208" s="74"/>
      <c r="E208" s="1"/>
      <c r="F208" s="1"/>
      <c r="G208" s="1"/>
      <c r="H208" s="118"/>
      <c r="I208" s="177"/>
      <c r="J208" s="31"/>
      <c r="K208" s="1"/>
      <c r="L208" s="120"/>
      <c r="M208" s="121"/>
      <c r="N208" s="121"/>
      <c r="O208" s="118"/>
      <c r="P208" s="118"/>
      <c r="Q208" s="31"/>
      <c r="R208" s="122"/>
      <c r="S208" s="121"/>
      <c r="T208" s="122"/>
      <c r="U208" s="121"/>
      <c r="V208" s="123"/>
      <c r="W208" s="124"/>
      <c r="X208" s="178"/>
      <c r="Y208" s="126"/>
      <c r="Z208" s="126"/>
      <c r="AB208" s="31"/>
      <c r="AC208" s="31"/>
      <c r="AD208" s="31"/>
      <c r="AE208" s="1"/>
    </row>
    <row r="209">
      <c r="A209" s="104"/>
      <c r="C209" s="128"/>
      <c r="D209" s="74"/>
      <c r="E209" s="1"/>
      <c r="F209" s="1"/>
      <c r="G209" s="1"/>
      <c r="H209" s="118"/>
      <c r="I209" s="177"/>
      <c r="J209" s="31"/>
      <c r="K209" s="1"/>
      <c r="L209" s="120"/>
      <c r="M209" s="121"/>
      <c r="N209" s="121"/>
      <c r="O209" s="118"/>
      <c r="P209" s="118"/>
      <c r="Q209" s="31"/>
      <c r="R209" s="122"/>
      <c r="S209" s="121"/>
      <c r="T209" s="122"/>
      <c r="U209" s="121"/>
      <c r="V209" s="123"/>
      <c r="W209" s="124"/>
      <c r="X209" s="178"/>
      <c r="Y209" s="126"/>
      <c r="Z209" s="126"/>
      <c r="AB209" s="31"/>
      <c r="AC209" s="31"/>
      <c r="AD209" s="31"/>
      <c r="AE209" s="1"/>
    </row>
    <row r="210">
      <c r="A210" s="104"/>
      <c r="C210" s="128"/>
      <c r="D210" s="74"/>
      <c r="E210" s="1"/>
      <c r="F210" s="1"/>
      <c r="G210" s="1"/>
      <c r="H210" s="118"/>
      <c r="I210" s="177"/>
      <c r="J210" s="31"/>
      <c r="K210" s="1"/>
      <c r="L210" s="120"/>
      <c r="M210" s="121"/>
      <c r="N210" s="121"/>
      <c r="O210" s="118"/>
      <c r="P210" s="118"/>
      <c r="Q210" s="31"/>
      <c r="R210" s="122"/>
      <c r="S210" s="121"/>
      <c r="T210" s="122"/>
      <c r="U210" s="121"/>
      <c r="V210" s="123"/>
      <c r="W210" s="124"/>
      <c r="X210" s="178"/>
      <c r="Y210" s="126"/>
      <c r="Z210" s="126"/>
      <c r="AB210" s="31"/>
      <c r="AC210" s="31"/>
      <c r="AD210" s="31"/>
      <c r="AE210" s="1"/>
    </row>
    <row r="211">
      <c r="A211" s="104"/>
      <c r="C211" s="128"/>
      <c r="D211" s="74"/>
      <c r="E211" s="1"/>
      <c r="F211" s="1"/>
      <c r="G211" s="1"/>
      <c r="H211" s="118"/>
      <c r="I211" s="177"/>
      <c r="J211" s="31"/>
      <c r="K211" s="1"/>
      <c r="L211" s="120"/>
      <c r="M211" s="121"/>
      <c r="N211" s="121"/>
      <c r="O211" s="118"/>
      <c r="P211" s="118"/>
      <c r="Q211" s="31"/>
      <c r="R211" s="122"/>
      <c r="S211" s="121"/>
      <c r="T211" s="122"/>
      <c r="U211" s="121"/>
      <c r="V211" s="123"/>
      <c r="W211" s="124"/>
      <c r="X211" s="178"/>
      <c r="Y211" s="126"/>
      <c r="Z211" s="126"/>
      <c r="AB211" s="31"/>
      <c r="AC211" s="31"/>
      <c r="AD211" s="31"/>
      <c r="AE211" s="1"/>
    </row>
    <row r="212">
      <c r="A212" s="104"/>
      <c r="C212" s="128"/>
      <c r="D212" s="74"/>
      <c r="E212" s="1"/>
      <c r="F212" s="1"/>
      <c r="G212" s="1"/>
      <c r="H212" s="118"/>
      <c r="I212" s="177"/>
      <c r="J212" s="31"/>
      <c r="K212" s="1"/>
      <c r="L212" s="120"/>
      <c r="M212" s="121"/>
      <c r="N212" s="121"/>
      <c r="O212" s="118"/>
      <c r="P212" s="118"/>
      <c r="Q212" s="31"/>
      <c r="R212" s="122"/>
      <c r="S212" s="121"/>
      <c r="T212" s="122"/>
      <c r="U212" s="121"/>
      <c r="V212" s="123"/>
      <c r="W212" s="124"/>
      <c r="X212" s="178"/>
      <c r="Y212" s="126"/>
      <c r="Z212" s="126"/>
      <c r="AB212" s="31"/>
      <c r="AC212" s="31"/>
      <c r="AD212" s="31"/>
      <c r="AE212" s="1"/>
    </row>
    <row r="213">
      <c r="A213" s="104"/>
      <c r="C213" s="128"/>
      <c r="D213" s="74"/>
      <c r="E213" s="1"/>
      <c r="F213" s="1"/>
      <c r="G213" s="1"/>
      <c r="H213" s="118"/>
      <c r="I213" s="177"/>
      <c r="J213" s="31"/>
      <c r="K213" s="1"/>
      <c r="L213" s="120"/>
      <c r="M213" s="121"/>
      <c r="N213" s="121"/>
      <c r="O213" s="118"/>
      <c r="P213" s="118"/>
      <c r="Q213" s="31"/>
      <c r="R213" s="122"/>
      <c r="S213" s="121"/>
      <c r="T213" s="122"/>
      <c r="U213" s="121"/>
      <c r="V213" s="123"/>
      <c r="W213" s="124"/>
      <c r="X213" s="178"/>
      <c r="Y213" s="126"/>
      <c r="Z213" s="126"/>
      <c r="AB213" s="31"/>
      <c r="AC213" s="31"/>
      <c r="AD213" s="31"/>
      <c r="AE213" s="1"/>
    </row>
    <row r="214">
      <c r="A214" s="104"/>
      <c r="C214" s="128"/>
      <c r="D214" s="74"/>
      <c r="E214" s="1"/>
      <c r="F214" s="1"/>
      <c r="G214" s="1"/>
      <c r="H214" s="118"/>
      <c r="I214" s="177"/>
      <c r="J214" s="31"/>
      <c r="K214" s="1"/>
      <c r="L214" s="120"/>
      <c r="M214" s="121"/>
      <c r="N214" s="121"/>
      <c r="O214" s="118"/>
      <c r="P214" s="118"/>
      <c r="Q214" s="31"/>
      <c r="R214" s="122"/>
      <c r="S214" s="121"/>
      <c r="T214" s="122"/>
      <c r="U214" s="121"/>
      <c r="V214" s="123"/>
      <c r="W214" s="124"/>
      <c r="X214" s="178"/>
      <c r="Y214" s="126"/>
      <c r="Z214" s="126"/>
      <c r="AB214" s="31"/>
      <c r="AC214" s="31"/>
      <c r="AD214" s="31"/>
      <c r="AE214" s="1"/>
    </row>
    <row r="215">
      <c r="A215" s="104"/>
      <c r="C215" s="128"/>
      <c r="D215" s="74"/>
      <c r="E215" s="1"/>
      <c r="F215" s="1"/>
      <c r="G215" s="1"/>
      <c r="H215" s="118"/>
      <c r="I215" s="177"/>
      <c r="J215" s="31"/>
      <c r="K215" s="1"/>
      <c r="L215" s="120"/>
      <c r="M215" s="121"/>
      <c r="N215" s="121"/>
      <c r="O215" s="118"/>
      <c r="P215" s="118"/>
      <c r="Q215" s="31"/>
      <c r="R215" s="122"/>
      <c r="S215" s="121"/>
      <c r="T215" s="122"/>
      <c r="U215" s="121"/>
      <c r="V215" s="123"/>
      <c r="W215" s="124"/>
      <c r="X215" s="178"/>
      <c r="Y215" s="126"/>
      <c r="Z215" s="126"/>
      <c r="AB215" s="31"/>
      <c r="AC215" s="31"/>
      <c r="AD215" s="31"/>
      <c r="AE215" s="1"/>
    </row>
    <row r="216">
      <c r="A216" s="104"/>
      <c r="C216" s="128"/>
      <c r="D216" s="74"/>
      <c r="E216" s="1"/>
      <c r="F216" s="1"/>
      <c r="G216" s="1"/>
      <c r="H216" s="118"/>
      <c r="I216" s="177"/>
      <c r="J216" s="31"/>
      <c r="K216" s="1"/>
      <c r="L216" s="120"/>
      <c r="M216" s="121"/>
      <c r="N216" s="121"/>
      <c r="O216" s="118"/>
      <c r="P216" s="118"/>
      <c r="Q216" s="31"/>
      <c r="R216" s="122"/>
      <c r="S216" s="121"/>
      <c r="T216" s="122"/>
      <c r="U216" s="121"/>
      <c r="V216" s="123"/>
      <c r="W216" s="124"/>
      <c r="X216" s="178"/>
      <c r="Y216" s="126"/>
      <c r="Z216" s="126"/>
      <c r="AB216" s="31"/>
      <c r="AC216" s="31"/>
      <c r="AD216" s="31"/>
      <c r="AE216" s="1"/>
    </row>
    <row r="217">
      <c r="A217" s="104"/>
      <c r="C217" s="128"/>
      <c r="D217" s="74"/>
      <c r="E217" s="1"/>
      <c r="F217" s="1"/>
      <c r="G217" s="1"/>
      <c r="H217" s="118"/>
      <c r="I217" s="177"/>
      <c r="J217" s="31"/>
      <c r="K217" s="1"/>
      <c r="L217" s="120"/>
      <c r="M217" s="121"/>
      <c r="N217" s="121"/>
      <c r="O217" s="118"/>
      <c r="P217" s="118"/>
      <c r="Q217" s="31"/>
      <c r="R217" s="122"/>
      <c r="S217" s="121"/>
      <c r="T217" s="122"/>
      <c r="U217" s="121"/>
      <c r="V217" s="123"/>
      <c r="W217" s="124"/>
      <c r="X217" s="178"/>
      <c r="Y217" s="126"/>
      <c r="Z217" s="126"/>
      <c r="AB217" s="31"/>
      <c r="AC217" s="31"/>
      <c r="AD217" s="31"/>
      <c r="AE217" s="1"/>
    </row>
    <row r="218">
      <c r="A218" s="104"/>
      <c r="C218" s="128"/>
      <c r="D218" s="74"/>
      <c r="E218" s="1"/>
      <c r="F218" s="1"/>
      <c r="G218" s="1"/>
      <c r="H218" s="118"/>
      <c r="I218" s="177"/>
      <c r="J218" s="31"/>
      <c r="K218" s="1"/>
      <c r="L218" s="120"/>
      <c r="M218" s="121"/>
      <c r="N218" s="121"/>
      <c r="O218" s="118"/>
      <c r="P218" s="118"/>
      <c r="Q218" s="31"/>
      <c r="R218" s="122"/>
      <c r="S218" s="121"/>
      <c r="T218" s="122"/>
      <c r="U218" s="121"/>
      <c r="V218" s="123"/>
      <c r="W218" s="124"/>
      <c r="X218" s="178"/>
      <c r="Y218" s="126"/>
      <c r="Z218" s="126"/>
      <c r="AB218" s="31"/>
      <c r="AC218" s="31"/>
      <c r="AD218" s="31"/>
      <c r="AE218" s="1"/>
    </row>
    <row r="219">
      <c r="A219" s="104"/>
      <c r="C219" s="128"/>
      <c r="D219" s="74"/>
      <c r="E219" s="1"/>
      <c r="F219" s="1"/>
      <c r="G219" s="1"/>
      <c r="H219" s="118"/>
      <c r="I219" s="177"/>
      <c r="J219" s="31"/>
      <c r="K219" s="1"/>
      <c r="L219" s="120"/>
      <c r="M219" s="121"/>
      <c r="N219" s="121"/>
      <c r="O219" s="118"/>
      <c r="P219" s="118"/>
      <c r="Q219" s="31"/>
      <c r="R219" s="122"/>
      <c r="S219" s="121"/>
      <c r="T219" s="122"/>
      <c r="U219" s="121"/>
      <c r="V219" s="123"/>
      <c r="W219" s="124"/>
      <c r="X219" s="178"/>
      <c r="Y219" s="126"/>
      <c r="Z219" s="126"/>
      <c r="AB219" s="31"/>
      <c r="AC219" s="31"/>
      <c r="AD219" s="31"/>
      <c r="AE219" s="1"/>
    </row>
    <row r="220">
      <c r="A220" s="104"/>
      <c r="C220" s="128"/>
      <c r="D220" s="74"/>
      <c r="E220" s="1"/>
      <c r="F220" s="1"/>
      <c r="G220" s="1"/>
      <c r="H220" s="118"/>
      <c r="I220" s="177"/>
      <c r="J220" s="31"/>
      <c r="K220" s="1"/>
      <c r="L220" s="120"/>
      <c r="M220" s="121"/>
      <c r="N220" s="121"/>
      <c r="O220" s="118"/>
      <c r="P220" s="118"/>
      <c r="Q220" s="31"/>
      <c r="R220" s="122"/>
      <c r="S220" s="121"/>
      <c r="T220" s="122"/>
      <c r="U220" s="121"/>
      <c r="V220" s="123"/>
      <c r="W220" s="124"/>
      <c r="X220" s="178"/>
      <c r="Y220" s="126"/>
      <c r="Z220" s="126"/>
      <c r="AB220" s="31"/>
      <c r="AC220" s="31"/>
      <c r="AD220" s="31"/>
      <c r="AE220" s="1"/>
    </row>
    <row r="221">
      <c r="A221" s="104"/>
      <c r="C221" s="128"/>
      <c r="D221" s="74"/>
      <c r="E221" s="1"/>
      <c r="F221" s="1"/>
      <c r="G221" s="1"/>
      <c r="H221" s="118"/>
      <c r="I221" s="177"/>
      <c r="J221" s="31"/>
      <c r="K221" s="1"/>
      <c r="L221" s="120"/>
      <c r="M221" s="121"/>
      <c r="N221" s="121"/>
      <c r="O221" s="118"/>
      <c r="P221" s="118"/>
      <c r="Q221" s="31"/>
      <c r="R221" s="122"/>
      <c r="S221" s="121"/>
      <c r="T221" s="122"/>
      <c r="U221" s="121"/>
      <c r="V221" s="123"/>
      <c r="W221" s="124"/>
      <c r="X221" s="178"/>
      <c r="Y221" s="126"/>
      <c r="Z221" s="126"/>
      <c r="AB221" s="31"/>
      <c r="AC221" s="31"/>
      <c r="AD221" s="31"/>
      <c r="AE221" s="1"/>
    </row>
    <row r="222">
      <c r="A222" s="104"/>
      <c r="C222" s="128"/>
      <c r="D222" s="74"/>
      <c r="E222" s="1"/>
      <c r="F222" s="1"/>
      <c r="G222" s="1"/>
      <c r="H222" s="118"/>
      <c r="I222" s="177"/>
      <c r="J222" s="31"/>
      <c r="K222" s="1"/>
      <c r="L222" s="120"/>
      <c r="M222" s="121"/>
      <c r="N222" s="121"/>
      <c r="O222" s="118"/>
      <c r="P222" s="118"/>
      <c r="Q222" s="31"/>
      <c r="R222" s="122"/>
      <c r="S222" s="121"/>
      <c r="T222" s="122"/>
      <c r="U222" s="121"/>
      <c r="V222" s="123"/>
      <c r="W222" s="124"/>
      <c r="X222" s="178"/>
      <c r="Y222" s="126"/>
      <c r="Z222" s="126"/>
      <c r="AB222" s="31"/>
      <c r="AC222" s="31"/>
      <c r="AD222" s="31"/>
      <c r="AE222" s="1"/>
    </row>
    <row r="223">
      <c r="A223" s="104"/>
      <c r="C223" s="128"/>
      <c r="D223" s="74"/>
      <c r="E223" s="1"/>
      <c r="F223" s="1"/>
      <c r="G223" s="1"/>
      <c r="H223" s="118"/>
      <c r="I223" s="177"/>
      <c r="J223" s="31"/>
      <c r="K223" s="1"/>
      <c r="L223" s="120"/>
      <c r="M223" s="121"/>
      <c r="N223" s="121"/>
      <c r="O223" s="118"/>
      <c r="P223" s="118"/>
      <c r="Q223" s="31"/>
      <c r="R223" s="122"/>
      <c r="S223" s="121"/>
      <c r="T223" s="122"/>
      <c r="U223" s="121"/>
      <c r="V223" s="123"/>
      <c r="W223" s="124"/>
      <c r="X223" s="178"/>
      <c r="Y223" s="126"/>
      <c r="Z223" s="126"/>
      <c r="AB223" s="31"/>
      <c r="AC223" s="31"/>
      <c r="AD223" s="31"/>
      <c r="AE223" s="1"/>
    </row>
    <row r="224">
      <c r="A224" s="104"/>
      <c r="C224" s="128"/>
      <c r="D224" s="74"/>
      <c r="E224" s="1"/>
      <c r="F224" s="1"/>
      <c r="G224" s="1"/>
      <c r="H224" s="118"/>
      <c r="I224" s="177"/>
      <c r="J224" s="31"/>
      <c r="K224" s="1"/>
      <c r="L224" s="120"/>
      <c r="M224" s="121"/>
      <c r="N224" s="121"/>
      <c r="O224" s="118"/>
      <c r="P224" s="118"/>
      <c r="Q224" s="31"/>
      <c r="R224" s="122"/>
      <c r="S224" s="121"/>
      <c r="T224" s="122"/>
      <c r="U224" s="121"/>
      <c r="V224" s="123"/>
      <c r="W224" s="124"/>
      <c r="X224" s="178"/>
      <c r="Y224" s="126"/>
      <c r="Z224" s="126"/>
      <c r="AB224" s="31"/>
      <c r="AC224" s="31"/>
      <c r="AD224" s="31"/>
      <c r="AE224" s="1"/>
    </row>
    <row r="225">
      <c r="A225" s="104"/>
      <c r="C225" s="128"/>
      <c r="D225" s="74"/>
      <c r="E225" s="1"/>
      <c r="F225" s="1"/>
      <c r="G225" s="1"/>
      <c r="H225" s="118"/>
      <c r="I225" s="177"/>
      <c r="J225" s="31"/>
      <c r="K225" s="1"/>
      <c r="L225" s="120"/>
      <c r="M225" s="121"/>
      <c r="N225" s="121"/>
      <c r="O225" s="118"/>
      <c r="P225" s="118"/>
      <c r="Q225" s="31"/>
      <c r="R225" s="122"/>
      <c r="S225" s="121"/>
      <c r="T225" s="122"/>
      <c r="U225" s="121"/>
      <c r="V225" s="123"/>
      <c r="W225" s="124"/>
      <c r="X225" s="178"/>
      <c r="Y225" s="126"/>
      <c r="Z225" s="126"/>
      <c r="AB225" s="31"/>
      <c r="AC225" s="31"/>
      <c r="AD225" s="31"/>
      <c r="AE225" s="1"/>
    </row>
    <row r="226">
      <c r="A226" s="104"/>
      <c r="C226" s="128"/>
      <c r="D226" s="74"/>
      <c r="E226" s="1"/>
      <c r="F226" s="1"/>
      <c r="G226" s="1"/>
      <c r="H226" s="118"/>
      <c r="I226" s="177"/>
      <c r="J226" s="31"/>
      <c r="K226" s="1"/>
      <c r="L226" s="120"/>
      <c r="M226" s="121"/>
      <c r="N226" s="121"/>
      <c r="O226" s="118"/>
      <c r="P226" s="118"/>
      <c r="Q226" s="31"/>
      <c r="R226" s="122"/>
      <c r="S226" s="121"/>
      <c r="T226" s="122"/>
      <c r="U226" s="121"/>
      <c r="V226" s="123"/>
      <c r="W226" s="124"/>
      <c r="X226" s="178"/>
      <c r="Y226" s="126"/>
      <c r="Z226" s="126"/>
      <c r="AB226" s="31"/>
      <c r="AC226" s="31"/>
      <c r="AD226" s="31"/>
      <c r="AE226" s="1"/>
    </row>
    <row r="227">
      <c r="A227" s="104"/>
      <c r="C227" s="128"/>
      <c r="D227" s="74"/>
      <c r="E227" s="1"/>
      <c r="F227" s="1"/>
      <c r="G227" s="1"/>
      <c r="H227" s="118"/>
      <c r="I227" s="177"/>
      <c r="J227" s="31"/>
      <c r="K227" s="1"/>
      <c r="L227" s="120"/>
      <c r="M227" s="121"/>
      <c r="N227" s="121"/>
      <c r="O227" s="118"/>
      <c r="P227" s="118"/>
      <c r="Q227" s="31"/>
      <c r="R227" s="122"/>
      <c r="S227" s="121"/>
      <c r="T227" s="122"/>
      <c r="U227" s="121"/>
      <c r="V227" s="123"/>
      <c r="W227" s="124"/>
      <c r="X227" s="178"/>
      <c r="Y227" s="126"/>
      <c r="Z227" s="126"/>
      <c r="AB227" s="31"/>
      <c r="AC227" s="31"/>
      <c r="AD227" s="31"/>
      <c r="AE227" s="1"/>
    </row>
    <row r="228">
      <c r="A228" s="104"/>
      <c r="C228" s="128"/>
      <c r="D228" s="74"/>
      <c r="E228" s="1"/>
      <c r="F228" s="1"/>
      <c r="G228" s="1"/>
      <c r="H228" s="118"/>
      <c r="I228" s="177"/>
      <c r="J228" s="31"/>
      <c r="K228" s="1"/>
      <c r="L228" s="120"/>
      <c r="M228" s="121"/>
      <c r="N228" s="121"/>
      <c r="O228" s="118"/>
      <c r="P228" s="118"/>
      <c r="Q228" s="31"/>
      <c r="R228" s="122"/>
      <c r="S228" s="121"/>
      <c r="T228" s="122"/>
      <c r="U228" s="121"/>
      <c r="V228" s="123"/>
      <c r="W228" s="124"/>
      <c r="X228" s="178"/>
      <c r="Y228" s="126"/>
      <c r="Z228" s="126"/>
      <c r="AB228" s="31"/>
      <c r="AC228" s="31"/>
      <c r="AD228" s="31"/>
      <c r="AE228" s="1"/>
    </row>
    <row r="229">
      <c r="A229" s="104"/>
      <c r="C229" s="128"/>
      <c r="D229" s="74"/>
      <c r="E229" s="1"/>
      <c r="F229" s="1"/>
      <c r="G229" s="1"/>
      <c r="H229" s="118"/>
      <c r="I229" s="177"/>
      <c r="J229" s="31"/>
      <c r="K229" s="1"/>
      <c r="L229" s="120"/>
      <c r="M229" s="121"/>
      <c r="N229" s="121"/>
      <c r="O229" s="118"/>
      <c r="P229" s="118"/>
      <c r="Q229" s="31"/>
      <c r="R229" s="122"/>
      <c r="S229" s="121"/>
      <c r="T229" s="122"/>
      <c r="U229" s="121"/>
      <c r="V229" s="123"/>
      <c r="W229" s="124"/>
      <c r="X229" s="178"/>
      <c r="Y229" s="126"/>
      <c r="Z229" s="126"/>
      <c r="AB229" s="31"/>
      <c r="AC229" s="31"/>
      <c r="AD229" s="31"/>
      <c r="AE229" s="1"/>
    </row>
    <row r="230">
      <c r="A230" s="104"/>
      <c r="C230" s="128"/>
      <c r="D230" s="74"/>
      <c r="E230" s="1"/>
      <c r="F230" s="1"/>
      <c r="G230" s="1"/>
      <c r="H230" s="118"/>
      <c r="I230" s="177"/>
      <c r="J230" s="31"/>
      <c r="K230" s="1"/>
      <c r="L230" s="120"/>
      <c r="M230" s="121"/>
      <c r="N230" s="121"/>
      <c r="O230" s="118"/>
      <c r="P230" s="118"/>
      <c r="Q230" s="31"/>
      <c r="R230" s="122"/>
      <c r="S230" s="121"/>
      <c r="T230" s="122"/>
      <c r="U230" s="121"/>
      <c r="V230" s="123"/>
      <c r="W230" s="124"/>
      <c r="X230" s="178"/>
      <c r="Y230" s="126"/>
      <c r="Z230" s="126"/>
      <c r="AB230" s="31"/>
      <c r="AC230" s="31"/>
      <c r="AD230" s="31"/>
      <c r="AE230" s="1"/>
    </row>
    <row r="231">
      <c r="A231" s="104"/>
      <c r="C231" s="128"/>
      <c r="D231" s="74"/>
      <c r="E231" s="1"/>
      <c r="F231" s="1"/>
      <c r="G231" s="1"/>
      <c r="H231" s="118"/>
      <c r="I231" s="177"/>
      <c r="J231" s="31"/>
      <c r="K231" s="1"/>
      <c r="L231" s="120"/>
      <c r="M231" s="121"/>
      <c r="N231" s="121"/>
      <c r="O231" s="118"/>
      <c r="P231" s="118"/>
      <c r="Q231" s="31"/>
      <c r="R231" s="122"/>
      <c r="S231" s="121"/>
      <c r="T231" s="122"/>
      <c r="U231" s="121"/>
      <c r="V231" s="123"/>
      <c r="W231" s="124"/>
      <c r="X231" s="178"/>
      <c r="Y231" s="126"/>
      <c r="Z231" s="126"/>
      <c r="AB231" s="31"/>
      <c r="AC231" s="31"/>
      <c r="AD231" s="31"/>
      <c r="AE231" s="1"/>
    </row>
    <row r="232">
      <c r="A232" s="104"/>
      <c r="C232" s="128"/>
      <c r="D232" s="74"/>
      <c r="E232" s="1"/>
      <c r="F232" s="1"/>
      <c r="G232" s="1"/>
      <c r="H232" s="118"/>
      <c r="I232" s="177"/>
      <c r="J232" s="31"/>
      <c r="K232" s="1"/>
      <c r="L232" s="120"/>
      <c r="M232" s="121"/>
      <c r="N232" s="121"/>
      <c r="O232" s="118"/>
      <c r="P232" s="118"/>
      <c r="Q232" s="31"/>
      <c r="R232" s="122"/>
      <c r="S232" s="121"/>
      <c r="T232" s="122"/>
      <c r="U232" s="121"/>
      <c r="V232" s="123"/>
      <c r="W232" s="124"/>
      <c r="X232" s="178"/>
      <c r="Y232" s="126"/>
      <c r="Z232" s="126"/>
      <c r="AB232" s="31"/>
      <c r="AC232" s="31"/>
      <c r="AD232" s="31"/>
      <c r="AE232" s="1"/>
    </row>
    <row r="233">
      <c r="A233" s="104"/>
      <c r="C233" s="128"/>
      <c r="D233" s="74"/>
      <c r="E233" s="1"/>
      <c r="F233" s="1"/>
      <c r="G233" s="1"/>
      <c r="H233" s="118"/>
      <c r="I233" s="177"/>
      <c r="J233" s="31"/>
      <c r="K233" s="1"/>
      <c r="L233" s="120"/>
      <c r="M233" s="121"/>
      <c r="N233" s="121"/>
      <c r="O233" s="118"/>
      <c r="P233" s="118"/>
      <c r="Q233" s="31"/>
      <c r="R233" s="122"/>
      <c r="S233" s="121"/>
      <c r="T233" s="122"/>
      <c r="U233" s="121"/>
      <c r="V233" s="123"/>
      <c r="W233" s="124"/>
      <c r="X233" s="178"/>
      <c r="Y233" s="126"/>
      <c r="Z233" s="126"/>
      <c r="AB233" s="31"/>
      <c r="AC233" s="31"/>
      <c r="AD233" s="31"/>
      <c r="AE233" s="1"/>
    </row>
    <row r="234">
      <c r="A234" s="104"/>
      <c r="C234" s="128"/>
      <c r="D234" s="74"/>
      <c r="E234" s="1"/>
      <c r="F234" s="1"/>
      <c r="G234" s="1"/>
      <c r="H234" s="118"/>
      <c r="I234" s="177"/>
      <c r="J234" s="31"/>
      <c r="K234" s="1"/>
      <c r="L234" s="120"/>
      <c r="M234" s="121"/>
      <c r="N234" s="121"/>
      <c r="O234" s="118"/>
      <c r="P234" s="118"/>
      <c r="Q234" s="31"/>
      <c r="R234" s="122"/>
      <c r="S234" s="121"/>
      <c r="T234" s="122"/>
      <c r="U234" s="121"/>
      <c r="V234" s="123"/>
      <c r="W234" s="124"/>
      <c r="X234" s="178"/>
      <c r="Y234" s="126"/>
      <c r="Z234" s="126"/>
      <c r="AB234" s="31"/>
      <c r="AC234" s="31"/>
      <c r="AD234" s="31"/>
      <c r="AE234" s="1"/>
    </row>
    <row r="235">
      <c r="A235" s="104"/>
      <c r="C235" s="128"/>
      <c r="D235" s="74"/>
      <c r="E235" s="1"/>
      <c r="F235" s="1"/>
      <c r="G235" s="1"/>
      <c r="H235" s="118"/>
      <c r="I235" s="177"/>
      <c r="J235" s="31"/>
      <c r="K235" s="1"/>
      <c r="L235" s="120"/>
      <c r="M235" s="121"/>
      <c r="N235" s="121"/>
      <c r="O235" s="118"/>
      <c r="P235" s="118"/>
      <c r="Q235" s="31"/>
      <c r="R235" s="122"/>
      <c r="S235" s="121"/>
      <c r="T235" s="122"/>
      <c r="U235" s="121"/>
      <c r="V235" s="123"/>
      <c r="W235" s="124"/>
      <c r="X235" s="178"/>
      <c r="Y235" s="126"/>
      <c r="Z235" s="126"/>
      <c r="AB235" s="31"/>
      <c r="AC235" s="31"/>
      <c r="AD235" s="31"/>
      <c r="AE235" s="1"/>
    </row>
    <row r="236">
      <c r="A236" s="104"/>
      <c r="C236" s="128"/>
      <c r="D236" s="74"/>
      <c r="E236" s="1"/>
      <c r="F236" s="1"/>
      <c r="G236" s="1"/>
      <c r="H236" s="118"/>
      <c r="I236" s="177"/>
      <c r="J236" s="31"/>
      <c r="K236" s="1"/>
      <c r="L236" s="120"/>
      <c r="M236" s="121"/>
      <c r="N236" s="121"/>
      <c r="O236" s="118"/>
      <c r="P236" s="118"/>
      <c r="Q236" s="31"/>
      <c r="R236" s="122"/>
      <c r="S236" s="121"/>
      <c r="T236" s="122"/>
      <c r="U236" s="121"/>
      <c r="V236" s="123"/>
      <c r="W236" s="124"/>
      <c r="X236" s="178"/>
      <c r="Y236" s="126"/>
      <c r="Z236" s="126"/>
      <c r="AB236" s="31"/>
      <c r="AC236" s="31"/>
      <c r="AD236" s="31"/>
      <c r="AE236" s="1"/>
    </row>
    <row r="237">
      <c r="A237" s="104"/>
      <c r="C237" s="128"/>
      <c r="D237" s="74"/>
      <c r="E237" s="1"/>
      <c r="F237" s="1"/>
      <c r="G237" s="1"/>
      <c r="H237" s="118"/>
      <c r="I237" s="177"/>
      <c r="J237" s="31"/>
      <c r="K237" s="1"/>
      <c r="L237" s="120"/>
      <c r="M237" s="121"/>
      <c r="N237" s="121"/>
      <c r="O237" s="118"/>
      <c r="P237" s="118"/>
      <c r="Q237" s="31"/>
      <c r="R237" s="122"/>
      <c r="S237" s="121"/>
      <c r="T237" s="122"/>
      <c r="U237" s="121"/>
      <c r="V237" s="123"/>
      <c r="W237" s="124"/>
      <c r="X237" s="178"/>
      <c r="Y237" s="126"/>
      <c r="Z237" s="126"/>
      <c r="AB237" s="31"/>
      <c r="AC237" s="31"/>
      <c r="AD237" s="31"/>
      <c r="AE237" s="1"/>
    </row>
    <row r="238">
      <c r="A238" s="104"/>
      <c r="C238" s="128"/>
      <c r="D238" s="74"/>
      <c r="E238" s="1"/>
      <c r="F238" s="1"/>
      <c r="G238" s="1"/>
      <c r="H238" s="118"/>
      <c r="I238" s="177"/>
      <c r="J238" s="31"/>
      <c r="K238" s="1"/>
      <c r="L238" s="120"/>
      <c r="M238" s="121"/>
      <c r="N238" s="121"/>
      <c r="O238" s="118"/>
      <c r="P238" s="118"/>
      <c r="Q238" s="31"/>
      <c r="R238" s="122"/>
      <c r="S238" s="121"/>
      <c r="T238" s="122"/>
      <c r="U238" s="121"/>
      <c r="V238" s="123"/>
      <c r="W238" s="124"/>
      <c r="X238" s="178"/>
      <c r="Y238" s="126"/>
      <c r="Z238" s="126"/>
      <c r="AB238" s="31"/>
      <c r="AC238" s="31"/>
      <c r="AD238" s="31"/>
      <c r="AE238" s="1"/>
    </row>
    <row r="239">
      <c r="A239" s="104"/>
      <c r="C239" s="128"/>
      <c r="D239" s="74"/>
      <c r="E239" s="1"/>
      <c r="F239" s="1"/>
      <c r="G239" s="1"/>
      <c r="H239" s="118"/>
      <c r="I239" s="177"/>
      <c r="J239" s="31"/>
      <c r="K239" s="1"/>
      <c r="L239" s="120"/>
      <c r="M239" s="121"/>
      <c r="N239" s="121"/>
      <c r="O239" s="118"/>
      <c r="P239" s="118"/>
      <c r="Q239" s="31"/>
      <c r="R239" s="122"/>
      <c r="S239" s="121"/>
      <c r="T239" s="122"/>
      <c r="U239" s="121"/>
      <c r="V239" s="123"/>
      <c r="W239" s="124"/>
      <c r="X239" s="178"/>
      <c r="Y239" s="126"/>
      <c r="Z239" s="126"/>
      <c r="AB239" s="31"/>
      <c r="AC239" s="31"/>
      <c r="AD239" s="31"/>
      <c r="AE239" s="1"/>
    </row>
    <row r="240">
      <c r="A240" s="104"/>
      <c r="C240" s="128"/>
      <c r="D240" s="74"/>
      <c r="E240" s="1"/>
      <c r="F240" s="1"/>
      <c r="G240" s="1"/>
      <c r="H240" s="118"/>
      <c r="I240" s="177"/>
      <c r="J240" s="31"/>
      <c r="K240" s="1"/>
      <c r="L240" s="120"/>
      <c r="M240" s="121"/>
      <c r="N240" s="121"/>
      <c r="O240" s="118"/>
      <c r="P240" s="118"/>
      <c r="Q240" s="31"/>
      <c r="R240" s="122"/>
      <c r="S240" s="121"/>
      <c r="T240" s="122"/>
      <c r="U240" s="121"/>
      <c r="V240" s="123"/>
      <c r="W240" s="124"/>
      <c r="X240" s="178"/>
      <c r="Y240" s="126"/>
      <c r="Z240" s="126"/>
      <c r="AB240" s="31"/>
      <c r="AC240" s="31"/>
      <c r="AD240" s="31"/>
      <c r="AE240" s="1"/>
    </row>
    <row r="241">
      <c r="A241" s="104"/>
      <c r="C241" s="128"/>
      <c r="D241" s="74"/>
      <c r="E241" s="1"/>
      <c r="F241" s="1"/>
      <c r="G241" s="1"/>
      <c r="H241" s="118"/>
      <c r="I241" s="177"/>
      <c r="J241" s="31"/>
      <c r="K241" s="1"/>
      <c r="L241" s="120"/>
      <c r="M241" s="121"/>
      <c r="N241" s="121"/>
      <c r="O241" s="118"/>
      <c r="P241" s="118"/>
      <c r="Q241" s="31"/>
      <c r="R241" s="122"/>
      <c r="S241" s="121"/>
      <c r="T241" s="122"/>
      <c r="U241" s="121"/>
      <c r="V241" s="123"/>
      <c r="W241" s="124"/>
      <c r="X241" s="178"/>
      <c r="Y241" s="126"/>
      <c r="Z241" s="126"/>
      <c r="AB241" s="31"/>
      <c r="AC241" s="31"/>
      <c r="AD241" s="31"/>
      <c r="AE241" s="1"/>
    </row>
    <row r="242">
      <c r="A242" s="104"/>
      <c r="C242" s="128"/>
      <c r="D242" s="74"/>
      <c r="E242" s="1"/>
      <c r="F242" s="1"/>
      <c r="G242" s="1"/>
      <c r="H242" s="118"/>
      <c r="I242" s="177"/>
      <c r="J242" s="31"/>
      <c r="K242" s="1"/>
      <c r="L242" s="120"/>
      <c r="M242" s="121"/>
      <c r="N242" s="121"/>
      <c r="O242" s="118"/>
      <c r="P242" s="118"/>
      <c r="Q242" s="31"/>
      <c r="R242" s="122"/>
      <c r="S242" s="121"/>
      <c r="T242" s="122"/>
      <c r="U242" s="121"/>
      <c r="V242" s="123"/>
      <c r="W242" s="124"/>
      <c r="X242" s="178"/>
      <c r="Y242" s="126"/>
      <c r="Z242" s="126"/>
      <c r="AB242" s="31"/>
      <c r="AC242" s="31"/>
      <c r="AD242" s="31"/>
      <c r="AE242" s="1"/>
    </row>
    <row r="243">
      <c r="A243" s="104"/>
      <c r="C243" s="128"/>
      <c r="D243" s="74"/>
      <c r="E243" s="1"/>
      <c r="F243" s="1"/>
      <c r="G243" s="1"/>
      <c r="H243" s="118"/>
      <c r="I243" s="177"/>
      <c r="J243" s="31"/>
      <c r="K243" s="1"/>
      <c r="L243" s="120"/>
      <c r="M243" s="121"/>
      <c r="N243" s="121"/>
      <c r="O243" s="118"/>
      <c r="P243" s="118"/>
      <c r="Q243" s="31"/>
      <c r="R243" s="122"/>
      <c r="S243" s="121"/>
      <c r="T243" s="122"/>
      <c r="U243" s="121"/>
      <c r="V243" s="123"/>
      <c r="W243" s="124"/>
      <c r="X243" s="178"/>
      <c r="Y243" s="126"/>
      <c r="Z243" s="126"/>
      <c r="AB243" s="31"/>
      <c r="AC243" s="31"/>
      <c r="AD243" s="31"/>
      <c r="AE243" s="1"/>
    </row>
    <row r="244">
      <c r="A244" s="104"/>
      <c r="C244" s="128"/>
      <c r="D244" s="74"/>
      <c r="E244" s="1"/>
      <c r="F244" s="1"/>
      <c r="G244" s="1"/>
      <c r="H244" s="118"/>
      <c r="I244" s="177"/>
      <c r="J244" s="31"/>
      <c r="K244" s="1"/>
      <c r="L244" s="120"/>
      <c r="M244" s="121"/>
      <c r="N244" s="121"/>
      <c r="O244" s="118"/>
      <c r="P244" s="118"/>
      <c r="Q244" s="31"/>
      <c r="R244" s="122"/>
      <c r="S244" s="121"/>
      <c r="T244" s="122"/>
      <c r="U244" s="121"/>
      <c r="V244" s="123"/>
      <c r="W244" s="124"/>
      <c r="X244" s="178"/>
      <c r="Y244" s="126"/>
      <c r="Z244" s="126"/>
      <c r="AB244" s="31"/>
      <c r="AC244" s="31"/>
      <c r="AD244" s="31"/>
      <c r="AE244" s="1"/>
    </row>
    <row r="245">
      <c r="A245" s="104"/>
      <c r="C245" s="128"/>
      <c r="D245" s="74"/>
      <c r="E245" s="1"/>
      <c r="F245" s="1"/>
      <c r="G245" s="1"/>
      <c r="H245" s="118"/>
      <c r="I245" s="177"/>
      <c r="J245" s="31"/>
      <c r="K245" s="1"/>
      <c r="L245" s="120"/>
      <c r="M245" s="121"/>
      <c r="N245" s="121"/>
      <c r="O245" s="118"/>
      <c r="P245" s="118"/>
      <c r="Q245" s="31"/>
      <c r="R245" s="122"/>
      <c r="S245" s="121"/>
      <c r="T245" s="122"/>
      <c r="U245" s="121"/>
      <c r="V245" s="123"/>
      <c r="W245" s="124"/>
      <c r="X245" s="178"/>
      <c r="Y245" s="126"/>
      <c r="Z245" s="126"/>
      <c r="AB245" s="31"/>
      <c r="AC245" s="31"/>
      <c r="AD245" s="31"/>
      <c r="AE245" s="1"/>
    </row>
    <row r="246">
      <c r="A246" s="104"/>
      <c r="C246" s="128"/>
      <c r="D246" s="74"/>
      <c r="E246" s="1"/>
      <c r="F246" s="1"/>
      <c r="G246" s="1"/>
      <c r="H246" s="118"/>
      <c r="I246" s="177"/>
      <c r="J246" s="31"/>
      <c r="K246" s="1"/>
      <c r="L246" s="120"/>
      <c r="M246" s="121"/>
      <c r="N246" s="121"/>
      <c r="O246" s="118"/>
      <c r="P246" s="118"/>
      <c r="Q246" s="31"/>
      <c r="R246" s="122"/>
      <c r="S246" s="121"/>
      <c r="T246" s="122"/>
      <c r="U246" s="121"/>
      <c r="V246" s="123"/>
      <c r="W246" s="124"/>
      <c r="X246" s="178"/>
      <c r="Y246" s="126"/>
      <c r="Z246" s="126"/>
      <c r="AB246" s="31"/>
      <c r="AC246" s="31"/>
      <c r="AD246" s="31"/>
      <c r="AE246" s="1"/>
    </row>
    <row r="247">
      <c r="A247" s="104"/>
      <c r="C247" s="128"/>
      <c r="D247" s="74"/>
      <c r="E247" s="1"/>
      <c r="F247" s="1"/>
      <c r="G247" s="1"/>
      <c r="H247" s="118"/>
      <c r="I247" s="177"/>
      <c r="J247" s="31"/>
      <c r="K247" s="1"/>
      <c r="L247" s="120"/>
      <c r="M247" s="121"/>
      <c r="N247" s="121"/>
      <c r="O247" s="118"/>
      <c r="P247" s="118"/>
      <c r="Q247" s="31"/>
      <c r="R247" s="122"/>
      <c r="S247" s="121"/>
      <c r="T247" s="122"/>
      <c r="U247" s="121"/>
      <c r="V247" s="123"/>
      <c r="W247" s="124"/>
      <c r="X247" s="178"/>
      <c r="Y247" s="126"/>
      <c r="Z247" s="126"/>
      <c r="AB247" s="31"/>
      <c r="AC247" s="31"/>
      <c r="AD247" s="31"/>
      <c r="AE247" s="1"/>
    </row>
    <row r="248">
      <c r="A248" s="104"/>
      <c r="C248" s="128"/>
      <c r="D248" s="74"/>
      <c r="E248" s="1"/>
      <c r="F248" s="1"/>
      <c r="G248" s="1"/>
      <c r="H248" s="118"/>
      <c r="I248" s="177"/>
      <c r="J248" s="31"/>
      <c r="K248" s="1"/>
      <c r="L248" s="120"/>
      <c r="M248" s="121"/>
      <c r="N248" s="121"/>
      <c r="O248" s="118"/>
      <c r="P248" s="118"/>
      <c r="Q248" s="31"/>
      <c r="R248" s="122"/>
      <c r="S248" s="121"/>
      <c r="T248" s="122"/>
      <c r="U248" s="121"/>
      <c r="V248" s="123"/>
      <c r="W248" s="124"/>
      <c r="X248" s="178"/>
      <c r="Y248" s="126"/>
      <c r="Z248" s="126"/>
      <c r="AB248" s="31"/>
      <c r="AC248" s="31"/>
      <c r="AD248" s="31"/>
      <c r="AE248" s="1"/>
    </row>
    <row r="249">
      <c r="A249" s="104"/>
      <c r="C249" s="128"/>
      <c r="D249" s="74"/>
      <c r="E249" s="1"/>
      <c r="F249" s="1"/>
      <c r="G249" s="1"/>
      <c r="H249" s="118"/>
      <c r="I249" s="177"/>
      <c r="J249" s="31"/>
      <c r="K249" s="1"/>
      <c r="L249" s="120"/>
      <c r="M249" s="121"/>
      <c r="N249" s="121"/>
      <c r="O249" s="118"/>
      <c r="P249" s="118"/>
      <c r="Q249" s="31"/>
      <c r="R249" s="122"/>
      <c r="S249" s="121"/>
      <c r="T249" s="122"/>
      <c r="U249" s="121"/>
      <c r="V249" s="123"/>
      <c r="W249" s="124"/>
      <c r="X249" s="178"/>
      <c r="Y249" s="126"/>
      <c r="Z249" s="126"/>
      <c r="AB249" s="31"/>
      <c r="AC249" s="31"/>
      <c r="AD249" s="31"/>
      <c r="AE249" s="1"/>
    </row>
    <row r="250">
      <c r="A250" s="104"/>
      <c r="C250" s="128"/>
      <c r="D250" s="74"/>
      <c r="E250" s="1"/>
      <c r="F250" s="1"/>
      <c r="G250" s="1"/>
      <c r="H250" s="118"/>
      <c r="I250" s="177"/>
      <c r="J250" s="31"/>
      <c r="K250" s="1"/>
      <c r="L250" s="120"/>
      <c r="M250" s="121"/>
      <c r="N250" s="121"/>
      <c r="O250" s="118"/>
      <c r="P250" s="118"/>
      <c r="Q250" s="31"/>
      <c r="R250" s="122"/>
      <c r="S250" s="121"/>
      <c r="T250" s="122"/>
      <c r="U250" s="121"/>
      <c r="V250" s="123"/>
      <c r="W250" s="124"/>
      <c r="X250" s="178"/>
      <c r="Y250" s="126"/>
      <c r="Z250" s="126"/>
      <c r="AB250" s="31"/>
      <c r="AC250" s="31"/>
      <c r="AD250" s="31"/>
      <c r="AE250" s="1"/>
    </row>
    <row r="251">
      <c r="A251" s="104"/>
      <c r="C251" s="128"/>
      <c r="D251" s="74"/>
      <c r="E251" s="1"/>
      <c r="F251" s="1"/>
      <c r="G251" s="1"/>
      <c r="H251" s="118"/>
      <c r="I251" s="177"/>
      <c r="J251" s="31"/>
      <c r="K251" s="1"/>
      <c r="L251" s="120"/>
      <c r="M251" s="121"/>
      <c r="N251" s="121"/>
      <c r="O251" s="118"/>
      <c r="P251" s="118"/>
      <c r="Q251" s="31"/>
      <c r="R251" s="122"/>
      <c r="S251" s="121"/>
      <c r="T251" s="122"/>
      <c r="U251" s="121"/>
      <c r="V251" s="123"/>
      <c r="W251" s="124"/>
      <c r="X251" s="178"/>
      <c r="Y251" s="126"/>
      <c r="Z251" s="126"/>
      <c r="AB251" s="31"/>
      <c r="AC251" s="31"/>
      <c r="AD251" s="31"/>
      <c r="AE251" s="1"/>
    </row>
    <row r="252">
      <c r="A252" s="104"/>
      <c r="C252" s="128"/>
      <c r="D252" s="74"/>
      <c r="E252" s="1"/>
      <c r="F252" s="1"/>
      <c r="G252" s="1"/>
      <c r="H252" s="118"/>
      <c r="I252" s="177"/>
      <c r="J252" s="31"/>
      <c r="K252" s="1"/>
      <c r="L252" s="120"/>
      <c r="M252" s="121"/>
      <c r="N252" s="121"/>
      <c r="O252" s="118"/>
      <c r="P252" s="118"/>
      <c r="Q252" s="31"/>
      <c r="R252" s="122"/>
      <c r="S252" s="121"/>
      <c r="T252" s="122"/>
      <c r="U252" s="121"/>
      <c r="V252" s="123"/>
      <c r="W252" s="124"/>
      <c r="X252" s="178"/>
      <c r="Y252" s="126"/>
      <c r="Z252" s="126"/>
      <c r="AB252" s="31"/>
      <c r="AC252" s="31"/>
      <c r="AD252" s="31"/>
      <c r="AE252" s="1"/>
    </row>
    <row r="253">
      <c r="A253" s="104"/>
      <c r="C253" s="128"/>
      <c r="D253" s="74"/>
      <c r="E253" s="1"/>
      <c r="F253" s="1"/>
      <c r="G253" s="1"/>
      <c r="H253" s="118"/>
      <c r="I253" s="177"/>
      <c r="J253" s="31"/>
      <c r="K253" s="1"/>
      <c r="L253" s="120"/>
      <c r="M253" s="121"/>
      <c r="N253" s="121"/>
      <c r="O253" s="118"/>
      <c r="P253" s="118"/>
      <c r="Q253" s="31"/>
      <c r="R253" s="122"/>
      <c r="S253" s="121"/>
      <c r="T253" s="122"/>
      <c r="U253" s="121"/>
      <c r="V253" s="123"/>
      <c r="W253" s="124"/>
      <c r="X253" s="178"/>
      <c r="Y253" s="126"/>
      <c r="Z253" s="126"/>
      <c r="AB253" s="31"/>
      <c r="AC253" s="31"/>
      <c r="AD253" s="31"/>
      <c r="AE253" s="1"/>
    </row>
    <row r="254">
      <c r="A254" s="104"/>
      <c r="C254" s="128"/>
      <c r="D254" s="74"/>
      <c r="E254" s="1"/>
      <c r="F254" s="1"/>
      <c r="G254" s="1"/>
      <c r="H254" s="118"/>
      <c r="I254" s="177"/>
      <c r="J254" s="31"/>
      <c r="K254" s="1"/>
      <c r="L254" s="120"/>
      <c r="M254" s="121"/>
      <c r="N254" s="121"/>
      <c r="O254" s="118"/>
      <c r="P254" s="118"/>
      <c r="Q254" s="31"/>
      <c r="R254" s="122"/>
      <c r="S254" s="121"/>
      <c r="T254" s="122"/>
      <c r="U254" s="121"/>
      <c r="V254" s="123"/>
      <c r="W254" s="124"/>
      <c r="X254" s="178"/>
      <c r="Y254" s="126"/>
      <c r="Z254" s="126"/>
      <c r="AB254" s="31"/>
      <c r="AC254" s="31"/>
      <c r="AD254" s="31"/>
      <c r="AE254" s="1"/>
    </row>
    <row r="255">
      <c r="A255" s="104"/>
      <c r="C255" s="128"/>
      <c r="D255" s="74"/>
      <c r="E255" s="1"/>
      <c r="F255" s="1"/>
      <c r="G255" s="1"/>
      <c r="H255" s="118"/>
      <c r="I255" s="177"/>
      <c r="J255" s="31"/>
      <c r="K255" s="1"/>
      <c r="L255" s="120"/>
      <c r="M255" s="121"/>
      <c r="N255" s="121"/>
      <c r="O255" s="118"/>
      <c r="P255" s="118"/>
      <c r="Q255" s="31"/>
      <c r="R255" s="122"/>
      <c r="S255" s="121"/>
      <c r="T255" s="122"/>
      <c r="U255" s="121"/>
      <c r="V255" s="123"/>
      <c r="W255" s="124"/>
      <c r="X255" s="178"/>
      <c r="Y255" s="126"/>
      <c r="Z255" s="126"/>
      <c r="AB255" s="31"/>
      <c r="AC255" s="31"/>
      <c r="AD255" s="31"/>
      <c r="AE255" s="1"/>
    </row>
    <row r="256">
      <c r="A256" s="104"/>
      <c r="C256" s="128"/>
      <c r="D256" s="74"/>
      <c r="E256" s="1"/>
      <c r="F256" s="1"/>
      <c r="G256" s="1"/>
      <c r="H256" s="118"/>
      <c r="I256" s="177"/>
      <c r="J256" s="31"/>
      <c r="K256" s="1"/>
      <c r="L256" s="120"/>
      <c r="M256" s="121"/>
      <c r="N256" s="121"/>
      <c r="O256" s="118"/>
      <c r="P256" s="118"/>
      <c r="Q256" s="31"/>
      <c r="R256" s="122"/>
      <c r="S256" s="121"/>
      <c r="T256" s="122"/>
      <c r="U256" s="121"/>
      <c r="V256" s="123"/>
      <c r="W256" s="124"/>
      <c r="X256" s="178"/>
      <c r="Y256" s="126"/>
      <c r="Z256" s="126"/>
      <c r="AB256" s="31"/>
      <c r="AC256" s="31"/>
      <c r="AD256" s="31"/>
      <c r="AE256" s="1"/>
    </row>
    <row r="257">
      <c r="A257" s="104"/>
      <c r="C257" s="128"/>
      <c r="D257" s="74"/>
      <c r="E257" s="1"/>
      <c r="F257" s="1"/>
      <c r="G257" s="1"/>
      <c r="H257" s="118"/>
      <c r="I257" s="177"/>
      <c r="J257" s="31"/>
      <c r="K257" s="1"/>
      <c r="L257" s="120"/>
      <c r="M257" s="121"/>
      <c r="N257" s="121"/>
      <c r="O257" s="118"/>
      <c r="P257" s="118"/>
      <c r="Q257" s="31"/>
      <c r="R257" s="122"/>
      <c r="S257" s="121"/>
      <c r="T257" s="122"/>
      <c r="U257" s="121"/>
      <c r="V257" s="123"/>
      <c r="W257" s="124"/>
      <c r="X257" s="178"/>
      <c r="Y257" s="126"/>
      <c r="Z257" s="126"/>
      <c r="AB257" s="31"/>
      <c r="AC257" s="31"/>
      <c r="AD257" s="31"/>
      <c r="AE257" s="1"/>
    </row>
    <row r="258">
      <c r="A258" s="104"/>
      <c r="C258" s="128"/>
      <c r="D258" s="74"/>
      <c r="E258" s="1"/>
      <c r="F258" s="1"/>
      <c r="G258" s="1"/>
      <c r="H258" s="118"/>
      <c r="I258" s="177"/>
      <c r="J258" s="31"/>
      <c r="K258" s="1"/>
      <c r="L258" s="120"/>
      <c r="M258" s="121"/>
      <c r="N258" s="121"/>
      <c r="O258" s="118"/>
      <c r="P258" s="118"/>
      <c r="Q258" s="31"/>
      <c r="R258" s="122"/>
      <c r="S258" s="121"/>
      <c r="T258" s="122"/>
      <c r="U258" s="121"/>
      <c r="V258" s="123"/>
      <c r="W258" s="124"/>
      <c r="X258" s="178"/>
      <c r="Y258" s="126"/>
      <c r="Z258" s="126"/>
      <c r="AB258" s="31"/>
      <c r="AC258" s="31"/>
      <c r="AD258" s="31"/>
      <c r="AE258" s="1"/>
    </row>
    <row r="259">
      <c r="A259" s="104"/>
      <c r="C259" s="128"/>
      <c r="D259" s="74"/>
      <c r="E259" s="1"/>
      <c r="F259" s="1"/>
      <c r="G259" s="1"/>
      <c r="H259" s="118"/>
      <c r="I259" s="177"/>
      <c r="J259" s="31"/>
      <c r="K259" s="1"/>
      <c r="L259" s="120"/>
      <c r="M259" s="121"/>
      <c r="N259" s="121"/>
      <c r="O259" s="118"/>
      <c r="P259" s="118"/>
      <c r="Q259" s="31"/>
      <c r="R259" s="122"/>
      <c r="S259" s="121"/>
      <c r="T259" s="122"/>
      <c r="U259" s="121"/>
      <c r="V259" s="123"/>
      <c r="W259" s="124"/>
      <c r="X259" s="178"/>
      <c r="Y259" s="126"/>
      <c r="Z259" s="126"/>
      <c r="AB259" s="31"/>
      <c r="AC259" s="31"/>
      <c r="AD259" s="31"/>
      <c r="AE259" s="1"/>
    </row>
    <row r="260">
      <c r="A260" s="104"/>
      <c r="C260" s="128"/>
      <c r="D260" s="74"/>
      <c r="E260" s="1"/>
      <c r="F260" s="1"/>
      <c r="G260" s="1"/>
      <c r="H260" s="118"/>
      <c r="I260" s="177"/>
      <c r="J260" s="31"/>
      <c r="K260" s="1"/>
      <c r="L260" s="120"/>
      <c r="M260" s="121"/>
      <c r="N260" s="121"/>
      <c r="O260" s="118"/>
      <c r="P260" s="118"/>
      <c r="Q260" s="31"/>
      <c r="R260" s="122"/>
      <c r="S260" s="121"/>
      <c r="T260" s="122"/>
      <c r="U260" s="121"/>
      <c r="V260" s="123"/>
      <c r="W260" s="124"/>
      <c r="X260" s="178"/>
      <c r="Y260" s="126"/>
      <c r="Z260" s="126"/>
      <c r="AB260" s="31"/>
      <c r="AC260" s="31"/>
      <c r="AD260" s="31"/>
      <c r="AE260" s="1"/>
    </row>
    <row r="261">
      <c r="A261" s="104"/>
      <c r="C261" s="128"/>
      <c r="D261" s="74"/>
      <c r="E261" s="1"/>
      <c r="F261" s="1"/>
      <c r="G261" s="1"/>
      <c r="H261" s="118"/>
      <c r="I261" s="177"/>
      <c r="J261" s="31"/>
      <c r="K261" s="1"/>
      <c r="L261" s="120"/>
      <c r="M261" s="121"/>
      <c r="N261" s="121"/>
      <c r="O261" s="118"/>
      <c r="P261" s="118"/>
      <c r="Q261" s="31"/>
      <c r="R261" s="122"/>
      <c r="S261" s="121"/>
      <c r="T261" s="122"/>
      <c r="U261" s="121"/>
      <c r="V261" s="123"/>
      <c r="W261" s="124"/>
      <c r="X261" s="178"/>
      <c r="Y261" s="126"/>
      <c r="Z261" s="126"/>
      <c r="AB261" s="31"/>
      <c r="AC261" s="31"/>
      <c r="AD261" s="31"/>
      <c r="AE261" s="1"/>
    </row>
    <row r="262">
      <c r="A262" s="104"/>
      <c r="C262" s="128"/>
      <c r="D262" s="74"/>
      <c r="E262" s="1"/>
      <c r="F262" s="1"/>
      <c r="G262" s="1"/>
      <c r="H262" s="118"/>
      <c r="I262" s="177"/>
      <c r="J262" s="31"/>
      <c r="K262" s="1"/>
      <c r="L262" s="120"/>
      <c r="M262" s="121"/>
      <c r="N262" s="121"/>
      <c r="O262" s="118"/>
      <c r="P262" s="118"/>
      <c r="Q262" s="31"/>
      <c r="R262" s="122"/>
      <c r="S262" s="121"/>
      <c r="T262" s="122"/>
      <c r="U262" s="121"/>
      <c r="V262" s="123"/>
      <c r="W262" s="124"/>
      <c r="X262" s="178"/>
      <c r="Y262" s="126"/>
      <c r="Z262" s="126"/>
      <c r="AB262" s="31"/>
      <c r="AC262" s="31"/>
      <c r="AD262" s="31"/>
      <c r="AE262" s="1"/>
    </row>
    <row r="263">
      <c r="A263" s="104"/>
      <c r="C263" s="128"/>
      <c r="D263" s="74"/>
      <c r="E263" s="1"/>
      <c r="F263" s="1"/>
      <c r="G263" s="1"/>
      <c r="H263" s="118"/>
      <c r="I263" s="177"/>
      <c r="J263" s="31"/>
      <c r="K263" s="1"/>
      <c r="L263" s="120"/>
      <c r="M263" s="121"/>
      <c r="N263" s="121"/>
      <c r="O263" s="118"/>
      <c r="P263" s="118"/>
      <c r="Q263" s="31"/>
      <c r="R263" s="122"/>
      <c r="S263" s="121"/>
      <c r="T263" s="122"/>
      <c r="U263" s="121"/>
      <c r="V263" s="123"/>
      <c r="W263" s="124"/>
      <c r="X263" s="178"/>
      <c r="Y263" s="126"/>
      <c r="Z263" s="126"/>
      <c r="AB263" s="31"/>
      <c r="AC263" s="31"/>
      <c r="AD263" s="31"/>
      <c r="AE263" s="1"/>
    </row>
    <row r="264">
      <c r="A264" s="104"/>
      <c r="C264" s="128"/>
      <c r="D264" s="74"/>
      <c r="E264" s="1"/>
      <c r="F264" s="1"/>
      <c r="G264" s="1"/>
      <c r="H264" s="118"/>
      <c r="I264" s="177"/>
      <c r="J264" s="31"/>
      <c r="K264" s="1"/>
      <c r="L264" s="120"/>
      <c r="M264" s="121"/>
      <c r="N264" s="121"/>
      <c r="O264" s="118"/>
      <c r="P264" s="118"/>
      <c r="Q264" s="31"/>
      <c r="R264" s="122"/>
      <c r="S264" s="121"/>
      <c r="T264" s="122"/>
      <c r="U264" s="121"/>
      <c r="V264" s="123"/>
      <c r="W264" s="124"/>
      <c r="X264" s="178"/>
      <c r="Y264" s="126"/>
      <c r="Z264" s="126"/>
      <c r="AB264" s="31"/>
      <c r="AC264" s="31"/>
      <c r="AD264" s="31"/>
      <c r="AE264" s="1"/>
    </row>
    <row r="265">
      <c r="A265" s="104"/>
      <c r="C265" s="128"/>
      <c r="D265" s="74"/>
      <c r="E265" s="1"/>
      <c r="F265" s="1"/>
      <c r="G265" s="1"/>
      <c r="H265" s="118"/>
      <c r="I265" s="177"/>
      <c r="J265" s="31"/>
      <c r="K265" s="1"/>
      <c r="L265" s="120"/>
      <c r="M265" s="121"/>
      <c r="N265" s="121"/>
      <c r="O265" s="118"/>
      <c r="P265" s="118"/>
      <c r="Q265" s="31"/>
      <c r="R265" s="122"/>
      <c r="S265" s="121"/>
      <c r="T265" s="122"/>
      <c r="U265" s="121"/>
      <c r="V265" s="123"/>
      <c r="W265" s="124"/>
      <c r="X265" s="178"/>
      <c r="Y265" s="126"/>
      <c r="Z265" s="126"/>
      <c r="AB265" s="31"/>
      <c r="AC265" s="31"/>
      <c r="AD265" s="31"/>
      <c r="AE265" s="1"/>
    </row>
    <row r="266">
      <c r="A266" s="104"/>
      <c r="C266" s="128"/>
      <c r="D266" s="74"/>
      <c r="E266" s="1"/>
      <c r="F266" s="1"/>
      <c r="G266" s="1"/>
      <c r="H266" s="118"/>
      <c r="I266" s="177"/>
      <c r="J266" s="31"/>
      <c r="K266" s="1"/>
      <c r="L266" s="120"/>
      <c r="M266" s="121"/>
      <c r="N266" s="121"/>
      <c r="O266" s="118"/>
      <c r="P266" s="118"/>
      <c r="Q266" s="31"/>
      <c r="R266" s="122"/>
      <c r="S266" s="121"/>
      <c r="T266" s="122"/>
      <c r="U266" s="121"/>
      <c r="V266" s="123"/>
      <c r="W266" s="124"/>
      <c r="X266" s="178"/>
      <c r="Y266" s="126"/>
      <c r="Z266" s="126"/>
      <c r="AB266" s="31"/>
      <c r="AC266" s="31"/>
      <c r="AD266" s="31"/>
      <c r="AE266" s="1"/>
    </row>
    <row r="267">
      <c r="A267" s="104"/>
      <c r="C267" s="128"/>
      <c r="D267" s="74"/>
      <c r="E267" s="1"/>
      <c r="F267" s="1"/>
      <c r="G267" s="1"/>
      <c r="H267" s="118"/>
      <c r="I267" s="177"/>
      <c r="J267" s="31"/>
      <c r="K267" s="1"/>
      <c r="L267" s="120"/>
      <c r="M267" s="121"/>
      <c r="N267" s="121"/>
      <c r="O267" s="118"/>
      <c r="P267" s="118"/>
      <c r="Q267" s="31"/>
      <c r="R267" s="122"/>
      <c r="S267" s="121"/>
      <c r="T267" s="122"/>
      <c r="U267" s="121"/>
      <c r="V267" s="123"/>
      <c r="W267" s="124"/>
      <c r="X267" s="178"/>
      <c r="Y267" s="126"/>
      <c r="Z267" s="126"/>
      <c r="AB267" s="31"/>
      <c r="AC267" s="31"/>
      <c r="AD267" s="31"/>
      <c r="AE267" s="1"/>
    </row>
    <row r="268">
      <c r="A268" s="104"/>
      <c r="C268" s="128"/>
      <c r="D268" s="74"/>
      <c r="E268" s="1"/>
      <c r="F268" s="1"/>
      <c r="G268" s="1"/>
      <c r="H268" s="118"/>
      <c r="I268" s="177"/>
      <c r="J268" s="31"/>
      <c r="K268" s="1"/>
      <c r="L268" s="120"/>
      <c r="M268" s="121"/>
      <c r="N268" s="121"/>
      <c r="O268" s="118"/>
      <c r="P268" s="118"/>
      <c r="Q268" s="31"/>
      <c r="R268" s="122"/>
      <c r="S268" s="121"/>
      <c r="T268" s="122"/>
      <c r="U268" s="121"/>
      <c r="V268" s="123"/>
      <c r="W268" s="124"/>
      <c r="X268" s="178"/>
      <c r="Y268" s="126"/>
      <c r="Z268" s="126"/>
      <c r="AB268" s="31"/>
      <c r="AC268" s="31"/>
      <c r="AD268" s="31"/>
      <c r="AE268" s="1"/>
    </row>
    <row r="269">
      <c r="A269" s="104"/>
      <c r="C269" s="128"/>
      <c r="D269" s="74"/>
      <c r="E269" s="1"/>
      <c r="F269" s="1"/>
      <c r="G269" s="1"/>
      <c r="H269" s="118"/>
      <c r="I269" s="177"/>
      <c r="J269" s="31"/>
      <c r="K269" s="1"/>
      <c r="L269" s="120"/>
      <c r="M269" s="121"/>
      <c r="N269" s="121"/>
      <c r="O269" s="118"/>
      <c r="P269" s="118"/>
      <c r="Q269" s="31"/>
      <c r="R269" s="122"/>
      <c r="S269" s="121"/>
      <c r="T269" s="122"/>
      <c r="U269" s="121"/>
      <c r="V269" s="123"/>
      <c r="W269" s="124"/>
      <c r="X269" s="178"/>
      <c r="Y269" s="126"/>
      <c r="Z269" s="126"/>
      <c r="AB269" s="31"/>
      <c r="AC269" s="31"/>
      <c r="AD269" s="31"/>
      <c r="AE269" s="1"/>
    </row>
    <row r="270">
      <c r="A270" s="104"/>
      <c r="C270" s="128"/>
      <c r="D270" s="74"/>
      <c r="E270" s="1"/>
      <c r="F270" s="1"/>
      <c r="G270" s="1"/>
      <c r="H270" s="118"/>
      <c r="I270" s="177"/>
      <c r="J270" s="31"/>
      <c r="K270" s="1"/>
      <c r="L270" s="120"/>
      <c r="M270" s="121"/>
      <c r="N270" s="121"/>
      <c r="O270" s="118"/>
      <c r="P270" s="118"/>
      <c r="Q270" s="31"/>
      <c r="R270" s="122"/>
      <c r="S270" s="121"/>
      <c r="T270" s="122"/>
      <c r="U270" s="121"/>
      <c r="V270" s="123"/>
      <c r="W270" s="124"/>
      <c r="X270" s="178"/>
      <c r="Y270" s="126"/>
      <c r="Z270" s="126"/>
      <c r="AB270" s="31"/>
      <c r="AC270" s="31"/>
      <c r="AD270" s="31"/>
      <c r="AE270" s="1"/>
    </row>
    <row r="271">
      <c r="A271" s="104"/>
      <c r="C271" s="128"/>
      <c r="D271" s="74"/>
      <c r="E271" s="1"/>
      <c r="F271" s="1"/>
      <c r="G271" s="1"/>
      <c r="H271" s="118"/>
      <c r="I271" s="177"/>
      <c r="J271" s="31"/>
      <c r="K271" s="1"/>
      <c r="L271" s="120"/>
      <c r="M271" s="121"/>
      <c r="N271" s="121"/>
      <c r="O271" s="118"/>
      <c r="P271" s="118"/>
      <c r="Q271" s="31"/>
      <c r="R271" s="122"/>
      <c r="S271" s="121"/>
      <c r="T271" s="122"/>
      <c r="U271" s="121"/>
      <c r="V271" s="123"/>
      <c r="W271" s="124"/>
      <c r="X271" s="178"/>
      <c r="Y271" s="126"/>
      <c r="Z271" s="126"/>
      <c r="AB271" s="31"/>
      <c r="AC271" s="31"/>
      <c r="AD271" s="31"/>
      <c r="AE271" s="1"/>
    </row>
    <row r="272">
      <c r="A272" s="104"/>
      <c r="C272" s="128"/>
      <c r="D272" s="74"/>
      <c r="E272" s="1"/>
      <c r="F272" s="1"/>
      <c r="G272" s="1"/>
      <c r="H272" s="118"/>
      <c r="I272" s="177"/>
      <c r="J272" s="31"/>
      <c r="K272" s="1"/>
      <c r="L272" s="120"/>
      <c r="M272" s="121"/>
      <c r="N272" s="121"/>
      <c r="O272" s="118"/>
      <c r="P272" s="118"/>
      <c r="Q272" s="31"/>
      <c r="R272" s="122"/>
      <c r="S272" s="121"/>
      <c r="T272" s="122"/>
      <c r="U272" s="121"/>
      <c r="V272" s="123"/>
      <c r="W272" s="124"/>
      <c r="X272" s="178"/>
      <c r="Y272" s="126"/>
      <c r="Z272" s="126"/>
      <c r="AB272" s="31"/>
      <c r="AC272" s="31"/>
      <c r="AD272" s="31"/>
      <c r="AE272" s="1"/>
    </row>
    <row r="273">
      <c r="A273" s="104"/>
      <c r="C273" s="128"/>
      <c r="D273" s="74"/>
      <c r="E273" s="1"/>
      <c r="F273" s="1"/>
      <c r="G273" s="1"/>
      <c r="H273" s="118"/>
      <c r="I273" s="177"/>
      <c r="J273" s="31"/>
      <c r="K273" s="1"/>
      <c r="L273" s="120"/>
      <c r="M273" s="121"/>
      <c r="N273" s="121"/>
      <c r="O273" s="118"/>
      <c r="P273" s="118"/>
      <c r="Q273" s="31"/>
      <c r="R273" s="122"/>
      <c r="S273" s="121"/>
      <c r="T273" s="122"/>
      <c r="U273" s="121"/>
      <c r="V273" s="123"/>
      <c r="W273" s="124"/>
      <c r="X273" s="178"/>
      <c r="Y273" s="126"/>
      <c r="Z273" s="126"/>
      <c r="AB273" s="31"/>
      <c r="AC273" s="31"/>
      <c r="AD273" s="31"/>
      <c r="AE273" s="1"/>
    </row>
    <row r="274">
      <c r="A274" s="104"/>
      <c r="C274" s="128"/>
      <c r="D274" s="74"/>
      <c r="E274" s="1"/>
      <c r="F274" s="1"/>
      <c r="G274" s="1"/>
      <c r="H274" s="118"/>
      <c r="I274" s="177"/>
      <c r="J274" s="31"/>
      <c r="K274" s="1"/>
      <c r="L274" s="120"/>
      <c r="M274" s="121"/>
      <c r="N274" s="121"/>
      <c r="O274" s="118"/>
      <c r="P274" s="118"/>
      <c r="Q274" s="31"/>
      <c r="R274" s="122"/>
      <c r="S274" s="121"/>
      <c r="T274" s="122"/>
      <c r="U274" s="121"/>
      <c r="V274" s="123"/>
      <c r="W274" s="124"/>
      <c r="X274" s="178"/>
      <c r="Y274" s="126"/>
      <c r="Z274" s="126"/>
      <c r="AB274" s="31"/>
      <c r="AC274" s="31"/>
      <c r="AD274" s="31"/>
      <c r="AE274" s="1"/>
    </row>
    <row r="275">
      <c r="A275" s="104"/>
      <c r="C275" s="128"/>
      <c r="D275" s="74"/>
      <c r="E275" s="1"/>
      <c r="F275" s="1"/>
      <c r="G275" s="1"/>
      <c r="H275" s="118"/>
      <c r="I275" s="177"/>
      <c r="J275" s="31"/>
      <c r="K275" s="1"/>
      <c r="L275" s="120"/>
      <c r="M275" s="121"/>
      <c r="N275" s="121"/>
      <c r="O275" s="118"/>
      <c r="P275" s="118"/>
      <c r="Q275" s="31"/>
      <c r="R275" s="122"/>
      <c r="S275" s="121"/>
      <c r="T275" s="122"/>
      <c r="U275" s="121"/>
      <c r="V275" s="123"/>
      <c r="W275" s="124"/>
      <c r="X275" s="178"/>
      <c r="Y275" s="126"/>
      <c r="Z275" s="126"/>
      <c r="AB275" s="31"/>
      <c r="AC275" s="31"/>
      <c r="AD275" s="31"/>
      <c r="AE275" s="1"/>
    </row>
    <row r="276">
      <c r="A276" s="104"/>
      <c r="C276" s="128"/>
      <c r="D276" s="74"/>
      <c r="E276" s="1"/>
      <c r="F276" s="1"/>
      <c r="G276" s="1"/>
      <c r="H276" s="118"/>
      <c r="I276" s="177"/>
      <c r="J276" s="31"/>
      <c r="K276" s="1"/>
      <c r="L276" s="120"/>
      <c r="M276" s="121"/>
      <c r="N276" s="121"/>
      <c r="O276" s="118"/>
      <c r="P276" s="118"/>
      <c r="Q276" s="31"/>
      <c r="R276" s="122"/>
      <c r="S276" s="121"/>
      <c r="T276" s="122"/>
      <c r="U276" s="121"/>
      <c r="V276" s="123"/>
      <c r="W276" s="124"/>
      <c r="X276" s="178"/>
      <c r="Y276" s="126"/>
      <c r="Z276" s="126"/>
      <c r="AB276" s="31"/>
      <c r="AC276" s="31"/>
      <c r="AD276" s="31"/>
      <c r="AE276" s="1"/>
    </row>
    <row r="277">
      <c r="A277" s="104"/>
      <c r="C277" s="128"/>
      <c r="D277" s="74"/>
      <c r="E277" s="1"/>
      <c r="F277" s="1"/>
      <c r="G277" s="1"/>
      <c r="H277" s="118"/>
      <c r="I277" s="177"/>
      <c r="J277" s="31"/>
      <c r="K277" s="1"/>
      <c r="L277" s="120"/>
      <c r="M277" s="121"/>
      <c r="N277" s="121"/>
      <c r="O277" s="118"/>
      <c r="P277" s="118"/>
      <c r="Q277" s="31"/>
      <c r="R277" s="122"/>
      <c r="S277" s="121"/>
      <c r="T277" s="122"/>
      <c r="U277" s="121"/>
      <c r="V277" s="123"/>
      <c r="W277" s="124"/>
      <c r="X277" s="178"/>
      <c r="Y277" s="126"/>
      <c r="Z277" s="126"/>
      <c r="AB277" s="31"/>
      <c r="AC277" s="31"/>
      <c r="AD277" s="31"/>
      <c r="AE277" s="1"/>
    </row>
    <row r="278">
      <c r="A278" s="104"/>
      <c r="C278" s="128"/>
      <c r="D278" s="74"/>
      <c r="E278" s="1"/>
      <c r="F278" s="1"/>
      <c r="G278" s="1"/>
      <c r="H278" s="118"/>
      <c r="I278" s="177"/>
      <c r="J278" s="31"/>
      <c r="K278" s="1"/>
      <c r="L278" s="120"/>
      <c r="M278" s="121"/>
      <c r="N278" s="121"/>
      <c r="O278" s="118"/>
      <c r="P278" s="118"/>
      <c r="Q278" s="31"/>
      <c r="R278" s="122"/>
      <c r="S278" s="121"/>
      <c r="T278" s="122"/>
      <c r="U278" s="121"/>
      <c r="V278" s="123"/>
      <c r="W278" s="124"/>
      <c r="X278" s="178"/>
      <c r="Y278" s="126"/>
      <c r="Z278" s="126"/>
      <c r="AB278" s="31"/>
      <c r="AC278" s="31"/>
      <c r="AD278" s="31"/>
      <c r="AE278" s="1"/>
    </row>
    <row r="279">
      <c r="A279" s="104"/>
      <c r="C279" s="128"/>
      <c r="D279" s="74"/>
      <c r="E279" s="1"/>
      <c r="F279" s="1"/>
      <c r="G279" s="1"/>
      <c r="H279" s="118"/>
      <c r="I279" s="177"/>
      <c r="J279" s="31"/>
      <c r="K279" s="1"/>
      <c r="L279" s="120"/>
      <c r="M279" s="121"/>
      <c r="N279" s="121"/>
      <c r="O279" s="118"/>
      <c r="P279" s="118"/>
      <c r="Q279" s="31"/>
      <c r="R279" s="122"/>
      <c r="S279" s="121"/>
      <c r="T279" s="122"/>
      <c r="U279" s="121"/>
      <c r="V279" s="123"/>
      <c r="W279" s="124"/>
      <c r="X279" s="178"/>
      <c r="Y279" s="126"/>
      <c r="Z279" s="126"/>
      <c r="AB279" s="31"/>
      <c r="AC279" s="31"/>
      <c r="AD279" s="31"/>
      <c r="AE279" s="1"/>
    </row>
    <row r="280">
      <c r="A280" s="104"/>
      <c r="C280" s="128"/>
      <c r="D280" s="74"/>
      <c r="E280" s="1"/>
      <c r="F280" s="1"/>
      <c r="G280" s="1"/>
      <c r="H280" s="118"/>
      <c r="I280" s="177"/>
      <c r="J280" s="31"/>
      <c r="K280" s="1"/>
      <c r="L280" s="120"/>
      <c r="M280" s="121"/>
      <c r="N280" s="121"/>
      <c r="O280" s="118"/>
      <c r="P280" s="118"/>
      <c r="Q280" s="31"/>
      <c r="R280" s="122"/>
      <c r="S280" s="121"/>
      <c r="T280" s="122"/>
      <c r="U280" s="121"/>
      <c r="V280" s="123"/>
      <c r="W280" s="124"/>
      <c r="X280" s="178"/>
      <c r="Y280" s="126"/>
      <c r="Z280" s="126"/>
      <c r="AB280" s="31"/>
      <c r="AC280" s="31"/>
      <c r="AD280" s="31"/>
      <c r="AE280" s="1"/>
    </row>
    <row r="281">
      <c r="A281" s="104"/>
      <c r="C281" s="128"/>
      <c r="D281" s="74"/>
      <c r="E281" s="1"/>
      <c r="F281" s="1"/>
      <c r="G281" s="1"/>
      <c r="H281" s="118"/>
      <c r="I281" s="177"/>
      <c r="J281" s="31"/>
      <c r="K281" s="1"/>
      <c r="L281" s="120"/>
      <c r="M281" s="121"/>
      <c r="N281" s="121"/>
      <c r="O281" s="118"/>
      <c r="P281" s="118"/>
      <c r="Q281" s="31"/>
      <c r="R281" s="122"/>
      <c r="S281" s="121"/>
      <c r="T281" s="122"/>
      <c r="U281" s="121"/>
      <c r="V281" s="123"/>
      <c r="W281" s="124"/>
      <c r="X281" s="178"/>
      <c r="Y281" s="126"/>
      <c r="Z281" s="126"/>
      <c r="AB281" s="31"/>
      <c r="AC281" s="31"/>
      <c r="AD281" s="31"/>
      <c r="AE281" s="1"/>
    </row>
    <row r="282">
      <c r="A282" s="104"/>
      <c r="C282" s="128"/>
      <c r="D282" s="74"/>
      <c r="E282" s="1"/>
      <c r="F282" s="1"/>
      <c r="G282" s="1"/>
      <c r="H282" s="118"/>
      <c r="I282" s="177"/>
      <c r="J282" s="31"/>
      <c r="K282" s="1"/>
      <c r="L282" s="120"/>
      <c r="M282" s="121"/>
      <c r="N282" s="121"/>
      <c r="O282" s="118"/>
      <c r="P282" s="118"/>
      <c r="Q282" s="31"/>
      <c r="R282" s="122"/>
      <c r="S282" s="121"/>
      <c r="T282" s="122"/>
      <c r="U282" s="121"/>
      <c r="V282" s="123"/>
      <c r="W282" s="124"/>
      <c r="X282" s="178"/>
      <c r="Y282" s="126"/>
      <c r="Z282" s="126"/>
      <c r="AB282" s="31"/>
      <c r="AC282" s="31"/>
      <c r="AD282" s="31"/>
      <c r="AE282" s="1"/>
    </row>
    <row r="283">
      <c r="A283" s="104"/>
      <c r="C283" s="128"/>
      <c r="D283" s="74"/>
      <c r="E283" s="1"/>
      <c r="F283" s="1"/>
      <c r="G283" s="1"/>
      <c r="H283" s="118"/>
      <c r="I283" s="177"/>
      <c r="J283" s="31"/>
      <c r="K283" s="1"/>
      <c r="L283" s="120"/>
      <c r="M283" s="121"/>
      <c r="N283" s="121"/>
      <c r="O283" s="118"/>
      <c r="P283" s="118"/>
      <c r="Q283" s="31"/>
      <c r="R283" s="122"/>
      <c r="S283" s="121"/>
      <c r="T283" s="122"/>
      <c r="U283" s="121"/>
      <c r="V283" s="123"/>
      <c r="W283" s="124"/>
      <c r="X283" s="178"/>
      <c r="Y283" s="126"/>
      <c r="Z283" s="126"/>
      <c r="AB283" s="31"/>
      <c r="AC283" s="31"/>
      <c r="AD283" s="31"/>
      <c r="AE283" s="1"/>
    </row>
    <row r="284">
      <c r="A284" s="104"/>
      <c r="C284" s="128"/>
      <c r="D284" s="74"/>
      <c r="E284" s="1"/>
      <c r="F284" s="1"/>
      <c r="G284" s="1"/>
      <c r="H284" s="118"/>
      <c r="I284" s="177"/>
      <c r="J284" s="31"/>
      <c r="K284" s="1"/>
      <c r="L284" s="120"/>
      <c r="M284" s="121"/>
      <c r="N284" s="121"/>
      <c r="O284" s="118"/>
      <c r="P284" s="118"/>
      <c r="Q284" s="31"/>
      <c r="R284" s="122"/>
      <c r="S284" s="121"/>
      <c r="T284" s="122"/>
      <c r="U284" s="121"/>
      <c r="V284" s="123"/>
      <c r="W284" s="124"/>
      <c r="X284" s="178"/>
      <c r="Y284" s="126"/>
      <c r="Z284" s="126"/>
      <c r="AB284" s="31"/>
      <c r="AC284" s="31"/>
      <c r="AD284" s="31"/>
      <c r="AE284" s="1"/>
    </row>
    <row r="285">
      <c r="A285" s="104"/>
      <c r="C285" s="128"/>
      <c r="D285" s="74"/>
      <c r="E285" s="1"/>
      <c r="F285" s="1"/>
      <c r="G285" s="1"/>
      <c r="H285" s="118"/>
      <c r="I285" s="177"/>
      <c r="J285" s="31"/>
      <c r="K285" s="1"/>
      <c r="L285" s="120"/>
      <c r="M285" s="121"/>
      <c r="N285" s="121"/>
      <c r="O285" s="118"/>
      <c r="P285" s="118"/>
      <c r="Q285" s="31"/>
      <c r="R285" s="122"/>
      <c r="S285" s="121"/>
      <c r="T285" s="122"/>
      <c r="U285" s="121"/>
      <c r="V285" s="123"/>
      <c r="W285" s="124"/>
      <c r="X285" s="178"/>
      <c r="Y285" s="126"/>
      <c r="Z285" s="126"/>
      <c r="AB285" s="31"/>
      <c r="AC285" s="31"/>
      <c r="AD285" s="31"/>
      <c r="AE285" s="1"/>
    </row>
    <row r="286">
      <c r="A286" s="104"/>
      <c r="C286" s="128"/>
      <c r="D286" s="74"/>
      <c r="E286" s="1"/>
      <c r="F286" s="1"/>
      <c r="G286" s="1"/>
      <c r="H286" s="118"/>
      <c r="I286" s="177"/>
      <c r="J286" s="31"/>
      <c r="K286" s="1"/>
      <c r="L286" s="120"/>
      <c r="M286" s="121"/>
      <c r="N286" s="121"/>
      <c r="O286" s="118"/>
      <c r="P286" s="118"/>
      <c r="Q286" s="31"/>
      <c r="R286" s="122"/>
      <c r="S286" s="121"/>
      <c r="T286" s="122"/>
      <c r="U286" s="121"/>
      <c r="V286" s="123"/>
      <c r="W286" s="124"/>
      <c r="X286" s="178"/>
      <c r="Y286" s="126"/>
      <c r="Z286" s="126"/>
      <c r="AB286" s="31"/>
      <c r="AC286" s="31"/>
      <c r="AD286" s="31"/>
      <c r="AE286" s="1"/>
    </row>
    <row r="287">
      <c r="A287" s="104"/>
      <c r="C287" s="128"/>
      <c r="D287" s="74"/>
      <c r="E287" s="1"/>
      <c r="F287" s="1"/>
      <c r="G287" s="1"/>
      <c r="H287" s="118"/>
      <c r="I287" s="177"/>
      <c r="J287" s="31"/>
      <c r="K287" s="1"/>
      <c r="L287" s="120"/>
      <c r="M287" s="121"/>
      <c r="N287" s="121"/>
      <c r="O287" s="118"/>
      <c r="P287" s="118"/>
      <c r="Q287" s="31"/>
      <c r="R287" s="122"/>
      <c r="S287" s="121"/>
      <c r="T287" s="122"/>
      <c r="U287" s="121"/>
      <c r="V287" s="123"/>
      <c r="W287" s="124"/>
      <c r="X287" s="178"/>
      <c r="Y287" s="126"/>
      <c r="Z287" s="126"/>
      <c r="AB287" s="31"/>
      <c r="AC287" s="31"/>
      <c r="AD287" s="31"/>
      <c r="AE287" s="1"/>
    </row>
    <row r="288">
      <c r="A288" s="104"/>
      <c r="C288" s="128"/>
      <c r="D288" s="74"/>
      <c r="E288" s="1"/>
      <c r="F288" s="1"/>
      <c r="G288" s="1"/>
      <c r="H288" s="118"/>
      <c r="I288" s="177"/>
      <c r="J288" s="31"/>
      <c r="K288" s="1"/>
      <c r="L288" s="120"/>
      <c r="M288" s="121"/>
      <c r="N288" s="121"/>
      <c r="O288" s="118"/>
      <c r="P288" s="118"/>
      <c r="Q288" s="31"/>
      <c r="R288" s="122"/>
      <c r="S288" s="121"/>
      <c r="T288" s="122"/>
      <c r="U288" s="121"/>
      <c r="V288" s="123"/>
      <c r="W288" s="124"/>
      <c r="X288" s="178"/>
      <c r="Y288" s="126"/>
      <c r="Z288" s="126"/>
      <c r="AB288" s="31"/>
      <c r="AC288" s="31"/>
      <c r="AD288" s="31"/>
      <c r="AE288" s="1"/>
    </row>
    <row r="289">
      <c r="A289" s="104"/>
      <c r="C289" s="128"/>
      <c r="D289" s="74"/>
      <c r="E289" s="1"/>
      <c r="F289" s="1"/>
      <c r="G289" s="1"/>
      <c r="H289" s="118"/>
      <c r="I289" s="177"/>
      <c r="J289" s="31"/>
      <c r="K289" s="1"/>
      <c r="L289" s="120"/>
      <c r="M289" s="121"/>
      <c r="N289" s="121"/>
      <c r="O289" s="118"/>
      <c r="P289" s="118"/>
      <c r="Q289" s="31"/>
      <c r="R289" s="122"/>
      <c r="S289" s="121"/>
      <c r="T289" s="122"/>
      <c r="U289" s="121"/>
      <c r="V289" s="123"/>
      <c r="W289" s="124"/>
      <c r="X289" s="178"/>
      <c r="Y289" s="126"/>
      <c r="Z289" s="126"/>
      <c r="AB289" s="31"/>
      <c r="AC289" s="31"/>
      <c r="AD289" s="31"/>
      <c r="AE289" s="1"/>
    </row>
    <row r="290">
      <c r="A290" s="104"/>
      <c r="C290" s="128"/>
      <c r="D290" s="74"/>
      <c r="E290" s="1"/>
      <c r="F290" s="1"/>
      <c r="G290" s="1"/>
      <c r="H290" s="118"/>
      <c r="I290" s="177"/>
      <c r="J290" s="31"/>
      <c r="K290" s="1"/>
      <c r="L290" s="120"/>
      <c r="M290" s="121"/>
      <c r="N290" s="121"/>
      <c r="O290" s="118"/>
      <c r="P290" s="118"/>
      <c r="Q290" s="31"/>
      <c r="R290" s="122"/>
      <c r="S290" s="121"/>
      <c r="T290" s="122"/>
      <c r="U290" s="121"/>
      <c r="V290" s="123"/>
      <c r="W290" s="124"/>
      <c r="X290" s="178"/>
      <c r="Y290" s="126"/>
      <c r="Z290" s="126"/>
      <c r="AB290" s="31"/>
      <c r="AC290" s="31"/>
      <c r="AD290" s="31"/>
      <c r="AE290" s="1"/>
    </row>
    <row r="291">
      <c r="A291" s="104"/>
      <c r="C291" s="128"/>
      <c r="D291" s="74"/>
      <c r="E291" s="1"/>
      <c r="F291" s="1"/>
      <c r="G291" s="1"/>
      <c r="H291" s="118"/>
      <c r="I291" s="177"/>
      <c r="J291" s="31"/>
      <c r="K291" s="1"/>
      <c r="L291" s="120"/>
      <c r="M291" s="121"/>
      <c r="N291" s="121"/>
      <c r="O291" s="118"/>
      <c r="P291" s="118"/>
      <c r="Q291" s="31"/>
      <c r="R291" s="122"/>
      <c r="S291" s="121"/>
      <c r="T291" s="122"/>
      <c r="U291" s="121"/>
      <c r="V291" s="123"/>
      <c r="W291" s="124"/>
      <c r="X291" s="178"/>
      <c r="Y291" s="126"/>
      <c r="Z291" s="126"/>
      <c r="AB291" s="31"/>
      <c r="AC291" s="31"/>
      <c r="AD291" s="31"/>
      <c r="AE291" s="1"/>
    </row>
    <row r="292">
      <c r="A292" s="104"/>
      <c r="C292" s="128"/>
      <c r="D292" s="74"/>
      <c r="E292" s="1"/>
      <c r="F292" s="1"/>
      <c r="G292" s="1"/>
      <c r="H292" s="118"/>
      <c r="I292" s="177"/>
      <c r="J292" s="31"/>
      <c r="K292" s="1"/>
      <c r="L292" s="120"/>
      <c r="M292" s="121"/>
      <c r="N292" s="121"/>
      <c r="O292" s="118"/>
      <c r="P292" s="118"/>
      <c r="Q292" s="31"/>
      <c r="R292" s="122"/>
      <c r="S292" s="121"/>
      <c r="T292" s="122"/>
      <c r="U292" s="121"/>
      <c r="V292" s="123"/>
      <c r="W292" s="124"/>
      <c r="X292" s="178"/>
      <c r="Y292" s="126"/>
      <c r="Z292" s="126"/>
      <c r="AB292" s="31"/>
      <c r="AC292" s="31"/>
      <c r="AD292" s="31"/>
      <c r="AE292" s="1"/>
    </row>
    <row r="293">
      <c r="A293" s="104"/>
      <c r="C293" s="128"/>
      <c r="D293" s="74"/>
      <c r="E293" s="1"/>
      <c r="F293" s="1"/>
      <c r="G293" s="1"/>
      <c r="H293" s="118"/>
      <c r="I293" s="177"/>
      <c r="J293" s="31"/>
      <c r="K293" s="1"/>
      <c r="L293" s="120"/>
      <c r="M293" s="121"/>
      <c r="N293" s="121"/>
      <c r="O293" s="118"/>
      <c r="P293" s="118"/>
      <c r="Q293" s="31"/>
      <c r="R293" s="122"/>
      <c r="S293" s="121"/>
      <c r="T293" s="122"/>
      <c r="U293" s="121"/>
      <c r="V293" s="123"/>
      <c r="W293" s="124"/>
      <c r="X293" s="178"/>
      <c r="Y293" s="126"/>
      <c r="Z293" s="126"/>
      <c r="AB293" s="31"/>
      <c r="AC293" s="31"/>
      <c r="AD293" s="31"/>
      <c r="AE293" s="1"/>
    </row>
    <row r="294">
      <c r="A294" s="104"/>
      <c r="C294" s="128"/>
      <c r="D294" s="74"/>
      <c r="E294" s="1"/>
      <c r="F294" s="1"/>
      <c r="G294" s="1"/>
      <c r="H294" s="118"/>
      <c r="I294" s="177"/>
      <c r="J294" s="31"/>
      <c r="K294" s="1"/>
      <c r="L294" s="120"/>
      <c r="M294" s="121"/>
      <c r="N294" s="121"/>
      <c r="O294" s="118"/>
      <c r="P294" s="118"/>
      <c r="Q294" s="31"/>
      <c r="R294" s="122"/>
      <c r="S294" s="121"/>
      <c r="T294" s="122"/>
      <c r="U294" s="121"/>
      <c r="V294" s="123"/>
      <c r="W294" s="124"/>
      <c r="X294" s="178"/>
      <c r="Y294" s="126"/>
      <c r="Z294" s="126"/>
      <c r="AB294" s="31"/>
      <c r="AC294" s="31"/>
      <c r="AD294" s="31"/>
      <c r="AE294" s="1"/>
    </row>
    <row r="295">
      <c r="A295" s="104"/>
      <c r="C295" s="128"/>
      <c r="D295" s="74"/>
      <c r="E295" s="1"/>
      <c r="F295" s="1"/>
      <c r="G295" s="1"/>
      <c r="H295" s="118"/>
      <c r="I295" s="177"/>
      <c r="J295" s="31"/>
      <c r="K295" s="1"/>
      <c r="L295" s="120"/>
      <c r="M295" s="121"/>
      <c r="N295" s="121"/>
      <c r="O295" s="118"/>
      <c r="P295" s="118"/>
      <c r="Q295" s="31"/>
      <c r="R295" s="122"/>
      <c r="S295" s="121"/>
      <c r="T295" s="122"/>
      <c r="U295" s="121"/>
      <c r="V295" s="123"/>
      <c r="W295" s="124"/>
      <c r="X295" s="178"/>
      <c r="Y295" s="126"/>
      <c r="Z295" s="126"/>
      <c r="AB295" s="31"/>
      <c r="AC295" s="31"/>
      <c r="AD295" s="31"/>
      <c r="AE295" s="1"/>
    </row>
    <row r="296">
      <c r="A296" s="104"/>
      <c r="C296" s="128"/>
      <c r="D296" s="74"/>
      <c r="E296" s="1"/>
      <c r="F296" s="1"/>
      <c r="G296" s="1"/>
      <c r="H296" s="118"/>
      <c r="I296" s="177"/>
      <c r="J296" s="31"/>
      <c r="K296" s="1"/>
      <c r="L296" s="120"/>
      <c r="M296" s="121"/>
      <c r="N296" s="121"/>
      <c r="O296" s="118"/>
      <c r="P296" s="118"/>
      <c r="Q296" s="31"/>
      <c r="R296" s="122"/>
      <c r="S296" s="121"/>
      <c r="T296" s="122"/>
      <c r="U296" s="121"/>
      <c r="V296" s="123"/>
      <c r="W296" s="124"/>
      <c r="X296" s="178"/>
      <c r="Y296" s="126"/>
      <c r="Z296" s="126"/>
      <c r="AB296" s="31"/>
      <c r="AC296" s="31"/>
      <c r="AD296" s="31"/>
      <c r="AE296" s="1"/>
    </row>
    <row r="297">
      <c r="A297" s="104"/>
      <c r="C297" s="128"/>
      <c r="D297" s="74"/>
      <c r="E297" s="1"/>
      <c r="F297" s="1"/>
      <c r="G297" s="1"/>
      <c r="H297" s="118"/>
      <c r="I297" s="177"/>
      <c r="J297" s="31"/>
      <c r="K297" s="1"/>
      <c r="L297" s="120"/>
      <c r="M297" s="121"/>
      <c r="N297" s="121"/>
      <c r="O297" s="118"/>
      <c r="P297" s="118"/>
      <c r="Q297" s="31"/>
      <c r="R297" s="122"/>
      <c r="S297" s="121"/>
      <c r="T297" s="122"/>
      <c r="U297" s="121"/>
      <c r="V297" s="123"/>
      <c r="W297" s="124"/>
      <c r="X297" s="178"/>
      <c r="Y297" s="126"/>
      <c r="Z297" s="126"/>
      <c r="AB297" s="31"/>
      <c r="AC297" s="31"/>
      <c r="AD297" s="31"/>
      <c r="AE297" s="1"/>
    </row>
    <row r="298">
      <c r="A298" s="104"/>
      <c r="C298" s="128"/>
      <c r="D298" s="74"/>
      <c r="E298" s="1"/>
      <c r="F298" s="1"/>
      <c r="G298" s="1"/>
      <c r="H298" s="118"/>
      <c r="I298" s="177"/>
      <c r="J298" s="31"/>
      <c r="K298" s="1"/>
      <c r="L298" s="120"/>
      <c r="M298" s="121"/>
      <c r="N298" s="121"/>
      <c r="O298" s="118"/>
      <c r="P298" s="118"/>
      <c r="Q298" s="31"/>
      <c r="R298" s="122"/>
      <c r="S298" s="121"/>
      <c r="T298" s="122"/>
      <c r="U298" s="121"/>
      <c r="V298" s="123"/>
      <c r="W298" s="124"/>
      <c r="X298" s="178"/>
      <c r="Y298" s="126"/>
      <c r="Z298" s="126"/>
      <c r="AB298" s="31"/>
      <c r="AC298" s="31"/>
      <c r="AD298" s="31"/>
      <c r="AE298" s="1"/>
    </row>
    <row r="299">
      <c r="A299" s="104"/>
      <c r="C299" s="128"/>
      <c r="D299" s="74"/>
      <c r="E299" s="1"/>
      <c r="F299" s="1"/>
      <c r="G299" s="1"/>
      <c r="H299" s="118"/>
      <c r="I299" s="177"/>
      <c r="J299" s="31"/>
      <c r="K299" s="1"/>
      <c r="L299" s="120"/>
      <c r="M299" s="121"/>
      <c r="N299" s="121"/>
      <c r="O299" s="118"/>
      <c r="P299" s="118"/>
      <c r="Q299" s="31"/>
      <c r="R299" s="122"/>
      <c r="S299" s="121"/>
      <c r="T299" s="122"/>
      <c r="U299" s="121"/>
      <c r="V299" s="123"/>
      <c r="W299" s="124"/>
      <c r="X299" s="178"/>
      <c r="Y299" s="126"/>
      <c r="Z299" s="126"/>
      <c r="AB299" s="31"/>
      <c r="AC299" s="31"/>
      <c r="AD299" s="31"/>
      <c r="AE299" s="1"/>
    </row>
    <row r="300">
      <c r="A300" s="104"/>
      <c r="C300" s="128"/>
      <c r="D300" s="74"/>
      <c r="E300" s="1"/>
      <c r="F300" s="1"/>
      <c r="G300" s="1"/>
      <c r="H300" s="118"/>
      <c r="I300" s="177"/>
      <c r="J300" s="31"/>
      <c r="K300" s="1"/>
      <c r="L300" s="120"/>
      <c r="M300" s="121"/>
      <c r="N300" s="121"/>
      <c r="O300" s="118"/>
      <c r="P300" s="118"/>
      <c r="Q300" s="31"/>
      <c r="R300" s="122"/>
      <c r="S300" s="121"/>
      <c r="T300" s="122"/>
      <c r="U300" s="121"/>
      <c r="V300" s="123"/>
      <c r="W300" s="124"/>
      <c r="X300" s="178"/>
      <c r="Y300" s="126"/>
      <c r="Z300" s="126"/>
      <c r="AB300" s="31"/>
      <c r="AC300" s="31"/>
      <c r="AD300" s="31"/>
      <c r="AE300" s="1"/>
    </row>
    <row r="301">
      <c r="A301" s="104"/>
      <c r="C301" s="128"/>
      <c r="D301" s="74"/>
      <c r="E301" s="1"/>
      <c r="F301" s="1"/>
      <c r="G301" s="1"/>
      <c r="H301" s="118"/>
      <c r="I301" s="177"/>
      <c r="J301" s="31"/>
      <c r="K301" s="1"/>
      <c r="L301" s="120"/>
      <c r="M301" s="121"/>
      <c r="N301" s="121"/>
      <c r="O301" s="118"/>
      <c r="P301" s="118"/>
      <c r="Q301" s="31"/>
      <c r="R301" s="122"/>
      <c r="S301" s="121"/>
      <c r="T301" s="122"/>
      <c r="U301" s="121"/>
      <c r="V301" s="123"/>
      <c r="W301" s="124"/>
      <c r="X301" s="178"/>
      <c r="Y301" s="126"/>
      <c r="Z301" s="126"/>
      <c r="AB301" s="31"/>
      <c r="AC301" s="31"/>
      <c r="AD301" s="31"/>
      <c r="AE301" s="1"/>
    </row>
    <row r="302">
      <c r="A302" s="104"/>
      <c r="C302" s="128"/>
      <c r="D302" s="74"/>
      <c r="E302" s="1"/>
      <c r="F302" s="1"/>
      <c r="G302" s="1"/>
      <c r="H302" s="118"/>
      <c r="I302" s="177"/>
      <c r="J302" s="31"/>
      <c r="K302" s="1"/>
      <c r="L302" s="120"/>
      <c r="M302" s="121"/>
      <c r="N302" s="121"/>
      <c r="O302" s="118"/>
      <c r="P302" s="118"/>
      <c r="Q302" s="31"/>
      <c r="R302" s="122"/>
      <c r="S302" s="121"/>
      <c r="T302" s="122"/>
      <c r="U302" s="121"/>
      <c r="V302" s="123"/>
      <c r="W302" s="124"/>
      <c r="X302" s="178"/>
      <c r="Y302" s="126"/>
      <c r="Z302" s="126"/>
      <c r="AB302" s="31"/>
      <c r="AC302" s="31"/>
      <c r="AD302" s="31"/>
      <c r="AE302" s="1"/>
    </row>
    <row r="303">
      <c r="A303" s="104"/>
      <c r="C303" s="128"/>
      <c r="D303" s="74"/>
      <c r="E303" s="1"/>
      <c r="F303" s="1"/>
      <c r="G303" s="1"/>
      <c r="H303" s="118"/>
      <c r="I303" s="177"/>
      <c r="J303" s="31"/>
      <c r="K303" s="1"/>
      <c r="L303" s="120"/>
      <c r="M303" s="121"/>
      <c r="N303" s="121"/>
      <c r="O303" s="118"/>
      <c r="P303" s="118"/>
      <c r="Q303" s="31"/>
      <c r="R303" s="122"/>
      <c r="S303" s="121"/>
      <c r="T303" s="122"/>
      <c r="U303" s="121"/>
      <c r="V303" s="123"/>
      <c r="W303" s="124"/>
      <c r="X303" s="178"/>
      <c r="Y303" s="126"/>
      <c r="Z303" s="126"/>
      <c r="AB303" s="31"/>
      <c r="AC303" s="31"/>
      <c r="AD303" s="31"/>
      <c r="AE303" s="1"/>
    </row>
    <row r="304">
      <c r="A304" s="104"/>
      <c r="C304" s="128"/>
      <c r="D304" s="74"/>
      <c r="E304" s="1"/>
      <c r="F304" s="1"/>
      <c r="G304" s="1"/>
      <c r="H304" s="118"/>
      <c r="I304" s="177"/>
      <c r="J304" s="31"/>
      <c r="K304" s="1"/>
      <c r="L304" s="120"/>
      <c r="M304" s="121"/>
      <c r="N304" s="121"/>
      <c r="O304" s="118"/>
      <c r="P304" s="118"/>
      <c r="Q304" s="31"/>
      <c r="R304" s="122"/>
      <c r="S304" s="121"/>
      <c r="T304" s="122"/>
      <c r="U304" s="121"/>
      <c r="V304" s="123"/>
      <c r="W304" s="124"/>
      <c r="X304" s="178"/>
      <c r="Y304" s="126"/>
      <c r="Z304" s="126"/>
      <c r="AB304" s="31"/>
      <c r="AC304" s="31"/>
      <c r="AD304" s="31"/>
      <c r="AE304" s="1"/>
    </row>
    <row r="305">
      <c r="A305" s="104"/>
      <c r="C305" s="128"/>
      <c r="D305" s="74"/>
      <c r="E305" s="1"/>
      <c r="F305" s="1"/>
      <c r="G305" s="1"/>
      <c r="H305" s="118"/>
      <c r="I305" s="177"/>
      <c r="J305" s="31"/>
      <c r="K305" s="1"/>
      <c r="L305" s="120"/>
      <c r="M305" s="121"/>
      <c r="N305" s="121"/>
      <c r="O305" s="118"/>
      <c r="P305" s="118"/>
      <c r="Q305" s="31"/>
      <c r="R305" s="122"/>
      <c r="S305" s="121"/>
      <c r="T305" s="122"/>
      <c r="U305" s="121"/>
      <c r="V305" s="123"/>
      <c r="W305" s="124"/>
      <c r="X305" s="178"/>
      <c r="Y305" s="126"/>
      <c r="Z305" s="126"/>
      <c r="AB305" s="31"/>
      <c r="AC305" s="31"/>
      <c r="AD305" s="31"/>
      <c r="AE305" s="1"/>
    </row>
    <row r="306">
      <c r="A306" s="104"/>
      <c r="C306" s="128"/>
      <c r="D306" s="74"/>
      <c r="E306" s="1"/>
      <c r="F306" s="1"/>
      <c r="G306" s="1"/>
      <c r="H306" s="118"/>
      <c r="I306" s="177"/>
      <c r="J306" s="31"/>
      <c r="K306" s="1"/>
      <c r="L306" s="120"/>
      <c r="M306" s="121"/>
      <c r="N306" s="121"/>
      <c r="O306" s="118"/>
      <c r="P306" s="118"/>
      <c r="Q306" s="31"/>
      <c r="R306" s="122"/>
      <c r="S306" s="121"/>
      <c r="T306" s="122"/>
      <c r="U306" s="121"/>
      <c r="V306" s="123"/>
      <c r="W306" s="124"/>
      <c r="X306" s="178"/>
      <c r="Y306" s="126"/>
      <c r="Z306" s="126"/>
      <c r="AB306" s="31"/>
      <c r="AC306" s="31"/>
      <c r="AD306" s="31"/>
      <c r="AE306" s="1"/>
    </row>
    <row r="307">
      <c r="A307" s="104"/>
      <c r="C307" s="128"/>
      <c r="D307" s="74"/>
      <c r="E307" s="1"/>
      <c r="F307" s="1"/>
      <c r="G307" s="1"/>
      <c r="H307" s="118"/>
      <c r="I307" s="177"/>
      <c r="J307" s="31"/>
      <c r="K307" s="1"/>
      <c r="L307" s="120"/>
      <c r="M307" s="121"/>
      <c r="N307" s="121"/>
      <c r="O307" s="118"/>
      <c r="P307" s="118"/>
      <c r="Q307" s="31"/>
      <c r="R307" s="122"/>
      <c r="S307" s="121"/>
      <c r="T307" s="122"/>
      <c r="U307" s="121"/>
      <c r="V307" s="123"/>
      <c r="W307" s="124"/>
      <c r="X307" s="178"/>
      <c r="Y307" s="126"/>
      <c r="Z307" s="126"/>
      <c r="AB307" s="31"/>
      <c r="AC307" s="31"/>
      <c r="AD307" s="31"/>
      <c r="AE307" s="1"/>
    </row>
    <row r="308">
      <c r="A308" s="104"/>
      <c r="C308" s="128"/>
      <c r="D308" s="74"/>
      <c r="E308" s="1"/>
      <c r="F308" s="1"/>
      <c r="G308" s="1"/>
      <c r="H308" s="118"/>
      <c r="I308" s="177"/>
      <c r="J308" s="31"/>
      <c r="K308" s="1"/>
      <c r="L308" s="120"/>
      <c r="M308" s="121"/>
      <c r="N308" s="121"/>
      <c r="O308" s="118"/>
      <c r="P308" s="118"/>
      <c r="Q308" s="31"/>
      <c r="R308" s="122"/>
      <c r="S308" s="121"/>
      <c r="T308" s="122"/>
      <c r="U308" s="121"/>
      <c r="V308" s="123"/>
      <c r="W308" s="124"/>
      <c r="X308" s="178"/>
      <c r="Y308" s="126"/>
      <c r="Z308" s="126"/>
      <c r="AB308" s="31"/>
      <c r="AC308" s="31"/>
      <c r="AD308" s="31"/>
      <c r="AE308" s="1"/>
    </row>
    <row r="309">
      <c r="A309" s="104"/>
      <c r="C309" s="128"/>
      <c r="D309" s="74"/>
      <c r="E309" s="1"/>
      <c r="F309" s="1"/>
      <c r="G309" s="1"/>
      <c r="H309" s="118"/>
      <c r="I309" s="177"/>
      <c r="J309" s="31"/>
      <c r="K309" s="1"/>
      <c r="L309" s="120"/>
      <c r="M309" s="121"/>
      <c r="N309" s="121"/>
      <c r="O309" s="118"/>
      <c r="P309" s="118"/>
      <c r="Q309" s="31"/>
      <c r="R309" s="122"/>
      <c r="S309" s="121"/>
      <c r="T309" s="122"/>
      <c r="U309" s="121"/>
      <c r="V309" s="123"/>
      <c r="W309" s="124"/>
      <c r="X309" s="178"/>
      <c r="Y309" s="126"/>
      <c r="Z309" s="126"/>
      <c r="AB309" s="31"/>
      <c r="AC309" s="31"/>
      <c r="AD309" s="31"/>
      <c r="AE309" s="1"/>
    </row>
    <row r="310">
      <c r="A310" s="104"/>
      <c r="C310" s="128"/>
      <c r="D310" s="74"/>
      <c r="E310" s="1"/>
      <c r="F310" s="1"/>
      <c r="G310" s="1"/>
      <c r="H310" s="118"/>
      <c r="I310" s="177"/>
      <c r="J310" s="31"/>
      <c r="K310" s="1"/>
      <c r="L310" s="120"/>
      <c r="M310" s="121"/>
      <c r="N310" s="121"/>
      <c r="O310" s="118"/>
      <c r="P310" s="118"/>
      <c r="Q310" s="31"/>
      <c r="R310" s="122"/>
      <c r="S310" s="121"/>
      <c r="T310" s="122"/>
      <c r="U310" s="121"/>
      <c r="V310" s="123"/>
      <c r="W310" s="124"/>
      <c r="X310" s="178"/>
      <c r="Y310" s="126"/>
      <c r="Z310" s="126"/>
      <c r="AB310" s="31"/>
      <c r="AC310" s="31"/>
      <c r="AD310" s="31"/>
      <c r="AE310" s="1"/>
    </row>
    <row r="311">
      <c r="A311" s="104"/>
      <c r="C311" s="128"/>
      <c r="D311" s="74"/>
      <c r="E311" s="1"/>
      <c r="F311" s="1"/>
      <c r="G311" s="1"/>
      <c r="H311" s="118"/>
      <c r="I311" s="177"/>
      <c r="J311" s="31"/>
      <c r="K311" s="1"/>
      <c r="L311" s="120"/>
      <c r="M311" s="121"/>
      <c r="N311" s="121"/>
      <c r="O311" s="118"/>
      <c r="P311" s="118"/>
      <c r="Q311" s="31"/>
      <c r="R311" s="122"/>
      <c r="S311" s="121"/>
      <c r="T311" s="122"/>
      <c r="U311" s="121"/>
      <c r="V311" s="123"/>
      <c r="W311" s="124"/>
      <c r="X311" s="178"/>
      <c r="Y311" s="126"/>
      <c r="Z311" s="126"/>
      <c r="AB311" s="31"/>
      <c r="AC311" s="31"/>
      <c r="AD311" s="31"/>
      <c r="AE311" s="1"/>
    </row>
    <row r="312">
      <c r="A312" s="104"/>
      <c r="C312" s="128"/>
      <c r="D312" s="74"/>
      <c r="E312" s="1"/>
      <c r="F312" s="1"/>
      <c r="G312" s="1"/>
      <c r="H312" s="118"/>
      <c r="I312" s="177"/>
      <c r="J312" s="31"/>
      <c r="K312" s="1"/>
      <c r="L312" s="120"/>
      <c r="M312" s="121"/>
      <c r="N312" s="121"/>
      <c r="O312" s="118"/>
      <c r="P312" s="118"/>
      <c r="Q312" s="31"/>
      <c r="R312" s="122"/>
      <c r="S312" s="121"/>
      <c r="T312" s="122"/>
      <c r="U312" s="121"/>
      <c r="V312" s="123"/>
      <c r="W312" s="124"/>
      <c r="X312" s="178"/>
      <c r="Y312" s="126"/>
      <c r="Z312" s="126"/>
      <c r="AB312" s="31"/>
      <c r="AC312" s="31"/>
      <c r="AD312" s="31"/>
      <c r="AE312" s="1"/>
    </row>
    <row r="313">
      <c r="A313" s="104"/>
      <c r="C313" s="128"/>
      <c r="D313" s="74"/>
      <c r="E313" s="1"/>
      <c r="F313" s="1"/>
      <c r="G313" s="1"/>
      <c r="H313" s="118"/>
      <c r="I313" s="177"/>
      <c r="J313" s="31"/>
      <c r="K313" s="1"/>
      <c r="L313" s="120"/>
      <c r="M313" s="121"/>
      <c r="N313" s="121"/>
      <c r="O313" s="118"/>
      <c r="P313" s="118"/>
      <c r="Q313" s="31"/>
      <c r="R313" s="122"/>
      <c r="S313" s="121"/>
      <c r="T313" s="122"/>
      <c r="U313" s="121"/>
      <c r="V313" s="123"/>
      <c r="W313" s="124"/>
      <c r="X313" s="178"/>
      <c r="Y313" s="126"/>
      <c r="Z313" s="126"/>
      <c r="AB313" s="31"/>
      <c r="AC313" s="31"/>
      <c r="AD313" s="31"/>
      <c r="AE313" s="1"/>
    </row>
    <row r="314">
      <c r="A314" s="104"/>
      <c r="C314" s="128"/>
      <c r="D314" s="74"/>
      <c r="E314" s="1"/>
      <c r="F314" s="1"/>
      <c r="G314" s="1"/>
      <c r="H314" s="118"/>
      <c r="I314" s="177"/>
      <c r="J314" s="31"/>
      <c r="K314" s="1"/>
      <c r="L314" s="120"/>
      <c r="M314" s="121"/>
      <c r="N314" s="121"/>
      <c r="O314" s="118"/>
      <c r="P314" s="118"/>
      <c r="Q314" s="31"/>
      <c r="R314" s="122"/>
      <c r="S314" s="121"/>
      <c r="T314" s="122"/>
      <c r="U314" s="121"/>
      <c r="V314" s="123"/>
      <c r="W314" s="124"/>
      <c r="X314" s="178"/>
      <c r="Y314" s="126"/>
      <c r="Z314" s="126"/>
      <c r="AB314" s="31"/>
      <c r="AC314" s="31"/>
      <c r="AD314" s="31"/>
      <c r="AE314" s="1"/>
    </row>
    <row r="315">
      <c r="A315" s="104"/>
      <c r="C315" s="128"/>
      <c r="D315" s="74"/>
      <c r="E315" s="1"/>
      <c r="F315" s="1"/>
      <c r="G315" s="1"/>
      <c r="H315" s="118"/>
      <c r="I315" s="177"/>
      <c r="J315" s="31"/>
      <c r="K315" s="1"/>
      <c r="L315" s="120"/>
      <c r="M315" s="121"/>
      <c r="N315" s="121"/>
      <c r="O315" s="118"/>
      <c r="P315" s="118"/>
      <c r="Q315" s="31"/>
      <c r="R315" s="122"/>
      <c r="S315" s="121"/>
      <c r="T315" s="122"/>
      <c r="U315" s="121"/>
      <c r="V315" s="123"/>
      <c r="W315" s="124"/>
      <c r="X315" s="178"/>
      <c r="Y315" s="126"/>
      <c r="Z315" s="126"/>
      <c r="AB315" s="31"/>
      <c r="AC315" s="31"/>
      <c r="AD315" s="31"/>
      <c r="AE315" s="1"/>
    </row>
    <row r="316">
      <c r="A316" s="104"/>
      <c r="C316" s="128"/>
      <c r="D316" s="74"/>
      <c r="E316" s="1"/>
      <c r="F316" s="1"/>
      <c r="G316" s="1"/>
      <c r="H316" s="118"/>
      <c r="I316" s="177"/>
      <c r="J316" s="31"/>
      <c r="K316" s="1"/>
      <c r="L316" s="120"/>
      <c r="M316" s="121"/>
      <c r="N316" s="121"/>
      <c r="O316" s="118"/>
      <c r="P316" s="118"/>
      <c r="Q316" s="31"/>
      <c r="R316" s="122"/>
      <c r="S316" s="121"/>
      <c r="T316" s="122"/>
      <c r="U316" s="121"/>
      <c r="V316" s="123"/>
      <c r="W316" s="124"/>
      <c r="X316" s="178"/>
      <c r="Y316" s="126"/>
      <c r="Z316" s="126"/>
      <c r="AB316" s="31"/>
      <c r="AC316" s="31"/>
      <c r="AD316" s="31"/>
      <c r="AE316" s="1"/>
    </row>
    <row r="317">
      <c r="A317" s="104"/>
      <c r="C317" s="128"/>
      <c r="D317" s="74"/>
      <c r="E317" s="1"/>
      <c r="F317" s="1"/>
      <c r="G317" s="1"/>
      <c r="H317" s="118"/>
      <c r="I317" s="177"/>
      <c r="J317" s="31"/>
      <c r="K317" s="1"/>
      <c r="L317" s="120"/>
      <c r="M317" s="121"/>
      <c r="N317" s="121"/>
      <c r="O317" s="118"/>
      <c r="P317" s="118"/>
      <c r="Q317" s="31"/>
      <c r="R317" s="122"/>
      <c r="S317" s="121"/>
      <c r="T317" s="122"/>
      <c r="U317" s="121"/>
      <c r="V317" s="123"/>
      <c r="W317" s="124"/>
      <c r="X317" s="178"/>
      <c r="Y317" s="126"/>
      <c r="Z317" s="126"/>
      <c r="AB317" s="31"/>
      <c r="AC317" s="31"/>
      <c r="AD317" s="31"/>
      <c r="AE317" s="1"/>
    </row>
    <row r="318">
      <c r="A318" s="104"/>
      <c r="C318" s="128"/>
      <c r="D318" s="74"/>
      <c r="E318" s="1"/>
      <c r="F318" s="1"/>
      <c r="G318" s="1"/>
      <c r="H318" s="118"/>
      <c r="I318" s="177"/>
      <c r="J318" s="31"/>
      <c r="K318" s="1"/>
      <c r="L318" s="120"/>
      <c r="M318" s="121"/>
      <c r="N318" s="121"/>
      <c r="O318" s="118"/>
      <c r="P318" s="118"/>
      <c r="Q318" s="31"/>
      <c r="R318" s="122"/>
      <c r="S318" s="121"/>
      <c r="T318" s="122"/>
      <c r="U318" s="121"/>
      <c r="V318" s="123"/>
      <c r="W318" s="124"/>
      <c r="X318" s="178"/>
      <c r="Y318" s="126"/>
      <c r="Z318" s="126"/>
      <c r="AB318" s="31"/>
      <c r="AC318" s="31"/>
      <c r="AD318" s="31"/>
      <c r="AE318" s="1"/>
    </row>
    <row r="319">
      <c r="A319" s="104"/>
      <c r="C319" s="128"/>
      <c r="D319" s="74"/>
      <c r="E319" s="1"/>
      <c r="F319" s="1"/>
      <c r="G319" s="1"/>
      <c r="H319" s="118"/>
      <c r="I319" s="177"/>
      <c r="J319" s="31"/>
      <c r="K319" s="1"/>
      <c r="L319" s="120"/>
      <c r="M319" s="121"/>
      <c r="N319" s="121"/>
      <c r="O319" s="118"/>
      <c r="P319" s="118"/>
      <c r="Q319" s="31"/>
      <c r="R319" s="122"/>
      <c r="S319" s="121"/>
      <c r="T319" s="122"/>
      <c r="U319" s="121"/>
      <c r="V319" s="123"/>
      <c r="W319" s="124"/>
      <c r="X319" s="178"/>
      <c r="Y319" s="126"/>
      <c r="Z319" s="126"/>
      <c r="AB319" s="31"/>
      <c r="AC319" s="31"/>
      <c r="AD319" s="31"/>
      <c r="AE319" s="1"/>
    </row>
    <row r="320">
      <c r="A320" s="104"/>
      <c r="C320" s="128"/>
      <c r="D320" s="74"/>
      <c r="E320" s="1"/>
      <c r="F320" s="1"/>
      <c r="G320" s="1"/>
      <c r="H320" s="118"/>
      <c r="I320" s="177"/>
      <c r="J320" s="31"/>
      <c r="K320" s="1"/>
      <c r="L320" s="120"/>
      <c r="M320" s="121"/>
      <c r="N320" s="121"/>
      <c r="O320" s="118"/>
      <c r="P320" s="118"/>
      <c r="Q320" s="31"/>
      <c r="R320" s="122"/>
      <c r="S320" s="121"/>
      <c r="T320" s="122"/>
      <c r="U320" s="121"/>
      <c r="V320" s="123"/>
      <c r="W320" s="124"/>
      <c r="X320" s="178"/>
      <c r="Y320" s="126"/>
      <c r="Z320" s="126"/>
      <c r="AB320" s="31"/>
      <c r="AC320" s="31"/>
      <c r="AD320" s="31"/>
      <c r="AE320" s="1"/>
    </row>
    <row r="321">
      <c r="A321" s="104"/>
      <c r="C321" s="128"/>
      <c r="D321" s="74"/>
      <c r="E321" s="1"/>
      <c r="F321" s="1"/>
      <c r="G321" s="1"/>
      <c r="H321" s="118"/>
      <c r="I321" s="177"/>
      <c r="J321" s="31"/>
      <c r="K321" s="1"/>
      <c r="L321" s="120"/>
      <c r="M321" s="121"/>
      <c r="N321" s="121"/>
      <c r="O321" s="118"/>
      <c r="P321" s="118"/>
      <c r="Q321" s="31"/>
      <c r="R321" s="122"/>
      <c r="S321" s="121"/>
      <c r="T321" s="122"/>
      <c r="U321" s="121"/>
      <c r="V321" s="123"/>
      <c r="W321" s="124"/>
      <c r="X321" s="178"/>
      <c r="Y321" s="126"/>
      <c r="Z321" s="126"/>
      <c r="AB321" s="31"/>
      <c r="AC321" s="31"/>
      <c r="AD321" s="31"/>
      <c r="AE321" s="1"/>
    </row>
    <row r="322">
      <c r="A322" s="104"/>
      <c r="C322" s="128"/>
      <c r="D322" s="74"/>
      <c r="E322" s="1"/>
      <c r="F322" s="1"/>
      <c r="G322" s="1"/>
      <c r="H322" s="118"/>
      <c r="I322" s="177"/>
      <c r="J322" s="31"/>
      <c r="K322" s="1"/>
      <c r="L322" s="120"/>
      <c r="M322" s="121"/>
      <c r="N322" s="121"/>
      <c r="O322" s="118"/>
      <c r="P322" s="118"/>
      <c r="Q322" s="31"/>
      <c r="R322" s="122"/>
      <c r="S322" s="121"/>
      <c r="T322" s="122"/>
      <c r="U322" s="121"/>
      <c r="V322" s="123"/>
      <c r="W322" s="124"/>
      <c r="X322" s="178"/>
      <c r="Y322" s="126"/>
      <c r="Z322" s="126"/>
      <c r="AB322" s="31"/>
      <c r="AC322" s="31"/>
      <c r="AD322" s="31"/>
      <c r="AE322" s="1"/>
    </row>
    <row r="323">
      <c r="A323" s="104"/>
      <c r="C323" s="128"/>
      <c r="D323" s="74"/>
      <c r="E323" s="1"/>
      <c r="F323" s="1"/>
      <c r="G323" s="1"/>
      <c r="H323" s="118"/>
      <c r="I323" s="177"/>
      <c r="J323" s="31"/>
      <c r="K323" s="1"/>
      <c r="L323" s="120"/>
      <c r="M323" s="121"/>
      <c r="N323" s="121"/>
      <c r="O323" s="118"/>
      <c r="P323" s="118"/>
      <c r="Q323" s="31"/>
      <c r="R323" s="122"/>
      <c r="S323" s="121"/>
      <c r="T323" s="122"/>
      <c r="U323" s="121"/>
      <c r="V323" s="123"/>
      <c r="W323" s="124"/>
      <c r="X323" s="178"/>
      <c r="Y323" s="126"/>
      <c r="Z323" s="126"/>
      <c r="AB323" s="31"/>
      <c r="AC323" s="31"/>
      <c r="AD323" s="31"/>
      <c r="AE323" s="1"/>
    </row>
    <row r="324">
      <c r="A324" s="104"/>
      <c r="C324" s="128"/>
      <c r="D324" s="74"/>
      <c r="E324" s="1"/>
      <c r="F324" s="1"/>
      <c r="G324" s="1"/>
      <c r="H324" s="118"/>
      <c r="I324" s="177"/>
      <c r="J324" s="31"/>
      <c r="K324" s="1"/>
      <c r="L324" s="120"/>
      <c r="M324" s="121"/>
      <c r="N324" s="121"/>
      <c r="O324" s="118"/>
      <c r="P324" s="118"/>
      <c r="Q324" s="31"/>
      <c r="R324" s="122"/>
      <c r="S324" s="121"/>
      <c r="T324" s="122"/>
      <c r="U324" s="121"/>
      <c r="V324" s="123"/>
      <c r="W324" s="124"/>
      <c r="X324" s="178"/>
      <c r="Y324" s="126"/>
      <c r="Z324" s="126"/>
      <c r="AB324" s="31"/>
      <c r="AC324" s="31"/>
      <c r="AD324" s="31"/>
      <c r="AE324" s="1"/>
    </row>
    <row r="325">
      <c r="A325" s="104"/>
      <c r="C325" s="128"/>
      <c r="D325" s="74"/>
      <c r="E325" s="1"/>
      <c r="F325" s="1"/>
      <c r="G325" s="1"/>
      <c r="H325" s="118"/>
      <c r="I325" s="177"/>
      <c r="J325" s="31"/>
      <c r="K325" s="1"/>
      <c r="L325" s="120"/>
      <c r="M325" s="121"/>
      <c r="N325" s="121"/>
      <c r="O325" s="118"/>
      <c r="P325" s="118"/>
      <c r="Q325" s="31"/>
      <c r="R325" s="122"/>
      <c r="S325" s="121"/>
      <c r="T325" s="122"/>
      <c r="U325" s="121"/>
      <c r="V325" s="123"/>
      <c r="W325" s="124"/>
      <c r="X325" s="178"/>
      <c r="Y325" s="126"/>
      <c r="Z325" s="126"/>
      <c r="AB325" s="31"/>
      <c r="AC325" s="31"/>
      <c r="AD325" s="31"/>
      <c r="AE325" s="1"/>
    </row>
    <row r="326">
      <c r="A326" s="104"/>
      <c r="C326" s="128"/>
      <c r="D326" s="74"/>
      <c r="E326" s="1"/>
      <c r="F326" s="1"/>
      <c r="G326" s="1"/>
      <c r="H326" s="118"/>
      <c r="I326" s="177"/>
      <c r="J326" s="31"/>
      <c r="K326" s="1"/>
      <c r="L326" s="120"/>
      <c r="M326" s="121"/>
      <c r="N326" s="121"/>
      <c r="O326" s="118"/>
      <c r="P326" s="118"/>
      <c r="Q326" s="31"/>
      <c r="R326" s="122"/>
      <c r="S326" s="121"/>
      <c r="T326" s="122"/>
      <c r="U326" s="121"/>
      <c r="V326" s="123"/>
      <c r="W326" s="124"/>
      <c r="X326" s="178"/>
      <c r="Y326" s="126"/>
      <c r="Z326" s="126"/>
      <c r="AB326" s="31"/>
      <c r="AC326" s="31"/>
      <c r="AD326" s="31"/>
      <c r="AE326" s="1"/>
    </row>
    <row r="327">
      <c r="A327" s="104"/>
      <c r="C327" s="128"/>
      <c r="D327" s="74"/>
      <c r="E327" s="1"/>
      <c r="F327" s="1"/>
      <c r="G327" s="1"/>
      <c r="H327" s="118"/>
      <c r="I327" s="177"/>
      <c r="J327" s="31"/>
      <c r="K327" s="1"/>
      <c r="L327" s="120"/>
      <c r="M327" s="121"/>
      <c r="N327" s="121"/>
      <c r="O327" s="118"/>
      <c r="P327" s="118"/>
      <c r="Q327" s="31"/>
      <c r="R327" s="122"/>
      <c r="S327" s="121"/>
      <c r="T327" s="122"/>
      <c r="U327" s="121"/>
      <c r="V327" s="123"/>
      <c r="W327" s="124"/>
      <c r="X327" s="178"/>
      <c r="Y327" s="126"/>
      <c r="Z327" s="126"/>
      <c r="AB327" s="31"/>
      <c r="AC327" s="31"/>
      <c r="AD327" s="31"/>
      <c r="AE327" s="1"/>
    </row>
    <row r="328">
      <c r="A328" s="104"/>
      <c r="C328" s="128"/>
      <c r="D328" s="74"/>
      <c r="E328" s="1"/>
      <c r="F328" s="1"/>
      <c r="G328" s="1"/>
      <c r="H328" s="118"/>
      <c r="I328" s="177"/>
      <c r="J328" s="31"/>
      <c r="K328" s="1"/>
      <c r="L328" s="120"/>
      <c r="M328" s="121"/>
      <c r="N328" s="121"/>
      <c r="O328" s="118"/>
      <c r="P328" s="118"/>
      <c r="Q328" s="31"/>
      <c r="R328" s="122"/>
      <c r="S328" s="121"/>
      <c r="T328" s="122"/>
      <c r="U328" s="121"/>
      <c r="V328" s="123"/>
      <c r="W328" s="124"/>
      <c r="X328" s="178"/>
      <c r="Y328" s="126"/>
      <c r="Z328" s="126"/>
      <c r="AB328" s="31"/>
      <c r="AC328" s="31"/>
      <c r="AD328" s="31"/>
      <c r="AE328" s="1"/>
    </row>
    <row r="329">
      <c r="A329" s="104"/>
      <c r="C329" s="128"/>
      <c r="D329" s="74"/>
      <c r="E329" s="1"/>
      <c r="F329" s="1"/>
      <c r="G329" s="1"/>
      <c r="H329" s="118"/>
      <c r="I329" s="177"/>
      <c r="J329" s="31"/>
      <c r="K329" s="1"/>
      <c r="L329" s="120"/>
      <c r="M329" s="121"/>
      <c r="N329" s="121"/>
      <c r="O329" s="118"/>
      <c r="P329" s="118"/>
      <c r="Q329" s="31"/>
      <c r="R329" s="122"/>
      <c r="S329" s="121"/>
      <c r="T329" s="122"/>
      <c r="U329" s="121"/>
      <c r="V329" s="123"/>
      <c r="W329" s="124"/>
      <c r="X329" s="178"/>
      <c r="Y329" s="126"/>
      <c r="Z329" s="126"/>
      <c r="AB329" s="31"/>
      <c r="AC329" s="31"/>
      <c r="AD329" s="31"/>
      <c r="AE329" s="1"/>
    </row>
    <row r="330">
      <c r="A330" s="104"/>
      <c r="C330" s="128"/>
      <c r="D330" s="74"/>
      <c r="E330" s="1"/>
      <c r="F330" s="1"/>
      <c r="G330" s="1"/>
      <c r="H330" s="118"/>
      <c r="I330" s="177"/>
      <c r="J330" s="31"/>
      <c r="K330" s="1"/>
      <c r="L330" s="120"/>
      <c r="M330" s="121"/>
      <c r="N330" s="121"/>
      <c r="O330" s="118"/>
      <c r="P330" s="118"/>
      <c r="Q330" s="31"/>
      <c r="R330" s="122"/>
      <c r="S330" s="121"/>
      <c r="T330" s="122"/>
      <c r="U330" s="121"/>
      <c r="V330" s="123"/>
      <c r="W330" s="124"/>
      <c r="X330" s="178"/>
      <c r="Y330" s="126"/>
      <c r="Z330" s="126"/>
      <c r="AB330" s="31"/>
      <c r="AC330" s="31"/>
      <c r="AD330" s="31"/>
      <c r="AE330" s="1"/>
    </row>
    <row r="331">
      <c r="A331" s="104"/>
      <c r="C331" s="128"/>
      <c r="D331" s="74"/>
      <c r="E331" s="1"/>
      <c r="F331" s="1"/>
      <c r="G331" s="1"/>
      <c r="H331" s="118"/>
      <c r="I331" s="177"/>
      <c r="J331" s="31"/>
      <c r="K331" s="1"/>
      <c r="L331" s="120"/>
      <c r="M331" s="121"/>
      <c r="N331" s="121"/>
      <c r="O331" s="118"/>
      <c r="P331" s="118"/>
      <c r="Q331" s="31"/>
      <c r="R331" s="122"/>
      <c r="S331" s="121"/>
      <c r="T331" s="122"/>
      <c r="U331" s="121"/>
      <c r="V331" s="123"/>
      <c r="W331" s="124"/>
      <c r="X331" s="178"/>
      <c r="Y331" s="126"/>
      <c r="Z331" s="126"/>
      <c r="AB331" s="31"/>
      <c r="AC331" s="31"/>
      <c r="AD331" s="31"/>
      <c r="AE331" s="1"/>
    </row>
    <row r="332">
      <c r="A332" s="104"/>
      <c r="C332" s="128"/>
      <c r="D332" s="74"/>
      <c r="E332" s="1"/>
      <c r="F332" s="1"/>
      <c r="G332" s="1"/>
      <c r="H332" s="118"/>
      <c r="I332" s="177"/>
      <c r="J332" s="31"/>
      <c r="K332" s="1"/>
      <c r="L332" s="120"/>
      <c r="M332" s="121"/>
      <c r="N332" s="121"/>
      <c r="O332" s="118"/>
      <c r="P332" s="118"/>
      <c r="Q332" s="31"/>
      <c r="R332" s="122"/>
      <c r="S332" s="121"/>
      <c r="T332" s="122"/>
      <c r="U332" s="121"/>
      <c r="V332" s="123"/>
      <c r="W332" s="124"/>
      <c r="X332" s="178"/>
      <c r="Y332" s="126"/>
      <c r="Z332" s="126"/>
      <c r="AB332" s="31"/>
      <c r="AC332" s="31"/>
      <c r="AD332" s="31"/>
      <c r="AE332" s="1"/>
    </row>
    <row r="333">
      <c r="A333" s="104"/>
      <c r="C333" s="128"/>
      <c r="D333" s="74"/>
      <c r="E333" s="1"/>
      <c r="F333" s="1"/>
      <c r="G333" s="1"/>
      <c r="H333" s="118"/>
      <c r="I333" s="177"/>
      <c r="J333" s="31"/>
      <c r="K333" s="1"/>
      <c r="L333" s="120"/>
      <c r="M333" s="121"/>
      <c r="N333" s="121"/>
      <c r="O333" s="118"/>
      <c r="P333" s="118"/>
      <c r="Q333" s="31"/>
      <c r="R333" s="122"/>
      <c r="S333" s="121"/>
      <c r="T333" s="122"/>
      <c r="U333" s="121"/>
      <c r="V333" s="123"/>
      <c r="W333" s="124"/>
      <c r="X333" s="178"/>
      <c r="Y333" s="126"/>
      <c r="Z333" s="126"/>
      <c r="AB333" s="31"/>
      <c r="AC333" s="31"/>
      <c r="AD333" s="31"/>
      <c r="AE333" s="1"/>
    </row>
    <row r="334">
      <c r="A334" s="104"/>
      <c r="C334" s="128"/>
      <c r="D334" s="74"/>
      <c r="E334" s="1"/>
      <c r="F334" s="1"/>
      <c r="G334" s="1"/>
      <c r="H334" s="118"/>
      <c r="I334" s="177"/>
      <c r="J334" s="31"/>
      <c r="K334" s="1"/>
      <c r="L334" s="120"/>
      <c r="M334" s="121"/>
      <c r="N334" s="121"/>
      <c r="O334" s="118"/>
      <c r="P334" s="118"/>
      <c r="Q334" s="31"/>
      <c r="R334" s="122"/>
      <c r="S334" s="121"/>
      <c r="T334" s="122"/>
      <c r="U334" s="121"/>
      <c r="V334" s="123"/>
      <c r="W334" s="124"/>
      <c r="X334" s="178"/>
      <c r="Y334" s="126"/>
      <c r="Z334" s="126"/>
      <c r="AB334" s="31"/>
      <c r="AC334" s="31"/>
      <c r="AD334" s="31"/>
      <c r="AE334" s="1"/>
    </row>
    <row r="335">
      <c r="A335" s="104"/>
      <c r="C335" s="128"/>
      <c r="D335" s="74"/>
      <c r="E335" s="1"/>
      <c r="F335" s="1"/>
      <c r="G335" s="1"/>
      <c r="H335" s="118"/>
      <c r="I335" s="177"/>
      <c r="J335" s="31"/>
      <c r="K335" s="1"/>
      <c r="L335" s="120"/>
      <c r="M335" s="121"/>
      <c r="N335" s="121"/>
      <c r="O335" s="118"/>
      <c r="P335" s="118"/>
      <c r="Q335" s="31"/>
      <c r="R335" s="122"/>
      <c r="S335" s="121"/>
      <c r="T335" s="122"/>
      <c r="U335" s="121"/>
      <c r="V335" s="123"/>
      <c r="W335" s="124"/>
      <c r="X335" s="178"/>
      <c r="Y335" s="126"/>
      <c r="Z335" s="126"/>
      <c r="AB335" s="31"/>
      <c r="AC335" s="31"/>
      <c r="AD335" s="31"/>
      <c r="AE335" s="1"/>
    </row>
    <row r="336">
      <c r="A336" s="104"/>
      <c r="C336" s="128"/>
      <c r="D336" s="74"/>
      <c r="E336" s="1"/>
      <c r="F336" s="1"/>
      <c r="G336" s="1"/>
      <c r="H336" s="118"/>
      <c r="I336" s="177"/>
      <c r="J336" s="31"/>
      <c r="K336" s="1"/>
      <c r="L336" s="120"/>
      <c r="M336" s="121"/>
      <c r="N336" s="121"/>
      <c r="O336" s="118"/>
      <c r="P336" s="118"/>
      <c r="Q336" s="31"/>
      <c r="R336" s="122"/>
      <c r="S336" s="121"/>
      <c r="T336" s="122"/>
      <c r="U336" s="121"/>
      <c r="V336" s="123"/>
      <c r="W336" s="124"/>
      <c r="X336" s="178"/>
      <c r="Y336" s="126"/>
      <c r="Z336" s="126"/>
      <c r="AB336" s="31"/>
      <c r="AC336" s="31"/>
      <c r="AD336" s="31"/>
      <c r="AE336" s="1"/>
    </row>
    <row r="337">
      <c r="A337" s="104"/>
      <c r="C337" s="128"/>
      <c r="D337" s="74"/>
      <c r="E337" s="1"/>
      <c r="F337" s="1"/>
      <c r="G337" s="1"/>
      <c r="H337" s="118"/>
      <c r="I337" s="177"/>
      <c r="J337" s="31"/>
      <c r="K337" s="1"/>
      <c r="L337" s="120"/>
      <c r="M337" s="121"/>
      <c r="N337" s="121"/>
      <c r="O337" s="118"/>
      <c r="P337" s="118"/>
      <c r="Q337" s="31"/>
      <c r="R337" s="122"/>
      <c r="S337" s="121"/>
      <c r="T337" s="122"/>
      <c r="U337" s="121"/>
      <c r="V337" s="123"/>
      <c r="W337" s="124"/>
      <c r="X337" s="178"/>
      <c r="Y337" s="126"/>
      <c r="Z337" s="126"/>
      <c r="AB337" s="31"/>
      <c r="AC337" s="31"/>
      <c r="AD337" s="31"/>
      <c r="AE337" s="1"/>
    </row>
    <row r="338">
      <c r="A338" s="104"/>
      <c r="C338" s="128"/>
      <c r="D338" s="74"/>
      <c r="E338" s="1"/>
      <c r="F338" s="1"/>
      <c r="G338" s="1"/>
      <c r="H338" s="118"/>
      <c r="I338" s="177"/>
      <c r="J338" s="31"/>
      <c r="K338" s="1"/>
      <c r="L338" s="120"/>
      <c r="M338" s="121"/>
      <c r="N338" s="121"/>
      <c r="O338" s="118"/>
      <c r="P338" s="118"/>
      <c r="Q338" s="31"/>
      <c r="R338" s="122"/>
      <c r="S338" s="121"/>
      <c r="T338" s="122"/>
      <c r="U338" s="121"/>
      <c r="V338" s="123"/>
      <c r="W338" s="124"/>
      <c r="X338" s="178"/>
      <c r="Y338" s="126"/>
      <c r="Z338" s="126"/>
      <c r="AB338" s="31"/>
      <c r="AC338" s="31"/>
      <c r="AD338" s="31"/>
      <c r="AE338" s="1"/>
    </row>
    <row r="339">
      <c r="A339" s="104"/>
      <c r="C339" s="128"/>
      <c r="D339" s="74"/>
      <c r="E339" s="1"/>
      <c r="F339" s="1"/>
      <c r="G339" s="1"/>
      <c r="H339" s="118"/>
      <c r="I339" s="177"/>
      <c r="J339" s="31"/>
      <c r="K339" s="1"/>
      <c r="L339" s="120"/>
      <c r="M339" s="121"/>
      <c r="N339" s="121"/>
      <c r="O339" s="118"/>
      <c r="P339" s="118"/>
      <c r="Q339" s="31"/>
      <c r="R339" s="122"/>
      <c r="S339" s="121"/>
      <c r="T339" s="122"/>
      <c r="U339" s="121"/>
      <c r="V339" s="123"/>
      <c r="W339" s="124"/>
      <c r="X339" s="178"/>
      <c r="Y339" s="126"/>
      <c r="Z339" s="126"/>
      <c r="AB339" s="31"/>
      <c r="AC339" s="31"/>
      <c r="AD339" s="31"/>
      <c r="AE339" s="1"/>
    </row>
    <row r="340">
      <c r="A340" s="104"/>
      <c r="C340" s="128"/>
      <c r="D340" s="74"/>
      <c r="E340" s="1"/>
      <c r="F340" s="1"/>
      <c r="G340" s="1"/>
      <c r="H340" s="118"/>
      <c r="I340" s="177"/>
      <c r="J340" s="31"/>
      <c r="K340" s="1"/>
      <c r="L340" s="120"/>
      <c r="M340" s="121"/>
      <c r="N340" s="121"/>
      <c r="O340" s="118"/>
      <c r="P340" s="118"/>
      <c r="Q340" s="31"/>
      <c r="R340" s="122"/>
      <c r="S340" s="121"/>
      <c r="T340" s="122"/>
      <c r="U340" s="121"/>
      <c r="V340" s="123"/>
      <c r="W340" s="124"/>
      <c r="X340" s="178"/>
      <c r="Y340" s="126"/>
      <c r="Z340" s="126"/>
      <c r="AB340" s="31"/>
      <c r="AC340" s="31"/>
      <c r="AD340" s="31"/>
      <c r="AE340" s="1"/>
    </row>
    <row r="341">
      <c r="A341" s="104"/>
      <c r="C341" s="128"/>
      <c r="D341" s="74"/>
      <c r="E341" s="1"/>
      <c r="F341" s="1"/>
      <c r="G341" s="1"/>
      <c r="H341" s="118"/>
      <c r="I341" s="177"/>
      <c r="J341" s="31"/>
      <c r="K341" s="1"/>
      <c r="L341" s="120"/>
      <c r="M341" s="121"/>
      <c r="N341" s="121"/>
      <c r="O341" s="118"/>
      <c r="P341" s="118"/>
      <c r="Q341" s="31"/>
      <c r="R341" s="122"/>
      <c r="S341" s="121"/>
      <c r="T341" s="122"/>
      <c r="U341" s="121"/>
      <c r="V341" s="123"/>
      <c r="W341" s="124"/>
      <c r="X341" s="178"/>
      <c r="Y341" s="126"/>
      <c r="Z341" s="126"/>
      <c r="AB341" s="31"/>
      <c r="AC341" s="31"/>
      <c r="AD341" s="31"/>
      <c r="AE341" s="1"/>
    </row>
    <row r="342">
      <c r="A342" s="104"/>
      <c r="C342" s="128"/>
      <c r="D342" s="74"/>
      <c r="E342" s="1"/>
      <c r="F342" s="1"/>
      <c r="G342" s="1"/>
      <c r="H342" s="118"/>
      <c r="I342" s="177"/>
      <c r="J342" s="31"/>
      <c r="K342" s="1"/>
      <c r="L342" s="120"/>
      <c r="M342" s="121"/>
      <c r="N342" s="121"/>
      <c r="O342" s="118"/>
      <c r="P342" s="118"/>
      <c r="Q342" s="31"/>
      <c r="R342" s="122"/>
      <c r="S342" s="121"/>
      <c r="T342" s="122"/>
      <c r="U342" s="121"/>
      <c r="V342" s="123"/>
      <c r="W342" s="124"/>
      <c r="X342" s="178"/>
      <c r="Y342" s="126"/>
      <c r="Z342" s="126"/>
      <c r="AB342" s="31"/>
      <c r="AC342" s="31"/>
      <c r="AD342" s="31"/>
      <c r="AE342" s="1"/>
    </row>
    <row r="343">
      <c r="A343" s="104"/>
      <c r="C343" s="128"/>
      <c r="D343" s="74"/>
      <c r="E343" s="1"/>
      <c r="F343" s="1"/>
      <c r="G343" s="1"/>
      <c r="H343" s="118"/>
      <c r="I343" s="177"/>
      <c r="J343" s="31"/>
      <c r="K343" s="1"/>
      <c r="L343" s="120"/>
      <c r="M343" s="121"/>
      <c r="N343" s="121"/>
      <c r="O343" s="118"/>
      <c r="P343" s="118"/>
      <c r="Q343" s="31"/>
      <c r="R343" s="122"/>
      <c r="S343" s="121"/>
      <c r="T343" s="122"/>
      <c r="U343" s="121"/>
      <c r="V343" s="123"/>
      <c r="W343" s="124"/>
      <c r="X343" s="178"/>
      <c r="Y343" s="126"/>
      <c r="Z343" s="126"/>
      <c r="AB343" s="31"/>
      <c r="AC343" s="31"/>
      <c r="AD343" s="31"/>
      <c r="AE343" s="1"/>
    </row>
    <row r="344">
      <c r="A344" s="104"/>
      <c r="C344" s="128"/>
      <c r="D344" s="74"/>
      <c r="E344" s="1"/>
      <c r="F344" s="1"/>
      <c r="G344" s="1"/>
      <c r="H344" s="118"/>
      <c r="I344" s="177"/>
      <c r="J344" s="31"/>
      <c r="K344" s="1"/>
      <c r="L344" s="120"/>
      <c r="M344" s="121"/>
      <c r="N344" s="121"/>
      <c r="O344" s="118"/>
      <c r="P344" s="118"/>
      <c r="Q344" s="31"/>
      <c r="R344" s="122"/>
      <c r="S344" s="121"/>
      <c r="T344" s="122"/>
      <c r="U344" s="121"/>
      <c r="V344" s="123"/>
      <c r="W344" s="124"/>
      <c r="X344" s="178"/>
      <c r="Y344" s="126"/>
      <c r="Z344" s="126"/>
      <c r="AB344" s="31"/>
      <c r="AC344" s="31"/>
      <c r="AD344" s="31"/>
      <c r="AE344" s="1"/>
    </row>
    <row r="345">
      <c r="A345" s="104"/>
      <c r="C345" s="128"/>
      <c r="D345" s="74"/>
      <c r="E345" s="1"/>
      <c r="F345" s="1"/>
      <c r="G345" s="1"/>
      <c r="H345" s="118"/>
      <c r="I345" s="177"/>
      <c r="J345" s="31"/>
      <c r="K345" s="1"/>
      <c r="L345" s="120"/>
      <c r="M345" s="121"/>
      <c r="N345" s="121"/>
      <c r="O345" s="118"/>
      <c r="P345" s="118"/>
      <c r="Q345" s="31"/>
      <c r="R345" s="122"/>
      <c r="S345" s="121"/>
      <c r="T345" s="122"/>
      <c r="U345" s="121"/>
      <c r="V345" s="123"/>
      <c r="W345" s="124"/>
      <c r="X345" s="178"/>
      <c r="Y345" s="126"/>
      <c r="Z345" s="126"/>
      <c r="AB345" s="31"/>
      <c r="AC345" s="31"/>
      <c r="AD345" s="31"/>
      <c r="AE345" s="1"/>
    </row>
    <row r="346">
      <c r="A346" s="104"/>
      <c r="C346" s="128"/>
      <c r="D346" s="74"/>
      <c r="E346" s="1"/>
      <c r="F346" s="1"/>
      <c r="G346" s="1"/>
      <c r="H346" s="118"/>
      <c r="I346" s="177"/>
      <c r="J346" s="31"/>
      <c r="K346" s="1"/>
      <c r="L346" s="120"/>
      <c r="M346" s="121"/>
      <c r="N346" s="121"/>
      <c r="O346" s="118"/>
      <c r="P346" s="118"/>
      <c r="Q346" s="31"/>
      <c r="R346" s="122"/>
      <c r="S346" s="121"/>
      <c r="T346" s="122"/>
      <c r="U346" s="121"/>
      <c r="V346" s="123"/>
      <c r="W346" s="124"/>
      <c r="X346" s="178"/>
      <c r="Y346" s="126"/>
      <c r="Z346" s="126"/>
      <c r="AB346" s="31"/>
      <c r="AC346" s="31"/>
      <c r="AD346" s="31"/>
      <c r="AE346" s="1"/>
    </row>
    <row r="347">
      <c r="A347" s="104"/>
      <c r="C347" s="128"/>
      <c r="D347" s="74"/>
      <c r="E347" s="1"/>
      <c r="F347" s="1"/>
      <c r="G347" s="1"/>
      <c r="H347" s="118"/>
      <c r="I347" s="177"/>
      <c r="J347" s="31"/>
      <c r="K347" s="1"/>
      <c r="L347" s="120"/>
      <c r="M347" s="121"/>
      <c r="N347" s="121"/>
      <c r="O347" s="118"/>
      <c r="P347" s="118"/>
      <c r="Q347" s="31"/>
      <c r="R347" s="122"/>
      <c r="S347" s="121"/>
      <c r="T347" s="122"/>
      <c r="U347" s="121"/>
      <c r="V347" s="123"/>
      <c r="W347" s="124"/>
      <c r="X347" s="178"/>
      <c r="Y347" s="126"/>
      <c r="Z347" s="126"/>
      <c r="AB347" s="31"/>
      <c r="AC347" s="31"/>
      <c r="AD347" s="31"/>
      <c r="AE347" s="1"/>
    </row>
    <row r="348">
      <c r="A348" s="104"/>
      <c r="C348" s="128"/>
      <c r="D348" s="74"/>
      <c r="E348" s="1"/>
      <c r="F348" s="1"/>
      <c r="G348" s="1"/>
      <c r="H348" s="118"/>
      <c r="I348" s="177"/>
      <c r="J348" s="31"/>
      <c r="K348" s="1"/>
      <c r="L348" s="120"/>
      <c r="M348" s="121"/>
      <c r="N348" s="121"/>
      <c r="O348" s="118"/>
      <c r="P348" s="118"/>
      <c r="Q348" s="31"/>
      <c r="R348" s="122"/>
      <c r="S348" s="121"/>
      <c r="T348" s="122"/>
      <c r="U348" s="121"/>
      <c r="V348" s="123"/>
      <c r="W348" s="124"/>
      <c r="X348" s="178"/>
      <c r="Y348" s="126"/>
      <c r="Z348" s="126"/>
      <c r="AB348" s="31"/>
      <c r="AC348" s="31"/>
      <c r="AD348" s="31"/>
      <c r="AE348" s="1"/>
    </row>
    <row r="349">
      <c r="A349" s="104"/>
      <c r="C349" s="128"/>
      <c r="D349" s="74"/>
      <c r="E349" s="1"/>
      <c r="F349" s="1"/>
      <c r="G349" s="1"/>
      <c r="H349" s="118"/>
      <c r="I349" s="177"/>
      <c r="J349" s="31"/>
      <c r="K349" s="1"/>
      <c r="L349" s="120"/>
      <c r="M349" s="121"/>
      <c r="N349" s="121"/>
      <c r="O349" s="118"/>
      <c r="P349" s="118"/>
      <c r="Q349" s="31"/>
      <c r="R349" s="122"/>
      <c r="S349" s="121"/>
      <c r="T349" s="122"/>
      <c r="U349" s="121"/>
      <c r="V349" s="123"/>
      <c r="W349" s="124"/>
      <c r="X349" s="178"/>
      <c r="Y349" s="126"/>
      <c r="Z349" s="126"/>
      <c r="AB349" s="31"/>
      <c r="AC349" s="31"/>
      <c r="AD349" s="31"/>
      <c r="AE349" s="1"/>
    </row>
    <row r="350">
      <c r="A350" s="104"/>
      <c r="C350" s="128"/>
      <c r="D350" s="74"/>
      <c r="E350" s="1"/>
      <c r="F350" s="1"/>
      <c r="G350" s="1"/>
      <c r="H350" s="118"/>
      <c r="I350" s="177"/>
      <c r="J350" s="31"/>
      <c r="K350" s="1"/>
      <c r="L350" s="120"/>
      <c r="M350" s="121"/>
      <c r="N350" s="121"/>
      <c r="O350" s="118"/>
      <c r="P350" s="118"/>
      <c r="Q350" s="31"/>
      <c r="R350" s="122"/>
      <c r="S350" s="121"/>
      <c r="T350" s="122"/>
      <c r="U350" s="121"/>
      <c r="V350" s="123"/>
      <c r="W350" s="124"/>
      <c r="X350" s="178"/>
      <c r="Y350" s="126"/>
      <c r="Z350" s="126"/>
      <c r="AB350" s="31"/>
      <c r="AC350" s="31"/>
      <c r="AD350" s="31"/>
      <c r="AE350" s="1"/>
    </row>
    <row r="351">
      <c r="A351" s="104"/>
      <c r="C351" s="128"/>
      <c r="D351" s="74"/>
      <c r="E351" s="1"/>
      <c r="F351" s="1"/>
      <c r="G351" s="1"/>
      <c r="H351" s="118"/>
      <c r="I351" s="177"/>
      <c r="J351" s="31"/>
      <c r="K351" s="1"/>
      <c r="L351" s="120"/>
      <c r="M351" s="121"/>
      <c r="N351" s="121"/>
      <c r="O351" s="118"/>
      <c r="P351" s="118"/>
      <c r="Q351" s="31"/>
      <c r="R351" s="122"/>
      <c r="S351" s="121"/>
      <c r="T351" s="122"/>
      <c r="U351" s="121"/>
      <c r="V351" s="123"/>
      <c r="W351" s="124"/>
      <c r="X351" s="178"/>
      <c r="Y351" s="126"/>
      <c r="Z351" s="126"/>
      <c r="AB351" s="31"/>
      <c r="AC351" s="31"/>
      <c r="AD351" s="31"/>
      <c r="AE351" s="1"/>
    </row>
    <row r="352">
      <c r="A352" s="104"/>
      <c r="C352" s="128"/>
      <c r="D352" s="74"/>
      <c r="E352" s="1"/>
      <c r="F352" s="1"/>
      <c r="G352" s="1"/>
      <c r="H352" s="118"/>
      <c r="I352" s="177"/>
      <c r="J352" s="31"/>
      <c r="K352" s="1"/>
      <c r="L352" s="120"/>
      <c r="M352" s="121"/>
      <c r="N352" s="121"/>
      <c r="O352" s="118"/>
      <c r="P352" s="118"/>
      <c r="Q352" s="31"/>
      <c r="R352" s="122"/>
      <c r="S352" s="121"/>
      <c r="T352" s="122"/>
      <c r="U352" s="121"/>
      <c r="V352" s="123"/>
      <c r="W352" s="124"/>
      <c r="X352" s="178"/>
      <c r="Y352" s="126"/>
      <c r="Z352" s="126"/>
      <c r="AB352" s="31"/>
      <c r="AC352" s="31"/>
      <c r="AD352" s="31"/>
      <c r="AE352" s="1"/>
    </row>
    <row r="353">
      <c r="A353" s="104"/>
      <c r="C353" s="128"/>
      <c r="D353" s="74"/>
      <c r="E353" s="1"/>
      <c r="F353" s="1"/>
      <c r="G353" s="1"/>
      <c r="H353" s="118"/>
      <c r="I353" s="177"/>
      <c r="J353" s="31"/>
      <c r="K353" s="1"/>
      <c r="L353" s="120"/>
      <c r="M353" s="121"/>
      <c r="N353" s="121"/>
      <c r="O353" s="118"/>
      <c r="P353" s="118"/>
      <c r="Q353" s="31"/>
      <c r="R353" s="122"/>
      <c r="S353" s="121"/>
      <c r="T353" s="122"/>
      <c r="U353" s="121"/>
      <c r="V353" s="123"/>
      <c r="W353" s="124"/>
      <c r="X353" s="178"/>
      <c r="Y353" s="126"/>
      <c r="Z353" s="126"/>
      <c r="AB353" s="31"/>
      <c r="AC353" s="31"/>
      <c r="AD353" s="31"/>
      <c r="AE353" s="1"/>
    </row>
    <row r="354">
      <c r="A354" s="104"/>
      <c r="C354" s="128"/>
      <c r="D354" s="74"/>
      <c r="E354" s="1"/>
      <c r="F354" s="1"/>
      <c r="G354" s="1"/>
      <c r="H354" s="118"/>
      <c r="I354" s="177"/>
      <c r="J354" s="31"/>
      <c r="K354" s="1"/>
      <c r="L354" s="120"/>
      <c r="M354" s="121"/>
      <c r="N354" s="121"/>
      <c r="O354" s="118"/>
      <c r="P354" s="118"/>
      <c r="Q354" s="31"/>
      <c r="R354" s="122"/>
      <c r="S354" s="121"/>
      <c r="T354" s="122"/>
      <c r="U354" s="121"/>
      <c r="V354" s="123"/>
      <c r="W354" s="124"/>
      <c r="X354" s="178"/>
      <c r="Y354" s="126"/>
      <c r="Z354" s="126"/>
      <c r="AB354" s="31"/>
      <c r="AC354" s="31"/>
      <c r="AD354" s="31"/>
      <c r="AE354" s="1"/>
    </row>
    <row r="355">
      <c r="A355" s="104"/>
      <c r="C355" s="128"/>
      <c r="D355" s="74"/>
      <c r="E355" s="1"/>
      <c r="F355" s="1"/>
      <c r="G355" s="1"/>
      <c r="H355" s="118"/>
      <c r="I355" s="177"/>
      <c r="J355" s="31"/>
      <c r="K355" s="1"/>
      <c r="L355" s="120"/>
      <c r="M355" s="121"/>
      <c r="N355" s="121"/>
      <c r="O355" s="118"/>
      <c r="P355" s="118"/>
      <c r="Q355" s="31"/>
      <c r="R355" s="122"/>
      <c r="S355" s="121"/>
      <c r="T355" s="122"/>
      <c r="U355" s="121"/>
      <c r="V355" s="123"/>
      <c r="W355" s="124"/>
      <c r="X355" s="178"/>
      <c r="Y355" s="126"/>
      <c r="Z355" s="126"/>
      <c r="AB355" s="31"/>
      <c r="AC355" s="31"/>
      <c r="AD355" s="31"/>
      <c r="AE355" s="1"/>
    </row>
    <row r="356">
      <c r="A356" s="104"/>
      <c r="C356" s="128"/>
      <c r="D356" s="74"/>
      <c r="E356" s="1"/>
      <c r="F356" s="1"/>
      <c r="G356" s="1"/>
      <c r="H356" s="118"/>
      <c r="I356" s="177"/>
      <c r="J356" s="31"/>
      <c r="K356" s="1"/>
      <c r="L356" s="120"/>
      <c r="M356" s="121"/>
      <c r="N356" s="121"/>
      <c r="O356" s="118"/>
      <c r="P356" s="118"/>
      <c r="Q356" s="31"/>
      <c r="R356" s="122"/>
      <c r="S356" s="121"/>
      <c r="T356" s="122"/>
      <c r="U356" s="121"/>
      <c r="V356" s="123"/>
      <c r="W356" s="124"/>
      <c r="X356" s="178"/>
      <c r="Y356" s="126"/>
      <c r="Z356" s="126"/>
      <c r="AB356" s="31"/>
      <c r="AC356" s="31"/>
      <c r="AD356" s="31"/>
      <c r="AE356" s="1"/>
    </row>
    <row r="357">
      <c r="A357" s="104"/>
      <c r="C357" s="128"/>
      <c r="D357" s="74"/>
      <c r="E357" s="1"/>
      <c r="F357" s="1"/>
      <c r="G357" s="1"/>
      <c r="H357" s="118"/>
      <c r="I357" s="177"/>
      <c r="J357" s="31"/>
      <c r="K357" s="1"/>
      <c r="L357" s="120"/>
      <c r="M357" s="121"/>
      <c r="N357" s="121"/>
      <c r="O357" s="118"/>
      <c r="P357" s="118"/>
      <c r="Q357" s="31"/>
      <c r="R357" s="122"/>
      <c r="S357" s="121"/>
      <c r="T357" s="122"/>
      <c r="U357" s="121"/>
      <c r="V357" s="123"/>
      <c r="W357" s="124"/>
      <c r="X357" s="178"/>
      <c r="Y357" s="126"/>
      <c r="Z357" s="126"/>
      <c r="AB357" s="31"/>
      <c r="AC357" s="31"/>
      <c r="AD357" s="31"/>
      <c r="AE357" s="1"/>
    </row>
    <row r="358">
      <c r="A358" s="104"/>
      <c r="C358" s="128"/>
      <c r="D358" s="74"/>
      <c r="E358" s="1"/>
      <c r="F358" s="1"/>
      <c r="G358" s="1"/>
      <c r="H358" s="118"/>
      <c r="I358" s="177"/>
      <c r="J358" s="31"/>
      <c r="K358" s="1"/>
      <c r="L358" s="120"/>
      <c r="M358" s="121"/>
      <c r="N358" s="121"/>
      <c r="O358" s="118"/>
      <c r="P358" s="118"/>
      <c r="Q358" s="31"/>
      <c r="R358" s="122"/>
      <c r="S358" s="121"/>
      <c r="T358" s="122"/>
      <c r="U358" s="121"/>
      <c r="V358" s="123"/>
      <c r="W358" s="124"/>
      <c r="X358" s="178"/>
      <c r="Y358" s="126"/>
      <c r="Z358" s="126"/>
      <c r="AB358" s="31"/>
      <c r="AC358" s="31"/>
      <c r="AD358" s="31"/>
      <c r="AE358" s="1"/>
    </row>
    <row r="359">
      <c r="A359" s="104"/>
      <c r="C359" s="128"/>
      <c r="D359" s="74"/>
      <c r="E359" s="1"/>
      <c r="F359" s="1"/>
      <c r="G359" s="1"/>
      <c r="H359" s="118"/>
      <c r="I359" s="177"/>
      <c r="J359" s="31"/>
      <c r="K359" s="1"/>
      <c r="L359" s="120"/>
      <c r="M359" s="121"/>
      <c r="N359" s="121"/>
      <c r="O359" s="118"/>
      <c r="P359" s="118"/>
      <c r="Q359" s="31"/>
      <c r="R359" s="122"/>
      <c r="S359" s="121"/>
      <c r="T359" s="122"/>
      <c r="U359" s="121"/>
      <c r="V359" s="123"/>
      <c r="W359" s="124"/>
      <c r="X359" s="178"/>
      <c r="Y359" s="126"/>
      <c r="Z359" s="126"/>
      <c r="AB359" s="31"/>
      <c r="AC359" s="31"/>
      <c r="AD359" s="31"/>
      <c r="AE359" s="1"/>
    </row>
    <row r="360">
      <c r="A360" s="104"/>
      <c r="C360" s="128"/>
      <c r="D360" s="74"/>
      <c r="E360" s="1"/>
      <c r="F360" s="1"/>
      <c r="G360" s="1"/>
      <c r="H360" s="118"/>
      <c r="I360" s="177"/>
      <c r="J360" s="31"/>
      <c r="K360" s="1"/>
      <c r="L360" s="120"/>
      <c r="M360" s="121"/>
      <c r="N360" s="121"/>
      <c r="O360" s="118"/>
      <c r="P360" s="118"/>
      <c r="Q360" s="31"/>
      <c r="R360" s="122"/>
      <c r="S360" s="121"/>
      <c r="T360" s="122"/>
      <c r="U360" s="121"/>
      <c r="V360" s="123"/>
      <c r="W360" s="124"/>
      <c r="X360" s="178"/>
      <c r="Y360" s="126"/>
      <c r="Z360" s="126"/>
      <c r="AB360" s="31"/>
      <c r="AC360" s="31"/>
      <c r="AD360" s="31"/>
      <c r="AE360" s="1"/>
    </row>
    <row r="361">
      <c r="A361" s="104"/>
      <c r="C361" s="128"/>
      <c r="D361" s="74"/>
      <c r="E361" s="1"/>
      <c r="F361" s="1"/>
      <c r="G361" s="1"/>
      <c r="H361" s="118"/>
      <c r="I361" s="177"/>
      <c r="J361" s="31"/>
      <c r="K361" s="1"/>
      <c r="L361" s="120"/>
      <c r="M361" s="121"/>
      <c r="N361" s="121"/>
      <c r="O361" s="118"/>
      <c r="P361" s="118"/>
      <c r="Q361" s="31"/>
      <c r="R361" s="122"/>
      <c r="S361" s="121"/>
      <c r="T361" s="122"/>
      <c r="U361" s="121"/>
      <c r="V361" s="123"/>
      <c r="W361" s="124"/>
      <c r="X361" s="178"/>
      <c r="Y361" s="126"/>
      <c r="Z361" s="126"/>
      <c r="AB361" s="31"/>
      <c r="AC361" s="31"/>
      <c r="AD361" s="31"/>
      <c r="AE361" s="1"/>
    </row>
    <row r="362">
      <c r="A362" s="104"/>
      <c r="C362" s="128"/>
      <c r="D362" s="74"/>
      <c r="E362" s="1"/>
      <c r="F362" s="1"/>
      <c r="G362" s="1"/>
      <c r="H362" s="118"/>
      <c r="I362" s="177"/>
      <c r="J362" s="31"/>
      <c r="K362" s="1"/>
      <c r="L362" s="120"/>
      <c r="M362" s="121"/>
      <c r="N362" s="121"/>
      <c r="O362" s="118"/>
      <c r="P362" s="118"/>
      <c r="Q362" s="31"/>
      <c r="R362" s="122"/>
      <c r="S362" s="121"/>
      <c r="T362" s="122"/>
      <c r="U362" s="121"/>
      <c r="V362" s="123"/>
      <c r="W362" s="124"/>
      <c r="X362" s="178"/>
      <c r="Y362" s="126"/>
      <c r="Z362" s="126"/>
      <c r="AB362" s="31"/>
      <c r="AC362" s="31"/>
      <c r="AD362" s="31"/>
      <c r="AE362" s="1"/>
    </row>
    <row r="363">
      <c r="A363" s="104"/>
      <c r="C363" s="128"/>
      <c r="D363" s="74"/>
      <c r="E363" s="1"/>
      <c r="F363" s="1"/>
      <c r="G363" s="1"/>
      <c r="H363" s="118"/>
      <c r="I363" s="177"/>
      <c r="J363" s="31"/>
      <c r="K363" s="1"/>
      <c r="L363" s="120"/>
      <c r="M363" s="121"/>
      <c r="N363" s="121"/>
      <c r="O363" s="118"/>
      <c r="P363" s="118"/>
      <c r="Q363" s="31"/>
      <c r="R363" s="122"/>
      <c r="S363" s="121"/>
      <c r="T363" s="122"/>
      <c r="U363" s="121"/>
      <c r="V363" s="123"/>
      <c r="W363" s="124"/>
      <c r="X363" s="178"/>
      <c r="Y363" s="126"/>
      <c r="Z363" s="126"/>
      <c r="AB363" s="31"/>
      <c r="AC363" s="31"/>
      <c r="AD363" s="31"/>
      <c r="AE363" s="1"/>
    </row>
    <row r="364">
      <c r="A364" s="104"/>
      <c r="C364" s="128"/>
      <c r="D364" s="74"/>
      <c r="E364" s="1"/>
      <c r="F364" s="1"/>
      <c r="G364" s="1"/>
      <c r="H364" s="118"/>
      <c r="I364" s="177"/>
      <c r="J364" s="31"/>
      <c r="K364" s="1"/>
      <c r="L364" s="120"/>
      <c r="M364" s="121"/>
      <c r="N364" s="121"/>
      <c r="O364" s="118"/>
      <c r="P364" s="118"/>
      <c r="Q364" s="31"/>
      <c r="R364" s="122"/>
      <c r="S364" s="121"/>
      <c r="T364" s="122"/>
      <c r="U364" s="121"/>
      <c r="V364" s="123"/>
      <c r="W364" s="124"/>
      <c r="X364" s="178"/>
      <c r="Y364" s="126"/>
      <c r="Z364" s="126"/>
      <c r="AB364" s="31"/>
      <c r="AC364" s="31"/>
      <c r="AD364" s="31"/>
      <c r="AE364" s="1"/>
    </row>
    <row r="365">
      <c r="A365" s="104"/>
      <c r="C365" s="128"/>
      <c r="D365" s="74"/>
      <c r="E365" s="1"/>
      <c r="F365" s="1"/>
      <c r="G365" s="1"/>
      <c r="H365" s="118"/>
      <c r="I365" s="177"/>
      <c r="J365" s="31"/>
      <c r="K365" s="1"/>
      <c r="L365" s="120"/>
      <c r="M365" s="121"/>
      <c r="N365" s="121"/>
      <c r="O365" s="118"/>
      <c r="P365" s="118"/>
      <c r="Q365" s="31"/>
      <c r="R365" s="122"/>
      <c r="S365" s="121"/>
      <c r="T365" s="122"/>
      <c r="U365" s="121"/>
      <c r="V365" s="123"/>
      <c r="W365" s="124"/>
      <c r="X365" s="178"/>
      <c r="Y365" s="126"/>
      <c r="Z365" s="126"/>
      <c r="AB365" s="31"/>
      <c r="AC365" s="31"/>
      <c r="AD365" s="31"/>
      <c r="AE365" s="1"/>
    </row>
    <row r="366">
      <c r="A366" s="104"/>
      <c r="C366" s="128"/>
      <c r="D366" s="74"/>
      <c r="E366" s="1"/>
      <c r="F366" s="1"/>
      <c r="G366" s="1"/>
      <c r="H366" s="118"/>
      <c r="I366" s="177"/>
      <c r="J366" s="31"/>
      <c r="K366" s="1"/>
      <c r="L366" s="120"/>
      <c r="M366" s="121"/>
      <c r="N366" s="121"/>
      <c r="O366" s="118"/>
      <c r="P366" s="118"/>
      <c r="Q366" s="31"/>
      <c r="R366" s="122"/>
      <c r="S366" s="121"/>
      <c r="T366" s="122"/>
      <c r="U366" s="121"/>
      <c r="V366" s="123"/>
      <c r="W366" s="124"/>
      <c r="X366" s="178"/>
      <c r="Y366" s="126"/>
      <c r="Z366" s="126"/>
      <c r="AB366" s="31"/>
      <c r="AC366" s="31"/>
      <c r="AD366" s="31"/>
      <c r="AE366" s="1"/>
    </row>
    <row r="367">
      <c r="A367" s="104"/>
      <c r="C367" s="128"/>
      <c r="D367" s="74"/>
      <c r="E367" s="1"/>
      <c r="F367" s="1"/>
      <c r="G367" s="1"/>
      <c r="H367" s="118"/>
      <c r="I367" s="177"/>
      <c r="J367" s="31"/>
      <c r="K367" s="1"/>
      <c r="L367" s="120"/>
      <c r="M367" s="121"/>
      <c r="N367" s="121"/>
      <c r="O367" s="118"/>
      <c r="P367" s="118"/>
      <c r="Q367" s="31"/>
      <c r="R367" s="122"/>
      <c r="S367" s="121"/>
      <c r="T367" s="122"/>
      <c r="U367" s="121"/>
      <c r="V367" s="123"/>
      <c r="W367" s="124"/>
      <c r="X367" s="178"/>
      <c r="Y367" s="126"/>
      <c r="Z367" s="126"/>
      <c r="AB367" s="31"/>
      <c r="AC367" s="31"/>
      <c r="AD367" s="31"/>
      <c r="AE367" s="1"/>
    </row>
    <row r="368">
      <c r="A368" s="104"/>
      <c r="C368" s="128"/>
      <c r="D368" s="74"/>
      <c r="E368" s="1"/>
      <c r="F368" s="1"/>
      <c r="G368" s="1"/>
      <c r="H368" s="118"/>
      <c r="I368" s="177"/>
      <c r="J368" s="31"/>
      <c r="K368" s="1"/>
      <c r="L368" s="120"/>
      <c r="M368" s="121"/>
      <c r="N368" s="121"/>
      <c r="O368" s="118"/>
      <c r="P368" s="118"/>
      <c r="Q368" s="31"/>
      <c r="R368" s="122"/>
      <c r="S368" s="121"/>
      <c r="T368" s="122"/>
      <c r="U368" s="121"/>
      <c r="V368" s="123"/>
      <c r="W368" s="124"/>
      <c r="X368" s="178"/>
      <c r="Y368" s="126"/>
      <c r="Z368" s="126"/>
      <c r="AB368" s="31"/>
      <c r="AC368" s="31"/>
      <c r="AD368" s="31"/>
      <c r="AE368" s="1"/>
    </row>
    <row r="369">
      <c r="A369" s="104"/>
      <c r="C369" s="128"/>
      <c r="D369" s="74"/>
      <c r="E369" s="1"/>
      <c r="F369" s="1"/>
      <c r="G369" s="1"/>
      <c r="H369" s="118"/>
      <c r="I369" s="177"/>
      <c r="J369" s="31"/>
      <c r="K369" s="1"/>
      <c r="L369" s="120"/>
      <c r="M369" s="121"/>
      <c r="N369" s="121"/>
      <c r="O369" s="118"/>
      <c r="P369" s="118"/>
      <c r="Q369" s="31"/>
      <c r="R369" s="122"/>
      <c r="S369" s="121"/>
      <c r="T369" s="122"/>
      <c r="U369" s="121"/>
      <c r="V369" s="123"/>
      <c r="W369" s="124"/>
      <c r="X369" s="178"/>
      <c r="Y369" s="126"/>
      <c r="Z369" s="126"/>
      <c r="AB369" s="31"/>
      <c r="AC369" s="31"/>
      <c r="AD369" s="31"/>
      <c r="AE369" s="1"/>
    </row>
    <row r="370">
      <c r="A370" s="104"/>
      <c r="C370" s="128"/>
      <c r="D370" s="74"/>
      <c r="E370" s="1"/>
      <c r="F370" s="1"/>
      <c r="G370" s="1"/>
      <c r="H370" s="118"/>
      <c r="I370" s="177"/>
      <c r="J370" s="31"/>
      <c r="K370" s="1"/>
      <c r="L370" s="120"/>
      <c r="M370" s="121"/>
      <c r="N370" s="121"/>
      <c r="O370" s="118"/>
      <c r="P370" s="118"/>
      <c r="Q370" s="31"/>
      <c r="R370" s="122"/>
      <c r="S370" s="121"/>
      <c r="T370" s="122"/>
      <c r="U370" s="121"/>
      <c r="V370" s="123"/>
      <c r="W370" s="124"/>
      <c r="X370" s="178"/>
      <c r="Y370" s="126"/>
      <c r="Z370" s="126"/>
      <c r="AB370" s="31"/>
      <c r="AC370" s="31"/>
      <c r="AD370" s="31"/>
      <c r="AE370" s="1"/>
    </row>
    <row r="371">
      <c r="A371" s="104"/>
      <c r="C371" s="128"/>
      <c r="D371" s="74"/>
      <c r="E371" s="1"/>
      <c r="F371" s="1"/>
      <c r="G371" s="1"/>
      <c r="H371" s="118"/>
      <c r="I371" s="177"/>
      <c r="J371" s="31"/>
      <c r="K371" s="1"/>
      <c r="L371" s="120"/>
      <c r="M371" s="121"/>
      <c r="N371" s="121"/>
      <c r="O371" s="118"/>
      <c r="P371" s="118"/>
      <c r="Q371" s="31"/>
      <c r="R371" s="122"/>
      <c r="S371" s="121"/>
      <c r="T371" s="122"/>
      <c r="U371" s="121"/>
      <c r="V371" s="123"/>
      <c r="W371" s="124"/>
      <c r="X371" s="178"/>
      <c r="Y371" s="126"/>
      <c r="Z371" s="126"/>
      <c r="AB371" s="31"/>
      <c r="AC371" s="31"/>
      <c r="AD371" s="31"/>
      <c r="AE371" s="1"/>
    </row>
    <row r="372">
      <c r="A372" s="104"/>
      <c r="C372" s="128"/>
      <c r="D372" s="74"/>
      <c r="E372" s="1"/>
      <c r="F372" s="1"/>
      <c r="G372" s="1"/>
      <c r="H372" s="118"/>
      <c r="I372" s="177"/>
      <c r="J372" s="31"/>
      <c r="K372" s="1"/>
      <c r="L372" s="120"/>
      <c r="M372" s="121"/>
      <c r="N372" s="121"/>
      <c r="O372" s="118"/>
      <c r="P372" s="118"/>
      <c r="Q372" s="31"/>
      <c r="R372" s="122"/>
      <c r="S372" s="121"/>
      <c r="T372" s="122"/>
      <c r="U372" s="121"/>
      <c r="V372" s="123"/>
      <c r="W372" s="124"/>
      <c r="X372" s="178"/>
      <c r="Y372" s="126"/>
      <c r="Z372" s="126"/>
      <c r="AB372" s="31"/>
      <c r="AC372" s="31"/>
      <c r="AD372" s="31"/>
      <c r="AE372" s="1"/>
    </row>
    <row r="373">
      <c r="A373" s="104"/>
      <c r="C373" s="128"/>
      <c r="D373" s="74"/>
      <c r="E373" s="1"/>
      <c r="F373" s="1"/>
      <c r="G373" s="1"/>
      <c r="H373" s="118"/>
      <c r="I373" s="177"/>
      <c r="J373" s="31"/>
      <c r="K373" s="1"/>
      <c r="L373" s="120"/>
      <c r="M373" s="121"/>
      <c r="N373" s="121"/>
      <c r="O373" s="118"/>
      <c r="P373" s="118"/>
      <c r="Q373" s="31"/>
      <c r="R373" s="122"/>
      <c r="S373" s="121"/>
      <c r="T373" s="122"/>
      <c r="U373" s="121"/>
      <c r="V373" s="123"/>
      <c r="W373" s="124"/>
      <c r="X373" s="178"/>
      <c r="Y373" s="126"/>
      <c r="Z373" s="126"/>
      <c r="AB373" s="31"/>
      <c r="AC373" s="31"/>
      <c r="AD373" s="31"/>
      <c r="AE373" s="1"/>
    </row>
    <row r="374">
      <c r="A374" s="104"/>
      <c r="C374" s="128"/>
      <c r="D374" s="74"/>
      <c r="E374" s="1"/>
      <c r="F374" s="1"/>
      <c r="G374" s="1"/>
      <c r="H374" s="118"/>
      <c r="I374" s="177"/>
      <c r="J374" s="31"/>
      <c r="K374" s="1"/>
      <c r="L374" s="120"/>
      <c r="M374" s="121"/>
      <c r="N374" s="121"/>
      <c r="O374" s="118"/>
      <c r="P374" s="118"/>
      <c r="Q374" s="31"/>
      <c r="R374" s="122"/>
      <c r="S374" s="121"/>
      <c r="T374" s="122"/>
      <c r="U374" s="121"/>
      <c r="V374" s="123"/>
      <c r="W374" s="124"/>
      <c r="X374" s="178"/>
      <c r="Y374" s="126"/>
      <c r="Z374" s="126"/>
      <c r="AB374" s="31"/>
      <c r="AC374" s="31"/>
      <c r="AD374" s="31"/>
      <c r="AE374" s="1"/>
    </row>
    <row r="375">
      <c r="A375" s="104"/>
      <c r="C375" s="128"/>
      <c r="D375" s="74"/>
      <c r="E375" s="1"/>
      <c r="F375" s="1"/>
      <c r="G375" s="1"/>
      <c r="H375" s="118"/>
      <c r="I375" s="177"/>
      <c r="J375" s="31"/>
      <c r="K375" s="1"/>
      <c r="L375" s="120"/>
      <c r="M375" s="121"/>
      <c r="N375" s="121"/>
      <c r="O375" s="118"/>
      <c r="P375" s="118"/>
      <c r="Q375" s="31"/>
      <c r="R375" s="122"/>
      <c r="S375" s="121"/>
      <c r="T375" s="122"/>
      <c r="U375" s="121"/>
      <c r="V375" s="123"/>
      <c r="W375" s="124"/>
      <c r="X375" s="178"/>
      <c r="Y375" s="126"/>
      <c r="Z375" s="126"/>
      <c r="AB375" s="31"/>
      <c r="AC375" s="31"/>
      <c r="AD375" s="31"/>
      <c r="AE375" s="1"/>
    </row>
    <row r="376">
      <c r="A376" s="104"/>
      <c r="C376" s="128"/>
      <c r="D376" s="74"/>
      <c r="E376" s="1"/>
      <c r="F376" s="1"/>
      <c r="G376" s="1"/>
      <c r="H376" s="118"/>
      <c r="I376" s="177"/>
      <c r="J376" s="31"/>
      <c r="K376" s="1"/>
      <c r="L376" s="120"/>
      <c r="M376" s="121"/>
      <c r="N376" s="121"/>
      <c r="O376" s="118"/>
      <c r="P376" s="118"/>
      <c r="Q376" s="31"/>
      <c r="R376" s="122"/>
      <c r="S376" s="121"/>
      <c r="T376" s="122"/>
      <c r="U376" s="121"/>
      <c r="V376" s="123"/>
      <c r="W376" s="124"/>
      <c r="X376" s="178"/>
      <c r="Y376" s="126"/>
      <c r="Z376" s="126"/>
      <c r="AB376" s="31"/>
      <c r="AC376" s="31"/>
      <c r="AD376" s="31"/>
      <c r="AE376" s="1"/>
    </row>
    <row r="377">
      <c r="A377" s="104"/>
      <c r="C377" s="128"/>
      <c r="D377" s="74"/>
      <c r="E377" s="1"/>
      <c r="F377" s="1"/>
      <c r="G377" s="1"/>
      <c r="H377" s="118"/>
      <c r="I377" s="177"/>
      <c r="J377" s="31"/>
      <c r="K377" s="1"/>
      <c r="L377" s="120"/>
      <c r="M377" s="121"/>
      <c r="N377" s="121"/>
      <c r="O377" s="118"/>
      <c r="P377" s="118"/>
      <c r="Q377" s="31"/>
      <c r="R377" s="122"/>
      <c r="S377" s="121"/>
      <c r="T377" s="122"/>
      <c r="U377" s="121"/>
      <c r="V377" s="123"/>
      <c r="W377" s="124"/>
      <c r="X377" s="178"/>
      <c r="Y377" s="126"/>
      <c r="Z377" s="126"/>
      <c r="AB377" s="31"/>
      <c r="AC377" s="31"/>
      <c r="AD377" s="31"/>
      <c r="AE377" s="1"/>
    </row>
    <row r="378">
      <c r="A378" s="104"/>
      <c r="C378" s="128"/>
      <c r="D378" s="74"/>
      <c r="E378" s="1"/>
      <c r="F378" s="1"/>
      <c r="G378" s="1"/>
      <c r="H378" s="118"/>
      <c r="I378" s="177"/>
      <c r="J378" s="31"/>
      <c r="K378" s="1"/>
      <c r="L378" s="120"/>
      <c r="M378" s="121"/>
      <c r="N378" s="121"/>
      <c r="O378" s="118"/>
      <c r="P378" s="118"/>
      <c r="Q378" s="31"/>
      <c r="R378" s="122"/>
      <c r="S378" s="121"/>
      <c r="T378" s="122"/>
      <c r="U378" s="121"/>
      <c r="V378" s="123"/>
      <c r="W378" s="124"/>
      <c r="X378" s="178"/>
      <c r="Y378" s="126"/>
      <c r="Z378" s="126"/>
      <c r="AB378" s="31"/>
      <c r="AC378" s="31"/>
      <c r="AD378" s="31"/>
      <c r="AE378" s="1"/>
    </row>
    <row r="379">
      <c r="A379" s="104"/>
      <c r="C379" s="128"/>
      <c r="D379" s="74"/>
      <c r="E379" s="1"/>
      <c r="F379" s="1"/>
      <c r="G379" s="1"/>
      <c r="H379" s="118"/>
      <c r="I379" s="177"/>
      <c r="J379" s="31"/>
      <c r="K379" s="1"/>
      <c r="L379" s="120"/>
      <c r="M379" s="121"/>
      <c r="N379" s="121"/>
      <c r="O379" s="118"/>
      <c r="P379" s="118"/>
      <c r="Q379" s="31"/>
      <c r="R379" s="122"/>
      <c r="S379" s="121"/>
      <c r="T379" s="122"/>
      <c r="U379" s="121"/>
      <c r="V379" s="123"/>
      <c r="W379" s="124"/>
      <c r="X379" s="178"/>
      <c r="Y379" s="126"/>
      <c r="Z379" s="126"/>
      <c r="AB379" s="31"/>
      <c r="AC379" s="31"/>
      <c r="AD379" s="31"/>
      <c r="AE379" s="1"/>
    </row>
    <row r="380">
      <c r="A380" s="104"/>
      <c r="C380" s="128"/>
      <c r="D380" s="74"/>
      <c r="E380" s="1"/>
      <c r="F380" s="1"/>
      <c r="G380" s="1"/>
      <c r="H380" s="118"/>
      <c r="I380" s="177"/>
      <c r="J380" s="31"/>
      <c r="K380" s="1"/>
      <c r="L380" s="120"/>
      <c r="M380" s="121"/>
      <c r="N380" s="121"/>
      <c r="O380" s="118"/>
      <c r="P380" s="118"/>
      <c r="Q380" s="31"/>
      <c r="R380" s="122"/>
      <c r="S380" s="121"/>
      <c r="T380" s="122"/>
      <c r="U380" s="121"/>
      <c r="V380" s="123"/>
      <c r="W380" s="124"/>
      <c r="X380" s="178"/>
      <c r="Y380" s="126"/>
      <c r="Z380" s="126"/>
      <c r="AB380" s="31"/>
      <c r="AC380" s="31"/>
      <c r="AD380" s="31"/>
      <c r="AE380" s="1"/>
    </row>
    <row r="381">
      <c r="A381" s="104"/>
      <c r="C381" s="128"/>
      <c r="D381" s="74"/>
      <c r="E381" s="1"/>
      <c r="F381" s="1"/>
      <c r="G381" s="1"/>
      <c r="H381" s="118"/>
      <c r="I381" s="177"/>
      <c r="J381" s="31"/>
      <c r="K381" s="1"/>
      <c r="L381" s="120"/>
      <c r="M381" s="121"/>
      <c r="N381" s="121"/>
      <c r="O381" s="118"/>
      <c r="P381" s="118"/>
      <c r="Q381" s="31"/>
      <c r="R381" s="122"/>
      <c r="S381" s="121"/>
      <c r="T381" s="122"/>
      <c r="U381" s="121"/>
      <c r="V381" s="123"/>
      <c r="W381" s="124"/>
      <c r="X381" s="178"/>
      <c r="Y381" s="126"/>
      <c r="Z381" s="126"/>
      <c r="AB381" s="31"/>
      <c r="AC381" s="31"/>
      <c r="AD381" s="31"/>
      <c r="AE381" s="1"/>
    </row>
    <row r="382">
      <c r="A382" s="104"/>
      <c r="C382" s="128"/>
      <c r="D382" s="74"/>
      <c r="E382" s="1"/>
      <c r="F382" s="1"/>
      <c r="G382" s="1"/>
      <c r="H382" s="118"/>
      <c r="I382" s="177"/>
      <c r="J382" s="31"/>
      <c r="K382" s="1"/>
      <c r="L382" s="120"/>
      <c r="M382" s="121"/>
      <c r="N382" s="121"/>
      <c r="O382" s="118"/>
      <c r="P382" s="118"/>
      <c r="Q382" s="31"/>
      <c r="R382" s="122"/>
      <c r="S382" s="121"/>
      <c r="T382" s="122"/>
      <c r="U382" s="121"/>
      <c r="V382" s="123"/>
      <c r="W382" s="124"/>
      <c r="X382" s="178"/>
      <c r="Y382" s="126"/>
      <c r="Z382" s="126"/>
      <c r="AB382" s="31"/>
      <c r="AC382" s="31"/>
      <c r="AD382" s="31"/>
      <c r="AE382" s="1"/>
    </row>
    <row r="383">
      <c r="A383" s="104"/>
      <c r="C383" s="128"/>
      <c r="D383" s="74"/>
      <c r="E383" s="1"/>
      <c r="F383" s="1"/>
      <c r="G383" s="1"/>
      <c r="H383" s="118"/>
      <c r="I383" s="177"/>
      <c r="J383" s="31"/>
      <c r="K383" s="1"/>
      <c r="L383" s="120"/>
      <c r="M383" s="121"/>
      <c r="N383" s="121"/>
      <c r="O383" s="118"/>
      <c r="P383" s="118"/>
      <c r="Q383" s="31"/>
      <c r="R383" s="122"/>
      <c r="S383" s="121"/>
      <c r="T383" s="122"/>
      <c r="U383" s="121"/>
      <c r="V383" s="123"/>
      <c r="W383" s="124"/>
      <c r="X383" s="178"/>
      <c r="Y383" s="126"/>
      <c r="Z383" s="126"/>
      <c r="AB383" s="31"/>
      <c r="AC383" s="31"/>
      <c r="AD383" s="31"/>
      <c r="AE383" s="1"/>
    </row>
    <row r="384">
      <c r="A384" s="104"/>
      <c r="C384" s="128"/>
      <c r="D384" s="74"/>
      <c r="E384" s="1"/>
      <c r="F384" s="1"/>
      <c r="G384" s="1"/>
      <c r="H384" s="118"/>
      <c r="I384" s="177"/>
      <c r="J384" s="31"/>
      <c r="K384" s="1"/>
      <c r="L384" s="120"/>
      <c r="M384" s="121"/>
      <c r="N384" s="121"/>
      <c r="O384" s="118"/>
      <c r="P384" s="118"/>
      <c r="Q384" s="31"/>
      <c r="R384" s="122"/>
      <c r="S384" s="121"/>
      <c r="T384" s="122"/>
      <c r="U384" s="121"/>
      <c r="V384" s="123"/>
      <c r="W384" s="124"/>
      <c r="X384" s="178"/>
      <c r="Y384" s="126"/>
      <c r="Z384" s="126"/>
      <c r="AB384" s="31"/>
      <c r="AC384" s="31"/>
      <c r="AD384" s="31"/>
      <c r="AE384" s="1"/>
    </row>
    <row r="385">
      <c r="A385" s="104"/>
      <c r="C385" s="128"/>
      <c r="D385" s="74"/>
      <c r="E385" s="1"/>
      <c r="F385" s="1"/>
      <c r="G385" s="1"/>
      <c r="H385" s="118"/>
      <c r="I385" s="177"/>
      <c r="J385" s="31"/>
      <c r="K385" s="1"/>
      <c r="L385" s="120"/>
      <c r="M385" s="121"/>
      <c r="N385" s="121"/>
      <c r="O385" s="118"/>
      <c r="P385" s="118"/>
      <c r="Q385" s="31"/>
      <c r="R385" s="122"/>
      <c r="S385" s="121"/>
      <c r="T385" s="122"/>
      <c r="U385" s="121"/>
      <c r="V385" s="123"/>
      <c r="W385" s="124"/>
      <c r="X385" s="178"/>
      <c r="Y385" s="126"/>
      <c r="Z385" s="126"/>
      <c r="AB385" s="31"/>
      <c r="AC385" s="31"/>
      <c r="AD385" s="31"/>
      <c r="AE385" s="1"/>
    </row>
    <row r="386">
      <c r="A386" s="104"/>
      <c r="C386" s="128"/>
      <c r="D386" s="74"/>
      <c r="E386" s="1"/>
      <c r="F386" s="1"/>
      <c r="G386" s="1"/>
      <c r="H386" s="118"/>
      <c r="I386" s="177"/>
      <c r="J386" s="31"/>
      <c r="K386" s="1"/>
      <c r="L386" s="120"/>
      <c r="M386" s="121"/>
      <c r="N386" s="121"/>
      <c r="O386" s="118"/>
      <c r="P386" s="118"/>
      <c r="Q386" s="31"/>
      <c r="R386" s="122"/>
      <c r="S386" s="121"/>
      <c r="T386" s="122"/>
      <c r="U386" s="121"/>
      <c r="V386" s="123"/>
      <c r="W386" s="124"/>
      <c r="X386" s="178"/>
      <c r="Y386" s="126"/>
      <c r="Z386" s="126"/>
      <c r="AB386" s="31"/>
      <c r="AC386" s="31"/>
      <c r="AD386" s="31"/>
      <c r="AE386" s="1"/>
    </row>
    <row r="387">
      <c r="A387" s="104"/>
      <c r="C387" s="128"/>
      <c r="D387" s="74"/>
      <c r="E387" s="1"/>
      <c r="F387" s="1"/>
      <c r="G387" s="1"/>
      <c r="H387" s="118"/>
      <c r="I387" s="177"/>
      <c r="J387" s="31"/>
      <c r="K387" s="1"/>
      <c r="L387" s="120"/>
      <c r="M387" s="121"/>
      <c r="N387" s="121"/>
      <c r="O387" s="118"/>
      <c r="P387" s="118"/>
      <c r="Q387" s="31"/>
      <c r="R387" s="122"/>
      <c r="S387" s="121"/>
      <c r="T387" s="122"/>
      <c r="U387" s="121"/>
      <c r="V387" s="123"/>
      <c r="W387" s="124"/>
      <c r="X387" s="178"/>
      <c r="Y387" s="126"/>
      <c r="Z387" s="126"/>
      <c r="AB387" s="31"/>
      <c r="AC387" s="31"/>
      <c r="AD387" s="31"/>
      <c r="AE387" s="1"/>
    </row>
    <row r="388">
      <c r="A388" s="104"/>
      <c r="C388" s="128"/>
      <c r="D388" s="74"/>
      <c r="E388" s="1"/>
      <c r="F388" s="1"/>
      <c r="G388" s="1"/>
      <c r="H388" s="118"/>
      <c r="I388" s="177"/>
      <c r="J388" s="31"/>
      <c r="K388" s="1"/>
      <c r="L388" s="120"/>
      <c r="M388" s="121"/>
      <c r="N388" s="121"/>
      <c r="O388" s="118"/>
      <c r="P388" s="118"/>
      <c r="Q388" s="31"/>
      <c r="R388" s="122"/>
      <c r="S388" s="121"/>
      <c r="T388" s="122"/>
      <c r="U388" s="121"/>
      <c r="V388" s="123"/>
      <c r="W388" s="124"/>
      <c r="X388" s="178"/>
      <c r="Y388" s="126"/>
      <c r="Z388" s="126"/>
      <c r="AB388" s="31"/>
      <c r="AC388" s="31"/>
      <c r="AD388" s="31"/>
      <c r="AE388" s="1"/>
    </row>
    <row r="389">
      <c r="A389" s="104"/>
      <c r="C389" s="128"/>
      <c r="D389" s="74"/>
      <c r="E389" s="1"/>
      <c r="F389" s="1"/>
      <c r="G389" s="1"/>
      <c r="H389" s="118"/>
      <c r="I389" s="177"/>
      <c r="J389" s="31"/>
      <c r="K389" s="1"/>
      <c r="L389" s="120"/>
      <c r="M389" s="121"/>
      <c r="N389" s="121"/>
      <c r="O389" s="118"/>
      <c r="P389" s="118"/>
      <c r="Q389" s="31"/>
      <c r="R389" s="122"/>
      <c r="S389" s="121"/>
      <c r="T389" s="122"/>
      <c r="U389" s="121"/>
      <c r="V389" s="123"/>
      <c r="W389" s="124"/>
      <c r="X389" s="178"/>
      <c r="Y389" s="126"/>
      <c r="Z389" s="126"/>
      <c r="AB389" s="31"/>
      <c r="AC389" s="31"/>
      <c r="AD389" s="31"/>
      <c r="AE389" s="1"/>
    </row>
    <row r="390">
      <c r="A390" s="104"/>
      <c r="C390" s="128"/>
      <c r="D390" s="74"/>
      <c r="E390" s="1"/>
      <c r="F390" s="1"/>
      <c r="G390" s="1"/>
      <c r="H390" s="118"/>
      <c r="I390" s="177"/>
      <c r="J390" s="31"/>
      <c r="K390" s="1"/>
      <c r="L390" s="120"/>
      <c r="M390" s="121"/>
      <c r="N390" s="121"/>
      <c r="O390" s="118"/>
      <c r="P390" s="118"/>
      <c r="Q390" s="31"/>
      <c r="R390" s="122"/>
      <c r="S390" s="121"/>
      <c r="T390" s="122"/>
      <c r="U390" s="121"/>
      <c r="V390" s="123"/>
      <c r="W390" s="124"/>
      <c r="X390" s="178"/>
      <c r="Y390" s="126"/>
      <c r="Z390" s="126"/>
      <c r="AB390" s="31"/>
      <c r="AC390" s="31"/>
      <c r="AD390" s="31"/>
      <c r="AE390" s="1"/>
    </row>
    <row r="391">
      <c r="A391" s="104"/>
      <c r="C391" s="128"/>
      <c r="D391" s="74"/>
      <c r="E391" s="1"/>
      <c r="F391" s="1"/>
      <c r="G391" s="1"/>
      <c r="H391" s="118"/>
      <c r="I391" s="177"/>
      <c r="J391" s="31"/>
      <c r="K391" s="1"/>
      <c r="L391" s="120"/>
      <c r="M391" s="121"/>
      <c r="N391" s="121"/>
      <c r="O391" s="118"/>
      <c r="P391" s="118"/>
      <c r="Q391" s="31"/>
      <c r="R391" s="122"/>
      <c r="S391" s="121"/>
      <c r="T391" s="122"/>
      <c r="U391" s="121"/>
      <c r="V391" s="123"/>
      <c r="W391" s="124"/>
      <c r="X391" s="178"/>
      <c r="Y391" s="126"/>
      <c r="Z391" s="126"/>
      <c r="AB391" s="31"/>
      <c r="AC391" s="31"/>
      <c r="AD391" s="31"/>
      <c r="AE391" s="1"/>
    </row>
    <row r="392">
      <c r="A392" s="104"/>
      <c r="C392" s="128"/>
      <c r="D392" s="74"/>
      <c r="E392" s="1"/>
      <c r="F392" s="1"/>
      <c r="G392" s="1"/>
      <c r="H392" s="118"/>
      <c r="I392" s="177"/>
      <c r="J392" s="31"/>
      <c r="K392" s="1"/>
      <c r="L392" s="120"/>
      <c r="M392" s="121"/>
      <c r="N392" s="121"/>
      <c r="O392" s="118"/>
      <c r="P392" s="118"/>
      <c r="Q392" s="31"/>
      <c r="R392" s="122"/>
      <c r="S392" s="121"/>
      <c r="T392" s="122"/>
      <c r="U392" s="121"/>
      <c r="V392" s="123"/>
      <c r="W392" s="124"/>
      <c r="X392" s="178"/>
      <c r="Y392" s="126"/>
      <c r="Z392" s="126"/>
      <c r="AB392" s="31"/>
      <c r="AC392" s="31"/>
      <c r="AD392" s="31"/>
      <c r="AE392" s="1"/>
    </row>
    <row r="393">
      <c r="A393" s="104"/>
      <c r="C393" s="128"/>
      <c r="D393" s="74"/>
      <c r="E393" s="1"/>
      <c r="F393" s="1"/>
      <c r="G393" s="1"/>
      <c r="H393" s="118"/>
      <c r="I393" s="177"/>
      <c r="J393" s="31"/>
      <c r="K393" s="1"/>
      <c r="L393" s="120"/>
      <c r="M393" s="121"/>
      <c r="N393" s="121"/>
      <c r="O393" s="118"/>
      <c r="P393" s="118"/>
      <c r="Q393" s="31"/>
      <c r="R393" s="122"/>
      <c r="S393" s="121"/>
      <c r="T393" s="122"/>
      <c r="U393" s="121"/>
      <c r="V393" s="123"/>
      <c r="W393" s="124"/>
      <c r="X393" s="178"/>
      <c r="Y393" s="126"/>
      <c r="Z393" s="126"/>
      <c r="AB393" s="31"/>
      <c r="AC393" s="31"/>
      <c r="AD393" s="31"/>
      <c r="AE393" s="1"/>
    </row>
    <row r="394">
      <c r="A394" s="104"/>
      <c r="C394" s="128"/>
      <c r="D394" s="74"/>
      <c r="E394" s="1"/>
      <c r="F394" s="1"/>
      <c r="G394" s="1"/>
      <c r="H394" s="118"/>
      <c r="I394" s="177"/>
      <c r="J394" s="31"/>
      <c r="K394" s="1"/>
      <c r="L394" s="120"/>
      <c r="M394" s="121"/>
      <c r="N394" s="121"/>
      <c r="O394" s="118"/>
      <c r="P394" s="118"/>
      <c r="Q394" s="31"/>
      <c r="R394" s="122"/>
      <c r="S394" s="121"/>
      <c r="T394" s="122"/>
      <c r="U394" s="121"/>
      <c r="V394" s="123"/>
      <c r="W394" s="124"/>
      <c r="X394" s="178"/>
      <c r="Y394" s="126"/>
      <c r="Z394" s="126"/>
      <c r="AB394" s="31"/>
      <c r="AC394" s="31"/>
      <c r="AD394" s="31"/>
      <c r="AE394" s="1"/>
    </row>
    <row r="395">
      <c r="A395" s="104"/>
      <c r="C395" s="128"/>
      <c r="D395" s="74"/>
      <c r="E395" s="1"/>
      <c r="F395" s="1"/>
      <c r="G395" s="1"/>
      <c r="H395" s="118"/>
      <c r="I395" s="177"/>
      <c r="J395" s="31"/>
      <c r="K395" s="1"/>
      <c r="L395" s="120"/>
      <c r="M395" s="121"/>
      <c r="N395" s="121"/>
      <c r="O395" s="118"/>
      <c r="P395" s="118"/>
      <c r="Q395" s="31"/>
      <c r="R395" s="122"/>
      <c r="S395" s="121"/>
      <c r="T395" s="122"/>
      <c r="U395" s="121"/>
      <c r="V395" s="123"/>
      <c r="W395" s="124"/>
      <c r="X395" s="178"/>
      <c r="Y395" s="126"/>
      <c r="Z395" s="126"/>
      <c r="AB395" s="31"/>
      <c r="AC395" s="31"/>
      <c r="AD395" s="31"/>
      <c r="AE395" s="1"/>
    </row>
    <row r="396">
      <c r="A396" s="104"/>
      <c r="C396" s="128"/>
      <c r="D396" s="74"/>
      <c r="E396" s="1"/>
      <c r="F396" s="1"/>
      <c r="G396" s="1"/>
      <c r="H396" s="118"/>
      <c r="I396" s="177"/>
      <c r="J396" s="31"/>
      <c r="K396" s="1"/>
      <c r="L396" s="120"/>
      <c r="M396" s="121"/>
      <c r="N396" s="121"/>
      <c r="O396" s="118"/>
      <c r="P396" s="118"/>
      <c r="Q396" s="31"/>
      <c r="R396" s="122"/>
      <c r="S396" s="121"/>
      <c r="T396" s="122"/>
      <c r="U396" s="121"/>
      <c r="V396" s="123"/>
      <c r="W396" s="124"/>
      <c r="X396" s="178"/>
      <c r="Y396" s="126"/>
      <c r="Z396" s="126"/>
      <c r="AB396" s="31"/>
      <c r="AC396" s="31"/>
      <c r="AD396" s="31"/>
      <c r="AE396" s="1"/>
    </row>
    <row r="397">
      <c r="A397" s="104"/>
      <c r="C397" s="128"/>
      <c r="D397" s="74"/>
      <c r="E397" s="1"/>
      <c r="F397" s="1"/>
      <c r="G397" s="1"/>
      <c r="H397" s="118"/>
      <c r="I397" s="177"/>
      <c r="J397" s="31"/>
      <c r="K397" s="1"/>
      <c r="L397" s="120"/>
      <c r="M397" s="121"/>
      <c r="N397" s="121"/>
      <c r="O397" s="118"/>
      <c r="P397" s="118"/>
      <c r="Q397" s="31"/>
      <c r="R397" s="122"/>
      <c r="S397" s="121"/>
      <c r="T397" s="122"/>
      <c r="U397" s="121"/>
      <c r="V397" s="123"/>
      <c r="W397" s="124"/>
      <c r="X397" s="178"/>
      <c r="Y397" s="126"/>
      <c r="Z397" s="126"/>
      <c r="AB397" s="31"/>
      <c r="AC397" s="31"/>
      <c r="AD397" s="31"/>
      <c r="AE397" s="1"/>
    </row>
    <row r="398">
      <c r="A398" s="104"/>
      <c r="C398" s="128"/>
      <c r="D398" s="74"/>
      <c r="E398" s="1"/>
      <c r="F398" s="1"/>
      <c r="G398" s="1"/>
      <c r="H398" s="118"/>
      <c r="I398" s="177"/>
      <c r="J398" s="31"/>
      <c r="K398" s="1"/>
      <c r="L398" s="120"/>
      <c r="M398" s="121"/>
      <c r="N398" s="121"/>
      <c r="O398" s="118"/>
      <c r="P398" s="118"/>
      <c r="Q398" s="31"/>
      <c r="R398" s="122"/>
      <c r="S398" s="121"/>
      <c r="T398" s="122"/>
      <c r="U398" s="121"/>
      <c r="V398" s="123"/>
      <c r="W398" s="124"/>
      <c r="X398" s="178"/>
      <c r="Y398" s="126"/>
      <c r="Z398" s="126"/>
      <c r="AB398" s="31"/>
      <c r="AC398" s="31"/>
      <c r="AD398" s="31"/>
      <c r="AE398" s="1"/>
    </row>
    <row r="399">
      <c r="A399" s="104"/>
      <c r="C399" s="128"/>
      <c r="D399" s="74"/>
      <c r="E399" s="1"/>
      <c r="F399" s="1"/>
      <c r="G399" s="1"/>
      <c r="H399" s="118"/>
      <c r="I399" s="177"/>
      <c r="J399" s="31"/>
      <c r="K399" s="1"/>
      <c r="L399" s="120"/>
      <c r="M399" s="121"/>
      <c r="N399" s="121"/>
      <c r="O399" s="118"/>
      <c r="P399" s="118"/>
      <c r="Q399" s="31"/>
      <c r="R399" s="122"/>
      <c r="S399" s="121"/>
      <c r="T399" s="122"/>
      <c r="U399" s="121"/>
      <c r="V399" s="123"/>
      <c r="W399" s="124"/>
      <c r="X399" s="178"/>
      <c r="Y399" s="126"/>
      <c r="Z399" s="126"/>
      <c r="AB399" s="31"/>
      <c r="AC399" s="31"/>
      <c r="AD399" s="31"/>
      <c r="AE399" s="1"/>
    </row>
    <row r="400">
      <c r="A400" s="104"/>
      <c r="C400" s="128"/>
      <c r="D400" s="74"/>
      <c r="E400" s="1"/>
      <c r="F400" s="1"/>
      <c r="G400" s="1"/>
      <c r="H400" s="118"/>
      <c r="I400" s="177"/>
      <c r="J400" s="31"/>
      <c r="K400" s="1"/>
      <c r="L400" s="120"/>
      <c r="M400" s="121"/>
      <c r="N400" s="121"/>
      <c r="O400" s="118"/>
      <c r="P400" s="118"/>
      <c r="Q400" s="31"/>
      <c r="R400" s="122"/>
      <c r="S400" s="121"/>
      <c r="T400" s="122"/>
      <c r="U400" s="121"/>
      <c r="V400" s="123"/>
      <c r="W400" s="124"/>
      <c r="X400" s="178"/>
      <c r="Y400" s="126"/>
      <c r="Z400" s="126"/>
      <c r="AB400" s="31"/>
      <c r="AC400" s="31"/>
      <c r="AD400" s="31"/>
      <c r="AE400" s="1"/>
    </row>
    <row r="401">
      <c r="A401" s="104"/>
      <c r="C401" s="128"/>
      <c r="D401" s="74"/>
      <c r="E401" s="1"/>
      <c r="F401" s="1"/>
      <c r="G401" s="1"/>
      <c r="H401" s="118"/>
      <c r="I401" s="177"/>
      <c r="J401" s="31"/>
      <c r="K401" s="1"/>
      <c r="L401" s="120"/>
      <c r="M401" s="121"/>
      <c r="N401" s="121"/>
      <c r="O401" s="118"/>
      <c r="P401" s="118"/>
      <c r="Q401" s="31"/>
      <c r="R401" s="122"/>
      <c r="S401" s="121"/>
      <c r="T401" s="122"/>
      <c r="U401" s="121"/>
      <c r="V401" s="123"/>
      <c r="W401" s="124"/>
      <c r="X401" s="178"/>
      <c r="Y401" s="126"/>
      <c r="Z401" s="126"/>
      <c r="AB401" s="31"/>
      <c r="AC401" s="31"/>
      <c r="AD401" s="31"/>
      <c r="AE401" s="1"/>
    </row>
    <row r="402">
      <c r="A402" s="104"/>
      <c r="C402" s="128"/>
      <c r="D402" s="74"/>
      <c r="E402" s="1"/>
      <c r="F402" s="1"/>
      <c r="G402" s="1"/>
      <c r="H402" s="118"/>
      <c r="I402" s="177"/>
      <c r="J402" s="31"/>
      <c r="K402" s="1"/>
      <c r="L402" s="120"/>
      <c r="M402" s="121"/>
      <c r="N402" s="121"/>
      <c r="O402" s="118"/>
      <c r="P402" s="118"/>
      <c r="Q402" s="31"/>
      <c r="R402" s="122"/>
      <c r="S402" s="121"/>
      <c r="T402" s="122"/>
      <c r="U402" s="121"/>
      <c r="V402" s="123"/>
      <c r="W402" s="124"/>
      <c r="X402" s="178"/>
      <c r="Y402" s="126"/>
      <c r="Z402" s="126"/>
      <c r="AB402" s="31"/>
      <c r="AC402" s="31"/>
      <c r="AD402" s="31"/>
      <c r="AE402" s="1"/>
    </row>
    <row r="403">
      <c r="A403" s="104"/>
      <c r="C403" s="128"/>
      <c r="D403" s="74"/>
      <c r="E403" s="1"/>
      <c r="F403" s="1"/>
      <c r="G403" s="1"/>
      <c r="H403" s="118"/>
      <c r="I403" s="177"/>
      <c r="J403" s="31"/>
      <c r="K403" s="1"/>
      <c r="L403" s="120"/>
      <c r="M403" s="121"/>
      <c r="N403" s="121"/>
      <c r="O403" s="118"/>
      <c r="P403" s="118"/>
      <c r="Q403" s="31"/>
      <c r="R403" s="122"/>
      <c r="S403" s="121"/>
      <c r="T403" s="122"/>
      <c r="U403" s="121"/>
      <c r="V403" s="123"/>
      <c r="W403" s="124"/>
      <c r="X403" s="178"/>
      <c r="Y403" s="126"/>
      <c r="Z403" s="126"/>
      <c r="AB403" s="31"/>
      <c r="AC403" s="31"/>
      <c r="AD403" s="31"/>
      <c r="AE403" s="1"/>
    </row>
    <row r="404">
      <c r="A404" s="104"/>
      <c r="C404" s="128"/>
      <c r="D404" s="74"/>
      <c r="E404" s="1"/>
      <c r="F404" s="1"/>
      <c r="G404" s="1"/>
      <c r="H404" s="118"/>
      <c r="I404" s="177"/>
      <c r="J404" s="31"/>
      <c r="K404" s="1"/>
      <c r="L404" s="120"/>
      <c r="M404" s="121"/>
      <c r="N404" s="121"/>
      <c r="O404" s="118"/>
      <c r="P404" s="118"/>
      <c r="Q404" s="31"/>
      <c r="R404" s="122"/>
      <c r="S404" s="121"/>
      <c r="T404" s="122"/>
      <c r="U404" s="121"/>
      <c r="V404" s="123"/>
      <c r="W404" s="124"/>
      <c r="X404" s="178"/>
      <c r="Y404" s="126"/>
      <c r="Z404" s="126"/>
      <c r="AB404" s="31"/>
      <c r="AC404" s="31"/>
      <c r="AD404" s="31"/>
      <c r="AE404" s="1"/>
    </row>
    <row r="405">
      <c r="A405" s="104"/>
      <c r="C405" s="128"/>
      <c r="D405" s="74"/>
      <c r="E405" s="1"/>
      <c r="F405" s="1"/>
      <c r="G405" s="1"/>
      <c r="H405" s="118"/>
      <c r="I405" s="177"/>
      <c r="J405" s="31"/>
      <c r="K405" s="1"/>
      <c r="L405" s="120"/>
      <c r="M405" s="121"/>
      <c r="N405" s="121"/>
      <c r="O405" s="118"/>
      <c r="P405" s="118"/>
      <c r="Q405" s="31"/>
      <c r="R405" s="122"/>
      <c r="S405" s="121"/>
      <c r="T405" s="122"/>
      <c r="U405" s="121"/>
      <c r="V405" s="123"/>
      <c r="W405" s="124"/>
      <c r="X405" s="178"/>
      <c r="Y405" s="126"/>
      <c r="Z405" s="126"/>
      <c r="AB405" s="31"/>
      <c r="AC405" s="31"/>
      <c r="AD405" s="31"/>
      <c r="AE405" s="1"/>
    </row>
    <row r="406">
      <c r="A406" s="104"/>
      <c r="C406" s="128"/>
      <c r="D406" s="74"/>
      <c r="E406" s="1"/>
      <c r="F406" s="1"/>
      <c r="G406" s="1"/>
      <c r="H406" s="118"/>
      <c r="I406" s="177"/>
      <c r="J406" s="31"/>
      <c r="K406" s="1"/>
      <c r="L406" s="120"/>
      <c r="M406" s="121"/>
      <c r="N406" s="121"/>
      <c r="O406" s="118"/>
      <c r="P406" s="118"/>
      <c r="Q406" s="31"/>
      <c r="R406" s="122"/>
      <c r="S406" s="121"/>
      <c r="T406" s="122"/>
      <c r="U406" s="121"/>
      <c r="V406" s="123"/>
      <c r="W406" s="124"/>
      <c r="X406" s="178"/>
      <c r="Y406" s="126"/>
      <c r="Z406" s="126"/>
      <c r="AB406" s="31"/>
      <c r="AC406" s="31"/>
      <c r="AD406" s="31"/>
      <c r="AE406" s="1"/>
    </row>
    <row r="407">
      <c r="A407" s="104"/>
      <c r="C407" s="128"/>
      <c r="D407" s="74"/>
      <c r="E407" s="1"/>
      <c r="F407" s="1"/>
      <c r="G407" s="1"/>
      <c r="H407" s="118"/>
      <c r="I407" s="177"/>
      <c r="J407" s="31"/>
      <c r="K407" s="1"/>
      <c r="L407" s="120"/>
      <c r="M407" s="121"/>
      <c r="N407" s="121"/>
      <c r="O407" s="118"/>
      <c r="P407" s="118"/>
      <c r="Q407" s="31"/>
      <c r="R407" s="122"/>
      <c r="S407" s="121"/>
      <c r="T407" s="122"/>
      <c r="U407" s="121"/>
      <c r="V407" s="123"/>
      <c r="W407" s="124"/>
      <c r="X407" s="178"/>
      <c r="Y407" s="126"/>
      <c r="Z407" s="126"/>
      <c r="AB407" s="31"/>
      <c r="AC407" s="31"/>
      <c r="AD407" s="31"/>
      <c r="AE407" s="1"/>
    </row>
    <row r="408">
      <c r="A408" s="104"/>
      <c r="C408" s="128"/>
      <c r="D408" s="74"/>
      <c r="E408" s="1"/>
      <c r="F408" s="1"/>
      <c r="G408" s="1"/>
      <c r="H408" s="118"/>
      <c r="I408" s="177"/>
      <c r="J408" s="31"/>
      <c r="K408" s="1"/>
      <c r="L408" s="120"/>
      <c r="M408" s="121"/>
      <c r="N408" s="121"/>
      <c r="O408" s="118"/>
      <c r="P408" s="118"/>
      <c r="Q408" s="31"/>
      <c r="R408" s="122"/>
      <c r="S408" s="121"/>
      <c r="T408" s="122"/>
      <c r="U408" s="121"/>
      <c r="V408" s="123"/>
      <c r="W408" s="124"/>
      <c r="X408" s="178"/>
      <c r="Y408" s="126"/>
      <c r="Z408" s="126"/>
      <c r="AB408" s="31"/>
      <c r="AC408" s="31"/>
      <c r="AD408" s="31"/>
      <c r="AE408" s="1"/>
    </row>
    <row r="409">
      <c r="A409" s="104"/>
      <c r="C409" s="128"/>
      <c r="D409" s="74"/>
      <c r="E409" s="1"/>
      <c r="F409" s="1"/>
      <c r="G409" s="1"/>
      <c r="H409" s="118"/>
      <c r="I409" s="177"/>
      <c r="J409" s="31"/>
      <c r="K409" s="1"/>
      <c r="L409" s="120"/>
      <c r="M409" s="121"/>
      <c r="N409" s="121"/>
      <c r="O409" s="118"/>
      <c r="P409" s="118"/>
      <c r="Q409" s="31"/>
      <c r="R409" s="122"/>
      <c r="S409" s="121"/>
      <c r="T409" s="122"/>
      <c r="U409" s="121"/>
      <c r="V409" s="123"/>
      <c r="W409" s="124"/>
      <c r="X409" s="178"/>
      <c r="Y409" s="126"/>
      <c r="Z409" s="126"/>
      <c r="AB409" s="31"/>
      <c r="AC409" s="31"/>
      <c r="AD409" s="31"/>
      <c r="AE409" s="1"/>
    </row>
    <row r="410">
      <c r="A410" s="104"/>
      <c r="C410" s="128"/>
      <c r="D410" s="74"/>
      <c r="E410" s="1"/>
      <c r="F410" s="1"/>
      <c r="G410" s="1"/>
      <c r="H410" s="118"/>
      <c r="I410" s="177"/>
      <c r="J410" s="31"/>
      <c r="K410" s="1"/>
      <c r="L410" s="120"/>
      <c r="M410" s="121"/>
      <c r="N410" s="121"/>
      <c r="O410" s="118"/>
      <c r="P410" s="118"/>
      <c r="Q410" s="31"/>
      <c r="R410" s="122"/>
      <c r="S410" s="121"/>
      <c r="T410" s="122"/>
      <c r="U410" s="121"/>
      <c r="V410" s="123"/>
      <c r="W410" s="124"/>
      <c r="X410" s="178"/>
      <c r="Y410" s="126"/>
      <c r="Z410" s="126"/>
      <c r="AB410" s="31"/>
      <c r="AC410" s="31"/>
      <c r="AD410" s="31"/>
      <c r="AE410" s="1"/>
    </row>
    <row r="411">
      <c r="A411" s="104"/>
      <c r="C411" s="128"/>
      <c r="D411" s="74"/>
      <c r="E411" s="1"/>
      <c r="F411" s="1"/>
      <c r="G411" s="1"/>
      <c r="H411" s="118"/>
      <c r="I411" s="177"/>
      <c r="J411" s="31"/>
      <c r="K411" s="1"/>
      <c r="L411" s="120"/>
      <c r="M411" s="121"/>
      <c r="N411" s="121"/>
      <c r="O411" s="118"/>
      <c r="P411" s="118"/>
      <c r="Q411" s="31"/>
      <c r="R411" s="122"/>
      <c r="S411" s="121"/>
      <c r="T411" s="122"/>
      <c r="U411" s="121"/>
      <c r="V411" s="123"/>
      <c r="W411" s="124"/>
      <c r="X411" s="178"/>
      <c r="Y411" s="126"/>
      <c r="Z411" s="126"/>
      <c r="AB411" s="31"/>
      <c r="AC411" s="31"/>
      <c r="AD411" s="31"/>
      <c r="AE411" s="1"/>
    </row>
    <row r="412">
      <c r="A412" s="104"/>
      <c r="C412" s="128"/>
      <c r="D412" s="74"/>
      <c r="E412" s="1"/>
      <c r="F412" s="1"/>
      <c r="G412" s="1"/>
      <c r="H412" s="118"/>
      <c r="I412" s="177"/>
      <c r="J412" s="31"/>
      <c r="K412" s="1"/>
      <c r="L412" s="120"/>
      <c r="M412" s="121"/>
      <c r="N412" s="121"/>
      <c r="O412" s="118"/>
      <c r="P412" s="118"/>
      <c r="Q412" s="31"/>
      <c r="R412" s="122"/>
      <c r="S412" s="121"/>
      <c r="T412" s="122"/>
      <c r="U412" s="121"/>
      <c r="V412" s="123"/>
      <c r="W412" s="124"/>
      <c r="X412" s="178"/>
      <c r="Y412" s="126"/>
      <c r="Z412" s="126"/>
      <c r="AB412" s="31"/>
      <c r="AC412" s="31"/>
      <c r="AD412" s="31"/>
      <c r="AE412" s="1"/>
    </row>
    <row r="413">
      <c r="A413" s="104"/>
      <c r="C413" s="128"/>
      <c r="D413" s="74"/>
      <c r="E413" s="1"/>
      <c r="F413" s="1"/>
      <c r="G413" s="1"/>
      <c r="H413" s="118"/>
      <c r="I413" s="177"/>
      <c r="J413" s="31"/>
      <c r="K413" s="1"/>
      <c r="L413" s="120"/>
      <c r="M413" s="121"/>
      <c r="N413" s="121"/>
      <c r="O413" s="118"/>
      <c r="P413" s="118"/>
      <c r="Q413" s="31"/>
      <c r="R413" s="122"/>
      <c r="S413" s="121"/>
      <c r="T413" s="122"/>
      <c r="U413" s="121"/>
      <c r="V413" s="123"/>
      <c r="W413" s="124"/>
      <c r="X413" s="178"/>
      <c r="Y413" s="126"/>
      <c r="Z413" s="126"/>
      <c r="AB413" s="31"/>
      <c r="AC413" s="31"/>
      <c r="AD413" s="31"/>
      <c r="AE413" s="1"/>
    </row>
    <row r="414">
      <c r="A414" s="104"/>
      <c r="C414" s="128"/>
      <c r="D414" s="74"/>
      <c r="E414" s="1"/>
      <c r="F414" s="1"/>
      <c r="G414" s="1"/>
      <c r="H414" s="118"/>
      <c r="I414" s="177"/>
      <c r="J414" s="31"/>
      <c r="K414" s="1"/>
      <c r="L414" s="120"/>
      <c r="M414" s="121"/>
      <c r="N414" s="121"/>
      <c r="O414" s="118"/>
      <c r="P414" s="118"/>
      <c r="Q414" s="31"/>
      <c r="R414" s="122"/>
      <c r="S414" s="121"/>
      <c r="T414" s="122"/>
      <c r="U414" s="121"/>
      <c r="V414" s="123"/>
      <c r="W414" s="124"/>
      <c r="X414" s="178"/>
      <c r="Y414" s="126"/>
      <c r="Z414" s="126"/>
      <c r="AB414" s="31"/>
      <c r="AC414" s="31"/>
      <c r="AD414" s="31"/>
      <c r="AE414" s="1"/>
    </row>
    <row r="415">
      <c r="A415" s="104"/>
      <c r="C415" s="128"/>
      <c r="D415" s="74"/>
      <c r="E415" s="1"/>
      <c r="F415" s="1"/>
      <c r="G415" s="1"/>
      <c r="H415" s="118"/>
      <c r="I415" s="177"/>
      <c r="J415" s="31"/>
      <c r="K415" s="1"/>
      <c r="L415" s="120"/>
      <c r="M415" s="121"/>
      <c r="N415" s="121"/>
      <c r="O415" s="118"/>
      <c r="P415" s="118"/>
      <c r="Q415" s="31"/>
      <c r="R415" s="122"/>
      <c r="S415" s="121"/>
      <c r="T415" s="122"/>
      <c r="U415" s="121"/>
      <c r="V415" s="123"/>
      <c r="W415" s="124"/>
      <c r="X415" s="178"/>
      <c r="Y415" s="126"/>
      <c r="Z415" s="126"/>
      <c r="AB415" s="31"/>
      <c r="AC415" s="31"/>
      <c r="AD415" s="31"/>
      <c r="AE415" s="1"/>
    </row>
    <row r="416">
      <c r="A416" s="104"/>
      <c r="C416" s="128"/>
      <c r="D416" s="74"/>
      <c r="E416" s="1"/>
      <c r="F416" s="1"/>
      <c r="G416" s="1"/>
      <c r="H416" s="118"/>
      <c r="I416" s="177"/>
      <c r="J416" s="31"/>
      <c r="K416" s="1"/>
      <c r="L416" s="120"/>
      <c r="M416" s="121"/>
      <c r="N416" s="121"/>
      <c r="O416" s="118"/>
      <c r="P416" s="118"/>
      <c r="Q416" s="31"/>
      <c r="R416" s="122"/>
      <c r="S416" s="121"/>
      <c r="T416" s="122"/>
      <c r="U416" s="121"/>
      <c r="V416" s="123"/>
      <c r="W416" s="124"/>
      <c r="X416" s="178"/>
      <c r="Y416" s="126"/>
      <c r="Z416" s="126"/>
      <c r="AB416" s="31"/>
      <c r="AC416" s="31"/>
      <c r="AD416" s="31"/>
      <c r="AE416" s="1"/>
    </row>
    <row r="417">
      <c r="A417" s="104"/>
      <c r="C417" s="128"/>
      <c r="D417" s="74"/>
      <c r="E417" s="1"/>
      <c r="F417" s="1"/>
      <c r="G417" s="1"/>
      <c r="H417" s="118"/>
      <c r="I417" s="177"/>
      <c r="J417" s="31"/>
      <c r="K417" s="1"/>
      <c r="L417" s="120"/>
      <c r="M417" s="121"/>
      <c r="N417" s="121"/>
      <c r="O417" s="118"/>
      <c r="P417" s="118"/>
      <c r="Q417" s="31"/>
      <c r="R417" s="122"/>
      <c r="S417" s="121"/>
      <c r="T417" s="122"/>
      <c r="U417" s="121"/>
      <c r="V417" s="123"/>
      <c r="W417" s="124"/>
      <c r="X417" s="178"/>
      <c r="Y417" s="126"/>
      <c r="Z417" s="126"/>
      <c r="AB417" s="31"/>
      <c r="AC417" s="31"/>
      <c r="AD417" s="31"/>
      <c r="AE417" s="1"/>
    </row>
    <row r="418">
      <c r="A418" s="104"/>
      <c r="C418" s="128"/>
      <c r="D418" s="74"/>
      <c r="E418" s="1"/>
      <c r="F418" s="1"/>
      <c r="G418" s="1"/>
      <c r="H418" s="118"/>
      <c r="I418" s="177"/>
      <c r="J418" s="31"/>
      <c r="K418" s="1"/>
      <c r="L418" s="120"/>
      <c r="M418" s="121"/>
      <c r="N418" s="121"/>
      <c r="O418" s="118"/>
      <c r="P418" s="118"/>
      <c r="Q418" s="31"/>
      <c r="R418" s="122"/>
      <c r="S418" s="121"/>
      <c r="T418" s="122"/>
      <c r="U418" s="121"/>
      <c r="V418" s="123"/>
      <c r="W418" s="124"/>
      <c r="X418" s="178"/>
      <c r="Y418" s="126"/>
      <c r="Z418" s="126"/>
      <c r="AB418" s="31"/>
      <c r="AC418" s="31"/>
      <c r="AD418" s="31"/>
      <c r="AE418" s="1"/>
    </row>
    <row r="419">
      <c r="A419" s="104"/>
      <c r="C419" s="128"/>
      <c r="D419" s="74"/>
      <c r="E419" s="1"/>
      <c r="F419" s="1"/>
      <c r="G419" s="1"/>
      <c r="H419" s="118"/>
      <c r="I419" s="177"/>
      <c r="J419" s="31"/>
      <c r="K419" s="1"/>
      <c r="L419" s="120"/>
      <c r="M419" s="121"/>
      <c r="N419" s="121"/>
      <c r="O419" s="118"/>
      <c r="P419" s="118"/>
      <c r="Q419" s="31"/>
      <c r="R419" s="122"/>
      <c r="S419" s="121"/>
      <c r="T419" s="122"/>
      <c r="U419" s="121"/>
      <c r="V419" s="123"/>
      <c r="W419" s="124"/>
      <c r="X419" s="178"/>
      <c r="Y419" s="126"/>
      <c r="Z419" s="126"/>
      <c r="AB419" s="31"/>
      <c r="AC419" s="31"/>
      <c r="AD419" s="31"/>
      <c r="AE419" s="1"/>
    </row>
    <row r="420">
      <c r="A420" s="104"/>
      <c r="C420" s="128"/>
      <c r="D420" s="74"/>
      <c r="E420" s="1"/>
      <c r="F420" s="1"/>
      <c r="G420" s="1"/>
      <c r="H420" s="118"/>
      <c r="I420" s="177"/>
      <c r="J420" s="31"/>
      <c r="K420" s="1"/>
      <c r="L420" s="120"/>
      <c r="M420" s="121"/>
      <c r="N420" s="121"/>
      <c r="O420" s="118"/>
      <c r="P420" s="118"/>
      <c r="Q420" s="31"/>
      <c r="R420" s="122"/>
      <c r="S420" s="121"/>
      <c r="T420" s="122"/>
      <c r="U420" s="121"/>
      <c r="V420" s="123"/>
      <c r="W420" s="124"/>
      <c r="X420" s="178"/>
      <c r="Y420" s="126"/>
      <c r="Z420" s="126"/>
      <c r="AB420" s="31"/>
      <c r="AC420" s="31"/>
      <c r="AD420" s="31"/>
      <c r="AE420" s="1"/>
    </row>
    <row r="421">
      <c r="A421" s="104"/>
      <c r="C421" s="128"/>
      <c r="D421" s="74"/>
      <c r="E421" s="1"/>
      <c r="F421" s="1"/>
      <c r="G421" s="1"/>
      <c r="H421" s="118"/>
      <c r="I421" s="177"/>
      <c r="J421" s="31"/>
      <c r="K421" s="1"/>
      <c r="L421" s="120"/>
      <c r="M421" s="121"/>
      <c r="N421" s="121"/>
      <c r="O421" s="118"/>
      <c r="P421" s="118"/>
      <c r="Q421" s="31"/>
      <c r="R421" s="122"/>
      <c r="S421" s="121"/>
      <c r="T421" s="122"/>
      <c r="U421" s="121"/>
      <c r="V421" s="123"/>
      <c r="W421" s="124"/>
      <c r="X421" s="178"/>
      <c r="Y421" s="126"/>
      <c r="Z421" s="126"/>
      <c r="AB421" s="31"/>
      <c r="AC421" s="31"/>
      <c r="AD421" s="31"/>
      <c r="AE421" s="1"/>
    </row>
    <row r="422">
      <c r="A422" s="104"/>
      <c r="C422" s="128"/>
      <c r="D422" s="74"/>
      <c r="E422" s="1"/>
      <c r="F422" s="1"/>
      <c r="G422" s="1"/>
      <c r="H422" s="118"/>
      <c r="I422" s="177"/>
      <c r="J422" s="31"/>
      <c r="K422" s="1"/>
      <c r="L422" s="120"/>
      <c r="M422" s="121"/>
      <c r="N422" s="121"/>
      <c r="O422" s="118"/>
      <c r="P422" s="118"/>
      <c r="Q422" s="31"/>
      <c r="R422" s="122"/>
      <c r="S422" s="121"/>
      <c r="T422" s="122"/>
      <c r="U422" s="121"/>
      <c r="V422" s="123"/>
      <c r="W422" s="124"/>
      <c r="X422" s="178"/>
      <c r="Y422" s="126"/>
      <c r="Z422" s="126"/>
      <c r="AB422" s="31"/>
      <c r="AC422" s="31"/>
      <c r="AD422" s="31"/>
      <c r="AE422" s="1"/>
    </row>
    <row r="423">
      <c r="A423" s="104"/>
      <c r="C423" s="128"/>
      <c r="D423" s="74"/>
      <c r="E423" s="1"/>
      <c r="F423" s="1"/>
      <c r="G423" s="1"/>
      <c r="H423" s="118"/>
      <c r="I423" s="177"/>
      <c r="J423" s="31"/>
      <c r="K423" s="1"/>
      <c r="L423" s="120"/>
      <c r="M423" s="121"/>
      <c r="N423" s="121"/>
      <c r="O423" s="118"/>
      <c r="P423" s="118"/>
      <c r="Q423" s="31"/>
      <c r="R423" s="122"/>
      <c r="S423" s="121"/>
      <c r="T423" s="122"/>
      <c r="U423" s="121"/>
      <c r="V423" s="123"/>
      <c r="W423" s="124"/>
      <c r="X423" s="178"/>
      <c r="Y423" s="126"/>
      <c r="Z423" s="126"/>
      <c r="AB423" s="31"/>
      <c r="AC423" s="31"/>
      <c r="AD423" s="31"/>
      <c r="AE423" s="1"/>
    </row>
    <row r="424">
      <c r="A424" s="104"/>
      <c r="C424" s="128"/>
      <c r="D424" s="74"/>
      <c r="E424" s="1"/>
      <c r="F424" s="1"/>
      <c r="G424" s="1"/>
      <c r="H424" s="118"/>
      <c r="I424" s="177"/>
      <c r="J424" s="31"/>
      <c r="K424" s="1"/>
      <c r="L424" s="120"/>
      <c r="M424" s="121"/>
      <c r="N424" s="121"/>
      <c r="O424" s="118"/>
      <c r="P424" s="118"/>
      <c r="Q424" s="31"/>
      <c r="R424" s="122"/>
      <c r="S424" s="121"/>
      <c r="T424" s="122"/>
      <c r="U424" s="121"/>
      <c r="V424" s="123"/>
      <c r="W424" s="124"/>
      <c r="X424" s="178"/>
      <c r="Y424" s="126"/>
      <c r="Z424" s="126"/>
      <c r="AB424" s="31"/>
      <c r="AC424" s="31"/>
      <c r="AD424" s="31"/>
      <c r="AE424" s="1"/>
    </row>
    <row r="425">
      <c r="A425" s="104"/>
      <c r="C425" s="128"/>
      <c r="D425" s="74"/>
      <c r="E425" s="1"/>
      <c r="F425" s="1"/>
      <c r="G425" s="1"/>
      <c r="H425" s="118"/>
      <c r="I425" s="177"/>
      <c r="J425" s="31"/>
      <c r="K425" s="1"/>
      <c r="L425" s="120"/>
      <c r="M425" s="121"/>
      <c r="N425" s="121"/>
      <c r="O425" s="118"/>
      <c r="P425" s="118"/>
      <c r="Q425" s="31"/>
      <c r="R425" s="122"/>
      <c r="S425" s="121"/>
      <c r="T425" s="122"/>
      <c r="U425" s="121"/>
      <c r="V425" s="123"/>
      <c r="W425" s="124"/>
      <c r="X425" s="178"/>
      <c r="Y425" s="126"/>
      <c r="Z425" s="126"/>
      <c r="AB425" s="31"/>
      <c r="AC425" s="31"/>
      <c r="AD425" s="31"/>
      <c r="AE425" s="1"/>
    </row>
    <row r="426">
      <c r="A426" s="104"/>
      <c r="C426" s="128"/>
      <c r="D426" s="74"/>
      <c r="E426" s="1"/>
      <c r="F426" s="1"/>
      <c r="G426" s="1"/>
      <c r="H426" s="118"/>
      <c r="I426" s="177"/>
      <c r="J426" s="31"/>
      <c r="K426" s="1"/>
      <c r="L426" s="120"/>
      <c r="M426" s="121"/>
      <c r="N426" s="121"/>
      <c r="O426" s="118"/>
      <c r="P426" s="118"/>
      <c r="Q426" s="31"/>
      <c r="R426" s="122"/>
      <c r="S426" s="121"/>
      <c r="T426" s="122"/>
      <c r="U426" s="121"/>
      <c r="V426" s="123"/>
      <c r="W426" s="124"/>
      <c r="X426" s="178"/>
      <c r="Y426" s="126"/>
      <c r="Z426" s="126"/>
      <c r="AB426" s="31"/>
      <c r="AC426" s="31"/>
      <c r="AD426" s="31"/>
      <c r="AE426" s="1"/>
    </row>
    <row r="427">
      <c r="A427" s="104"/>
      <c r="C427" s="128"/>
      <c r="D427" s="74"/>
      <c r="E427" s="1"/>
      <c r="F427" s="1"/>
      <c r="G427" s="1"/>
      <c r="H427" s="118"/>
      <c r="I427" s="177"/>
      <c r="J427" s="31"/>
      <c r="K427" s="1"/>
      <c r="L427" s="120"/>
      <c r="M427" s="121"/>
      <c r="N427" s="121"/>
      <c r="O427" s="118"/>
      <c r="P427" s="118"/>
      <c r="Q427" s="31"/>
      <c r="R427" s="122"/>
      <c r="S427" s="121"/>
      <c r="T427" s="122"/>
      <c r="U427" s="121"/>
      <c r="V427" s="123"/>
      <c r="W427" s="124"/>
      <c r="X427" s="178"/>
      <c r="Y427" s="126"/>
      <c r="Z427" s="126"/>
      <c r="AB427" s="31"/>
      <c r="AC427" s="31"/>
      <c r="AD427" s="31"/>
      <c r="AE427" s="1"/>
    </row>
    <row r="428">
      <c r="A428" s="104"/>
      <c r="C428" s="128"/>
      <c r="D428" s="74"/>
      <c r="E428" s="1"/>
      <c r="F428" s="1"/>
      <c r="G428" s="1"/>
      <c r="H428" s="118"/>
      <c r="I428" s="177"/>
      <c r="J428" s="31"/>
      <c r="K428" s="1"/>
      <c r="L428" s="120"/>
      <c r="M428" s="121"/>
      <c r="N428" s="121"/>
      <c r="O428" s="118"/>
      <c r="P428" s="118"/>
      <c r="Q428" s="31"/>
      <c r="R428" s="122"/>
      <c r="S428" s="121"/>
      <c r="T428" s="122"/>
      <c r="U428" s="121"/>
      <c r="V428" s="123"/>
      <c r="W428" s="124"/>
      <c r="X428" s="178"/>
      <c r="Y428" s="126"/>
      <c r="Z428" s="126"/>
      <c r="AB428" s="31"/>
      <c r="AC428" s="31"/>
      <c r="AD428" s="31"/>
      <c r="AE428" s="1"/>
    </row>
    <row r="429">
      <c r="A429" s="104"/>
      <c r="C429" s="128"/>
      <c r="D429" s="74"/>
      <c r="E429" s="1"/>
      <c r="F429" s="1"/>
      <c r="G429" s="1"/>
      <c r="H429" s="118"/>
      <c r="I429" s="177"/>
      <c r="J429" s="31"/>
      <c r="K429" s="1"/>
      <c r="L429" s="120"/>
      <c r="M429" s="121"/>
      <c r="N429" s="121"/>
      <c r="O429" s="118"/>
      <c r="P429" s="118"/>
      <c r="Q429" s="31"/>
      <c r="R429" s="122"/>
      <c r="S429" s="121"/>
      <c r="T429" s="122"/>
      <c r="U429" s="121"/>
      <c r="V429" s="123"/>
      <c r="W429" s="124"/>
      <c r="X429" s="178"/>
      <c r="Y429" s="126"/>
      <c r="Z429" s="126"/>
      <c r="AB429" s="31"/>
      <c r="AC429" s="31"/>
      <c r="AD429" s="31"/>
      <c r="AE429" s="1"/>
    </row>
    <row r="430">
      <c r="A430" s="104"/>
      <c r="C430" s="128"/>
      <c r="D430" s="74"/>
      <c r="E430" s="1"/>
      <c r="F430" s="1"/>
      <c r="G430" s="1"/>
      <c r="H430" s="118"/>
      <c r="I430" s="177"/>
      <c r="J430" s="31"/>
      <c r="K430" s="1"/>
      <c r="L430" s="120"/>
      <c r="M430" s="121"/>
      <c r="N430" s="121"/>
      <c r="O430" s="118"/>
      <c r="P430" s="118"/>
      <c r="Q430" s="31"/>
      <c r="R430" s="122"/>
      <c r="S430" s="121"/>
      <c r="T430" s="122"/>
      <c r="U430" s="121"/>
      <c r="V430" s="123"/>
      <c r="W430" s="124"/>
      <c r="X430" s="178"/>
      <c r="Y430" s="126"/>
      <c r="Z430" s="126"/>
      <c r="AB430" s="31"/>
      <c r="AC430" s="31"/>
      <c r="AD430" s="31"/>
      <c r="AE430" s="1"/>
    </row>
    <row r="431">
      <c r="A431" s="104"/>
      <c r="C431" s="128"/>
      <c r="D431" s="74"/>
      <c r="E431" s="1"/>
      <c r="F431" s="1"/>
      <c r="G431" s="1"/>
      <c r="H431" s="118"/>
      <c r="I431" s="177"/>
      <c r="J431" s="31"/>
      <c r="K431" s="1"/>
      <c r="L431" s="120"/>
      <c r="M431" s="121"/>
      <c r="N431" s="121"/>
      <c r="O431" s="118"/>
      <c r="P431" s="118"/>
      <c r="Q431" s="31"/>
      <c r="R431" s="122"/>
      <c r="S431" s="121"/>
      <c r="T431" s="122"/>
      <c r="U431" s="121"/>
      <c r="V431" s="123"/>
      <c r="W431" s="124"/>
      <c r="X431" s="178"/>
      <c r="Y431" s="126"/>
      <c r="Z431" s="126"/>
      <c r="AB431" s="31"/>
      <c r="AC431" s="31"/>
      <c r="AD431" s="31"/>
      <c r="AE431" s="1"/>
    </row>
    <row r="432">
      <c r="A432" s="104"/>
      <c r="C432" s="128"/>
      <c r="D432" s="74"/>
      <c r="E432" s="1"/>
      <c r="F432" s="1"/>
      <c r="G432" s="1"/>
      <c r="H432" s="118"/>
      <c r="I432" s="177"/>
      <c r="J432" s="31"/>
      <c r="K432" s="1"/>
      <c r="L432" s="120"/>
      <c r="M432" s="121"/>
      <c r="N432" s="121"/>
      <c r="O432" s="118"/>
      <c r="P432" s="118"/>
      <c r="Q432" s="31"/>
      <c r="R432" s="122"/>
      <c r="S432" s="121"/>
      <c r="T432" s="122"/>
      <c r="U432" s="121"/>
      <c r="V432" s="123"/>
      <c r="W432" s="124"/>
      <c r="X432" s="178"/>
      <c r="Y432" s="126"/>
      <c r="Z432" s="126"/>
      <c r="AB432" s="31"/>
      <c r="AC432" s="31"/>
      <c r="AD432" s="31"/>
      <c r="AE432" s="1"/>
    </row>
    <row r="433">
      <c r="A433" s="104"/>
      <c r="C433" s="128"/>
      <c r="D433" s="74"/>
      <c r="E433" s="1"/>
      <c r="F433" s="1"/>
      <c r="G433" s="1"/>
      <c r="H433" s="118"/>
      <c r="I433" s="177"/>
      <c r="J433" s="31"/>
      <c r="K433" s="1"/>
      <c r="L433" s="120"/>
      <c r="M433" s="121"/>
      <c r="N433" s="121"/>
      <c r="O433" s="118"/>
      <c r="P433" s="118"/>
      <c r="Q433" s="31"/>
      <c r="R433" s="122"/>
      <c r="S433" s="121"/>
      <c r="T433" s="122"/>
      <c r="U433" s="121"/>
      <c r="V433" s="123"/>
      <c r="W433" s="124"/>
      <c r="X433" s="178"/>
      <c r="Y433" s="126"/>
      <c r="Z433" s="126"/>
      <c r="AB433" s="31"/>
      <c r="AC433" s="31"/>
      <c r="AD433" s="31"/>
      <c r="AE433" s="1"/>
    </row>
    <row r="434">
      <c r="A434" s="104"/>
      <c r="C434" s="128"/>
      <c r="D434" s="74"/>
      <c r="E434" s="1"/>
      <c r="F434" s="1"/>
      <c r="G434" s="1"/>
      <c r="H434" s="118"/>
      <c r="I434" s="177"/>
      <c r="J434" s="31"/>
      <c r="K434" s="1"/>
      <c r="L434" s="120"/>
      <c r="M434" s="121"/>
      <c r="N434" s="121"/>
      <c r="O434" s="118"/>
      <c r="P434" s="118"/>
      <c r="Q434" s="31"/>
      <c r="R434" s="122"/>
      <c r="S434" s="121"/>
      <c r="T434" s="122"/>
      <c r="U434" s="121"/>
      <c r="V434" s="123"/>
      <c r="W434" s="124"/>
      <c r="X434" s="178"/>
      <c r="Y434" s="126"/>
      <c r="Z434" s="126"/>
      <c r="AB434" s="31"/>
      <c r="AC434" s="31"/>
      <c r="AD434" s="31"/>
      <c r="AE434" s="1"/>
    </row>
    <row r="435">
      <c r="A435" s="104"/>
      <c r="C435" s="128"/>
      <c r="D435" s="74"/>
      <c r="E435" s="1"/>
      <c r="F435" s="1"/>
      <c r="G435" s="1"/>
      <c r="H435" s="118"/>
      <c r="I435" s="177"/>
      <c r="J435" s="31"/>
      <c r="K435" s="1"/>
      <c r="L435" s="120"/>
      <c r="M435" s="121"/>
      <c r="N435" s="121"/>
      <c r="O435" s="118"/>
      <c r="P435" s="118"/>
      <c r="Q435" s="31"/>
      <c r="R435" s="122"/>
      <c r="S435" s="121"/>
      <c r="T435" s="122"/>
      <c r="U435" s="121"/>
      <c r="V435" s="123"/>
      <c r="W435" s="124"/>
      <c r="X435" s="178"/>
      <c r="Y435" s="126"/>
      <c r="Z435" s="126"/>
      <c r="AB435" s="31"/>
      <c r="AC435" s="31"/>
      <c r="AD435" s="31"/>
      <c r="AE435" s="1"/>
    </row>
    <row r="436">
      <c r="A436" s="104"/>
      <c r="C436" s="128"/>
      <c r="D436" s="74"/>
      <c r="E436" s="1"/>
      <c r="F436" s="1"/>
      <c r="G436" s="1"/>
      <c r="H436" s="118"/>
      <c r="I436" s="177"/>
      <c r="J436" s="31"/>
      <c r="K436" s="1"/>
      <c r="L436" s="120"/>
      <c r="M436" s="121"/>
      <c r="N436" s="121"/>
      <c r="O436" s="118"/>
      <c r="P436" s="118"/>
      <c r="Q436" s="31"/>
      <c r="R436" s="122"/>
      <c r="S436" s="121"/>
      <c r="T436" s="122"/>
      <c r="U436" s="121"/>
      <c r="V436" s="123"/>
      <c r="W436" s="124"/>
      <c r="X436" s="178"/>
      <c r="Y436" s="126"/>
      <c r="Z436" s="126"/>
      <c r="AB436" s="31"/>
      <c r="AC436" s="31"/>
      <c r="AD436" s="31"/>
      <c r="AE436" s="1"/>
    </row>
    <row r="437">
      <c r="A437" s="104"/>
      <c r="C437" s="128"/>
      <c r="D437" s="74"/>
      <c r="E437" s="1"/>
      <c r="F437" s="1"/>
      <c r="G437" s="1"/>
      <c r="H437" s="118"/>
      <c r="I437" s="177"/>
      <c r="J437" s="31"/>
      <c r="K437" s="1"/>
      <c r="L437" s="120"/>
      <c r="M437" s="121"/>
      <c r="N437" s="121"/>
      <c r="O437" s="118"/>
      <c r="P437" s="118"/>
      <c r="Q437" s="31"/>
      <c r="R437" s="122"/>
      <c r="S437" s="121"/>
      <c r="T437" s="122"/>
      <c r="U437" s="121"/>
      <c r="V437" s="123"/>
      <c r="W437" s="124"/>
      <c r="X437" s="178"/>
      <c r="Y437" s="126"/>
      <c r="Z437" s="126"/>
      <c r="AB437" s="31"/>
      <c r="AC437" s="31"/>
      <c r="AD437" s="31"/>
      <c r="AE437" s="1"/>
    </row>
    <row r="438">
      <c r="A438" s="104"/>
      <c r="C438" s="128"/>
      <c r="D438" s="74"/>
      <c r="E438" s="1"/>
      <c r="F438" s="1"/>
      <c r="G438" s="1"/>
      <c r="H438" s="118"/>
      <c r="I438" s="177"/>
      <c r="J438" s="31"/>
      <c r="K438" s="1"/>
      <c r="L438" s="120"/>
      <c r="M438" s="121"/>
      <c r="N438" s="121"/>
      <c r="O438" s="118"/>
      <c r="P438" s="118"/>
      <c r="Q438" s="31"/>
      <c r="R438" s="122"/>
      <c r="S438" s="121"/>
      <c r="T438" s="122"/>
      <c r="U438" s="121"/>
      <c r="V438" s="123"/>
      <c r="W438" s="124"/>
      <c r="X438" s="178"/>
      <c r="Y438" s="126"/>
      <c r="Z438" s="126"/>
      <c r="AB438" s="31"/>
      <c r="AC438" s="31"/>
      <c r="AD438" s="31"/>
      <c r="AE438" s="1"/>
    </row>
    <row r="439">
      <c r="A439" s="104"/>
      <c r="C439" s="128"/>
      <c r="D439" s="74"/>
      <c r="E439" s="1"/>
      <c r="F439" s="1"/>
      <c r="G439" s="1"/>
      <c r="H439" s="118"/>
      <c r="I439" s="177"/>
      <c r="J439" s="31"/>
      <c r="K439" s="1"/>
      <c r="L439" s="120"/>
      <c r="M439" s="121"/>
      <c r="N439" s="121"/>
      <c r="O439" s="118"/>
      <c r="P439" s="118"/>
      <c r="Q439" s="31"/>
      <c r="R439" s="122"/>
      <c r="S439" s="121"/>
      <c r="T439" s="122"/>
      <c r="U439" s="121"/>
      <c r="V439" s="123"/>
      <c r="W439" s="124"/>
      <c r="X439" s="178"/>
      <c r="Y439" s="126"/>
      <c r="Z439" s="126"/>
      <c r="AB439" s="31"/>
      <c r="AC439" s="31"/>
      <c r="AD439" s="31"/>
      <c r="AE439" s="1"/>
    </row>
    <row r="440">
      <c r="A440" s="104"/>
      <c r="C440" s="128"/>
      <c r="D440" s="74"/>
      <c r="E440" s="1"/>
      <c r="F440" s="1"/>
      <c r="G440" s="1"/>
      <c r="H440" s="118"/>
      <c r="I440" s="177"/>
      <c r="J440" s="31"/>
      <c r="K440" s="1"/>
      <c r="L440" s="120"/>
      <c r="M440" s="121"/>
      <c r="N440" s="121"/>
      <c r="O440" s="118"/>
      <c r="P440" s="118"/>
      <c r="Q440" s="31"/>
      <c r="R440" s="122"/>
      <c r="S440" s="121"/>
      <c r="T440" s="122"/>
      <c r="U440" s="121"/>
      <c r="V440" s="123"/>
      <c r="W440" s="124"/>
      <c r="X440" s="178"/>
      <c r="Y440" s="126"/>
      <c r="Z440" s="126"/>
      <c r="AB440" s="31"/>
      <c r="AC440" s="31"/>
      <c r="AD440" s="31"/>
      <c r="AE440" s="1"/>
    </row>
    <row r="441">
      <c r="A441" s="104"/>
      <c r="C441" s="128"/>
      <c r="D441" s="74"/>
      <c r="E441" s="1"/>
      <c r="F441" s="1"/>
      <c r="G441" s="1"/>
      <c r="H441" s="118"/>
      <c r="I441" s="177"/>
      <c r="J441" s="31"/>
      <c r="K441" s="1"/>
      <c r="L441" s="120"/>
      <c r="M441" s="121"/>
      <c r="N441" s="121"/>
      <c r="O441" s="118"/>
      <c r="P441" s="118"/>
      <c r="Q441" s="31"/>
      <c r="R441" s="122"/>
      <c r="S441" s="121"/>
      <c r="T441" s="122"/>
      <c r="U441" s="121"/>
      <c r="V441" s="123"/>
      <c r="W441" s="124"/>
      <c r="X441" s="178"/>
      <c r="Y441" s="126"/>
      <c r="Z441" s="126"/>
      <c r="AB441" s="31"/>
      <c r="AC441" s="31"/>
      <c r="AD441" s="31"/>
      <c r="AE441" s="1"/>
    </row>
    <row r="442">
      <c r="A442" s="104"/>
      <c r="C442" s="128"/>
      <c r="D442" s="74"/>
      <c r="E442" s="1"/>
      <c r="F442" s="1"/>
      <c r="G442" s="1"/>
      <c r="H442" s="118"/>
      <c r="I442" s="177"/>
      <c r="J442" s="31"/>
      <c r="K442" s="1"/>
      <c r="L442" s="120"/>
      <c r="M442" s="121"/>
      <c r="N442" s="121"/>
      <c r="O442" s="118"/>
      <c r="P442" s="118"/>
      <c r="Q442" s="31"/>
      <c r="R442" s="122"/>
      <c r="S442" s="121"/>
      <c r="T442" s="122"/>
      <c r="U442" s="121"/>
      <c r="V442" s="123"/>
      <c r="W442" s="124"/>
      <c r="X442" s="178"/>
      <c r="Y442" s="126"/>
      <c r="Z442" s="126"/>
      <c r="AB442" s="31"/>
      <c r="AC442" s="31"/>
      <c r="AD442" s="31"/>
      <c r="AE442" s="1"/>
    </row>
    <row r="443">
      <c r="A443" s="104"/>
      <c r="C443" s="128"/>
      <c r="D443" s="74"/>
      <c r="E443" s="1"/>
      <c r="F443" s="1"/>
      <c r="G443" s="1"/>
      <c r="H443" s="118"/>
      <c r="I443" s="177"/>
      <c r="J443" s="31"/>
      <c r="K443" s="1"/>
      <c r="L443" s="120"/>
      <c r="M443" s="121"/>
      <c r="N443" s="121"/>
      <c r="O443" s="118"/>
      <c r="P443" s="118"/>
      <c r="Q443" s="31"/>
      <c r="R443" s="122"/>
      <c r="S443" s="121"/>
      <c r="T443" s="122"/>
      <c r="U443" s="121"/>
      <c r="V443" s="123"/>
      <c r="W443" s="124"/>
      <c r="X443" s="178"/>
      <c r="Y443" s="126"/>
      <c r="Z443" s="126"/>
      <c r="AB443" s="31"/>
      <c r="AC443" s="31"/>
      <c r="AD443" s="31"/>
      <c r="AE443" s="1"/>
    </row>
    <row r="444">
      <c r="A444" s="104"/>
      <c r="C444" s="128"/>
      <c r="D444" s="74"/>
      <c r="E444" s="1"/>
      <c r="F444" s="1"/>
      <c r="G444" s="1"/>
      <c r="H444" s="118"/>
      <c r="I444" s="177"/>
      <c r="J444" s="31"/>
      <c r="K444" s="1"/>
      <c r="L444" s="120"/>
      <c r="M444" s="121"/>
      <c r="N444" s="121"/>
      <c r="O444" s="118"/>
      <c r="P444" s="118"/>
      <c r="Q444" s="31"/>
      <c r="R444" s="122"/>
      <c r="S444" s="121"/>
      <c r="T444" s="122"/>
      <c r="U444" s="121"/>
      <c r="V444" s="123"/>
      <c r="W444" s="124"/>
      <c r="X444" s="178"/>
      <c r="Y444" s="126"/>
      <c r="Z444" s="126"/>
      <c r="AB444" s="31"/>
      <c r="AC444" s="31"/>
      <c r="AD444" s="31"/>
      <c r="AE444" s="1"/>
    </row>
    <row r="445">
      <c r="A445" s="104"/>
      <c r="C445" s="128"/>
      <c r="D445" s="74"/>
      <c r="E445" s="1"/>
      <c r="F445" s="1"/>
      <c r="G445" s="1"/>
      <c r="H445" s="118"/>
      <c r="I445" s="177"/>
      <c r="J445" s="31"/>
      <c r="K445" s="1"/>
      <c r="L445" s="120"/>
      <c r="M445" s="121"/>
      <c r="N445" s="121"/>
      <c r="O445" s="118"/>
      <c r="P445" s="118"/>
      <c r="Q445" s="31"/>
      <c r="R445" s="122"/>
      <c r="S445" s="121"/>
      <c r="T445" s="122"/>
      <c r="U445" s="121"/>
      <c r="V445" s="123"/>
      <c r="W445" s="124"/>
      <c r="X445" s="178"/>
      <c r="Y445" s="126"/>
      <c r="Z445" s="126"/>
      <c r="AB445" s="31"/>
      <c r="AC445" s="31"/>
      <c r="AD445" s="31"/>
      <c r="AE445" s="1"/>
    </row>
    <row r="446">
      <c r="A446" s="104"/>
      <c r="C446" s="128"/>
      <c r="D446" s="74"/>
      <c r="E446" s="1"/>
      <c r="F446" s="1"/>
      <c r="G446" s="1"/>
      <c r="H446" s="118"/>
      <c r="I446" s="177"/>
      <c r="J446" s="31"/>
      <c r="K446" s="1"/>
      <c r="L446" s="120"/>
      <c r="M446" s="121"/>
      <c r="N446" s="121"/>
      <c r="O446" s="118"/>
      <c r="P446" s="118"/>
      <c r="Q446" s="31"/>
      <c r="R446" s="122"/>
      <c r="S446" s="121"/>
      <c r="T446" s="122"/>
      <c r="U446" s="121"/>
      <c r="V446" s="123"/>
      <c r="W446" s="124"/>
      <c r="X446" s="178"/>
      <c r="Y446" s="126"/>
      <c r="Z446" s="126"/>
      <c r="AB446" s="31"/>
      <c r="AC446" s="31"/>
      <c r="AD446" s="31"/>
      <c r="AE446" s="1"/>
    </row>
    <row r="447">
      <c r="A447" s="104"/>
      <c r="C447" s="128"/>
      <c r="D447" s="74"/>
      <c r="E447" s="1"/>
      <c r="F447" s="1"/>
      <c r="G447" s="1"/>
      <c r="H447" s="118"/>
      <c r="I447" s="177"/>
      <c r="J447" s="31"/>
      <c r="K447" s="1"/>
      <c r="L447" s="120"/>
      <c r="M447" s="121"/>
      <c r="N447" s="121"/>
      <c r="O447" s="118"/>
      <c r="P447" s="118"/>
      <c r="Q447" s="31"/>
      <c r="R447" s="122"/>
      <c r="S447" s="121"/>
      <c r="T447" s="122"/>
      <c r="U447" s="121"/>
      <c r="V447" s="123"/>
      <c r="W447" s="124"/>
      <c r="X447" s="178"/>
      <c r="Y447" s="126"/>
      <c r="Z447" s="126"/>
      <c r="AB447" s="31"/>
      <c r="AC447" s="31"/>
      <c r="AD447" s="31"/>
      <c r="AE447" s="1"/>
    </row>
    <row r="448">
      <c r="A448" s="104"/>
      <c r="C448" s="128"/>
      <c r="D448" s="74"/>
      <c r="E448" s="1"/>
      <c r="F448" s="1"/>
      <c r="G448" s="1"/>
      <c r="H448" s="118"/>
      <c r="I448" s="177"/>
      <c r="J448" s="31"/>
      <c r="K448" s="1"/>
      <c r="L448" s="120"/>
      <c r="M448" s="121"/>
      <c r="N448" s="121"/>
      <c r="O448" s="118"/>
      <c r="P448" s="118"/>
      <c r="Q448" s="31"/>
      <c r="R448" s="122"/>
      <c r="S448" s="121"/>
      <c r="T448" s="122"/>
      <c r="U448" s="121"/>
      <c r="V448" s="123"/>
      <c r="W448" s="124"/>
      <c r="X448" s="178"/>
      <c r="Y448" s="126"/>
      <c r="Z448" s="126"/>
      <c r="AB448" s="31"/>
      <c r="AC448" s="31"/>
      <c r="AD448" s="31"/>
      <c r="AE448" s="1"/>
    </row>
    <row r="449">
      <c r="A449" s="104"/>
      <c r="C449" s="128"/>
      <c r="D449" s="74"/>
      <c r="E449" s="1"/>
      <c r="F449" s="1"/>
      <c r="G449" s="1"/>
      <c r="H449" s="118"/>
      <c r="I449" s="177"/>
      <c r="J449" s="31"/>
      <c r="K449" s="1"/>
      <c r="L449" s="120"/>
      <c r="M449" s="121"/>
      <c r="N449" s="121"/>
      <c r="O449" s="118"/>
      <c r="P449" s="118"/>
      <c r="Q449" s="31"/>
      <c r="R449" s="122"/>
      <c r="S449" s="121"/>
      <c r="T449" s="122"/>
      <c r="U449" s="121"/>
      <c r="V449" s="123"/>
      <c r="W449" s="124"/>
      <c r="X449" s="178"/>
      <c r="Y449" s="126"/>
      <c r="Z449" s="126"/>
      <c r="AB449" s="31"/>
      <c r="AC449" s="31"/>
      <c r="AD449" s="31"/>
      <c r="AE449" s="1"/>
    </row>
    <row r="450">
      <c r="A450" s="104"/>
      <c r="C450" s="128"/>
      <c r="D450" s="74"/>
      <c r="E450" s="1"/>
      <c r="F450" s="1"/>
      <c r="G450" s="1"/>
      <c r="H450" s="118"/>
      <c r="I450" s="177"/>
      <c r="J450" s="31"/>
      <c r="K450" s="1"/>
      <c r="L450" s="120"/>
      <c r="M450" s="121"/>
      <c r="N450" s="121"/>
      <c r="O450" s="118"/>
      <c r="P450" s="118"/>
      <c r="Q450" s="31"/>
      <c r="R450" s="122"/>
      <c r="S450" s="121"/>
      <c r="T450" s="122"/>
      <c r="U450" s="121"/>
      <c r="V450" s="123"/>
      <c r="W450" s="124"/>
      <c r="X450" s="178"/>
      <c r="Y450" s="126"/>
      <c r="Z450" s="126"/>
      <c r="AB450" s="31"/>
      <c r="AC450" s="31"/>
      <c r="AD450" s="31"/>
      <c r="AE450" s="1"/>
    </row>
    <row r="451">
      <c r="A451" s="104"/>
      <c r="C451" s="128"/>
      <c r="D451" s="74"/>
      <c r="E451" s="1"/>
      <c r="F451" s="1"/>
      <c r="G451" s="1"/>
      <c r="H451" s="118"/>
      <c r="I451" s="177"/>
      <c r="J451" s="31"/>
      <c r="K451" s="1"/>
      <c r="L451" s="120"/>
      <c r="M451" s="121"/>
      <c r="N451" s="121"/>
      <c r="O451" s="118"/>
      <c r="P451" s="118"/>
      <c r="Q451" s="31"/>
      <c r="R451" s="122"/>
      <c r="S451" s="121"/>
      <c r="T451" s="122"/>
      <c r="U451" s="121"/>
      <c r="V451" s="123"/>
      <c r="W451" s="124"/>
      <c r="X451" s="178"/>
      <c r="Y451" s="126"/>
      <c r="Z451" s="126"/>
      <c r="AB451" s="31"/>
      <c r="AC451" s="31"/>
      <c r="AD451" s="31"/>
      <c r="AE451" s="1"/>
    </row>
    <row r="452">
      <c r="A452" s="104"/>
      <c r="C452" s="128"/>
      <c r="D452" s="74"/>
      <c r="E452" s="1"/>
      <c r="F452" s="1"/>
      <c r="G452" s="1"/>
      <c r="H452" s="118"/>
      <c r="I452" s="177"/>
      <c r="J452" s="31"/>
      <c r="K452" s="1"/>
      <c r="L452" s="120"/>
      <c r="M452" s="121"/>
      <c r="N452" s="121"/>
      <c r="O452" s="118"/>
      <c r="P452" s="118"/>
      <c r="Q452" s="31"/>
      <c r="R452" s="122"/>
      <c r="S452" s="121"/>
      <c r="T452" s="122"/>
      <c r="U452" s="121"/>
      <c r="V452" s="123"/>
      <c r="W452" s="124"/>
      <c r="X452" s="178"/>
      <c r="Y452" s="126"/>
      <c r="Z452" s="126"/>
      <c r="AB452" s="31"/>
      <c r="AC452" s="31"/>
      <c r="AD452" s="31"/>
      <c r="AE452" s="1"/>
    </row>
    <row r="453">
      <c r="A453" s="104"/>
      <c r="C453" s="128"/>
      <c r="D453" s="74"/>
      <c r="E453" s="1"/>
      <c r="F453" s="1"/>
      <c r="G453" s="1"/>
      <c r="H453" s="118"/>
      <c r="I453" s="177"/>
      <c r="J453" s="31"/>
      <c r="K453" s="1"/>
      <c r="L453" s="120"/>
      <c r="M453" s="121"/>
      <c r="N453" s="121"/>
      <c r="O453" s="118"/>
      <c r="P453" s="118"/>
      <c r="Q453" s="31"/>
      <c r="R453" s="122"/>
      <c r="S453" s="121"/>
      <c r="T453" s="122"/>
      <c r="U453" s="121"/>
      <c r="V453" s="123"/>
      <c r="W453" s="124"/>
      <c r="X453" s="178"/>
      <c r="Y453" s="126"/>
      <c r="Z453" s="126"/>
      <c r="AB453" s="31"/>
      <c r="AC453" s="31"/>
      <c r="AD453" s="31"/>
      <c r="AE453" s="1"/>
    </row>
    <row r="454">
      <c r="A454" s="104"/>
      <c r="C454" s="128"/>
      <c r="D454" s="74"/>
      <c r="E454" s="1"/>
      <c r="F454" s="1"/>
      <c r="G454" s="1"/>
      <c r="H454" s="118"/>
      <c r="I454" s="177"/>
      <c r="J454" s="31"/>
      <c r="K454" s="1"/>
      <c r="L454" s="120"/>
      <c r="M454" s="121"/>
      <c r="N454" s="121"/>
      <c r="O454" s="118"/>
      <c r="P454" s="118"/>
      <c r="Q454" s="31"/>
      <c r="R454" s="122"/>
      <c r="S454" s="121"/>
      <c r="T454" s="122"/>
      <c r="U454" s="121"/>
      <c r="V454" s="123"/>
      <c r="W454" s="124"/>
      <c r="X454" s="178"/>
      <c r="Y454" s="126"/>
      <c r="Z454" s="126"/>
      <c r="AB454" s="31"/>
      <c r="AC454" s="31"/>
      <c r="AD454" s="31"/>
      <c r="AE454" s="1"/>
    </row>
    <row r="455">
      <c r="A455" s="104"/>
      <c r="C455" s="128"/>
      <c r="D455" s="74"/>
      <c r="E455" s="1"/>
      <c r="F455" s="1"/>
      <c r="G455" s="1"/>
      <c r="H455" s="118"/>
      <c r="I455" s="177"/>
      <c r="J455" s="31"/>
      <c r="K455" s="1"/>
      <c r="L455" s="120"/>
      <c r="M455" s="121"/>
      <c r="N455" s="121"/>
      <c r="O455" s="118"/>
      <c r="P455" s="118"/>
      <c r="Q455" s="31"/>
      <c r="R455" s="122"/>
      <c r="S455" s="121"/>
      <c r="T455" s="122"/>
      <c r="U455" s="121"/>
      <c r="V455" s="123"/>
      <c r="W455" s="124"/>
      <c r="X455" s="178"/>
      <c r="Y455" s="126"/>
      <c r="Z455" s="126"/>
      <c r="AB455" s="31"/>
      <c r="AC455" s="31"/>
      <c r="AD455" s="31"/>
      <c r="AE455" s="1"/>
    </row>
    <row r="456">
      <c r="A456" s="104"/>
      <c r="C456" s="128"/>
      <c r="D456" s="74"/>
      <c r="E456" s="1"/>
      <c r="F456" s="1"/>
      <c r="G456" s="1"/>
      <c r="H456" s="118"/>
      <c r="I456" s="177"/>
      <c r="J456" s="31"/>
      <c r="K456" s="1"/>
      <c r="L456" s="120"/>
      <c r="M456" s="121"/>
      <c r="N456" s="121"/>
      <c r="O456" s="118"/>
      <c r="P456" s="118"/>
      <c r="Q456" s="31"/>
      <c r="R456" s="122"/>
      <c r="S456" s="121"/>
      <c r="T456" s="122"/>
      <c r="U456" s="121"/>
      <c r="V456" s="123"/>
      <c r="W456" s="124"/>
      <c r="X456" s="178"/>
      <c r="Y456" s="126"/>
      <c r="Z456" s="126"/>
      <c r="AB456" s="31"/>
      <c r="AC456" s="31"/>
      <c r="AD456" s="31"/>
      <c r="AE456" s="1"/>
    </row>
    <row r="457">
      <c r="A457" s="104"/>
      <c r="C457" s="128"/>
      <c r="D457" s="74"/>
      <c r="E457" s="1"/>
      <c r="F457" s="1"/>
      <c r="G457" s="1"/>
      <c r="H457" s="118"/>
      <c r="I457" s="177"/>
      <c r="J457" s="31"/>
      <c r="K457" s="1"/>
      <c r="L457" s="120"/>
      <c r="M457" s="121"/>
      <c r="N457" s="121"/>
      <c r="O457" s="118"/>
      <c r="P457" s="118"/>
      <c r="Q457" s="31"/>
      <c r="R457" s="122"/>
      <c r="S457" s="121"/>
      <c r="T457" s="122"/>
      <c r="U457" s="121"/>
      <c r="V457" s="123"/>
      <c r="W457" s="124"/>
      <c r="X457" s="178"/>
      <c r="Y457" s="126"/>
      <c r="Z457" s="126"/>
      <c r="AB457" s="31"/>
      <c r="AC457" s="31"/>
      <c r="AD457" s="31"/>
      <c r="AE457" s="1"/>
    </row>
    <row r="458">
      <c r="A458" s="104"/>
      <c r="C458" s="128"/>
      <c r="D458" s="74"/>
      <c r="E458" s="1"/>
      <c r="F458" s="1"/>
      <c r="G458" s="1"/>
      <c r="H458" s="118"/>
      <c r="I458" s="177"/>
      <c r="J458" s="31"/>
      <c r="K458" s="1"/>
      <c r="L458" s="120"/>
      <c r="M458" s="121"/>
      <c r="N458" s="121"/>
      <c r="O458" s="118"/>
      <c r="P458" s="118"/>
      <c r="Q458" s="31"/>
      <c r="R458" s="122"/>
      <c r="S458" s="121"/>
      <c r="T458" s="122"/>
      <c r="U458" s="121"/>
      <c r="V458" s="123"/>
      <c r="W458" s="124"/>
      <c r="X458" s="178"/>
      <c r="Y458" s="126"/>
      <c r="Z458" s="126"/>
      <c r="AB458" s="31"/>
      <c r="AC458" s="31"/>
      <c r="AD458" s="31"/>
      <c r="AE458" s="1"/>
    </row>
    <row r="459">
      <c r="A459" s="104"/>
      <c r="C459" s="128"/>
      <c r="D459" s="74"/>
      <c r="E459" s="1"/>
      <c r="F459" s="1"/>
      <c r="G459" s="1"/>
      <c r="H459" s="118"/>
      <c r="I459" s="177"/>
      <c r="J459" s="31"/>
      <c r="K459" s="1"/>
      <c r="L459" s="120"/>
      <c r="M459" s="121"/>
      <c r="N459" s="121"/>
      <c r="O459" s="118"/>
      <c r="P459" s="118"/>
      <c r="Q459" s="31"/>
      <c r="R459" s="122"/>
      <c r="S459" s="121"/>
      <c r="T459" s="122"/>
      <c r="U459" s="121"/>
      <c r="V459" s="123"/>
      <c r="W459" s="124"/>
      <c r="X459" s="178"/>
      <c r="Y459" s="126"/>
      <c r="Z459" s="126"/>
      <c r="AB459" s="31"/>
      <c r="AC459" s="31"/>
      <c r="AD459" s="31"/>
      <c r="AE459" s="1"/>
    </row>
    <row r="460">
      <c r="A460" s="104"/>
      <c r="C460" s="128"/>
      <c r="D460" s="74"/>
      <c r="E460" s="1"/>
      <c r="F460" s="1"/>
      <c r="G460" s="1"/>
      <c r="H460" s="118"/>
      <c r="I460" s="177"/>
      <c r="J460" s="31"/>
      <c r="K460" s="1"/>
      <c r="L460" s="120"/>
      <c r="M460" s="121"/>
      <c r="N460" s="121"/>
      <c r="O460" s="118"/>
      <c r="P460" s="118"/>
      <c r="Q460" s="31"/>
      <c r="R460" s="122"/>
      <c r="S460" s="121"/>
      <c r="T460" s="122"/>
      <c r="U460" s="121"/>
      <c r="V460" s="123"/>
      <c r="W460" s="124"/>
      <c r="X460" s="178"/>
      <c r="Y460" s="126"/>
      <c r="Z460" s="126"/>
      <c r="AB460" s="31"/>
      <c r="AC460" s="31"/>
      <c r="AD460" s="31"/>
      <c r="AE460" s="1"/>
    </row>
    <row r="461">
      <c r="A461" s="104"/>
      <c r="C461" s="128"/>
      <c r="D461" s="74"/>
      <c r="E461" s="1"/>
      <c r="F461" s="1"/>
      <c r="G461" s="1"/>
      <c r="H461" s="118"/>
      <c r="I461" s="177"/>
      <c r="J461" s="31"/>
      <c r="K461" s="1"/>
      <c r="L461" s="120"/>
      <c r="M461" s="121"/>
      <c r="N461" s="121"/>
      <c r="O461" s="118"/>
      <c r="P461" s="118"/>
      <c r="Q461" s="31"/>
      <c r="R461" s="122"/>
      <c r="S461" s="121"/>
      <c r="T461" s="122"/>
      <c r="U461" s="121"/>
      <c r="V461" s="123"/>
      <c r="W461" s="124"/>
      <c r="X461" s="178"/>
      <c r="Y461" s="126"/>
      <c r="Z461" s="126"/>
      <c r="AB461" s="31"/>
      <c r="AC461" s="31"/>
      <c r="AD461" s="31"/>
      <c r="AE461" s="1"/>
    </row>
    <row r="462">
      <c r="A462" s="104"/>
      <c r="C462" s="128"/>
      <c r="D462" s="74"/>
      <c r="E462" s="1"/>
      <c r="F462" s="1"/>
      <c r="G462" s="1"/>
      <c r="H462" s="118"/>
      <c r="I462" s="177"/>
      <c r="J462" s="31"/>
      <c r="K462" s="1"/>
      <c r="L462" s="120"/>
      <c r="M462" s="121"/>
      <c r="N462" s="121"/>
      <c r="O462" s="118"/>
      <c r="P462" s="118"/>
      <c r="Q462" s="31"/>
      <c r="R462" s="122"/>
      <c r="S462" s="121"/>
      <c r="T462" s="122"/>
      <c r="U462" s="121"/>
      <c r="V462" s="123"/>
      <c r="W462" s="124"/>
      <c r="X462" s="178"/>
      <c r="Y462" s="126"/>
      <c r="Z462" s="126"/>
      <c r="AB462" s="31"/>
      <c r="AC462" s="31"/>
      <c r="AD462" s="31"/>
      <c r="AE462" s="1"/>
    </row>
    <row r="463">
      <c r="A463" s="104"/>
      <c r="C463" s="128"/>
      <c r="D463" s="74"/>
      <c r="E463" s="1"/>
      <c r="F463" s="1"/>
      <c r="G463" s="1"/>
      <c r="H463" s="118"/>
      <c r="I463" s="177"/>
      <c r="J463" s="31"/>
      <c r="K463" s="1"/>
      <c r="L463" s="120"/>
      <c r="M463" s="121"/>
      <c r="N463" s="121"/>
      <c r="O463" s="118"/>
      <c r="P463" s="118"/>
      <c r="Q463" s="31"/>
      <c r="R463" s="122"/>
      <c r="S463" s="121"/>
      <c r="T463" s="122"/>
      <c r="U463" s="121"/>
      <c r="V463" s="123"/>
      <c r="W463" s="124"/>
      <c r="X463" s="178"/>
      <c r="Y463" s="126"/>
      <c r="Z463" s="126"/>
      <c r="AB463" s="31"/>
      <c r="AC463" s="31"/>
      <c r="AD463" s="31"/>
      <c r="AE463" s="1"/>
    </row>
    <row r="464">
      <c r="A464" s="104"/>
      <c r="C464" s="128"/>
      <c r="D464" s="74"/>
      <c r="E464" s="1"/>
      <c r="F464" s="1"/>
      <c r="G464" s="1"/>
      <c r="H464" s="118"/>
      <c r="I464" s="177"/>
      <c r="J464" s="31"/>
      <c r="K464" s="1"/>
      <c r="L464" s="120"/>
      <c r="M464" s="121"/>
      <c r="N464" s="121"/>
      <c r="O464" s="118"/>
      <c r="P464" s="118"/>
      <c r="Q464" s="31"/>
      <c r="R464" s="122"/>
      <c r="S464" s="121"/>
      <c r="T464" s="122"/>
      <c r="U464" s="121"/>
      <c r="V464" s="123"/>
      <c r="W464" s="124"/>
      <c r="X464" s="178"/>
      <c r="Y464" s="126"/>
      <c r="Z464" s="126"/>
      <c r="AB464" s="31"/>
      <c r="AC464" s="31"/>
      <c r="AD464" s="31"/>
      <c r="AE464" s="1"/>
    </row>
    <row r="465">
      <c r="A465" s="104"/>
      <c r="C465" s="128"/>
      <c r="D465" s="74"/>
      <c r="E465" s="1"/>
      <c r="F465" s="1"/>
      <c r="G465" s="1"/>
      <c r="H465" s="118"/>
      <c r="I465" s="177"/>
      <c r="J465" s="31"/>
      <c r="K465" s="1"/>
      <c r="L465" s="120"/>
      <c r="M465" s="121"/>
      <c r="N465" s="121"/>
      <c r="O465" s="118"/>
      <c r="P465" s="118"/>
      <c r="Q465" s="31"/>
      <c r="R465" s="122"/>
      <c r="S465" s="121"/>
      <c r="T465" s="122"/>
      <c r="U465" s="121"/>
      <c r="V465" s="123"/>
      <c r="W465" s="124"/>
      <c r="X465" s="178"/>
      <c r="Y465" s="126"/>
      <c r="Z465" s="126"/>
      <c r="AB465" s="31"/>
      <c r="AC465" s="31"/>
      <c r="AD465" s="31"/>
      <c r="AE465" s="1"/>
    </row>
    <row r="466">
      <c r="A466" s="104"/>
      <c r="C466" s="128"/>
      <c r="D466" s="74"/>
      <c r="E466" s="1"/>
      <c r="F466" s="1"/>
      <c r="G466" s="1"/>
      <c r="H466" s="118"/>
      <c r="I466" s="177"/>
      <c r="J466" s="31"/>
      <c r="K466" s="1"/>
      <c r="L466" s="120"/>
      <c r="M466" s="121"/>
      <c r="N466" s="121"/>
      <c r="O466" s="118"/>
      <c r="P466" s="118"/>
      <c r="Q466" s="31"/>
      <c r="R466" s="122"/>
      <c r="S466" s="121"/>
      <c r="T466" s="122"/>
      <c r="U466" s="121"/>
      <c r="V466" s="123"/>
      <c r="W466" s="124"/>
      <c r="X466" s="178"/>
      <c r="Y466" s="126"/>
      <c r="Z466" s="126"/>
      <c r="AB466" s="31"/>
      <c r="AC466" s="31"/>
      <c r="AD466" s="31"/>
      <c r="AE466" s="1"/>
    </row>
    <row r="467">
      <c r="A467" s="104"/>
      <c r="C467" s="128"/>
      <c r="D467" s="74"/>
      <c r="E467" s="1"/>
      <c r="F467" s="1"/>
      <c r="G467" s="1"/>
      <c r="H467" s="118"/>
      <c r="I467" s="177"/>
      <c r="J467" s="31"/>
      <c r="K467" s="1"/>
      <c r="L467" s="120"/>
      <c r="M467" s="121"/>
      <c r="N467" s="121"/>
      <c r="O467" s="118"/>
      <c r="P467" s="118"/>
      <c r="Q467" s="31"/>
      <c r="R467" s="122"/>
      <c r="S467" s="121"/>
      <c r="T467" s="122"/>
      <c r="U467" s="121"/>
      <c r="V467" s="123"/>
      <c r="W467" s="124"/>
      <c r="X467" s="178"/>
      <c r="Y467" s="126"/>
      <c r="Z467" s="126"/>
      <c r="AB467" s="31"/>
      <c r="AC467" s="31"/>
      <c r="AD467" s="31"/>
      <c r="AE467" s="1"/>
    </row>
    <row r="468">
      <c r="A468" s="104"/>
      <c r="C468" s="128"/>
      <c r="D468" s="74"/>
      <c r="E468" s="1"/>
      <c r="F468" s="1"/>
      <c r="G468" s="1"/>
      <c r="H468" s="118"/>
      <c r="I468" s="177"/>
      <c r="J468" s="31"/>
      <c r="K468" s="1"/>
      <c r="L468" s="120"/>
      <c r="M468" s="121"/>
      <c r="N468" s="121"/>
      <c r="O468" s="118"/>
      <c r="P468" s="118"/>
      <c r="Q468" s="31"/>
      <c r="R468" s="122"/>
      <c r="S468" s="121"/>
      <c r="T468" s="122"/>
      <c r="U468" s="121"/>
      <c r="V468" s="123"/>
      <c r="W468" s="124"/>
      <c r="X468" s="178"/>
      <c r="Y468" s="126"/>
      <c r="Z468" s="126"/>
      <c r="AB468" s="31"/>
      <c r="AC468" s="31"/>
      <c r="AD468" s="31"/>
      <c r="AE468" s="1"/>
    </row>
    <row r="469">
      <c r="A469" s="104"/>
      <c r="C469" s="128"/>
      <c r="D469" s="74"/>
      <c r="E469" s="1"/>
      <c r="F469" s="1"/>
      <c r="G469" s="1"/>
      <c r="H469" s="118"/>
      <c r="I469" s="177"/>
      <c r="J469" s="31"/>
      <c r="K469" s="1"/>
      <c r="L469" s="120"/>
      <c r="M469" s="121"/>
      <c r="N469" s="121"/>
      <c r="O469" s="118"/>
      <c r="P469" s="118"/>
      <c r="Q469" s="31"/>
      <c r="R469" s="122"/>
      <c r="S469" s="121"/>
      <c r="T469" s="122"/>
      <c r="U469" s="121"/>
      <c r="V469" s="123"/>
      <c r="W469" s="124"/>
      <c r="X469" s="178"/>
      <c r="Y469" s="126"/>
      <c r="Z469" s="126"/>
      <c r="AB469" s="31"/>
      <c r="AC469" s="31"/>
      <c r="AD469" s="31"/>
      <c r="AE469" s="1"/>
    </row>
    <row r="470">
      <c r="A470" s="104"/>
      <c r="C470" s="128"/>
      <c r="D470" s="74"/>
      <c r="E470" s="1"/>
      <c r="F470" s="1"/>
      <c r="G470" s="1"/>
      <c r="H470" s="118"/>
      <c r="I470" s="177"/>
      <c r="J470" s="31"/>
      <c r="K470" s="1"/>
      <c r="L470" s="120"/>
      <c r="M470" s="121"/>
      <c r="N470" s="121"/>
      <c r="O470" s="118"/>
      <c r="P470" s="118"/>
      <c r="Q470" s="31"/>
      <c r="R470" s="122"/>
      <c r="S470" s="121"/>
      <c r="T470" s="122"/>
      <c r="U470" s="121"/>
      <c r="V470" s="123"/>
      <c r="W470" s="124"/>
      <c r="X470" s="178"/>
      <c r="Y470" s="126"/>
      <c r="Z470" s="126"/>
      <c r="AB470" s="31"/>
      <c r="AC470" s="31"/>
      <c r="AD470" s="31"/>
      <c r="AE470" s="1"/>
    </row>
    <row r="471">
      <c r="A471" s="104"/>
      <c r="C471" s="128"/>
      <c r="D471" s="74"/>
      <c r="E471" s="1"/>
      <c r="F471" s="1"/>
      <c r="G471" s="1"/>
      <c r="H471" s="118"/>
      <c r="I471" s="177"/>
      <c r="J471" s="31"/>
      <c r="K471" s="1"/>
      <c r="L471" s="120"/>
      <c r="M471" s="121"/>
      <c r="N471" s="121"/>
      <c r="O471" s="118"/>
      <c r="P471" s="118"/>
      <c r="Q471" s="31"/>
      <c r="R471" s="122"/>
      <c r="S471" s="121"/>
      <c r="T471" s="122"/>
      <c r="U471" s="121"/>
      <c r="V471" s="123"/>
      <c r="W471" s="124"/>
      <c r="X471" s="178"/>
      <c r="Y471" s="126"/>
      <c r="Z471" s="126"/>
      <c r="AB471" s="31"/>
      <c r="AC471" s="31"/>
      <c r="AD471" s="31"/>
      <c r="AE471" s="1"/>
    </row>
    <row r="472">
      <c r="A472" s="104"/>
      <c r="C472" s="128"/>
      <c r="D472" s="74"/>
      <c r="E472" s="1"/>
      <c r="F472" s="1"/>
      <c r="G472" s="1"/>
      <c r="H472" s="118"/>
      <c r="I472" s="177"/>
      <c r="J472" s="31"/>
      <c r="K472" s="1"/>
      <c r="L472" s="120"/>
      <c r="M472" s="121"/>
      <c r="N472" s="121"/>
      <c r="O472" s="118"/>
      <c r="P472" s="118"/>
      <c r="Q472" s="31"/>
      <c r="R472" s="122"/>
      <c r="S472" s="121"/>
      <c r="T472" s="122"/>
      <c r="U472" s="121"/>
      <c r="V472" s="123"/>
      <c r="W472" s="124"/>
      <c r="X472" s="178"/>
      <c r="Y472" s="126"/>
      <c r="Z472" s="126"/>
      <c r="AB472" s="31"/>
      <c r="AC472" s="31"/>
      <c r="AD472" s="31"/>
      <c r="AE472" s="1"/>
    </row>
    <row r="473">
      <c r="A473" s="104"/>
      <c r="C473" s="128"/>
      <c r="D473" s="74"/>
      <c r="E473" s="1"/>
      <c r="F473" s="1"/>
      <c r="G473" s="1"/>
      <c r="H473" s="118"/>
      <c r="I473" s="177"/>
      <c r="J473" s="31"/>
      <c r="K473" s="1"/>
      <c r="L473" s="120"/>
      <c r="M473" s="121"/>
      <c r="N473" s="121"/>
      <c r="O473" s="118"/>
      <c r="P473" s="118"/>
      <c r="Q473" s="31"/>
      <c r="R473" s="122"/>
      <c r="S473" s="121"/>
      <c r="T473" s="122"/>
      <c r="U473" s="121"/>
      <c r="V473" s="123"/>
      <c r="W473" s="124"/>
      <c r="X473" s="178"/>
      <c r="Y473" s="126"/>
      <c r="Z473" s="126"/>
      <c r="AB473" s="31"/>
      <c r="AC473" s="31"/>
      <c r="AD473" s="31"/>
      <c r="AE473" s="1"/>
    </row>
    <row r="474">
      <c r="A474" s="104"/>
      <c r="C474" s="128"/>
      <c r="D474" s="74"/>
      <c r="E474" s="1"/>
      <c r="F474" s="1"/>
      <c r="G474" s="1"/>
      <c r="H474" s="118"/>
      <c r="I474" s="177"/>
      <c r="J474" s="31"/>
      <c r="K474" s="1"/>
      <c r="L474" s="120"/>
      <c r="M474" s="121"/>
      <c r="N474" s="121"/>
      <c r="O474" s="118"/>
      <c r="P474" s="118"/>
      <c r="Q474" s="31"/>
      <c r="R474" s="122"/>
      <c r="S474" s="121"/>
      <c r="T474" s="122"/>
      <c r="U474" s="121"/>
      <c r="V474" s="123"/>
      <c r="W474" s="124"/>
      <c r="X474" s="178"/>
      <c r="Y474" s="126"/>
      <c r="Z474" s="126"/>
      <c r="AB474" s="31"/>
      <c r="AC474" s="31"/>
      <c r="AD474" s="31"/>
      <c r="AE474" s="1"/>
    </row>
    <row r="475">
      <c r="A475" s="104"/>
      <c r="C475" s="128"/>
      <c r="D475" s="74"/>
      <c r="E475" s="1"/>
      <c r="F475" s="1"/>
      <c r="G475" s="1"/>
      <c r="H475" s="118"/>
      <c r="I475" s="177"/>
      <c r="J475" s="31"/>
      <c r="K475" s="1"/>
      <c r="L475" s="120"/>
      <c r="M475" s="121"/>
      <c r="N475" s="121"/>
      <c r="O475" s="118"/>
      <c r="P475" s="118"/>
      <c r="Q475" s="31"/>
      <c r="R475" s="122"/>
      <c r="S475" s="121"/>
      <c r="T475" s="122"/>
      <c r="U475" s="121"/>
      <c r="V475" s="123"/>
      <c r="W475" s="124"/>
      <c r="X475" s="178"/>
      <c r="Y475" s="126"/>
      <c r="Z475" s="126"/>
      <c r="AB475" s="31"/>
      <c r="AC475" s="31"/>
      <c r="AD475" s="31"/>
      <c r="AE475" s="1"/>
    </row>
    <row r="476">
      <c r="A476" s="104"/>
      <c r="C476" s="128"/>
      <c r="D476" s="74"/>
      <c r="E476" s="1"/>
      <c r="F476" s="1"/>
      <c r="G476" s="1"/>
      <c r="H476" s="118"/>
      <c r="I476" s="177"/>
      <c r="J476" s="31"/>
      <c r="K476" s="1"/>
      <c r="L476" s="120"/>
      <c r="M476" s="121"/>
      <c r="N476" s="121"/>
      <c r="O476" s="118"/>
      <c r="P476" s="118"/>
      <c r="Q476" s="31"/>
      <c r="R476" s="122"/>
      <c r="S476" s="121"/>
      <c r="T476" s="122"/>
      <c r="U476" s="121"/>
      <c r="V476" s="123"/>
      <c r="W476" s="124"/>
      <c r="X476" s="178"/>
      <c r="Y476" s="126"/>
      <c r="Z476" s="126"/>
      <c r="AB476" s="31"/>
      <c r="AC476" s="31"/>
      <c r="AD476" s="31"/>
      <c r="AE476" s="1"/>
    </row>
    <row r="477">
      <c r="A477" s="104"/>
      <c r="C477" s="128"/>
      <c r="D477" s="74"/>
      <c r="E477" s="1"/>
      <c r="F477" s="1"/>
      <c r="G477" s="1"/>
      <c r="H477" s="118"/>
      <c r="I477" s="177"/>
      <c r="J477" s="31"/>
      <c r="K477" s="1"/>
      <c r="L477" s="120"/>
      <c r="M477" s="121"/>
      <c r="N477" s="121"/>
      <c r="O477" s="118"/>
      <c r="P477" s="118"/>
      <c r="Q477" s="31"/>
      <c r="R477" s="122"/>
      <c r="S477" s="121"/>
      <c r="T477" s="122"/>
      <c r="U477" s="121"/>
      <c r="V477" s="123"/>
      <c r="W477" s="124"/>
      <c r="X477" s="178"/>
      <c r="Y477" s="126"/>
      <c r="Z477" s="126"/>
      <c r="AB477" s="31"/>
      <c r="AC477" s="31"/>
      <c r="AD477" s="31"/>
      <c r="AE477" s="1"/>
    </row>
    <row r="478">
      <c r="A478" s="104"/>
      <c r="C478" s="128"/>
      <c r="D478" s="74"/>
      <c r="E478" s="1"/>
      <c r="F478" s="1"/>
      <c r="G478" s="1"/>
      <c r="H478" s="118"/>
      <c r="I478" s="177"/>
      <c r="J478" s="31"/>
      <c r="K478" s="1"/>
      <c r="L478" s="120"/>
      <c r="M478" s="121"/>
      <c r="N478" s="121"/>
      <c r="O478" s="118"/>
      <c r="P478" s="118"/>
      <c r="Q478" s="31"/>
      <c r="R478" s="122"/>
      <c r="S478" s="121"/>
      <c r="T478" s="122"/>
      <c r="U478" s="121"/>
      <c r="V478" s="123"/>
      <c r="W478" s="124"/>
      <c r="X478" s="178"/>
      <c r="Y478" s="126"/>
      <c r="Z478" s="126"/>
      <c r="AB478" s="31"/>
      <c r="AC478" s="31"/>
      <c r="AD478" s="31"/>
      <c r="AE478" s="1"/>
    </row>
    <row r="479">
      <c r="A479" s="104"/>
      <c r="C479" s="128"/>
      <c r="D479" s="74"/>
      <c r="E479" s="1"/>
      <c r="F479" s="1"/>
      <c r="G479" s="1"/>
      <c r="H479" s="118"/>
      <c r="I479" s="177"/>
      <c r="J479" s="31"/>
      <c r="K479" s="1"/>
      <c r="L479" s="120"/>
      <c r="M479" s="121"/>
      <c r="N479" s="121"/>
      <c r="O479" s="118"/>
      <c r="P479" s="118"/>
      <c r="Q479" s="31"/>
      <c r="R479" s="122"/>
      <c r="S479" s="121"/>
      <c r="T479" s="122"/>
      <c r="U479" s="121"/>
      <c r="V479" s="123"/>
      <c r="W479" s="124"/>
      <c r="X479" s="178"/>
      <c r="Y479" s="126"/>
      <c r="Z479" s="126"/>
      <c r="AB479" s="31"/>
      <c r="AC479" s="31"/>
      <c r="AD479" s="31"/>
      <c r="AE479" s="1"/>
    </row>
    <row r="480">
      <c r="A480" s="104"/>
      <c r="C480" s="128"/>
      <c r="D480" s="74"/>
      <c r="E480" s="1"/>
      <c r="F480" s="1"/>
      <c r="G480" s="1"/>
      <c r="H480" s="118"/>
      <c r="I480" s="177"/>
      <c r="J480" s="31"/>
      <c r="K480" s="1"/>
      <c r="L480" s="120"/>
      <c r="M480" s="121"/>
      <c r="N480" s="121"/>
      <c r="O480" s="118"/>
      <c r="P480" s="118"/>
      <c r="Q480" s="31"/>
      <c r="R480" s="122"/>
      <c r="S480" s="121"/>
      <c r="T480" s="122"/>
      <c r="U480" s="121"/>
      <c r="V480" s="123"/>
      <c r="W480" s="124"/>
      <c r="X480" s="178"/>
      <c r="Y480" s="126"/>
      <c r="Z480" s="126"/>
      <c r="AB480" s="31"/>
      <c r="AC480" s="31"/>
      <c r="AD480" s="31"/>
      <c r="AE480" s="1"/>
    </row>
    <row r="481">
      <c r="A481" s="104"/>
      <c r="C481" s="128"/>
      <c r="D481" s="74"/>
      <c r="E481" s="1"/>
      <c r="F481" s="1"/>
      <c r="G481" s="1"/>
      <c r="H481" s="118"/>
      <c r="I481" s="177"/>
      <c r="J481" s="31"/>
      <c r="K481" s="1"/>
      <c r="L481" s="120"/>
      <c r="M481" s="121"/>
      <c r="N481" s="121"/>
      <c r="O481" s="118"/>
      <c r="P481" s="118"/>
      <c r="Q481" s="31"/>
      <c r="R481" s="122"/>
      <c r="S481" s="121"/>
      <c r="T481" s="122"/>
      <c r="U481" s="121"/>
      <c r="V481" s="123"/>
      <c r="W481" s="124"/>
      <c r="X481" s="178"/>
      <c r="Y481" s="126"/>
      <c r="Z481" s="126"/>
      <c r="AB481" s="31"/>
      <c r="AC481" s="31"/>
      <c r="AD481" s="31"/>
      <c r="AE481" s="1"/>
    </row>
    <row r="482">
      <c r="A482" s="104"/>
      <c r="C482" s="128"/>
      <c r="D482" s="74"/>
      <c r="E482" s="1"/>
      <c r="F482" s="1"/>
      <c r="G482" s="1"/>
      <c r="H482" s="118"/>
      <c r="I482" s="177"/>
      <c r="J482" s="31"/>
      <c r="K482" s="1"/>
      <c r="L482" s="120"/>
      <c r="M482" s="121"/>
      <c r="N482" s="121"/>
      <c r="O482" s="118"/>
      <c r="P482" s="118"/>
      <c r="Q482" s="31"/>
      <c r="R482" s="122"/>
      <c r="S482" s="121"/>
      <c r="T482" s="122"/>
      <c r="U482" s="121"/>
      <c r="V482" s="123"/>
      <c r="W482" s="124"/>
      <c r="X482" s="178"/>
      <c r="Y482" s="126"/>
      <c r="Z482" s="126"/>
      <c r="AB482" s="31"/>
      <c r="AC482" s="31"/>
      <c r="AD482" s="31"/>
      <c r="AE482" s="1"/>
    </row>
    <row r="483">
      <c r="A483" s="104"/>
      <c r="C483" s="128"/>
      <c r="D483" s="74"/>
      <c r="E483" s="1"/>
      <c r="F483" s="1"/>
      <c r="G483" s="1"/>
      <c r="H483" s="118"/>
      <c r="I483" s="177"/>
      <c r="J483" s="31"/>
      <c r="K483" s="1"/>
      <c r="L483" s="120"/>
      <c r="M483" s="121"/>
      <c r="N483" s="121"/>
      <c r="O483" s="118"/>
      <c r="P483" s="118"/>
      <c r="Q483" s="31"/>
      <c r="R483" s="122"/>
      <c r="S483" s="121"/>
      <c r="T483" s="122"/>
      <c r="U483" s="121"/>
      <c r="V483" s="123"/>
      <c r="W483" s="124"/>
      <c r="X483" s="178"/>
      <c r="Y483" s="126"/>
      <c r="Z483" s="126"/>
      <c r="AB483" s="31"/>
      <c r="AC483" s="31"/>
      <c r="AD483" s="31"/>
      <c r="AE483" s="1"/>
    </row>
    <row r="484">
      <c r="A484" s="104"/>
      <c r="C484" s="128"/>
      <c r="D484" s="74"/>
      <c r="E484" s="1"/>
      <c r="F484" s="1"/>
      <c r="G484" s="1"/>
      <c r="H484" s="118"/>
      <c r="I484" s="177"/>
      <c r="J484" s="31"/>
      <c r="K484" s="1"/>
      <c r="L484" s="120"/>
      <c r="M484" s="121"/>
      <c r="N484" s="121"/>
      <c r="O484" s="118"/>
      <c r="P484" s="118"/>
      <c r="Q484" s="31"/>
      <c r="R484" s="122"/>
      <c r="S484" s="121"/>
      <c r="T484" s="122"/>
      <c r="U484" s="121"/>
      <c r="V484" s="123"/>
      <c r="W484" s="124"/>
      <c r="X484" s="178"/>
      <c r="Y484" s="126"/>
      <c r="Z484" s="126"/>
      <c r="AB484" s="31"/>
      <c r="AC484" s="31"/>
      <c r="AD484" s="31"/>
      <c r="AE484" s="1"/>
    </row>
    <row r="485">
      <c r="A485" s="104"/>
      <c r="C485" s="128"/>
      <c r="D485" s="74"/>
      <c r="E485" s="1"/>
      <c r="F485" s="1"/>
      <c r="G485" s="1"/>
      <c r="H485" s="118"/>
      <c r="I485" s="177"/>
      <c r="J485" s="31"/>
      <c r="K485" s="1"/>
      <c r="L485" s="120"/>
      <c r="M485" s="121"/>
      <c r="N485" s="121"/>
      <c r="O485" s="118"/>
      <c r="P485" s="118"/>
      <c r="Q485" s="31"/>
      <c r="R485" s="122"/>
      <c r="S485" s="121"/>
      <c r="T485" s="122"/>
      <c r="U485" s="121"/>
      <c r="V485" s="123"/>
      <c r="W485" s="124"/>
      <c r="X485" s="178"/>
      <c r="Y485" s="126"/>
      <c r="Z485" s="126"/>
      <c r="AB485" s="31"/>
      <c r="AC485" s="31"/>
      <c r="AD485" s="31"/>
      <c r="AE485" s="1"/>
    </row>
    <row r="486">
      <c r="A486" s="104"/>
      <c r="C486" s="128"/>
      <c r="D486" s="74"/>
      <c r="E486" s="1"/>
      <c r="F486" s="1"/>
      <c r="G486" s="1"/>
      <c r="H486" s="118"/>
      <c r="I486" s="177"/>
      <c r="J486" s="31"/>
      <c r="K486" s="1"/>
      <c r="L486" s="120"/>
      <c r="M486" s="121"/>
      <c r="N486" s="121"/>
      <c r="O486" s="118"/>
      <c r="P486" s="118"/>
      <c r="Q486" s="31"/>
      <c r="R486" s="122"/>
      <c r="S486" s="121"/>
      <c r="T486" s="122"/>
      <c r="U486" s="121"/>
      <c r="V486" s="123"/>
      <c r="W486" s="124"/>
      <c r="X486" s="178"/>
      <c r="Y486" s="126"/>
      <c r="Z486" s="126"/>
      <c r="AB486" s="31"/>
      <c r="AC486" s="31"/>
      <c r="AD486" s="31"/>
      <c r="AE486" s="1"/>
    </row>
    <row r="487">
      <c r="A487" s="104"/>
      <c r="C487" s="128"/>
      <c r="D487" s="74"/>
      <c r="E487" s="1"/>
      <c r="F487" s="1"/>
      <c r="G487" s="1"/>
      <c r="H487" s="118"/>
      <c r="I487" s="177"/>
      <c r="J487" s="31"/>
      <c r="K487" s="1"/>
      <c r="L487" s="120"/>
      <c r="M487" s="121"/>
      <c r="N487" s="121"/>
      <c r="O487" s="118"/>
      <c r="P487" s="118"/>
      <c r="Q487" s="31"/>
      <c r="R487" s="122"/>
      <c r="S487" s="121"/>
      <c r="T487" s="122"/>
      <c r="U487" s="121"/>
      <c r="V487" s="123"/>
      <c r="W487" s="124"/>
      <c r="X487" s="178"/>
      <c r="Y487" s="126"/>
      <c r="Z487" s="126"/>
      <c r="AB487" s="31"/>
      <c r="AC487" s="31"/>
      <c r="AD487" s="31"/>
      <c r="AE487" s="1"/>
    </row>
    <row r="488">
      <c r="A488" s="104"/>
      <c r="C488" s="128"/>
      <c r="D488" s="74"/>
      <c r="E488" s="1"/>
      <c r="F488" s="1"/>
      <c r="G488" s="1"/>
      <c r="H488" s="118"/>
      <c r="I488" s="177"/>
      <c r="J488" s="31"/>
      <c r="K488" s="1"/>
      <c r="L488" s="120"/>
      <c r="M488" s="121"/>
      <c r="N488" s="121"/>
      <c r="O488" s="118"/>
      <c r="P488" s="118"/>
      <c r="Q488" s="31"/>
      <c r="R488" s="122"/>
      <c r="S488" s="121"/>
      <c r="T488" s="122"/>
      <c r="U488" s="121"/>
      <c r="V488" s="123"/>
      <c r="W488" s="124"/>
      <c r="X488" s="178"/>
      <c r="Y488" s="126"/>
      <c r="Z488" s="126"/>
      <c r="AB488" s="31"/>
      <c r="AC488" s="31"/>
      <c r="AD488" s="31"/>
      <c r="AE488" s="1"/>
    </row>
    <row r="489">
      <c r="A489" s="104"/>
      <c r="C489" s="128"/>
      <c r="D489" s="74"/>
      <c r="E489" s="1"/>
      <c r="F489" s="1"/>
      <c r="G489" s="1"/>
      <c r="H489" s="118"/>
      <c r="I489" s="177"/>
      <c r="J489" s="31"/>
      <c r="K489" s="1"/>
      <c r="L489" s="120"/>
      <c r="M489" s="121"/>
      <c r="N489" s="121"/>
      <c r="O489" s="118"/>
      <c r="P489" s="118"/>
      <c r="Q489" s="31"/>
      <c r="R489" s="122"/>
      <c r="S489" s="121"/>
      <c r="T489" s="122"/>
      <c r="U489" s="121"/>
      <c r="V489" s="123"/>
      <c r="W489" s="124"/>
      <c r="X489" s="178"/>
      <c r="Y489" s="126"/>
      <c r="Z489" s="126"/>
      <c r="AB489" s="31"/>
      <c r="AC489" s="31"/>
      <c r="AD489" s="31"/>
      <c r="AE489" s="1"/>
    </row>
    <row r="490">
      <c r="A490" s="104"/>
      <c r="C490" s="128"/>
      <c r="D490" s="74"/>
      <c r="E490" s="1"/>
      <c r="F490" s="1"/>
      <c r="G490" s="1"/>
      <c r="H490" s="118"/>
      <c r="I490" s="177"/>
      <c r="J490" s="31"/>
      <c r="K490" s="1"/>
      <c r="L490" s="120"/>
      <c r="M490" s="121"/>
      <c r="N490" s="121"/>
      <c r="O490" s="118"/>
      <c r="P490" s="118"/>
      <c r="Q490" s="31"/>
      <c r="R490" s="122"/>
      <c r="S490" s="121"/>
      <c r="T490" s="122"/>
      <c r="U490" s="121"/>
      <c r="V490" s="123"/>
      <c r="W490" s="124"/>
      <c r="X490" s="178"/>
      <c r="Y490" s="126"/>
      <c r="Z490" s="126"/>
      <c r="AB490" s="31"/>
      <c r="AC490" s="31"/>
      <c r="AD490" s="31"/>
      <c r="AE490" s="1"/>
    </row>
    <row r="491">
      <c r="A491" s="104"/>
      <c r="C491" s="128"/>
      <c r="D491" s="74"/>
      <c r="E491" s="1"/>
      <c r="F491" s="1"/>
      <c r="G491" s="1"/>
      <c r="H491" s="118"/>
      <c r="I491" s="177"/>
      <c r="J491" s="31"/>
      <c r="K491" s="1"/>
      <c r="L491" s="120"/>
      <c r="M491" s="121"/>
      <c r="N491" s="121"/>
      <c r="O491" s="118"/>
      <c r="P491" s="118"/>
      <c r="Q491" s="31"/>
      <c r="R491" s="122"/>
      <c r="S491" s="121"/>
      <c r="T491" s="122"/>
      <c r="U491" s="121"/>
      <c r="V491" s="123"/>
      <c r="W491" s="124"/>
      <c r="X491" s="178"/>
      <c r="Y491" s="126"/>
      <c r="Z491" s="126"/>
      <c r="AB491" s="31"/>
      <c r="AC491" s="31"/>
      <c r="AD491" s="31"/>
      <c r="AE491" s="1"/>
    </row>
    <row r="492">
      <c r="A492" s="104"/>
      <c r="C492" s="128"/>
      <c r="D492" s="74"/>
      <c r="E492" s="1"/>
      <c r="F492" s="1"/>
      <c r="G492" s="1"/>
      <c r="H492" s="118"/>
      <c r="I492" s="177"/>
      <c r="J492" s="31"/>
      <c r="K492" s="1"/>
      <c r="L492" s="120"/>
      <c r="M492" s="121"/>
      <c r="N492" s="121"/>
      <c r="O492" s="118"/>
      <c r="P492" s="118"/>
      <c r="Q492" s="31"/>
      <c r="R492" s="122"/>
      <c r="S492" s="121"/>
      <c r="T492" s="122"/>
      <c r="U492" s="121"/>
      <c r="V492" s="123"/>
      <c r="W492" s="124"/>
      <c r="X492" s="178"/>
      <c r="Y492" s="126"/>
      <c r="Z492" s="126"/>
      <c r="AB492" s="31"/>
      <c r="AC492" s="31"/>
      <c r="AD492" s="31"/>
      <c r="AE492" s="1"/>
    </row>
    <row r="493">
      <c r="A493" s="104"/>
      <c r="C493" s="128"/>
      <c r="D493" s="74"/>
      <c r="E493" s="1"/>
      <c r="F493" s="1"/>
      <c r="G493" s="1"/>
      <c r="H493" s="118"/>
      <c r="I493" s="177"/>
      <c r="J493" s="31"/>
      <c r="K493" s="1"/>
      <c r="L493" s="120"/>
      <c r="M493" s="121"/>
      <c r="N493" s="121"/>
      <c r="O493" s="118"/>
      <c r="P493" s="118"/>
      <c r="Q493" s="31"/>
      <c r="R493" s="122"/>
      <c r="S493" s="121"/>
      <c r="T493" s="122"/>
      <c r="U493" s="121"/>
      <c r="V493" s="123"/>
      <c r="W493" s="124"/>
      <c r="X493" s="178"/>
      <c r="Y493" s="126"/>
      <c r="Z493" s="126"/>
      <c r="AB493" s="31"/>
      <c r="AC493" s="31"/>
      <c r="AD493" s="31"/>
      <c r="AE493" s="1"/>
    </row>
    <row r="494">
      <c r="A494" s="104"/>
      <c r="C494" s="128"/>
      <c r="D494" s="74"/>
      <c r="E494" s="1"/>
      <c r="F494" s="1"/>
      <c r="G494" s="1"/>
      <c r="H494" s="118"/>
      <c r="I494" s="177"/>
      <c r="J494" s="31"/>
      <c r="K494" s="1"/>
      <c r="L494" s="120"/>
      <c r="M494" s="121"/>
      <c r="N494" s="121"/>
      <c r="O494" s="118"/>
      <c r="P494" s="118"/>
      <c r="Q494" s="31"/>
      <c r="R494" s="122"/>
      <c r="S494" s="121"/>
      <c r="T494" s="122"/>
      <c r="U494" s="121"/>
      <c r="V494" s="123"/>
      <c r="W494" s="124"/>
      <c r="X494" s="178"/>
      <c r="Y494" s="126"/>
      <c r="Z494" s="126"/>
      <c r="AB494" s="31"/>
      <c r="AC494" s="31"/>
      <c r="AD494" s="31"/>
      <c r="AE494" s="1"/>
    </row>
    <row r="495">
      <c r="A495" s="104"/>
      <c r="C495" s="128"/>
      <c r="D495" s="74"/>
      <c r="E495" s="1"/>
      <c r="F495" s="1"/>
      <c r="G495" s="1"/>
      <c r="H495" s="118"/>
      <c r="I495" s="177"/>
      <c r="J495" s="31"/>
      <c r="K495" s="1"/>
      <c r="L495" s="120"/>
      <c r="M495" s="121"/>
      <c r="N495" s="121"/>
      <c r="O495" s="118"/>
      <c r="P495" s="118"/>
      <c r="Q495" s="31"/>
      <c r="R495" s="122"/>
      <c r="S495" s="121"/>
      <c r="T495" s="122"/>
      <c r="U495" s="121"/>
      <c r="V495" s="123"/>
      <c r="W495" s="124"/>
      <c r="X495" s="178"/>
      <c r="Y495" s="126"/>
      <c r="Z495" s="126"/>
      <c r="AB495" s="31"/>
      <c r="AC495" s="31"/>
      <c r="AD495" s="31"/>
      <c r="AE495" s="1"/>
    </row>
    <row r="496">
      <c r="A496" s="104"/>
      <c r="C496" s="128"/>
      <c r="D496" s="74"/>
      <c r="E496" s="1"/>
      <c r="F496" s="1"/>
      <c r="G496" s="1"/>
      <c r="H496" s="118"/>
      <c r="I496" s="177"/>
      <c r="J496" s="31"/>
      <c r="K496" s="1"/>
      <c r="L496" s="120"/>
      <c r="M496" s="121"/>
      <c r="N496" s="121"/>
      <c r="O496" s="118"/>
      <c r="P496" s="118"/>
      <c r="Q496" s="31"/>
      <c r="R496" s="122"/>
      <c r="S496" s="121"/>
      <c r="T496" s="122"/>
      <c r="U496" s="121"/>
      <c r="V496" s="123"/>
      <c r="W496" s="124"/>
      <c r="X496" s="178"/>
      <c r="Y496" s="126"/>
      <c r="Z496" s="126"/>
      <c r="AB496" s="31"/>
      <c r="AC496" s="31"/>
      <c r="AD496" s="31"/>
      <c r="AE496" s="1"/>
    </row>
    <row r="497">
      <c r="A497" s="104"/>
      <c r="C497" s="128"/>
      <c r="D497" s="74"/>
      <c r="E497" s="1"/>
      <c r="F497" s="1"/>
      <c r="G497" s="1"/>
      <c r="H497" s="118"/>
      <c r="I497" s="177"/>
      <c r="J497" s="31"/>
      <c r="K497" s="1"/>
      <c r="L497" s="120"/>
      <c r="M497" s="121"/>
      <c r="N497" s="121"/>
      <c r="O497" s="118"/>
      <c r="P497" s="118"/>
      <c r="Q497" s="31"/>
      <c r="R497" s="122"/>
      <c r="S497" s="121"/>
      <c r="T497" s="122"/>
      <c r="U497" s="121"/>
      <c r="V497" s="123"/>
      <c r="W497" s="124"/>
      <c r="X497" s="178"/>
      <c r="Y497" s="126"/>
      <c r="Z497" s="126"/>
      <c r="AB497" s="31"/>
      <c r="AC497" s="31"/>
      <c r="AD497" s="31"/>
      <c r="AE497" s="1"/>
    </row>
    <row r="498">
      <c r="A498" s="104"/>
      <c r="C498" s="128"/>
      <c r="D498" s="74"/>
      <c r="E498" s="1"/>
      <c r="F498" s="1"/>
      <c r="G498" s="1"/>
      <c r="H498" s="118"/>
      <c r="I498" s="177"/>
      <c r="J498" s="31"/>
      <c r="K498" s="1"/>
      <c r="L498" s="120"/>
      <c r="M498" s="121"/>
      <c r="N498" s="121"/>
      <c r="O498" s="118"/>
      <c r="P498" s="118"/>
      <c r="Q498" s="31"/>
      <c r="R498" s="122"/>
      <c r="S498" s="121"/>
      <c r="T498" s="122"/>
      <c r="U498" s="121"/>
      <c r="V498" s="123"/>
      <c r="W498" s="124"/>
      <c r="X498" s="178"/>
      <c r="Y498" s="126"/>
      <c r="Z498" s="126"/>
      <c r="AB498" s="31"/>
      <c r="AC498" s="31"/>
      <c r="AD498" s="31"/>
      <c r="AE498" s="1"/>
    </row>
    <row r="499">
      <c r="A499" s="104"/>
      <c r="C499" s="128"/>
      <c r="D499" s="74"/>
      <c r="E499" s="1"/>
      <c r="F499" s="1"/>
      <c r="G499" s="1"/>
      <c r="H499" s="118"/>
      <c r="I499" s="177"/>
      <c r="J499" s="31"/>
      <c r="K499" s="1"/>
      <c r="L499" s="120"/>
      <c r="M499" s="121"/>
      <c r="N499" s="121"/>
      <c r="O499" s="118"/>
      <c r="P499" s="118"/>
      <c r="Q499" s="31"/>
      <c r="R499" s="122"/>
      <c r="S499" s="121"/>
      <c r="T499" s="122"/>
      <c r="U499" s="121"/>
      <c r="V499" s="123"/>
      <c r="W499" s="124"/>
      <c r="X499" s="178"/>
      <c r="Y499" s="126"/>
      <c r="Z499" s="126"/>
      <c r="AB499" s="31"/>
      <c r="AC499" s="31"/>
      <c r="AD499" s="31"/>
      <c r="AE499" s="1"/>
    </row>
    <row r="500">
      <c r="A500" s="104"/>
      <c r="C500" s="128"/>
      <c r="D500" s="74"/>
      <c r="E500" s="1"/>
      <c r="F500" s="1"/>
      <c r="G500" s="1"/>
      <c r="H500" s="118"/>
      <c r="I500" s="177"/>
      <c r="J500" s="31"/>
      <c r="K500" s="1"/>
      <c r="L500" s="120"/>
      <c r="M500" s="121"/>
      <c r="N500" s="121"/>
      <c r="O500" s="118"/>
      <c r="P500" s="118"/>
      <c r="Q500" s="31"/>
      <c r="R500" s="122"/>
      <c r="S500" s="121"/>
      <c r="T500" s="122"/>
      <c r="U500" s="121"/>
      <c r="V500" s="123"/>
      <c r="W500" s="124"/>
      <c r="X500" s="178"/>
      <c r="Y500" s="126"/>
      <c r="Z500" s="126"/>
      <c r="AB500" s="31"/>
      <c r="AC500" s="31"/>
      <c r="AD500" s="31"/>
      <c r="AE500" s="1"/>
    </row>
    <row r="501">
      <c r="A501" s="104"/>
      <c r="C501" s="128"/>
      <c r="D501" s="74"/>
      <c r="E501" s="1"/>
      <c r="F501" s="1"/>
      <c r="G501" s="1"/>
      <c r="H501" s="118"/>
      <c r="I501" s="177"/>
      <c r="J501" s="31"/>
      <c r="K501" s="1"/>
      <c r="L501" s="120"/>
      <c r="M501" s="121"/>
      <c r="N501" s="121"/>
      <c r="O501" s="118"/>
      <c r="P501" s="118"/>
      <c r="Q501" s="31"/>
      <c r="R501" s="122"/>
      <c r="S501" s="121"/>
      <c r="T501" s="122"/>
      <c r="U501" s="121"/>
      <c r="V501" s="123"/>
      <c r="W501" s="124"/>
      <c r="X501" s="178"/>
      <c r="Y501" s="126"/>
      <c r="Z501" s="126"/>
      <c r="AB501" s="31"/>
      <c r="AC501" s="31"/>
      <c r="AD501" s="31"/>
      <c r="AE501" s="1"/>
    </row>
    <row r="502">
      <c r="A502" s="104"/>
      <c r="C502" s="128"/>
      <c r="D502" s="74"/>
      <c r="E502" s="1"/>
      <c r="F502" s="1"/>
      <c r="G502" s="1"/>
      <c r="H502" s="118"/>
      <c r="I502" s="177"/>
      <c r="J502" s="31"/>
      <c r="K502" s="1"/>
      <c r="L502" s="120"/>
      <c r="M502" s="121"/>
      <c r="N502" s="121"/>
      <c r="O502" s="118"/>
      <c r="P502" s="118"/>
      <c r="Q502" s="31"/>
      <c r="R502" s="122"/>
      <c r="S502" s="121"/>
      <c r="T502" s="122"/>
      <c r="U502" s="121"/>
      <c r="V502" s="123"/>
      <c r="W502" s="124"/>
      <c r="X502" s="178"/>
      <c r="Y502" s="126"/>
      <c r="Z502" s="126"/>
      <c r="AB502" s="31"/>
      <c r="AC502" s="31"/>
      <c r="AD502" s="31"/>
      <c r="AE502" s="1"/>
    </row>
    <row r="503">
      <c r="A503" s="104"/>
      <c r="C503" s="128"/>
      <c r="D503" s="74"/>
      <c r="E503" s="1"/>
      <c r="F503" s="1"/>
      <c r="G503" s="1"/>
      <c r="H503" s="118"/>
      <c r="I503" s="177"/>
      <c r="J503" s="31"/>
      <c r="K503" s="1"/>
      <c r="L503" s="120"/>
      <c r="M503" s="121"/>
      <c r="N503" s="121"/>
      <c r="O503" s="118"/>
      <c r="P503" s="118"/>
      <c r="Q503" s="31"/>
      <c r="R503" s="122"/>
      <c r="S503" s="121"/>
      <c r="T503" s="122"/>
      <c r="U503" s="121"/>
      <c r="V503" s="123"/>
      <c r="W503" s="124"/>
      <c r="X503" s="178"/>
      <c r="Y503" s="126"/>
      <c r="Z503" s="126"/>
      <c r="AB503" s="31"/>
      <c r="AC503" s="31"/>
      <c r="AD503" s="31"/>
      <c r="AE503" s="1"/>
    </row>
    <row r="504">
      <c r="A504" s="104"/>
      <c r="C504" s="128"/>
      <c r="D504" s="74"/>
      <c r="E504" s="1"/>
      <c r="F504" s="1"/>
      <c r="G504" s="1"/>
      <c r="H504" s="118"/>
      <c r="I504" s="177"/>
      <c r="J504" s="31"/>
      <c r="K504" s="1"/>
      <c r="L504" s="120"/>
      <c r="M504" s="121"/>
      <c r="N504" s="121"/>
      <c r="O504" s="118"/>
      <c r="P504" s="118"/>
      <c r="Q504" s="31"/>
      <c r="R504" s="122"/>
      <c r="S504" s="121"/>
      <c r="T504" s="122"/>
      <c r="U504" s="121"/>
      <c r="V504" s="123"/>
      <c r="W504" s="124"/>
      <c r="X504" s="178"/>
      <c r="Y504" s="126"/>
      <c r="Z504" s="126"/>
      <c r="AB504" s="31"/>
      <c r="AC504" s="31"/>
      <c r="AD504" s="31"/>
      <c r="AE504" s="1"/>
    </row>
    <row r="505">
      <c r="A505" s="104"/>
      <c r="C505" s="128"/>
      <c r="D505" s="74"/>
      <c r="E505" s="1"/>
      <c r="F505" s="1"/>
      <c r="G505" s="1"/>
      <c r="H505" s="118"/>
      <c r="I505" s="177"/>
      <c r="J505" s="31"/>
      <c r="K505" s="1"/>
      <c r="L505" s="120"/>
      <c r="M505" s="121"/>
      <c r="N505" s="121"/>
      <c r="O505" s="118"/>
      <c r="P505" s="118"/>
      <c r="Q505" s="31"/>
      <c r="R505" s="122"/>
      <c r="S505" s="121"/>
      <c r="T505" s="122"/>
      <c r="U505" s="121"/>
      <c r="V505" s="123"/>
      <c r="W505" s="124"/>
      <c r="X505" s="178"/>
      <c r="Y505" s="126"/>
      <c r="Z505" s="126"/>
      <c r="AB505" s="31"/>
      <c r="AC505" s="31"/>
      <c r="AD505" s="31"/>
      <c r="AE505" s="1"/>
    </row>
    <row r="506">
      <c r="A506" s="104"/>
      <c r="C506" s="128"/>
      <c r="D506" s="74"/>
      <c r="E506" s="1"/>
      <c r="F506" s="1"/>
      <c r="G506" s="1"/>
      <c r="H506" s="118"/>
      <c r="I506" s="177"/>
      <c r="J506" s="31"/>
      <c r="K506" s="1"/>
      <c r="L506" s="120"/>
      <c r="M506" s="121"/>
      <c r="N506" s="121"/>
      <c r="O506" s="118"/>
      <c r="P506" s="118"/>
      <c r="Q506" s="31"/>
      <c r="R506" s="122"/>
      <c r="S506" s="121"/>
      <c r="T506" s="122"/>
      <c r="U506" s="121"/>
      <c r="V506" s="123"/>
      <c r="W506" s="124"/>
      <c r="X506" s="178"/>
      <c r="Y506" s="126"/>
      <c r="Z506" s="126"/>
      <c r="AB506" s="31"/>
      <c r="AC506" s="31"/>
      <c r="AD506" s="31"/>
      <c r="AE506" s="1"/>
    </row>
    <row r="507">
      <c r="A507" s="104"/>
      <c r="C507" s="128"/>
      <c r="D507" s="74"/>
      <c r="E507" s="1"/>
      <c r="F507" s="1"/>
      <c r="G507" s="1"/>
      <c r="H507" s="118"/>
      <c r="I507" s="177"/>
      <c r="J507" s="31"/>
      <c r="K507" s="1"/>
      <c r="L507" s="120"/>
      <c r="M507" s="121"/>
      <c r="N507" s="121"/>
      <c r="O507" s="118"/>
      <c r="P507" s="118"/>
      <c r="Q507" s="31"/>
      <c r="R507" s="122"/>
      <c r="S507" s="121"/>
      <c r="T507" s="122"/>
      <c r="U507" s="121"/>
      <c r="V507" s="123"/>
      <c r="W507" s="124"/>
      <c r="X507" s="178"/>
      <c r="Y507" s="126"/>
      <c r="Z507" s="126"/>
      <c r="AB507" s="31"/>
      <c r="AC507" s="31"/>
      <c r="AD507" s="31"/>
      <c r="AE507" s="1"/>
    </row>
    <row r="508">
      <c r="A508" s="104"/>
      <c r="C508" s="128"/>
      <c r="D508" s="74"/>
      <c r="E508" s="1"/>
      <c r="F508" s="1"/>
      <c r="G508" s="1"/>
      <c r="H508" s="118"/>
      <c r="I508" s="177"/>
      <c r="J508" s="31"/>
      <c r="K508" s="1"/>
      <c r="L508" s="120"/>
      <c r="M508" s="121"/>
      <c r="N508" s="121"/>
      <c r="O508" s="118"/>
      <c r="P508" s="118"/>
      <c r="Q508" s="31"/>
      <c r="R508" s="122"/>
      <c r="S508" s="121"/>
      <c r="T508" s="122"/>
      <c r="U508" s="121"/>
      <c r="V508" s="123"/>
      <c r="W508" s="124"/>
      <c r="X508" s="178"/>
      <c r="Y508" s="126"/>
      <c r="Z508" s="126"/>
      <c r="AB508" s="31"/>
      <c r="AC508" s="31"/>
      <c r="AD508" s="31"/>
      <c r="AE508" s="1"/>
    </row>
    <row r="509">
      <c r="A509" s="104"/>
      <c r="C509" s="128"/>
      <c r="D509" s="74"/>
      <c r="E509" s="1"/>
      <c r="F509" s="1"/>
      <c r="G509" s="1"/>
      <c r="H509" s="118"/>
      <c r="I509" s="177"/>
      <c r="J509" s="31"/>
      <c r="K509" s="1"/>
      <c r="L509" s="120"/>
      <c r="M509" s="121"/>
      <c r="N509" s="121"/>
      <c r="O509" s="118"/>
      <c r="P509" s="118"/>
      <c r="Q509" s="31"/>
      <c r="R509" s="122"/>
      <c r="S509" s="121"/>
      <c r="T509" s="122"/>
      <c r="U509" s="121"/>
      <c r="V509" s="123"/>
      <c r="W509" s="124"/>
      <c r="X509" s="178"/>
      <c r="Y509" s="126"/>
      <c r="Z509" s="126"/>
      <c r="AB509" s="31"/>
      <c r="AC509" s="31"/>
      <c r="AD509" s="31"/>
      <c r="AE509" s="1"/>
    </row>
    <row r="510">
      <c r="A510" s="104"/>
      <c r="C510" s="128"/>
      <c r="D510" s="74"/>
      <c r="E510" s="1"/>
      <c r="F510" s="1"/>
      <c r="G510" s="1"/>
      <c r="H510" s="118"/>
      <c r="I510" s="177"/>
      <c r="J510" s="31"/>
      <c r="K510" s="1"/>
      <c r="L510" s="120"/>
      <c r="M510" s="121"/>
      <c r="N510" s="121"/>
      <c r="O510" s="118"/>
      <c r="P510" s="118"/>
      <c r="Q510" s="31"/>
      <c r="R510" s="122"/>
      <c r="S510" s="121"/>
      <c r="T510" s="122"/>
      <c r="U510" s="121"/>
      <c r="V510" s="123"/>
      <c r="W510" s="124"/>
      <c r="X510" s="178"/>
      <c r="Y510" s="126"/>
      <c r="Z510" s="126"/>
      <c r="AB510" s="31"/>
      <c r="AC510" s="31"/>
      <c r="AD510" s="31"/>
      <c r="AE510" s="1"/>
    </row>
    <row r="511">
      <c r="A511" s="104"/>
      <c r="C511" s="128"/>
      <c r="D511" s="74"/>
      <c r="E511" s="1"/>
      <c r="F511" s="1"/>
      <c r="G511" s="1"/>
      <c r="H511" s="118"/>
      <c r="I511" s="177"/>
      <c r="J511" s="31"/>
      <c r="K511" s="1"/>
      <c r="L511" s="120"/>
      <c r="M511" s="121"/>
      <c r="N511" s="121"/>
      <c r="O511" s="118"/>
      <c r="P511" s="118"/>
      <c r="Q511" s="31"/>
      <c r="R511" s="122"/>
      <c r="S511" s="121"/>
      <c r="T511" s="122"/>
      <c r="U511" s="121"/>
      <c r="V511" s="123"/>
      <c r="W511" s="124"/>
      <c r="X511" s="178"/>
      <c r="Y511" s="126"/>
      <c r="Z511" s="126"/>
      <c r="AB511" s="31"/>
      <c r="AC511" s="31"/>
      <c r="AD511" s="31"/>
      <c r="AE511" s="1"/>
    </row>
    <row r="512">
      <c r="A512" s="104"/>
      <c r="C512" s="128"/>
      <c r="D512" s="74"/>
      <c r="E512" s="1"/>
      <c r="F512" s="1"/>
      <c r="G512" s="1"/>
      <c r="H512" s="118"/>
      <c r="I512" s="177"/>
      <c r="J512" s="31"/>
      <c r="K512" s="1"/>
      <c r="L512" s="120"/>
      <c r="M512" s="121"/>
      <c r="N512" s="121"/>
      <c r="O512" s="118"/>
      <c r="P512" s="118"/>
      <c r="Q512" s="31"/>
      <c r="R512" s="122"/>
      <c r="S512" s="121"/>
      <c r="T512" s="122"/>
      <c r="U512" s="121"/>
      <c r="V512" s="123"/>
      <c r="W512" s="124"/>
      <c r="X512" s="178"/>
      <c r="Y512" s="126"/>
      <c r="Z512" s="126"/>
      <c r="AB512" s="31"/>
      <c r="AC512" s="31"/>
      <c r="AD512" s="31"/>
      <c r="AE512" s="1"/>
    </row>
    <row r="513">
      <c r="A513" s="104"/>
      <c r="C513" s="128"/>
      <c r="D513" s="74"/>
      <c r="E513" s="1"/>
      <c r="F513" s="1"/>
      <c r="G513" s="1"/>
      <c r="H513" s="118"/>
      <c r="I513" s="177"/>
      <c r="J513" s="31"/>
      <c r="K513" s="1"/>
      <c r="L513" s="120"/>
      <c r="M513" s="121"/>
      <c r="N513" s="121"/>
      <c r="O513" s="118"/>
      <c r="P513" s="118"/>
      <c r="Q513" s="31"/>
      <c r="R513" s="122"/>
      <c r="S513" s="121"/>
      <c r="T513" s="122"/>
      <c r="U513" s="121"/>
      <c r="V513" s="123"/>
      <c r="W513" s="124"/>
      <c r="X513" s="178"/>
      <c r="Y513" s="126"/>
      <c r="Z513" s="126"/>
      <c r="AB513" s="31"/>
      <c r="AC513" s="31"/>
      <c r="AD513" s="31"/>
      <c r="AE513" s="1"/>
    </row>
    <row r="514">
      <c r="A514" s="104"/>
      <c r="C514" s="128"/>
      <c r="D514" s="74"/>
      <c r="E514" s="1"/>
      <c r="F514" s="1"/>
      <c r="G514" s="1"/>
      <c r="H514" s="118"/>
      <c r="I514" s="177"/>
      <c r="J514" s="31"/>
      <c r="K514" s="1"/>
      <c r="L514" s="120"/>
      <c r="M514" s="121"/>
      <c r="N514" s="121"/>
      <c r="O514" s="118"/>
      <c r="P514" s="118"/>
      <c r="Q514" s="31"/>
      <c r="R514" s="122"/>
      <c r="S514" s="121"/>
      <c r="T514" s="122"/>
      <c r="U514" s="121"/>
      <c r="V514" s="123"/>
      <c r="W514" s="124"/>
      <c r="X514" s="178"/>
      <c r="Y514" s="126"/>
      <c r="Z514" s="126"/>
      <c r="AB514" s="31"/>
      <c r="AC514" s="31"/>
      <c r="AD514" s="31"/>
      <c r="AE514" s="1"/>
    </row>
    <row r="515">
      <c r="A515" s="104"/>
      <c r="C515" s="128"/>
      <c r="D515" s="74"/>
      <c r="E515" s="1"/>
      <c r="F515" s="1"/>
      <c r="G515" s="1"/>
      <c r="H515" s="118"/>
      <c r="I515" s="177"/>
      <c r="J515" s="31"/>
      <c r="K515" s="1"/>
      <c r="L515" s="120"/>
      <c r="M515" s="121"/>
      <c r="N515" s="121"/>
      <c r="O515" s="118"/>
      <c r="P515" s="118"/>
      <c r="Q515" s="31"/>
      <c r="R515" s="122"/>
      <c r="S515" s="121"/>
      <c r="T515" s="122"/>
      <c r="U515" s="121"/>
      <c r="V515" s="123"/>
      <c r="W515" s="124"/>
      <c r="X515" s="178"/>
      <c r="Y515" s="126"/>
      <c r="Z515" s="126"/>
      <c r="AB515" s="31"/>
      <c r="AC515" s="31"/>
      <c r="AD515" s="31"/>
      <c r="AE515" s="1"/>
    </row>
    <row r="516">
      <c r="A516" s="104"/>
      <c r="C516" s="128"/>
      <c r="D516" s="74"/>
      <c r="E516" s="1"/>
      <c r="F516" s="1"/>
      <c r="G516" s="1"/>
      <c r="H516" s="118"/>
      <c r="I516" s="177"/>
      <c r="J516" s="31"/>
      <c r="K516" s="1"/>
      <c r="L516" s="120"/>
      <c r="M516" s="121"/>
      <c r="N516" s="121"/>
      <c r="O516" s="118"/>
      <c r="P516" s="118"/>
      <c r="Q516" s="31"/>
      <c r="R516" s="122"/>
      <c r="S516" s="121"/>
      <c r="T516" s="122"/>
      <c r="U516" s="121"/>
      <c r="V516" s="123"/>
      <c r="W516" s="124"/>
      <c r="X516" s="178"/>
      <c r="Y516" s="126"/>
      <c r="Z516" s="126"/>
      <c r="AB516" s="31"/>
      <c r="AC516" s="31"/>
      <c r="AD516" s="31"/>
      <c r="AE516" s="1"/>
    </row>
    <row r="517">
      <c r="A517" s="104"/>
      <c r="C517" s="128"/>
      <c r="D517" s="74"/>
      <c r="E517" s="1"/>
      <c r="F517" s="1"/>
      <c r="G517" s="1"/>
      <c r="H517" s="118"/>
      <c r="I517" s="177"/>
      <c r="J517" s="31"/>
      <c r="K517" s="1"/>
      <c r="L517" s="120"/>
      <c r="M517" s="121"/>
      <c r="N517" s="121"/>
      <c r="O517" s="118"/>
      <c r="P517" s="118"/>
      <c r="Q517" s="31"/>
      <c r="R517" s="122"/>
      <c r="S517" s="121"/>
      <c r="T517" s="122"/>
      <c r="U517" s="121"/>
      <c r="V517" s="123"/>
      <c r="W517" s="124"/>
      <c r="X517" s="178"/>
      <c r="Y517" s="126"/>
      <c r="Z517" s="126"/>
      <c r="AB517" s="31"/>
      <c r="AC517" s="31"/>
      <c r="AD517" s="31"/>
      <c r="AE517" s="1"/>
    </row>
    <row r="518">
      <c r="A518" s="104"/>
      <c r="C518" s="128"/>
      <c r="D518" s="74"/>
      <c r="E518" s="1"/>
      <c r="F518" s="1"/>
      <c r="G518" s="1"/>
      <c r="H518" s="118"/>
      <c r="I518" s="177"/>
      <c r="J518" s="31"/>
      <c r="K518" s="1"/>
      <c r="L518" s="120"/>
      <c r="M518" s="121"/>
      <c r="N518" s="121"/>
      <c r="O518" s="118"/>
      <c r="P518" s="118"/>
      <c r="Q518" s="31"/>
      <c r="R518" s="122"/>
      <c r="S518" s="121"/>
      <c r="T518" s="122"/>
      <c r="U518" s="121"/>
      <c r="V518" s="123"/>
      <c r="W518" s="124"/>
      <c r="X518" s="178"/>
      <c r="Y518" s="126"/>
      <c r="Z518" s="126"/>
      <c r="AB518" s="31"/>
      <c r="AC518" s="31"/>
      <c r="AD518" s="31"/>
      <c r="AE518" s="1"/>
    </row>
    <row r="519">
      <c r="A519" s="104"/>
      <c r="C519" s="128"/>
      <c r="D519" s="74"/>
      <c r="E519" s="1"/>
      <c r="F519" s="1"/>
      <c r="G519" s="1"/>
      <c r="H519" s="118"/>
      <c r="I519" s="177"/>
      <c r="J519" s="31"/>
      <c r="K519" s="1"/>
      <c r="L519" s="120"/>
      <c r="M519" s="121"/>
      <c r="N519" s="121"/>
      <c r="O519" s="118"/>
      <c r="P519" s="118"/>
      <c r="Q519" s="31"/>
      <c r="R519" s="122"/>
      <c r="S519" s="121"/>
      <c r="T519" s="122"/>
      <c r="U519" s="121"/>
      <c r="V519" s="123"/>
      <c r="W519" s="124"/>
      <c r="X519" s="178"/>
      <c r="Y519" s="126"/>
      <c r="Z519" s="126"/>
      <c r="AB519" s="31"/>
      <c r="AC519" s="31"/>
      <c r="AD519" s="31"/>
      <c r="AE519" s="1"/>
    </row>
    <row r="520">
      <c r="A520" s="104"/>
      <c r="C520" s="128"/>
      <c r="D520" s="74"/>
      <c r="E520" s="1"/>
      <c r="F520" s="1"/>
      <c r="G520" s="1"/>
      <c r="H520" s="118"/>
      <c r="I520" s="177"/>
      <c r="J520" s="31"/>
      <c r="K520" s="1"/>
      <c r="L520" s="120"/>
      <c r="M520" s="121"/>
      <c r="N520" s="121"/>
      <c r="O520" s="118"/>
      <c r="P520" s="118"/>
      <c r="Q520" s="31"/>
      <c r="R520" s="122"/>
      <c r="S520" s="121"/>
      <c r="T520" s="122"/>
      <c r="U520" s="121"/>
      <c r="V520" s="123"/>
      <c r="W520" s="124"/>
      <c r="X520" s="178"/>
      <c r="Y520" s="126"/>
      <c r="Z520" s="126"/>
      <c r="AB520" s="31"/>
      <c r="AC520" s="31"/>
      <c r="AD520" s="31"/>
      <c r="AE520" s="1"/>
    </row>
    <row r="521">
      <c r="A521" s="104"/>
      <c r="C521" s="128"/>
      <c r="D521" s="74"/>
      <c r="E521" s="1"/>
      <c r="F521" s="1"/>
      <c r="G521" s="1"/>
      <c r="H521" s="118"/>
      <c r="I521" s="177"/>
      <c r="J521" s="31"/>
      <c r="K521" s="1"/>
      <c r="L521" s="120"/>
      <c r="M521" s="121"/>
      <c r="N521" s="121"/>
      <c r="O521" s="118"/>
      <c r="P521" s="118"/>
      <c r="Q521" s="31"/>
      <c r="R521" s="122"/>
      <c r="S521" s="121"/>
      <c r="T521" s="122"/>
      <c r="U521" s="121"/>
      <c r="V521" s="123"/>
      <c r="W521" s="124"/>
      <c r="X521" s="178"/>
      <c r="Y521" s="126"/>
      <c r="Z521" s="126"/>
      <c r="AB521" s="31"/>
      <c r="AC521" s="31"/>
      <c r="AD521" s="31"/>
      <c r="AE521" s="1"/>
    </row>
    <row r="522">
      <c r="A522" s="104"/>
      <c r="C522" s="128"/>
      <c r="D522" s="74"/>
      <c r="E522" s="1"/>
      <c r="F522" s="1"/>
      <c r="G522" s="1"/>
      <c r="H522" s="118"/>
      <c r="I522" s="177"/>
      <c r="J522" s="31"/>
      <c r="K522" s="1"/>
      <c r="L522" s="120"/>
      <c r="M522" s="121"/>
      <c r="N522" s="121"/>
      <c r="O522" s="118"/>
      <c r="P522" s="118"/>
      <c r="Q522" s="31"/>
      <c r="R522" s="122"/>
      <c r="S522" s="121"/>
      <c r="T522" s="122"/>
      <c r="U522" s="121"/>
      <c r="V522" s="123"/>
      <c r="W522" s="124"/>
      <c r="X522" s="178"/>
      <c r="Y522" s="126"/>
      <c r="Z522" s="126"/>
      <c r="AB522" s="31"/>
      <c r="AC522" s="31"/>
      <c r="AD522" s="31"/>
      <c r="AE522" s="1"/>
    </row>
    <row r="523">
      <c r="A523" s="104"/>
      <c r="C523" s="128"/>
      <c r="D523" s="74"/>
      <c r="E523" s="1"/>
      <c r="F523" s="1"/>
      <c r="G523" s="1"/>
      <c r="H523" s="118"/>
      <c r="I523" s="177"/>
      <c r="J523" s="31"/>
      <c r="K523" s="1"/>
      <c r="L523" s="120"/>
      <c r="M523" s="121"/>
      <c r="N523" s="121"/>
      <c r="O523" s="118"/>
      <c r="P523" s="118"/>
      <c r="Q523" s="31"/>
      <c r="R523" s="122"/>
      <c r="S523" s="121"/>
      <c r="T523" s="122"/>
      <c r="U523" s="121"/>
      <c r="V523" s="123"/>
      <c r="W523" s="124"/>
      <c r="X523" s="178"/>
      <c r="Y523" s="126"/>
      <c r="Z523" s="126"/>
      <c r="AB523" s="31"/>
      <c r="AC523" s="31"/>
      <c r="AD523" s="31"/>
      <c r="AE523" s="1"/>
    </row>
    <row r="524">
      <c r="A524" s="104"/>
      <c r="C524" s="128"/>
      <c r="D524" s="74"/>
      <c r="E524" s="1"/>
      <c r="F524" s="1"/>
      <c r="G524" s="1"/>
      <c r="H524" s="118"/>
      <c r="I524" s="177"/>
      <c r="J524" s="31"/>
      <c r="K524" s="1"/>
      <c r="L524" s="120"/>
      <c r="M524" s="121"/>
      <c r="N524" s="121"/>
      <c r="O524" s="118"/>
      <c r="P524" s="118"/>
      <c r="Q524" s="31"/>
      <c r="R524" s="122"/>
      <c r="S524" s="121"/>
      <c r="T524" s="122"/>
      <c r="U524" s="121"/>
      <c r="V524" s="123"/>
      <c r="W524" s="124"/>
      <c r="X524" s="178"/>
      <c r="Y524" s="126"/>
      <c r="Z524" s="126"/>
      <c r="AB524" s="31"/>
      <c r="AC524" s="31"/>
      <c r="AD524" s="31"/>
      <c r="AE524" s="1"/>
    </row>
    <row r="525">
      <c r="A525" s="104"/>
      <c r="C525" s="128"/>
      <c r="D525" s="74"/>
      <c r="E525" s="1"/>
      <c r="F525" s="1"/>
      <c r="G525" s="1"/>
      <c r="H525" s="118"/>
      <c r="I525" s="177"/>
      <c r="J525" s="31"/>
      <c r="K525" s="1"/>
      <c r="L525" s="120"/>
      <c r="M525" s="121"/>
      <c r="N525" s="121"/>
      <c r="O525" s="118"/>
      <c r="P525" s="118"/>
      <c r="Q525" s="31"/>
      <c r="R525" s="122"/>
      <c r="S525" s="121"/>
      <c r="T525" s="122"/>
      <c r="U525" s="121"/>
      <c r="V525" s="123"/>
      <c r="W525" s="124"/>
      <c r="X525" s="178"/>
      <c r="Y525" s="126"/>
      <c r="Z525" s="126"/>
      <c r="AB525" s="31"/>
      <c r="AC525" s="31"/>
      <c r="AD525" s="31"/>
      <c r="AE525" s="1"/>
    </row>
    <row r="526">
      <c r="A526" s="104"/>
      <c r="C526" s="128"/>
      <c r="D526" s="74"/>
      <c r="E526" s="1"/>
      <c r="F526" s="1"/>
      <c r="G526" s="1"/>
      <c r="H526" s="118"/>
      <c r="I526" s="177"/>
      <c r="J526" s="31"/>
      <c r="K526" s="1"/>
      <c r="L526" s="120"/>
      <c r="M526" s="121"/>
      <c r="N526" s="121"/>
      <c r="O526" s="118"/>
      <c r="P526" s="118"/>
      <c r="Q526" s="31"/>
      <c r="R526" s="122"/>
      <c r="S526" s="121"/>
      <c r="T526" s="122"/>
      <c r="U526" s="121"/>
      <c r="V526" s="123"/>
      <c r="W526" s="124"/>
      <c r="X526" s="178"/>
      <c r="Y526" s="126"/>
      <c r="Z526" s="126"/>
      <c r="AB526" s="31"/>
      <c r="AC526" s="31"/>
      <c r="AD526" s="31"/>
      <c r="AE526" s="1"/>
    </row>
    <row r="527">
      <c r="A527" s="104"/>
      <c r="C527" s="128"/>
      <c r="D527" s="74"/>
      <c r="E527" s="1"/>
      <c r="F527" s="1"/>
      <c r="G527" s="1"/>
      <c r="H527" s="118"/>
      <c r="I527" s="177"/>
      <c r="J527" s="31"/>
      <c r="K527" s="1"/>
      <c r="L527" s="120"/>
      <c r="M527" s="121"/>
      <c r="N527" s="121"/>
      <c r="O527" s="118"/>
      <c r="P527" s="118"/>
      <c r="Q527" s="31"/>
      <c r="R527" s="122"/>
      <c r="S527" s="121"/>
      <c r="T527" s="122"/>
      <c r="U527" s="121"/>
      <c r="V527" s="123"/>
      <c r="W527" s="124"/>
      <c r="X527" s="178"/>
      <c r="Y527" s="126"/>
      <c r="Z527" s="126"/>
      <c r="AB527" s="31"/>
      <c r="AC527" s="31"/>
      <c r="AD527" s="31"/>
      <c r="AE527" s="1"/>
    </row>
    <row r="528">
      <c r="A528" s="104"/>
      <c r="C528" s="128"/>
      <c r="D528" s="74"/>
      <c r="E528" s="1"/>
      <c r="F528" s="1"/>
      <c r="G528" s="1"/>
      <c r="H528" s="118"/>
      <c r="I528" s="177"/>
      <c r="J528" s="31"/>
      <c r="K528" s="1"/>
      <c r="L528" s="120"/>
      <c r="M528" s="121"/>
      <c r="N528" s="121"/>
      <c r="O528" s="118"/>
      <c r="P528" s="118"/>
      <c r="Q528" s="31"/>
      <c r="R528" s="122"/>
      <c r="S528" s="121"/>
      <c r="T528" s="122"/>
      <c r="U528" s="121"/>
      <c r="V528" s="123"/>
      <c r="W528" s="124"/>
      <c r="X528" s="178"/>
      <c r="Y528" s="126"/>
      <c r="Z528" s="126"/>
      <c r="AB528" s="31"/>
      <c r="AC528" s="31"/>
      <c r="AD528" s="31"/>
      <c r="AE528" s="1"/>
    </row>
    <row r="529">
      <c r="A529" s="104"/>
      <c r="C529" s="128"/>
      <c r="D529" s="74"/>
      <c r="E529" s="1"/>
      <c r="F529" s="1"/>
      <c r="G529" s="1"/>
      <c r="H529" s="118"/>
      <c r="I529" s="177"/>
      <c r="J529" s="31"/>
      <c r="K529" s="1"/>
      <c r="L529" s="120"/>
      <c r="M529" s="121"/>
      <c r="N529" s="121"/>
      <c r="O529" s="118"/>
      <c r="P529" s="118"/>
      <c r="Q529" s="31"/>
      <c r="R529" s="122"/>
      <c r="S529" s="121"/>
      <c r="T529" s="122"/>
      <c r="U529" s="121"/>
      <c r="V529" s="123"/>
      <c r="W529" s="124"/>
      <c r="X529" s="178"/>
      <c r="Y529" s="126"/>
      <c r="Z529" s="126"/>
      <c r="AB529" s="31"/>
      <c r="AC529" s="31"/>
      <c r="AD529" s="31"/>
      <c r="AE529" s="1"/>
    </row>
    <row r="530">
      <c r="A530" s="104"/>
      <c r="C530" s="128"/>
      <c r="D530" s="74"/>
      <c r="E530" s="1"/>
      <c r="F530" s="1"/>
      <c r="G530" s="1"/>
      <c r="H530" s="118"/>
      <c r="I530" s="177"/>
      <c r="J530" s="31"/>
      <c r="K530" s="1"/>
      <c r="L530" s="120"/>
      <c r="M530" s="121"/>
      <c r="N530" s="121"/>
      <c r="O530" s="118"/>
      <c r="P530" s="118"/>
      <c r="Q530" s="31"/>
      <c r="R530" s="122"/>
      <c r="S530" s="121"/>
      <c r="T530" s="122"/>
      <c r="U530" s="121"/>
      <c r="V530" s="123"/>
      <c r="W530" s="124"/>
      <c r="X530" s="178"/>
      <c r="Y530" s="126"/>
      <c r="Z530" s="126"/>
      <c r="AB530" s="31"/>
      <c r="AC530" s="31"/>
      <c r="AD530" s="31"/>
      <c r="AE530" s="1"/>
    </row>
    <row r="531">
      <c r="A531" s="104"/>
      <c r="C531" s="128"/>
      <c r="D531" s="74"/>
      <c r="E531" s="1"/>
      <c r="F531" s="1"/>
      <c r="G531" s="1"/>
      <c r="H531" s="118"/>
      <c r="I531" s="177"/>
      <c r="J531" s="31"/>
      <c r="K531" s="1"/>
      <c r="L531" s="120"/>
      <c r="M531" s="121"/>
      <c r="N531" s="121"/>
      <c r="O531" s="118"/>
      <c r="P531" s="118"/>
      <c r="Q531" s="31"/>
      <c r="R531" s="122"/>
      <c r="S531" s="121"/>
      <c r="T531" s="122"/>
      <c r="U531" s="121"/>
      <c r="V531" s="123"/>
      <c r="W531" s="124"/>
      <c r="X531" s="178"/>
      <c r="Y531" s="126"/>
      <c r="Z531" s="126"/>
      <c r="AB531" s="31"/>
      <c r="AC531" s="31"/>
      <c r="AD531" s="31"/>
      <c r="AE531" s="1"/>
    </row>
    <row r="532">
      <c r="A532" s="104"/>
      <c r="C532" s="128"/>
      <c r="D532" s="74"/>
      <c r="E532" s="1"/>
      <c r="F532" s="1"/>
      <c r="G532" s="1"/>
      <c r="H532" s="118"/>
      <c r="I532" s="177"/>
      <c r="J532" s="31"/>
      <c r="K532" s="1"/>
      <c r="L532" s="120"/>
      <c r="M532" s="121"/>
      <c r="N532" s="121"/>
      <c r="O532" s="118"/>
      <c r="P532" s="118"/>
      <c r="Q532" s="31"/>
      <c r="R532" s="122"/>
      <c r="S532" s="121"/>
      <c r="T532" s="122"/>
      <c r="U532" s="121"/>
      <c r="V532" s="123"/>
      <c r="W532" s="124"/>
      <c r="X532" s="178"/>
      <c r="Y532" s="126"/>
      <c r="Z532" s="126"/>
      <c r="AB532" s="31"/>
      <c r="AC532" s="31"/>
      <c r="AD532" s="31"/>
      <c r="AE532" s="1"/>
    </row>
    <row r="533">
      <c r="A533" s="104"/>
      <c r="C533" s="128"/>
      <c r="D533" s="74"/>
      <c r="E533" s="1"/>
      <c r="F533" s="1"/>
      <c r="G533" s="1"/>
      <c r="H533" s="118"/>
      <c r="I533" s="177"/>
      <c r="J533" s="31"/>
      <c r="K533" s="1"/>
      <c r="L533" s="120"/>
      <c r="M533" s="121"/>
      <c r="N533" s="121"/>
      <c r="O533" s="118"/>
      <c r="P533" s="118"/>
      <c r="Q533" s="31"/>
      <c r="R533" s="122"/>
      <c r="S533" s="121"/>
      <c r="T533" s="122"/>
      <c r="U533" s="121"/>
      <c r="V533" s="123"/>
      <c r="W533" s="124"/>
      <c r="X533" s="178"/>
      <c r="Y533" s="126"/>
      <c r="Z533" s="126"/>
      <c r="AB533" s="31"/>
      <c r="AC533" s="31"/>
      <c r="AD533" s="31"/>
      <c r="AE533" s="1"/>
    </row>
    <row r="534">
      <c r="A534" s="104"/>
      <c r="C534" s="128"/>
      <c r="D534" s="74"/>
      <c r="E534" s="1"/>
      <c r="F534" s="1"/>
      <c r="G534" s="1"/>
      <c r="H534" s="118"/>
      <c r="I534" s="177"/>
      <c r="J534" s="31"/>
      <c r="K534" s="1"/>
      <c r="L534" s="120"/>
      <c r="M534" s="121"/>
      <c r="N534" s="121"/>
      <c r="O534" s="118"/>
      <c r="P534" s="118"/>
      <c r="Q534" s="31"/>
      <c r="R534" s="122"/>
      <c r="S534" s="121"/>
      <c r="T534" s="122"/>
      <c r="U534" s="121"/>
      <c r="V534" s="123"/>
      <c r="W534" s="124"/>
      <c r="X534" s="178"/>
      <c r="Y534" s="126"/>
      <c r="Z534" s="126"/>
      <c r="AB534" s="31"/>
      <c r="AC534" s="31"/>
      <c r="AD534" s="31"/>
      <c r="AE534" s="1"/>
    </row>
    <row r="535">
      <c r="A535" s="104"/>
      <c r="C535" s="128"/>
      <c r="D535" s="74"/>
      <c r="E535" s="1"/>
      <c r="F535" s="1"/>
      <c r="G535" s="1"/>
      <c r="H535" s="118"/>
      <c r="I535" s="177"/>
      <c r="J535" s="31"/>
      <c r="K535" s="1"/>
      <c r="L535" s="120"/>
      <c r="M535" s="121"/>
      <c r="N535" s="121"/>
      <c r="O535" s="118"/>
      <c r="P535" s="118"/>
      <c r="Q535" s="31"/>
      <c r="R535" s="122"/>
      <c r="S535" s="121"/>
      <c r="T535" s="122"/>
      <c r="U535" s="121"/>
      <c r="V535" s="123"/>
      <c r="W535" s="124"/>
      <c r="X535" s="178"/>
      <c r="Y535" s="126"/>
      <c r="Z535" s="126"/>
      <c r="AB535" s="31"/>
      <c r="AC535" s="31"/>
      <c r="AD535" s="31"/>
      <c r="AE535" s="1"/>
    </row>
    <row r="536">
      <c r="A536" s="104"/>
      <c r="C536" s="128"/>
      <c r="D536" s="74"/>
      <c r="E536" s="1"/>
      <c r="F536" s="1"/>
      <c r="G536" s="1"/>
      <c r="H536" s="118"/>
      <c r="I536" s="177"/>
      <c r="J536" s="31"/>
      <c r="K536" s="1"/>
      <c r="L536" s="120"/>
      <c r="M536" s="121"/>
      <c r="N536" s="121"/>
      <c r="O536" s="118"/>
      <c r="P536" s="118"/>
      <c r="Q536" s="31"/>
      <c r="R536" s="122"/>
      <c r="S536" s="121"/>
      <c r="T536" s="122"/>
      <c r="U536" s="121"/>
      <c r="V536" s="123"/>
      <c r="W536" s="124"/>
      <c r="X536" s="178"/>
      <c r="Y536" s="126"/>
      <c r="Z536" s="126"/>
      <c r="AB536" s="31"/>
      <c r="AC536" s="31"/>
      <c r="AD536" s="31"/>
      <c r="AE536" s="1"/>
    </row>
    <row r="537">
      <c r="A537" s="104"/>
      <c r="C537" s="128"/>
      <c r="D537" s="74"/>
      <c r="E537" s="1"/>
      <c r="F537" s="1"/>
      <c r="G537" s="1"/>
      <c r="H537" s="118"/>
      <c r="I537" s="177"/>
      <c r="J537" s="31"/>
      <c r="K537" s="1"/>
      <c r="L537" s="120"/>
      <c r="M537" s="121"/>
      <c r="N537" s="121"/>
      <c r="O537" s="118"/>
      <c r="P537" s="118"/>
      <c r="Q537" s="31"/>
      <c r="R537" s="122"/>
      <c r="S537" s="121"/>
      <c r="T537" s="122"/>
      <c r="U537" s="121"/>
      <c r="V537" s="123"/>
      <c r="W537" s="124"/>
      <c r="X537" s="178"/>
      <c r="Y537" s="126"/>
      <c r="Z537" s="126"/>
      <c r="AB537" s="31"/>
      <c r="AC537" s="31"/>
      <c r="AD537" s="31"/>
      <c r="AE537" s="1"/>
    </row>
    <row r="538">
      <c r="A538" s="104"/>
      <c r="C538" s="128"/>
      <c r="D538" s="74"/>
      <c r="E538" s="1"/>
      <c r="F538" s="1"/>
      <c r="G538" s="1"/>
      <c r="H538" s="118"/>
      <c r="I538" s="177"/>
      <c r="J538" s="31"/>
      <c r="K538" s="1"/>
      <c r="L538" s="120"/>
      <c r="M538" s="121"/>
      <c r="N538" s="121"/>
      <c r="O538" s="118"/>
      <c r="P538" s="118"/>
      <c r="Q538" s="31"/>
      <c r="R538" s="122"/>
      <c r="S538" s="121"/>
      <c r="T538" s="122"/>
      <c r="U538" s="121"/>
      <c r="V538" s="123"/>
      <c r="W538" s="124"/>
      <c r="X538" s="178"/>
      <c r="Y538" s="126"/>
      <c r="Z538" s="126"/>
      <c r="AB538" s="31"/>
      <c r="AC538" s="31"/>
      <c r="AD538" s="31"/>
      <c r="AE538" s="1"/>
    </row>
    <row r="539">
      <c r="A539" s="104"/>
      <c r="C539" s="128"/>
      <c r="D539" s="74"/>
      <c r="E539" s="1"/>
      <c r="F539" s="1"/>
      <c r="G539" s="1"/>
      <c r="H539" s="118"/>
      <c r="I539" s="177"/>
      <c r="J539" s="31"/>
      <c r="K539" s="1"/>
      <c r="L539" s="120"/>
      <c r="M539" s="121"/>
      <c r="N539" s="121"/>
      <c r="O539" s="118"/>
      <c r="P539" s="118"/>
      <c r="Q539" s="31"/>
      <c r="R539" s="122"/>
      <c r="S539" s="121"/>
      <c r="T539" s="122"/>
      <c r="U539" s="121"/>
      <c r="V539" s="123"/>
      <c r="W539" s="124"/>
      <c r="X539" s="178"/>
      <c r="Y539" s="126"/>
      <c r="Z539" s="126"/>
      <c r="AB539" s="31"/>
      <c r="AC539" s="31"/>
      <c r="AD539" s="31"/>
      <c r="AE539" s="1"/>
    </row>
    <row r="540">
      <c r="A540" s="104"/>
      <c r="C540" s="128"/>
      <c r="D540" s="74"/>
      <c r="E540" s="1"/>
      <c r="F540" s="1"/>
      <c r="G540" s="1"/>
      <c r="H540" s="118"/>
      <c r="I540" s="177"/>
      <c r="J540" s="31"/>
      <c r="K540" s="1"/>
      <c r="L540" s="120"/>
      <c r="M540" s="121"/>
      <c r="N540" s="121"/>
      <c r="O540" s="118"/>
      <c r="P540" s="118"/>
      <c r="Q540" s="31"/>
      <c r="R540" s="122"/>
      <c r="S540" s="121"/>
      <c r="T540" s="122"/>
      <c r="U540" s="121"/>
      <c r="V540" s="123"/>
      <c r="W540" s="124"/>
      <c r="X540" s="178"/>
      <c r="Y540" s="126"/>
      <c r="Z540" s="126"/>
      <c r="AB540" s="31"/>
      <c r="AC540" s="31"/>
      <c r="AD540" s="31"/>
      <c r="AE540" s="1"/>
    </row>
    <row r="541">
      <c r="A541" s="104"/>
      <c r="C541" s="128"/>
      <c r="D541" s="74"/>
      <c r="E541" s="1"/>
      <c r="F541" s="1"/>
      <c r="G541" s="1"/>
      <c r="H541" s="118"/>
      <c r="I541" s="177"/>
      <c r="J541" s="31"/>
      <c r="K541" s="1"/>
      <c r="L541" s="120"/>
      <c r="M541" s="121"/>
      <c r="N541" s="121"/>
      <c r="O541" s="118"/>
      <c r="P541" s="118"/>
      <c r="Q541" s="31"/>
      <c r="R541" s="122"/>
      <c r="S541" s="121"/>
      <c r="T541" s="122"/>
      <c r="U541" s="121"/>
      <c r="V541" s="123"/>
      <c r="W541" s="124"/>
      <c r="X541" s="178"/>
      <c r="Y541" s="126"/>
      <c r="Z541" s="126"/>
      <c r="AB541" s="31"/>
      <c r="AC541" s="31"/>
      <c r="AD541" s="31"/>
      <c r="AE541" s="1"/>
    </row>
    <row r="542">
      <c r="A542" s="104"/>
      <c r="C542" s="128"/>
      <c r="D542" s="74"/>
      <c r="E542" s="1"/>
      <c r="F542" s="1"/>
      <c r="G542" s="1"/>
      <c r="H542" s="118"/>
      <c r="I542" s="177"/>
      <c r="J542" s="31"/>
      <c r="K542" s="1"/>
      <c r="L542" s="120"/>
      <c r="M542" s="121"/>
      <c r="N542" s="121"/>
      <c r="O542" s="118"/>
      <c r="P542" s="118"/>
      <c r="Q542" s="31"/>
      <c r="R542" s="122"/>
      <c r="S542" s="121"/>
      <c r="T542" s="122"/>
      <c r="U542" s="121"/>
      <c r="V542" s="123"/>
      <c r="W542" s="124"/>
      <c r="X542" s="178"/>
      <c r="Y542" s="126"/>
      <c r="Z542" s="126"/>
      <c r="AB542" s="31"/>
      <c r="AC542" s="31"/>
      <c r="AD542" s="31"/>
      <c r="AE542" s="1"/>
    </row>
    <row r="543">
      <c r="A543" s="104"/>
      <c r="C543" s="128"/>
      <c r="D543" s="74"/>
      <c r="E543" s="1"/>
      <c r="F543" s="1"/>
      <c r="G543" s="1"/>
      <c r="H543" s="118"/>
      <c r="I543" s="177"/>
      <c r="J543" s="31"/>
      <c r="K543" s="1"/>
      <c r="L543" s="120"/>
      <c r="M543" s="121"/>
      <c r="N543" s="121"/>
      <c r="O543" s="118"/>
      <c r="P543" s="118"/>
      <c r="Q543" s="31"/>
      <c r="R543" s="122"/>
      <c r="S543" s="121"/>
      <c r="T543" s="122"/>
      <c r="U543" s="121"/>
      <c r="V543" s="123"/>
      <c r="W543" s="124"/>
      <c r="X543" s="178"/>
      <c r="Y543" s="126"/>
      <c r="Z543" s="126"/>
      <c r="AB543" s="31"/>
      <c r="AC543" s="31"/>
      <c r="AD543" s="31"/>
      <c r="AE543" s="1"/>
    </row>
    <row r="544">
      <c r="A544" s="104"/>
      <c r="C544" s="128"/>
      <c r="D544" s="74"/>
      <c r="E544" s="1"/>
      <c r="F544" s="1"/>
      <c r="G544" s="1"/>
      <c r="H544" s="118"/>
      <c r="I544" s="177"/>
      <c r="J544" s="31"/>
      <c r="K544" s="1"/>
      <c r="L544" s="120"/>
      <c r="M544" s="121"/>
      <c r="N544" s="121"/>
      <c r="O544" s="118"/>
      <c r="P544" s="118"/>
      <c r="Q544" s="31"/>
      <c r="R544" s="122"/>
      <c r="S544" s="121"/>
      <c r="T544" s="122"/>
      <c r="U544" s="121"/>
      <c r="V544" s="123"/>
      <c r="W544" s="124"/>
      <c r="X544" s="178"/>
      <c r="Y544" s="126"/>
      <c r="Z544" s="126"/>
      <c r="AB544" s="31"/>
      <c r="AC544" s="31"/>
      <c r="AD544" s="31"/>
      <c r="AE544" s="1"/>
    </row>
    <row r="545">
      <c r="A545" s="104"/>
      <c r="C545" s="128"/>
      <c r="D545" s="74"/>
      <c r="E545" s="1"/>
      <c r="F545" s="1"/>
      <c r="G545" s="1"/>
      <c r="H545" s="118"/>
      <c r="I545" s="177"/>
      <c r="J545" s="31"/>
      <c r="K545" s="1"/>
      <c r="L545" s="120"/>
      <c r="M545" s="121"/>
      <c r="N545" s="121"/>
      <c r="O545" s="118"/>
      <c r="P545" s="118"/>
      <c r="Q545" s="31"/>
      <c r="R545" s="122"/>
      <c r="S545" s="121"/>
      <c r="T545" s="122"/>
      <c r="U545" s="121"/>
      <c r="V545" s="123"/>
      <c r="W545" s="124"/>
      <c r="X545" s="178"/>
      <c r="Y545" s="126"/>
      <c r="Z545" s="126"/>
      <c r="AB545" s="31"/>
      <c r="AC545" s="31"/>
      <c r="AD545" s="31"/>
      <c r="AE545" s="1"/>
    </row>
    <row r="546">
      <c r="A546" s="104"/>
      <c r="C546" s="128"/>
      <c r="D546" s="74"/>
      <c r="E546" s="1"/>
      <c r="F546" s="1"/>
      <c r="G546" s="1"/>
      <c r="H546" s="118"/>
      <c r="I546" s="177"/>
      <c r="J546" s="31"/>
      <c r="K546" s="1"/>
      <c r="L546" s="120"/>
      <c r="M546" s="121"/>
      <c r="N546" s="121"/>
      <c r="O546" s="118"/>
      <c r="P546" s="118"/>
      <c r="Q546" s="31"/>
      <c r="R546" s="122"/>
      <c r="S546" s="121"/>
      <c r="T546" s="122"/>
      <c r="U546" s="121"/>
      <c r="V546" s="123"/>
      <c r="W546" s="124"/>
      <c r="X546" s="178"/>
      <c r="Y546" s="126"/>
      <c r="Z546" s="126"/>
      <c r="AB546" s="31"/>
      <c r="AC546" s="31"/>
      <c r="AD546" s="31"/>
      <c r="AE546" s="1"/>
    </row>
    <row r="547">
      <c r="A547" s="104"/>
      <c r="C547" s="128"/>
      <c r="D547" s="74"/>
      <c r="E547" s="1"/>
      <c r="F547" s="1"/>
      <c r="G547" s="1"/>
      <c r="H547" s="118"/>
      <c r="I547" s="177"/>
      <c r="J547" s="31"/>
      <c r="K547" s="1"/>
      <c r="L547" s="120"/>
      <c r="M547" s="121"/>
      <c r="N547" s="121"/>
      <c r="O547" s="118"/>
      <c r="P547" s="118"/>
      <c r="Q547" s="31"/>
      <c r="R547" s="122"/>
      <c r="S547" s="121"/>
      <c r="T547" s="122"/>
      <c r="U547" s="121"/>
      <c r="V547" s="123"/>
      <c r="W547" s="124"/>
      <c r="X547" s="178"/>
      <c r="Y547" s="126"/>
      <c r="Z547" s="126"/>
      <c r="AB547" s="31"/>
      <c r="AC547" s="31"/>
      <c r="AD547" s="31"/>
      <c r="AE547" s="1"/>
    </row>
    <row r="548">
      <c r="A548" s="104"/>
      <c r="C548" s="128"/>
      <c r="D548" s="74"/>
      <c r="E548" s="1"/>
      <c r="F548" s="1"/>
      <c r="G548" s="1"/>
      <c r="H548" s="118"/>
      <c r="I548" s="177"/>
      <c r="J548" s="31"/>
      <c r="K548" s="1"/>
      <c r="L548" s="120"/>
      <c r="M548" s="121"/>
      <c r="N548" s="121"/>
      <c r="O548" s="118"/>
      <c r="P548" s="118"/>
      <c r="Q548" s="31"/>
      <c r="R548" s="122"/>
      <c r="S548" s="121"/>
      <c r="T548" s="122"/>
      <c r="U548" s="121"/>
      <c r="V548" s="123"/>
      <c r="W548" s="124"/>
      <c r="X548" s="178"/>
      <c r="Y548" s="126"/>
      <c r="Z548" s="126"/>
      <c r="AB548" s="31"/>
      <c r="AC548" s="31"/>
      <c r="AD548" s="31"/>
      <c r="AE548" s="1"/>
    </row>
    <row r="549">
      <c r="A549" s="104"/>
      <c r="C549" s="128"/>
      <c r="D549" s="74"/>
      <c r="E549" s="1"/>
      <c r="F549" s="1"/>
      <c r="G549" s="1"/>
      <c r="H549" s="118"/>
      <c r="I549" s="177"/>
      <c r="J549" s="31"/>
      <c r="K549" s="1"/>
      <c r="L549" s="120"/>
      <c r="M549" s="121"/>
      <c r="N549" s="121"/>
      <c r="O549" s="118"/>
      <c r="P549" s="118"/>
      <c r="Q549" s="31"/>
      <c r="R549" s="122"/>
      <c r="S549" s="121"/>
      <c r="T549" s="122"/>
      <c r="U549" s="121"/>
      <c r="V549" s="123"/>
      <c r="W549" s="124"/>
      <c r="X549" s="178"/>
      <c r="Y549" s="126"/>
      <c r="Z549" s="126"/>
      <c r="AB549" s="31"/>
      <c r="AC549" s="31"/>
      <c r="AD549" s="31"/>
      <c r="AE549" s="1"/>
    </row>
    <row r="550">
      <c r="A550" s="104"/>
      <c r="C550" s="128"/>
      <c r="D550" s="74"/>
      <c r="E550" s="1"/>
      <c r="F550" s="1"/>
      <c r="G550" s="1"/>
      <c r="H550" s="118"/>
      <c r="I550" s="177"/>
      <c r="J550" s="31"/>
      <c r="K550" s="1"/>
      <c r="L550" s="120"/>
      <c r="M550" s="121"/>
      <c r="N550" s="121"/>
      <c r="O550" s="118"/>
      <c r="P550" s="118"/>
      <c r="Q550" s="31"/>
      <c r="R550" s="122"/>
      <c r="S550" s="121"/>
      <c r="T550" s="122"/>
      <c r="U550" s="121"/>
      <c r="V550" s="123"/>
      <c r="W550" s="124"/>
      <c r="X550" s="178"/>
      <c r="Y550" s="126"/>
      <c r="Z550" s="126"/>
      <c r="AB550" s="31"/>
      <c r="AC550" s="31"/>
      <c r="AD550" s="31"/>
      <c r="AE550" s="1"/>
    </row>
    <row r="551">
      <c r="A551" s="104"/>
      <c r="C551" s="128"/>
      <c r="D551" s="74"/>
      <c r="E551" s="1"/>
      <c r="F551" s="1"/>
      <c r="G551" s="1"/>
      <c r="H551" s="118"/>
      <c r="I551" s="177"/>
      <c r="J551" s="31"/>
      <c r="K551" s="1"/>
      <c r="L551" s="120"/>
      <c r="M551" s="121"/>
      <c r="N551" s="121"/>
      <c r="O551" s="118"/>
      <c r="P551" s="118"/>
      <c r="Q551" s="31"/>
      <c r="R551" s="122"/>
      <c r="S551" s="121"/>
      <c r="T551" s="122"/>
      <c r="U551" s="121"/>
      <c r="V551" s="123"/>
      <c r="W551" s="124"/>
      <c r="X551" s="178"/>
      <c r="Y551" s="126"/>
      <c r="Z551" s="126"/>
      <c r="AB551" s="31"/>
      <c r="AC551" s="31"/>
      <c r="AD551" s="31"/>
      <c r="AE551" s="1"/>
    </row>
    <row r="552">
      <c r="A552" s="104"/>
      <c r="C552" s="128"/>
      <c r="D552" s="74"/>
      <c r="E552" s="1"/>
      <c r="F552" s="1"/>
      <c r="G552" s="1"/>
      <c r="H552" s="118"/>
      <c r="I552" s="177"/>
      <c r="J552" s="31"/>
      <c r="K552" s="1"/>
      <c r="L552" s="120"/>
      <c r="M552" s="121"/>
      <c r="N552" s="121"/>
      <c r="O552" s="118"/>
      <c r="P552" s="118"/>
      <c r="Q552" s="31"/>
      <c r="R552" s="122"/>
      <c r="S552" s="121"/>
      <c r="T552" s="122"/>
      <c r="U552" s="121"/>
      <c r="V552" s="123"/>
      <c r="W552" s="124"/>
      <c r="X552" s="178"/>
      <c r="Y552" s="126"/>
      <c r="Z552" s="126"/>
      <c r="AB552" s="31"/>
      <c r="AC552" s="31"/>
      <c r="AD552" s="31"/>
      <c r="AE552" s="1"/>
    </row>
    <row r="553">
      <c r="A553" s="104"/>
      <c r="C553" s="128"/>
      <c r="D553" s="74"/>
      <c r="E553" s="1"/>
      <c r="F553" s="1"/>
      <c r="G553" s="1"/>
      <c r="H553" s="118"/>
      <c r="I553" s="177"/>
      <c r="J553" s="31"/>
      <c r="K553" s="1"/>
      <c r="L553" s="120"/>
      <c r="M553" s="121"/>
      <c r="N553" s="121"/>
      <c r="O553" s="118"/>
      <c r="P553" s="118"/>
      <c r="Q553" s="31"/>
      <c r="R553" s="122"/>
      <c r="S553" s="121"/>
      <c r="T553" s="122"/>
      <c r="U553" s="121"/>
      <c r="V553" s="123"/>
      <c r="W553" s="124"/>
      <c r="X553" s="178"/>
      <c r="Y553" s="126"/>
      <c r="Z553" s="126"/>
      <c r="AB553" s="31"/>
      <c r="AC553" s="31"/>
      <c r="AD553" s="31"/>
      <c r="AE553" s="1"/>
    </row>
    <row r="554">
      <c r="A554" s="104"/>
      <c r="C554" s="128"/>
      <c r="D554" s="74"/>
      <c r="E554" s="1"/>
      <c r="F554" s="1"/>
      <c r="G554" s="1"/>
      <c r="H554" s="118"/>
      <c r="I554" s="177"/>
      <c r="J554" s="31"/>
      <c r="K554" s="1"/>
      <c r="L554" s="120"/>
      <c r="M554" s="121"/>
      <c r="N554" s="121"/>
      <c r="O554" s="118"/>
      <c r="P554" s="118"/>
      <c r="Q554" s="31"/>
      <c r="R554" s="122"/>
      <c r="S554" s="121"/>
      <c r="T554" s="122"/>
      <c r="U554" s="121"/>
      <c r="V554" s="123"/>
      <c r="W554" s="124"/>
      <c r="X554" s="178"/>
      <c r="Y554" s="126"/>
      <c r="Z554" s="126"/>
      <c r="AB554" s="31"/>
      <c r="AC554" s="31"/>
      <c r="AD554" s="31"/>
      <c r="AE554" s="1"/>
    </row>
    <row r="555">
      <c r="A555" s="104"/>
      <c r="C555" s="128"/>
      <c r="D555" s="74"/>
      <c r="E555" s="1"/>
      <c r="F555" s="1"/>
      <c r="G555" s="1"/>
      <c r="H555" s="118"/>
      <c r="I555" s="177"/>
      <c r="J555" s="31"/>
      <c r="K555" s="1"/>
      <c r="L555" s="120"/>
      <c r="M555" s="121"/>
      <c r="N555" s="121"/>
      <c r="O555" s="118"/>
      <c r="P555" s="118"/>
      <c r="Q555" s="31"/>
      <c r="R555" s="122"/>
      <c r="S555" s="121"/>
      <c r="T555" s="122"/>
      <c r="U555" s="121"/>
      <c r="V555" s="123"/>
      <c r="W555" s="124"/>
      <c r="X555" s="178"/>
      <c r="Y555" s="126"/>
      <c r="Z555" s="126"/>
      <c r="AB555" s="31"/>
      <c r="AC555" s="31"/>
      <c r="AD555" s="31"/>
      <c r="AE555" s="1"/>
    </row>
    <row r="556">
      <c r="A556" s="104"/>
      <c r="C556" s="128"/>
      <c r="D556" s="74"/>
      <c r="E556" s="1"/>
      <c r="F556" s="1"/>
      <c r="G556" s="1"/>
      <c r="H556" s="118"/>
      <c r="I556" s="177"/>
      <c r="J556" s="31"/>
      <c r="K556" s="1"/>
      <c r="L556" s="120"/>
      <c r="M556" s="121"/>
      <c r="N556" s="121"/>
      <c r="O556" s="118"/>
      <c r="P556" s="118"/>
      <c r="Q556" s="31"/>
      <c r="R556" s="122"/>
      <c r="S556" s="121"/>
      <c r="T556" s="122"/>
      <c r="U556" s="121"/>
      <c r="V556" s="123"/>
      <c r="W556" s="124"/>
      <c r="X556" s="178"/>
      <c r="Y556" s="126"/>
      <c r="Z556" s="126"/>
      <c r="AB556" s="31"/>
      <c r="AC556" s="31"/>
      <c r="AD556" s="31"/>
      <c r="AE556" s="1"/>
    </row>
    <row r="557">
      <c r="A557" s="104"/>
      <c r="C557" s="128"/>
      <c r="D557" s="74"/>
      <c r="E557" s="1"/>
      <c r="F557" s="1"/>
      <c r="G557" s="1"/>
      <c r="H557" s="118"/>
      <c r="I557" s="177"/>
      <c r="J557" s="31"/>
      <c r="K557" s="1"/>
      <c r="L557" s="120"/>
      <c r="M557" s="121"/>
      <c r="N557" s="121"/>
      <c r="O557" s="118"/>
      <c r="P557" s="118"/>
      <c r="Q557" s="31"/>
      <c r="R557" s="122"/>
      <c r="S557" s="121"/>
      <c r="T557" s="122"/>
      <c r="U557" s="121"/>
      <c r="V557" s="123"/>
      <c r="W557" s="124"/>
      <c r="X557" s="178"/>
      <c r="Y557" s="126"/>
      <c r="Z557" s="126"/>
      <c r="AB557" s="31"/>
      <c r="AC557" s="31"/>
      <c r="AD557" s="31"/>
      <c r="AE557" s="1"/>
    </row>
    <row r="558">
      <c r="A558" s="104"/>
      <c r="C558" s="128"/>
      <c r="D558" s="74"/>
      <c r="E558" s="1"/>
      <c r="F558" s="1"/>
      <c r="G558" s="1"/>
      <c r="H558" s="118"/>
      <c r="I558" s="177"/>
      <c r="J558" s="31"/>
      <c r="K558" s="1"/>
      <c r="L558" s="120"/>
      <c r="M558" s="121"/>
      <c r="N558" s="121"/>
      <c r="O558" s="118"/>
      <c r="P558" s="118"/>
      <c r="Q558" s="31"/>
      <c r="R558" s="122"/>
      <c r="S558" s="121"/>
      <c r="T558" s="122"/>
      <c r="U558" s="121"/>
      <c r="V558" s="123"/>
      <c r="W558" s="124"/>
      <c r="X558" s="178"/>
      <c r="Y558" s="126"/>
      <c r="Z558" s="126"/>
      <c r="AB558" s="31"/>
      <c r="AC558" s="31"/>
      <c r="AD558" s="31"/>
      <c r="AE558" s="1"/>
    </row>
    <row r="559">
      <c r="A559" s="104"/>
      <c r="C559" s="128"/>
      <c r="D559" s="74"/>
      <c r="E559" s="1"/>
      <c r="F559" s="1"/>
      <c r="G559" s="1"/>
      <c r="H559" s="118"/>
      <c r="I559" s="177"/>
      <c r="J559" s="31"/>
      <c r="K559" s="1"/>
      <c r="L559" s="120"/>
      <c r="M559" s="121"/>
      <c r="N559" s="121"/>
      <c r="O559" s="118"/>
      <c r="P559" s="118"/>
      <c r="Q559" s="31"/>
      <c r="R559" s="122"/>
      <c r="S559" s="121"/>
      <c r="T559" s="122"/>
      <c r="U559" s="121"/>
      <c r="V559" s="123"/>
      <c r="W559" s="124"/>
      <c r="X559" s="178"/>
      <c r="Y559" s="126"/>
      <c r="Z559" s="126"/>
      <c r="AB559" s="31"/>
      <c r="AC559" s="31"/>
      <c r="AD559" s="31"/>
      <c r="AE559" s="1"/>
    </row>
    <row r="560">
      <c r="A560" s="104"/>
      <c r="C560" s="128"/>
      <c r="D560" s="74"/>
      <c r="E560" s="1"/>
      <c r="F560" s="1"/>
      <c r="G560" s="1"/>
      <c r="H560" s="118"/>
      <c r="I560" s="177"/>
      <c r="J560" s="31"/>
      <c r="K560" s="1"/>
      <c r="L560" s="120"/>
      <c r="M560" s="121"/>
      <c r="N560" s="121"/>
      <c r="O560" s="118"/>
      <c r="P560" s="118"/>
      <c r="Q560" s="31"/>
      <c r="R560" s="122"/>
      <c r="S560" s="121"/>
      <c r="T560" s="122"/>
      <c r="U560" s="121"/>
      <c r="V560" s="123"/>
      <c r="W560" s="124"/>
      <c r="X560" s="178"/>
      <c r="Y560" s="126"/>
      <c r="Z560" s="126"/>
      <c r="AB560" s="31"/>
      <c r="AC560" s="31"/>
      <c r="AD560" s="31"/>
      <c r="AE560" s="1"/>
    </row>
    <row r="561">
      <c r="A561" s="104"/>
      <c r="C561" s="128"/>
      <c r="D561" s="74"/>
      <c r="E561" s="1"/>
      <c r="F561" s="1"/>
      <c r="G561" s="1"/>
      <c r="H561" s="118"/>
      <c r="I561" s="177"/>
      <c r="J561" s="31"/>
      <c r="K561" s="1"/>
      <c r="L561" s="120"/>
      <c r="M561" s="121"/>
      <c r="N561" s="121"/>
      <c r="O561" s="118"/>
      <c r="P561" s="118"/>
      <c r="Q561" s="31"/>
      <c r="R561" s="122"/>
      <c r="S561" s="121"/>
      <c r="T561" s="122"/>
      <c r="U561" s="121"/>
      <c r="V561" s="123"/>
      <c r="W561" s="124"/>
      <c r="X561" s="178"/>
      <c r="Y561" s="126"/>
      <c r="Z561" s="126"/>
      <c r="AB561" s="31"/>
      <c r="AC561" s="31"/>
      <c r="AD561" s="31"/>
      <c r="AE561" s="1"/>
    </row>
    <row r="562">
      <c r="A562" s="104"/>
      <c r="C562" s="128"/>
      <c r="D562" s="74"/>
      <c r="E562" s="1"/>
      <c r="F562" s="1"/>
      <c r="G562" s="1"/>
      <c r="H562" s="118"/>
      <c r="I562" s="177"/>
      <c r="J562" s="31"/>
      <c r="K562" s="1"/>
      <c r="L562" s="120"/>
      <c r="M562" s="121"/>
      <c r="N562" s="121"/>
      <c r="O562" s="118"/>
      <c r="P562" s="118"/>
      <c r="Q562" s="31"/>
      <c r="R562" s="122"/>
      <c r="S562" s="121"/>
      <c r="T562" s="122"/>
      <c r="U562" s="121"/>
      <c r="V562" s="123"/>
      <c r="W562" s="124"/>
      <c r="X562" s="178"/>
      <c r="Y562" s="126"/>
      <c r="Z562" s="126"/>
      <c r="AB562" s="31"/>
      <c r="AC562" s="31"/>
      <c r="AD562" s="31"/>
      <c r="AE562" s="1"/>
    </row>
    <row r="563">
      <c r="A563" s="104"/>
      <c r="C563" s="128"/>
      <c r="D563" s="74"/>
      <c r="E563" s="1"/>
      <c r="F563" s="1"/>
      <c r="G563" s="1"/>
      <c r="H563" s="118"/>
      <c r="I563" s="177"/>
      <c r="J563" s="31"/>
      <c r="K563" s="1"/>
      <c r="L563" s="120"/>
      <c r="M563" s="121"/>
      <c r="N563" s="121"/>
      <c r="O563" s="118"/>
      <c r="P563" s="118"/>
      <c r="Q563" s="31"/>
      <c r="R563" s="122"/>
      <c r="S563" s="121"/>
      <c r="T563" s="122"/>
      <c r="U563" s="121"/>
      <c r="V563" s="123"/>
      <c r="W563" s="124"/>
      <c r="X563" s="178"/>
      <c r="Y563" s="126"/>
      <c r="Z563" s="126"/>
      <c r="AB563" s="31"/>
      <c r="AC563" s="31"/>
      <c r="AD563" s="31"/>
      <c r="AE563" s="1"/>
    </row>
    <row r="564">
      <c r="A564" s="104"/>
      <c r="C564" s="128"/>
      <c r="D564" s="74"/>
      <c r="E564" s="1"/>
      <c r="F564" s="1"/>
      <c r="G564" s="1"/>
      <c r="H564" s="118"/>
      <c r="I564" s="177"/>
      <c r="J564" s="31"/>
      <c r="K564" s="1"/>
      <c r="L564" s="120"/>
      <c r="M564" s="121"/>
      <c r="N564" s="121"/>
      <c r="O564" s="118"/>
      <c r="P564" s="118"/>
      <c r="Q564" s="31"/>
      <c r="R564" s="122"/>
      <c r="S564" s="121"/>
      <c r="T564" s="122"/>
      <c r="U564" s="121"/>
      <c r="V564" s="123"/>
      <c r="W564" s="124"/>
      <c r="X564" s="178"/>
      <c r="Y564" s="126"/>
      <c r="Z564" s="126"/>
      <c r="AB564" s="31"/>
      <c r="AC564" s="31"/>
      <c r="AD564" s="31"/>
      <c r="AE564" s="1"/>
    </row>
    <row r="565">
      <c r="A565" s="104"/>
      <c r="C565" s="128"/>
      <c r="D565" s="74"/>
      <c r="E565" s="1"/>
      <c r="F565" s="1"/>
      <c r="G565" s="1"/>
      <c r="H565" s="118"/>
      <c r="I565" s="177"/>
      <c r="J565" s="31"/>
      <c r="K565" s="1"/>
      <c r="L565" s="120"/>
      <c r="M565" s="121"/>
      <c r="N565" s="121"/>
      <c r="O565" s="118"/>
      <c r="P565" s="118"/>
      <c r="Q565" s="31"/>
      <c r="R565" s="122"/>
      <c r="S565" s="121"/>
      <c r="T565" s="122"/>
      <c r="U565" s="121"/>
      <c r="V565" s="123"/>
      <c r="W565" s="124"/>
      <c r="X565" s="178"/>
      <c r="Y565" s="126"/>
      <c r="Z565" s="126"/>
      <c r="AB565" s="31"/>
      <c r="AC565" s="31"/>
      <c r="AD565" s="31"/>
      <c r="AE565" s="1"/>
    </row>
    <row r="566">
      <c r="A566" s="104"/>
      <c r="C566" s="128"/>
      <c r="D566" s="74"/>
      <c r="E566" s="1"/>
      <c r="F566" s="1"/>
      <c r="G566" s="1"/>
      <c r="H566" s="118"/>
      <c r="I566" s="177"/>
      <c r="J566" s="31"/>
      <c r="K566" s="1"/>
      <c r="L566" s="120"/>
      <c r="M566" s="121"/>
      <c r="N566" s="121"/>
      <c r="O566" s="118"/>
      <c r="P566" s="118"/>
      <c r="Q566" s="31"/>
      <c r="R566" s="122"/>
      <c r="S566" s="121"/>
      <c r="T566" s="122"/>
      <c r="U566" s="121"/>
      <c r="V566" s="123"/>
      <c r="W566" s="124"/>
      <c r="X566" s="178"/>
      <c r="Y566" s="126"/>
      <c r="Z566" s="126"/>
      <c r="AB566" s="31"/>
      <c r="AC566" s="31"/>
      <c r="AD566" s="31"/>
      <c r="AE566" s="1"/>
    </row>
    <row r="567">
      <c r="A567" s="104"/>
      <c r="C567" s="128"/>
      <c r="D567" s="74"/>
      <c r="E567" s="1"/>
      <c r="F567" s="1"/>
      <c r="G567" s="1"/>
      <c r="H567" s="118"/>
      <c r="I567" s="177"/>
      <c r="J567" s="31"/>
      <c r="K567" s="1"/>
      <c r="L567" s="120"/>
      <c r="M567" s="121"/>
      <c r="N567" s="121"/>
      <c r="O567" s="118"/>
      <c r="P567" s="118"/>
      <c r="Q567" s="31"/>
      <c r="R567" s="122"/>
      <c r="S567" s="121"/>
      <c r="T567" s="122"/>
      <c r="U567" s="121"/>
      <c r="V567" s="123"/>
      <c r="W567" s="124"/>
      <c r="X567" s="178"/>
      <c r="Y567" s="126"/>
      <c r="Z567" s="126"/>
      <c r="AB567" s="31"/>
      <c r="AC567" s="31"/>
      <c r="AD567" s="31"/>
      <c r="AE567" s="1"/>
    </row>
    <row r="568">
      <c r="A568" s="104"/>
      <c r="C568" s="128"/>
      <c r="D568" s="74"/>
      <c r="E568" s="1"/>
      <c r="F568" s="1"/>
      <c r="G568" s="1"/>
      <c r="H568" s="118"/>
      <c r="I568" s="177"/>
      <c r="J568" s="31"/>
      <c r="K568" s="1"/>
      <c r="L568" s="120"/>
      <c r="M568" s="121"/>
      <c r="N568" s="121"/>
      <c r="O568" s="118"/>
      <c r="P568" s="118"/>
      <c r="Q568" s="31"/>
      <c r="R568" s="122"/>
      <c r="S568" s="121"/>
      <c r="T568" s="122"/>
      <c r="U568" s="121"/>
      <c r="V568" s="123"/>
      <c r="W568" s="124"/>
      <c r="X568" s="178"/>
      <c r="Y568" s="126"/>
      <c r="Z568" s="126"/>
      <c r="AB568" s="31"/>
      <c r="AC568" s="31"/>
      <c r="AD568" s="31"/>
      <c r="AE568" s="1"/>
    </row>
    <row r="569">
      <c r="A569" s="104"/>
      <c r="C569" s="128"/>
      <c r="D569" s="74"/>
      <c r="E569" s="1"/>
      <c r="F569" s="1"/>
      <c r="G569" s="1"/>
      <c r="H569" s="118"/>
      <c r="I569" s="177"/>
      <c r="J569" s="31"/>
      <c r="K569" s="1"/>
      <c r="L569" s="120"/>
      <c r="M569" s="121"/>
      <c r="N569" s="121"/>
      <c r="O569" s="118"/>
      <c r="P569" s="118"/>
      <c r="Q569" s="31"/>
      <c r="R569" s="122"/>
      <c r="S569" s="121"/>
      <c r="T569" s="122"/>
      <c r="U569" s="121"/>
      <c r="V569" s="123"/>
      <c r="W569" s="124"/>
      <c r="X569" s="178"/>
      <c r="Y569" s="126"/>
      <c r="Z569" s="126"/>
      <c r="AB569" s="31"/>
      <c r="AC569" s="31"/>
      <c r="AD569" s="31"/>
      <c r="AE569" s="1"/>
    </row>
    <row r="570">
      <c r="A570" s="104"/>
      <c r="C570" s="128"/>
      <c r="D570" s="74"/>
      <c r="E570" s="1"/>
      <c r="F570" s="1"/>
      <c r="G570" s="1"/>
      <c r="H570" s="118"/>
      <c r="I570" s="177"/>
      <c r="J570" s="31"/>
      <c r="K570" s="1"/>
      <c r="L570" s="120"/>
      <c r="M570" s="121"/>
      <c r="N570" s="121"/>
      <c r="O570" s="118"/>
      <c r="P570" s="118"/>
      <c r="Q570" s="31"/>
      <c r="R570" s="122"/>
      <c r="S570" s="121"/>
      <c r="T570" s="122"/>
      <c r="U570" s="121"/>
      <c r="V570" s="123"/>
      <c r="W570" s="124"/>
      <c r="X570" s="178"/>
      <c r="Y570" s="126"/>
      <c r="Z570" s="126"/>
      <c r="AB570" s="31"/>
      <c r="AC570" s="31"/>
      <c r="AD570" s="31"/>
      <c r="AE570" s="1"/>
    </row>
    <row r="571">
      <c r="A571" s="104"/>
      <c r="C571" s="128"/>
      <c r="D571" s="74"/>
      <c r="E571" s="1"/>
      <c r="F571" s="1"/>
      <c r="G571" s="1"/>
      <c r="H571" s="118"/>
      <c r="I571" s="177"/>
      <c r="J571" s="31"/>
      <c r="K571" s="1"/>
      <c r="L571" s="120"/>
      <c r="M571" s="121"/>
      <c r="N571" s="121"/>
      <c r="O571" s="118"/>
      <c r="P571" s="118"/>
      <c r="Q571" s="31"/>
      <c r="R571" s="122"/>
      <c r="S571" s="121"/>
      <c r="T571" s="122"/>
      <c r="U571" s="121"/>
      <c r="V571" s="123"/>
      <c r="W571" s="124"/>
      <c r="X571" s="178"/>
      <c r="Y571" s="126"/>
      <c r="Z571" s="126"/>
      <c r="AB571" s="31"/>
      <c r="AC571" s="31"/>
      <c r="AD571" s="31"/>
      <c r="AE571" s="1"/>
    </row>
    <row r="572">
      <c r="A572" s="104"/>
      <c r="C572" s="128"/>
      <c r="D572" s="74"/>
      <c r="E572" s="1"/>
      <c r="F572" s="1"/>
      <c r="G572" s="1"/>
      <c r="H572" s="118"/>
      <c r="I572" s="177"/>
      <c r="J572" s="31"/>
      <c r="K572" s="1"/>
      <c r="L572" s="120"/>
      <c r="M572" s="121"/>
      <c r="N572" s="121"/>
      <c r="O572" s="118"/>
      <c r="P572" s="118"/>
      <c r="Q572" s="31"/>
      <c r="R572" s="122"/>
      <c r="S572" s="121"/>
      <c r="T572" s="122"/>
      <c r="U572" s="121"/>
      <c r="V572" s="123"/>
      <c r="W572" s="124"/>
      <c r="X572" s="178"/>
      <c r="Y572" s="126"/>
      <c r="Z572" s="126"/>
      <c r="AB572" s="31"/>
      <c r="AC572" s="31"/>
      <c r="AD572" s="31"/>
      <c r="AE572" s="1"/>
    </row>
    <row r="573">
      <c r="A573" s="104"/>
      <c r="C573" s="128"/>
      <c r="D573" s="74"/>
      <c r="E573" s="1"/>
      <c r="F573" s="1"/>
      <c r="G573" s="1"/>
      <c r="H573" s="118"/>
      <c r="I573" s="177"/>
      <c r="J573" s="31"/>
      <c r="K573" s="1"/>
      <c r="L573" s="120"/>
      <c r="M573" s="121"/>
      <c r="N573" s="121"/>
      <c r="O573" s="118"/>
      <c r="P573" s="118"/>
      <c r="Q573" s="31"/>
      <c r="R573" s="122"/>
      <c r="S573" s="121"/>
      <c r="T573" s="122"/>
      <c r="U573" s="121"/>
      <c r="V573" s="123"/>
      <c r="W573" s="124"/>
      <c r="X573" s="178"/>
      <c r="Y573" s="126"/>
      <c r="Z573" s="126"/>
      <c r="AB573" s="31"/>
      <c r="AC573" s="31"/>
      <c r="AD573" s="31"/>
      <c r="AE573" s="1"/>
    </row>
    <row r="574">
      <c r="A574" s="104"/>
      <c r="C574" s="128"/>
      <c r="D574" s="74"/>
      <c r="E574" s="1"/>
      <c r="F574" s="1"/>
      <c r="G574" s="1"/>
      <c r="H574" s="118"/>
      <c r="I574" s="177"/>
      <c r="J574" s="31"/>
      <c r="K574" s="1"/>
      <c r="L574" s="120"/>
      <c r="M574" s="121"/>
      <c r="N574" s="121"/>
      <c r="O574" s="118"/>
      <c r="P574" s="118"/>
      <c r="Q574" s="31"/>
      <c r="R574" s="122"/>
      <c r="S574" s="121"/>
      <c r="T574" s="122"/>
      <c r="U574" s="121"/>
      <c r="V574" s="123"/>
      <c r="W574" s="124"/>
      <c r="X574" s="178"/>
      <c r="Y574" s="126"/>
      <c r="Z574" s="126"/>
      <c r="AB574" s="31"/>
      <c r="AC574" s="31"/>
      <c r="AD574" s="31"/>
      <c r="AE574" s="1"/>
    </row>
    <row r="575">
      <c r="A575" s="104"/>
      <c r="C575" s="128"/>
      <c r="D575" s="74"/>
      <c r="E575" s="1"/>
      <c r="F575" s="1"/>
      <c r="G575" s="1"/>
      <c r="H575" s="118"/>
      <c r="I575" s="177"/>
      <c r="J575" s="31"/>
      <c r="K575" s="1"/>
      <c r="L575" s="120"/>
      <c r="M575" s="121"/>
      <c r="N575" s="121"/>
      <c r="O575" s="118"/>
      <c r="P575" s="118"/>
      <c r="Q575" s="31"/>
      <c r="R575" s="122"/>
      <c r="S575" s="121"/>
      <c r="T575" s="122"/>
      <c r="U575" s="121"/>
      <c r="V575" s="123"/>
      <c r="W575" s="124"/>
      <c r="X575" s="178"/>
      <c r="Y575" s="126"/>
      <c r="Z575" s="126"/>
      <c r="AB575" s="31"/>
      <c r="AC575" s="31"/>
      <c r="AD575" s="31"/>
      <c r="AE575" s="1"/>
    </row>
    <row r="576">
      <c r="A576" s="104"/>
      <c r="C576" s="128"/>
      <c r="D576" s="74"/>
      <c r="E576" s="1"/>
      <c r="F576" s="1"/>
      <c r="G576" s="1"/>
      <c r="H576" s="118"/>
      <c r="I576" s="177"/>
      <c r="J576" s="31"/>
      <c r="K576" s="1"/>
      <c r="L576" s="120"/>
      <c r="M576" s="121"/>
      <c r="N576" s="121"/>
      <c r="O576" s="118"/>
      <c r="P576" s="118"/>
      <c r="Q576" s="31"/>
      <c r="R576" s="122"/>
      <c r="S576" s="121"/>
      <c r="T576" s="122"/>
      <c r="U576" s="121"/>
      <c r="V576" s="123"/>
      <c r="W576" s="124"/>
      <c r="X576" s="178"/>
      <c r="Y576" s="126"/>
      <c r="Z576" s="126"/>
      <c r="AB576" s="31"/>
      <c r="AC576" s="31"/>
      <c r="AD576" s="31"/>
      <c r="AE576" s="1"/>
    </row>
    <row r="577">
      <c r="A577" s="104"/>
      <c r="C577" s="128"/>
      <c r="D577" s="74"/>
      <c r="E577" s="1"/>
      <c r="F577" s="1"/>
      <c r="G577" s="1"/>
      <c r="H577" s="118"/>
      <c r="I577" s="177"/>
      <c r="J577" s="31"/>
      <c r="K577" s="1"/>
      <c r="L577" s="120"/>
      <c r="M577" s="121"/>
      <c r="N577" s="121"/>
      <c r="O577" s="118"/>
      <c r="P577" s="118"/>
      <c r="Q577" s="31"/>
      <c r="R577" s="122"/>
      <c r="S577" s="121"/>
      <c r="T577" s="122"/>
      <c r="U577" s="121"/>
      <c r="V577" s="123"/>
      <c r="W577" s="124"/>
      <c r="X577" s="178"/>
      <c r="Y577" s="126"/>
      <c r="Z577" s="126"/>
      <c r="AB577" s="31"/>
      <c r="AC577" s="31"/>
      <c r="AD577" s="31"/>
      <c r="AE577" s="1"/>
    </row>
    <row r="578">
      <c r="A578" s="104"/>
      <c r="C578" s="128"/>
      <c r="D578" s="74"/>
      <c r="E578" s="1"/>
      <c r="F578" s="1"/>
      <c r="G578" s="1"/>
      <c r="H578" s="118"/>
      <c r="I578" s="177"/>
      <c r="J578" s="31"/>
      <c r="K578" s="1"/>
      <c r="L578" s="120"/>
      <c r="M578" s="121"/>
      <c r="N578" s="121"/>
      <c r="O578" s="118"/>
      <c r="P578" s="118"/>
      <c r="Q578" s="31"/>
      <c r="R578" s="122"/>
      <c r="S578" s="121"/>
      <c r="T578" s="122"/>
      <c r="U578" s="121"/>
      <c r="V578" s="123"/>
      <c r="W578" s="124"/>
      <c r="X578" s="178"/>
      <c r="Y578" s="126"/>
      <c r="Z578" s="126"/>
      <c r="AB578" s="31"/>
      <c r="AC578" s="31"/>
      <c r="AD578" s="31"/>
      <c r="AE578" s="1"/>
    </row>
    <row r="579">
      <c r="A579" s="104"/>
      <c r="C579" s="128"/>
      <c r="D579" s="74"/>
      <c r="E579" s="1"/>
      <c r="F579" s="1"/>
      <c r="G579" s="1"/>
      <c r="H579" s="118"/>
      <c r="I579" s="177"/>
      <c r="J579" s="31"/>
      <c r="K579" s="1"/>
      <c r="L579" s="120"/>
      <c r="M579" s="121"/>
      <c r="N579" s="121"/>
      <c r="O579" s="118"/>
      <c r="P579" s="118"/>
      <c r="Q579" s="31"/>
      <c r="R579" s="122"/>
      <c r="S579" s="121"/>
      <c r="T579" s="122"/>
      <c r="U579" s="121"/>
      <c r="V579" s="123"/>
      <c r="W579" s="124"/>
      <c r="X579" s="178"/>
      <c r="Y579" s="126"/>
      <c r="Z579" s="126"/>
      <c r="AB579" s="31"/>
      <c r="AC579" s="31"/>
      <c r="AD579" s="31"/>
      <c r="AE579" s="1"/>
    </row>
    <row r="580">
      <c r="A580" s="104"/>
      <c r="C580" s="128"/>
      <c r="D580" s="74"/>
      <c r="E580" s="1"/>
      <c r="F580" s="1"/>
      <c r="G580" s="1"/>
      <c r="H580" s="118"/>
      <c r="I580" s="177"/>
      <c r="J580" s="31"/>
      <c r="K580" s="1"/>
      <c r="L580" s="120"/>
      <c r="M580" s="121"/>
      <c r="N580" s="121"/>
      <c r="O580" s="118"/>
      <c r="P580" s="118"/>
      <c r="Q580" s="31"/>
      <c r="R580" s="122"/>
      <c r="S580" s="121"/>
      <c r="T580" s="122"/>
      <c r="U580" s="121"/>
      <c r="V580" s="123"/>
      <c r="W580" s="124"/>
      <c r="X580" s="178"/>
      <c r="Y580" s="126"/>
      <c r="Z580" s="126"/>
      <c r="AB580" s="31"/>
      <c r="AC580" s="31"/>
      <c r="AD580" s="31"/>
      <c r="AE580" s="1"/>
    </row>
    <row r="581">
      <c r="A581" s="104"/>
      <c r="C581" s="128"/>
      <c r="D581" s="74"/>
      <c r="E581" s="1"/>
      <c r="F581" s="1"/>
      <c r="G581" s="1"/>
      <c r="H581" s="118"/>
      <c r="I581" s="177"/>
      <c r="J581" s="31"/>
      <c r="K581" s="1"/>
      <c r="L581" s="120"/>
      <c r="M581" s="121"/>
      <c r="N581" s="121"/>
      <c r="O581" s="118"/>
      <c r="P581" s="118"/>
      <c r="Q581" s="31"/>
      <c r="R581" s="122"/>
      <c r="S581" s="121"/>
      <c r="T581" s="122"/>
      <c r="U581" s="121"/>
      <c r="V581" s="123"/>
      <c r="W581" s="124"/>
      <c r="X581" s="178"/>
      <c r="Y581" s="126"/>
      <c r="Z581" s="126"/>
      <c r="AB581" s="31"/>
      <c r="AC581" s="31"/>
      <c r="AD581" s="31"/>
      <c r="AE581" s="1"/>
    </row>
    <row r="582">
      <c r="A582" s="104"/>
      <c r="C582" s="128"/>
      <c r="D582" s="74"/>
      <c r="E582" s="1"/>
      <c r="F582" s="1"/>
      <c r="G582" s="1"/>
      <c r="H582" s="118"/>
      <c r="I582" s="177"/>
      <c r="J582" s="31"/>
      <c r="K582" s="1"/>
      <c r="L582" s="120"/>
      <c r="M582" s="121"/>
      <c r="N582" s="121"/>
      <c r="O582" s="118"/>
      <c r="P582" s="118"/>
      <c r="Q582" s="31"/>
      <c r="R582" s="122"/>
      <c r="S582" s="121"/>
      <c r="T582" s="122"/>
      <c r="U582" s="121"/>
      <c r="V582" s="123"/>
      <c r="W582" s="124"/>
      <c r="X582" s="178"/>
      <c r="Y582" s="126"/>
      <c r="Z582" s="126"/>
      <c r="AB582" s="31"/>
      <c r="AC582" s="31"/>
      <c r="AD582" s="31"/>
      <c r="AE582" s="1"/>
    </row>
    <row r="583">
      <c r="A583" s="104"/>
      <c r="C583" s="128"/>
      <c r="D583" s="74"/>
      <c r="E583" s="1"/>
      <c r="F583" s="1"/>
      <c r="G583" s="1"/>
      <c r="H583" s="118"/>
      <c r="I583" s="177"/>
      <c r="J583" s="31"/>
      <c r="K583" s="1"/>
      <c r="L583" s="120"/>
      <c r="M583" s="121"/>
      <c r="N583" s="121"/>
      <c r="O583" s="118"/>
      <c r="P583" s="118"/>
      <c r="Q583" s="31"/>
      <c r="R583" s="122"/>
      <c r="S583" s="121"/>
      <c r="T583" s="122"/>
      <c r="U583" s="121"/>
      <c r="V583" s="123"/>
      <c r="W583" s="124"/>
      <c r="X583" s="178"/>
      <c r="Y583" s="126"/>
      <c r="Z583" s="126"/>
      <c r="AB583" s="31"/>
      <c r="AC583" s="31"/>
      <c r="AD583" s="31"/>
      <c r="AE583" s="1"/>
    </row>
    <row r="584">
      <c r="A584" s="104"/>
      <c r="C584" s="128"/>
      <c r="D584" s="74"/>
      <c r="E584" s="1"/>
      <c r="F584" s="1"/>
      <c r="G584" s="1"/>
      <c r="H584" s="118"/>
      <c r="I584" s="177"/>
      <c r="J584" s="31"/>
      <c r="K584" s="1"/>
      <c r="L584" s="120"/>
      <c r="M584" s="121"/>
      <c r="N584" s="121"/>
      <c r="O584" s="118"/>
      <c r="P584" s="118"/>
      <c r="Q584" s="31"/>
      <c r="R584" s="122"/>
      <c r="S584" s="121"/>
      <c r="T584" s="122"/>
      <c r="U584" s="121"/>
      <c r="V584" s="123"/>
      <c r="W584" s="124"/>
      <c r="X584" s="178"/>
      <c r="Y584" s="126"/>
      <c r="Z584" s="126"/>
      <c r="AB584" s="31"/>
      <c r="AC584" s="31"/>
      <c r="AD584" s="31"/>
      <c r="AE584" s="1"/>
    </row>
    <row r="585">
      <c r="A585" s="104"/>
      <c r="C585" s="128"/>
      <c r="D585" s="74"/>
      <c r="E585" s="1"/>
      <c r="F585" s="1"/>
      <c r="G585" s="1"/>
      <c r="H585" s="118"/>
      <c r="I585" s="177"/>
      <c r="J585" s="31"/>
      <c r="K585" s="1"/>
      <c r="L585" s="120"/>
      <c r="M585" s="121"/>
      <c r="N585" s="121"/>
      <c r="O585" s="118"/>
      <c r="P585" s="118"/>
      <c r="Q585" s="31"/>
      <c r="R585" s="122"/>
      <c r="S585" s="121"/>
      <c r="T585" s="122"/>
      <c r="U585" s="121"/>
      <c r="V585" s="123"/>
      <c r="W585" s="124"/>
      <c r="X585" s="178"/>
      <c r="Y585" s="126"/>
      <c r="Z585" s="126"/>
      <c r="AB585" s="31"/>
      <c r="AC585" s="31"/>
      <c r="AD585" s="31"/>
      <c r="AE585" s="1"/>
    </row>
    <row r="586">
      <c r="A586" s="104"/>
      <c r="C586" s="128"/>
      <c r="D586" s="74"/>
      <c r="E586" s="1"/>
      <c r="F586" s="1"/>
      <c r="G586" s="1"/>
      <c r="H586" s="118"/>
      <c r="I586" s="177"/>
      <c r="J586" s="31"/>
      <c r="K586" s="1"/>
      <c r="L586" s="120"/>
      <c r="M586" s="121"/>
      <c r="N586" s="121"/>
      <c r="O586" s="118"/>
      <c r="P586" s="118"/>
      <c r="Q586" s="31"/>
      <c r="R586" s="122"/>
      <c r="S586" s="121"/>
      <c r="T586" s="122"/>
      <c r="U586" s="121"/>
      <c r="V586" s="123"/>
      <c r="W586" s="124"/>
      <c r="X586" s="178"/>
      <c r="Y586" s="126"/>
      <c r="Z586" s="126"/>
      <c r="AB586" s="31"/>
      <c r="AC586" s="31"/>
      <c r="AD586" s="31"/>
      <c r="AE586" s="1"/>
    </row>
    <row r="587">
      <c r="A587" s="104"/>
      <c r="C587" s="128"/>
      <c r="D587" s="74"/>
      <c r="E587" s="1"/>
      <c r="F587" s="1"/>
      <c r="G587" s="1"/>
      <c r="H587" s="118"/>
      <c r="I587" s="177"/>
      <c r="J587" s="31"/>
      <c r="K587" s="1"/>
      <c r="L587" s="120"/>
      <c r="M587" s="121"/>
      <c r="N587" s="121"/>
      <c r="O587" s="118"/>
      <c r="P587" s="118"/>
      <c r="Q587" s="31"/>
      <c r="R587" s="122"/>
      <c r="S587" s="121"/>
      <c r="T587" s="122"/>
      <c r="U587" s="121"/>
      <c r="V587" s="123"/>
      <c r="W587" s="124"/>
      <c r="X587" s="178"/>
      <c r="Y587" s="126"/>
      <c r="Z587" s="126"/>
      <c r="AB587" s="31"/>
      <c r="AC587" s="31"/>
      <c r="AD587" s="31"/>
      <c r="AE587" s="1"/>
    </row>
    <row r="588">
      <c r="A588" s="104"/>
      <c r="C588" s="128"/>
      <c r="D588" s="74"/>
      <c r="E588" s="1"/>
      <c r="F588" s="1"/>
      <c r="G588" s="1"/>
      <c r="H588" s="118"/>
      <c r="I588" s="177"/>
      <c r="J588" s="31"/>
      <c r="K588" s="1"/>
      <c r="L588" s="120"/>
      <c r="M588" s="121"/>
      <c r="N588" s="121"/>
      <c r="O588" s="118"/>
      <c r="P588" s="118"/>
      <c r="Q588" s="31"/>
      <c r="R588" s="122"/>
      <c r="S588" s="121"/>
      <c r="T588" s="122"/>
      <c r="U588" s="121"/>
      <c r="V588" s="123"/>
      <c r="W588" s="124"/>
      <c r="X588" s="178"/>
      <c r="Y588" s="126"/>
      <c r="Z588" s="126"/>
      <c r="AB588" s="31"/>
      <c r="AC588" s="31"/>
      <c r="AD588" s="31"/>
      <c r="AE588" s="1"/>
    </row>
    <row r="589">
      <c r="A589" s="104"/>
      <c r="C589" s="128"/>
      <c r="D589" s="74"/>
      <c r="E589" s="1"/>
      <c r="F589" s="1"/>
      <c r="G589" s="1"/>
      <c r="H589" s="118"/>
      <c r="I589" s="177"/>
      <c r="J589" s="31"/>
      <c r="K589" s="1"/>
      <c r="L589" s="120"/>
      <c r="M589" s="121"/>
      <c r="N589" s="121"/>
      <c r="O589" s="118"/>
      <c r="P589" s="118"/>
      <c r="Q589" s="31"/>
      <c r="R589" s="122"/>
      <c r="S589" s="121"/>
      <c r="T589" s="122"/>
      <c r="U589" s="121"/>
      <c r="V589" s="123"/>
      <c r="W589" s="124"/>
      <c r="X589" s="178"/>
      <c r="Y589" s="126"/>
      <c r="Z589" s="126"/>
      <c r="AB589" s="31"/>
      <c r="AC589" s="31"/>
      <c r="AD589" s="31"/>
      <c r="AE589" s="1"/>
    </row>
    <row r="590">
      <c r="A590" s="104"/>
      <c r="C590" s="128"/>
      <c r="D590" s="74"/>
      <c r="E590" s="1"/>
      <c r="F590" s="1"/>
      <c r="G590" s="1"/>
      <c r="H590" s="118"/>
      <c r="I590" s="177"/>
      <c r="J590" s="31"/>
      <c r="K590" s="1"/>
      <c r="L590" s="120"/>
      <c r="M590" s="121"/>
      <c r="N590" s="121"/>
      <c r="O590" s="118"/>
      <c r="P590" s="118"/>
      <c r="Q590" s="31"/>
      <c r="R590" s="122"/>
      <c r="S590" s="121"/>
      <c r="T590" s="122"/>
      <c r="U590" s="121"/>
      <c r="V590" s="123"/>
      <c r="W590" s="124"/>
      <c r="X590" s="178"/>
      <c r="Y590" s="126"/>
      <c r="Z590" s="126"/>
      <c r="AB590" s="31"/>
      <c r="AC590" s="31"/>
      <c r="AD590" s="31"/>
      <c r="AE590" s="1"/>
    </row>
    <row r="591">
      <c r="A591" s="104"/>
      <c r="C591" s="128"/>
      <c r="D591" s="74"/>
      <c r="E591" s="1"/>
      <c r="F591" s="1"/>
      <c r="G591" s="1"/>
      <c r="H591" s="118"/>
      <c r="I591" s="177"/>
      <c r="J591" s="31"/>
      <c r="K591" s="1"/>
      <c r="L591" s="120"/>
      <c r="M591" s="121"/>
      <c r="N591" s="121"/>
      <c r="O591" s="118"/>
      <c r="P591" s="118"/>
      <c r="Q591" s="31"/>
      <c r="R591" s="122"/>
      <c r="S591" s="121"/>
      <c r="T591" s="122"/>
      <c r="U591" s="121"/>
      <c r="V591" s="123"/>
      <c r="W591" s="124"/>
      <c r="X591" s="178"/>
      <c r="Y591" s="126"/>
      <c r="Z591" s="126"/>
      <c r="AB591" s="31"/>
      <c r="AC591" s="31"/>
      <c r="AD591" s="31"/>
      <c r="AE591" s="1"/>
    </row>
    <row r="592">
      <c r="A592" s="104"/>
      <c r="C592" s="128"/>
      <c r="D592" s="74"/>
      <c r="E592" s="1"/>
      <c r="F592" s="1"/>
      <c r="G592" s="1"/>
      <c r="H592" s="118"/>
      <c r="I592" s="177"/>
      <c r="J592" s="31"/>
      <c r="K592" s="1"/>
      <c r="L592" s="120"/>
      <c r="M592" s="121"/>
      <c r="N592" s="121"/>
      <c r="O592" s="118"/>
      <c r="P592" s="118"/>
      <c r="Q592" s="31"/>
      <c r="R592" s="122"/>
      <c r="S592" s="121"/>
      <c r="T592" s="122"/>
      <c r="U592" s="121"/>
      <c r="V592" s="123"/>
      <c r="W592" s="124"/>
      <c r="X592" s="178"/>
      <c r="Y592" s="126"/>
      <c r="Z592" s="126"/>
      <c r="AB592" s="31"/>
      <c r="AC592" s="31"/>
      <c r="AD592" s="31"/>
      <c r="AE592" s="1"/>
    </row>
    <row r="593">
      <c r="A593" s="104"/>
      <c r="C593" s="128"/>
      <c r="D593" s="74"/>
      <c r="E593" s="1"/>
      <c r="F593" s="1"/>
      <c r="G593" s="1"/>
      <c r="H593" s="118"/>
      <c r="I593" s="177"/>
      <c r="J593" s="31"/>
      <c r="K593" s="1"/>
      <c r="L593" s="120"/>
      <c r="M593" s="121"/>
      <c r="N593" s="121"/>
      <c r="O593" s="118"/>
      <c r="P593" s="118"/>
      <c r="Q593" s="31"/>
      <c r="R593" s="122"/>
      <c r="S593" s="121"/>
      <c r="T593" s="122"/>
      <c r="U593" s="121"/>
      <c r="V593" s="123"/>
      <c r="W593" s="124"/>
      <c r="X593" s="178"/>
      <c r="Y593" s="126"/>
      <c r="Z593" s="126"/>
      <c r="AB593" s="31"/>
      <c r="AC593" s="31"/>
      <c r="AD593" s="31"/>
      <c r="AE593" s="1"/>
    </row>
    <row r="594">
      <c r="A594" s="104"/>
      <c r="C594" s="128"/>
      <c r="D594" s="74"/>
      <c r="E594" s="1"/>
      <c r="F594" s="1"/>
      <c r="G594" s="1"/>
      <c r="H594" s="118"/>
      <c r="I594" s="177"/>
      <c r="J594" s="31"/>
      <c r="K594" s="1"/>
      <c r="L594" s="120"/>
      <c r="M594" s="121"/>
      <c r="N594" s="121"/>
      <c r="O594" s="118"/>
      <c r="P594" s="118"/>
      <c r="Q594" s="31"/>
      <c r="R594" s="122"/>
      <c r="S594" s="121"/>
      <c r="T594" s="122"/>
      <c r="U594" s="121"/>
      <c r="V594" s="123"/>
      <c r="W594" s="124"/>
      <c r="X594" s="178"/>
      <c r="Y594" s="126"/>
      <c r="Z594" s="126"/>
      <c r="AB594" s="31"/>
      <c r="AC594" s="31"/>
      <c r="AD594" s="31"/>
      <c r="AE594" s="1"/>
    </row>
    <row r="595">
      <c r="A595" s="104"/>
      <c r="C595" s="128"/>
      <c r="D595" s="74"/>
      <c r="E595" s="1"/>
      <c r="F595" s="1"/>
      <c r="G595" s="1"/>
      <c r="H595" s="118"/>
      <c r="I595" s="177"/>
      <c r="J595" s="31"/>
      <c r="K595" s="1"/>
      <c r="L595" s="120"/>
      <c r="M595" s="121"/>
      <c r="N595" s="121"/>
      <c r="O595" s="118"/>
      <c r="P595" s="118"/>
      <c r="Q595" s="31"/>
      <c r="R595" s="122"/>
      <c r="S595" s="121"/>
      <c r="T595" s="122"/>
      <c r="U595" s="121"/>
      <c r="V595" s="123"/>
      <c r="W595" s="124"/>
      <c r="X595" s="178"/>
      <c r="Y595" s="126"/>
      <c r="Z595" s="126"/>
      <c r="AB595" s="31"/>
      <c r="AC595" s="31"/>
      <c r="AD595" s="31"/>
      <c r="AE595" s="1"/>
    </row>
    <row r="596">
      <c r="A596" s="104"/>
      <c r="C596" s="128"/>
      <c r="D596" s="74"/>
      <c r="E596" s="1"/>
      <c r="F596" s="1"/>
      <c r="G596" s="1"/>
      <c r="H596" s="118"/>
      <c r="I596" s="177"/>
      <c r="J596" s="31"/>
      <c r="K596" s="1"/>
      <c r="L596" s="120"/>
      <c r="M596" s="121"/>
      <c r="N596" s="121"/>
      <c r="O596" s="118"/>
      <c r="P596" s="118"/>
      <c r="Q596" s="31"/>
      <c r="R596" s="122"/>
      <c r="S596" s="121"/>
      <c r="T596" s="122"/>
      <c r="U596" s="121"/>
      <c r="V596" s="123"/>
      <c r="W596" s="124"/>
      <c r="X596" s="178"/>
      <c r="Y596" s="126"/>
      <c r="Z596" s="126"/>
      <c r="AB596" s="31"/>
      <c r="AC596" s="31"/>
      <c r="AD596" s="31"/>
      <c r="AE596" s="1"/>
    </row>
    <row r="597">
      <c r="A597" s="104"/>
      <c r="C597" s="128"/>
      <c r="D597" s="74"/>
      <c r="E597" s="1"/>
      <c r="F597" s="1"/>
      <c r="G597" s="1"/>
      <c r="H597" s="118"/>
      <c r="I597" s="177"/>
      <c r="J597" s="31"/>
      <c r="K597" s="1"/>
      <c r="L597" s="120"/>
      <c r="M597" s="121"/>
      <c r="N597" s="121"/>
      <c r="O597" s="118"/>
      <c r="P597" s="118"/>
      <c r="Q597" s="31"/>
      <c r="R597" s="122"/>
      <c r="S597" s="121"/>
      <c r="T597" s="122"/>
      <c r="U597" s="121"/>
      <c r="V597" s="123"/>
      <c r="W597" s="124"/>
      <c r="X597" s="178"/>
      <c r="Y597" s="126"/>
      <c r="Z597" s="126"/>
      <c r="AB597" s="31"/>
      <c r="AC597" s="31"/>
      <c r="AD597" s="31"/>
      <c r="AE597" s="1"/>
    </row>
    <row r="598">
      <c r="A598" s="104"/>
      <c r="C598" s="128"/>
      <c r="D598" s="74"/>
      <c r="E598" s="1"/>
      <c r="F598" s="1"/>
      <c r="G598" s="1"/>
      <c r="H598" s="118"/>
      <c r="I598" s="177"/>
      <c r="J598" s="31"/>
      <c r="K598" s="1"/>
      <c r="L598" s="120"/>
      <c r="M598" s="121"/>
      <c r="N598" s="121"/>
      <c r="O598" s="118"/>
      <c r="P598" s="118"/>
      <c r="Q598" s="31"/>
      <c r="R598" s="122"/>
      <c r="S598" s="121"/>
      <c r="T598" s="122"/>
      <c r="U598" s="121"/>
      <c r="V598" s="123"/>
      <c r="W598" s="124"/>
      <c r="X598" s="178"/>
      <c r="Y598" s="126"/>
      <c r="Z598" s="126"/>
      <c r="AB598" s="31"/>
      <c r="AC598" s="31"/>
      <c r="AD598" s="31"/>
      <c r="AE598" s="1"/>
    </row>
    <row r="599">
      <c r="A599" s="104"/>
      <c r="C599" s="128"/>
      <c r="D599" s="74"/>
      <c r="E599" s="1"/>
      <c r="F599" s="1"/>
      <c r="G599" s="1"/>
      <c r="H599" s="118"/>
      <c r="I599" s="177"/>
      <c r="J599" s="31"/>
      <c r="K599" s="1"/>
      <c r="L599" s="120"/>
      <c r="M599" s="121"/>
      <c r="N599" s="121"/>
      <c r="O599" s="118"/>
      <c r="P599" s="118"/>
      <c r="Q599" s="31"/>
      <c r="R599" s="122"/>
      <c r="S599" s="121"/>
      <c r="T599" s="122"/>
      <c r="U599" s="121"/>
      <c r="V599" s="123"/>
      <c r="W599" s="124"/>
      <c r="X599" s="178"/>
      <c r="Y599" s="126"/>
      <c r="Z599" s="126"/>
      <c r="AB599" s="31"/>
      <c r="AC599" s="31"/>
      <c r="AD599" s="31"/>
      <c r="AE599" s="1"/>
    </row>
    <row r="600">
      <c r="A600" s="104"/>
      <c r="C600" s="128"/>
      <c r="D600" s="74"/>
      <c r="E600" s="1"/>
      <c r="F600" s="1"/>
      <c r="G600" s="1"/>
      <c r="H600" s="118"/>
      <c r="I600" s="177"/>
      <c r="J600" s="31"/>
      <c r="K600" s="1"/>
      <c r="L600" s="120"/>
      <c r="M600" s="121"/>
      <c r="N600" s="121"/>
      <c r="O600" s="118"/>
      <c r="P600" s="118"/>
      <c r="Q600" s="31"/>
      <c r="R600" s="122"/>
      <c r="S600" s="121"/>
      <c r="T600" s="122"/>
      <c r="U600" s="121"/>
      <c r="V600" s="123"/>
      <c r="W600" s="124"/>
      <c r="X600" s="178"/>
      <c r="Y600" s="126"/>
      <c r="Z600" s="126"/>
      <c r="AB600" s="31"/>
      <c r="AC600" s="31"/>
      <c r="AD600" s="31"/>
      <c r="AE600" s="1"/>
    </row>
    <row r="601">
      <c r="A601" s="104"/>
      <c r="C601" s="128"/>
      <c r="D601" s="74"/>
      <c r="E601" s="1"/>
      <c r="F601" s="1"/>
      <c r="G601" s="1"/>
      <c r="H601" s="118"/>
      <c r="I601" s="177"/>
      <c r="J601" s="31"/>
      <c r="K601" s="1"/>
      <c r="L601" s="120"/>
      <c r="M601" s="121"/>
      <c r="N601" s="121"/>
      <c r="O601" s="118"/>
      <c r="P601" s="118"/>
      <c r="Q601" s="31"/>
      <c r="R601" s="122"/>
      <c r="S601" s="121"/>
      <c r="T601" s="122"/>
      <c r="U601" s="121"/>
      <c r="V601" s="123"/>
      <c r="W601" s="124"/>
      <c r="X601" s="178"/>
      <c r="Y601" s="126"/>
      <c r="Z601" s="126"/>
      <c r="AB601" s="31"/>
      <c r="AC601" s="31"/>
      <c r="AD601" s="31"/>
      <c r="AE601" s="1"/>
    </row>
    <row r="602">
      <c r="A602" s="104"/>
      <c r="C602" s="128"/>
      <c r="D602" s="74"/>
      <c r="E602" s="1"/>
      <c r="F602" s="1"/>
      <c r="G602" s="1"/>
      <c r="H602" s="118"/>
      <c r="I602" s="177"/>
      <c r="J602" s="31"/>
      <c r="K602" s="1"/>
      <c r="L602" s="120"/>
      <c r="M602" s="121"/>
      <c r="N602" s="121"/>
      <c r="O602" s="118"/>
      <c r="P602" s="118"/>
      <c r="Q602" s="31"/>
      <c r="R602" s="122"/>
      <c r="S602" s="121"/>
      <c r="T602" s="122"/>
      <c r="U602" s="121"/>
      <c r="V602" s="123"/>
      <c r="W602" s="124"/>
      <c r="X602" s="178"/>
      <c r="Y602" s="126"/>
      <c r="Z602" s="126"/>
      <c r="AB602" s="31"/>
      <c r="AC602" s="31"/>
      <c r="AD602" s="31"/>
      <c r="AE602" s="1"/>
    </row>
    <row r="603">
      <c r="A603" s="104"/>
      <c r="C603" s="128"/>
      <c r="D603" s="74"/>
      <c r="E603" s="1"/>
      <c r="F603" s="1"/>
      <c r="G603" s="1"/>
      <c r="H603" s="118"/>
      <c r="I603" s="177"/>
      <c r="J603" s="31"/>
      <c r="K603" s="1"/>
      <c r="L603" s="120"/>
      <c r="M603" s="121"/>
      <c r="N603" s="121"/>
      <c r="O603" s="118"/>
      <c r="P603" s="118"/>
      <c r="Q603" s="31"/>
      <c r="R603" s="122"/>
      <c r="S603" s="121"/>
      <c r="T603" s="122"/>
      <c r="U603" s="121"/>
      <c r="V603" s="123"/>
      <c r="W603" s="124"/>
      <c r="X603" s="178"/>
      <c r="Y603" s="126"/>
      <c r="Z603" s="126"/>
      <c r="AB603" s="31"/>
      <c r="AC603" s="31"/>
      <c r="AD603" s="31"/>
      <c r="AE603" s="1"/>
    </row>
    <row r="604">
      <c r="A604" s="104"/>
      <c r="C604" s="128"/>
      <c r="D604" s="74"/>
      <c r="E604" s="1"/>
      <c r="F604" s="1"/>
      <c r="G604" s="1"/>
      <c r="H604" s="118"/>
      <c r="I604" s="177"/>
      <c r="J604" s="31"/>
      <c r="K604" s="1"/>
      <c r="L604" s="120"/>
      <c r="M604" s="121"/>
      <c r="N604" s="121"/>
      <c r="O604" s="118"/>
      <c r="P604" s="118"/>
      <c r="Q604" s="31"/>
      <c r="R604" s="122"/>
      <c r="S604" s="121"/>
      <c r="T604" s="122"/>
      <c r="U604" s="121"/>
      <c r="V604" s="123"/>
      <c r="W604" s="124"/>
      <c r="X604" s="178"/>
      <c r="Y604" s="126"/>
      <c r="Z604" s="126"/>
      <c r="AB604" s="31"/>
      <c r="AC604" s="31"/>
      <c r="AD604" s="31"/>
      <c r="AE604" s="1"/>
    </row>
    <row r="605">
      <c r="A605" s="104"/>
      <c r="C605" s="128"/>
      <c r="D605" s="74"/>
      <c r="E605" s="1"/>
      <c r="F605" s="1"/>
      <c r="G605" s="1"/>
      <c r="H605" s="118"/>
      <c r="I605" s="177"/>
      <c r="J605" s="31"/>
      <c r="K605" s="1"/>
      <c r="L605" s="120"/>
      <c r="M605" s="121"/>
      <c r="N605" s="121"/>
      <c r="O605" s="118"/>
      <c r="P605" s="118"/>
      <c r="Q605" s="31"/>
      <c r="R605" s="122"/>
      <c r="S605" s="121"/>
      <c r="T605" s="122"/>
      <c r="U605" s="121"/>
      <c r="V605" s="123"/>
      <c r="W605" s="124"/>
      <c r="X605" s="178"/>
      <c r="Y605" s="126"/>
      <c r="Z605" s="126"/>
      <c r="AB605" s="31"/>
      <c r="AC605" s="31"/>
      <c r="AD605" s="31"/>
      <c r="AE605" s="1"/>
    </row>
    <row r="606">
      <c r="A606" s="104"/>
      <c r="C606" s="128"/>
      <c r="D606" s="74"/>
      <c r="E606" s="1"/>
      <c r="F606" s="1"/>
      <c r="G606" s="1"/>
      <c r="H606" s="118"/>
      <c r="I606" s="177"/>
      <c r="J606" s="31"/>
      <c r="K606" s="1"/>
      <c r="L606" s="120"/>
      <c r="M606" s="121"/>
      <c r="N606" s="121"/>
      <c r="O606" s="118"/>
      <c r="P606" s="118"/>
      <c r="Q606" s="31"/>
      <c r="R606" s="122"/>
      <c r="S606" s="121"/>
      <c r="T606" s="122"/>
      <c r="U606" s="121"/>
      <c r="V606" s="123"/>
      <c r="W606" s="124"/>
      <c r="X606" s="178"/>
      <c r="Y606" s="126"/>
      <c r="Z606" s="126"/>
      <c r="AB606" s="31"/>
      <c r="AC606" s="31"/>
      <c r="AD606" s="31"/>
      <c r="AE606" s="1"/>
    </row>
    <row r="607">
      <c r="A607" s="104"/>
      <c r="C607" s="128"/>
      <c r="D607" s="74"/>
      <c r="E607" s="1"/>
      <c r="F607" s="1"/>
      <c r="G607" s="1"/>
      <c r="H607" s="118"/>
      <c r="I607" s="177"/>
      <c r="J607" s="31"/>
      <c r="K607" s="1"/>
      <c r="L607" s="120"/>
      <c r="M607" s="121"/>
      <c r="N607" s="121"/>
      <c r="O607" s="118"/>
      <c r="P607" s="118"/>
      <c r="Q607" s="31"/>
      <c r="R607" s="122"/>
      <c r="S607" s="121"/>
      <c r="T607" s="122"/>
      <c r="U607" s="121"/>
      <c r="V607" s="123"/>
      <c r="W607" s="124"/>
      <c r="X607" s="178"/>
      <c r="Y607" s="126"/>
      <c r="Z607" s="126"/>
      <c r="AB607" s="31"/>
      <c r="AC607" s="31"/>
      <c r="AD607" s="31"/>
      <c r="AE607" s="1"/>
    </row>
    <row r="608">
      <c r="A608" s="104"/>
      <c r="C608" s="128"/>
      <c r="D608" s="74"/>
      <c r="E608" s="1"/>
      <c r="F608" s="1"/>
      <c r="G608" s="1"/>
      <c r="H608" s="118"/>
      <c r="I608" s="177"/>
      <c r="J608" s="31"/>
      <c r="K608" s="1"/>
      <c r="L608" s="120"/>
      <c r="M608" s="121"/>
      <c r="N608" s="121"/>
      <c r="O608" s="118"/>
      <c r="P608" s="118"/>
      <c r="Q608" s="31"/>
      <c r="R608" s="122"/>
      <c r="S608" s="121"/>
      <c r="T608" s="122"/>
      <c r="U608" s="121"/>
      <c r="V608" s="123"/>
      <c r="W608" s="124"/>
      <c r="X608" s="178"/>
      <c r="Y608" s="126"/>
      <c r="Z608" s="126"/>
      <c r="AB608" s="31"/>
      <c r="AC608" s="31"/>
      <c r="AD608" s="31"/>
      <c r="AE608" s="1"/>
    </row>
    <row r="609">
      <c r="A609" s="104"/>
      <c r="C609" s="128"/>
      <c r="D609" s="74"/>
      <c r="E609" s="1"/>
      <c r="F609" s="1"/>
      <c r="G609" s="1"/>
      <c r="H609" s="118"/>
      <c r="I609" s="177"/>
      <c r="J609" s="31"/>
      <c r="K609" s="1"/>
      <c r="L609" s="120"/>
      <c r="M609" s="121"/>
      <c r="N609" s="121"/>
      <c r="O609" s="118"/>
      <c r="P609" s="118"/>
      <c r="Q609" s="31"/>
      <c r="R609" s="122"/>
      <c r="S609" s="121"/>
      <c r="T609" s="122"/>
      <c r="U609" s="121"/>
      <c r="V609" s="123"/>
      <c r="W609" s="124"/>
      <c r="X609" s="178"/>
      <c r="Y609" s="126"/>
      <c r="Z609" s="126"/>
      <c r="AB609" s="31"/>
      <c r="AC609" s="31"/>
      <c r="AD609" s="31"/>
      <c r="AE609" s="1"/>
    </row>
    <row r="610">
      <c r="A610" s="104"/>
      <c r="C610" s="128"/>
      <c r="D610" s="74"/>
      <c r="E610" s="1"/>
      <c r="F610" s="1"/>
      <c r="G610" s="1"/>
      <c r="H610" s="118"/>
      <c r="I610" s="177"/>
      <c r="J610" s="31"/>
      <c r="K610" s="1"/>
      <c r="L610" s="120"/>
      <c r="M610" s="121"/>
      <c r="N610" s="121"/>
      <c r="O610" s="118"/>
      <c r="P610" s="118"/>
      <c r="Q610" s="31"/>
      <c r="R610" s="122"/>
      <c r="S610" s="121"/>
      <c r="T610" s="122"/>
      <c r="U610" s="121"/>
      <c r="V610" s="123"/>
      <c r="W610" s="124"/>
      <c r="X610" s="178"/>
      <c r="Y610" s="126"/>
      <c r="Z610" s="126"/>
      <c r="AB610" s="31"/>
      <c r="AC610" s="31"/>
      <c r="AD610" s="31"/>
      <c r="AE610" s="1"/>
    </row>
    <row r="611">
      <c r="A611" s="104"/>
      <c r="C611" s="128"/>
      <c r="D611" s="74"/>
      <c r="E611" s="1"/>
      <c r="F611" s="1"/>
      <c r="G611" s="1"/>
      <c r="H611" s="118"/>
      <c r="I611" s="177"/>
      <c r="J611" s="31"/>
      <c r="K611" s="1"/>
      <c r="L611" s="120"/>
      <c r="M611" s="121"/>
      <c r="N611" s="121"/>
      <c r="O611" s="118"/>
      <c r="P611" s="118"/>
      <c r="Q611" s="31"/>
      <c r="R611" s="122"/>
      <c r="S611" s="121"/>
      <c r="T611" s="122"/>
      <c r="U611" s="121"/>
      <c r="V611" s="123"/>
      <c r="W611" s="124"/>
      <c r="X611" s="178"/>
      <c r="Y611" s="126"/>
      <c r="Z611" s="126"/>
      <c r="AB611" s="31"/>
      <c r="AC611" s="31"/>
      <c r="AD611" s="31"/>
      <c r="AE611" s="1"/>
    </row>
    <row r="612">
      <c r="A612" s="104"/>
      <c r="C612" s="128"/>
      <c r="D612" s="74"/>
      <c r="E612" s="1"/>
      <c r="F612" s="1"/>
      <c r="G612" s="1"/>
      <c r="H612" s="118"/>
      <c r="I612" s="177"/>
      <c r="J612" s="31"/>
      <c r="K612" s="1"/>
      <c r="L612" s="120"/>
      <c r="M612" s="121"/>
      <c r="N612" s="121"/>
      <c r="O612" s="118"/>
      <c r="P612" s="118"/>
      <c r="Q612" s="31"/>
      <c r="R612" s="122"/>
      <c r="S612" s="121"/>
      <c r="T612" s="122"/>
      <c r="U612" s="121"/>
      <c r="V612" s="123"/>
      <c r="W612" s="124"/>
      <c r="X612" s="178"/>
      <c r="Y612" s="126"/>
      <c r="Z612" s="126"/>
      <c r="AB612" s="31"/>
      <c r="AC612" s="31"/>
      <c r="AD612" s="31"/>
      <c r="AE612" s="1"/>
    </row>
    <row r="613">
      <c r="A613" s="104"/>
      <c r="C613" s="128"/>
      <c r="D613" s="74"/>
      <c r="E613" s="1"/>
      <c r="F613" s="1"/>
      <c r="G613" s="1"/>
      <c r="H613" s="118"/>
      <c r="I613" s="177"/>
      <c r="J613" s="31"/>
      <c r="K613" s="1"/>
      <c r="L613" s="120"/>
      <c r="M613" s="121"/>
      <c r="N613" s="121"/>
      <c r="O613" s="118"/>
      <c r="P613" s="118"/>
      <c r="Q613" s="31"/>
      <c r="R613" s="122"/>
      <c r="S613" s="121"/>
      <c r="T613" s="122"/>
      <c r="U613" s="121"/>
      <c r="V613" s="123"/>
      <c r="W613" s="124"/>
      <c r="X613" s="178"/>
      <c r="Y613" s="126"/>
      <c r="Z613" s="126"/>
      <c r="AB613" s="31"/>
      <c r="AC613" s="31"/>
      <c r="AD613" s="31"/>
      <c r="AE613" s="1"/>
    </row>
    <row r="614">
      <c r="A614" s="104"/>
      <c r="C614" s="128"/>
      <c r="D614" s="74"/>
      <c r="E614" s="1"/>
      <c r="F614" s="1"/>
      <c r="G614" s="1"/>
      <c r="H614" s="118"/>
      <c r="I614" s="177"/>
      <c r="J614" s="31"/>
      <c r="K614" s="1"/>
      <c r="L614" s="120"/>
      <c r="M614" s="121"/>
      <c r="N614" s="121"/>
      <c r="O614" s="118"/>
      <c r="P614" s="118"/>
      <c r="Q614" s="31"/>
      <c r="R614" s="122"/>
      <c r="S614" s="121"/>
      <c r="T614" s="122"/>
      <c r="U614" s="121"/>
      <c r="V614" s="123"/>
      <c r="W614" s="124"/>
      <c r="X614" s="178"/>
      <c r="Y614" s="126"/>
      <c r="Z614" s="126"/>
      <c r="AB614" s="31"/>
      <c r="AC614" s="31"/>
      <c r="AD614" s="31"/>
      <c r="AE614" s="1"/>
    </row>
    <row r="615">
      <c r="A615" s="104"/>
      <c r="C615" s="128"/>
      <c r="D615" s="74"/>
      <c r="E615" s="1"/>
      <c r="F615" s="1"/>
      <c r="G615" s="1"/>
      <c r="H615" s="118"/>
      <c r="I615" s="177"/>
      <c r="J615" s="31"/>
      <c r="K615" s="1"/>
      <c r="L615" s="120"/>
      <c r="M615" s="121"/>
      <c r="N615" s="121"/>
      <c r="O615" s="118"/>
      <c r="P615" s="118"/>
      <c r="Q615" s="31"/>
      <c r="R615" s="122"/>
      <c r="S615" s="121"/>
      <c r="T615" s="122"/>
      <c r="U615" s="121"/>
      <c r="V615" s="123"/>
      <c r="W615" s="124"/>
      <c r="X615" s="178"/>
      <c r="Y615" s="126"/>
      <c r="Z615" s="126"/>
      <c r="AB615" s="31"/>
      <c r="AC615" s="31"/>
      <c r="AD615" s="31"/>
      <c r="AE615" s="1"/>
    </row>
    <row r="616">
      <c r="A616" s="104"/>
      <c r="C616" s="128"/>
      <c r="D616" s="74"/>
      <c r="E616" s="1"/>
      <c r="F616" s="1"/>
      <c r="G616" s="1"/>
      <c r="H616" s="118"/>
      <c r="I616" s="177"/>
      <c r="J616" s="31"/>
      <c r="K616" s="1"/>
      <c r="L616" s="120"/>
      <c r="M616" s="121"/>
      <c r="N616" s="121"/>
      <c r="O616" s="118"/>
      <c r="P616" s="118"/>
      <c r="Q616" s="31"/>
      <c r="R616" s="122"/>
      <c r="S616" s="121"/>
      <c r="T616" s="122"/>
      <c r="U616" s="121"/>
      <c r="V616" s="123"/>
      <c r="W616" s="124"/>
      <c r="X616" s="178"/>
      <c r="Y616" s="126"/>
      <c r="Z616" s="126"/>
      <c r="AB616" s="31"/>
      <c r="AC616" s="31"/>
      <c r="AD616" s="31"/>
      <c r="AE616" s="1"/>
    </row>
    <row r="617">
      <c r="A617" s="104"/>
      <c r="C617" s="128"/>
      <c r="D617" s="74"/>
      <c r="E617" s="1"/>
      <c r="F617" s="1"/>
      <c r="G617" s="1"/>
      <c r="H617" s="118"/>
      <c r="I617" s="177"/>
      <c r="J617" s="31"/>
      <c r="K617" s="1"/>
      <c r="L617" s="120"/>
      <c r="M617" s="121"/>
      <c r="N617" s="121"/>
      <c r="O617" s="118"/>
      <c r="P617" s="118"/>
      <c r="Q617" s="31"/>
      <c r="R617" s="122"/>
      <c r="S617" s="121"/>
      <c r="T617" s="122"/>
      <c r="U617" s="121"/>
      <c r="V617" s="123"/>
      <c r="W617" s="124"/>
      <c r="X617" s="178"/>
      <c r="Y617" s="126"/>
      <c r="Z617" s="126"/>
      <c r="AB617" s="31"/>
      <c r="AC617" s="31"/>
      <c r="AD617" s="31"/>
      <c r="AE617" s="1"/>
    </row>
    <row r="618">
      <c r="A618" s="104"/>
      <c r="C618" s="128"/>
      <c r="D618" s="74"/>
      <c r="E618" s="1"/>
      <c r="F618" s="1"/>
      <c r="G618" s="1"/>
      <c r="H618" s="118"/>
      <c r="I618" s="177"/>
      <c r="J618" s="31"/>
      <c r="K618" s="1"/>
      <c r="L618" s="120"/>
      <c r="M618" s="121"/>
      <c r="N618" s="121"/>
      <c r="O618" s="118"/>
      <c r="P618" s="118"/>
      <c r="Q618" s="31"/>
      <c r="R618" s="122"/>
      <c r="S618" s="121"/>
      <c r="T618" s="122"/>
      <c r="U618" s="121"/>
      <c r="V618" s="123"/>
      <c r="W618" s="124"/>
      <c r="X618" s="178"/>
      <c r="Y618" s="126"/>
      <c r="Z618" s="126"/>
      <c r="AB618" s="31"/>
      <c r="AC618" s="31"/>
      <c r="AD618" s="31"/>
      <c r="AE618" s="1"/>
    </row>
    <row r="619">
      <c r="A619" s="104"/>
      <c r="C619" s="128"/>
      <c r="D619" s="74"/>
      <c r="E619" s="1"/>
      <c r="F619" s="1"/>
      <c r="G619" s="1"/>
      <c r="H619" s="118"/>
      <c r="I619" s="177"/>
      <c r="J619" s="31"/>
      <c r="K619" s="1"/>
      <c r="L619" s="120"/>
      <c r="M619" s="121"/>
      <c r="N619" s="121"/>
      <c r="O619" s="118"/>
      <c r="P619" s="118"/>
      <c r="Q619" s="31"/>
      <c r="R619" s="122"/>
      <c r="S619" s="121"/>
      <c r="T619" s="122"/>
      <c r="U619" s="121"/>
      <c r="V619" s="123"/>
      <c r="W619" s="124"/>
      <c r="X619" s="178"/>
      <c r="Y619" s="126"/>
      <c r="Z619" s="126"/>
      <c r="AB619" s="31"/>
      <c r="AC619" s="31"/>
      <c r="AD619" s="31"/>
      <c r="AE619" s="1"/>
    </row>
    <row r="620">
      <c r="A620" s="104"/>
      <c r="C620" s="128"/>
      <c r="D620" s="74"/>
      <c r="E620" s="1"/>
      <c r="F620" s="1"/>
      <c r="G620" s="1"/>
      <c r="H620" s="118"/>
      <c r="I620" s="177"/>
      <c r="J620" s="31"/>
      <c r="K620" s="1"/>
      <c r="L620" s="120"/>
      <c r="M620" s="121"/>
      <c r="N620" s="121"/>
      <c r="O620" s="118"/>
      <c r="P620" s="118"/>
      <c r="Q620" s="31"/>
      <c r="R620" s="122"/>
      <c r="S620" s="121"/>
      <c r="T620" s="122"/>
      <c r="U620" s="121"/>
      <c r="V620" s="123"/>
      <c r="W620" s="124"/>
      <c r="X620" s="178"/>
      <c r="Y620" s="126"/>
      <c r="Z620" s="126"/>
      <c r="AB620" s="31"/>
      <c r="AC620" s="31"/>
      <c r="AD620" s="31"/>
      <c r="AE620" s="1"/>
    </row>
    <row r="621">
      <c r="A621" s="104"/>
      <c r="C621" s="128"/>
      <c r="D621" s="74"/>
      <c r="E621" s="1"/>
      <c r="F621" s="1"/>
      <c r="G621" s="1"/>
      <c r="H621" s="118"/>
      <c r="I621" s="177"/>
      <c r="J621" s="31"/>
      <c r="K621" s="1"/>
      <c r="L621" s="120"/>
      <c r="M621" s="121"/>
      <c r="N621" s="121"/>
      <c r="O621" s="118"/>
      <c r="P621" s="118"/>
      <c r="Q621" s="31"/>
      <c r="R621" s="122"/>
      <c r="S621" s="121"/>
      <c r="T621" s="122"/>
      <c r="U621" s="121"/>
      <c r="V621" s="123"/>
      <c r="W621" s="124"/>
      <c r="X621" s="178"/>
      <c r="Y621" s="126"/>
      <c r="Z621" s="126"/>
      <c r="AB621" s="31"/>
      <c r="AC621" s="31"/>
      <c r="AD621" s="31"/>
      <c r="AE621" s="1"/>
    </row>
    <row r="622">
      <c r="A622" s="104"/>
      <c r="C622" s="128"/>
      <c r="D622" s="74"/>
      <c r="E622" s="1"/>
      <c r="F622" s="1"/>
      <c r="G622" s="1"/>
      <c r="H622" s="118"/>
      <c r="I622" s="177"/>
      <c r="J622" s="31"/>
      <c r="K622" s="1"/>
      <c r="L622" s="120"/>
      <c r="M622" s="121"/>
      <c r="N622" s="121"/>
      <c r="O622" s="118"/>
      <c r="P622" s="118"/>
      <c r="Q622" s="31"/>
      <c r="R622" s="122"/>
      <c r="S622" s="121"/>
      <c r="T622" s="122"/>
      <c r="U622" s="121"/>
      <c r="V622" s="123"/>
      <c r="W622" s="124"/>
      <c r="X622" s="178"/>
      <c r="Y622" s="126"/>
      <c r="Z622" s="126"/>
      <c r="AB622" s="31"/>
      <c r="AC622" s="31"/>
      <c r="AD622" s="31"/>
      <c r="AE622" s="1"/>
    </row>
    <row r="623">
      <c r="A623" s="104"/>
      <c r="C623" s="128"/>
      <c r="D623" s="74"/>
      <c r="E623" s="1"/>
      <c r="F623" s="1"/>
      <c r="G623" s="1"/>
      <c r="H623" s="118"/>
      <c r="I623" s="177"/>
      <c r="J623" s="31"/>
      <c r="K623" s="1"/>
      <c r="L623" s="120"/>
      <c r="M623" s="121"/>
      <c r="N623" s="121"/>
      <c r="O623" s="118"/>
      <c r="P623" s="118"/>
      <c r="Q623" s="31"/>
      <c r="R623" s="122"/>
      <c r="S623" s="121"/>
      <c r="T623" s="122"/>
      <c r="U623" s="121"/>
      <c r="V623" s="123"/>
      <c r="W623" s="124"/>
      <c r="X623" s="178"/>
      <c r="Y623" s="126"/>
      <c r="Z623" s="126"/>
      <c r="AB623" s="31"/>
      <c r="AC623" s="31"/>
      <c r="AD623" s="31"/>
      <c r="AE623" s="1"/>
    </row>
    <row r="624">
      <c r="A624" s="104"/>
      <c r="C624" s="128"/>
      <c r="D624" s="74"/>
      <c r="E624" s="1"/>
      <c r="F624" s="1"/>
      <c r="G624" s="1"/>
      <c r="H624" s="118"/>
      <c r="I624" s="177"/>
      <c r="J624" s="31"/>
      <c r="K624" s="1"/>
      <c r="L624" s="120"/>
      <c r="M624" s="121"/>
      <c r="N624" s="121"/>
      <c r="O624" s="118"/>
      <c r="P624" s="118"/>
      <c r="Q624" s="31"/>
      <c r="R624" s="122"/>
      <c r="S624" s="121"/>
      <c r="T624" s="122"/>
      <c r="U624" s="121"/>
      <c r="V624" s="123"/>
      <c r="W624" s="124"/>
      <c r="X624" s="178"/>
      <c r="Y624" s="126"/>
      <c r="Z624" s="126"/>
      <c r="AB624" s="31"/>
      <c r="AC624" s="31"/>
      <c r="AD624" s="31"/>
      <c r="AE624" s="1"/>
    </row>
    <row r="625">
      <c r="A625" s="104"/>
      <c r="C625" s="128"/>
      <c r="D625" s="74"/>
      <c r="E625" s="1"/>
      <c r="F625" s="1"/>
      <c r="G625" s="1"/>
      <c r="H625" s="118"/>
      <c r="I625" s="177"/>
      <c r="J625" s="31"/>
      <c r="K625" s="1"/>
      <c r="L625" s="120"/>
      <c r="M625" s="121"/>
      <c r="N625" s="121"/>
      <c r="O625" s="118"/>
      <c r="P625" s="118"/>
      <c r="Q625" s="31"/>
      <c r="R625" s="122"/>
      <c r="S625" s="121"/>
      <c r="T625" s="122"/>
      <c r="U625" s="121"/>
      <c r="V625" s="123"/>
      <c r="W625" s="124"/>
      <c r="X625" s="178"/>
      <c r="Y625" s="126"/>
      <c r="Z625" s="126"/>
      <c r="AB625" s="31"/>
      <c r="AC625" s="31"/>
      <c r="AD625" s="31"/>
      <c r="AE625" s="1"/>
    </row>
    <row r="626">
      <c r="A626" s="104"/>
      <c r="C626" s="128"/>
      <c r="D626" s="74"/>
      <c r="E626" s="1"/>
      <c r="F626" s="1"/>
      <c r="G626" s="1"/>
      <c r="H626" s="118"/>
      <c r="I626" s="177"/>
      <c r="J626" s="31"/>
      <c r="K626" s="1"/>
      <c r="L626" s="120"/>
      <c r="M626" s="121"/>
      <c r="N626" s="121"/>
      <c r="O626" s="118"/>
      <c r="P626" s="118"/>
      <c r="Q626" s="31"/>
      <c r="R626" s="122"/>
      <c r="S626" s="121"/>
      <c r="T626" s="122"/>
      <c r="U626" s="121"/>
      <c r="V626" s="123"/>
      <c r="W626" s="124"/>
      <c r="X626" s="178"/>
      <c r="Y626" s="126"/>
      <c r="Z626" s="126"/>
      <c r="AB626" s="31"/>
      <c r="AC626" s="31"/>
      <c r="AD626" s="31"/>
      <c r="AE626" s="1"/>
    </row>
    <row r="627">
      <c r="A627" s="104"/>
      <c r="C627" s="128"/>
      <c r="D627" s="74"/>
      <c r="E627" s="1"/>
      <c r="F627" s="1"/>
      <c r="G627" s="1"/>
      <c r="H627" s="118"/>
      <c r="I627" s="177"/>
      <c r="J627" s="31"/>
      <c r="K627" s="1"/>
      <c r="L627" s="120"/>
      <c r="M627" s="121"/>
      <c r="N627" s="121"/>
      <c r="O627" s="118"/>
      <c r="P627" s="118"/>
      <c r="Q627" s="31"/>
      <c r="R627" s="122"/>
      <c r="S627" s="121"/>
      <c r="T627" s="122"/>
      <c r="U627" s="121"/>
      <c r="V627" s="123"/>
      <c r="W627" s="124"/>
      <c r="X627" s="178"/>
      <c r="Y627" s="126"/>
      <c r="Z627" s="126"/>
      <c r="AB627" s="31"/>
      <c r="AC627" s="31"/>
      <c r="AD627" s="31"/>
      <c r="AE627" s="1"/>
    </row>
    <row r="628">
      <c r="A628" s="104"/>
      <c r="C628" s="128"/>
      <c r="D628" s="74"/>
      <c r="E628" s="1"/>
      <c r="F628" s="1"/>
      <c r="G628" s="1"/>
      <c r="H628" s="118"/>
      <c r="I628" s="177"/>
      <c r="J628" s="31"/>
      <c r="K628" s="1"/>
      <c r="L628" s="120"/>
      <c r="M628" s="121"/>
      <c r="N628" s="121"/>
      <c r="O628" s="118"/>
      <c r="P628" s="118"/>
      <c r="Q628" s="31"/>
      <c r="R628" s="122"/>
      <c r="S628" s="121"/>
      <c r="T628" s="122"/>
      <c r="U628" s="121"/>
      <c r="V628" s="123"/>
      <c r="W628" s="124"/>
      <c r="X628" s="178"/>
      <c r="Y628" s="126"/>
      <c r="Z628" s="126"/>
      <c r="AB628" s="31"/>
      <c r="AC628" s="31"/>
      <c r="AD628" s="31"/>
      <c r="AE628" s="1"/>
    </row>
    <row r="629">
      <c r="A629" s="104"/>
      <c r="C629" s="128"/>
      <c r="D629" s="74"/>
      <c r="E629" s="1"/>
      <c r="F629" s="1"/>
      <c r="G629" s="1"/>
      <c r="H629" s="118"/>
      <c r="I629" s="177"/>
      <c r="J629" s="31"/>
      <c r="K629" s="1"/>
      <c r="L629" s="120"/>
      <c r="M629" s="121"/>
      <c r="N629" s="121"/>
      <c r="O629" s="118"/>
      <c r="P629" s="118"/>
      <c r="Q629" s="31"/>
      <c r="R629" s="122"/>
      <c r="S629" s="121"/>
      <c r="T629" s="122"/>
      <c r="U629" s="121"/>
      <c r="V629" s="123"/>
      <c r="W629" s="124"/>
      <c r="X629" s="178"/>
      <c r="Y629" s="126"/>
      <c r="Z629" s="126"/>
      <c r="AB629" s="31"/>
      <c r="AC629" s="31"/>
      <c r="AD629" s="31"/>
      <c r="AE629" s="1"/>
    </row>
    <row r="630">
      <c r="A630" s="104"/>
      <c r="C630" s="128"/>
      <c r="D630" s="74"/>
      <c r="E630" s="1"/>
      <c r="F630" s="1"/>
      <c r="G630" s="1"/>
      <c r="H630" s="118"/>
      <c r="I630" s="177"/>
      <c r="J630" s="31"/>
      <c r="K630" s="1"/>
      <c r="L630" s="120"/>
      <c r="M630" s="121"/>
      <c r="N630" s="121"/>
      <c r="O630" s="118"/>
      <c r="P630" s="118"/>
      <c r="Q630" s="31"/>
      <c r="R630" s="122"/>
      <c r="S630" s="121"/>
      <c r="T630" s="122"/>
      <c r="U630" s="121"/>
      <c r="V630" s="123"/>
      <c r="W630" s="124"/>
      <c r="X630" s="178"/>
      <c r="Y630" s="126"/>
      <c r="Z630" s="126"/>
      <c r="AB630" s="31"/>
      <c r="AC630" s="31"/>
      <c r="AD630" s="31"/>
      <c r="AE630" s="1"/>
    </row>
    <row r="631">
      <c r="A631" s="104"/>
      <c r="C631" s="128"/>
      <c r="D631" s="74"/>
      <c r="E631" s="1"/>
      <c r="F631" s="1"/>
      <c r="G631" s="1"/>
      <c r="H631" s="118"/>
      <c r="I631" s="177"/>
      <c r="J631" s="31"/>
      <c r="K631" s="1"/>
      <c r="L631" s="120"/>
      <c r="M631" s="121"/>
      <c r="N631" s="121"/>
      <c r="O631" s="118"/>
      <c r="P631" s="118"/>
      <c r="Q631" s="31"/>
      <c r="R631" s="122"/>
      <c r="S631" s="121"/>
      <c r="T631" s="122"/>
      <c r="U631" s="121"/>
      <c r="V631" s="123"/>
      <c r="W631" s="124"/>
      <c r="X631" s="178"/>
      <c r="Y631" s="126"/>
      <c r="Z631" s="126"/>
      <c r="AB631" s="31"/>
      <c r="AC631" s="31"/>
      <c r="AD631" s="31"/>
      <c r="AE631" s="1"/>
    </row>
    <row r="632">
      <c r="A632" s="104"/>
      <c r="C632" s="128"/>
      <c r="D632" s="74"/>
      <c r="E632" s="1"/>
      <c r="F632" s="1"/>
      <c r="G632" s="1"/>
      <c r="H632" s="118"/>
      <c r="I632" s="177"/>
      <c r="J632" s="31"/>
      <c r="K632" s="1"/>
      <c r="L632" s="120"/>
      <c r="M632" s="121"/>
      <c r="N632" s="121"/>
      <c r="O632" s="118"/>
      <c r="P632" s="118"/>
      <c r="Q632" s="31"/>
      <c r="R632" s="122"/>
      <c r="S632" s="121"/>
      <c r="T632" s="122"/>
      <c r="U632" s="121"/>
      <c r="V632" s="123"/>
      <c r="W632" s="124"/>
      <c r="X632" s="178"/>
      <c r="Y632" s="126"/>
      <c r="Z632" s="126"/>
      <c r="AB632" s="31"/>
      <c r="AC632" s="31"/>
      <c r="AD632" s="31"/>
      <c r="AE632" s="1"/>
    </row>
    <row r="633">
      <c r="A633" s="104"/>
      <c r="C633" s="128"/>
      <c r="D633" s="74"/>
      <c r="E633" s="1"/>
      <c r="F633" s="1"/>
      <c r="G633" s="1"/>
      <c r="H633" s="118"/>
      <c r="I633" s="177"/>
      <c r="J633" s="31"/>
      <c r="K633" s="1"/>
      <c r="L633" s="120"/>
      <c r="M633" s="121"/>
      <c r="N633" s="121"/>
      <c r="O633" s="118"/>
      <c r="P633" s="118"/>
      <c r="Q633" s="31"/>
      <c r="R633" s="122"/>
      <c r="S633" s="121"/>
      <c r="T633" s="122"/>
      <c r="U633" s="121"/>
      <c r="V633" s="123"/>
      <c r="W633" s="124"/>
      <c r="X633" s="178"/>
      <c r="Y633" s="126"/>
      <c r="Z633" s="126"/>
      <c r="AB633" s="31"/>
      <c r="AC633" s="31"/>
      <c r="AD633" s="31"/>
      <c r="AE633" s="1"/>
    </row>
    <row r="634">
      <c r="A634" s="104"/>
      <c r="C634" s="128"/>
      <c r="D634" s="74"/>
      <c r="E634" s="1"/>
      <c r="F634" s="1"/>
      <c r="G634" s="1"/>
      <c r="H634" s="118"/>
      <c r="I634" s="177"/>
      <c r="J634" s="31"/>
      <c r="K634" s="1"/>
      <c r="L634" s="120"/>
      <c r="M634" s="121"/>
      <c r="N634" s="121"/>
      <c r="O634" s="118"/>
      <c r="P634" s="118"/>
      <c r="Q634" s="31"/>
      <c r="R634" s="122"/>
      <c r="S634" s="121"/>
      <c r="T634" s="122"/>
      <c r="U634" s="121"/>
      <c r="V634" s="123"/>
      <c r="W634" s="124"/>
      <c r="X634" s="178"/>
      <c r="Y634" s="126"/>
      <c r="Z634" s="126"/>
      <c r="AB634" s="31"/>
      <c r="AC634" s="31"/>
      <c r="AD634" s="31"/>
      <c r="AE634" s="1"/>
    </row>
    <row r="635">
      <c r="A635" s="104"/>
      <c r="C635" s="128"/>
      <c r="D635" s="74"/>
      <c r="E635" s="1"/>
      <c r="F635" s="1"/>
      <c r="G635" s="1"/>
      <c r="H635" s="118"/>
      <c r="I635" s="177"/>
      <c r="J635" s="31"/>
      <c r="K635" s="1"/>
      <c r="L635" s="120"/>
      <c r="M635" s="121"/>
      <c r="N635" s="121"/>
      <c r="O635" s="118"/>
      <c r="P635" s="118"/>
      <c r="Q635" s="31"/>
      <c r="R635" s="122"/>
      <c r="S635" s="121"/>
      <c r="T635" s="122"/>
      <c r="U635" s="121"/>
      <c r="V635" s="123"/>
      <c r="W635" s="124"/>
      <c r="X635" s="178"/>
      <c r="Y635" s="126"/>
      <c r="Z635" s="126"/>
      <c r="AB635" s="31"/>
      <c r="AC635" s="31"/>
      <c r="AD635" s="31"/>
      <c r="AE635" s="1"/>
    </row>
    <row r="636">
      <c r="A636" s="104"/>
      <c r="C636" s="128"/>
      <c r="D636" s="74"/>
      <c r="E636" s="1"/>
      <c r="F636" s="1"/>
      <c r="G636" s="1"/>
      <c r="H636" s="118"/>
      <c r="I636" s="177"/>
      <c r="J636" s="31"/>
      <c r="K636" s="1"/>
      <c r="L636" s="120"/>
      <c r="M636" s="121"/>
      <c r="N636" s="121"/>
      <c r="O636" s="118"/>
      <c r="P636" s="118"/>
      <c r="Q636" s="31"/>
      <c r="R636" s="122"/>
      <c r="S636" s="121"/>
      <c r="T636" s="122"/>
      <c r="U636" s="121"/>
      <c r="V636" s="123"/>
      <c r="W636" s="124"/>
      <c r="X636" s="178"/>
      <c r="Y636" s="126"/>
      <c r="Z636" s="126"/>
      <c r="AB636" s="31"/>
      <c r="AC636" s="31"/>
      <c r="AD636" s="31"/>
      <c r="AE636" s="1"/>
    </row>
    <row r="637">
      <c r="A637" s="104"/>
      <c r="C637" s="128"/>
      <c r="D637" s="74"/>
      <c r="E637" s="1"/>
      <c r="F637" s="1"/>
      <c r="G637" s="1"/>
      <c r="H637" s="118"/>
      <c r="I637" s="177"/>
      <c r="J637" s="31"/>
      <c r="K637" s="1"/>
      <c r="L637" s="120"/>
      <c r="M637" s="121"/>
      <c r="N637" s="121"/>
      <c r="O637" s="118"/>
      <c r="P637" s="118"/>
      <c r="Q637" s="31"/>
      <c r="R637" s="122"/>
      <c r="S637" s="121"/>
      <c r="T637" s="122"/>
      <c r="U637" s="121"/>
      <c r="V637" s="123"/>
      <c r="W637" s="124"/>
      <c r="X637" s="178"/>
      <c r="Y637" s="126"/>
      <c r="Z637" s="126"/>
      <c r="AB637" s="31"/>
      <c r="AC637" s="31"/>
      <c r="AD637" s="31"/>
      <c r="AE637" s="1"/>
    </row>
    <row r="638">
      <c r="A638" s="104"/>
      <c r="C638" s="128"/>
      <c r="D638" s="74"/>
      <c r="E638" s="1"/>
      <c r="F638" s="1"/>
      <c r="G638" s="1"/>
      <c r="H638" s="118"/>
      <c r="I638" s="177"/>
      <c r="J638" s="31"/>
      <c r="K638" s="1"/>
      <c r="L638" s="120"/>
      <c r="M638" s="121"/>
      <c r="N638" s="121"/>
      <c r="O638" s="118"/>
      <c r="P638" s="118"/>
      <c r="Q638" s="31"/>
      <c r="R638" s="122"/>
      <c r="S638" s="121"/>
      <c r="T638" s="122"/>
      <c r="U638" s="121"/>
      <c r="V638" s="123"/>
      <c r="W638" s="124"/>
      <c r="X638" s="178"/>
      <c r="Y638" s="126"/>
      <c r="Z638" s="126"/>
      <c r="AB638" s="31"/>
      <c r="AC638" s="31"/>
      <c r="AD638" s="31"/>
      <c r="AE638" s="1"/>
    </row>
    <row r="639">
      <c r="A639" s="104"/>
      <c r="C639" s="128"/>
      <c r="D639" s="74"/>
      <c r="E639" s="1"/>
      <c r="F639" s="1"/>
      <c r="G639" s="1"/>
      <c r="H639" s="118"/>
      <c r="I639" s="177"/>
      <c r="J639" s="31"/>
      <c r="K639" s="1"/>
      <c r="L639" s="120"/>
      <c r="M639" s="121"/>
      <c r="N639" s="121"/>
      <c r="O639" s="118"/>
      <c r="P639" s="118"/>
      <c r="Q639" s="31"/>
      <c r="R639" s="122"/>
      <c r="S639" s="121"/>
      <c r="T639" s="122"/>
      <c r="U639" s="121"/>
      <c r="V639" s="123"/>
      <c r="W639" s="124"/>
      <c r="X639" s="178"/>
      <c r="Y639" s="126"/>
      <c r="Z639" s="126"/>
      <c r="AB639" s="31"/>
      <c r="AC639" s="31"/>
      <c r="AD639" s="31"/>
      <c r="AE639" s="1"/>
    </row>
    <row r="640">
      <c r="A640" s="104"/>
      <c r="C640" s="128"/>
      <c r="D640" s="74"/>
      <c r="E640" s="1"/>
      <c r="F640" s="1"/>
      <c r="G640" s="1"/>
      <c r="H640" s="118"/>
      <c r="I640" s="177"/>
      <c r="J640" s="31"/>
      <c r="K640" s="1"/>
      <c r="L640" s="120"/>
      <c r="M640" s="121"/>
      <c r="N640" s="121"/>
      <c r="O640" s="118"/>
      <c r="P640" s="118"/>
      <c r="Q640" s="31"/>
      <c r="R640" s="122"/>
      <c r="S640" s="121"/>
      <c r="T640" s="122"/>
      <c r="U640" s="121"/>
      <c r="V640" s="123"/>
      <c r="W640" s="124"/>
      <c r="X640" s="178"/>
      <c r="Y640" s="126"/>
      <c r="Z640" s="126"/>
      <c r="AB640" s="31"/>
      <c r="AC640" s="31"/>
      <c r="AD640" s="31"/>
      <c r="AE640" s="1"/>
    </row>
    <row r="641">
      <c r="A641" s="104"/>
      <c r="C641" s="128"/>
      <c r="D641" s="74"/>
      <c r="E641" s="1"/>
      <c r="F641" s="1"/>
      <c r="G641" s="1"/>
      <c r="H641" s="118"/>
      <c r="I641" s="177"/>
      <c r="J641" s="31"/>
      <c r="K641" s="1"/>
      <c r="L641" s="120"/>
      <c r="M641" s="121"/>
      <c r="N641" s="121"/>
      <c r="O641" s="118"/>
      <c r="P641" s="118"/>
      <c r="Q641" s="31"/>
      <c r="R641" s="122"/>
      <c r="S641" s="121"/>
      <c r="T641" s="122"/>
      <c r="U641" s="121"/>
      <c r="V641" s="123"/>
      <c r="W641" s="124"/>
      <c r="X641" s="178"/>
      <c r="Y641" s="126"/>
      <c r="Z641" s="126"/>
      <c r="AB641" s="31"/>
      <c r="AC641" s="31"/>
      <c r="AD641" s="31"/>
      <c r="AE641" s="1"/>
    </row>
    <row r="642">
      <c r="A642" s="104"/>
      <c r="C642" s="128"/>
      <c r="D642" s="74"/>
      <c r="E642" s="1"/>
      <c r="F642" s="1"/>
      <c r="G642" s="1"/>
      <c r="H642" s="118"/>
      <c r="I642" s="177"/>
      <c r="J642" s="31"/>
      <c r="K642" s="1"/>
      <c r="L642" s="120"/>
      <c r="M642" s="121"/>
      <c r="N642" s="121"/>
      <c r="O642" s="118"/>
      <c r="P642" s="118"/>
      <c r="Q642" s="31"/>
      <c r="R642" s="122"/>
      <c r="S642" s="121"/>
      <c r="T642" s="122"/>
      <c r="U642" s="121"/>
      <c r="V642" s="123"/>
      <c r="W642" s="124"/>
      <c r="X642" s="178"/>
      <c r="Y642" s="126"/>
      <c r="Z642" s="126"/>
      <c r="AB642" s="31"/>
      <c r="AC642" s="31"/>
      <c r="AD642" s="31"/>
      <c r="AE642" s="1"/>
    </row>
    <row r="643">
      <c r="A643" s="104"/>
      <c r="C643" s="128"/>
      <c r="D643" s="74"/>
      <c r="E643" s="1"/>
      <c r="F643" s="1"/>
      <c r="G643" s="1"/>
      <c r="H643" s="118"/>
      <c r="I643" s="177"/>
      <c r="J643" s="31"/>
      <c r="K643" s="1"/>
      <c r="L643" s="120"/>
      <c r="M643" s="121"/>
      <c r="N643" s="121"/>
      <c r="O643" s="118"/>
      <c r="P643" s="118"/>
      <c r="Q643" s="31"/>
      <c r="R643" s="122"/>
      <c r="S643" s="121"/>
      <c r="T643" s="122"/>
      <c r="U643" s="121"/>
      <c r="V643" s="123"/>
      <c r="W643" s="124"/>
      <c r="X643" s="178"/>
      <c r="Y643" s="126"/>
      <c r="Z643" s="126"/>
      <c r="AB643" s="31"/>
      <c r="AC643" s="31"/>
      <c r="AD643" s="31"/>
      <c r="AE643" s="1"/>
    </row>
    <row r="644">
      <c r="A644" s="104"/>
      <c r="C644" s="128"/>
      <c r="D644" s="74"/>
      <c r="E644" s="1"/>
      <c r="F644" s="1"/>
      <c r="G644" s="1"/>
      <c r="H644" s="118"/>
      <c r="I644" s="177"/>
      <c r="J644" s="31"/>
      <c r="K644" s="1"/>
      <c r="L644" s="120"/>
      <c r="M644" s="121"/>
      <c r="N644" s="121"/>
      <c r="O644" s="118"/>
      <c r="P644" s="118"/>
      <c r="Q644" s="31"/>
      <c r="R644" s="122"/>
      <c r="S644" s="121"/>
      <c r="T644" s="122"/>
      <c r="U644" s="121"/>
      <c r="V644" s="123"/>
      <c r="W644" s="124"/>
      <c r="X644" s="178"/>
      <c r="Y644" s="126"/>
      <c r="Z644" s="126"/>
      <c r="AB644" s="31"/>
      <c r="AC644" s="31"/>
      <c r="AD644" s="31"/>
      <c r="AE644" s="1"/>
    </row>
    <row r="645">
      <c r="A645" s="104"/>
      <c r="C645" s="128"/>
      <c r="D645" s="74"/>
      <c r="E645" s="1"/>
      <c r="F645" s="1"/>
      <c r="G645" s="1"/>
      <c r="H645" s="118"/>
      <c r="I645" s="177"/>
      <c r="J645" s="31"/>
      <c r="K645" s="1"/>
      <c r="L645" s="120"/>
      <c r="M645" s="121"/>
      <c r="N645" s="121"/>
      <c r="O645" s="118"/>
      <c r="P645" s="118"/>
      <c r="Q645" s="31"/>
      <c r="R645" s="122"/>
      <c r="S645" s="121"/>
      <c r="T645" s="122"/>
      <c r="U645" s="121"/>
      <c r="V645" s="123"/>
      <c r="W645" s="124"/>
      <c r="X645" s="178"/>
      <c r="Y645" s="126"/>
      <c r="Z645" s="126"/>
      <c r="AB645" s="31"/>
      <c r="AC645" s="31"/>
      <c r="AD645" s="31"/>
      <c r="AE645" s="1"/>
    </row>
    <row r="646">
      <c r="A646" s="104"/>
      <c r="C646" s="128"/>
      <c r="D646" s="74"/>
      <c r="E646" s="1"/>
      <c r="F646" s="1"/>
      <c r="G646" s="1"/>
      <c r="H646" s="118"/>
      <c r="I646" s="177"/>
      <c r="J646" s="31"/>
      <c r="K646" s="1"/>
      <c r="L646" s="120"/>
      <c r="M646" s="121"/>
      <c r="N646" s="121"/>
      <c r="O646" s="118"/>
      <c r="P646" s="118"/>
      <c r="Q646" s="31"/>
      <c r="R646" s="122"/>
      <c r="S646" s="121"/>
      <c r="T646" s="122"/>
      <c r="U646" s="121"/>
      <c r="V646" s="123"/>
      <c r="W646" s="124"/>
      <c r="X646" s="178"/>
      <c r="Y646" s="126"/>
      <c r="Z646" s="126"/>
      <c r="AB646" s="31"/>
      <c r="AC646" s="31"/>
      <c r="AD646" s="31"/>
      <c r="AE646" s="1"/>
    </row>
    <row r="647">
      <c r="A647" s="104"/>
      <c r="C647" s="128"/>
      <c r="D647" s="74"/>
      <c r="E647" s="1"/>
      <c r="F647" s="1"/>
      <c r="G647" s="1"/>
      <c r="H647" s="118"/>
      <c r="I647" s="177"/>
      <c r="J647" s="31"/>
      <c r="K647" s="1"/>
      <c r="L647" s="120"/>
      <c r="M647" s="121"/>
      <c r="N647" s="121"/>
      <c r="O647" s="118"/>
      <c r="P647" s="118"/>
      <c r="Q647" s="31"/>
      <c r="R647" s="122"/>
      <c r="S647" s="121"/>
      <c r="T647" s="122"/>
      <c r="U647" s="121"/>
      <c r="V647" s="123"/>
      <c r="W647" s="124"/>
      <c r="X647" s="178"/>
      <c r="Y647" s="126"/>
      <c r="Z647" s="126"/>
      <c r="AB647" s="31"/>
      <c r="AC647" s="31"/>
      <c r="AD647" s="31"/>
      <c r="AE647" s="1"/>
    </row>
    <row r="648">
      <c r="A648" s="104"/>
      <c r="C648" s="128"/>
      <c r="D648" s="74"/>
      <c r="E648" s="1"/>
      <c r="F648" s="1"/>
      <c r="G648" s="1"/>
      <c r="H648" s="118"/>
      <c r="I648" s="177"/>
      <c r="J648" s="31"/>
      <c r="K648" s="1"/>
      <c r="L648" s="120"/>
      <c r="M648" s="121"/>
      <c r="N648" s="121"/>
      <c r="O648" s="118"/>
      <c r="P648" s="118"/>
      <c r="Q648" s="31"/>
      <c r="R648" s="122"/>
      <c r="S648" s="121"/>
      <c r="T648" s="122"/>
      <c r="U648" s="121"/>
      <c r="V648" s="123"/>
      <c r="W648" s="124"/>
      <c r="X648" s="178"/>
      <c r="Y648" s="126"/>
      <c r="Z648" s="126"/>
      <c r="AB648" s="31"/>
      <c r="AC648" s="31"/>
      <c r="AD648" s="31"/>
      <c r="AE648" s="1"/>
    </row>
    <row r="649">
      <c r="A649" s="104"/>
      <c r="C649" s="128"/>
      <c r="D649" s="74"/>
      <c r="E649" s="1"/>
      <c r="F649" s="1"/>
      <c r="G649" s="1"/>
      <c r="H649" s="118"/>
      <c r="I649" s="177"/>
      <c r="J649" s="31"/>
      <c r="K649" s="1"/>
      <c r="L649" s="120"/>
      <c r="M649" s="121"/>
      <c r="N649" s="121"/>
      <c r="O649" s="118"/>
      <c r="P649" s="118"/>
      <c r="Q649" s="31"/>
      <c r="R649" s="122"/>
      <c r="S649" s="121"/>
      <c r="T649" s="122"/>
      <c r="U649" s="121"/>
      <c r="V649" s="123"/>
      <c r="W649" s="124"/>
      <c r="X649" s="178"/>
      <c r="Y649" s="126"/>
      <c r="Z649" s="126"/>
      <c r="AB649" s="31"/>
      <c r="AC649" s="31"/>
      <c r="AD649" s="31"/>
      <c r="AE649" s="1"/>
    </row>
    <row r="650">
      <c r="A650" s="104"/>
      <c r="C650" s="128"/>
      <c r="D650" s="74"/>
      <c r="E650" s="1"/>
      <c r="F650" s="1"/>
      <c r="G650" s="1"/>
      <c r="H650" s="118"/>
      <c r="I650" s="177"/>
      <c r="J650" s="31"/>
      <c r="K650" s="1"/>
      <c r="L650" s="120"/>
      <c r="M650" s="121"/>
      <c r="N650" s="121"/>
      <c r="O650" s="118"/>
      <c r="P650" s="118"/>
      <c r="Q650" s="31"/>
      <c r="R650" s="122"/>
      <c r="S650" s="121"/>
      <c r="T650" s="122"/>
      <c r="U650" s="121"/>
      <c r="V650" s="123"/>
      <c r="W650" s="124"/>
      <c r="X650" s="178"/>
      <c r="Y650" s="126"/>
      <c r="Z650" s="126"/>
      <c r="AB650" s="31"/>
      <c r="AC650" s="31"/>
      <c r="AD650" s="31"/>
      <c r="AE650" s="1"/>
    </row>
    <row r="651">
      <c r="A651" s="104"/>
      <c r="C651" s="128"/>
      <c r="D651" s="74"/>
      <c r="E651" s="1"/>
      <c r="F651" s="1"/>
      <c r="G651" s="1"/>
      <c r="H651" s="118"/>
      <c r="I651" s="177"/>
      <c r="J651" s="31"/>
      <c r="K651" s="1"/>
      <c r="L651" s="120"/>
      <c r="M651" s="121"/>
      <c r="N651" s="121"/>
      <c r="O651" s="118"/>
      <c r="P651" s="118"/>
      <c r="Q651" s="31"/>
      <c r="R651" s="122"/>
      <c r="S651" s="121"/>
      <c r="T651" s="122"/>
      <c r="U651" s="121"/>
      <c r="V651" s="123"/>
      <c r="W651" s="124"/>
      <c r="X651" s="178"/>
      <c r="Y651" s="126"/>
      <c r="Z651" s="126"/>
      <c r="AB651" s="31"/>
      <c r="AC651" s="31"/>
      <c r="AD651" s="31"/>
      <c r="AE651" s="1"/>
    </row>
    <row r="652">
      <c r="A652" s="104"/>
      <c r="C652" s="128"/>
      <c r="D652" s="74"/>
      <c r="E652" s="1"/>
      <c r="F652" s="1"/>
      <c r="G652" s="1"/>
      <c r="H652" s="118"/>
      <c r="I652" s="177"/>
      <c r="J652" s="31"/>
      <c r="K652" s="1"/>
      <c r="L652" s="120"/>
      <c r="M652" s="121"/>
      <c r="N652" s="121"/>
      <c r="O652" s="118"/>
      <c r="P652" s="118"/>
      <c r="Q652" s="31"/>
      <c r="R652" s="122"/>
      <c r="S652" s="121"/>
      <c r="T652" s="122"/>
      <c r="U652" s="121"/>
      <c r="V652" s="123"/>
      <c r="W652" s="124"/>
      <c r="X652" s="178"/>
      <c r="Y652" s="126"/>
      <c r="Z652" s="126"/>
      <c r="AB652" s="31"/>
      <c r="AC652" s="31"/>
      <c r="AD652" s="31"/>
      <c r="AE652" s="1"/>
    </row>
    <row r="653">
      <c r="A653" s="104"/>
      <c r="C653" s="128"/>
      <c r="D653" s="74"/>
      <c r="E653" s="1"/>
      <c r="F653" s="1"/>
      <c r="G653" s="1"/>
      <c r="H653" s="118"/>
      <c r="I653" s="177"/>
      <c r="J653" s="31"/>
      <c r="K653" s="1"/>
      <c r="L653" s="120"/>
      <c r="M653" s="121"/>
      <c r="N653" s="121"/>
      <c r="O653" s="118"/>
      <c r="P653" s="118"/>
      <c r="Q653" s="31"/>
      <c r="R653" s="122"/>
      <c r="S653" s="121"/>
      <c r="T653" s="122"/>
      <c r="U653" s="121"/>
      <c r="V653" s="123"/>
      <c r="W653" s="124"/>
      <c r="X653" s="178"/>
      <c r="Y653" s="126"/>
      <c r="Z653" s="126"/>
      <c r="AB653" s="31"/>
      <c r="AC653" s="31"/>
      <c r="AD653" s="31"/>
      <c r="AE653" s="1"/>
    </row>
    <row r="654">
      <c r="A654" s="104"/>
      <c r="C654" s="128"/>
      <c r="D654" s="74"/>
      <c r="E654" s="1"/>
      <c r="F654" s="1"/>
      <c r="G654" s="1"/>
      <c r="H654" s="118"/>
      <c r="I654" s="177"/>
      <c r="J654" s="31"/>
      <c r="K654" s="1"/>
      <c r="L654" s="120"/>
      <c r="M654" s="121"/>
      <c r="N654" s="121"/>
      <c r="O654" s="118"/>
      <c r="P654" s="118"/>
      <c r="Q654" s="31"/>
      <c r="R654" s="122"/>
      <c r="S654" s="121"/>
      <c r="T654" s="122"/>
      <c r="U654" s="121"/>
      <c r="V654" s="123"/>
      <c r="W654" s="124"/>
      <c r="X654" s="178"/>
      <c r="Y654" s="126"/>
      <c r="Z654" s="126"/>
      <c r="AB654" s="31"/>
      <c r="AC654" s="31"/>
      <c r="AD654" s="31"/>
      <c r="AE654" s="1"/>
    </row>
    <row r="655">
      <c r="A655" s="104"/>
      <c r="C655" s="128"/>
      <c r="D655" s="74"/>
      <c r="E655" s="1"/>
      <c r="F655" s="1"/>
      <c r="G655" s="1"/>
      <c r="H655" s="118"/>
      <c r="I655" s="177"/>
      <c r="J655" s="31"/>
      <c r="K655" s="1"/>
      <c r="L655" s="120"/>
      <c r="M655" s="121"/>
      <c r="N655" s="121"/>
      <c r="O655" s="118"/>
      <c r="P655" s="118"/>
      <c r="Q655" s="31"/>
      <c r="R655" s="122"/>
      <c r="S655" s="121"/>
      <c r="T655" s="122"/>
      <c r="U655" s="121"/>
      <c r="V655" s="123"/>
      <c r="W655" s="124"/>
      <c r="X655" s="178"/>
      <c r="Y655" s="126"/>
      <c r="Z655" s="126"/>
      <c r="AB655" s="31"/>
      <c r="AC655" s="31"/>
      <c r="AD655" s="31"/>
      <c r="AE655" s="1"/>
    </row>
    <row r="656">
      <c r="A656" s="104"/>
      <c r="C656" s="128"/>
      <c r="D656" s="74"/>
      <c r="E656" s="1"/>
      <c r="F656" s="1"/>
      <c r="G656" s="1"/>
      <c r="H656" s="118"/>
      <c r="I656" s="177"/>
      <c r="J656" s="31"/>
      <c r="K656" s="1"/>
      <c r="L656" s="120"/>
      <c r="M656" s="121"/>
      <c r="N656" s="121"/>
      <c r="O656" s="118"/>
      <c r="P656" s="118"/>
      <c r="Q656" s="31"/>
      <c r="R656" s="122"/>
      <c r="S656" s="121"/>
      <c r="T656" s="122"/>
      <c r="U656" s="121"/>
      <c r="V656" s="123"/>
      <c r="W656" s="124"/>
      <c r="X656" s="178"/>
      <c r="Y656" s="126"/>
      <c r="Z656" s="126"/>
      <c r="AB656" s="31"/>
      <c r="AC656" s="31"/>
      <c r="AD656" s="31"/>
      <c r="AE656" s="1"/>
    </row>
    <row r="657">
      <c r="A657" s="104"/>
      <c r="C657" s="128"/>
      <c r="D657" s="74"/>
      <c r="E657" s="1"/>
      <c r="F657" s="1"/>
      <c r="G657" s="1"/>
      <c r="H657" s="118"/>
      <c r="I657" s="177"/>
      <c r="J657" s="31"/>
      <c r="K657" s="1"/>
      <c r="L657" s="120"/>
      <c r="M657" s="121"/>
      <c r="N657" s="121"/>
      <c r="O657" s="118"/>
      <c r="P657" s="118"/>
      <c r="Q657" s="31"/>
      <c r="R657" s="122"/>
      <c r="S657" s="121"/>
      <c r="T657" s="122"/>
      <c r="U657" s="121"/>
      <c r="V657" s="123"/>
      <c r="W657" s="124"/>
      <c r="X657" s="178"/>
      <c r="Y657" s="126"/>
      <c r="Z657" s="126"/>
      <c r="AB657" s="31"/>
      <c r="AC657" s="31"/>
      <c r="AD657" s="31"/>
      <c r="AE657" s="1"/>
    </row>
    <row r="658">
      <c r="A658" s="104"/>
      <c r="C658" s="128"/>
      <c r="D658" s="74"/>
      <c r="E658" s="1"/>
      <c r="F658" s="1"/>
      <c r="G658" s="1"/>
      <c r="H658" s="118"/>
      <c r="I658" s="177"/>
      <c r="J658" s="31"/>
      <c r="K658" s="1"/>
      <c r="L658" s="120"/>
      <c r="M658" s="121"/>
      <c r="N658" s="121"/>
      <c r="O658" s="118"/>
      <c r="P658" s="118"/>
      <c r="Q658" s="31"/>
      <c r="R658" s="122"/>
      <c r="S658" s="121"/>
      <c r="T658" s="122"/>
      <c r="U658" s="121"/>
      <c r="V658" s="123"/>
      <c r="W658" s="124"/>
      <c r="X658" s="178"/>
      <c r="Y658" s="126"/>
      <c r="Z658" s="126"/>
      <c r="AB658" s="31"/>
      <c r="AC658" s="31"/>
      <c r="AD658" s="31"/>
      <c r="AE658" s="1"/>
    </row>
    <row r="659">
      <c r="A659" s="104"/>
      <c r="C659" s="128"/>
      <c r="D659" s="74"/>
      <c r="E659" s="1"/>
      <c r="F659" s="1"/>
      <c r="G659" s="1"/>
      <c r="H659" s="118"/>
      <c r="I659" s="177"/>
      <c r="J659" s="31"/>
      <c r="K659" s="1"/>
      <c r="L659" s="120"/>
      <c r="M659" s="121"/>
      <c r="N659" s="121"/>
      <c r="O659" s="118"/>
      <c r="P659" s="118"/>
      <c r="Q659" s="31"/>
      <c r="R659" s="122"/>
      <c r="S659" s="121"/>
      <c r="T659" s="122"/>
      <c r="U659" s="121"/>
      <c r="V659" s="123"/>
      <c r="W659" s="124"/>
      <c r="X659" s="178"/>
      <c r="Y659" s="126"/>
      <c r="Z659" s="126"/>
      <c r="AB659" s="31"/>
      <c r="AC659" s="31"/>
      <c r="AD659" s="31"/>
      <c r="AE659" s="1"/>
    </row>
    <row r="660">
      <c r="A660" s="104"/>
      <c r="C660" s="128"/>
      <c r="D660" s="74"/>
      <c r="E660" s="1"/>
      <c r="F660" s="1"/>
      <c r="G660" s="1"/>
      <c r="H660" s="118"/>
      <c r="I660" s="177"/>
      <c r="J660" s="31"/>
      <c r="K660" s="1"/>
      <c r="L660" s="120"/>
      <c r="M660" s="121"/>
      <c r="N660" s="121"/>
      <c r="O660" s="118"/>
      <c r="P660" s="118"/>
      <c r="Q660" s="31"/>
      <c r="R660" s="122"/>
      <c r="S660" s="121"/>
      <c r="T660" s="122"/>
      <c r="U660" s="121"/>
      <c r="V660" s="123"/>
      <c r="W660" s="124"/>
      <c r="X660" s="178"/>
      <c r="Y660" s="126"/>
      <c r="Z660" s="126"/>
      <c r="AB660" s="31"/>
      <c r="AC660" s="31"/>
      <c r="AD660" s="31"/>
      <c r="AE660" s="1"/>
    </row>
    <row r="661">
      <c r="A661" s="104"/>
      <c r="C661" s="128"/>
      <c r="D661" s="74"/>
      <c r="E661" s="1"/>
      <c r="F661" s="1"/>
      <c r="G661" s="1"/>
      <c r="H661" s="118"/>
      <c r="I661" s="177"/>
      <c r="J661" s="31"/>
      <c r="K661" s="1"/>
      <c r="L661" s="120"/>
      <c r="M661" s="121"/>
      <c r="N661" s="121"/>
      <c r="O661" s="118"/>
      <c r="P661" s="118"/>
      <c r="Q661" s="31"/>
      <c r="R661" s="122"/>
      <c r="S661" s="121"/>
      <c r="T661" s="122"/>
      <c r="U661" s="121"/>
      <c r="V661" s="123"/>
      <c r="W661" s="124"/>
      <c r="X661" s="178"/>
      <c r="Y661" s="126"/>
      <c r="Z661" s="126"/>
      <c r="AB661" s="31"/>
      <c r="AC661" s="31"/>
      <c r="AD661" s="31"/>
      <c r="AE661" s="1"/>
    </row>
    <row r="662">
      <c r="A662" s="104"/>
      <c r="C662" s="128"/>
      <c r="D662" s="74"/>
      <c r="E662" s="1"/>
      <c r="F662" s="1"/>
      <c r="G662" s="1"/>
      <c r="H662" s="118"/>
      <c r="I662" s="177"/>
      <c r="J662" s="31"/>
      <c r="K662" s="1"/>
      <c r="L662" s="120"/>
      <c r="M662" s="121"/>
      <c r="N662" s="121"/>
      <c r="O662" s="118"/>
      <c r="P662" s="118"/>
      <c r="Q662" s="31"/>
      <c r="R662" s="122"/>
      <c r="S662" s="121"/>
      <c r="T662" s="122"/>
      <c r="U662" s="121"/>
      <c r="V662" s="123"/>
      <c r="W662" s="124"/>
      <c r="X662" s="178"/>
      <c r="Y662" s="126"/>
      <c r="Z662" s="126"/>
      <c r="AB662" s="31"/>
      <c r="AC662" s="31"/>
      <c r="AD662" s="31"/>
      <c r="AE662" s="1"/>
    </row>
    <row r="663">
      <c r="A663" s="104"/>
      <c r="C663" s="128"/>
      <c r="D663" s="74"/>
      <c r="E663" s="1"/>
      <c r="F663" s="1"/>
      <c r="G663" s="1"/>
      <c r="H663" s="118"/>
      <c r="I663" s="177"/>
      <c r="J663" s="31"/>
      <c r="K663" s="1"/>
      <c r="L663" s="120"/>
      <c r="M663" s="121"/>
      <c r="N663" s="121"/>
      <c r="O663" s="118"/>
      <c r="P663" s="118"/>
      <c r="Q663" s="31"/>
      <c r="R663" s="122"/>
      <c r="S663" s="121"/>
      <c r="T663" s="122"/>
      <c r="U663" s="121"/>
      <c r="V663" s="123"/>
      <c r="W663" s="124"/>
      <c r="X663" s="178"/>
      <c r="Y663" s="126"/>
      <c r="Z663" s="126"/>
      <c r="AB663" s="31"/>
      <c r="AC663" s="31"/>
      <c r="AD663" s="31"/>
      <c r="AE663" s="1"/>
    </row>
    <row r="664">
      <c r="A664" s="104"/>
      <c r="C664" s="128"/>
      <c r="D664" s="74"/>
      <c r="E664" s="1"/>
      <c r="F664" s="1"/>
      <c r="G664" s="1"/>
      <c r="H664" s="118"/>
      <c r="I664" s="177"/>
      <c r="J664" s="31"/>
      <c r="K664" s="1"/>
      <c r="L664" s="120"/>
      <c r="M664" s="121"/>
      <c r="N664" s="121"/>
      <c r="O664" s="118"/>
      <c r="P664" s="118"/>
      <c r="Q664" s="31"/>
      <c r="R664" s="122"/>
      <c r="S664" s="121"/>
      <c r="T664" s="122"/>
      <c r="U664" s="121"/>
      <c r="V664" s="123"/>
      <c r="W664" s="124"/>
      <c r="X664" s="178"/>
      <c r="Y664" s="126"/>
      <c r="Z664" s="126"/>
      <c r="AB664" s="31"/>
      <c r="AC664" s="31"/>
      <c r="AD664" s="31"/>
      <c r="AE664" s="1"/>
    </row>
    <row r="665">
      <c r="A665" s="104"/>
      <c r="C665" s="128"/>
      <c r="D665" s="74"/>
      <c r="E665" s="1"/>
      <c r="F665" s="1"/>
      <c r="G665" s="1"/>
      <c r="H665" s="118"/>
      <c r="I665" s="177"/>
      <c r="J665" s="31"/>
      <c r="K665" s="1"/>
      <c r="L665" s="120"/>
      <c r="M665" s="121"/>
      <c r="N665" s="121"/>
      <c r="O665" s="118"/>
      <c r="P665" s="118"/>
      <c r="Q665" s="31"/>
      <c r="R665" s="122"/>
      <c r="S665" s="121"/>
      <c r="T665" s="122"/>
      <c r="U665" s="121"/>
      <c r="V665" s="123"/>
      <c r="W665" s="124"/>
      <c r="X665" s="178"/>
      <c r="Y665" s="126"/>
      <c r="Z665" s="126"/>
      <c r="AB665" s="31"/>
      <c r="AC665" s="31"/>
      <c r="AD665" s="31"/>
      <c r="AE665" s="1"/>
    </row>
    <row r="666">
      <c r="A666" s="104"/>
      <c r="C666" s="128"/>
      <c r="D666" s="74"/>
      <c r="E666" s="1"/>
      <c r="F666" s="1"/>
      <c r="G666" s="1"/>
      <c r="H666" s="118"/>
      <c r="I666" s="177"/>
      <c r="J666" s="31"/>
      <c r="K666" s="1"/>
      <c r="L666" s="120"/>
      <c r="M666" s="121"/>
      <c r="N666" s="121"/>
      <c r="O666" s="118"/>
      <c r="P666" s="118"/>
      <c r="Q666" s="31"/>
      <c r="R666" s="122"/>
      <c r="S666" s="121"/>
      <c r="T666" s="122"/>
      <c r="U666" s="121"/>
      <c r="V666" s="123"/>
      <c r="W666" s="124"/>
      <c r="X666" s="178"/>
      <c r="Y666" s="126"/>
      <c r="Z666" s="126"/>
      <c r="AB666" s="31"/>
      <c r="AC666" s="31"/>
      <c r="AD666" s="31"/>
      <c r="AE666" s="1"/>
    </row>
    <row r="667">
      <c r="A667" s="104"/>
      <c r="C667" s="128"/>
      <c r="D667" s="74"/>
      <c r="E667" s="1"/>
      <c r="F667" s="1"/>
      <c r="G667" s="1"/>
      <c r="H667" s="118"/>
      <c r="I667" s="177"/>
      <c r="J667" s="31"/>
      <c r="K667" s="1"/>
      <c r="L667" s="120"/>
      <c r="M667" s="121"/>
      <c r="N667" s="121"/>
      <c r="O667" s="118"/>
      <c r="P667" s="118"/>
      <c r="Q667" s="31"/>
      <c r="R667" s="122"/>
      <c r="S667" s="121"/>
      <c r="T667" s="122"/>
      <c r="U667" s="121"/>
      <c r="V667" s="123"/>
      <c r="W667" s="124"/>
      <c r="X667" s="178"/>
      <c r="Y667" s="126"/>
      <c r="Z667" s="126"/>
      <c r="AB667" s="31"/>
      <c r="AC667" s="31"/>
      <c r="AD667" s="31"/>
      <c r="AE667" s="1"/>
    </row>
    <row r="668">
      <c r="A668" s="104"/>
      <c r="C668" s="128"/>
      <c r="D668" s="74"/>
      <c r="E668" s="1"/>
      <c r="F668" s="1"/>
      <c r="G668" s="1"/>
      <c r="H668" s="118"/>
      <c r="I668" s="177"/>
      <c r="J668" s="31"/>
      <c r="K668" s="1"/>
      <c r="L668" s="120"/>
      <c r="M668" s="121"/>
      <c r="N668" s="121"/>
      <c r="O668" s="118"/>
      <c r="P668" s="118"/>
      <c r="Q668" s="31"/>
      <c r="R668" s="122"/>
      <c r="S668" s="121"/>
      <c r="T668" s="122"/>
      <c r="U668" s="121"/>
      <c r="V668" s="123"/>
      <c r="W668" s="124"/>
      <c r="X668" s="178"/>
      <c r="Y668" s="126"/>
      <c r="Z668" s="126"/>
      <c r="AB668" s="31"/>
      <c r="AC668" s="31"/>
      <c r="AD668" s="31"/>
      <c r="AE668" s="1"/>
    </row>
    <row r="669">
      <c r="A669" s="104"/>
      <c r="C669" s="128"/>
      <c r="D669" s="74"/>
      <c r="E669" s="1"/>
      <c r="F669" s="1"/>
      <c r="G669" s="1"/>
      <c r="H669" s="118"/>
      <c r="I669" s="177"/>
      <c r="J669" s="31"/>
      <c r="K669" s="1"/>
      <c r="L669" s="120"/>
      <c r="M669" s="121"/>
      <c r="N669" s="121"/>
      <c r="O669" s="118"/>
      <c r="P669" s="118"/>
      <c r="Q669" s="31"/>
      <c r="R669" s="122"/>
      <c r="S669" s="121"/>
      <c r="T669" s="122"/>
      <c r="U669" s="121"/>
      <c r="V669" s="123"/>
      <c r="W669" s="124"/>
      <c r="X669" s="178"/>
      <c r="Y669" s="126"/>
      <c r="Z669" s="126"/>
      <c r="AB669" s="31"/>
      <c r="AC669" s="31"/>
      <c r="AD669" s="31"/>
      <c r="AE669" s="1"/>
    </row>
    <row r="670">
      <c r="A670" s="104"/>
      <c r="C670" s="128"/>
      <c r="D670" s="74"/>
      <c r="E670" s="1"/>
      <c r="F670" s="1"/>
      <c r="G670" s="1"/>
      <c r="H670" s="118"/>
      <c r="I670" s="177"/>
      <c r="J670" s="31"/>
      <c r="K670" s="1"/>
      <c r="L670" s="120"/>
      <c r="M670" s="121"/>
      <c r="N670" s="121"/>
      <c r="O670" s="118"/>
      <c r="P670" s="118"/>
      <c r="Q670" s="31"/>
      <c r="R670" s="122"/>
      <c r="S670" s="121"/>
      <c r="T670" s="122"/>
      <c r="U670" s="121"/>
      <c r="V670" s="123"/>
      <c r="W670" s="124"/>
      <c r="X670" s="178"/>
      <c r="Y670" s="126"/>
      <c r="Z670" s="126"/>
      <c r="AB670" s="31"/>
      <c r="AC670" s="31"/>
      <c r="AD670" s="31"/>
      <c r="AE670" s="1"/>
    </row>
    <row r="671">
      <c r="A671" s="104"/>
      <c r="C671" s="128"/>
      <c r="D671" s="74"/>
      <c r="E671" s="1"/>
      <c r="F671" s="1"/>
      <c r="G671" s="1"/>
      <c r="H671" s="118"/>
      <c r="I671" s="177"/>
      <c r="J671" s="31"/>
      <c r="K671" s="1"/>
      <c r="L671" s="120"/>
      <c r="M671" s="121"/>
      <c r="N671" s="121"/>
      <c r="O671" s="118"/>
      <c r="P671" s="118"/>
      <c r="Q671" s="31"/>
      <c r="R671" s="122"/>
      <c r="S671" s="121"/>
      <c r="T671" s="122"/>
      <c r="U671" s="121"/>
      <c r="V671" s="123"/>
      <c r="W671" s="124"/>
      <c r="X671" s="178"/>
      <c r="Y671" s="126"/>
      <c r="Z671" s="126"/>
      <c r="AB671" s="31"/>
      <c r="AC671" s="31"/>
      <c r="AD671" s="31"/>
      <c r="AE671" s="1"/>
    </row>
    <row r="672">
      <c r="A672" s="104"/>
      <c r="C672" s="128"/>
      <c r="D672" s="74"/>
      <c r="E672" s="1"/>
      <c r="F672" s="1"/>
      <c r="G672" s="1"/>
      <c r="H672" s="118"/>
      <c r="I672" s="177"/>
      <c r="J672" s="31"/>
      <c r="K672" s="1"/>
      <c r="L672" s="120"/>
      <c r="M672" s="121"/>
      <c r="N672" s="121"/>
      <c r="O672" s="118"/>
      <c r="P672" s="118"/>
      <c r="Q672" s="31"/>
      <c r="R672" s="122"/>
      <c r="S672" s="121"/>
      <c r="T672" s="122"/>
      <c r="U672" s="121"/>
      <c r="V672" s="123"/>
      <c r="W672" s="124"/>
      <c r="X672" s="178"/>
      <c r="Y672" s="126"/>
      <c r="Z672" s="126"/>
      <c r="AB672" s="31"/>
      <c r="AC672" s="31"/>
      <c r="AD672" s="31"/>
      <c r="AE672" s="1"/>
    </row>
    <row r="673">
      <c r="A673" s="104"/>
      <c r="C673" s="128"/>
      <c r="D673" s="74"/>
      <c r="E673" s="1"/>
      <c r="F673" s="1"/>
      <c r="G673" s="1"/>
      <c r="H673" s="118"/>
      <c r="I673" s="177"/>
      <c r="J673" s="31"/>
      <c r="K673" s="1"/>
      <c r="L673" s="120"/>
      <c r="M673" s="121"/>
      <c r="N673" s="121"/>
      <c r="O673" s="118"/>
      <c r="P673" s="118"/>
      <c r="Q673" s="31"/>
      <c r="R673" s="122"/>
      <c r="S673" s="121"/>
      <c r="T673" s="122"/>
      <c r="U673" s="121"/>
      <c r="V673" s="123"/>
      <c r="W673" s="124"/>
      <c r="X673" s="178"/>
      <c r="Y673" s="126"/>
      <c r="Z673" s="126"/>
      <c r="AB673" s="31"/>
      <c r="AC673" s="31"/>
      <c r="AD673" s="31"/>
      <c r="AE673" s="1"/>
    </row>
    <row r="674">
      <c r="A674" s="104"/>
      <c r="C674" s="128"/>
      <c r="D674" s="74"/>
      <c r="E674" s="1"/>
      <c r="F674" s="1"/>
      <c r="G674" s="1"/>
      <c r="H674" s="118"/>
      <c r="I674" s="177"/>
      <c r="J674" s="31"/>
      <c r="K674" s="1"/>
      <c r="L674" s="120"/>
      <c r="M674" s="121"/>
      <c r="N674" s="121"/>
      <c r="O674" s="118"/>
      <c r="P674" s="118"/>
      <c r="Q674" s="31"/>
      <c r="R674" s="122"/>
      <c r="S674" s="121"/>
      <c r="T674" s="122"/>
      <c r="U674" s="121"/>
      <c r="V674" s="123"/>
      <c r="W674" s="124"/>
      <c r="X674" s="178"/>
      <c r="Y674" s="126"/>
      <c r="Z674" s="126"/>
      <c r="AB674" s="31"/>
      <c r="AC674" s="31"/>
      <c r="AD674" s="31"/>
      <c r="AE674" s="1"/>
    </row>
    <row r="675">
      <c r="A675" s="104"/>
      <c r="C675" s="128"/>
      <c r="D675" s="74"/>
      <c r="E675" s="1"/>
      <c r="F675" s="1"/>
      <c r="G675" s="1"/>
      <c r="H675" s="118"/>
      <c r="I675" s="177"/>
      <c r="J675" s="31"/>
      <c r="K675" s="1"/>
      <c r="L675" s="120"/>
      <c r="M675" s="121"/>
      <c r="N675" s="121"/>
      <c r="O675" s="118"/>
      <c r="P675" s="118"/>
      <c r="Q675" s="31"/>
      <c r="R675" s="122"/>
      <c r="S675" s="121"/>
      <c r="T675" s="122"/>
      <c r="U675" s="121"/>
      <c r="V675" s="123"/>
      <c r="W675" s="124"/>
      <c r="X675" s="178"/>
      <c r="Y675" s="126"/>
      <c r="Z675" s="126"/>
      <c r="AB675" s="31"/>
      <c r="AC675" s="31"/>
      <c r="AD675" s="31"/>
      <c r="AE675" s="1"/>
    </row>
    <row r="676">
      <c r="A676" s="104"/>
      <c r="C676" s="128"/>
      <c r="D676" s="74"/>
      <c r="E676" s="1"/>
      <c r="F676" s="1"/>
      <c r="G676" s="1"/>
      <c r="H676" s="118"/>
      <c r="I676" s="177"/>
      <c r="J676" s="31"/>
      <c r="K676" s="1"/>
      <c r="L676" s="120"/>
      <c r="M676" s="121"/>
      <c r="N676" s="121"/>
      <c r="O676" s="118"/>
      <c r="P676" s="118"/>
      <c r="Q676" s="31"/>
      <c r="R676" s="122"/>
      <c r="S676" s="121"/>
      <c r="T676" s="122"/>
      <c r="U676" s="121"/>
      <c r="V676" s="123"/>
      <c r="W676" s="124"/>
      <c r="X676" s="178"/>
      <c r="Y676" s="126"/>
      <c r="Z676" s="126"/>
      <c r="AB676" s="31"/>
      <c r="AC676" s="31"/>
      <c r="AD676" s="31"/>
      <c r="AE676" s="1"/>
    </row>
    <row r="677">
      <c r="A677" s="104"/>
      <c r="C677" s="128"/>
      <c r="D677" s="74"/>
      <c r="E677" s="1"/>
      <c r="F677" s="1"/>
      <c r="G677" s="1"/>
      <c r="H677" s="118"/>
      <c r="I677" s="177"/>
      <c r="J677" s="31"/>
      <c r="K677" s="1"/>
      <c r="L677" s="120"/>
      <c r="M677" s="121"/>
      <c r="N677" s="121"/>
      <c r="O677" s="118"/>
      <c r="P677" s="118"/>
      <c r="Q677" s="31"/>
      <c r="R677" s="122"/>
      <c r="S677" s="121"/>
      <c r="T677" s="122"/>
      <c r="U677" s="121"/>
      <c r="V677" s="123"/>
      <c r="W677" s="124"/>
      <c r="X677" s="178"/>
      <c r="Y677" s="126"/>
      <c r="Z677" s="126"/>
      <c r="AB677" s="31"/>
      <c r="AC677" s="31"/>
      <c r="AD677" s="31"/>
      <c r="AE677" s="1"/>
    </row>
    <row r="678">
      <c r="A678" s="104"/>
      <c r="C678" s="128"/>
      <c r="D678" s="74"/>
      <c r="E678" s="1"/>
      <c r="F678" s="1"/>
      <c r="G678" s="1"/>
      <c r="H678" s="118"/>
      <c r="I678" s="177"/>
      <c r="J678" s="31"/>
      <c r="K678" s="1"/>
      <c r="L678" s="120"/>
      <c r="M678" s="121"/>
      <c r="N678" s="121"/>
      <c r="O678" s="118"/>
      <c r="P678" s="118"/>
      <c r="Q678" s="31"/>
      <c r="R678" s="122"/>
      <c r="S678" s="121"/>
      <c r="T678" s="122"/>
      <c r="U678" s="121"/>
      <c r="V678" s="123"/>
      <c r="W678" s="124"/>
      <c r="X678" s="178"/>
      <c r="Y678" s="126"/>
      <c r="Z678" s="126"/>
      <c r="AB678" s="31"/>
      <c r="AC678" s="31"/>
      <c r="AD678" s="31"/>
      <c r="AE678" s="1"/>
    </row>
    <row r="679">
      <c r="A679" s="104"/>
      <c r="C679" s="128"/>
      <c r="D679" s="74"/>
      <c r="E679" s="1"/>
      <c r="F679" s="1"/>
      <c r="G679" s="1"/>
      <c r="H679" s="118"/>
      <c r="I679" s="177"/>
      <c r="J679" s="31"/>
      <c r="K679" s="1"/>
      <c r="L679" s="120"/>
      <c r="M679" s="121"/>
      <c r="N679" s="121"/>
      <c r="O679" s="118"/>
      <c r="P679" s="118"/>
      <c r="Q679" s="31"/>
      <c r="R679" s="122"/>
      <c r="S679" s="121"/>
      <c r="T679" s="122"/>
      <c r="U679" s="121"/>
      <c r="V679" s="123"/>
      <c r="W679" s="124"/>
      <c r="X679" s="178"/>
      <c r="Y679" s="126"/>
      <c r="Z679" s="126"/>
      <c r="AB679" s="31"/>
      <c r="AC679" s="31"/>
      <c r="AD679" s="31"/>
      <c r="AE679" s="1"/>
    </row>
    <row r="680">
      <c r="A680" s="104"/>
      <c r="C680" s="128"/>
      <c r="D680" s="74"/>
      <c r="E680" s="1"/>
      <c r="F680" s="1"/>
      <c r="G680" s="1"/>
      <c r="H680" s="118"/>
      <c r="I680" s="177"/>
      <c r="J680" s="31"/>
      <c r="K680" s="1"/>
      <c r="L680" s="120"/>
      <c r="M680" s="121"/>
      <c r="N680" s="121"/>
      <c r="O680" s="118"/>
      <c r="P680" s="118"/>
      <c r="Q680" s="31"/>
      <c r="R680" s="122"/>
      <c r="S680" s="121"/>
      <c r="T680" s="122"/>
      <c r="U680" s="121"/>
      <c r="V680" s="123"/>
      <c r="W680" s="124"/>
      <c r="X680" s="178"/>
      <c r="Y680" s="126"/>
      <c r="Z680" s="126"/>
      <c r="AB680" s="31"/>
      <c r="AC680" s="31"/>
      <c r="AD680" s="31"/>
      <c r="AE680" s="1"/>
    </row>
    <row r="681">
      <c r="A681" s="104"/>
      <c r="C681" s="128"/>
      <c r="D681" s="74"/>
      <c r="E681" s="1"/>
      <c r="F681" s="1"/>
      <c r="G681" s="1"/>
      <c r="H681" s="118"/>
      <c r="I681" s="177"/>
      <c r="J681" s="31"/>
      <c r="K681" s="1"/>
      <c r="L681" s="120"/>
      <c r="M681" s="121"/>
      <c r="N681" s="121"/>
      <c r="O681" s="118"/>
      <c r="P681" s="118"/>
      <c r="Q681" s="31"/>
      <c r="R681" s="122"/>
      <c r="S681" s="121"/>
      <c r="T681" s="122"/>
      <c r="U681" s="121"/>
      <c r="V681" s="123"/>
      <c r="W681" s="124"/>
      <c r="X681" s="178"/>
      <c r="Y681" s="126"/>
      <c r="Z681" s="126"/>
      <c r="AB681" s="31"/>
      <c r="AC681" s="31"/>
      <c r="AD681" s="31"/>
      <c r="AE681" s="1"/>
    </row>
    <row r="682">
      <c r="A682" s="104"/>
      <c r="C682" s="128"/>
      <c r="D682" s="74"/>
      <c r="E682" s="1"/>
      <c r="F682" s="1"/>
      <c r="G682" s="1"/>
      <c r="H682" s="118"/>
      <c r="I682" s="177"/>
      <c r="J682" s="31"/>
      <c r="K682" s="1"/>
      <c r="L682" s="120"/>
      <c r="M682" s="121"/>
      <c r="N682" s="121"/>
      <c r="O682" s="118"/>
      <c r="P682" s="118"/>
      <c r="Q682" s="31"/>
      <c r="R682" s="122"/>
      <c r="S682" s="121"/>
      <c r="T682" s="122"/>
      <c r="U682" s="121"/>
      <c r="V682" s="123"/>
      <c r="W682" s="124"/>
      <c r="X682" s="178"/>
      <c r="Y682" s="126"/>
      <c r="Z682" s="126"/>
      <c r="AB682" s="31"/>
      <c r="AC682" s="31"/>
      <c r="AD682" s="31"/>
      <c r="AE682" s="1"/>
    </row>
    <row r="683">
      <c r="A683" s="104"/>
      <c r="C683" s="128"/>
      <c r="D683" s="74"/>
      <c r="E683" s="1"/>
      <c r="F683" s="1"/>
      <c r="G683" s="1"/>
      <c r="H683" s="118"/>
      <c r="I683" s="177"/>
      <c r="J683" s="31"/>
      <c r="K683" s="1"/>
      <c r="L683" s="120"/>
      <c r="M683" s="121"/>
      <c r="N683" s="121"/>
      <c r="O683" s="118"/>
      <c r="P683" s="118"/>
      <c r="Q683" s="31"/>
      <c r="R683" s="122"/>
      <c r="S683" s="121"/>
      <c r="T683" s="122"/>
      <c r="U683" s="121"/>
      <c r="V683" s="123"/>
      <c r="W683" s="124"/>
      <c r="X683" s="178"/>
      <c r="Y683" s="126"/>
      <c r="Z683" s="126"/>
      <c r="AB683" s="31"/>
      <c r="AC683" s="31"/>
      <c r="AD683" s="31"/>
      <c r="AE683" s="1"/>
    </row>
    <row r="684">
      <c r="A684" s="104"/>
      <c r="C684" s="128"/>
      <c r="D684" s="74"/>
      <c r="E684" s="1"/>
      <c r="F684" s="1"/>
      <c r="G684" s="1"/>
      <c r="H684" s="118"/>
      <c r="I684" s="177"/>
      <c r="J684" s="31"/>
      <c r="K684" s="1"/>
      <c r="L684" s="120"/>
      <c r="M684" s="121"/>
      <c r="N684" s="121"/>
      <c r="O684" s="118"/>
      <c r="P684" s="118"/>
      <c r="Q684" s="31"/>
      <c r="R684" s="122"/>
      <c r="S684" s="121"/>
      <c r="T684" s="122"/>
      <c r="U684" s="121"/>
      <c r="V684" s="123"/>
      <c r="W684" s="124"/>
      <c r="X684" s="178"/>
      <c r="Y684" s="126"/>
      <c r="Z684" s="126"/>
      <c r="AB684" s="31"/>
      <c r="AC684" s="31"/>
      <c r="AD684" s="31"/>
      <c r="AE684" s="1"/>
    </row>
    <row r="685">
      <c r="A685" s="104"/>
      <c r="C685" s="128"/>
      <c r="D685" s="74"/>
      <c r="E685" s="1"/>
      <c r="F685" s="1"/>
      <c r="G685" s="1"/>
      <c r="H685" s="118"/>
      <c r="I685" s="177"/>
      <c r="J685" s="31"/>
      <c r="K685" s="1"/>
      <c r="L685" s="120"/>
      <c r="M685" s="121"/>
      <c r="N685" s="121"/>
      <c r="O685" s="118"/>
      <c r="P685" s="118"/>
      <c r="Q685" s="31"/>
      <c r="R685" s="122"/>
      <c r="S685" s="121"/>
      <c r="T685" s="122"/>
      <c r="U685" s="121"/>
      <c r="V685" s="123"/>
      <c r="W685" s="124"/>
      <c r="X685" s="178"/>
      <c r="Y685" s="126"/>
      <c r="Z685" s="126"/>
      <c r="AB685" s="31"/>
      <c r="AC685" s="31"/>
      <c r="AD685" s="31"/>
      <c r="AE685" s="1"/>
    </row>
    <row r="686">
      <c r="A686" s="104"/>
      <c r="C686" s="128"/>
      <c r="D686" s="74"/>
      <c r="E686" s="1"/>
      <c r="F686" s="1"/>
      <c r="G686" s="1"/>
      <c r="H686" s="118"/>
      <c r="I686" s="177"/>
      <c r="J686" s="31"/>
      <c r="K686" s="1"/>
      <c r="L686" s="120"/>
      <c r="M686" s="121"/>
      <c r="N686" s="121"/>
      <c r="O686" s="118"/>
      <c r="P686" s="118"/>
      <c r="Q686" s="31"/>
      <c r="R686" s="122"/>
      <c r="S686" s="121"/>
      <c r="T686" s="122"/>
      <c r="U686" s="121"/>
      <c r="V686" s="123"/>
      <c r="W686" s="124"/>
      <c r="X686" s="178"/>
      <c r="Y686" s="126"/>
      <c r="Z686" s="126"/>
      <c r="AB686" s="31"/>
      <c r="AC686" s="31"/>
      <c r="AD686" s="31"/>
      <c r="AE686" s="1"/>
    </row>
    <row r="687">
      <c r="A687" s="104"/>
      <c r="C687" s="128"/>
      <c r="D687" s="74"/>
      <c r="E687" s="1"/>
      <c r="F687" s="1"/>
      <c r="G687" s="1"/>
      <c r="H687" s="118"/>
      <c r="I687" s="177"/>
      <c r="J687" s="31"/>
      <c r="K687" s="1"/>
      <c r="L687" s="120"/>
      <c r="M687" s="121"/>
      <c r="N687" s="121"/>
      <c r="O687" s="118"/>
      <c r="P687" s="118"/>
      <c r="Q687" s="31"/>
      <c r="R687" s="122"/>
      <c r="S687" s="121"/>
      <c r="T687" s="122"/>
      <c r="U687" s="121"/>
      <c r="V687" s="123"/>
      <c r="W687" s="124"/>
      <c r="X687" s="178"/>
      <c r="Y687" s="126"/>
      <c r="Z687" s="126"/>
      <c r="AB687" s="31"/>
      <c r="AC687" s="31"/>
      <c r="AD687" s="31"/>
      <c r="AE687" s="1"/>
    </row>
    <row r="688">
      <c r="A688" s="104"/>
      <c r="C688" s="128"/>
      <c r="D688" s="74"/>
      <c r="E688" s="1"/>
      <c r="F688" s="1"/>
      <c r="G688" s="1"/>
      <c r="H688" s="118"/>
      <c r="I688" s="177"/>
      <c r="J688" s="31"/>
      <c r="K688" s="1"/>
      <c r="L688" s="120"/>
      <c r="M688" s="121"/>
      <c r="N688" s="121"/>
      <c r="O688" s="118"/>
      <c r="P688" s="118"/>
      <c r="Q688" s="31"/>
      <c r="R688" s="122"/>
      <c r="S688" s="121"/>
      <c r="T688" s="122"/>
      <c r="U688" s="121"/>
      <c r="V688" s="123"/>
      <c r="W688" s="124"/>
      <c r="X688" s="178"/>
      <c r="Y688" s="126"/>
      <c r="Z688" s="126"/>
      <c r="AB688" s="31"/>
      <c r="AC688" s="31"/>
      <c r="AD688" s="31"/>
      <c r="AE688" s="1"/>
    </row>
    <row r="689">
      <c r="A689" s="104"/>
      <c r="C689" s="128"/>
      <c r="D689" s="74"/>
      <c r="E689" s="1"/>
      <c r="F689" s="1"/>
      <c r="G689" s="1"/>
      <c r="H689" s="118"/>
      <c r="I689" s="177"/>
      <c r="J689" s="31"/>
      <c r="K689" s="1"/>
      <c r="L689" s="120"/>
      <c r="M689" s="121"/>
      <c r="N689" s="121"/>
      <c r="O689" s="118"/>
      <c r="P689" s="118"/>
      <c r="Q689" s="31"/>
      <c r="R689" s="122"/>
      <c r="S689" s="121"/>
      <c r="T689" s="122"/>
      <c r="U689" s="121"/>
      <c r="V689" s="123"/>
      <c r="W689" s="124"/>
      <c r="X689" s="178"/>
      <c r="Y689" s="126"/>
      <c r="Z689" s="126"/>
      <c r="AB689" s="31"/>
      <c r="AC689" s="31"/>
      <c r="AD689" s="31"/>
      <c r="AE689" s="1"/>
    </row>
    <row r="690">
      <c r="A690" s="104"/>
      <c r="C690" s="128"/>
      <c r="D690" s="74"/>
      <c r="E690" s="1"/>
      <c r="F690" s="1"/>
      <c r="G690" s="1"/>
      <c r="H690" s="118"/>
      <c r="I690" s="177"/>
      <c r="J690" s="31"/>
      <c r="K690" s="1"/>
      <c r="L690" s="120"/>
      <c r="M690" s="121"/>
      <c r="N690" s="121"/>
      <c r="O690" s="118"/>
      <c r="P690" s="118"/>
      <c r="Q690" s="31"/>
      <c r="R690" s="122"/>
      <c r="S690" s="121"/>
      <c r="T690" s="122"/>
      <c r="U690" s="121"/>
      <c r="V690" s="123"/>
      <c r="W690" s="124"/>
      <c r="X690" s="178"/>
      <c r="Y690" s="126"/>
      <c r="Z690" s="126"/>
      <c r="AB690" s="31"/>
      <c r="AC690" s="31"/>
      <c r="AD690" s="31"/>
      <c r="AE690" s="1"/>
    </row>
    <row r="691">
      <c r="A691" s="104"/>
      <c r="C691" s="128"/>
      <c r="D691" s="74"/>
      <c r="E691" s="1"/>
      <c r="F691" s="1"/>
      <c r="G691" s="1"/>
      <c r="H691" s="118"/>
      <c r="I691" s="177"/>
      <c r="J691" s="31"/>
      <c r="K691" s="1"/>
      <c r="L691" s="120"/>
      <c r="M691" s="121"/>
      <c r="N691" s="121"/>
      <c r="O691" s="118"/>
      <c r="P691" s="118"/>
      <c r="Q691" s="31"/>
      <c r="R691" s="122"/>
      <c r="S691" s="121"/>
      <c r="T691" s="122"/>
      <c r="U691" s="121"/>
      <c r="V691" s="123"/>
      <c r="W691" s="124"/>
      <c r="X691" s="178"/>
      <c r="Y691" s="126"/>
      <c r="Z691" s="126"/>
      <c r="AB691" s="31"/>
      <c r="AC691" s="31"/>
      <c r="AD691" s="31"/>
      <c r="AE691" s="1"/>
    </row>
    <row r="692">
      <c r="A692" s="104"/>
      <c r="C692" s="128"/>
      <c r="D692" s="74"/>
      <c r="E692" s="1"/>
      <c r="F692" s="1"/>
      <c r="G692" s="1"/>
      <c r="H692" s="118"/>
      <c r="I692" s="177"/>
      <c r="J692" s="31"/>
      <c r="K692" s="1"/>
      <c r="L692" s="120"/>
      <c r="M692" s="121"/>
      <c r="N692" s="121"/>
      <c r="O692" s="118"/>
      <c r="P692" s="118"/>
      <c r="Q692" s="31"/>
      <c r="R692" s="122"/>
      <c r="S692" s="121"/>
      <c r="T692" s="122"/>
      <c r="U692" s="121"/>
      <c r="V692" s="123"/>
      <c r="W692" s="124"/>
      <c r="X692" s="178"/>
      <c r="Y692" s="126"/>
      <c r="Z692" s="126"/>
      <c r="AB692" s="31"/>
      <c r="AC692" s="31"/>
      <c r="AD692" s="31"/>
      <c r="AE692" s="1"/>
    </row>
    <row r="693">
      <c r="A693" s="104"/>
      <c r="C693" s="128"/>
      <c r="D693" s="74"/>
      <c r="E693" s="1"/>
      <c r="F693" s="1"/>
      <c r="G693" s="1"/>
      <c r="H693" s="118"/>
      <c r="I693" s="177"/>
      <c r="J693" s="31"/>
      <c r="K693" s="1"/>
      <c r="L693" s="120"/>
      <c r="M693" s="121"/>
      <c r="N693" s="121"/>
      <c r="O693" s="118"/>
      <c r="P693" s="118"/>
      <c r="Q693" s="31"/>
      <c r="R693" s="122"/>
      <c r="S693" s="121"/>
      <c r="T693" s="122"/>
      <c r="U693" s="121"/>
      <c r="V693" s="123"/>
      <c r="W693" s="124"/>
      <c r="X693" s="178"/>
      <c r="Y693" s="126"/>
      <c r="Z693" s="126"/>
      <c r="AB693" s="31"/>
      <c r="AC693" s="31"/>
      <c r="AD693" s="31"/>
      <c r="AE693" s="1"/>
    </row>
    <row r="694">
      <c r="A694" s="104"/>
      <c r="C694" s="128"/>
      <c r="D694" s="74"/>
      <c r="E694" s="1"/>
      <c r="F694" s="1"/>
      <c r="G694" s="1"/>
      <c r="H694" s="118"/>
      <c r="I694" s="177"/>
      <c r="J694" s="31"/>
      <c r="K694" s="1"/>
      <c r="L694" s="120"/>
      <c r="M694" s="121"/>
      <c r="N694" s="121"/>
      <c r="O694" s="118"/>
      <c r="P694" s="118"/>
      <c r="Q694" s="31"/>
      <c r="R694" s="122"/>
      <c r="S694" s="121"/>
      <c r="T694" s="122"/>
      <c r="U694" s="121"/>
      <c r="V694" s="123"/>
      <c r="W694" s="124"/>
      <c r="X694" s="178"/>
      <c r="Y694" s="126"/>
      <c r="Z694" s="126"/>
      <c r="AB694" s="31"/>
      <c r="AC694" s="31"/>
      <c r="AD694" s="31"/>
      <c r="AE694" s="1"/>
    </row>
    <row r="695">
      <c r="A695" s="104"/>
      <c r="C695" s="128"/>
      <c r="D695" s="74"/>
      <c r="E695" s="1"/>
      <c r="F695" s="1"/>
      <c r="G695" s="1"/>
      <c r="H695" s="118"/>
      <c r="I695" s="177"/>
      <c r="J695" s="31"/>
      <c r="K695" s="1"/>
      <c r="L695" s="120"/>
      <c r="M695" s="121"/>
      <c r="N695" s="121"/>
      <c r="O695" s="118"/>
      <c r="P695" s="118"/>
      <c r="Q695" s="31"/>
      <c r="R695" s="122"/>
      <c r="S695" s="121"/>
      <c r="T695" s="122"/>
      <c r="U695" s="121"/>
      <c r="V695" s="123"/>
      <c r="W695" s="124"/>
      <c r="X695" s="178"/>
      <c r="Y695" s="126"/>
      <c r="Z695" s="126"/>
      <c r="AB695" s="31"/>
      <c r="AC695" s="31"/>
      <c r="AD695" s="31"/>
      <c r="AE695" s="1"/>
    </row>
    <row r="696">
      <c r="A696" s="104"/>
      <c r="C696" s="128"/>
      <c r="D696" s="74"/>
      <c r="E696" s="1"/>
      <c r="F696" s="1"/>
      <c r="G696" s="1"/>
      <c r="H696" s="118"/>
      <c r="I696" s="177"/>
      <c r="J696" s="31"/>
      <c r="K696" s="1"/>
      <c r="L696" s="120"/>
      <c r="M696" s="121"/>
      <c r="N696" s="121"/>
      <c r="O696" s="118"/>
      <c r="P696" s="118"/>
      <c r="Q696" s="31"/>
      <c r="R696" s="122"/>
      <c r="S696" s="121"/>
      <c r="T696" s="122"/>
      <c r="U696" s="121"/>
      <c r="V696" s="123"/>
      <c r="W696" s="124"/>
      <c r="X696" s="178"/>
      <c r="Y696" s="126"/>
      <c r="Z696" s="126"/>
      <c r="AB696" s="31"/>
      <c r="AC696" s="31"/>
      <c r="AD696" s="31"/>
      <c r="AE696" s="1"/>
    </row>
    <row r="697">
      <c r="A697" s="104"/>
      <c r="C697" s="128"/>
      <c r="D697" s="74"/>
      <c r="E697" s="1"/>
      <c r="F697" s="1"/>
      <c r="G697" s="1"/>
      <c r="H697" s="118"/>
      <c r="I697" s="177"/>
      <c r="J697" s="31"/>
      <c r="K697" s="1"/>
      <c r="L697" s="120"/>
      <c r="M697" s="121"/>
      <c r="N697" s="121"/>
      <c r="O697" s="118"/>
      <c r="P697" s="118"/>
      <c r="Q697" s="31"/>
      <c r="R697" s="122"/>
      <c r="S697" s="121"/>
      <c r="T697" s="122"/>
      <c r="U697" s="121"/>
      <c r="V697" s="123"/>
      <c r="W697" s="124"/>
      <c r="X697" s="178"/>
      <c r="Y697" s="126"/>
      <c r="Z697" s="126"/>
      <c r="AB697" s="31"/>
      <c r="AC697" s="31"/>
      <c r="AD697" s="31"/>
      <c r="AE697" s="1"/>
    </row>
    <row r="698">
      <c r="A698" s="104"/>
      <c r="C698" s="128"/>
      <c r="D698" s="74"/>
      <c r="E698" s="1"/>
      <c r="F698" s="1"/>
      <c r="G698" s="1"/>
      <c r="H698" s="118"/>
      <c r="I698" s="177"/>
      <c r="J698" s="31"/>
      <c r="K698" s="1"/>
      <c r="L698" s="120"/>
      <c r="M698" s="121"/>
      <c r="N698" s="121"/>
      <c r="O698" s="118"/>
      <c r="P698" s="118"/>
      <c r="Q698" s="31"/>
      <c r="R698" s="122"/>
      <c r="S698" s="121"/>
      <c r="T698" s="122"/>
      <c r="U698" s="121"/>
      <c r="V698" s="123"/>
      <c r="W698" s="124"/>
      <c r="X698" s="178"/>
      <c r="Y698" s="126"/>
      <c r="Z698" s="126"/>
      <c r="AB698" s="31"/>
      <c r="AC698" s="31"/>
      <c r="AD698" s="31"/>
      <c r="AE698" s="1"/>
    </row>
    <row r="699">
      <c r="A699" s="104"/>
      <c r="C699" s="128"/>
      <c r="D699" s="74"/>
      <c r="E699" s="1"/>
      <c r="F699" s="1"/>
      <c r="G699" s="1"/>
      <c r="H699" s="118"/>
      <c r="I699" s="177"/>
      <c r="J699" s="31"/>
      <c r="K699" s="1"/>
      <c r="L699" s="120"/>
      <c r="M699" s="121"/>
      <c r="N699" s="121"/>
      <c r="O699" s="118"/>
      <c r="P699" s="118"/>
      <c r="Q699" s="31"/>
      <c r="R699" s="122"/>
      <c r="S699" s="121"/>
      <c r="T699" s="122"/>
      <c r="U699" s="121"/>
      <c r="V699" s="123"/>
      <c r="W699" s="124"/>
      <c r="X699" s="178"/>
      <c r="Y699" s="126"/>
      <c r="Z699" s="126"/>
      <c r="AB699" s="31"/>
      <c r="AC699" s="31"/>
      <c r="AD699" s="31"/>
      <c r="AE699" s="1"/>
    </row>
    <row r="700">
      <c r="A700" s="104"/>
      <c r="C700" s="128"/>
      <c r="D700" s="74"/>
      <c r="E700" s="1"/>
      <c r="F700" s="1"/>
      <c r="G700" s="1"/>
      <c r="H700" s="118"/>
      <c r="I700" s="177"/>
      <c r="J700" s="31"/>
      <c r="K700" s="1"/>
      <c r="L700" s="120"/>
      <c r="M700" s="121"/>
      <c r="N700" s="121"/>
      <c r="O700" s="118"/>
      <c r="P700" s="118"/>
      <c r="Q700" s="31"/>
      <c r="R700" s="122"/>
      <c r="S700" s="121"/>
      <c r="T700" s="122"/>
      <c r="U700" s="121"/>
      <c r="V700" s="123"/>
      <c r="W700" s="124"/>
      <c r="X700" s="178"/>
      <c r="Y700" s="126"/>
      <c r="Z700" s="126"/>
      <c r="AB700" s="31"/>
      <c r="AC700" s="31"/>
      <c r="AD700" s="31"/>
      <c r="AE700" s="1"/>
    </row>
    <row r="701">
      <c r="A701" s="104"/>
      <c r="C701" s="128"/>
      <c r="D701" s="74"/>
      <c r="E701" s="1"/>
      <c r="F701" s="1"/>
      <c r="G701" s="1"/>
      <c r="H701" s="118"/>
      <c r="I701" s="177"/>
      <c r="J701" s="31"/>
      <c r="K701" s="1"/>
      <c r="L701" s="120"/>
      <c r="M701" s="121"/>
      <c r="N701" s="121"/>
      <c r="O701" s="118"/>
      <c r="P701" s="118"/>
      <c r="Q701" s="31"/>
      <c r="R701" s="122"/>
      <c r="S701" s="121"/>
      <c r="T701" s="122"/>
      <c r="U701" s="121"/>
      <c r="V701" s="123"/>
      <c r="W701" s="124"/>
      <c r="X701" s="178"/>
      <c r="Y701" s="126"/>
      <c r="Z701" s="126"/>
      <c r="AB701" s="31"/>
      <c r="AC701" s="31"/>
      <c r="AD701" s="31"/>
      <c r="AE701" s="1"/>
    </row>
    <row r="702">
      <c r="A702" s="104"/>
      <c r="C702" s="128"/>
      <c r="D702" s="74"/>
      <c r="E702" s="1"/>
      <c r="F702" s="1"/>
      <c r="G702" s="1"/>
      <c r="H702" s="118"/>
      <c r="I702" s="177"/>
      <c r="J702" s="31"/>
      <c r="K702" s="1"/>
      <c r="L702" s="120"/>
      <c r="M702" s="121"/>
      <c r="N702" s="121"/>
      <c r="O702" s="118"/>
      <c r="P702" s="118"/>
      <c r="Q702" s="31"/>
      <c r="R702" s="122"/>
      <c r="S702" s="121"/>
      <c r="T702" s="122"/>
      <c r="U702" s="121"/>
      <c r="V702" s="123"/>
      <c r="W702" s="124"/>
      <c r="X702" s="178"/>
      <c r="Y702" s="126"/>
      <c r="Z702" s="126"/>
      <c r="AB702" s="31"/>
      <c r="AC702" s="31"/>
      <c r="AD702" s="31"/>
      <c r="AE702" s="1"/>
    </row>
    <row r="703">
      <c r="A703" s="104"/>
      <c r="C703" s="128"/>
      <c r="D703" s="74"/>
      <c r="E703" s="1"/>
      <c r="F703" s="1"/>
      <c r="G703" s="1"/>
      <c r="H703" s="118"/>
      <c r="I703" s="177"/>
      <c r="J703" s="31"/>
      <c r="K703" s="1"/>
      <c r="L703" s="120"/>
      <c r="M703" s="121"/>
      <c r="N703" s="121"/>
      <c r="O703" s="118"/>
      <c r="P703" s="118"/>
      <c r="Q703" s="31"/>
      <c r="R703" s="122"/>
      <c r="S703" s="121"/>
      <c r="T703" s="122"/>
      <c r="U703" s="121"/>
      <c r="V703" s="123"/>
      <c r="W703" s="124"/>
      <c r="X703" s="178"/>
      <c r="Y703" s="126"/>
      <c r="Z703" s="126"/>
      <c r="AB703" s="31"/>
      <c r="AC703" s="31"/>
      <c r="AD703" s="31"/>
      <c r="AE703" s="1"/>
    </row>
    <row r="704">
      <c r="A704" s="104"/>
      <c r="C704" s="128"/>
      <c r="D704" s="74"/>
      <c r="E704" s="1"/>
      <c r="F704" s="1"/>
      <c r="G704" s="1"/>
      <c r="H704" s="118"/>
      <c r="I704" s="177"/>
      <c r="J704" s="31"/>
      <c r="K704" s="1"/>
      <c r="L704" s="120"/>
      <c r="M704" s="121"/>
      <c r="N704" s="121"/>
      <c r="O704" s="118"/>
      <c r="P704" s="118"/>
      <c r="Q704" s="31"/>
      <c r="R704" s="122"/>
      <c r="S704" s="121"/>
      <c r="T704" s="122"/>
      <c r="U704" s="121"/>
      <c r="V704" s="123"/>
      <c r="W704" s="124"/>
      <c r="X704" s="178"/>
      <c r="Y704" s="126"/>
      <c r="Z704" s="126"/>
      <c r="AB704" s="31"/>
      <c r="AC704" s="31"/>
      <c r="AD704" s="31"/>
      <c r="AE704" s="1"/>
    </row>
    <row r="705">
      <c r="A705" s="104"/>
      <c r="C705" s="128"/>
      <c r="D705" s="74"/>
      <c r="E705" s="1"/>
      <c r="F705" s="1"/>
      <c r="G705" s="1"/>
      <c r="H705" s="118"/>
      <c r="I705" s="177"/>
      <c r="J705" s="31"/>
      <c r="K705" s="1"/>
      <c r="L705" s="120"/>
      <c r="M705" s="121"/>
      <c r="N705" s="121"/>
      <c r="O705" s="118"/>
      <c r="P705" s="118"/>
      <c r="Q705" s="31"/>
      <c r="R705" s="122"/>
      <c r="S705" s="121"/>
      <c r="T705" s="122"/>
      <c r="U705" s="121"/>
      <c r="V705" s="123"/>
      <c r="W705" s="124"/>
      <c r="X705" s="178"/>
      <c r="Y705" s="126"/>
      <c r="Z705" s="126"/>
      <c r="AB705" s="31"/>
      <c r="AC705" s="31"/>
      <c r="AD705" s="31"/>
      <c r="AE705" s="1"/>
    </row>
    <row r="706">
      <c r="A706" s="104"/>
      <c r="C706" s="128"/>
      <c r="D706" s="74"/>
      <c r="E706" s="1"/>
      <c r="F706" s="1"/>
      <c r="G706" s="1"/>
      <c r="H706" s="118"/>
      <c r="I706" s="177"/>
      <c r="J706" s="31"/>
      <c r="K706" s="1"/>
      <c r="L706" s="120"/>
      <c r="M706" s="121"/>
      <c r="N706" s="121"/>
      <c r="O706" s="118"/>
      <c r="P706" s="118"/>
      <c r="Q706" s="31"/>
      <c r="R706" s="122"/>
      <c r="S706" s="121"/>
      <c r="T706" s="122"/>
      <c r="U706" s="121"/>
      <c r="V706" s="123"/>
      <c r="W706" s="124"/>
      <c r="X706" s="178"/>
      <c r="Y706" s="126"/>
      <c r="Z706" s="126"/>
      <c r="AB706" s="31"/>
      <c r="AC706" s="31"/>
      <c r="AD706" s="31"/>
      <c r="AE706" s="1"/>
    </row>
    <row r="707">
      <c r="A707" s="104"/>
      <c r="C707" s="128"/>
      <c r="D707" s="74"/>
      <c r="E707" s="1"/>
      <c r="F707" s="1"/>
      <c r="G707" s="1"/>
      <c r="H707" s="118"/>
      <c r="I707" s="177"/>
      <c r="J707" s="31"/>
      <c r="K707" s="1"/>
      <c r="L707" s="120"/>
      <c r="M707" s="121"/>
      <c r="N707" s="121"/>
      <c r="O707" s="118"/>
      <c r="P707" s="118"/>
      <c r="Q707" s="31"/>
      <c r="R707" s="122"/>
      <c r="S707" s="121"/>
      <c r="T707" s="122"/>
      <c r="U707" s="121"/>
      <c r="V707" s="123"/>
      <c r="W707" s="124"/>
      <c r="X707" s="178"/>
      <c r="Y707" s="126"/>
      <c r="Z707" s="126"/>
      <c r="AB707" s="31"/>
      <c r="AC707" s="31"/>
      <c r="AD707" s="31"/>
      <c r="AE707" s="1"/>
    </row>
    <row r="708">
      <c r="A708" s="104"/>
      <c r="C708" s="128"/>
      <c r="D708" s="74"/>
      <c r="E708" s="1"/>
      <c r="F708" s="1"/>
      <c r="G708" s="1"/>
      <c r="H708" s="118"/>
      <c r="I708" s="177"/>
      <c r="J708" s="31"/>
      <c r="K708" s="1"/>
      <c r="L708" s="120"/>
      <c r="M708" s="121"/>
      <c r="N708" s="121"/>
      <c r="O708" s="118"/>
      <c r="P708" s="118"/>
      <c r="Q708" s="31"/>
      <c r="R708" s="122"/>
      <c r="S708" s="121"/>
      <c r="T708" s="122"/>
      <c r="U708" s="121"/>
      <c r="V708" s="123"/>
      <c r="W708" s="124"/>
      <c r="X708" s="178"/>
      <c r="Y708" s="126"/>
      <c r="Z708" s="126"/>
      <c r="AB708" s="31"/>
      <c r="AC708" s="31"/>
      <c r="AD708" s="31"/>
      <c r="AE708" s="1"/>
    </row>
    <row r="709">
      <c r="A709" s="104"/>
      <c r="C709" s="128"/>
      <c r="D709" s="74"/>
      <c r="E709" s="1"/>
      <c r="F709" s="1"/>
      <c r="G709" s="1"/>
      <c r="H709" s="118"/>
      <c r="I709" s="177"/>
      <c r="J709" s="31"/>
      <c r="K709" s="1"/>
      <c r="L709" s="120"/>
      <c r="M709" s="121"/>
      <c r="N709" s="121"/>
      <c r="O709" s="118"/>
      <c r="P709" s="118"/>
      <c r="Q709" s="31"/>
      <c r="R709" s="122"/>
      <c r="S709" s="121"/>
      <c r="T709" s="122"/>
      <c r="U709" s="121"/>
      <c r="V709" s="123"/>
      <c r="W709" s="124"/>
      <c r="X709" s="178"/>
      <c r="Y709" s="126"/>
      <c r="Z709" s="126"/>
      <c r="AB709" s="31"/>
      <c r="AC709" s="31"/>
      <c r="AD709" s="31"/>
      <c r="AE709" s="1"/>
    </row>
    <row r="710">
      <c r="A710" s="104"/>
      <c r="C710" s="128"/>
      <c r="D710" s="74"/>
      <c r="E710" s="1"/>
      <c r="F710" s="1"/>
      <c r="G710" s="1"/>
      <c r="H710" s="118"/>
      <c r="I710" s="177"/>
      <c r="J710" s="31"/>
      <c r="K710" s="1"/>
      <c r="L710" s="120"/>
      <c r="M710" s="121"/>
      <c r="N710" s="121"/>
      <c r="O710" s="118"/>
      <c r="P710" s="118"/>
      <c r="Q710" s="31"/>
      <c r="R710" s="122"/>
      <c r="S710" s="121"/>
      <c r="T710" s="122"/>
      <c r="U710" s="121"/>
      <c r="V710" s="123"/>
      <c r="W710" s="124"/>
      <c r="X710" s="178"/>
      <c r="Y710" s="126"/>
      <c r="Z710" s="126"/>
      <c r="AB710" s="31"/>
      <c r="AC710" s="31"/>
      <c r="AD710" s="31"/>
      <c r="AE710" s="1"/>
    </row>
    <row r="711">
      <c r="A711" s="104"/>
      <c r="C711" s="128"/>
      <c r="D711" s="74"/>
      <c r="E711" s="1"/>
      <c r="F711" s="1"/>
      <c r="G711" s="1"/>
      <c r="H711" s="118"/>
      <c r="I711" s="177"/>
      <c r="J711" s="31"/>
      <c r="K711" s="1"/>
      <c r="L711" s="120"/>
      <c r="M711" s="121"/>
      <c r="N711" s="121"/>
      <c r="O711" s="118"/>
      <c r="P711" s="118"/>
      <c r="Q711" s="31"/>
      <c r="R711" s="122"/>
      <c r="S711" s="121"/>
      <c r="T711" s="122"/>
      <c r="U711" s="121"/>
      <c r="V711" s="123"/>
      <c r="W711" s="124"/>
      <c r="X711" s="178"/>
      <c r="Y711" s="126"/>
      <c r="Z711" s="126"/>
      <c r="AB711" s="31"/>
      <c r="AC711" s="31"/>
      <c r="AD711" s="31"/>
      <c r="AE711" s="1"/>
    </row>
    <row r="712">
      <c r="A712" s="104"/>
      <c r="C712" s="128"/>
      <c r="D712" s="74"/>
      <c r="E712" s="1"/>
      <c r="F712" s="1"/>
      <c r="G712" s="1"/>
      <c r="H712" s="118"/>
      <c r="I712" s="177"/>
      <c r="J712" s="31"/>
      <c r="K712" s="1"/>
      <c r="L712" s="120"/>
      <c r="M712" s="121"/>
      <c r="N712" s="121"/>
      <c r="O712" s="118"/>
      <c r="P712" s="118"/>
      <c r="Q712" s="31"/>
      <c r="R712" s="122"/>
      <c r="S712" s="121"/>
      <c r="T712" s="122"/>
      <c r="U712" s="121"/>
      <c r="V712" s="123"/>
      <c r="W712" s="124"/>
      <c r="X712" s="178"/>
      <c r="Y712" s="126"/>
      <c r="Z712" s="126"/>
      <c r="AB712" s="31"/>
      <c r="AC712" s="31"/>
      <c r="AD712" s="31"/>
      <c r="AE712" s="1"/>
    </row>
    <row r="713">
      <c r="A713" s="104"/>
      <c r="C713" s="128"/>
      <c r="D713" s="74"/>
      <c r="E713" s="1"/>
      <c r="F713" s="1"/>
      <c r="G713" s="1"/>
      <c r="H713" s="118"/>
      <c r="I713" s="177"/>
      <c r="J713" s="31"/>
      <c r="K713" s="1"/>
      <c r="L713" s="120"/>
      <c r="M713" s="121"/>
      <c r="N713" s="121"/>
      <c r="O713" s="118"/>
      <c r="P713" s="118"/>
      <c r="Q713" s="31"/>
      <c r="R713" s="122"/>
      <c r="S713" s="121"/>
      <c r="T713" s="122"/>
      <c r="U713" s="121"/>
      <c r="V713" s="123"/>
      <c r="W713" s="124"/>
      <c r="X713" s="178"/>
      <c r="Y713" s="126"/>
      <c r="Z713" s="126"/>
      <c r="AB713" s="31"/>
      <c r="AC713" s="31"/>
      <c r="AD713" s="31"/>
      <c r="AE713" s="1"/>
    </row>
    <row r="714">
      <c r="A714" s="104"/>
      <c r="C714" s="128"/>
      <c r="D714" s="74"/>
      <c r="E714" s="1"/>
      <c r="F714" s="1"/>
      <c r="G714" s="1"/>
      <c r="H714" s="118"/>
      <c r="I714" s="177"/>
      <c r="J714" s="31"/>
      <c r="K714" s="1"/>
      <c r="L714" s="120"/>
      <c r="M714" s="121"/>
      <c r="N714" s="121"/>
      <c r="O714" s="118"/>
      <c r="P714" s="118"/>
      <c r="Q714" s="31"/>
      <c r="R714" s="122"/>
      <c r="S714" s="121"/>
      <c r="T714" s="122"/>
      <c r="U714" s="121"/>
      <c r="V714" s="123"/>
      <c r="W714" s="124"/>
      <c r="X714" s="178"/>
      <c r="Y714" s="126"/>
      <c r="Z714" s="126"/>
      <c r="AB714" s="31"/>
      <c r="AC714" s="31"/>
      <c r="AD714" s="31"/>
      <c r="AE714" s="1"/>
    </row>
    <row r="715">
      <c r="A715" s="104"/>
      <c r="C715" s="128"/>
      <c r="D715" s="74"/>
      <c r="E715" s="1"/>
      <c r="F715" s="1"/>
      <c r="G715" s="1"/>
      <c r="H715" s="118"/>
      <c r="I715" s="177"/>
      <c r="J715" s="31"/>
      <c r="K715" s="1"/>
      <c r="L715" s="120"/>
      <c r="M715" s="121"/>
      <c r="N715" s="121"/>
      <c r="O715" s="118"/>
      <c r="P715" s="118"/>
      <c r="Q715" s="31"/>
      <c r="R715" s="122"/>
      <c r="S715" s="121"/>
      <c r="T715" s="122"/>
      <c r="U715" s="121"/>
      <c r="V715" s="123"/>
      <c r="W715" s="124"/>
      <c r="X715" s="178"/>
      <c r="Y715" s="126"/>
      <c r="Z715" s="126"/>
      <c r="AB715" s="31"/>
      <c r="AC715" s="31"/>
      <c r="AD715" s="31"/>
      <c r="AE715" s="1"/>
    </row>
    <row r="716">
      <c r="A716" s="104"/>
      <c r="C716" s="128"/>
      <c r="D716" s="74"/>
      <c r="E716" s="1"/>
      <c r="F716" s="1"/>
      <c r="G716" s="1"/>
      <c r="H716" s="118"/>
      <c r="I716" s="177"/>
      <c r="J716" s="31"/>
      <c r="K716" s="1"/>
      <c r="L716" s="120"/>
      <c r="M716" s="121"/>
      <c r="N716" s="121"/>
      <c r="O716" s="118"/>
      <c r="P716" s="118"/>
      <c r="Q716" s="31"/>
      <c r="R716" s="122"/>
      <c r="S716" s="121"/>
      <c r="T716" s="122"/>
      <c r="U716" s="121"/>
      <c r="V716" s="123"/>
      <c r="W716" s="124"/>
      <c r="X716" s="178"/>
      <c r="Y716" s="126"/>
      <c r="Z716" s="126"/>
      <c r="AB716" s="31"/>
      <c r="AC716" s="31"/>
      <c r="AD716" s="31"/>
      <c r="AE716" s="1"/>
    </row>
    <row r="717">
      <c r="A717" s="104"/>
      <c r="C717" s="128"/>
      <c r="D717" s="74"/>
      <c r="E717" s="1"/>
      <c r="F717" s="1"/>
      <c r="G717" s="1"/>
      <c r="H717" s="118"/>
      <c r="I717" s="177"/>
      <c r="J717" s="31"/>
      <c r="K717" s="1"/>
      <c r="L717" s="120"/>
      <c r="M717" s="121"/>
      <c r="N717" s="121"/>
      <c r="O717" s="118"/>
      <c r="P717" s="118"/>
      <c r="Q717" s="31"/>
      <c r="R717" s="122"/>
      <c r="S717" s="121"/>
      <c r="T717" s="122"/>
      <c r="U717" s="121"/>
      <c r="V717" s="123"/>
      <c r="W717" s="124"/>
      <c r="X717" s="178"/>
      <c r="Y717" s="126"/>
      <c r="Z717" s="126"/>
      <c r="AB717" s="31"/>
      <c r="AC717" s="31"/>
      <c r="AD717" s="31"/>
      <c r="AE717" s="1"/>
    </row>
    <row r="718">
      <c r="A718" s="104"/>
      <c r="C718" s="128"/>
      <c r="D718" s="74"/>
      <c r="E718" s="1"/>
      <c r="F718" s="1"/>
      <c r="G718" s="1"/>
      <c r="H718" s="118"/>
      <c r="I718" s="177"/>
      <c r="J718" s="31"/>
      <c r="K718" s="1"/>
      <c r="L718" s="120"/>
      <c r="M718" s="121"/>
      <c r="N718" s="121"/>
      <c r="O718" s="118"/>
      <c r="P718" s="118"/>
      <c r="Q718" s="31"/>
      <c r="R718" s="122"/>
      <c r="S718" s="121"/>
      <c r="T718" s="122"/>
      <c r="U718" s="121"/>
      <c r="V718" s="123"/>
      <c r="W718" s="124"/>
      <c r="X718" s="178"/>
      <c r="Y718" s="126"/>
      <c r="Z718" s="126"/>
      <c r="AB718" s="31"/>
      <c r="AC718" s="31"/>
      <c r="AD718" s="31"/>
      <c r="AE718" s="1"/>
    </row>
    <row r="719">
      <c r="A719" s="104"/>
      <c r="C719" s="128"/>
      <c r="D719" s="74"/>
      <c r="E719" s="1"/>
      <c r="F719" s="1"/>
      <c r="G719" s="1"/>
      <c r="H719" s="118"/>
      <c r="I719" s="177"/>
      <c r="J719" s="31"/>
      <c r="K719" s="1"/>
      <c r="L719" s="120"/>
      <c r="M719" s="121"/>
      <c r="N719" s="121"/>
      <c r="O719" s="118"/>
      <c r="P719" s="118"/>
      <c r="Q719" s="31"/>
      <c r="R719" s="122"/>
      <c r="S719" s="121"/>
      <c r="T719" s="122"/>
      <c r="U719" s="121"/>
      <c r="V719" s="123"/>
      <c r="W719" s="124"/>
      <c r="X719" s="178"/>
      <c r="Y719" s="126"/>
      <c r="Z719" s="126"/>
      <c r="AB719" s="31"/>
      <c r="AC719" s="31"/>
      <c r="AD719" s="31"/>
      <c r="AE719" s="1"/>
    </row>
    <row r="720">
      <c r="A720" s="104"/>
      <c r="C720" s="128"/>
      <c r="D720" s="74"/>
      <c r="E720" s="1"/>
      <c r="F720" s="1"/>
      <c r="G720" s="1"/>
      <c r="H720" s="118"/>
      <c r="I720" s="177"/>
      <c r="J720" s="31"/>
      <c r="K720" s="1"/>
      <c r="L720" s="120"/>
      <c r="M720" s="121"/>
      <c r="N720" s="121"/>
      <c r="O720" s="118"/>
      <c r="P720" s="118"/>
      <c r="Q720" s="31"/>
      <c r="R720" s="122"/>
      <c r="S720" s="121"/>
      <c r="T720" s="122"/>
      <c r="U720" s="121"/>
      <c r="V720" s="123"/>
      <c r="W720" s="124"/>
      <c r="X720" s="178"/>
      <c r="Y720" s="126"/>
      <c r="Z720" s="126"/>
      <c r="AB720" s="31"/>
      <c r="AC720" s="31"/>
      <c r="AD720" s="31"/>
      <c r="AE720" s="1"/>
    </row>
    <row r="721">
      <c r="A721" s="104"/>
      <c r="C721" s="128"/>
      <c r="D721" s="74"/>
      <c r="E721" s="1"/>
      <c r="F721" s="1"/>
      <c r="G721" s="1"/>
      <c r="H721" s="118"/>
      <c r="I721" s="177"/>
      <c r="J721" s="31"/>
      <c r="K721" s="1"/>
      <c r="L721" s="120"/>
      <c r="M721" s="121"/>
      <c r="N721" s="121"/>
      <c r="O721" s="118"/>
      <c r="P721" s="118"/>
      <c r="Q721" s="31"/>
      <c r="R721" s="122"/>
      <c r="S721" s="121"/>
      <c r="T721" s="122"/>
      <c r="U721" s="121"/>
      <c r="V721" s="123"/>
      <c r="W721" s="124"/>
      <c r="X721" s="178"/>
      <c r="Y721" s="126"/>
      <c r="Z721" s="126"/>
      <c r="AB721" s="31"/>
      <c r="AC721" s="31"/>
      <c r="AD721" s="31"/>
      <c r="AE721" s="1"/>
    </row>
    <row r="722">
      <c r="A722" s="104"/>
      <c r="C722" s="128"/>
      <c r="D722" s="74"/>
      <c r="E722" s="1"/>
      <c r="F722" s="1"/>
      <c r="G722" s="1"/>
      <c r="H722" s="118"/>
      <c r="I722" s="177"/>
      <c r="J722" s="31"/>
      <c r="K722" s="1"/>
      <c r="L722" s="120"/>
      <c r="M722" s="121"/>
      <c r="N722" s="121"/>
      <c r="O722" s="118"/>
      <c r="P722" s="118"/>
      <c r="Q722" s="31"/>
      <c r="R722" s="122"/>
      <c r="S722" s="121"/>
      <c r="T722" s="122"/>
      <c r="U722" s="121"/>
      <c r="V722" s="123"/>
      <c r="W722" s="124"/>
      <c r="X722" s="178"/>
      <c r="Y722" s="126"/>
      <c r="Z722" s="126"/>
      <c r="AB722" s="31"/>
      <c r="AC722" s="31"/>
      <c r="AD722" s="31"/>
      <c r="AE722" s="1"/>
    </row>
    <row r="723">
      <c r="A723" s="104"/>
      <c r="C723" s="128"/>
      <c r="D723" s="74"/>
      <c r="E723" s="1"/>
      <c r="F723" s="1"/>
      <c r="G723" s="1"/>
      <c r="H723" s="118"/>
      <c r="I723" s="177"/>
      <c r="J723" s="31"/>
      <c r="K723" s="1"/>
      <c r="L723" s="120"/>
      <c r="M723" s="121"/>
      <c r="N723" s="121"/>
      <c r="O723" s="118"/>
      <c r="P723" s="118"/>
      <c r="Q723" s="31"/>
      <c r="R723" s="122"/>
      <c r="S723" s="121"/>
      <c r="T723" s="122"/>
      <c r="U723" s="121"/>
      <c r="V723" s="123"/>
      <c r="W723" s="124"/>
      <c r="X723" s="178"/>
      <c r="Y723" s="126"/>
      <c r="Z723" s="126"/>
      <c r="AB723" s="31"/>
      <c r="AC723" s="31"/>
      <c r="AD723" s="31"/>
      <c r="AE723" s="1"/>
    </row>
    <row r="724">
      <c r="A724" s="104"/>
      <c r="C724" s="128"/>
      <c r="D724" s="74"/>
      <c r="E724" s="1"/>
      <c r="F724" s="1"/>
      <c r="G724" s="1"/>
      <c r="H724" s="118"/>
      <c r="I724" s="177"/>
      <c r="J724" s="31"/>
      <c r="K724" s="1"/>
      <c r="L724" s="120"/>
      <c r="M724" s="121"/>
      <c r="N724" s="121"/>
      <c r="O724" s="118"/>
      <c r="P724" s="118"/>
      <c r="Q724" s="31"/>
      <c r="R724" s="122"/>
      <c r="S724" s="121"/>
      <c r="T724" s="122"/>
      <c r="U724" s="121"/>
      <c r="V724" s="123"/>
      <c r="W724" s="124"/>
      <c r="X724" s="178"/>
      <c r="Y724" s="126"/>
      <c r="Z724" s="126"/>
      <c r="AB724" s="31"/>
      <c r="AC724" s="31"/>
      <c r="AD724" s="31"/>
      <c r="AE724" s="1"/>
    </row>
    <row r="725">
      <c r="A725" s="104"/>
      <c r="C725" s="128"/>
      <c r="D725" s="74"/>
      <c r="E725" s="1"/>
      <c r="F725" s="1"/>
      <c r="G725" s="1"/>
      <c r="H725" s="118"/>
      <c r="I725" s="177"/>
      <c r="J725" s="31"/>
      <c r="K725" s="1"/>
      <c r="L725" s="120"/>
      <c r="M725" s="121"/>
      <c r="N725" s="121"/>
      <c r="O725" s="118"/>
      <c r="P725" s="118"/>
      <c r="Q725" s="31"/>
      <c r="R725" s="122"/>
      <c r="S725" s="121"/>
      <c r="T725" s="122"/>
      <c r="U725" s="121"/>
      <c r="V725" s="123"/>
      <c r="W725" s="124"/>
      <c r="X725" s="178"/>
      <c r="Y725" s="126"/>
      <c r="Z725" s="126"/>
      <c r="AB725" s="31"/>
      <c r="AC725" s="31"/>
      <c r="AD725" s="31"/>
      <c r="AE725" s="1"/>
    </row>
    <row r="726">
      <c r="A726" s="104"/>
      <c r="C726" s="128"/>
      <c r="D726" s="74"/>
      <c r="E726" s="1"/>
      <c r="F726" s="1"/>
      <c r="G726" s="1"/>
      <c r="H726" s="118"/>
      <c r="I726" s="177"/>
      <c r="J726" s="31"/>
      <c r="K726" s="1"/>
      <c r="L726" s="120"/>
      <c r="M726" s="121"/>
      <c r="N726" s="121"/>
      <c r="O726" s="118"/>
      <c r="P726" s="118"/>
      <c r="Q726" s="31"/>
      <c r="R726" s="122"/>
      <c r="S726" s="121"/>
      <c r="T726" s="122"/>
      <c r="U726" s="121"/>
      <c r="V726" s="123"/>
      <c r="W726" s="124"/>
      <c r="X726" s="178"/>
      <c r="Y726" s="126"/>
      <c r="Z726" s="126"/>
      <c r="AB726" s="31"/>
      <c r="AC726" s="31"/>
      <c r="AD726" s="31"/>
      <c r="AE726" s="1"/>
    </row>
    <row r="727">
      <c r="A727" s="104"/>
      <c r="C727" s="128"/>
      <c r="D727" s="74"/>
      <c r="E727" s="1"/>
      <c r="F727" s="1"/>
      <c r="G727" s="1"/>
      <c r="H727" s="118"/>
      <c r="I727" s="177"/>
      <c r="J727" s="31"/>
      <c r="K727" s="1"/>
      <c r="L727" s="120"/>
      <c r="M727" s="121"/>
      <c r="N727" s="121"/>
      <c r="O727" s="118"/>
      <c r="P727" s="118"/>
      <c r="Q727" s="31"/>
      <c r="R727" s="122"/>
      <c r="S727" s="121"/>
      <c r="T727" s="122"/>
      <c r="U727" s="121"/>
      <c r="V727" s="123"/>
      <c r="W727" s="124"/>
      <c r="X727" s="178"/>
      <c r="Y727" s="126"/>
      <c r="Z727" s="126"/>
      <c r="AB727" s="31"/>
      <c r="AC727" s="31"/>
      <c r="AD727" s="31"/>
      <c r="AE727" s="1"/>
    </row>
    <row r="728">
      <c r="A728" s="104"/>
      <c r="C728" s="128"/>
      <c r="D728" s="74"/>
      <c r="E728" s="1"/>
      <c r="F728" s="1"/>
      <c r="G728" s="1"/>
      <c r="H728" s="118"/>
      <c r="I728" s="177"/>
      <c r="J728" s="31"/>
      <c r="K728" s="1"/>
      <c r="L728" s="120"/>
      <c r="M728" s="121"/>
      <c r="N728" s="121"/>
      <c r="O728" s="118"/>
      <c r="P728" s="118"/>
      <c r="Q728" s="31"/>
      <c r="R728" s="122"/>
      <c r="S728" s="121"/>
      <c r="T728" s="122"/>
      <c r="U728" s="121"/>
      <c r="V728" s="123"/>
      <c r="W728" s="124"/>
      <c r="X728" s="178"/>
      <c r="Y728" s="126"/>
      <c r="Z728" s="126"/>
      <c r="AB728" s="31"/>
      <c r="AC728" s="31"/>
      <c r="AD728" s="31"/>
      <c r="AE728" s="1"/>
    </row>
    <row r="729">
      <c r="A729" s="104"/>
      <c r="C729" s="128"/>
      <c r="D729" s="74"/>
      <c r="E729" s="1"/>
      <c r="F729" s="1"/>
      <c r="G729" s="1"/>
      <c r="H729" s="118"/>
      <c r="I729" s="177"/>
      <c r="J729" s="31"/>
      <c r="K729" s="1"/>
      <c r="L729" s="120"/>
      <c r="M729" s="121"/>
      <c r="N729" s="121"/>
      <c r="O729" s="118"/>
      <c r="P729" s="118"/>
      <c r="Q729" s="31"/>
      <c r="R729" s="122"/>
      <c r="S729" s="121"/>
      <c r="T729" s="122"/>
      <c r="U729" s="121"/>
      <c r="V729" s="123"/>
      <c r="W729" s="124"/>
      <c r="X729" s="178"/>
      <c r="Y729" s="126"/>
      <c r="Z729" s="126"/>
      <c r="AB729" s="31"/>
      <c r="AC729" s="31"/>
      <c r="AD729" s="31"/>
      <c r="AE729" s="1"/>
    </row>
    <row r="730">
      <c r="A730" s="104"/>
      <c r="C730" s="128"/>
      <c r="D730" s="74"/>
      <c r="E730" s="1"/>
      <c r="F730" s="1"/>
      <c r="G730" s="1"/>
      <c r="H730" s="118"/>
      <c r="I730" s="177"/>
      <c r="J730" s="31"/>
      <c r="K730" s="1"/>
      <c r="L730" s="120"/>
      <c r="M730" s="121"/>
      <c r="N730" s="121"/>
      <c r="O730" s="118"/>
      <c r="P730" s="118"/>
      <c r="Q730" s="31"/>
      <c r="R730" s="122"/>
      <c r="S730" s="121"/>
      <c r="T730" s="122"/>
      <c r="U730" s="121"/>
      <c r="V730" s="123"/>
      <c r="W730" s="124"/>
      <c r="X730" s="178"/>
      <c r="Y730" s="126"/>
      <c r="Z730" s="126"/>
      <c r="AB730" s="31"/>
      <c r="AC730" s="31"/>
      <c r="AD730" s="31"/>
      <c r="AE730" s="1"/>
    </row>
    <row r="731">
      <c r="A731" s="104"/>
      <c r="C731" s="128"/>
      <c r="D731" s="74"/>
      <c r="E731" s="1"/>
      <c r="F731" s="1"/>
      <c r="G731" s="1"/>
      <c r="H731" s="118"/>
      <c r="I731" s="177"/>
      <c r="J731" s="31"/>
      <c r="K731" s="1"/>
      <c r="L731" s="120"/>
      <c r="M731" s="121"/>
      <c r="N731" s="121"/>
      <c r="O731" s="118"/>
      <c r="P731" s="118"/>
      <c r="Q731" s="31"/>
      <c r="R731" s="122"/>
      <c r="S731" s="121"/>
      <c r="T731" s="122"/>
      <c r="U731" s="121"/>
      <c r="V731" s="123"/>
      <c r="W731" s="124"/>
      <c r="X731" s="178"/>
      <c r="Y731" s="126"/>
      <c r="Z731" s="126"/>
      <c r="AB731" s="31"/>
      <c r="AC731" s="31"/>
      <c r="AD731" s="31"/>
      <c r="AE731" s="1"/>
    </row>
    <row r="732">
      <c r="A732" s="104"/>
      <c r="C732" s="128"/>
      <c r="D732" s="74"/>
      <c r="E732" s="1"/>
      <c r="F732" s="1"/>
      <c r="G732" s="1"/>
      <c r="H732" s="118"/>
      <c r="I732" s="177"/>
      <c r="J732" s="31"/>
      <c r="K732" s="1"/>
      <c r="L732" s="120"/>
      <c r="M732" s="121"/>
      <c r="N732" s="121"/>
      <c r="O732" s="118"/>
      <c r="P732" s="118"/>
      <c r="Q732" s="31"/>
      <c r="R732" s="122"/>
      <c r="S732" s="121"/>
      <c r="T732" s="122"/>
      <c r="U732" s="121"/>
      <c r="V732" s="123"/>
      <c r="W732" s="124"/>
      <c r="X732" s="178"/>
      <c r="Y732" s="126"/>
      <c r="Z732" s="126"/>
      <c r="AB732" s="31"/>
      <c r="AC732" s="31"/>
      <c r="AD732" s="31"/>
      <c r="AE732" s="1"/>
    </row>
    <row r="733">
      <c r="A733" s="104"/>
      <c r="C733" s="128"/>
      <c r="D733" s="74"/>
      <c r="E733" s="1"/>
      <c r="F733" s="1"/>
      <c r="G733" s="1"/>
      <c r="H733" s="118"/>
      <c r="I733" s="177"/>
      <c r="J733" s="31"/>
      <c r="K733" s="1"/>
      <c r="L733" s="120"/>
      <c r="M733" s="121"/>
      <c r="N733" s="121"/>
      <c r="O733" s="118"/>
      <c r="P733" s="118"/>
      <c r="Q733" s="31"/>
      <c r="R733" s="122"/>
      <c r="S733" s="121"/>
      <c r="T733" s="122"/>
      <c r="U733" s="121"/>
      <c r="V733" s="123"/>
      <c r="W733" s="124"/>
      <c r="X733" s="178"/>
      <c r="Y733" s="126"/>
      <c r="Z733" s="126"/>
      <c r="AB733" s="31"/>
      <c r="AC733" s="31"/>
      <c r="AD733" s="31"/>
      <c r="AE733" s="1"/>
    </row>
    <row r="734">
      <c r="A734" s="104"/>
      <c r="C734" s="128"/>
      <c r="D734" s="74"/>
      <c r="E734" s="1"/>
      <c r="F734" s="1"/>
      <c r="G734" s="1"/>
      <c r="H734" s="118"/>
      <c r="I734" s="177"/>
      <c r="J734" s="31"/>
      <c r="K734" s="1"/>
      <c r="L734" s="120"/>
      <c r="M734" s="121"/>
      <c r="N734" s="121"/>
      <c r="O734" s="118"/>
      <c r="P734" s="118"/>
      <c r="Q734" s="31"/>
      <c r="R734" s="122"/>
      <c r="S734" s="121"/>
      <c r="T734" s="122"/>
      <c r="U734" s="121"/>
      <c r="V734" s="123"/>
      <c r="W734" s="124"/>
      <c r="X734" s="178"/>
      <c r="Y734" s="126"/>
      <c r="Z734" s="126"/>
      <c r="AB734" s="31"/>
      <c r="AC734" s="31"/>
      <c r="AD734" s="31"/>
      <c r="AE734" s="1"/>
    </row>
    <row r="735">
      <c r="A735" s="104"/>
      <c r="C735" s="128"/>
      <c r="D735" s="74"/>
      <c r="E735" s="1"/>
      <c r="F735" s="1"/>
      <c r="G735" s="1"/>
      <c r="H735" s="118"/>
      <c r="I735" s="177"/>
      <c r="J735" s="31"/>
      <c r="K735" s="1"/>
      <c r="L735" s="120"/>
      <c r="M735" s="121"/>
      <c r="N735" s="121"/>
      <c r="O735" s="118"/>
      <c r="P735" s="118"/>
      <c r="Q735" s="31"/>
      <c r="R735" s="122"/>
      <c r="S735" s="121"/>
      <c r="T735" s="122"/>
      <c r="U735" s="121"/>
      <c r="V735" s="123"/>
      <c r="W735" s="124"/>
      <c r="X735" s="178"/>
      <c r="Y735" s="126"/>
      <c r="Z735" s="126"/>
      <c r="AB735" s="31"/>
      <c r="AC735" s="31"/>
      <c r="AD735" s="31"/>
      <c r="AE735" s="1"/>
    </row>
    <row r="736">
      <c r="A736" s="104"/>
      <c r="C736" s="128"/>
      <c r="D736" s="74"/>
      <c r="E736" s="1"/>
      <c r="F736" s="1"/>
      <c r="G736" s="1"/>
      <c r="H736" s="118"/>
      <c r="I736" s="177"/>
      <c r="J736" s="31"/>
      <c r="K736" s="1"/>
      <c r="L736" s="120"/>
      <c r="M736" s="121"/>
      <c r="N736" s="121"/>
      <c r="O736" s="118"/>
      <c r="P736" s="118"/>
      <c r="Q736" s="31"/>
      <c r="R736" s="122"/>
      <c r="S736" s="121"/>
      <c r="T736" s="122"/>
      <c r="U736" s="121"/>
      <c r="V736" s="123"/>
      <c r="W736" s="124"/>
      <c r="X736" s="178"/>
      <c r="Y736" s="126"/>
      <c r="Z736" s="126"/>
      <c r="AB736" s="31"/>
      <c r="AC736" s="31"/>
      <c r="AD736" s="31"/>
      <c r="AE736" s="1"/>
    </row>
    <row r="737">
      <c r="A737" s="104"/>
      <c r="C737" s="128"/>
      <c r="D737" s="74"/>
      <c r="E737" s="1"/>
      <c r="F737" s="1"/>
      <c r="G737" s="1"/>
      <c r="H737" s="118"/>
      <c r="I737" s="177"/>
      <c r="J737" s="31"/>
      <c r="K737" s="1"/>
      <c r="L737" s="120"/>
      <c r="M737" s="121"/>
      <c r="N737" s="121"/>
      <c r="O737" s="118"/>
      <c r="P737" s="118"/>
      <c r="Q737" s="31"/>
      <c r="R737" s="122"/>
      <c r="S737" s="121"/>
      <c r="T737" s="122"/>
      <c r="U737" s="121"/>
      <c r="V737" s="123"/>
      <c r="W737" s="124"/>
      <c r="X737" s="178"/>
      <c r="Y737" s="126"/>
      <c r="Z737" s="126"/>
      <c r="AB737" s="31"/>
      <c r="AC737" s="31"/>
      <c r="AD737" s="31"/>
      <c r="AE737" s="1"/>
    </row>
    <row r="738">
      <c r="A738" s="104"/>
      <c r="C738" s="128"/>
      <c r="D738" s="74"/>
      <c r="E738" s="1"/>
      <c r="F738" s="1"/>
      <c r="G738" s="1"/>
      <c r="H738" s="118"/>
      <c r="I738" s="177"/>
      <c r="J738" s="31"/>
      <c r="K738" s="1"/>
      <c r="L738" s="120"/>
      <c r="M738" s="121"/>
      <c r="N738" s="121"/>
      <c r="O738" s="118"/>
      <c r="P738" s="118"/>
      <c r="Q738" s="31"/>
      <c r="R738" s="122"/>
      <c r="S738" s="121"/>
      <c r="T738" s="122"/>
      <c r="U738" s="121"/>
      <c r="V738" s="123"/>
      <c r="W738" s="124"/>
      <c r="X738" s="178"/>
      <c r="Y738" s="126"/>
      <c r="Z738" s="126"/>
      <c r="AB738" s="31"/>
      <c r="AC738" s="31"/>
      <c r="AD738" s="31"/>
      <c r="AE738" s="1"/>
    </row>
    <row r="739">
      <c r="A739" s="104"/>
      <c r="C739" s="128"/>
      <c r="D739" s="74"/>
      <c r="E739" s="1"/>
      <c r="F739" s="1"/>
      <c r="G739" s="1"/>
      <c r="H739" s="118"/>
      <c r="I739" s="177"/>
      <c r="J739" s="31"/>
      <c r="K739" s="1"/>
      <c r="L739" s="120"/>
      <c r="M739" s="121"/>
      <c r="N739" s="121"/>
      <c r="O739" s="118"/>
      <c r="P739" s="118"/>
      <c r="Q739" s="31"/>
      <c r="R739" s="122"/>
      <c r="S739" s="121"/>
      <c r="T739" s="122"/>
      <c r="U739" s="121"/>
      <c r="V739" s="123"/>
      <c r="W739" s="124"/>
      <c r="X739" s="178"/>
      <c r="Y739" s="126"/>
      <c r="Z739" s="126"/>
      <c r="AB739" s="31"/>
      <c r="AC739" s="31"/>
      <c r="AD739" s="31"/>
      <c r="AE739" s="1"/>
    </row>
    <row r="740">
      <c r="A740" s="104"/>
      <c r="C740" s="128"/>
      <c r="D740" s="74"/>
      <c r="E740" s="1"/>
      <c r="F740" s="1"/>
      <c r="G740" s="1"/>
      <c r="H740" s="118"/>
      <c r="I740" s="177"/>
      <c r="J740" s="31"/>
      <c r="K740" s="1"/>
      <c r="L740" s="120"/>
      <c r="M740" s="121"/>
      <c r="N740" s="121"/>
      <c r="O740" s="118"/>
      <c r="P740" s="118"/>
      <c r="Q740" s="31"/>
      <c r="R740" s="122"/>
      <c r="S740" s="121"/>
      <c r="T740" s="122"/>
      <c r="U740" s="121"/>
      <c r="V740" s="123"/>
      <c r="W740" s="124"/>
      <c r="X740" s="178"/>
      <c r="Y740" s="126"/>
      <c r="Z740" s="126"/>
      <c r="AB740" s="31"/>
      <c r="AC740" s="31"/>
      <c r="AD740" s="31"/>
      <c r="AE740" s="1"/>
    </row>
    <row r="741">
      <c r="A741" s="104"/>
      <c r="C741" s="128"/>
      <c r="D741" s="74"/>
      <c r="E741" s="1"/>
      <c r="F741" s="1"/>
      <c r="G741" s="1"/>
      <c r="H741" s="118"/>
      <c r="I741" s="177"/>
      <c r="J741" s="31"/>
      <c r="K741" s="1"/>
      <c r="L741" s="120"/>
      <c r="M741" s="121"/>
      <c r="N741" s="121"/>
      <c r="O741" s="118"/>
      <c r="P741" s="118"/>
      <c r="Q741" s="31"/>
      <c r="R741" s="122"/>
      <c r="S741" s="121"/>
      <c r="T741" s="122"/>
      <c r="U741" s="121"/>
      <c r="V741" s="123"/>
      <c r="W741" s="124"/>
      <c r="X741" s="178"/>
      <c r="Y741" s="126"/>
      <c r="Z741" s="126"/>
      <c r="AB741" s="31"/>
      <c r="AC741" s="31"/>
      <c r="AD741" s="31"/>
      <c r="AE741" s="1"/>
    </row>
    <row r="742">
      <c r="A742" s="104"/>
      <c r="C742" s="128"/>
      <c r="D742" s="74"/>
      <c r="E742" s="1"/>
      <c r="F742" s="1"/>
      <c r="G742" s="1"/>
      <c r="H742" s="118"/>
      <c r="I742" s="177"/>
      <c r="J742" s="31"/>
      <c r="K742" s="1"/>
      <c r="L742" s="120"/>
      <c r="M742" s="121"/>
      <c r="N742" s="121"/>
      <c r="O742" s="118"/>
      <c r="P742" s="118"/>
      <c r="Q742" s="31"/>
      <c r="R742" s="122"/>
      <c r="S742" s="121"/>
      <c r="T742" s="122"/>
      <c r="U742" s="121"/>
      <c r="V742" s="123"/>
      <c r="W742" s="124"/>
      <c r="X742" s="178"/>
      <c r="Y742" s="126"/>
      <c r="Z742" s="126"/>
      <c r="AB742" s="31"/>
      <c r="AC742" s="31"/>
      <c r="AD742" s="31"/>
      <c r="AE742" s="1"/>
    </row>
    <row r="743">
      <c r="A743" s="104"/>
      <c r="C743" s="128"/>
      <c r="D743" s="74"/>
      <c r="E743" s="1"/>
      <c r="F743" s="1"/>
      <c r="G743" s="1"/>
      <c r="H743" s="118"/>
      <c r="I743" s="177"/>
      <c r="J743" s="31"/>
      <c r="K743" s="1"/>
      <c r="L743" s="120"/>
      <c r="M743" s="121"/>
      <c r="N743" s="121"/>
      <c r="O743" s="118"/>
      <c r="P743" s="118"/>
      <c r="Q743" s="31"/>
      <c r="R743" s="122"/>
      <c r="S743" s="121"/>
      <c r="T743" s="122"/>
      <c r="U743" s="121"/>
      <c r="V743" s="123"/>
      <c r="W743" s="124"/>
      <c r="X743" s="178"/>
      <c r="Y743" s="126"/>
      <c r="Z743" s="126"/>
      <c r="AB743" s="31"/>
      <c r="AC743" s="31"/>
      <c r="AD743" s="31"/>
      <c r="AE743" s="1"/>
    </row>
    <row r="744">
      <c r="A744" s="104"/>
      <c r="C744" s="128"/>
      <c r="D744" s="74"/>
      <c r="E744" s="1"/>
      <c r="F744" s="1"/>
      <c r="G744" s="1"/>
      <c r="H744" s="118"/>
      <c r="I744" s="177"/>
      <c r="J744" s="31"/>
      <c r="K744" s="1"/>
      <c r="L744" s="120"/>
      <c r="M744" s="121"/>
      <c r="N744" s="121"/>
      <c r="O744" s="118"/>
      <c r="P744" s="118"/>
      <c r="Q744" s="31"/>
      <c r="R744" s="122"/>
      <c r="S744" s="121"/>
      <c r="T744" s="122"/>
      <c r="U744" s="121"/>
      <c r="V744" s="123"/>
      <c r="W744" s="124"/>
      <c r="X744" s="178"/>
      <c r="Y744" s="126"/>
      <c r="Z744" s="126"/>
      <c r="AB744" s="31"/>
      <c r="AC744" s="31"/>
      <c r="AD744" s="31"/>
      <c r="AE744" s="1"/>
    </row>
    <row r="745">
      <c r="A745" s="104"/>
      <c r="C745" s="128"/>
      <c r="D745" s="74"/>
      <c r="E745" s="1"/>
      <c r="F745" s="1"/>
      <c r="G745" s="1"/>
      <c r="H745" s="118"/>
      <c r="I745" s="177"/>
      <c r="J745" s="31"/>
      <c r="K745" s="1"/>
      <c r="L745" s="120"/>
      <c r="M745" s="121"/>
      <c r="N745" s="121"/>
      <c r="O745" s="118"/>
      <c r="P745" s="118"/>
      <c r="Q745" s="31"/>
      <c r="R745" s="122"/>
      <c r="S745" s="121"/>
      <c r="T745" s="122"/>
      <c r="U745" s="121"/>
      <c r="V745" s="123"/>
      <c r="W745" s="124"/>
      <c r="X745" s="178"/>
      <c r="Y745" s="126"/>
      <c r="Z745" s="126"/>
      <c r="AB745" s="31"/>
      <c r="AC745" s="31"/>
      <c r="AD745" s="31"/>
      <c r="AE745" s="1"/>
    </row>
    <row r="746">
      <c r="A746" s="104"/>
      <c r="C746" s="128"/>
      <c r="D746" s="74"/>
      <c r="E746" s="1"/>
      <c r="F746" s="1"/>
      <c r="G746" s="1"/>
      <c r="H746" s="118"/>
      <c r="I746" s="177"/>
      <c r="J746" s="31"/>
      <c r="K746" s="1"/>
      <c r="L746" s="120"/>
      <c r="M746" s="121"/>
      <c r="N746" s="121"/>
      <c r="O746" s="118"/>
      <c r="P746" s="118"/>
      <c r="Q746" s="31"/>
      <c r="R746" s="122"/>
      <c r="S746" s="121"/>
      <c r="T746" s="122"/>
      <c r="U746" s="121"/>
      <c r="V746" s="123"/>
      <c r="W746" s="124"/>
      <c r="X746" s="178"/>
      <c r="Y746" s="126"/>
      <c r="Z746" s="126"/>
      <c r="AB746" s="31"/>
      <c r="AC746" s="31"/>
      <c r="AD746" s="31"/>
      <c r="AE746" s="1"/>
    </row>
    <row r="747">
      <c r="A747" s="104"/>
      <c r="C747" s="128"/>
      <c r="D747" s="74"/>
      <c r="E747" s="1"/>
      <c r="F747" s="1"/>
      <c r="G747" s="1"/>
      <c r="H747" s="118"/>
      <c r="I747" s="177"/>
      <c r="J747" s="31"/>
      <c r="K747" s="1"/>
      <c r="L747" s="120"/>
      <c r="M747" s="121"/>
      <c r="N747" s="121"/>
      <c r="O747" s="118"/>
      <c r="P747" s="118"/>
      <c r="Q747" s="31"/>
      <c r="R747" s="122"/>
      <c r="S747" s="121"/>
      <c r="T747" s="122"/>
      <c r="U747" s="121"/>
      <c r="V747" s="123"/>
      <c r="W747" s="124"/>
      <c r="X747" s="178"/>
      <c r="Y747" s="126"/>
      <c r="Z747" s="126"/>
      <c r="AB747" s="31"/>
      <c r="AC747" s="31"/>
      <c r="AD747" s="31"/>
      <c r="AE747" s="1"/>
    </row>
    <row r="748">
      <c r="A748" s="104"/>
      <c r="C748" s="128"/>
      <c r="D748" s="74"/>
      <c r="E748" s="1"/>
      <c r="F748" s="1"/>
      <c r="G748" s="1"/>
      <c r="H748" s="118"/>
      <c r="I748" s="177"/>
      <c r="J748" s="31"/>
      <c r="K748" s="1"/>
      <c r="L748" s="120"/>
      <c r="M748" s="121"/>
      <c r="N748" s="121"/>
      <c r="O748" s="118"/>
      <c r="P748" s="118"/>
      <c r="Q748" s="31"/>
      <c r="R748" s="122"/>
      <c r="S748" s="121"/>
      <c r="T748" s="122"/>
      <c r="U748" s="121"/>
      <c r="V748" s="123"/>
      <c r="W748" s="124"/>
      <c r="X748" s="178"/>
      <c r="Y748" s="126"/>
      <c r="Z748" s="126"/>
      <c r="AB748" s="31"/>
      <c r="AC748" s="31"/>
      <c r="AD748" s="31"/>
      <c r="AE748" s="1"/>
    </row>
    <row r="749">
      <c r="A749" s="104"/>
      <c r="C749" s="128"/>
      <c r="D749" s="74"/>
      <c r="E749" s="1"/>
      <c r="F749" s="1"/>
      <c r="G749" s="1"/>
      <c r="H749" s="118"/>
      <c r="I749" s="177"/>
      <c r="J749" s="31"/>
      <c r="K749" s="1"/>
      <c r="L749" s="120"/>
      <c r="M749" s="121"/>
      <c r="N749" s="121"/>
      <c r="O749" s="118"/>
      <c r="P749" s="118"/>
      <c r="Q749" s="31"/>
      <c r="R749" s="122"/>
      <c r="S749" s="121"/>
      <c r="T749" s="122"/>
      <c r="U749" s="121"/>
      <c r="V749" s="123"/>
      <c r="W749" s="124"/>
      <c r="X749" s="178"/>
      <c r="Y749" s="126"/>
      <c r="Z749" s="126"/>
      <c r="AB749" s="31"/>
      <c r="AC749" s="31"/>
      <c r="AD749" s="31"/>
      <c r="AE749" s="1"/>
    </row>
    <row r="750">
      <c r="A750" s="104"/>
      <c r="C750" s="128"/>
      <c r="D750" s="74"/>
      <c r="E750" s="1"/>
      <c r="F750" s="1"/>
      <c r="G750" s="1"/>
      <c r="H750" s="118"/>
      <c r="I750" s="177"/>
      <c r="J750" s="31"/>
      <c r="K750" s="1"/>
      <c r="L750" s="120"/>
      <c r="M750" s="121"/>
      <c r="N750" s="121"/>
      <c r="O750" s="118"/>
      <c r="P750" s="118"/>
      <c r="Q750" s="31"/>
      <c r="R750" s="122"/>
      <c r="S750" s="121"/>
      <c r="T750" s="122"/>
      <c r="U750" s="121"/>
      <c r="V750" s="123"/>
      <c r="W750" s="124"/>
      <c r="X750" s="178"/>
      <c r="Y750" s="126"/>
      <c r="Z750" s="126"/>
      <c r="AB750" s="31"/>
      <c r="AC750" s="31"/>
      <c r="AD750" s="31"/>
      <c r="AE750" s="1"/>
    </row>
    <row r="751">
      <c r="A751" s="104"/>
      <c r="C751" s="128"/>
      <c r="D751" s="74"/>
      <c r="E751" s="1"/>
      <c r="F751" s="1"/>
      <c r="G751" s="1"/>
      <c r="H751" s="118"/>
      <c r="I751" s="177"/>
      <c r="J751" s="31"/>
      <c r="K751" s="1"/>
      <c r="L751" s="120"/>
      <c r="M751" s="121"/>
      <c r="N751" s="121"/>
      <c r="O751" s="118"/>
      <c r="P751" s="118"/>
      <c r="Q751" s="31"/>
      <c r="R751" s="122"/>
      <c r="S751" s="121"/>
      <c r="T751" s="122"/>
      <c r="U751" s="121"/>
      <c r="V751" s="123"/>
      <c r="W751" s="124"/>
      <c r="X751" s="178"/>
      <c r="Y751" s="126"/>
      <c r="Z751" s="126"/>
      <c r="AB751" s="31"/>
      <c r="AC751" s="31"/>
      <c r="AD751" s="31"/>
      <c r="AE751" s="1"/>
    </row>
    <row r="752">
      <c r="A752" s="104"/>
      <c r="C752" s="128"/>
      <c r="D752" s="74"/>
      <c r="E752" s="1"/>
      <c r="F752" s="1"/>
      <c r="G752" s="1"/>
      <c r="H752" s="118"/>
      <c r="I752" s="177"/>
      <c r="J752" s="31"/>
      <c r="K752" s="1"/>
      <c r="L752" s="120"/>
      <c r="M752" s="121"/>
      <c r="N752" s="121"/>
      <c r="O752" s="118"/>
      <c r="P752" s="118"/>
      <c r="Q752" s="31"/>
      <c r="R752" s="122"/>
      <c r="S752" s="121"/>
      <c r="T752" s="122"/>
      <c r="U752" s="121"/>
      <c r="V752" s="123"/>
      <c r="W752" s="124"/>
      <c r="X752" s="178"/>
      <c r="Y752" s="126"/>
      <c r="Z752" s="126"/>
      <c r="AB752" s="31"/>
      <c r="AC752" s="31"/>
      <c r="AD752" s="31"/>
      <c r="AE752" s="1"/>
    </row>
    <row r="753">
      <c r="A753" s="104"/>
      <c r="C753" s="128"/>
      <c r="D753" s="74"/>
      <c r="E753" s="1"/>
      <c r="F753" s="1"/>
      <c r="G753" s="1"/>
      <c r="H753" s="118"/>
      <c r="I753" s="177"/>
      <c r="J753" s="31"/>
      <c r="K753" s="1"/>
      <c r="L753" s="120"/>
      <c r="M753" s="121"/>
      <c r="N753" s="121"/>
      <c r="O753" s="118"/>
      <c r="P753" s="118"/>
      <c r="Q753" s="31"/>
      <c r="R753" s="122"/>
      <c r="S753" s="121"/>
      <c r="T753" s="122"/>
      <c r="U753" s="121"/>
      <c r="V753" s="123"/>
      <c r="W753" s="124"/>
      <c r="X753" s="178"/>
      <c r="Y753" s="126"/>
      <c r="Z753" s="126"/>
      <c r="AB753" s="31"/>
      <c r="AC753" s="31"/>
      <c r="AD753" s="31"/>
      <c r="AE753" s="1"/>
    </row>
    <row r="754">
      <c r="A754" s="104"/>
      <c r="C754" s="128"/>
      <c r="D754" s="74"/>
      <c r="E754" s="1"/>
      <c r="F754" s="1"/>
      <c r="G754" s="1"/>
      <c r="H754" s="118"/>
      <c r="I754" s="177"/>
      <c r="J754" s="31"/>
      <c r="K754" s="1"/>
      <c r="L754" s="120"/>
      <c r="M754" s="121"/>
      <c r="N754" s="121"/>
      <c r="O754" s="118"/>
      <c r="P754" s="118"/>
      <c r="Q754" s="31"/>
      <c r="R754" s="122"/>
      <c r="S754" s="121"/>
      <c r="T754" s="122"/>
      <c r="U754" s="121"/>
      <c r="V754" s="123"/>
      <c r="W754" s="124"/>
      <c r="X754" s="178"/>
      <c r="Y754" s="126"/>
      <c r="Z754" s="126"/>
      <c r="AB754" s="31"/>
      <c r="AC754" s="31"/>
      <c r="AD754" s="31"/>
      <c r="AE754" s="1"/>
    </row>
    <row r="755">
      <c r="A755" s="104"/>
      <c r="C755" s="128"/>
      <c r="D755" s="74"/>
      <c r="E755" s="1"/>
      <c r="F755" s="1"/>
      <c r="G755" s="1"/>
      <c r="H755" s="118"/>
      <c r="I755" s="177"/>
      <c r="J755" s="31"/>
      <c r="K755" s="1"/>
      <c r="L755" s="120"/>
      <c r="M755" s="121"/>
      <c r="N755" s="121"/>
      <c r="O755" s="118"/>
      <c r="P755" s="118"/>
      <c r="Q755" s="31"/>
      <c r="R755" s="122"/>
      <c r="S755" s="121"/>
      <c r="T755" s="122"/>
      <c r="U755" s="121"/>
      <c r="V755" s="123"/>
      <c r="W755" s="124"/>
      <c r="X755" s="178"/>
      <c r="Y755" s="126"/>
      <c r="Z755" s="126"/>
      <c r="AB755" s="31"/>
      <c r="AC755" s="31"/>
      <c r="AD755" s="31"/>
      <c r="AE755" s="1"/>
    </row>
    <row r="756">
      <c r="A756" s="104"/>
      <c r="C756" s="128"/>
      <c r="D756" s="74"/>
      <c r="E756" s="1"/>
      <c r="F756" s="1"/>
      <c r="G756" s="1"/>
      <c r="H756" s="118"/>
      <c r="I756" s="177"/>
      <c r="J756" s="31"/>
      <c r="K756" s="1"/>
      <c r="L756" s="120"/>
      <c r="M756" s="121"/>
      <c r="N756" s="121"/>
      <c r="O756" s="118"/>
      <c r="P756" s="118"/>
      <c r="Q756" s="31"/>
      <c r="R756" s="122"/>
      <c r="S756" s="121"/>
      <c r="T756" s="122"/>
      <c r="U756" s="121"/>
      <c r="V756" s="123"/>
      <c r="W756" s="124"/>
      <c r="X756" s="178"/>
      <c r="Y756" s="126"/>
      <c r="Z756" s="126"/>
      <c r="AB756" s="31"/>
      <c r="AC756" s="31"/>
      <c r="AD756" s="31"/>
      <c r="AE756" s="1"/>
    </row>
    <row r="757">
      <c r="A757" s="104"/>
      <c r="C757" s="128"/>
      <c r="D757" s="74"/>
      <c r="E757" s="1"/>
      <c r="F757" s="1"/>
      <c r="G757" s="1"/>
      <c r="H757" s="118"/>
      <c r="I757" s="177"/>
      <c r="J757" s="31"/>
      <c r="K757" s="1"/>
      <c r="L757" s="120"/>
      <c r="M757" s="121"/>
      <c r="N757" s="121"/>
      <c r="O757" s="118"/>
      <c r="P757" s="118"/>
      <c r="Q757" s="31"/>
      <c r="R757" s="122"/>
      <c r="S757" s="121"/>
      <c r="T757" s="122"/>
      <c r="U757" s="121"/>
      <c r="V757" s="123"/>
      <c r="W757" s="124"/>
      <c r="X757" s="178"/>
      <c r="Y757" s="126"/>
      <c r="Z757" s="126"/>
      <c r="AB757" s="31"/>
      <c r="AC757" s="31"/>
      <c r="AD757" s="31"/>
      <c r="AE757" s="1"/>
    </row>
    <row r="758">
      <c r="A758" s="104"/>
      <c r="C758" s="128"/>
      <c r="D758" s="74"/>
      <c r="E758" s="1"/>
      <c r="F758" s="1"/>
      <c r="G758" s="1"/>
      <c r="H758" s="118"/>
      <c r="I758" s="177"/>
      <c r="J758" s="31"/>
      <c r="K758" s="1"/>
      <c r="L758" s="120"/>
      <c r="M758" s="121"/>
      <c r="N758" s="121"/>
      <c r="O758" s="118"/>
      <c r="P758" s="118"/>
      <c r="Q758" s="31"/>
      <c r="R758" s="122"/>
      <c r="S758" s="121"/>
      <c r="T758" s="122"/>
      <c r="U758" s="121"/>
      <c r="V758" s="123"/>
      <c r="W758" s="124"/>
      <c r="X758" s="178"/>
      <c r="Y758" s="126"/>
      <c r="Z758" s="126"/>
      <c r="AB758" s="31"/>
      <c r="AC758" s="31"/>
      <c r="AD758" s="31"/>
      <c r="AE758" s="1"/>
    </row>
    <row r="759">
      <c r="A759" s="104"/>
      <c r="C759" s="128"/>
      <c r="D759" s="74"/>
      <c r="E759" s="1"/>
      <c r="F759" s="1"/>
      <c r="G759" s="1"/>
      <c r="H759" s="118"/>
      <c r="I759" s="177"/>
      <c r="J759" s="31"/>
      <c r="K759" s="1"/>
      <c r="L759" s="120"/>
      <c r="M759" s="121"/>
      <c r="N759" s="121"/>
      <c r="O759" s="118"/>
      <c r="P759" s="118"/>
      <c r="Q759" s="31"/>
      <c r="R759" s="122"/>
      <c r="S759" s="121"/>
      <c r="T759" s="122"/>
      <c r="U759" s="121"/>
      <c r="V759" s="123"/>
      <c r="W759" s="124"/>
      <c r="X759" s="178"/>
      <c r="Y759" s="126"/>
      <c r="Z759" s="126"/>
      <c r="AB759" s="31"/>
      <c r="AC759" s="31"/>
      <c r="AD759" s="31"/>
      <c r="AE759" s="1"/>
    </row>
    <row r="760">
      <c r="A760" s="104"/>
      <c r="C760" s="128"/>
      <c r="D760" s="74"/>
      <c r="E760" s="1"/>
      <c r="F760" s="1"/>
      <c r="G760" s="1"/>
      <c r="H760" s="118"/>
      <c r="I760" s="177"/>
      <c r="J760" s="31"/>
      <c r="K760" s="1"/>
      <c r="L760" s="120"/>
      <c r="M760" s="121"/>
      <c r="N760" s="121"/>
      <c r="O760" s="118"/>
      <c r="P760" s="118"/>
      <c r="Q760" s="31"/>
      <c r="R760" s="122"/>
      <c r="S760" s="121"/>
      <c r="T760" s="122"/>
      <c r="U760" s="121"/>
      <c r="V760" s="123"/>
      <c r="W760" s="124"/>
      <c r="X760" s="178"/>
      <c r="Y760" s="126"/>
      <c r="Z760" s="126"/>
      <c r="AB760" s="31"/>
      <c r="AC760" s="31"/>
      <c r="AD760" s="31"/>
      <c r="AE760" s="1"/>
    </row>
    <row r="761">
      <c r="A761" s="104"/>
      <c r="C761" s="128"/>
      <c r="D761" s="74"/>
      <c r="E761" s="1"/>
      <c r="F761" s="1"/>
      <c r="G761" s="1"/>
      <c r="H761" s="118"/>
      <c r="I761" s="177"/>
      <c r="J761" s="31"/>
      <c r="K761" s="1"/>
      <c r="L761" s="120"/>
      <c r="M761" s="121"/>
      <c r="N761" s="121"/>
      <c r="O761" s="118"/>
      <c r="P761" s="118"/>
      <c r="Q761" s="31"/>
      <c r="R761" s="122"/>
      <c r="S761" s="121"/>
      <c r="T761" s="122"/>
      <c r="U761" s="121"/>
      <c r="V761" s="123"/>
      <c r="W761" s="124"/>
      <c r="X761" s="178"/>
      <c r="Y761" s="126"/>
      <c r="Z761" s="126"/>
      <c r="AB761" s="31"/>
      <c r="AC761" s="31"/>
      <c r="AD761" s="31"/>
      <c r="AE761" s="1"/>
    </row>
    <row r="762">
      <c r="A762" s="104"/>
      <c r="C762" s="128"/>
      <c r="D762" s="74"/>
      <c r="E762" s="1"/>
      <c r="F762" s="1"/>
      <c r="G762" s="1"/>
      <c r="H762" s="118"/>
      <c r="I762" s="177"/>
      <c r="J762" s="31"/>
      <c r="K762" s="1"/>
      <c r="L762" s="120"/>
      <c r="M762" s="121"/>
      <c r="N762" s="121"/>
      <c r="O762" s="118"/>
      <c r="P762" s="118"/>
      <c r="Q762" s="31"/>
      <c r="R762" s="122"/>
      <c r="S762" s="121"/>
      <c r="T762" s="122"/>
      <c r="U762" s="121"/>
      <c r="V762" s="123"/>
      <c r="W762" s="124"/>
      <c r="X762" s="178"/>
      <c r="Y762" s="126"/>
      <c r="Z762" s="126"/>
      <c r="AB762" s="31"/>
      <c r="AC762" s="31"/>
      <c r="AD762" s="31"/>
      <c r="AE762" s="1"/>
    </row>
    <row r="763">
      <c r="A763" s="104"/>
      <c r="C763" s="128"/>
      <c r="D763" s="74"/>
      <c r="E763" s="1"/>
      <c r="F763" s="1"/>
      <c r="G763" s="1"/>
      <c r="H763" s="118"/>
      <c r="I763" s="177"/>
      <c r="J763" s="31"/>
      <c r="K763" s="1"/>
      <c r="L763" s="120"/>
      <c r="M763" s="121"/>
      <c r="N763" s="121"/>
      <c r="O763" s="118"/>
      <c r="P763" s="118"/>
      <c r="Q763" s="31"/>
      <c r="R763" s="122"/>
      <c r="S763" s="121"/>
      <c r="T763" s="122"/>
      <c r="U763" s="121"/>
      <c r="V763" s="123"/>
      <c r="W763" s="124"/>
      <c r="X763" s="178"/>
      <c r="Y763" s="126"/>
      <c r="Z763" s="126"/>
      <c r="AB763" s="31"/>
      <c r="AC763" s="31"/>
      <c r="AD763" s="31"/>
      <c r="AE763" s="1"/>
    </row>
    <row r="764">
      <c r="A764" s="104"/>
      <c r="C764" s="128"/>
      <c r="D764" s="74"/>
      <c r="E764" s="1"/>
      <c r="F764" s="1"/>
      <c r="G764" s="1"/>
      <c r="H764" s="118"/>
      <c r="I764" s="177"/>
      <c r="J764" s="31"/>
      <c r="K764" s="1"/>
      <c r="L764" s="120"/>
      <c r="M764" s="121"/>
      <c r="N764" s="121"/>
      <c r="O764" s="118"/>
      <c r="P764" s="118"/>
      <c r="Q764" s="31"/>
      <c r="R764" s="122"/>
      <c r="S764" s="121"/>
      <c r="T764" s="122"/>
      <c r="U764" s="121"/>
      <c r="V764" s="123"/>
      <c r="W764" s="124"/>
      <c r="X764" s="178"/>
      <c r="Y764" s="126"/>
      <c r="Z764" s="126"/>
      <c r="AB764" s="31"/>
      <c r="AC764" s="31"/>
      <c r="AD764" s="31"/>
      <c r="AE764" s="1"/>
    </row>
    <row r="765">
      <c r="A765" s="104"/>
      <c r="C765" s="128"/>
      <c r="D765" s="74"/>
      <c r="E765" s="1"/>
      <c r="F765" s="1"/>
      <c r="G765" s="1"/>
      <c r="H765" s="118"/>
      <c r="I765" s="177"/>
      <c r="J765" s="31"/>
      <c r="K765" s="1"/>
      <c r="L765" s="120"/>
      <c r="M765" s="121"/>
      <c r="N765" s="121"/>
      <c r="O765" s="118"/>
      <c r="P765" s="118"/>
      <c r="Q765" s="31"/>
      <c r="R765" s="122"/>
      <c r="S765" s="121"/>
      <c r="T765" s="122"/>
      <c r="U765" s="121"/>
      <c r="V765" s="123"/>
      <c r="W765" s="124"/>
      <c r="X765" s="178"/>
      <c r="Y765" s="126"/>
      <c r="Z765" s="126"/>
      <c r="AB765" s="31"/>
      <c r="AC765" s="31"/>
      <c r="AD765" s="31"/>
      <c r="AE765" s="1"/>
    </row>
    <row r="766">
      <c r="A766" s="104"/>
      <c r="C766" s="128"/>
      <c r="D766" s="74"/>
      <c r="E766" s="1"/>
      <c r="F766" s="1"/>
      <c r="G766" s="1"/>
      <c r="H766" s="118"/>
      <c r="I766" s="177"/>
      <c r="J766" s="31"/>
      <c r="K766" s="1"/>
      <c r="L766" s="120"/>
      <c r="M766" s="121"/>
      <c r="N766" s="121"/>
      <c r="O766" s="118"/>
      <c r="P766" s="118"/>
      <c r="Q766" s="31"/>
      <c r="R766" s="122"/>
      <c r="S766" s="121"/>
      <c r="T766" s="122"/>
      <c r="U766" s="121"/>
      <c r="V766" s="123"/>
      <c r="W766" s="124"/>
      <c r="X766" s="178"/>
      <c r="Y766" s="126"/>
      <c r="Z766" s="126"/>
      <c r="AB766" s="31"/>
      <c r="AC766" s="31"/>
      <c r="AD766" s="31"/>
      <c r="AE766" s="1"/>
    </row>
    <row r="767">
      <c r="A767" s="104"/>
      <c r="C767" s="128"/>
      <c r="D767" s="74"/>
      <c r="E767" s="1"/>
      <c r="F767" s="1"/>
      <c r="G767" s="1"/>
      <c r="H767" s="118"/>
      <c r="I767" s="177"/>
      <c r="J767" s="31"/>
      <c r="K767" s="1"/>
      <c r="L767" s="120"/>
      <c r="M767" s="121"/>
      <c r="N767" s="121"/>
      <c r="O767" s="118"/>
      <c r="P767" s="118"/>
      <c r="Q767" s="31"/>
      <c r="R767" s="122"/>
      <c r="S767" s="121"/>
      <c r="T767" s="122"/>
      <c r="U767" s="121"/>
      <c r="V767" s="123"/>
      <c r="W767" s="124"/>
      <c r="X767" s="178"/>
      <c r="Y767" s="126"/>
      <c r="Z767" s="126"/>
      <c r="AB767" s="31"/>
      <c r="AC767" s="31"/>
      <c r="AD767" s="31"/>
      <c r="AE767" s="1"/>
    </row>
    <row r="768">
      <c r="A768" s="104"/>
      <c r="C768" s="128"/>
      <c r="D768" s="74"/>
      <c r="E768" s="1"/>
      <c r="F768" s="1"/>
      <c r="G768" s="1"/>
      <c r="H768" s="118"/>
      <c r="I768" s="177"/>
      <c r="J768" s="31"/>
      <c r="K768" s="1"/>
      <c r="L768" s="120"/>
      <c r="M768" s="121"/>
      <c r="N768" s="121"/>
      <c r="O768" s="118"/>
      <c r="P768" s="118"/>
      <c r="Q768" s="31"/>
      <c r="R768" s="122"/>
      <c r="S768" s="121"/>
      <c r="T768" s="122"/>
      <c r="U768" s="121"/>
      <c r="V768" s="123"/>
      <c r="W768" s="124"/>
      <c r="X768" s="178"/>
      <c r="Y768" s="126"/>
      <c r="Z768" s="126"/>
      <c r="AB768" s="31"/>
      <c r="AC768" s="31"/>
      <c r="AD768" s="31"/>
      <c r="AE768" s="1"/>
    </row>
    <row r="769">
      <c r="A769" s="104"/>
      <c r="C769" s="128"/>
      <c r="D769" s="74"/>
      <c r="E769" s="1"/>
      <c r="F769" s="1"/>
      <c r="G769" s="1"/>
      <c r="H769" s="118"/>
      <c r="I769" s="177"/>
      <c r="J769" s="31"/>
      <c r="K769" s="1"/>
      <c r="L769" s="120"/>
      <c r="M769" s="121"/>
      <c r="N769" s="121"/>
      <c r="O769" s="118"/>
      <c r="P769" s="118"/>
      <c r="Q769" s="31"/>
      <c r="R769" s="122"/>
      <c r="S769" s="121"/>
      <c r="T769" s="122"/>
      <c r="U769" s="121"/>
      <c r="V769" s="123"/>
      <c r="W769" s="124"/>
      <c r="X769" s="178"/>
      <c r="Y769" s="126"/>
      <c r="Z769" s="126"/>
      <c r="AB769" s="31"/>
      <c r="AC769" s="31"/>
      <c r="AD769" s="31"/>
      <c r="AE769" s="1"/>
    </row>
    <row r="770">
      <c r="A770" s="104"/>
      <c r="C770" s="128"/>
      <c r="D770" s="74"/>
      <c r="E770" s="1"/>
      <c r="F770" s="1"/>
      <c r="G770" s="1"/>
      <c r="H770" s="118"/>
      <c r="I770" s="177"/>
      <c r="J770" s="31"/>
      <c r="K770" s="1"/>
      <c r="L770" s="120"/>
      <c r="M770" s="121"/>
      <c r="N770" s="121"/>
      <c r="O770" s="118"/>
      <c r="P770" s="118"/>
      <c r="Q770" s="31"/>
      <c r="R770" s="122"/>
      <c r="S770" s="121"/>
      <c r="T770" s="122"/>
      <c r="U770" s="121"/>
      <c r="V770" s="123"/>
      <c r="W770" s="124"/>
      <c r="X770" s="178"/>
      <c r="Y770" s="126"/>
      <c r="Z770" s="126"/>
      <c r="AB770" s="31"/>
      <c r="AC770" s="31"/>
      <c r="AD770" s="31"/>
      <c r="AE770" s="1"/>
    </row>
    <row r="771">
      <c r="A771" s="104"/>
      <c r="C771" s="128"/>
      <c r="D771" s="74"/>
      <c r="E771" s="1"/>
      <c r="F771" s="1"/>
      <c r="G771" s="1"/>
      <c r="H771" s="118"/>
      <c r="I771" s="177"/>
      <c r="J771" s="31"/>
      <c r="K771" s="1"/>
      <c r="L771" s="120"/>
      <c r="M771" s="121"/>
      <c r="N771" s="121"/>
      <c r="O771" s="118"/>
      <c r="P771" s="118"/>
      <c r="Q771" s="31"/>
      <c r="R771" s="122"/>
      <c r="S771" s="121"/>
      <c r="T771" s="122"/>
      <c r="U771" s="121"/>
      <c r="V771" s="123"/>
      <c r="W771" s="124"/>
      <c r="X771" s="178"/>
      <c r="Y771" s="126"/>
      <c r="Z771" s="126"/>
      <c r="AB771" s="31"/>
      <c r="AC771" s="31"/>
      <c r="AD771" s="31"/>
      <c r="AE771" s="1"/>
    </row>
    <row r="772">
      <c r="A772" s="104"/>
      <c r="C772" s="128"/>
      <c r="D772" s="74"/>
      <c r="E772" s="1"/>
      <c r="F772" s="1"/>
      <c r="G772" s="1"/>
      <c r="H772" s="118"/>
      <c r="I772" s="177"/>
      <c r="J772" s="31"/>
      <c r="K772" s="1"/>
      <c r="L772" s="120"/>
      <c r="M772" s="121"/>
      <c r="N772" s="121"/>
      <c r="O772" s="118"/>
      <c r="P772" s="118"/>
      <c r="Q772" s="31"/>
      <c r="R772" s="122"/>
      <c r="S772" s="121"/>
      <c r="T772" s="122"/>
      <c r="U772" s="121"/>
      <c r="V772" s="123"/>
      <c r="W772" s="124"/>
      <c r="X772" s="178"/>
      <c r="Y772" s="126"/>
      <c r="Z772" s="126"/>
      <c r="AB772" s="31"/>
      <c r="AC772" s="31"/>
      <c r="AD772" s="31"/>
      <c r="AE772" s="1"/>
    </row>
    <row r="773">
      <c r="A773" s="104"/>
      <c r="C773" s="128"/>
      <c r="D773" s="74"/>
      <c r="E773" s="1"/>
      <c r="F773" s="1"/>
      <c r="G773" s="1"/>
      <c r="H773" s="118"/>
      <c r="I773" s="177"/>
      <c r="J773" s="31"/>
      <c r="K773" s="1"/>
      <c r="L773" s="120"/>
      <c r="M773" s="121"/>
      <c r="N773" s="121"/>
      <c r="O773" s="118"/>
      <c r="P773" s="118"/>
      <c r="Q773" s="31"/>
      <c r="R773" s="122"/>
      <c r="S773" s="121"/>
      <c r="T773" s="122"/>
      <c r="U773" s="121"/>
      <c r="V773" s="123"/>
      <c r="W773" s="124"/>
      <c r="X773" s="178"/>
      <c r="Y773" s="126"/>
      <c r="Z773" s="126"/>
      <c r="AB773" s="31"/>
      <c r="AC773" s="31"/>
      <c r="AD773" s="31"/>
      <c r="AE773" s="1"/>
    </row>
    <row r="774">
      <c r="A774" s="104"/>
      <c r="C774" s="128"/>
      <c r="D774" s="74"/>
      <c r="E774" s="1"/>
      <c r="F774" s="1"/>
      <c r="G774" s="1"/>
      <c r="H774" s="118"/>
      <c r="I774" s="177"/>
      <c r="J774" s="31"/>
      <c r="K774" s="1"/>
      <c r="L774" s="120"/>
      <c r="M774" s="121"/>
      <c r="N774" s="121"/>
      <c r="O774" s="118"/>
      <c r="P774" s="118"/>
      <c r="Q774" s="31"/>
      <c r="R774" s="122"/>
      <c r="S774" s="121"/>
      <c r="T774" s="122"/>
      <c r="U774" s="121"/>
      <c r="V774" s="123"/>
      <c r="W774" s="124"/>
      <c r="X774" s="178"/>
      <c r="Y774" s="126"/>
      <c r="Z774" s="126"/>
      <c r="AB774" s="31"/>
      <c r="AC774" s="31"/>
      <c r="AD774" s="31"/>
      <c r="AE774" s="1"/>
    </row>
    <row r="775">
      <c r="A775" s="104"/>
      <c r="C775" s="128"/>
      <c r="D775" s="74"/>
      <c r="E775" s="1"/>
      <c r="F775" s="1"/>
      <c r="G775" s="1"/>
      <c r="H775" s="118"/>
      <c r="I775" s="177"/>
      <c r="J775" s="31"/>
      <c r="K775" s="1"/>
      <c r="L775" s="120"/>
      <c r="M775" s="121"/>
      <c r="N775" s="121"/>
      <c r="O775" s="118"/>
      <c r="P775" s="118"/>
      <c r="Q775" s="31"/>
      <c r="R775" s="122"/>
      <c r="S775" s="121"/>
      <c r="T775" s="122"/>
      <c r="U775" s="121"/>
      <c r="V775" s="123"/>
      <c r="W775" s="124"/>
      <c r="X775" s="178"/>
      <c r="Y775" s="126"/>
      <c r="Z775" s="126"/>
      <c r="AB775" s="31"/>
      <c r="AC775" s="31"/>
      <c r="AD775" s="31"/>
      <c r="AE775" s="1"/>
    </row>
    <row r="776">
      <c r="A776" s="104"/>
      <c r="C776" s="128"/>
      <c r="D776" s="74"/>
      <c r="E776" s="1"/>
      <c r="F776" s="1"/>
      <c r="G776" s="1"/>
      <c r="H776" s="118"/>
      <c r="I776" s="177"/>
      <c r="J776" s="31"/>
      <c r="K776" s="1"/>
      <c r="L776" s="120"/>
      <c r="M776" s="121"/>
      <c r="N776" s="121"/>
      <c r="O776" s="118"/>
      <c r="P776" s="118"/>
      <c r="Q776" s="31"/>
      <c r="R776" s="122"/>
      <c r="S776" s="121"/>
      <c r="T776" s="122"/>
      <c r="U776" s="121"/>
      <c r="V776" s="123"/>
      <c r="W776" s="124"/>
      <c r="X776" s="178"/>
      <c r="Y776" s="126"/>
      <c r="Z776" s="126"/>
      <c r="AB776" s="31"/>
      <c r="AC776" s="31"/>
      <c r="AD776" s="31"/>
      <c r="AE776" s="1"/>
    </row>
    <row r="777">
      <c r="A777" s="104"/>
      <c r="C777" s="128"/>
      <c r="D777" s="74"/>
      <c r="E777" s="1"/>
      <c r="F777" s="1"/>
      <c r="G777" s="1"/>
      <c r="H777" s="118"/>
      <c r="I777" s="177"/>
      <c r="J777" s="31"/>
      <c r="K777" s="1"/>
      <c r="L777" s="120"/>
      <c r="M777" s="121"/>
      <c r="N777" s="121"/>
      <c r="O777" s="118"/>
      <c r="P777" s="118"/>
      <c r="Q777" s="31"/>
      <c r="R777" s="122"/>
      <c r="S777" s="121"/>
      <c r="T777" s="122"/>
      <c r="U777" s="121"/>
      <c r="V777" s="123"/>
      <c r="W777" s="124"/>
      <c r="X777" s="178"/>
      <c r="Y777" s="126"/>
      <c r="Z777" s="126"/>
      <c r="AB777" s="31"/>
      <c r="AC777" s="31"/>
      <c r="AD777" s="31"/>
      <c r="AE777" s="1"/>
    </row>
    <row r="778">
      <c r="A778" s="104"/>
      <c r="C778" s="128"/>
      <c r="D778" s="74"/>
      <c r="E778" s="1"/>
      <c r="F778" s="1"/>
      <c r="G778" s="1"/>
      <c r="H778" s="118"/>
      <c r="I778" s="177"/>
      <c r="J778" s="31"/>
      <c r="K778" s="1"/>
      <c r="L778" s="120"/>
      <c r="M778" s="121"/>
      <c r="N778" s="121"/>
      <c r="O778" s="118"/>
      <c r="P778" s="118"/>
      <c r="Q778" s="31"/>
      <c r="R778" s="122"/>
      <c r="S778" s="121"/>
      <c r="T778" s="122"/>
      <c r="U778" s="121"/>
      <c r="V778" s="123"/>
      <c r="W778" s="124"/>
      <c r="X778" s="178"/>
      <c r="Y778" s="126"/>
      <c r="Z778" s="126"/>
      <c r="AB778" s="31"/>
      <c r="AC778" s="31"/>
      <c r="AD778" s="31"/>
      <c r="AE778" s="1"/>
    </row>
    <row r="779">
      <c r="A779" s="104"/>
      <c r="C779" s="128"/>
      <c r="D779" s="74"/>
      <c r="E779" s="1"/>
      <c r="F779" s="1"/>
      <c r="G779" s="1"/>
      <c r="H779" s="118"/>
      <c r="I779" s="177"/>
      <c r="J779" s="31"/>
      <c r="K779" s="1"/>
      <c r="L779" s="120"/>
      <c r="M779" s="121"/>
      <c r="N779" s="121"/>
      <c r="O779" s="118"/>
      <c r="P779" s="118"/>
      <c r="Q779" s="31"/>
      <c r="R779" s="122"/>
      <c r="S779" s="121"/>
      <c r="T779" s="122"/>
      <c r="U779" s="121"/>
      <c r="V779" s="123"/>
      <c r="W779" s="124"/>
      <c r="X779" s="178"/>
      <c r="Y779" s="126"/>
      <c r="Z779" s="126"/>
      <c r="AB779" s="31"/>
      <c r="AC779" s="31"/>
      <c r="AD779" s="31"/>
      <c r="AE779" s="1"/>
    </row>
    <row r="780">
      <c r="A780" s="104"/>
      <c r="C780" s="128"/>
      <c r="D780" s="74"/>
      <c r="E780" s="1"/>
      <c r="F780" s="1"/>
      <c r="G780" s="1"/>
      <c r="H780" s="118"/>
      <c r="I780" s="177"/>
      <c r="J780" s="31"/>
      <c r="K780" s="1"/>
      <c r="L780" s="120"/>
      <c r="M780" s="121"/>
      <c r="N780" s="121"/>
      <c r="O780" s="118"/>
      <c r="P780" s="118"/>
      <c r="Q780" s="31"/>
      <c r="R780" s="122"/>
      <c r="S780" s="121"/>
      <c r="T780" s="122"/>
      <c r="U780" s="121"/>
      <c r="V780" s="123"/>
      <c r="W780" s="124"/>
      <c r="X780" s="178"/>
      <c r="Y780" s="126"/>
      <c r="Z780" s="126"/>
      <c r="AB780" s="31"/>
      <c r="AC780" s="31"/>
      <c r="AD780" s="31"/>
      <c r="AE780" s="1"/>
    </row>
    <row r="781">
      <c r="A781" s="104"/>
      <c r="C781" s="128"/>
      <c r="D781" s="74"/>
      <c r="E781" s="1"/>
      <c r="F781" s="1"/>
      <c r="G781" s="1"/>
      <c r="H781" s="118"/>
      <c r="I781" s="177"/>
      <c r="J781" s="31"/>
      <c r="K781" s="1"/>
      <c r="L781" s="120"/>
      <c r="M781" s="121"/>
      <c r="N781" s="121"/>
      <c r="O781" s="118"/>
      <c r="P781" s="118"/>
      <c r="Q781" s="31"/>
      <c r="R781" s="122"/>
      <c r="S781" s="121"/>
      <c r="T781" s="122"/>
      <c r="U781" s="121"/>
      <c r="V781" s="123"/>
      <c r="W781" s="124"/>
      <c r="X781" s="178"/>
      <c r="Y781" s="126"/>
      <c r="Z781" s="126"/>
      <c r="AB781" s="31"/>
      <c r="AC781" s="31"/>
      <c r="AD781" s="31"/>
      <c r="AE781" s="1"/>
    </row>
    <row r="782">
      <c r="A782" s="104"/>
      <c r="C782" s="128"/>
      <c r="D782" s="74"/>
      <c r="E782" s="1"/>
      <c r="F782" s="1"/>
      <c r="G782" s="1"/>
      <c r="H782" s="118"/>
      <c r="I782" s="177"/>
      <c r="J782" s="31"/>
      <c r="K782" s="1"/>
      <c r="L782" s="120"/>
      <c r="M782" s="121"/>
      <c r="N782" s="121"/>
      <c r="O782" s="118"/>
      <c r="P782" s="118"/>
      <c r="Q782" s="31"/>
      <c r="R782" s="122"/>
      <c r="S782" s="121"/>
      <c r="T782" s="122"/>
      <c r="U782" s="121"/>
      <c r="V782" s="123"/>
      <c r="W782" s="124"/>
      <c r="X782" s="178"/>
      <c r="Y782" s="126"/>
      <c r="Z782" s="126"/>
      <c r="AB782" s="31"/>
      <c r="AC782" s="31"/>
      <c r="AD782" s="31"/>
      <c r="AE782" s="1"/>
    </row>
    <row r="783">
      <c r="A783" s="104"/>
      <c r="C783" s="128"/>
      <c r="D783" s="74"/>
      <c r="E783" s="1"/>
      <c r="F783" s="1"/>
      <c r="G783" s="1"/>
      <c r="H783" s="118"/>
      <c r="I783" s="177"/>
      <c r="J783" s="31"/>
      <c r="K783" s="1"/>
      <c r="L783" s="120"/>
      <c r="M783" s="121"/>
      <c r="N783" s="121"/>
      <c r="O783" s="118"/>
      <c r="P783" s="118"/>
      <c r="Q783" s="31"/>
      <c r="R783" s="122"/>
      <c r="S783" s="121"/>
      <c r="T783" s="122"/>
      <c r="U783" s="121"/>
      <c r="V783" s="123"/>
      <c r="W783" s="124"/>
      <c r="X783" s="178"/>
      <c r="Y783" s="126"/>
      <c r="Z783" s="126"/>
      <c r="AB783" s="31"/>
      <c r="AC783" s="31"/>
      <c r="AD783" s="31"/>
      <c r="AE783" s="1"/>
    </row>
    <row r="784">
      <c r="A784" s="104"/>
      <c r="C784" s="128"/>
      <c r="D784" s="74"/>
      <c r="E784" s="1"/>
      <c r="F784" s="1"/>
      <c r="G784" s="1"/>
      <c r="H784" s="118"/>
      <c r="I784" s="177"/>
      <c r="J784" s="31"/>
      <c r="K784" s="1"/>
      <c r="L784" s="120"/>
      <c r="M784" s="121"/>
      <c r="N784" s="121"/>
      <c r="O784" s="118"/>
      <c r="P784" s="118"/>
      <c r="Q784" s="31"/>
      <c r="R784" s="122"/>
      <c r="S784" s="121"/>
      <c r="T784" s="122"/>
      <c r="U784" s="121"/>
      <c r="V784" s="123"/>
      <c r="W784" s="124"/>
      <c r="X784" s="178"/>
      <c r="Y784" s="126"/>
      <c r="Z784" s="126"/>
      <c r="AB784" s="31"/>
      <c r="AC784" s="31"/>
      <c r="AD784" s="31"/>
      <c r="AE784" s="1"/>
    </row>
    <row r="785">
      <c r="A785" s="104"/>
      <c r="C785" s="128"/>
      <c r="D785" s="74"/>
      <c r="E785" s="1"/>
      <c r="F785" s="1"/>
      <c r="G785" s="1"/>
      <c r="H785" s="118"/>
      <c r="I785" s="177"/>
      <c r="J785" s="31"/>
      <c r="K785" s="1"/>
      <c r="L785" s="120"/>
      <c r="M785" s="121"/>
      <c r="N785" s="121"/>
      <c r="O785" s="118"/>
      <c r="P785" s="118"/>
      <c r="Q785" s="31"/>
      <c r="R785" s="122"/>
      <c r="S785" s="121"/>
      <c r="T785" s="122"/>
      <c r="U785" s="121"/>
      <c r="V785" s="123"/>
      <c r="W785" s="124"/>
      <c r="X785" s="178"/>
      <c r="Y785" s="126"/>
      <c r="Z785" s="126"/>
      <c r="AB785" s="31"/>
      <c r="AC785" s="31"/>
      <c r="AD785" s="31"/>
      <c r="AE785" s="1"/>
    </row>
    <row r="786">
      <c r="A786" s="104"/>
      <c r="C786" s="128"/>
      <c r="D786" s="74"/>
      <c r="E786" s="1"/>
      <c r="F786" s="1"/>
      <c r="G786" s="1"/>
      <c r="H786" s="118"/>
      <c r="I786" s="177"/>
      <c r="J786" s="31"/>
      <c r="K786" s="1"/>
      <c r="L786" s="120"/>
      <c r="M786" s="121"/>
      <c r="N786" s="121"/>
      <c r="O786" s="118"/>
      <c r="P786" s="118"/>
      <c r="Q786" s="31"/>
      <c r="R786" s="122"/>
      <c r="S786" s="121"/>
      <c r="T786" s="122"/>
      <c r="U786" s="121"/>
      <c r="V786" s="123"/>
      <c r="W786" s="124"/>
      <c r="X786" s="178"/>
      <c r="Y786" s="126"/>
      <c r="Z786" s="126"/>
      <c r="AB786" s="31"/>
      <c r="AC786" s="31"/>
      <c r="AD786" s="31"/>
      <c r="AE786" s="1"/>
    </row>
    <row r="787">
      <c r="A787" s="104"/>
      <c r="C787" s="128"/>
      <c r="D787" s="74"/>
      <c r="E787" s="1"/>
      <c r="F787" s="1"/>
      <c r="G787" s="1"/>
      <c r="H787" s="118"/>
      <c r="I787" s="177"/>
      <c r="J787" s="31"/>
      <c r="K787" s="1"/>
      <c r="L787" s="120"/>
      <c r="M787" s="121"/>
      <c r="N787" s="121"/>
      <c r="O787" s="118"/>
      <c r="P787" s="118"/>
      <c r="Q787" s="31"/>
      <c r="R787" s="122"/>
      <c r="S787" s="121"/>
      <c r="T787" s="122"/>
      <c r="U787" s="121"/>
      <c r="V787" s="123"/>
      <c r="W787" s="124"/>
      <c r="X787" s="178"/>
      <c r="Y787" s="126"/>
      <c r="Z787" s="126"/>
      <c r="AB787" s="31"/>
      <c r="AC787" s="31"/>
      <c r="AD787" s="31"/>
      <c r="AE787" s="1"/>
    </row>
    <row r="788">
      <c r="A788" s="104"/>
      <c r="C788" s="128"/>
      <c r="D788" s="74"/>
      <c r="E788" s="1"/>
      <c r="F788" s="1"/>
      <c r="G788" s="1"/>
      <c r="H788" s="118"/>
      <c r="I788" s="177"/>
      <c r="J788" s="31"/>
      <c r="K788" s="1"/>
      <c r="L788" s="120"/>
      <c r="M788" s="121"/>
      <c r="N788" s="121"/>
      <c r="O788" s="118"/>
      <c r="P788" s="118"/>
      <c r="Q788" s="31"/>
      <c r="R788" s="122"/>
      <c r="S788" s="121"/>
      <c r="T788" s="122"/>
      <c r="U788" s="121"/>
      <c r="V788" s="123"/>
      <c r="W788" s="124"/>
      <c r="X788" s="178"/>
      <c r="Y788" s="126"/>
      <c r="Z788" s="126"/>
      <c r="AB788" s="31"/>
      <c r="AC788" s="31"/>
      <c r="AD788" s="31"/>
      <c r="AE788" s="1"/>
    </row>
    <row r="789">
      <c r="A789" s="104"/>
      <c r="C789" s="128"/>
      <c r="D789" s="74"/>
      <c r="E789" s="1"/>
      <c r="F789" s="1"/>
      <c r="G789" s="1"/>
      <c r="H789" s="118"/>
      <c r="I789" s="177"/>
      <c r="J789" s="31"/>
      <c r="K789" s="1"/>
      <c r="L789" s="120"/>
      <c r="M789" s="121"/>
      <c r="N789" s="121"/>
      <c r="O789" s="118"/>
      <c r="P789" s="118"/>
      <c r="Q789" s="31"/>
      <c r="R789" s="122"/>
      <c r="S789" s="121"/>
      <c r="T789" s="122"/>
      <c r="U789" s="121"/>
      <c r="V789" s="123"/>
      <c r="W789" s="124"/>
      <c r="X789" s="178"/>
      <c r="Y789" s="126"/>
      <c r="Z789" s="126"/>
      <c r="AB789" s="31"/>
      <c r="AC789" s="31"/>
      <c r="AD789" s="31"/>
      <c r="AE789" s="1"/>
    </row>
    <row r="790">
      <c r="A790" s="104"/>
      <c r="C790" s="128"/>
      <c r="D790" s="74"/>
      <c r="E790" s="1"/>
      <c r="F790" s="1"/>
      <c r="G790" s="1"/>
      <c r="H790" s="118"/>
      <c r="I790" s="177"/>
      <c r="J790" s="31"/>
      <c r="K790" s="1"/>
      <c r="L790" s="120"/>
      <c r="M790" s="121"/>
      <c r="N790" s="121"/>
      <c r="O790" s="118"/>
      <c r="P790" s="118"/>
      <c r="Q790" s="31"/>
      <c r="R790" s="122"/>
      <c r="S790" s="121"/>
      <c r="T790" s="122"/>
      <c r="U790" s="121"/>
      <c r="V790" s="123"/>
      <c r="W790" s="124"/>
      <c r="X790" s="178"/>
      <c r="Y790" s="126"/>
      <c r="Z790" s="126"/>
      <c r="AB790" s="31"/>
      <c r="AC790" s="31"/>
      <c r="AD790" s="31"/>
      <c r="AE790" s="1"/>
    </row>
    <row r="791">
      <c r="A791" s="104"/>
      <c r="C791" s="128"/>
      <c r="D791" s="74"/>
      <c r="E791" s="1"/>
      <c r="F791" s="1"/>
      <c r="G791" s="1"/>
      <c r="H791" s="118"/>
      <c r="I791" s="177"/>
      <c r="J791" s="31"/>
      <c r="K791" s="1"/>
      <c r="L791" s="120"/>
      <c r="M791" s="121"/>
      <c r="N791" s="121"/>
      <c r="O791" s="118"/>
      <c r="P791" s="118"/>
      <c r="Q791" s="31"/>
      <c r="R791" s="122"/>
      <c r="S791" s="121"/>
      <c r="T791" s="122"/>
      <c r="U791" s="121"/>
      <c r="V791" s="123"/>
      <c r="W791" s="124"/>
      <c r="X791" s="178"/>
      <c r="Y791" s="126"/>
      <c r="Z791" s="126"/>
      <c r="AB791" s="31"/>
      <c r="AC791" s="31"/>
      <c r="AD791" s="31"/>
      <c r="AE791" s="1"/>
    </row>
    <row r="792">
      <c r="A792" s="104"/>
      <c r="C792" s="128"/>
      <c r="D792" s="74"/>
      <c r="E792" s="1"/>
      <c r="F792" s="1"/>
      <c r="G792" s="1"/>
      <c r="H792" s="118"/>
      <c r="I792" s="177"/>
      <c r="J792" s="31"/>
      <c r="K792" s="1"/>
      <c r="L792" s="120"/>
      <c r="M792" s="121"/>
      <c r="N792" s="121"/>
      <c r="O792" s="118"/>
      <c r="P792" s="118"/>
      <c r="Q792" s="31"/>
      <c r="R792" s="122"/>
      <c r="S792" s="121"/>
      <c r="T792" s="122"/>
      <c r="U792" s="121"/>
      <c r="V792" s="123"/>
      <c r="W792" s="124"/>
      <c r="X792" s="178"/>
      <c r="Y792" s="126"/>
      <c r="Z792" s="126"/>
      <c r="AB792" s="31"/>
      <c r="AC792" s="31"/>
      <c r="AD792" s="31"/>
      <c r="AE792" s="1"/>
    </row>
    <row r="793">
      <c r="A793" s="104"/>
      <c r="C793" s="128"/>
      <c r="D793" s="74"/>
      <c r="E793" s="1"/>
      <c r="F793" s="1"/>
      <c r="G793" s="1"/>
      <c r="H793" s="118"/>
      <c r="I793" s="177"/>
      <c r="J793" s="31"/>
      <c r="K793" s="1"/>
      <c r="L793" s="120"/>
      <c r="M793" s="121"/>
      <c r="N793" s="121"/>
      <c r="O793" s="118"/>
      <c r="P793" s="118"/>
      <c r="Q793" s="31"/>
      <c r="R793" s="122"/>
      <c r="S793" s="121"/>
      <c r="T793" s="122"/>
      <c r="U793" s="121"/>
      <c r="V793" s="123"/>
      <c r="W793" s="124"/>
      <c r="X793" s="178"/>
      <c r="Y793" s="126"/>
      <c r="Z793" s="126"/>
      <c r="AB793" s="31"/>
      <c r="AC793" s="31"/>
      <c r="AD793" s="31"/>
      <c r="AE793" s="1"/>
    </row>
    <row r="794">
      <c r="A794" s="104"/>
      <c r="C794" s="128"/>
      <c r="D794" s="74"/>
      <c r="E794" s="1"/>
      <c r="F794" s="1"/>
      <c r="G794" s="1"/>
      <c r="H794" s="118"/>
      <c r="I794" s="177"/>
      <c r="J794" s="31"/>
      <c r="K794" s="1"/>
      <c r="L794" s="120"/>
      <c r="M794" s="121"/>
      <c r="N794" s="121"/>
      <c r="O794" s="118"/>
      <c r="P794" s="118"/>
      <c r="Q794" s="31"/>
      <c r="R794" s="122"/>
      <c r="S794" s="121"/>
      <c r="T794" s="122"/>
      <c r="U794" s="121"/>
      <c r="V794" s="123"/>
      <c r="W794" s="124"/>
      <c r="X794" s="178"/>
      <c r="Y794" s="126"/>
      <c r="Z794" s="126"/>
      <c r="AB794" s="31"/>
      <c r="AC794" s="31"/>
      <c r="AD794" s="31"/>
      <c r="AE794" s="1"/>
    </row>
    <row r="795">
      <c r="A795" s="104"/>
      <c r="C795" s="128"/>
      <c r="D795" s="74"/>
      <c r="E795" s="1"/>
      <c r="F795" s="1"/>
      <c r="G795" s="1"/>
      <c r="H795" s="118"/>
      <c r="I795" s="177"/>
      <c r="J795" s="31"/>
      <c r="K795" s="1"/>
      <c r="L795" s="120"/>
      <c r="M795" s="121"/>
      <c r="N795" s="121"/>
      <c r="O795" s="118"/>
      <c r="P795" s="118"/>
      <c r="Q795" s="31"/>
      <c r="R795" s="122"/>
      <c r="S795" s="121"/>
      <c r="T795" s="122"/>
      <c r="U795" s="121"/>
      <c r="V795" s="123"/>
      <c r="W795" s="124"/>
      <c r="X795" s="178"/>
      <c r="Y795" s="126"/>
      <c r="Z795" s="126"/>
      <c r="AB795" s="31"/>
      <c r="AC795" s="31"/>
      <c r="AD795" s="31"/>
      <c r="AE795" s="1"/>
    </row>
    <row r="796">
      <c r="A796" s="104"/>
      <c r="C796" s="128"/>
      <c r="D796" s="74"/>
      <c r="E796" s="1"/>
      <c r="F796" s="1"/>
      <c r="G796" s="1"/>
      <c r="H796" s="118"/>
      <c r="I796" s="177"/>
      <c r="J796" s="31"/>
      <c r="K796" s="1"/>
      <c r="L796" s="120"/>
      <c r="M796" s="121"/>
      <c r="N796" s="121"/>
      <c r="O796" s="118"/>
      <c r="P796" s="118"/>
      <c r="Q796" s="31"/>
      <c r="R796" s="122"/>
      <c r="S796" s="121"/>
      <c r="T796" s="122"/>
      <c r="U796" s="121"/>
      <c r="V796" s="123"/>
      <c r="W796" s="124"/>
      <c r="X796" s="178"/>
      <c r="Y796" s="126"/>
      <c r="Z796" s="126"/>
      <c r="AB796" s="31"/>
      <c r="AC796" s="31"/>
      <c r="AD796" s="31"/>
      <c r="AE796" s="1"/>
    </row>
    <row r="797">
      <c r="A797" s="104"/>
      <c r="C797" s="128"/>
      <c r="D797" s="74"/>
      <c r="E797" s="1"/>
      <c r="F797" s="1"/>
      <c r="G797" s="1"/>
      <c r="H797" s="118"/>
      <c r="I797" s="177"/>
      <c r="J797" s="31"/>
      <c r="K797" s="1"/>
      <c r="L797" s="120"/>
      <c r="M797" s="121"/>
      <c r="N797" s="121"/>
      <c r="O797" s="118"/>
      <c r="P797" s="118"/>
      <c r="Q797" s="31"/>
      <c r="R797" s="122"/>
      <c r="S797" s="121"/>
      <c r="T797" s="122"/>
      <c r="U797" s="121"/>
      <c r="V797" s="123"/>
      <c r="W797" s="124"/>
      <c r="X797" s="178"/>
      <c r="Y797" s="126"/>
      <c r="Z797" s="126"/>
      <c r="AB797" s="31"/>
      <c r="AC797" s="31"/>
      <c r="AD797" s="31"/>
      <c r="AE797" s="1"/>
    </row>
    <row r="798">
      <c r="A798" s="104"/>
      <c r="C798" s="128"/>
      <c r="D798" s="74"/>
      <c r="E798" s="1"/>
      <c r="F798" s="1"/>
      <c r="G798" s="1"/>
      <c r="H798" s="118"/>
      <c r="I798" s="177"/>
      <c r="J798" s="31"/>
      <c r="K798" s="1"/>
      <c r="L798" s="120"/>
      <c r="M798" s="121"/>
      <c r="N798" s="121"/>
      <c r="O798" s="118"/>
      <c r="P798" s="118"/>
      <c r="Q798" s="31"/>
      <c r="R798" s="122"/>
      <c r="S798" s="121"/>
      <c r="T798" s="122"/>
      <c r="U798" s="121"/>
      <c r="V798" s="123"/>
      <c r="W798" s="124"/>
      <c r="X798" s="178"/>
      <c r="Y798" s="126"/>
      <c r="Z798" s="126"/>
      <c r="AB798" s="31"/>
      <c r="AC798" s="31"/>
      <c r="AD798" s="31"/>
      <c r="AE798" s="1"/>
    </row>
    <row r="799">
      <c r="A799" s="104"/>
      <c r="C799" s="128"/>
      <c r="D799" s="74"/>
      <c r="E799" s="1"/>
      <c r="F799" s="1"/>
      <c r="G799" s="1"/>
      <c r="H799" s="118"/>
      <c r="I799" s="177"/>
      <c r="J799" s="31"/>
      <c r="K799" s="1"/>
      <c r="L799" s="120"/>
      <c r="M799" s="121"/>
      <c r="N799" s="121"/>
      <c r="O799" s="118"/>
      <c r="P799" s="118"/>
      <c r="Q799" s="31"/>
      <c r="R799" s="122"/>
      <c r="S799" s="121"/>
      <c r="T799" s="122"/>
      <c r="U799" s="121"/>
      <c r="V799" s="123"/>
      <c r="W799" s="124"/>
      <c r="X799" s="178"/>
      <c r="Y799" s="126"/>
      <c r="Z799" s="126"/>
      <c r="AB799" s="31"/>
      <c r="AC799" s="31"/>
      <c r="AD799" s="31"/>
      <c r="AE799" s="1"/>
    </row>
    <row r="800">
      <c r="A800" s="104"/>
      <c r="C800" s="128"/>
      <c r="D800" s="74"/>
      <c r="E800" s="1"/>
      <c r="F800" s="1"/>
      <c r="G800" s="1"/>
      <c r="H800" s="118"/>
      <c r="I800" s="177"/>
      <c r="J800" s="31"/>
      <c r="K800" s="1"/>
      <c r="L800" s="120"/>
      <c r="M800" s="121"/>
      <c r="N800" s="121"/>
      <c r="O800" s="118"/>
      <c r="P800" s="118"/>
      <c r="Q800" s="31"/>
      <c r="R800" s="122"/>
      <c r="S800" s="121"/>
      <c r="T800" s="122"/>
      <c r="U800" s="121"/>
      <c r="V800" s="123"/>
      <c r="W800" s="124"/>
      <c r="X800" s="178"/>
      <c r="Y800" s="126"/>
      <c r="Z800" s="126"/>
      <c r="AB800" s="31"/>
      <c r="AC800" s="31"/>
      <c r="AD800" s="31"/>
      <c r="AE800" s="1"/>
    </row>
    <row r="801">
      <c r="A801" s="104"/>
      <c r="C801" s="128"/>
      <c r="D801" s="74"/>
      <c r="E801" s="1"/>
      <c r="F801" s="1"/>
      <c r="G801" s="1"/>
      <c r="H801" s="118"/>
      <c r="I801" s="177"/>
      <c r="J801" s="31"/>
      <c r="K801" s="1"/>
      <c r="L801" s="120"/>
      <c r="M801" s="121"/>
      <c r="N801" s="121"/>
      <c r="O801" s="118"/>
      <c r="P801" s="118"/>
      <c r="Q801" s="31"/>
      <c r="R801" s="122"/>
      <c r="S801" s="121"/>
      <c r="T801" s="122"/>
      <c r="U801" s="121"/>
      <c r="V801" s="123"/>
      <c r="W801" s="124"/>
      <c r="X801" s="178"/>
      <c r="Y801" s="126"/>
      <c r="Z801" s="126"/>
      <c r="AB801" s="31"/>
      <c r="AC801" s="31"/>
      <c r="AD801" s="31"/>
      <c r="AE801" s="1"/>
    </row>
    <row r="802">
      <c r="A802" s="104"/>
      <c r="C802" s="128"/>
      <c r="D802" s="74"/>
      <c r="E802" s="1"/>
      <c r="F802" s="1"/>
      <c r="G802" s="1"/>
      <c r="H802" s="118"/>
      <c r="I802" s="177"/>
      <c r="J802" s="31"/>
      <c r="K802" s="1"/>
      <c r="L802" s="120"/>
      <c r="M802" s="121"/>
      <c r="N802" s="121"/>
      <c r="O802" s="118"/>
      <c r="P802" s="118"/>
      <c r="Q802" s="31"/>
      <c r="R802" s="122"/>
      <c r="S802" s="121"/>
      <c r="T802" s="122"/>
      <c r="U802" s="121"/>
      <c r="V802" s="123"/>
      <c r="W802" s="124"/>
      <c r="X802" s="178"/>
      <c r="Y802" s="126"/>
      <c r="Z802" s="126"/>
      <c r="AB802" s="31"/>
      <c r="AC802" s="31"/>
      <c r="AD802" s="31"/>
      <c r="AE802" s="1"/>
    </row>
    <row r="803">
      <c r="A803" s="104"/>
      <c r="C803" s="128"/>
      <c r="D803" s="74"/>
      <c r="E803" s="1"/>
      <c r="F803" s="1"/>
      <c r="G803" s="1"/>
      <c r="H803" s="118"/>
      <c r="I803" s="177"/>
      <c r="J803" s="31"/>
      <c r="K803" s="1"/>
      <c r="L803" s="120"/>
      <c r="M803" s="121"/>
      <c r="N803" s="121"/>
      <c r="O803" s="118"/>
      <c r="P803" s="118"/>
      <c r="Q803" s="31"/>
      <c r="R803" s="122"/>
      <c r="S803" s="121"/>
      <c r="T803" s="122"/>
      <c r="U803" s="121"/>
      <c r="V803" s="123"/>
      <c r="W803" s="124"/>
      <c r="X803" s="178"/>
      <c r="Y803" s="126"/>
      <c r="Z803" s="126"/>
      <c r="AB803" s="31"/>
      <c r="AC803" s="31"/>
      <c r="AD803" s="31"/>
      <c r="AE803" s="1"/>
    </row>
    <row r="804">
      <c r="A804" s="104"/>
      <c r="C804" s="128"/>
      <c r="D804" s="74"/>
      <c r="E804" s="1"/>
      <c r="F804" s="1"/>
      <c r="G804" s="1"/>
      <c r="H804" s="118"/>
      <c r="I804" s="177"/>
      <c r="J804" s="31"/>
      <c r="K804" s="1"/>
      <c r="L804" s="120"/>
      <c r="M804" s="121"/>
      <c r="N804" s="121"/>
      <c r="O804" s="118"/>
      <c r="P804" s="118"/>
      <c r="Q804" s="31"/>
      <c r="R804" s="122"/>
      <c r="S804" s="121"/>
      <c r="T804" s="122"/>
      <c r="U804" s="121"/>
      <c r="V804" s="123"/>
      <c r="W804" s="124"/>
      <c r="X804" s="178"/>
      <c r="Y804" s="126"/>
      <c r="Z804" s="126"/>
      <c r="AB804" s="31"/>
      <c r="AC804" s="31"/>
      <c r="AD804" s="31"/>
      <c r="AE804" s="1"/>
    </row>
    <row r="805">
      <c r="A805" s="104"/>
      <c r="C805" s="128"/>
      <c r="D805" s="74"/>
      <c r="E805" s="1"/>
      <c r="F805" s="1"/>
      <c r="G805" s="1"/>
      <c r="H805" s="118"/>
      <c r="I805" s="177"/>
      <c r="J805" s="31"/>
      <c r="K805" s="1"/>
      <c r="L805" s="120"/>
      <c r="M805" s="121"/>
      <c r="N805" s="121"/>
      <c r="O805" s="118"/>
      <c r="P805" s="118"/>
      <c r="Q805" s="31"/>
      <c r="R805" s="122"/>
      <c r="S805" s="121"/>
      <c r="T805" s="122"/>
      <c r="U805" s="121"/>
      <c r="V805" s="123"/>
      <c r="W805" s="124"/>
      <c r="X805" s="178"/>
      <c r="Y805" s="126"/>
      <c r="Z805" s="126"/>
      <c r="AB805" s="31"/>
      <c r="AC805" s="31"/>
      <c r="AD805" s="31"/>
      <c r="AE805" s="1"/>
    </row>
    <row r="806">
      <c r="A806" s="104"/>
      <c r="C806" s="128"/>
      <c r="D806" s="74"/>
      <c r="E806" s="1"/>
      <c r="F806" s="1"/>
      <c r="G806" s="1"/>
      <c r="H806" s="118"/>
      <c r="I806" s="177"/>
      <c r="J806" s="31"/>
      <c r="K806" s="1"/>
      <c r="L806" s="120"/>
      <c r="M806" s="121"/>
      <c r="N806" s="121"/>
      <c r="O806" s="118"/>
      <c r="P806" s="118"/>
      <c r="Q806" s="31"/>
      <c r="R806" s="122"/>
      <c r="S806" s="121"/>
      <c r="T806" s="122"/>
      <c r="U806" s="121"/>
      <c r="V806" s="123"/>
      <c r="W806" s="124"/>
      <c r="X806" s="178"/>
      <c r="Y806" s="126"/>
      <c r="Z806" s="126"/>
      <c r="AB806" s="31"/>
      <c r="AC806" s="31"/>
      <c r="AD806" s="31"/>
      <c r="AE806" s="1"/>
    </row>
    <row r="807">
      <c r="A807" s="104"/>
      <c r="C807" s="128"/>
      <c r="D807" s="74"/>
      <c r="E807" s="1"/>
      <c r="F807" s="1"/>
      <c r="G807" s="1"/>
      <c r="H807" s="118"/>
      <c r="I807" s="177"/>
      <c r="J807" s="31"/>
      <c r="K807" s="1"/>
      <c r="L807" s="120"/>
      <c r="M807" s="121"/>
      <c r="N807" s="121"/>
      <c r="O807" s="118"/>
      <c r="P807" s="118"/>
      <c r="Q807" s="31"/>
      <c r="R807" s="122"/>
      <c r="S807" s="121"/>
      <c r="T807" s="122"/>
      <c r="U807" s="121"/>
      <c r="V807" s="123"/>
      <c r="W807" s="124"/>
      <c r="X807" s="178"/>
      <c r="Y807" s="126"/>
      <c r="Z807" s="126"/>
      <c r="AB807" s="31"/>
      <c r="AC807" s="31"/>
      <c r="AD807" s="31"/>
      <c r="AE807" s="1"/>
    </row>
    <row r="808">
      <c r="A808" s="104"/>
      <c r="C808" s="128"/>
      <c r="D808" s="74"/>
      <c r="E808" s="1"/>
      <c r="F808" s="1"/>
      <c r="G808" s="1"/>
      <c r="H808" s="118"/>
      <c r="I808" s="177"/>
      <c r="J808" s="31"/>
      <c r="K808" s="1"/>
      <c r="L808" s="120"/>
      <c r="M808" s="121"/>
      <c r="N808" s="121"/>
      <c r="O808" s="118"/>
      <c r="P808" s="118"/>
      <c r="Q808" s="31"/>
      <c r="R808" s="122"/>
      <c r="S808" s="121"/>
      <c r="T808" s="122"/>
      <c r="U808" s="121"/>
      <c r="V808" s="123"/>
      <c r="W808" s="124"/>
      <c r="X808" s="178"/>
      <c r="Y808" s="126"/>
      <c r="Z808" s="126"/>
      <c r="AB808" s="31"/>
      <c r="AC808" s="31"/>
      <c r="AD808" s="31"/>
      <c r="AE808" s="1"/>
    </row>
    <row r="809">
      <c r="A809" s="104"/>
      <c r="C809" s="128"/>
      <c r="D809" s="74"/>
      <c r="E809" s="1"/>
      <c r="F809" s="1"/>
      <c r="G809" s="1"/>
      <c r="H809" s="118"/>
      <c r="I809" s="177"/>
      <c r="J809" s="31"/>
      <c r="K809" s="1"/>
      <c r="L809" s="120"/>
      <c r="M809" s="121"/>
      <c r="N809" s="121"/>
      <c r="O809" s="118"/>
      <c r="P809" s="118"/>
      <c r="Q809" s="31"/>
      <c r="R809" s="122"/>
      <c r="S809" s="121"/>
      <c r="T809" s="122"/>
      <c r="U809" s="121"/>
      <c r="V809" s="123"/>
      <c r="W809" s="124"/>
      <c r="X809" s="178"/>
      <c r="Y809" s="126"/>
      <c r="Z809" s="126"/>
      <c r="AB809" s="31"/>
      <c r="AC809" s="31"/>
      <c r="AD809" s="31"/>
      <c r="AE809" s="1"/>
    </row>
    <row r="810">
      <c r="A810" s="104"/>
      <c r="C810" s="128"/>
      <c r="D810" s="74"/>
      <c r="E810" s="1"/>
      <c r="F810" s="1"/>
      <c r="G810" s="1"/>
      <c r="H810" s="118"/>
      <c r="I810" s="177"/>
      <c r="J810" s="31"/>
      <c r="K810" s="1"/>
      <c r="L810" s="120"/>
      <c r="M810" s="121"/>
      <c r="N810" s="121"/>
      <c r="O810" s="118"/>
      <c r="P810" s="118"/>
      <c r="Q810" s="31"/>
      <c r="R810" s="122"/>
      <c r="S810" s="121"/>
      <c r="T810" s="122"/>
      <c r="U810" s="121"/>
      <c r="V810" s="123"/>
      <c r="W810" s="124"/>
      <c r="X810" s="178"/>
      <c r="Y810" s="126"/>
      <c r="Z810" s="126"/>
      <c r="AB810" s="31"/>
      <c r="AC810" s="31"/>
      <c r="AD810" s="31"/>
      <c r="AE810" s="1"/>
    </row>
    <row r="811">
      <c r="A811" s="104"/>
      <c r="C811" s="128"/>
      <c r="D811" s="74"/>
      <c r="E811" s="1"/>
      <c r="F811" s="1"/>
      <c r="G811" s="1"/>
      <c r="H811" s="118"/>
      <c r="I811" s="177"/>
      <c r="J811" s="31"/>
      <c r="K811" s="1"/>
      <c r="L811" s="120"/>
      <c r="M811" s="121"/>
      <c r="N811" s="121"/>
      <c r="O811" s="118"/>
      <c r="P811" s="118"/>
      <c r="Q811" s="31"/>
      <c r="R811" s="122"/>
      <c r="S811" s="121"/>
      <c r="T811" s="122"/>
      <c r="U811" s="121"/>
      <c r="V811" s="123"/>
      <c r="W811" s="124"/>
      <c r="X811" s="178"/>
      <c r="Y811" s="126"/>
      <c r="Z811" s="126"/>
      <c r="AB811" s="31"/>
      <c r="AC811" s="31"/>
      <c r="AD811" s="31"/>
      <c r="AE811" s="1"/>
    </row>
    <row r="812">
      <c r="A812" s="104"/>
      <c r="C812" s="128"/>
      <c r="D812" s="74"/>
      <c r="E812" s="1"/>
      <c r="F812" s="1"/>
      <c r="G812" s="1"/>
      <c r="H812" s="118"/>
      <c r="I812" s="177"/>
      <c r="J812" s="31"/>
      <c r="K812" s="1"/>
      <c r="L812" s="120"/>
      <c r="M812" s="121"/>
      <c r="N812" s="121"/>
      <c r="O812" s="118"/>
      <c r="P812" s="118"/>
      <c r="Q812" s="31"/>
      <c r="R812" s="122"/>
      <c r="S812" s="121"/>
      <c r="T812" s="122"/>
      <c r="U812" s="121"/>
      <c r="V812" s="123"/>
      <c r="W812" s="124"/>
      <c r="X812" s="178"/>
      <c r="Y812" s="126"/>
      <c r="Z812" s="126"/>
      <c r="AB812" s="31"/>
      <c r="AC812" s="31"/>
      <c r="AD812" s="31"/>
      <c r="AE812" s="1"/>
    </row>
    <row r="813">
      <c r="A813" s="104"/>
      <c r="C813" s="128"/>
      <c r="D813" s="74"/>
      <c r="E813" s="1"/>
      <c r="F813" s="1"/>
      <c r="G813" s="1"/>
      <c r="H813" s="118"/>
      <c r="I813" s="177"/>
      <c r="J813" s="31"/>
      <c r="K813" s="1"/>
      <c r="L813" s="120"/>
      <c r="M813" s="121"/>
      <c r="N813" s="121"/>
      <c r="O813" s="118"/>
      <c r="P813" s="118"/>
      <c r="Q813" s="31"/>
      <c r="R813" s="122"/>
      <c r="S813" s="121"/>
      <c r="T813" s="122"/>
      <c r="U813" s="121"/>
      <c r="V813" s="123"/>
      <c r="W813" s="124"/>
      <c r="X813" s="178"/>
      <c r="Y813" s="126"/>
      <c r="Z813" s="126"/>
      <c r="AB813" s="31"/>
      <c r="AC813" s="31"/>
      <c r="AD813" s="31"/>
      <c r="AE813" s="1"/>
    </row>
    <row r="814">
      <c r="A814" s="104"/>
      <c r="C814" s="128"/>
      <c r="D814" s="74"/>
      <c r="E814" s="1"/>
      <c r="F814" s="1"/>
      <c r="G814" s="1"/>
      <c r="H814" s="118"/>
      <c r="I814" s="177"/>
      <c r="J814" s="31"/>
      <c r="K814" s="1"/>
      <c r="L814" s="120"/>
      <c r="M814" s="121"/>
      <c r="N814" s="121"/>
      <c r="O814" s="118"/>
      <c r="P814" s="118"/>
      <c r="Q814" s="31"/>
      <c r="R814" s="122"/>
      <c r="S814" s="121"/>
      <c r="T814" s="122"/>
      <c r="U814" s="121"/>
      <c r="V814" s="123"/>
      <c r="W814" s="124"/>
      <c r="X814" s="178"/>
      <c r="Y814" s="126"/>
      <c r="Z814" s="126"/>
      <c r="AB814" s="31"/>
      <c r="AC814" s="31"/>
      <c r="AD814" s="31"/>
      <c r="AE814" s="1"/>
    </row>
    <row r="815">
      <c r="A815" s="104"/>
      <c r="C815" s="128"/>
      <c r="D815" s="74"/>
      <c r="E815" s="1"/>
      <c r="F815" s="1"/>
      <c r="G815" s="1"/>
      <c r="H815" s="118"/>
      <c r="I815" s="177"/>
      <c r="J815" s="31"/>
      <c r="K815" s="1"/>
      <c r="L815" s="120"/>
      <c r="M815" s="121"/>
      <c r="N815" s="121"/>
      <c r="O815" s="118"/>
      <c r="P815" s="118"/>
      <c r="Q815" s="31"/>
      <c r="R815" s="122"/>
      <c r="S815" s="121"/>
      <c r="T815" s="122"/>
      <c r="U815" s="121"/>
      <c r="V815" s="123"/>
      <c r="W815" s="124"/>
      <c r="X815" s="178"/>
      <c r="Y815" s="126"/>
      <c r="Z815" s="126"/>
      <c r="AB815" s="31"/>
      <c r="AC815" s="31"/>
      <c r="AD815" s="31"/>
      <c r="AE815" s="1"/>
    </row>
    <row r="816">
      <c r="A816" s="104"/>
      <c r="C816" s="128"/>
      <c r="D816" s="74"/>
      <c r="E816" s="1"/>
      <c r="F816" s="1"/>
      <c r="G816" s="1"/>
      <c r="H816" s="118"/>
      <c r="I816" s="177"/>
      <c r="J816" s="31"/>
      <c r="K816" s="1"/>
      <c r="L816" s="120"/>
      <c r="M816" s="121"/>
      <c r="N816" s="121"/>
      <c r="O816" s="118"/>
      <c r="P816" s="118"/>
      <c r="Q816" s="31"/>
      <c r="R816" s="122"/>
      <c r="S816" s="121"/>
      <c r="T816" s="122"/>
      <c r="U816" s="121"/>
      <c r="V816" s="123"/>
      <c r="W816" s="124"/>
      <c r="X816" s="178"/>
      <c r="Y816" s="126"/>
      <c r="Z816" s="126"/>
      <c r="AB816" s="31"/>
      <c r="AC816" s="31"/>
      <c r="AD816" s="31"/>
      <c r="AE816" s="1"/>
    </row>
    <row r="817">
      <c r="A817" s="104"/>
      <c r="C817" s="128"/>
      <c r="D817" s="74"/>
      <c r="E817" s="1"/>
      <c r="F817" s="1"/>
      <c r="G817" s="1"/>
      <c r="H817" s="118"/>
      <c r="I817" s="177"/>
      <c r="J817" s="31"/>
      <c r="K817" s="1"/>
      <c r="L817" s="120"/>
      <c r="M817" s="121"/>
      <c r="N817" s="121"/>
      <c r="O817" s="118"/>
      <c r="P817" s="118"/>
      <c r="Q817" s="31"/>
      <c r="R817" s="122"/>
      <c r="S817" s="121"/>
      <c r="T817" s="122"/>
      <c r="U817" s="121"/>
      <c r="V817" s="123"/>
      <c r="W817" s="124"/>
      <c r="X817" s="178"/>
      <c r="Y817" s="126"/>
      <c r="Z817" s="126"/>
      <c r="AB817" s="31"/>
      <c r="AC817" s="31"/>
      <c r="AD817" s="31"/>
      <c r="AE817" s="1"/>
    </row>
    <row r="818">
      <c r="A818" s="104"/>
      <c r="C818" s="128"/>
      <c r="D818" s="74"/>
      <c r="E818" s="1"/>
      <c r="F818" s="1"/>
      <c r="G818" s="1"/>
      <c r="H818" s="118"/>
      <c r="I818" s="177"/>
      <c r="J818" s="31"/>
      <c r="K818" s="1"/>
      <c r="L818" s="120"/>
      <c r="M818" s="121"/>
      <c r="N818" s="121"/>
      <c r="O818" s="118"/>
      <c r="P818" s="118"/>
      <c r="Q818" s="31"/>
      <c r="R818" s="122"/>
      <c r="S818" s="121"/>
      <c r="T818" s="122"/>
      <c r="U818" s="121"/>
      <c r="V818" s="123"/>
      <c r="W818" s="124"/>
      <c r="X818" s="178"/>
      <c r="Y818" s="126"/>
      <c r="Z818" s="126"/>
      <c r="AB818" s="31"/>
      <c r="AC818" s="31"/>
      <c r="AD818" s="31"/>
      <c r="AE818" s="1"/>
    </row>
    <row r="819">
      <c r="A819" s="104"/>
      <c r="C819" s="128"/>
      <c r="D819" s="74"/>
      <c r="E819" s="1"/>
      <c r="F819" s="1"/>
      <c r="G819" s="1"/>
      <c r="H819" s="118"/>
      <c r="I819" s="177"/>
      <c r="J819" s="31"/>
      <c r="K819" s="1"/>
      <c r="L819" s="120"/>
      <c r="M819" s="121"/>
      <c r="N819" s="121"/>
      <c r="O819" s="118"/>
      <c r="P819" s="118"/>
      <c r="Q819" s="31"/>
      <c r="R819" s="122"/>
      <c r="S819" s="121"/>
      <c r="T819" s="122"/>
      <c r="U819" s="121"/>
      <c r="V819" s="123"/>
      <c r="W819" s="124"/>
      <c r="X819" s="178"/>
      <c r="Y819" s="126"/>
      <c r="Z819" s="126"/>
      <c r="AB819" s="31"/>
      <c r="AC819" s="31"/>
      <c r="AD819" s="31"/>
      <c r="AE819" s="1"/>
    </row>
    <row r="820">
      <c r="A820" s="104"/>
      <c r="C820" s="128"/>
      <c r="D820" s="74"/>
      <c r="E820" s="1"/>
      <c r="F820" s="1"/>
      <c r="G820" s="1"/>
      <c r="H820" s="118"/>
      <c r="I820" s="177"/>
      <c r="J820" s="31"/>
      <c r="K820" s="1"/>
      <c r="L820" s="120"/>
      <c r="M820" s="121"/>
      <c r="N820" s="121"/>
      <c r="O820" s="118"/>
      <c r="P820" s="118"/>
      <c r="Q820" s="31"/>
      <c r="R820" s="122"/>
      <c r="S820" s="121"/>
      <c r="T820" s="122"/>
      <c r="U820" s="121"/>
      <c r="V820" s="123"/>
      <c r="W820" s="124"/>
      <c r="X820" s="178"/>
      <c r="Y820" s="126"/>
      <c r="Z820" s="126"/>
      <c r="AB820" s="31"/>
      <c r="AC820" s="31"/>
      <c r="AD820" s="31"/>
      <c r="AE820" s="1"/>
    </row>
    <row r="821">
      <c r="A821" s="104"/>
      <c r="C821" s="128"/>
      <c r="D821" s="74"/>
      <c r="E821" s="1"/>
      <c r="F821" s="1"/>
      <c r="G821" s="1"/>
      <c r="H821" s="118"/>
      <c r="I821" s="177"/>
      <c r="J821" s="31"/>
      <c r="K821" s="1"/>
      <c r="L821" s="120"/>
      <c r="M821" s="121"/>
      <c r="N821" s="121"/>
      <c r="O821" s="118"/>
      <c r="P821" s="118"/>
      <c r="Q821" s="31"/>
      <c r="R821" s="122"/>
      <c r="S821" s="121"/>
      <c r="T821" s="122"/>
      <c r="U821" s="121"/>
      <c r="V821" s="123"/>
      <c r="W821" s="124"/>
      <c r="X821" s="178"/>
      <c r="Y821" s="126"/>
      <c r="Z821" s="126"/>
      <c r="AB821" s="31"/>
      <c r="AC821" s="31"/>
      <c r="AD821" s="31"/>
      <c r="AE821" s="1"/>
    </row>
    <row r="822">
      <c r="A822" s="104"/>
      <c r="C822" s="128"/>
      <c r="D822" s="74"/>
      <c r="E822" s="1"/>
      <c r="F822" s="1"/>
      <c r="G822" s="1"/>
      <c r="H822" s="118"/>
      <c r="I822" s="177"/>
      <c r="J822" s="31"/>
      <c r="K822" s="1"/>
      <c r="L822" s="120"/>
      <c r="M822" s="121"/>
      <c r="N822" s="121"/>
      <c r="O822" s="118"/>
      <c r="P822" s="118"/>
      <c r="Q822" s="31"/>
      <c r="R822" s="122"/>
      <c r="S822" s="121"/>
      <c r="T822" s="122"/>
      <c r="U822" s="121"/>
      <c r="V822" s="123"/>
      <c r="W822" s="124"/>
      <c r="X822" s="178"/>
      <c r="Y822" s="126"/>
      <c r="Z822" s="126"/>
      <c r="AB822" s="31"/>
      <c r="AC822" s="31"/>
      <c r="AD822" s="31"/>
      <c r="AE822" s="1"/>
    </row>
    <row r="823">
      <c r="A823" s="104"/>
      <c r="C823" s="128"/>
      <c r="D823" s="74"/>
      <c r="E823" s="1"/>
      <c r="F823" s="1"/>
      <c r="G823" s="1"/>
      <c r="H823" s="118"/>
      <c r="I823" s="177"/>
      <c r="J823" s="31"/>
      <c r="K823" s="1"/>
      <c r="L823" s="120"/>
      <c r="M823" s="121"/>
      <c r="N823" s="121"/>
      <c r="O823" s="118"/>
      <c r="P823" s="118"/>
      <c r="Q823" s="31"/>
      <c r="R823" s="122"/>
      <c r="S823" s="121"/>
      <c r="T823" s="122"/>
      <c r="U823" s="121"/>
      <c r="V823" s="123"/>
      <c r="W823" s="124"/>
      <c r="X823" s="178"/>
      <c r="Y823" s="126"/>
      <c r="Z823" s="126"/>
      <c r="AB823" s="31"/>
      <c r="AC823" s="31"/>
      <c r="AD823" s="31"/>
      <c r="AE823" s="1"/>
    </row>
    <row r="824">
      <c r="A824" s="104"/>
      <c r="C824" s="128"/>
      <c r="D824" s="74"/>
      <c r="E824" s="1"/>
      <c r="F824" s="1"/>
      <c r="G824" s="1"/>
      <c r="H824" s="118"/>
      <c r="I824" s="177"/>
      <c r="J824" s="31"/>
      <c r="K824" s="1"/>
      <c r="L824" s="120"/>
      <c r="M824" s="121"/>
      <c r="N824" s="121"/>
      <c r="O824" s="118"/>
      <c r="P824" s="118"/>
      <c r="Q824" s="31"/>
      <c r="R824" s="122"/>
      <c r="S824" s="121"/>
      <c r="T824" s="122"/>
      <c r="U824" s="121"/>
      <c r="V824" s="123"/>
      <c r="W824" s="124"/>
      <c r="X824" s="178"/>
      <c r="Y824" s="126"/>
      <c r="Z824" s="126"/>
      <c r="AB824" s="31"/>
      <c r="AC824" s="31"/>
      <c r="AD824" s="31"/>
      <c r="AE824" s="1"/>
    </row>
    <row r="825">
      <c r="A825" s="104"/>
      <c r="C825" s="128"/>
      <c r="D825" s="74"/>
      <c r="E825" s="1"/>
      <c r="F825" s="1"/>
      <c r="G825" s="1"/>
      <c r="H825" s="118"/>
      <c r="I825" s="177"/>
      <c r="J825" s="31"/>
      <c r="K825" s="1"/>
      <c r="L825" s="120"/>
      <c r="M825" s="121"/>
      <c r="N825" s="121"/>
      <c r="O825" s="118"/>
      <c r="P825" s="118"/>
      <c r="Q825" s="31"/>
      <c r="R825" s="122"/>
      <c r="S825" s="121"/>
      <c r="T825" s="122"/>
      <c r="U825" s="121"/>
      <c r="V825" s="123"/>
      <c r="W825" s="124"/>
      <c r="X825" s="178"/>
      <c r="Y825" s="126"/>
      <c r="Z825" s="126"/>
      <c r="AB825" s="31"/>
      <c r="AC825" s="31"/>
      <c r="AD825" s="31"/>
      <c r="AE825" s="1"/>
    </row>
    <row r="826">
      <c r="A826" s="104"/>
      <c r="C826" s="128"/>
      <c r="D826" s="74"/>
      <c r="E826" s="1"/>
      <c r="F826" s="1"/>
      <c r="G826" s="1"/>
      <c r="H826" s="118"/>
      <c r="I826" s="177"/>
      <c r="J826" s="31"/>
      <c r="K826" s="1"/>
      <c r="L826" s="120"/>
      <c r="M826" s="121"/>
      <c r="N826" s="121"/>
      <c r="O826" s="118"/>
      <c r="P826" s="118"/>
      <c r="Q826" s="31"/>
      <c r="R826" s="122"/>
      <c r="S826" s="121"/>
      <c r="T826" s="122"/>
      <c r="U826" s="121"/>
      <c r="V826" s="123"/>
      <c r="W826" s="124"/>
      <c r="X826" s="178"/>
      <c r="Y826" s="126"/>
      <c r="Z826" s="126"/>
      <c r="AB826" s="31"/>
      <c r="AC826" s="31"/>
      <c r="AD826" s="31"/>
      <c r="AE826" s="1"/>
    </row>
    <row r="827">
      <c r="A827" s="104"/>
      <c r="C827" s="128"/>
      <c r="D827" s="74"/>
      <c r="E827" s="1"/>
      <c r="F827" s="1"/>
      <c r="G827" s="1"/>
      <c r="H827" s="118"/>
      <c r="I827" s="177"/>
      <c r="J827" s="31"/>
      <c r="K827" s="1"/>
      <c r="L827" s="120"/>
      <c r="M827" s="121"/>
      <c r="N827" s="121"/>
      <c r="O827" s="118"/>
      <c r="P827" s="118"/>
      <c r="Q827" s="31"/>
      <c r="R827" s="122"/>
      <c r="S827" s="121"/>
      <c r="T827" s="122"/>
      <c r="U827" s="121"/>
      <c r="V827" s="123"/>
      <c r="W827" s="124"/>
      <c r="X827" s="178"/>
      <c r="Y827" s="126"/>
      <c r="Z827" s="126"/>
      <c r="AB827" s="31"/>
      <c r="AC827" s="31"/>
      <c r="AD827" s="31"/>
      <c r="AE827" s="1"/>
    </row>
    <row r="828">
      <c r="A828" s="104"/>
      <c r="C828" s="128"/>
      <c r="D828" s="74"/>
      <c r="E828" s="1"/>
      <c r="F828" s="1"/>
      <c r="G828" s="1"/>
      <c r="H828" s="118"/>
      <c r="I828" s="177"/>
      <c r="J828" s="31"/>
      <c r="K828" s="1"/>
      <c r="L828" s="120"/>
      <c r="M828" s="121"/>
      <c r="N828" s="121"/>
      <c r="O828" s="118"/>
      <c r="P828" s="118"/>
      <c r="Q828" s="31"/>
      <c r="R828" s="122"/>
      <c r="S828" s="121"/>
      <c r="T828" s="122"/>
      <c r="U828" s="121"/>
      <c r="V828" s="123"/>
      <c r="W828" s="124"/>
      <c r="X828" s="178"/>
      <c r="Y828" s="126"/>
      <c r="Z828" s="126"/>
      <c r="AB828" s="31"/>
      <c r="AC828" s="31"/>
      <c r="AD828" s="31"/>
      <c r="AE828" s="1"/>
    </row>
    <row r="829">
      <c r="A829" s="104"/>
      <c r="C829" s="128"/>
      <c r="D829" s="74"/>
      <c r="E829" s="1"/>
      <c r="F829" s="1"/>
      <c r="G829" s="1"/>
      <c r="H829" s="118"/>
      <c r="I829" s="177"/>
      <c r="J829" s="31"/>
      <c r="K829" s="1"/>
      <c r="L829" s="120"/>
      <c r="M829" s="121"/>
      <c r="N829" s="121"/>
      <c r="O829" s="118"/>
      <c r="P829" s="118"/>
      <c r="Q829" s="31"/>
      <c r="R829" s="122"/>
      <c r="S829" s="121"/>
      <c r="T829" s="122"/>
      <c r="U829" s="121"/>
      <c r="V829" s="123"/>
      <c r="W829" s="124"/>
      <c r="X829" s="178"/>
      <c r="Y829" s="126"/>
      <c r="Z829" s="126"/>
      <c r="AB829" s="31"/>
      <c r="AC829" s="31"/>
      <c r="AD829" s="31"/>
      <c r="AE829" s="1"/>
    </row>
    <row r="830">
      <c r="A830" s="104"/>
      <c r="C830" s="128"/>
      <c r="D830" s="74"/>
      <c r="E830" s="1"/>
      <c r="F830" s="1"/>
      <c r="G830" s="1"/>
      <c r="H830" s="118"/>
      <c r="I830" s="177"/>
      <c r="J830" s="31"/>
      <c r="K830" s="1"/>
      <c r="L830" s="120"/>
      <c r="M830" s="121"/>
      <c r="N830" s="121"/>
      <c r="O830" s="118"/>
      <c r="P830" s="118"/>
      <c r="Q830" s="31"/>
      <c r="R830" s="122"/>
      <c r="S830" s="121"/>
      <c r="T830" s="122"/>
      <c r="U830" s="121"/>
      <c r="V830" s="123"/>
      <c r="W830" s="124"/>
      <c r="X830" s="178"/>
      <c r="Y830" s="126"/>
      <c r="Z830" s="126"/>
      <c r="AB830" s="31"/>
      <c r="AC830" s="31"/>
      <c r="AD830" s="31"/>
      <c r="AE830" s="1"/>
    </row>
    <row r="831">
      <c r="A831" s="104"/>
      <c r="C831" s="128"/>
      <c r="D831" s="74"/>
      <c r="E831" s="1"/>
      <c r="F831" s="1"/>
      <c r="G831" s="1"/>
      <c r="H831" s="118"/>
      <c r="I831" s="177"/>
      <c r="J831" s="31"/>
      <c r="K831" s="1"/>
      <c r="L831" s="120"/>
      <c r="M831" s="121"/>
      <c r="N831" s="121"/>
      <c r="O831" s="118"/>
      <c r="P831" s="118"/>
      <c r="Q831" s="31"/>
      <c r="R831" s="122"/>
      <c r="S831" s="121"/>
      <c r="T831" s="122"/>
      <c r="U831" s="121"/>
      <c r="V831" s="123"/>
      <c r="W831" s="124"/>
      <c r="X831" s="178"/>
      <c r="Y831" s="126"/>
      <c r="Z831" s="126"/>
      <c r="AB831" s="31"/>
      <c r="AC831" s="31"/>
      <c r="AD831" s="31"/>
      <c r="AE831" s="1"/>
    </row>
    <row r="832">
      <c r="A832" s="104"/>
      <c r="C832" s="128"/>
      <c r="D832" s="74"/>
      <c r="E832" s="1"/>
      <c r="F832" s="1"/>
      <c r="G832" s="1"/>
      <c r="H832" s="118"/>
      <c r="I832" s="177"/>
      <c r="J832" s="31"/>
      <c r="K832" s="1"/>
      <c r="L832" s="120"/>
      <c r="M832" s="121"/>
      <c r="N832" s="121"/>
      <c r="O832" s="118"/>
      <c r="P832" s="118"/>
      <c r="Q832" s="31"/>
      <c r="R832" s="122"/>
      <c r="S832" s="121"/>
      <c r="T832" s="122"/>
      <c r="U832" s="121"/>
      <c r="V832" s="123"/>
      <c r="W832" s="124"/>
      <c r="X832" s="178"/>
      <c r="Y832" s="126"/>
      <c r="Z832" s="126"/>
      <c r="AB832" s="31"/>
      <c r="AC832" s="31"/>
      <c r="AD832" s="31"/>
      <c r="AE832" s="1"/>
    </row>
    <row r="833">
      <c r="A833" s="104"/>
      <c r="C833" s="128"/>
      <c r="D833" s="74"/>
      <c r="E833" s="1"/>
      <c r="F833" s="1"/>
      <c r="G833" s="1"/>
      <c r="H833" s="118"/>
      <c r="I833" s="177"/>
      <c r="J833" s="31"/>
      <c r="K833" s="1"/>
      <c r="L833" s="120"/>
      <c r="M833" s="121"/>
      <c r="N833" s="121"/>
      <c r="O833" s="118"/>
      <c r="P833" s="118"/>
      <c r="Q833" s="31"/>
      <c r="R833" s="122"/>
      <c r="S833" s="121"/>
      <c r="T833" s="122"/>
      <c r="U833" s="121"/>
      <c r="V833" s="123"/>
      <c r="W833" s="124"/>
      <c r="X833" s="178"/>
      <c r="Y833" s="126"/>
      <c r="Z833" s="126"/>
      <c r="AB833" s="31"/>
      <c r="AC833" s="31"/>
      <c r="AD833" s="31"/>
      <c r="AE833" s="1"/>
    </row>
    <row r="834">
      <c r="A834" s="104"/>
      <c r="C834" s="128"/>
      <c r="D834" s="74"/>
      <c r="E834" s="1"/>
      <c r="F834" s="1"/>
      <c r="G834" s="1"/>
      <c r="H834" s="118"/>
      <c r="I834" s="177"/>
      <c r="J834" s="31"/>
      <c r="K834" s="1"/>
      <c r="L834" s="120"/>
      <c r="M834" s="121"/>
      <c r="N834" s="121"/>
      <c r="O834" s="118"/>
      <c r="P834" s="118"/>
      <c r="Q834" s="31"/>
      <c r="R834" s="122"/>
      <c r="S834" s="121"/>
      <c r="T834" s="122"/>
      <c r="U834" s="121"/>
      <c r="V834" s="123"/>
      <c r="W834" s="124"/>
      <c r="X834" s="178"/>
      <c r="Y834" s="126"/>
      <c r="Z834" s="126"/>
      <c r="AB834" s="31"/>
      <c r="AC834" s="31"/>
      <c r="AD834" s="31"/>
      <c r="AE834" s="1"/>
    </row>
    <row r="835">
      <c r="A835" s="104"/>
      <c r="C835" s="128"/>
      <c r="D835" s="74"/>
      <c r="E835" s="1"/>
      <c r="F835" s="1"/>
      <c r="G835" s="1"/>
      <c r="H835" s="118"/>
      <c r="I835" s="177"/>
      <c r="J835" s="31"/>
      <c r="K835" s="1"/>
      <c r="L835" s="120"/>
      <c r="M835" s="121"/>
      <c r="N835" s="121"/>
      <c r="O835" s="118"/>
      <c r="P835" s="118"/>
      <c r="Q835" s="31"/>
      <c r="R835" s="122"/>
      <c r="S835" s="121"/>
      <c r="T835" s="122"/>
      <c r="U835" s="121"/>
      <c r="V835" s="123"/>
      <c r="W835" s="124"/>
      <c r="X835" s="178"/>
      <c r="Y835" s="126"/>
      <c r="Z835" s="126"/>
      <c r="AB835" s="31"/>
      <c r="AC835" s="31"/>
      <c r="AD835" s="31"/>
      <c r="AE835" s="1"/>
    </row>
    <row r="836">
      <c r="A836" s="104"/>
      <c r="C836" s="128"/>
      <c r="D836" s="74"/>
      <c r="E836" s="1"/>
      <c r="F836" s="1"/>
      <c r="G836" s="1"/>
      <c r="H836" s="118"/>
      <c r="I836" s="177"/>
      <c r="J836" s="31"/>
      <c r="K836" s="1"/>
      <c r="L836" s="120"/>
      <c r="M836" s="121"/>
      <c r="N836" s="121"/>
      <c r="O836" s="118"/>
      <c r="P836" s="118"/>
      <c r="Q836" s="31"/>
      <c r="R836" s="122"/>
      <c r="S836" s="121"/>
      <c r="T836" s="122"/>
      <c r="U836" s="121"/>
      <c r="V836" s="123"/>
      <c r="W836" s="124"/>
      <c r="X836" s="178"/>
      <c r="Y836" s="126"/>
      <c r="Z836" s="126"/>
      <c r="AB836" s="31"/>
      <c r="AC836" s="31"/>
      <c r="AD836" s="31"/>
      <c r="AE836" s="1"/>
    </row>
    <row r="837">
      <c r="A837" s="104"/>
      <c r="C837" s="128"/>
      <c r="D837" s="74"/>
      <c r="E837" s="1"/>
      <c r="F837" s="1"/>
      <c r="G837" s="1"/>
      <c r="H837" s="118"/>
      <c r="I837" s="177"/>
      <c r="J837" s="31"/>
      <c r="K837" s="1"/>
      <c r="L837" s="120"/>
      <c r="M837" s="121"/>
      <c r="N837" s="121"/>
      <c r="O837" s="118"/>
      <c r="P837" s="118"/>
      <c r="Q837" s="31"/>
      <c r="R837" s="122"/>
      <c r="S837" s="121"/>
      <c r="T837" s="122"/>
      <c r="U837" s="121"/>
      <c r="V837" s="123"/>
      <c r="W837" s="124"/>
      <c r="X837" s="178"/>
      <c r="Y837" s="126"/>
      <c r="Z837" s="126"/>
      <c r="AB837" s="31"/>
      <c r="AC837" s="31"/>
      <c r="AD837" s="31"/>
      <c r="AE837" s="1"/>
    </row>
    <row r="838">
      <c r="A838" s="104"/>
      <c r="C838" s="128"/>
      <c r="D838" s="74"/>
      <c r="E838" s="1"/>
      <c r="F838" s="1"/>
      <c r="G838" s="1"/>
      <c r="H838" s="118"/>
      <c r="I838" s="177"/>
      <c r="J838" s="31"/>
      <c r="K838" s="1"/>
      <c r="L838" s="120"/>
      <c r="M838" s="121"/>
      <c r="N838" s="121"/>
      <c r="O838" s="118"/>
      <c r="P838" s="118"/>
      <c r="Q838" s="31"/>
      <c r="R838" s="122"/>
      <c r="S838" s="121"/>
      <c r="T838" s="122"/>
      <c r="U838" s="121"/>
      <c r="V838" s="123"/>
      <c r="W838" s="124"/>
      <c r="X838" s="178"/>
      <c r="Y838" s="126"/>
      <c r="Z838" s="126"/>
      <c r="AB838" s="31"/>
      <c r="AC838" s="31"/>
      <c r="AD838" s="31"/>
      <c r="AE838" s="1"/>
    </row>
    <row r="839">
      <c r="A839" s="104"/>
      <c r="C839" s="128"/>
      <c r="D839" s="74"/>
      <c r="E839" s="1"/>
      <c r="F839" s="1"/>
      <c r="G839" s="1"/>
      <c r="H839" s="118"/>
      <c r="I839" s="177"/>
      <c r="J839" s="31"/>
      <c r="K839" s="1"/>
      <c r="L839" s="120"/>
      <c r="M839" s="121"/>
      <c r="N839" s="121"/>
      <c r="O839" s="118"/>
      <c r="P839" s="118"/>
      <c r="Q839" s="31"/>
      <c r="R839" s="122"/>
      <c r="S839" s="121"/>
      <c r="T839" s="122"/>
      <c r="U839" s="121"/>
      <c r="V839" s="123"/>
      <c r="W839" s="124"/>
      <c r="X839" s="178"/>
      <c r="Y839" s="126"/>
      <c r="Z839" s="126"/>
      <c r="AB839" s="31"/>
      <c r="AC839" s="31"/>
      <c r="AD839" s="31"/>
      <c r="AE839" s="1"/>
    </row>
    <row r="840">
      <c r="A840" s="104"/>
      <c r="C840" s="128"/>
      <c r="D840" s="74"/>
      <c r="E840" s="1"/>
      <c r="F840" s="1"/>
      <c r="G840" s="1"/>
      <c r="H840" s="118"/>
      <c r="I840" s="177"/>
      <c r="J840" s="31"/>
      <c r="K840" s="1"/>
      <c r="L840" s="120"/>
      <c r="M840" s="121"/>
      <c r="N840" s="121"/>
      <c r="O840" s="118"/>
      <c r="P840" s="118"/>
      <c r="Q840" s="31"/>
      <c r="R840" s="122"/>
      <c r="S840" s="121"/>
      <c r="T840" s="122"/>
      <c r="U840" s="121"/>
      <c r="V840" s="123"/>
      <c r="W840" s="124"/>
      <c r="X840" s="178"/>
      <c r="Y840" s="126"/>
      <c r="Z840" s="126"/>
      <c r="AB840" s="31"/>
      <c r="AC840" s="31"/>
      <c r="AD840" s="31"/>
      <c r="AE840" s="1"/>
    </row>
    <row r="841">
      <c r="A841" s="104"/>
      <c r="C841" s="128"/>
      <c r="D841" s="74"/>
      <c r="E841" s="1"/>
      <c r="F841" s="1"/>
      <c r="G841" s="1"/>
      <c r="H841" s="118"/>
      <c r="I841" s="177"/>
      <c r="J841" s="31"/>
      <c r="K841" s="1"/>
      <c r="L841" s="120"/>
      <c r="M841" s="121"/>
      <c r="N841" s="121"/>
      <c r="O841" s="118"/>
      <c r="P841" s="118"/>
      <c r="Q841" s="31"/>
      <c r="R841" s="122"/>
      <c r="S841" s="121"/>
      <c r="T841" s="122"/>
      <c r="U841" s="121"/>
      <c r="V841" s="123"/>
      <c r="W841" s="124"/>
      <c r="X841" s="178"/>
      <c r="Y841" s="126"/>
      <c r="Z841" s="126"/>
      <c r="AB841" s="31"/>
      <c r="AC841" s="31"/>
      <c r="AD841" s="31"/>
      <c r="AE841" s="1"/>
    </row>
    <row r="842">
      <c r="A842" s="104"/>
      <c r="C842" s="128"/>
      <c r="D842" s="74"/>
      <c r="E842" s="1"/>
      <c r="F842" s="1"/>
      <c r="G842" s="1"/>
      <c r="H842" s="118"/>
      <c r="I842" s="177"/>
      <c r="J842" s="31"/>
      <c r="K842" s="1"/>
      <c r="L842" s="120"/>
      <c r="M842" s="121"/>
      <c r="N842" s="121"/>
      <c r="O842" s="118"/>
      <c r="P842" s="118"/>
      <c r="Q842" s="31"/>
      <c r="R842" s="122"/>
      <c r="S842" s="121"/>
      <c r="T842" s="122"/>
      <c r="U842" s="121"/>
      <c r="V842" s="123"/>
      <c r="W842" s="124"/>
      <c r="X842" s="178"/>
      <c r="Y842" s="126"/>
      <c r="Z842" s="126"/>
      <c r="AB842" s="31"/>
      <c r="AC842" s="31"/>
      <c r="AD842" s="31"/>
      <c r="AE842" s="1"/>
    </row>
    <row r="843">
      <c r="A843" s="104"/>
      <c r="C843" s="128"/>
      <c r="D843" s="74"/>
      <c r="E843" s="1"/>
      <c r="F843" s="1"/>
      <c r="G843" s="1"/>
      <c r="H843" s="118"/>
      <c r="I843" s="177"/>
      <c r="J843" s="31"/>
      <c r="K843" s="1"/>
      <c r="L843" s="120"/>
      <c r="M843" s="121"/>
      <c r="N843" s="121"/>
      <c r="O843" s="118"/>
      <c r="P843" s="118"/>
      <c r="Q843" s="31"/>
      <c r="R843" s="122"/>
      <c r="S843" s="121"/>
      <c r="T843" s="122"/>
      <c r="U843" s="121"/>
      <c r="V843" s="123"/>
      <c r="W843" s="124"/>
      <c r="X843" s="178"/>
      <c r="Y843" s="126"/>
      <c r="Z843" s="126"/>
      <c r="AB843" s="31"/>
      <c r="AC843" s="31"/>
      <c r="AD843" s="31"/>
      <c r="AE843" s="1"/>
    </row>
    <row r="844">
      <c r="A844" s="104"/>
      <c r="C844" s="128"/>
      <c r="D844" s="74"/>
      <c r="E844" s="1"/>
      <c r="F844" s="1"/>
      <c r="G844" s="1"/>
      <c r="H844" s="118"/>
      <c r="I844" s="177"/>
      <c r="J844" s="31"/>
      <c r="K844" s="1"/>
      <c r="L844" s="120"/>
      <c r="M844" s="121"/>
      <c r="N844" s="121"/>
      <c r="O844" s="118"/>
      <c r="P844" s="118"/>
      <c r="Q844" s="31"/>
      <c r="R844" s="122"/>
      <c r="S844" s="121"/>
      <c r="T844" s="122"/>
      <c r="U844" s="121"/>
      <c r="V844" s="123"/>
      <c r="W844" s="124"/>
      <c r="X844" s="178"/>
      <c r="Y844" s="126"/>
      <c r="Z844" s="126"/>
      <c r="AB844" s="31"/>
      <c r="AC844" s="31"/>
      <c r="AD844" s="31"/>
      <c r="AE844" s="1"/>
    </row>
    <row r="845">
      <c r="A845" s="104"/>
      <c r="C845" s="128"/>
      <c r="D845" s="74"/>
      <c r="E845" s="1"/>
      <c r="F845" s="1"/>
      <c r="G845" s="1"/>
      <c r="H845" s="118"/>
      <c r="I845" s="177"/>
      <c r="J845" s="31"/>
      <c r="K845" s="1"/>
      <c r="L845" s="120"/>
      <c r="M845" s="121"/>
      <c r="N845" s="121"/>
      <c r="O845" s="118"/>
      <c r="P845" s="118"/>
      <c r="Q845" s="31"/>
      <c r="R845" s="122"/>
      <c r="S845" s="121"/>
      <c r="T845" s="122"/>
      <c r="U845" s="121"/>
      <c r="V845" s="123"/>
      <c r="W845" s="124"/>
      <c r="X845" s="178"/>
      <c r="Y845" s="126"/>
      <c r="Z845" s="126"/>
      <c r="AB845" s="31"/>
      <c r="AC845" s="31"/>
      <c r="AD845" s="31"/>
      <c r="AE845" s="1"/>
    </row>
    <row r="846">
      <c r="A846" s="104"/>
      <c r="C846" s="128"/>
      <c r="D846" s="74"/>
      <c r="E846" s="1"/>
      <c r="F846" s="1"/>
      <c r="G846" s="1"/>
      <c r="H846" s="118"/>
      <c r="I846" s="177"/>
      <c r="J846" s="31"/>
      <c r="K846" s="1"/>
      <c r="L846" s="120"/>
      <c r="M846" s="121"/>
      <c r="N846" s="121"/>
      <c r="O846" s="118"/>
      <c r="P846" s="118"/>
      <c r="Q846" s="31"/>
      <c r="R846" s="122"/>
      <c r="S846" s="121"/>
      <c r="T846" s="122"/>
      <c r="U846" s="121"/>
      <c r="V846" s="123"/>
      <c r="W846" s="124"/>
      <c r="X846" s="178"/>
      <c r="Y846" s="126"/>
      <c r="Z846" s="126"/>
      <c r="AB846" s="31"/>
      <c r="AC846" s="31"/>
      <c r="AD846" s="31"/>
      <c r="AE846" s="1"/>
    </row>
    <row r="847">
      <c r="A847" s="104"/>
      <c r="C847" s="128"/>
      <c r="D847" s="74"/>
      <c r="E847" s="1"/>
      <c r="F847" s="1"/>
      <c r="G847" s="1"/>
      <c r="H847" s="118"/>
      <c r="I847" s="177"/>
      <c r="J847" s="31"/>
      <c r="K847" s="1"/>
      <c r="L847" s="120"/>
      <c r="M847" s="121"/>
      <c r="N847" s="121"/>
      <c r="O847" s="118"/>
      <c r="P847" s="118"/>
      <c r="Q847" s="31"/>
      <c r="R847" s="122"/>
      <c r="S847" s="121"/>
      <c r="T847" s="122"/>
      <c r="U847" s="121"/>
      <c r="V847" s="123"/>
      <c r="W847" s="124"/>
      <c r="X847" s="178"/>
      <c r="Y847" s="126"/>
      <c r="Z847" s="126"/>
      <c r="AB847" s="31"/>
      <c r="AC847" s="31"/>
      <c r="AD847" s="31"/>
      <c r="AE847" s="1"/>
    </row>
    <row r="848">
      <c r="A848" s="104"/>
      <c r="C848" s="128"/>
      <c r="D848" s="74"/>
      <c r="E848" s="1"/>
      <c r="F848" s="1"/>
      <c r="G848" s="1"/>
      <c r="H848" s="118"/>
      <c r="I848" s="177"/>
      <c r="J848" s="31"/>
      <c r="K848" s="1"/>
      <c r="L848" s="120"/>
      <c r="M848" s="121"/>
      <c r="N848" s="121"/>
      <c r="O848" s="118"/>
      <c r="P848" s="118"/>
      <c r="Q848" s="31"/>
      <c r="R848" s="122"/>
      <c r="S848" s="121"/>
      <c r="T848" s="122"/>
      <c r="U848" s="121"/>
      <c r="V848" s="123"/>
      <c r="W848" s="124"/>
      <c r="X848" s="178"/>
      <c r="Y848" s="126"/>
      <c r="Z848" s="126"/>
      <c r="AB848" s="31"/>
      <c r="AC848" s="31"/>
      <c r="AD848" s="31"/>
      <c r="AE848" s="1"/>
    </row>
    <row r="849">
      <c r="A849" s="104"/>
      <c r="C849" s="128"/>
      <c r="D849" s="74"/>
      <c r="E849" s="1"/>
      <c r="F849" s="1"/>
      <c r="G849" s="1"/>
      <c r="H849" s="118"/>
      <c r="I849" s="177"/>
      <c r="J849" s="31"/>
      <c r="K849" s="1"/>
      <c r="L849" s="120"/>
      <c r="M849" s="121"/>
      <c r="N849" s="121"/>
      <c r="O849" s="118"/>
      <c r="P849" s="118"/>
      <c r="Q849" s="31"/>
      <c r="R849" s="122"/>
      <c r="S849" s="121"/>
      <c r="T849" s="122"/>
      <c r="U849" s="121"/>
      <c r="V849" s="123"/>
      <c r="W849" s="124"/>
      <c r="X849" s="178"/>
      <c r="Y849" s="126"/>
      <c r="Z849" s="126"/>
      <c r="AB849" s="31"/>
      <c r="AC849" s="31"/>
      <c r="AD849" s="31"/>
      <c r="AE849" s="1"/>
    </row>
    <row r="850">
      <c r="A850" s="104"/>
      <c r="C850" s="128"/>
      <c r="D850" s="74"/>
      <c r="E850" s="1"/>
      <c r="F850" s="1"/>
      <c r="G850" s="1"/>
      <c r="H850" s="118"/>
      <c r="I850" s="177"/>
      <c r="J850" s="31"/>
      <c r="K850" s="1"/>
      <c r="L850" s="120"/>
      <c r="M850" s="121"/>
      <c r="N850" s="121"/>
      <c r="O850" s="118"/>
      <c r="P850" s="118"/>
      <c r="Q850" s="31"/>
      <c r="R850" s="122"/>
      <c r="S850" s="121"/>
      <c r="T850" s="122"/>
      <c r="U850" s="121"/>
      <c r="V850" s="123"/>
      <c r="W850" s="124"/>
      <c r="X850" s="178"/>
      <c r="Y850" s="126"/>
      <c r="Z850" s="126"/>
      <c r="AB850" s="31"/>
      <c r="AC850" s="31"/>
      <c r="AD850" s="31"/>
      <c r="AE850" s="1"/>
    </row>
    <row r="851">
      <c r="A851" s="104"/>
      <c r="C851" s="128"/>
      <c r="D851" s="74"/>
      <c r="E851" s="1"/>
      <c r="F851" s="1"/>
      <c r="G851" s="1"/>
      <c r="H851" s="118"/>
      <c r="I851" s="177"/>
      <c r="J851" s="31"/>
      <c r="K851" s="1"/>
      <c r="L851" s="120"/>
      <c r="M851" s="121"/>
      <c r="N851" s="121"/>
      <c r="O851" s="118"/>
      <c r="P851" s="118"/>
      <c r="Q851" s="31"/>
      <c r="R851" s="122"/>
      <c r="S851" s="121"/>
      <c r="T851" s="122"/>
      <c r="U851" s="121"/>
      <c r="V851" s="123"/>
      <c r="W851" s="124"/>
      <c r="X851" s="178"/>
      <c r="Y851" s="126"/>
      <c r="Z851" s="126"/>
      <c r="AB851" s="31"/>
      <c r="AC851" s="31"/>
      <c r="AD851" s="31"/>
      <c r="AE851" s="1"/>
    </row>
    <row r="852">
      <c r="A852" s="104"/>
      <c r="C852" s="128"/>
      <c r="D852" s="74"/>
      <c r="E852" s="1"/>
      <c r="F852" s="1"/>
      <c r="G852" s="1"/>
      <c r="H852" s="118"/>
      <c r="I852" s="177"/>
      <c r="J852" s="31"/>
      <c r="K852" s="1"/>
      <c r="L852" s="120"/>
      <c r="M852" s="121"/>
      <c r="N852" s="121"/>
      <c r="O852" s="118"/>
      <c r="P852" s="118"/>
      <c r="Q852" s="31"/>
      <c r="R852" s="122"/>
      <c r="S852" s="121"/>
      <c r="T852" s="122"/>
      <c r="U852" s="121"/>
      <c r="V852" s="123"/>
      <c r="W852" s="124"/>
      <c r="X852" s="178"/>
      <c r="Y852" s="126"/>
      <c r="Z852" s="126"/>
      <c r="AB852" s="31"/>
      <c r="AC852" s="31"/>
      <c r="AD852" s="31"/>
      <c r="AE852" s="1"/>
    </row>
    <row r="853">
      <c r="A853" s="104"/>
      <c r="C853" s="128"/>
      <c r="D853" s="74"/>
      <c r="E853" s="1"/>
      <c r="F853" s="1"/>
      <c r="G853" s="1"/>
      <c r="H853" s="118"/>
      <c r="I853" s="177"/>
      <c r="J853" s="31"/>
      <c r="K853" s="1"/>
      <c r="L853" s="120"/>
      <c r="M853" s="121"/>
      <c r="N853" s="121"/>
      <c r="O853" s="118"/>
      <c r="P853" s="118"/>
      <c r="Q853" s="31"/>
      <c r="R853" s="122"/>
      <c r="S853" s="121"/>
      <c r="T853" s="122"/>
      <c r="U853" s="121"/>
      <c r="V853" s="123"/>
      <c r="W853" s="124"/>
      <c r="X853" s="178"/>
      <c r="Y853" s="126"/>
      <c r="Z853" s="126"/>
      <c r="AB853" s="31"/>
      <c r="AC853" s="31"/>
      <c r="AD853" s="31"/>
      <c r="AE853" s="1"/>
    </row>
    <row r="854">
      <c r="A854" s="104"/>
      <c r="C854" s="128"/>
      <c r="D854" s="74"/>
      <c r="E854" s="1"/>
      <c r="F854" s="1"/>
      <c r="G854" s="1"/>
      <c r="H854" s="118"/>
      <c r="I854" s="177"/>
      <c r="J854" s="31"/>
      <c r="K854" s="1"/>
      <c r="L854" s="120"/>
      <c r="M854" s="121"/>
      <c r="N854" s="121"/>
      <c r="O854" s="118"/>
      <c r="P854" s="118"/>
      <c r="Q854" s="31"/>
      <c r="R854" s="122"/>
      <c r="S854" s="121"/>
      <c r="T854" s="122"/>
      <c r="U854" s="121"/>
      <c r="V854" s="123"/>
      <c r="W854" s="124"/>
      <c r="X854" s="178"/>
      <c r="Y854" s="126"/>
      <c r="Z854" s="126"/>
      <c r="AB854" s="31"/>
      <c r="AC854" s="31"/>
      <c r="AD854" s="31"/>
      <c r="AE854" s="1"/>
    </row>
    <row r="855">
      <c r="A855" s="104"/>
      <c r="C855" s="128"/>
      <c r="D855" s="74"/>
      <c r="E855" s="1"/>
      <c r="F855" s="1"/>
      <c r="G855" s="1"/>
      <c r="H855" s="118"/>
      <c r="I855" s="177"/>
      <c r="J855" s="31"/>
      <c r="K855" s="1"/>
      <c r="L855" s="120"/>
      <c r="M855" s="121"/>
      <c r="N855" s="121"/>
      <c r="O855" s="118"/>
      <c r="P855" s="118"/>
      <c r="Q855" s="31"/>
      <c r="R855" s="122"/>
      <c r="S855" s="121"/>
      <c r="T855" s="122"/>
      <c r="U855" s="121"/>
      <c r="V855" s="123"/>
      <c r="W855" s="124"/>
      <c r="X855" s="178"/>
      <c r="Y855" s="126"/>
      <c r="Z855" s="126"/>
      <c r="AB855" s="31"/>
      <c r="AC855" s="31"/>
      <c r="AD855" s="31"/>
      <c r="AE855" s="1"/>
    </row>
    <row r="856">
      <c r="A856" s="104"/>
      <c r="C856" s="128"/>
      <c r="D856" s="74"/>
      <c r="E856" s="1"/>
      <c r="F856" s="1"/>
      <c r="G856" s="1"/>
      <c r="H856" s="118"/>
      <c r="I856" s="177"/>
      <c r="J856" s="31"/>
      <c r="K856" s="1"/>
      <c r="L856" s="120"/>
      <c r="M856" s="121"/>
      <c r="N856" s="121"/>
      <c r="O856" s="118"/>
      <c r="P856" s="118"/>
      <c r="Q856" s="31"/>
      <c r="R856" s="122"/>
      <c r="S856" s="121"/>
      <c r="T856" s="122"/>
      <c r="U856" s="121"/>
      <c r="V856" s="123"/>
      <c r="W856" s="124"/>
      <c r="X856" s="178"/>
      <c r="Y856" s="126"/>
      <c r="Z856" s="126"/>
      <c r="AB856" s="31"/>
      <c r="AC856" s="31"/>
      <c r="AD856" s="31"/>
      <c r="AE856" s="1"/>
    </row>
    <row r="857">
      <c r="A857" s="104"/>
      <c r="C857" s="128"/>
      <c r="D857" s="74"/>
      <c r="E857" s="1"/>
      <c r="F857" s="1"/>
      <c r="G857" s="1"/>
      <c r="H857" s="118"/>
      <c r="I857" s="177"/>
      <c r="J857" s="31"/>
      <c r="K857" s="1"/>
      <c r="L857" s="120"/>
      <c r="M857" s="121"/>
      <c r="N857" s="121"/>
      <c r="O857" s="118"/>
      <c r="P857" s="118"/>
      <c r="Q857" s="31"/>
      <c r="R857" s="122"/>
      <c r="S857" s="121"/>
      <c r="T857" s="122"/>
      <c r="U857" s="121"/>
      <c r="V857" s="123"/>
      <c r="W857" s="124"/>
      <c r="X857" s="178"/>
      <c r="Y857" s="126"/>
      <c r="Z857" s="126"/>
      <c r="AB857" s="31"/>
      <c r="AC857" s="31"/>
      <c r="AD857" s="31"/>
      <c r="AE857" s="1"/>
    </row>
    <row r="858">
      <c r="A858" s="104"/>
      <c r="C858" s="128"/>
      <c r="D858" s="74"/>
      <c r="E858" s="1"/>
      <c r="F858" s="1"/>
      <c r="G858" s="1"/>
      <c r="H858" s="118"/>
      <c r="I858" s="177"/>
      <c r="J858" s="31"/>
      <c r="K858" s="1"/>
      <c r="L858" s="120"/>
      <c r="M858" s="121"/>
      <c r="N858" s="121"/>
      <c r="O858" s="118"/>
      <c r="P858" s="118"/>
      <c r="Q858" s="31"/>
      <c r="R858" s="122"/>
      <c r="S858" s="121"/>
      <c r="T858" s="122"/>
      <c r="U858" s="121"/>
      <c r="V858" s="123"/>
      <c r="W858" s="124"/>
      <c r="X858" s="178"/>
      <c r="Y858" s="126"/>
      <c r="Z858" s="126"/>
      <c r="AB858" s="31"/>
      <c r="AC858" s="31"/>
      <c r="AD858" s="31"/>
      <c r="AE858" s="1"/>
    </row>
    <row r="859">
      <c r="A859" s="104"/>
      <c r="C859" s="128"/>
      <c r="D859" s="74"/>
      <c r="E859" s="1"/>
      <c r="F859" s="1"/>
      <c r="G859" s="1"/>
      <c r="H859" s="118"/>
      <c r="I859" s="177"/>
      <c r="J859" s="31"/>
      <c r="K859" s="1"/>
      <c r="L859" s="120"/>
      <c r="M859" s="121"/>
      <c r="N859" s="121"/>
      <c r="O859" s="118"/>
      <c r="P859" s="118"/>
      <c r="Q859" s="31"/>
      <c r="R859" s="122"/>
      <c r="S859" s="121"/>
      <c r="T859" s="122"/>
      <c r="U859" s="121"/>
      <c r="V859" s="123"/>
      <c r="W859" s="124"/>
      <c r="X859" s="178"/>
      <c r="Y859" s="126"/>
      <c r="Z859" s="126"/>
      <c r="AB859" s="31"/>
      <c r="AC859" s="31"/>
      <c r="AD859" s="31"/>
      <c r="AE859" s="1"/>
    </row>
    <row r="860">
      <c r="A860" s="104"/>
      <c r="C860" s="128"/>
      <c r="D860" s="74"/>
      <c r="E860" s="1"/>
      <c r="F860" s="1"/>
      <c r="G860" s="1"/>
      <c r="H860" s="118"/>
      <c r="I860" s="177"/>
      <c r="J860" s="31"/>
      <c r="K860" s="1"/>
      <c r="L860" s="120"/>
      <c r="M860" s="121"/>
      <c r="N860" s="121"/>
      <c r="O860" s="118"/>
      <c r="P860" s="118"/>
      <c r="Q860" s="31"/>
      <c r="R860" s="122"/>
      <c r="S860" s="121"/>
      <c r="T860" s="122"/>
      <c r="U860" s="121"/>
      <c r="V860" s="123"/>
      <c r="W860" s="124"/>
      <c r="X860" s="178"/>
      <c r="Y860" s="126"/>
      <c r="Z860" s="126"/>
      <c r="AB860" s="31"/>
      <c r="AC860" s="31"/>
      <c r="AD860" s="31"/>
      <c r="AE860" s="1"/>
    </row>
    <row r="861">
      <c r="A861" s="104"/>
      <c r="C861" s="128"/>
      <c r="D861" s="74"/>
      <c r="E861" s="1"/>
      <c r="F861" s="1"/>
      <c r="G861" s="1"/>
      <c r="H861" s="118"/>
      <c r="I861" s="177"/>
      <c r="J861" s="31"/>
      <c r="K861" s="1"/>
      <c r="L861" s="120"/>
      <c r="M861" s="121"/>
      <c r="N861" s="121"/>
      <c r="O861" s="118"/>
      <c r="P861" s="118"/>
      <c r="Q861" s="31"/>
      <c r="R861" s="122"/>
      <c r="S861" s="121"/>
      <c r="T861" s="122"/>
      <c r="U861" s="121"/>
      <c r="V861" s="123"/>
      <c r="W861" s="124"/>
      <c r="X861" s="178"/>
      <c r="Y861" s="126"/>
      <c r="Z861" s="126"/>
      <c r="AB861" s="31"/>
      <c r="AC861" s="31"/>
      <c r="AD861" s="31"/>
      <c r="AE861" s="1"/>
    </row>
    <row r="862">
      <c r="A862" s="104"/>
      <c r="C862" s="128"/>
      <c r="D862" s="74"/>
      <c r="E862" s="1"/>
      <c r="F862" s="1"/>
      <c r="G862" s="1"/>
      <c r="H862" s="118"/>
      <c r="I862" s="177"/>
      <c r="J862" s="31"/>
      <c r="K862" s="1"/>
      <c r="L862" s="120"/>
      <c r="M862" s="121"/>
      <c r="N862" s="121"/>
      <c r="O862" s="118"/>
      <c r="P862" s="118"/>
      <c r="Q862" s="31"/>
      <c r="R862" s="122"/>
      <c r="S862" s="121"/>
      <c r="T862" s="122"/>
      <c r="U862" s="121"/>
      <c r="V862" s="123"/>
      <c r="W862" s="124"/>
      <c r="X862" s="178"/>
      <c r="Y862" s="126"/>
      <c r="Z862" s="126"/>
      <c r="AB862" s="31"/>
      <c r="AC862" s="31"/>
      <c r="AD862" s="31"/>
      <c r="AE862" s="1"/>
    </row>
    <row r="863">
      <c r="A863" s="104"/>
      <c r="C863" s="128"/>
      <c r="D863" s="74"/>
      <c r="E863" s="1"/>
      <c r="F863" s="1"/>
      <c r="G863" s="1"/>
      <c r="H863" s="118"/>
      <c r="I863" s="177"/>
      <c r="J863" s="31"/>
      <c r="K863" s="1"/>
      <c r="L863" s="120"/>
      <c r="M863" s="121"/>
      <c r="N863" s="121"/>
      <c r="O863" s="118"/>
      <c r="P863" s="118"/>
      <c r="Q863" s="31"/>
      <c r="R863" s="122"/>
      <c r="S863" s="121"/>
      <c r="T863" s="122"/>
      <c r="U863" s="121"/>
      <c r="V863" s="123"/>
      <c r="W863" s="124"/>
      <c r="X863" s="178"/>
      <c r="Y863" s="126"/>
      <c r="Z863" s="126"/>
      <c r="AB863" s="31"/>
      <c r="AC863" s="31"/>
      <c r="AD863" s="31"/>
      <c r="AE863" s="1"/>
    </row>
    <row r="864">
      <c r="A864" s="104"/>
      <c r="C864" s="128"/>
      <c r="D864" s="74"/>
      <c r="E864" s="1"/>
      <c r="F864" s="1"/>
      <c r="G864" s="1"/>
      <c r="H864" s="118"/>
      <c r="I864" s="177"/>
      <c r="J864" s="31"/>
      <c r="K864" s="1"/>
      <c r="L864" s="120"/>
      <c r="M864" s="121"/>
      <c r="N864" s="121"/>
      <c r="O864" s="118"/>
      <c r="P864" s="118"/>
      <c r="Q864" s="31"/>
      <c r="R864" s="122"/>
      <c r="S864" s="121"/>
      <c r="T864" s="122"/>
      <c r="U864" s="121"/>
      <c r="V864" s="123"/>
      <c r="W864" s="124"/>
      <c r="X864" s="178"/>
      <c r="Y864" s="126"/>
      <c r="Z864" s="126"/>
      <c r="AB864" s="31"/>
      <c r="AC864" s="31"/>
      <c r="AD864" s="31"/>
      <c r="AE864" s="1"/>
    </row>
    <row r="865">
      <c r="A865" s="104"/>
      <c r="C865" s="128"/>
      <c r="D865" s="74"/>
      <c r="E865" s="1"/>
      <c r="F865" s="1"/>
      <c r="G865" s="1"/>
      <c r="H865" s="118"/>
      <c r="I865" s="177"/>
      <c r="J865" s="31"/>
      <c r="K865" s="1"/>
      <c r="L865" s="120"/>
      <c r="M865" s="121"/>
      <c r="N865" s="121"/>
      <c r="O865" s="118"/>
      <c r="P865" s="118"/>
      <c r="Q865" s="31"/>
      <c r="R865" s="122"/>
      <c r="S865" s="121"/>
      <c r="T865" s="122"/>
      <c r="U865" s="121"/>
      <c r="V865" s="123"/>
      <c r="W865" s="124"/>
      <c r="X865" s="178"/>
      <c r="Y865" s="126"/>
      <c r="Z865" s="126"/>
      <c r="AB865" s="31"/>
      <c r="AC865" s="31"/>
      <c r="AD865" s="31"/>
      <c r="AE865" s="1"/>
    </row>
    <row r="866">
      <c r="A866" s="104"/>
      <c r="C866" s="128"/>
      <c r="D866" s="74"/>
      <c r="E866" s="1"/>
      <c r="F866" s="1"/>
      <c r="G866" s="1"/>
      <c r="H866" s="118"/>
      <c r="I866" s="177"/>
      <c r="J866" s="31"/>
      <c r="K866" s="1"/>
      <c r="L866" s="120"/>
      <c r="M866" s="121"/>
      <c r="N866" s="121"/>
      <c r="O866" s="118"/>
      <c r="P866" s="118"/>
      <c r="Q866" s="31"/>
      <c r="R866" s="122"/>
      <c r="S866" s="121"/>
      <c r="T866" s="122"/>
      <c r="U866" s="121"/>
      <c r="V866" s="123"/>
      <c r="W866" s="124"/>
      <c r="X866" s="178"/>
      <c r="Y866" s="126"/>
      <c r="Z866" s="126"/>
      <c r="AB866" s="31"/>
      <c r="AC866" s="31"/>
      <c r="AD866" s="31"/>
      <c r="AE866" s="1"/>
    </row>
    <row r="867">
      <c r="A867" s="104"/>
      <c r="C867" s="128"/>
      <c r="D867" s="74"/>
      <c r="E867" s="1"/>
      <c r="F867" s="1"/>
      <c r="G867" s="1"/>
      <c r="H867" s="118"/>
      <c r="I867" s="177"/>
      <c r="J867" s="31"/>
      <c r="K867" s="1"/>
      <c r="L867" s="120"/>
      <c r="M867" s="121"/>
      <c r="N867" s="121"/>
      <c r="O867" s="118"/>
      <c r="P867" s="118"/>
      <c r="Q867" s="31"/>
      <c r="R867" s="122"/>
      <c r="S867" s="121"/>
      <c r="T867" s="122"/>
      <c r="U867" s="121"/>
      <c r="V867" s="123"/>
      <c r="W867" s="124"/>
      <c r="X867" s="178"/>
      <c r="Y867" s="126"/>
      <c r="Z867" s="126"/>
      <c r="AB867" s="31"/>
      <c r="AC867" s="31"/>
      <c r="AD867" s="31"/>
      <c r="AE867" s="1"/>
    </row>
    <row r="868">
      <c r="A868" s="104"/>
      <c r="C868" s="128"/>
      <c r="D868" s="74"/>
      <c r="E868" s="1"/>
      <c r="F868" s="1"/>
      <c r="G868" s="1"/>
      <c r="H868" s="118"/>
      <c r="I868" s="177"/>
      <c r="J868" s="31"/>
      <c r="K868" s="1"/>
      <c r="L868" s="120"/>
      <c r="M868" s="121"/>
      <c r="N868" s="121"/>
      <c r="O868" s="118"/>
      <c r="P868" s="118"/>
      <c r="Q868" s="31"/>
      <c r="R868" s="122"/>
      <c r="S868" s="121"/>
      <c r="T868" s="122"/>
      <c r="U868" s="121"/>
      <c r="V868" s="123"/>
      <c r="W868" s="124"/>
      <c r="X868" s="178"/>
      <c r="Y868" s="126"/>
      <c r="Z868" s="126"/>
      <c r="AB868" s="31"/>
      <c r="AC868" s="31"/>
      <c r="AD868" s="31"/>
      <c r="AE868" s="1"/>
    </row>
    <row r="869">
      <c r="A869" s="104"/>
      <c r="C869" s="128"/>
      <c r="D869" s="74"/>
      <c r="E869" s="1"/>
      <c r="F869" s="1"/>
      <c r="G869" s="1"/>
      <c r="H869" s="118"/>
      <c r="I869" s="177"/>
      <c r="J869" s="31"/>
      <c r="K869" s="1"/>
      <c r="L869" s="120"/>
      <c r="M869" s="121"/>
      <c r="N869" s="121"/>
      <c r="O869" s="118"/>
      <c r="P869" s="118"/>
      <c r="Q869" s="31"/>
      <c r="R869" s="122"/>
      <c r="S869" s="121"/>
      <c r="T869" s="122"/>
      <c r="U869" s="121"/>
      <c r="V869" s="123"/>
      <c r="W869" s="124"/>
      <c r="X869" s="178"/>
      <c r="Y869" s="126"/>
      <c r="Z869" s="126"/>
      <c r="AB869" s="31"/>
      <c r="AC869" s="31"/>
      <c r="AD869" s="31"/>
      <c r="AE869" s="1"/>
    </row>
    <row r="870">
      <c r="A870" s="104"/>
      <c r="C870" s="128"/>
      <c r="D870" s="74"/>
      <c r="E870" s="1"/>
      <c r="F870" s="1"/>
      <c r="G870" s="1"/>
      <c r="H870" s="118"/>
      <c r="I870" s="177"/>
      <c r="J870" s="31"/>
      <c r="K870" s="1"/>
      <c r="L870" s="120"/>
      <c r="M870" s="121"/>
      <c r="N870" s="121"/>
      <c r="O870" s="118"/>
      <c r="P870" s="118"/>
      <c r="Q870" s="31"/>
      <c r="R870" s="122"/>
      <c r="S870" s="121"/>
      <c r="T870" s="122"/>
      <c r="U870" s="121"/>
      <c r="V870" s="123"/>
      <c r="W870" s="124"/>
      <c r="X870" s="178"/>
      <c r="Y870" s="126"/>
      <c r="Z870" s="126"/>
      <c r="AB870" s="31"/>
      <c r="AC870" s="31"/>
      <c r="AD870" s="31"/>
      <c r="AE870" s="1"/>
    </row>
    <row r="871">
      <c r="A871" s="104"/>
      <c r="C871" s="128"/>
      <c r="D871" s="74"/>
      <c r="E871" s="1"/>
      <c r="F871" s="1"/>
      <c r="G871" s="1"/>
      <c r="H871" s="118"/>
      <c r="I871" s="177"/>
      <c r="J871" s="31"/>
      <c r="K871" s="1"/>
      <c r="L871" s="120"/>
      <c r="M871" s="121"/>
      <c r="N871" s="121"/>
      <c r="O871" s="118"/>
      <c r="P871" s="118"/>
      <c r="Q871" s="31"/>
      <c r="R871" s="122"/>
      <c r="S871" s="121"/>
      <c r="T871" s="122"/>
      <c r="U871" s="121"/>
      <c r="V871" s="123"/>
      <c r="W871" s="124"/>
      <c r="X871" s="178"/>
      <c r="Y871" s="126"/>
      <c r="Z871" s="126"/>
      <c r="AB871" s="31"/>
      <c r="AC871" s="31"/>
      <c r="AD871" s="31"/>
      <c r="AE871" s="1"/>
    </row>
    <row r="872">
      <c r="A872" s="104"/>
      <c r="C872" s="128"/>
      <c r="D872" s="74"/>
      <c r="E872" s="1"/>
      <c r="F872" s="1"/>
      <c r="G872" s="1"/>
      <c r="H872" s="118"/>
      <c r="I872" s="177"/>
      <c r="J872" s="31"/>
      <c r="K872" s="1"/>
      <c r="L872" s="120"/>
      <c r="M872" s="121"/>
      <c r="N872" s="121"/>
      <c r="O872" s="118"/>
      <c r="P872" s="118"/>
      <c r="Q872" s="31"/>
      <c r="R872" s="122"/>
      <c r="S872" s="121"/>
      <c r="T872" s="122"/>
      <c r="U872" s="121"/>
      <c r="V872" s="123"/>
      <c r="W872" s="124"/>
      <c r="X872" s="178"/>
      <c r="Y872" s="126"/>
      <c r="Z872" s="126"/>
      <c r="AB872" s="31"/>
      <c r="AC872" s="31"/>
      <c r="AD872" s="31"/>
      <c r="AE872" s="1"/>
    </row>
    <row r="873">
      <c r="A873" s="104"/>
      <c r="C873" s="128"/>
      <c r="D873" s="74"/>
      <c r="E873" s="1"/>
      <c r="F873" s="1"/>
      <c r="G873" s="1"/>
      <c r="H873" s="118"/>
      <c r="I873" s="177"/>
      <c r="J873" s="31"/>
      <c r="K873" s="1"/>
      <c r="L873" s="120"/>
      <c r="M873" s="121"/>
      <c r="N873" s="121"/>
      <c r="O873" s="118"/>
      <c r="P873" s="118"/>
      <c r="Q873" s="31"/>
      <c r="R873" s="122"/>
      <c r="S873" s="121"/>
      <c r="T873" s="122"/>
      <c r="U873" s="121"/>
      <c r="V873" s="123"/>
      <c r="W873" s="124"/>
      <c r="X873" s="178"/>
      <c r="Y873" s="126"/>
      <c r="Z873" s="126"/>
      <c r="AB873" s="31"/>
      <c r="AC873" s="31"/>
      <c r="AD873" s="31"/>
      <c r="AE873" s="1"/>
    </row>
    <row r="874">
      <c r="A874" s="104"/>
      <c r="C874" s="128"/>
      <c r="D874" s="74"/>
      <c r="E874" s="1"/>
      <c r="F874" s="1"/>
      <c r="G874" s="1"/>
      <c r="H874" s="118"/>
      <c r="I874" s="177"/>
      <c r="J874" s="31"/>
      <c r="K874" s="1"/>
      <c r="L874" s="120"/>
      <c r="M874" s="121"/>
      <c r="N874" s="121"/>
      <c r="O874" s="118"/>
      <c r="P874" s="118"/>
      <c r="Q874" s="31"/>
      <c r="R874" s="122"/>
      <c r="S874" s="121"/>
      <c r="T874" s="122"/>
      <c r="U874" s="121"/>
      <c r="V874" s="123"/>
      <c r="W874" s="124"/>
      <c r="X874" s="178"/>
      <c r="Y874" s="126"/>
      <c r="Z874" s="126"/>
      <c r="AB874" s="31"/>
      <c r="AC874" s="31"/>
      <c r="AD874" s="31"/>
      <c r="AE874" s="1"/>
    </row>
    <row r="875">
      <c r="A875" s="104"/>
      <c r="C875" s="128"/>
      <c r="D875" s="74"/>
      <c r="E875" s="1"/>
      <c r="F875" s="1"/>
      <c r="G875" s="1"/>
      <c r="H875" s="118"/>
      <c r="I875" s="177"/>
      <c r="J875" s="31"/>
      <c r="K875" s="1"/>
      <c r="L875" s="120"/>
      <c r="M875" s="121"/>
      <c r="N875" s="121"/>
      <c r="O875" s="118"/>
      <c r="P875" s="118"/>
      <c r="Q875" s="31"/>
      <c r="R875" s="122"/>
      <c r="S875" s="121"/>
      <c r="T875" s="122"/>
      <c r="U875" s="121"/>
      <c r="V875" s="123"/>
      <c r="W875" s="124"/>
      <c r="X875" s="178"/>
      <c r="Y875" s="126"/>
      <c r="Z875" s="126"/>
      <c r="AB875" s="31"/>
      <c r="AC875" s="31"/>
      <c r="AD875" s="31"/>
      <c r="AE875" s="1"/>
    </row>
    <row r="876">
      <c r="A876" s="104"/>
      <c r="C876" s="128"/>
      <c r="D876" s="74"/>
      <c r="E876" s="1"/>
      <c r="F876" s="1"/>
      <c r="G876" s="1"/>
      <c r="H876" s="118"/>
      <c r="I876" s="177"/>
      <c r="J876" s="31"/>
      <c r="K876" s="1"/>
      <c r="L876" s="120"/>
      <c r="M876" s="121"/>
      <c r="N876" s="121"/>
      <c r="O876" s="118"/>
      <c r="P876" s="118"/>
      <c r="Q876" s="31"/>
      <c r="R876" s="122"/>
      <c r="S876" s="121"/>
      <c r="T876" s="122"/>
      <c r="U876" s="121"/>
      <c r="V876" s="123"/>
      <c r="W876" s="124"/>
      <c r="X876" s="178"/>
      <c r="Y876" s="126"/>
      <c r="Z876" s="126"/>
      <c r="AB876" s="31"/>
      <c r="AC876" s="31"/>
      <c r="AD876" s="31"/>
      <c r="AE876" s="1"/>
    </row>
    <row r="877">
      <c r="A877" s="104"/>
      <c r="C877" s="128"/>
      <c r="D877" s="74"/>
      <c r="E877" s="1"/>
      <c r="F877" s="1"/>
      <c r="G877" s="1"/>
      <c r="H877" s="118"/>
      <c r="I877" s="177"/>
      <c r="J877" s="31"/>
      <c r="K877" s="1"/>
      <c r="L877" s="120"/>
      <c r="M877" s="121"/>
      <c r="N877" s="121"/>
      <c r="O877" s="118"/>
      <c r="P877" s="118"/>
      <c r="Q877" s="31"/>
      <c r="R877" s="122"/>
      <c r="S877" s="121"/>
      <c r="T877" s="122"/>
      <c r="U877" s="121"/>
      <c r="V877" s="123"/>
      <c r="W877" s="124"/>
      <c r="X877" s="178"/>
      <c r="Y877" s="126"/>
      <c r="Z877" s="126"/>
      <c r="AB877" s="31"/>
      <c r="AC877" s="31"/>
      <c r="AD877" s="31"/>
      <c r="AE877" s="1"/>
    </row>
    <row r="878">
      <c r="A878" s="104"/>
      <c r="C878" s="128"/>
      <c r="D878" s="74"/>
      <c r="E878" s="1"/>
      <c r="F878" s="1"/>
      <c r="G878" s="1"/>
      <c r="H878" s="118"/>
      <c r="I878" s="177"/>
      <c r="J878" s="31"/>
      <c r="K878" s="1"/>
      <c r="L878" s="120"/>
      <c r="M878" s="121"/>
      <c r="N878" s="121"/>
      <c r="O878" s="118"/>
      <c r="P878" s="118"/>
      <c r="Q878" s="31"/>
      <c r="R878" s="122"/>
      <c r="S878" s="121"/>
      <c r="T878" s="122"/>
      <c r="U878" s="121"/>
      <c r="V878" s="123"/>
      <c r="W878" s="124"/>
      <c r="X878" s="178"/>
      <c r="Y878" s="126"/>
      <c r="Z878" s="126"/>
      <c r="AB878" s="31"/>
      <c r="AC878" s="31"/>
      <c r="AD878" s="31"/>
      <c r="AE878" s="1"/>
    </row>
    <row r="879">
      <c r="A879" s="104"/>
      <c r="C879" s="128"/>
      <c r="D879" s="74"/>
      <c r="E879" s="1"/>
      <c r="F879" s="1"/>
      <c r="G879" s="1"/>
      <c r="H879" s="118"/>
      <c r="I879" s="177"/>
      <c r="J879" s="31"/>
      <c r="K879" s="1"/>
      <c r="L879" s="120"/>
      <c r="M879" s="121"/>
      <c r="N879" s="121"/>
      <c r="O879" s="118"/>
      <c r="P879" s="118"/>
      <c r="Q879" s="31"/>
      <c r="R879" s="122"/>
      <c r="S879" s="121"/>
      <c r="T879" s="122"/>
      <c r="U879" s="121"/>
      <c r="V879" s="123"/>
      <c r="W879" s="124"/>
      <c r="X879" s="178"/>
      <c r="Y879" s="126"/>
      <c r="Z879" s="126"/>
      <c r="AB879" s="31"/>
      <c r="AC879" s="31"/>
      <c r="AD879" s="31"/>
      <c r="AE879" s="1"/>
    </row>
    <row r="880">
      <c r="A880" s="104"/>
      <c r="C880" s="128"/>
      <c r="D880" s="74"/>
      <c r="E880" s="1"/>
      <c r="F880" s="1"/>
      <c r="G880" s="1"/>
      <c r="H880" s="118"/>
      <c r="I880" s="177"/>
      <c r="J880" s="31"/>
      <c r="K880" s="1"/>
      <c r="L880" s="120"/>
      <c r="M880" s="121"/>
      <c r="N880" s="121"/>
      <c r="O880" s="118"/>
      <c r="P880" s="118"/>
      <c r="Q880" s="31"/>
      <c r="R880" s="122"/>
      <c r="S880" s="121"/>
      <c r="T880" s="122"/>
      <c r="U880" s="121"/>
      <c r="V880" s="123"/>
      <c r="W880" s="124"/>
      <c r="X880" s="178"/>
      <c r="Y880" s="126"/>
      <c r="Z880" s="126"/>
      <c r="AB880" s="31"/>
      <c r="AC880" s="31"/>
      <c r="AD880" s="31"/>
      <c r="AE880" s="1"/>
    </row>
    <row r="881">
      <c r="A881" s="104"/>
      <c r="C881" s="128"/>
      <c r="D881" s="74"/>
      <c r="E881" s="1"/>
      <c r="F881" s="1"/>
      <c r="G881" s="1"/>
      <c r="H881" s="118"/>
      <c r="I881" s="177"/>
      <c r="J881" s="31"/>
      <c r="K881" s="1"/>
      <c r="L881" s="120"/>
      <c r="M881" s="121"/>
      <c r="N881" s="121"/>
      <c r="O881" s="118"/>
      <c r="P881" s="118"/>
      <c r="Q881" s="31"/>
      <c r="R881" s="122"/>
      <c r="S881" s="121"/>
      <c r="T881" s="122"/>
      <c r="U881" s="121"/>
      <c r="V881" s="123"/>
      <c r="W881" s="124"/>
      <c r="X881" s="178"/>
      <c r="Y881" s="126"/>
      <c r="Z881" s="126"/>
      <c r="AB881" s="31"/>
      <c r="AC881" s="31"/>
      <c r="AD881" s="31"/>
      <c r="AE881" s="1"/>
    </row>
    <row r="882">
      <c r="A882" s="104"/>
      <c r="C882" s="128"/>
      <c r="D882" s="74"/>
      <c r="E882" s="1"/>
      <c r="F882" s="1"/>
      <c r="G882" s="1"/>
      <c r="H882" s="118"/>
      <c r="I882" s="177"/>
      <c r="J882" s="31"/>
      <c r="K882" s="1"/>
      <c r="L882" s="120"/>
      <c r="M882" s="121"/>
      <c r="N882" s="121"/>
      <c r="O882" s="118"/>
      <c r="P882" s="118"/>
      <c r="Q882" s="31"/>
      <c r="R882" s="122"/>
      <c r="S882" s="121"/>
      <c r="T882" s="122"/>
      <c r="U882" s="121"/>
      <c r="V882" s="123"/>
      <c r="W882" s="124"/>
      <c r="X882" s="178"/>
      <c r="Y882" s="126"/>
      <c r="Z882" s="126"/>
      <c r="AB882" s="31"/>
      <c r="AC882" s="31"/>
      <c r="AD882" s="31"/>
      <c r="AE882" s="1"/>
    </row>
    <row r="883">
      <c r="A883" s="104"/>
      <c r="C883" s="128"/>
      <c r="D883" s="74"/>
      <c r="E883" s="1"/>
      <c r="F883" s="1"/>
      <c r="G883" s="1"/>
      <c r="H883" s="118"/>
      <c r="I883" s="177"/>
      <c r="J883" s="31"/>
      <c r="K883" s="1"/>
      <c r="L883" s="120"/>
      <c r="M883" s="121"/>
      <c r="N883" s="121"/>
      <c r="O883" s="118"/>
      <c r="P883" s="118"/>
      <c r="Q883" s="31"/>
      <c r="R883" s="122"/>
      <c r="S883" s="121"/>
      <c r="T883" s="122"/>
      <c r="U883" s="121"/>
      <c r="V883" s="123"/>
      <c r="W883" s="124"/>
      <c r="X883" s="178"/>
      <c r="Y883" s="126"/>
      <c r="Z883" s="126"/>
      <c r="AB883" s="31"/>
      <c r="AC883" s="31"/>
      <c r="AD883" s="31"/>
      <c r="AE883" s="1"/>
    </row>
    <row r="884">
      <c r="A884" s="104"/>
      <c r="C884" s="128"/>
      <c r="D884" s="74"/>
      <c r="E884" s="1"/>
      <c r="F884" s="1"/>
      <c r="G884" s="1"/>
      <c r="H884" s="118"/>
      <c r="I884" s="177"/>
      <c r="J884" s="31"/>
      <c r="K884" s="1"/>
      <c r="L884" s="120"/>
      <c r="M884" s="121"/>
      <c r="N884" s="121"/>
      <c r="O884" s="118"/>
      <c r="P884" s="118"/>
      <c r="Q884" s="31"/>
      <c r="R884" s="122"/>
      <c r="S884" s="121"/>
      <c r="T884" s="122"/>
      <c r="U884" s="121"/>
      <c r="V884" s="123"/>
      <c r="W884" s="124"/>
      <c r="X884" s="178"/>
      <c r="Y884" s="126"/>
      <c r="Z884" s="126"/>
      <c r="AB884" s="31"/>
      <c r="AC884" s="31"/>
      <c r="AD884" s="31"/>
      <c r="AE884" s="1"/>
    </row>
    <row r="885">
      <c r="A885" s="104"/>
      <c r="C885" s="128"/>
      <c r="D885" s="74"/>
      <c r="E885" s="1"/>
      <c r="F885" s="1"/>
      <c r="G885" s="1"/>
      <c r="H885" s="118"/>
      <c r="I885" s="177"/>
      <c r="J885" s="31"/>
      <c r="K885" s="1"/>
      <c r="L885" s="120"/>
      <c r="M885" s="121"/>
      <c r="N885" s="121"/>
      <c r="O885" s="118"/>
      <c r="P885" s="118"/>
      <c r="Q885" s="31"/>
      <c r="R885" s="122"/>
      <c r="S885" s="121"/>
      <c r="T885" s="122"/>
      <c r="U885" s="121"/>
      <c r="V885" s="123"/>
      <c r="W885" s="124"/>
      <c r="X885" s="178"/>
      <c r="Y885" s="126"/>
      <c r="Z885" s="126"/>
      <c r="AB885" s="31"/>
      <c r="AC885" s="31"/>
      <c r="AD885" s="31"/>
      <c r="AE885" s="1"/>
    </row>
    <row r="886">
      <c r="A886" s="104"/>
      <c r="C886" s="128"/>
      <c r="D886" s="74"/>
      <c r="E886" s="1"/>
      <c r="F886" s="1"/>
      <c r="G886" s="1"/>
      <c r="H886" s="118"/>
      <c r="I886" s="177"/>
      <c r="J886" s="31"/>
      <c r="K886" s="1"/>
      <c r="L886" s="120"/>
      <c r="M886" s="121"/>
      <c r="N886" s="121"/>
      <c r="O886" s="118"/>
      <c r="P886" s="118"/>
      <c r="Q886" s="31"/>
      <c r="R886" s="122"/>
      <c r="S886" s="121"/>
      <c r="T886" s="122"/>
      <c r="U886" s="121"/>
      <c r="V886" s="123"/>
      <c r="W886" s="124"/>
      <c r="X886" s="178"/>
      <c r="Y886" s="126"/>
      <c r="Z886" s="126"/>
      <c r="AB886" s="31"/>
      <c r="AC886" s="31"/>
      <c r="AD886" s="31"/>
      <c r="AE886" s="1"/>
    </row>
    <row r="887">
      <c r="A887" s="104"/>
      <c r="C887" s="128"/>
      <c r="D887" s="74"/>
      <c r="E887" s="1"/>
      <c r="F887" s="1"/>
      <c r="G887" s="1"/>
      <c r="H887" s="118"/>
      <c r="I887" s="177"/>
      <c r="J887" s="31"/>
      <c r="K887" s="1"/>
      <c r="L887" s="120"/>
      <c r="M887" s="121"/>
      <c r="N887" s="121"/>
      <c r="O887" s="118"/>
      <c r="P887" s="118"/>
      <c r="Q887" s="31"/>
      <c r="R887" s="122"/>
      <c r="S887" s="121"/>
      <c r="T887" s="122"/>
      <c r="U887" s="121"/>
      <c r="V887" s="123"/>
      <c r="W887" s="124"/>
      <c r="X887" s="178"/>
      <c r="Y887" s="126"/>
      <c r="Z887" s="126"/>
      <c r="AB887" s="31"/>
      <c r="AC887" s="31"/>
      <c r="AD887" s="31"/>
      <c r="AE887" s="1"/>
    </row>
    <row r="888">
      <c r="A888" s="104"/>
      <c r="C888" s="128"/>
      <c r="D888" s="74"/>
      <c r="E888" s="1"/>
      <c r="F888" s="1"/>
      <c r="G888" s="1"/>
      <c r="H888" s="118"/>
      <c r="I888" s="177"/>
      <c r="J888" s="31"/>
      <c r="K888" s="1"/>
      <c r="L888" s="120"/>
      <c r="M888" s="121"/>
      <c r="N888" s="121"/>
      <c r="O888" s="118"/>
      <c r="P888" s="118"/>
      <c r="Q888" s="31"/>
      <c r="R888" s="122"/>
      <c r="S888" s="121"/>
      <c r="T888" s="122"/>
      <c r="U888" s="121"/>
      <c r="V888" s="123"/>
      <c r="W888" s="124"/>
      <c r="X888" s="178"/>
      <c r="Y888" s="126"/>
      <c r="Z888" s="126"/>
      <c r="AB888" s="31"/>
      <c r="AC888" s="31"/>
      <c r="AD888" s="31"/>
      <c r="AE888" s="1"/>
    </row>
    <row r="889">
      <c r="A889" s="104"/>
      <c r="C889" s="128"/>
      <c r="D889" s="74"/>
      <c r="E889" s="1"/>
      <c r="F889" s="1"/>
      <c r="G889" s="1"/>
      <c r="H889" s="118"/>
      <c r="I889" s="177"/>
      <c r="J889" s="31"/>
      <c r="K889" s="1"/>
      <c r="L889" s="120"/>
      <c r="M889" s="121"/>
      <c r="N889" s="121"/>
      <c r="O889" s="118"/>
      <c r="P889" s="118"/>
      <c r="Q889" s="31"/>
      <c r="R889" s="122"/>
      <c r="S889" s="121"/>
      <c r="T889" s="122"/>
      <c r="U889" s="121"/>
      <c r="V889" s="123"/>
      <c r="W889" s="124"/>
      <c r="X889" s="178"/>
      <c r="Y889" s="126"/>
      <c r="Z889" s="126"/>
      <c r="AB889" s="31"/>
      <c r="AC889" s="31"/>
      <c r="AD889" s="31"/>
      <c r="AE889" s="1"/>
    </row>
    <row r="890">
      <c r="A890" s="104"/>
      <c r="C890" s="128"/>
      <c r="D890" s="74"/>
      <c r="E890" s="1"/>
      <c r="F890" s="1"/>
      <c r="G890" s="1"/>
      <c r="H890" s="118"/>
      <c r="I890" s="177"/>
      <c r="J890" s="31"/>
      <c r="K890" s="1"/>
      <c r="L890" s="120"/>
      <c r="M890" s="121"/>
      <c r="N890" s="121"/>
      <c r="O890" s="118"/>
      <c r="P890" s="118"/>
      <c r="Q890" s="31"/>
      <c r="R890" s="122"/>
      <c r="S890" s="121"/>
      <c r="T890" s="122"/>
      <c r="U890" s="121"/>
      <c r="V890" s="123"/>
      <c r="W890" s="124"/>
      <c r="X890" s="178"/>
      <c r="Y890" s="126"/>
      <c r="Z890" s="126"/>
      <c r="AB890" s="31"/>
      <c r="AC890" s="31"/>
      <c r="AD890" s="31"/>
      <c r="AE890" s="1"/>
    </row>
    <row r="891">
      <c r="A891" s="104"/>
      <c r="C891" s="128"/>
      <c r="D891" s="74"/>
      <c r="E891" s="1"/>
      <c r="F891" s="1"/>
      <c r="G891" s="1"/>
      <c r="H891" s="118"/>
      <c r="I891" s="177"/>
      <c r="J891" s="31"/>
      <c r="K891" s="1"/>
      <c r="L891" s="120"/>
      <c r="M891" s="121"/>
      <c r="N891" s="121"/>
      <c r="O891" s="118"/>
      <c r="P891" s="118"/>
      <c r="Q891" s="31"/>
      <c r="R891" s="122"/>
      <c r="S891" s="121"/>
      <c r="T891" s="122"/>
      <c r="U891" s="121"/>
      <c r="V891" s="123"/>
      <c r="W891" s="124"/>
      <c r="X891" s="178"/>
      <c r="Y891" s="126"/>
      <c r="Z891" s="126"/>
      <c r="AB891" s="31"/>
      <c r="AC891" s="31"/>
      <c r="AD891" s="31"/>
      <c r="AE891" s="1"/>
    </row>
    <row r="892">
      <c r="A892" s="104"/>
      <c r="C892" s="128"/>
      <c r="D892" s="74"/>
      <c r="E892" s="1"/>
      <c r="F892" s="1"/>
      <c r="G892" s="1"/>
      <c r="H892" s="118"/>
      <c r="I892" s="177"/>
      <c r="J892" s="31"/>
      <c r="K892" s="1"/>
      <c r="L892" s="120"/>
      <c r="M892" s="121"/>
      <c r="N892" s="121"/>
      <c r="O892" s="118"/>
      <c r="P892" s="118"/>
      <c r="Q892" s="31"/>
      <c r="R892" s="122"/>
      <c r="S892" s="121"/>
      <c r="T892" s="122"/>
      <c r="U892" s="121"/>
      <c r="V892" s="123"/>
      <c r="W892" s="124"/>
      <c r="X892" s="178"/>
      <c r="Y892" s="126"/>
      <c r="Z892" s="126"/>
      <c r="AB892" s="31"/>
      <c r="AC892" s="31"/>
      <c r="AD892" s="31"/>
      <c r="AE892" s="1"/>
    </row>
    <row r="893">
      <c r="A893" s="104"/>
      <c r="C893" s="128"/>
      <c r="D893" s="74"/>
      <c r="E893" s="1"/>
      <c r="F893" s="1"/>
      <c r="G893" s="1"/>
      <c r="H893" s="118"/>
      <c r="I893" s="177"/>
      <c r="J893" s="31"/>
      <c r="K893" s="1"/>
      <c r="L893" s="120"/>
      <c r="M893" s="121"/>
      <c r="N893" s="121"/>
      <c r="O893" s="118"/>
      <c r="P893" s="118"/>
      <c r="Q893" s="31"/>
      <c r="R893" s="122"/>
      <c r="S893" s="121"/>
      <c r="T893" s="122"/>
      <c r="U893" s="121"/>
      <c r="V893" s="123"/>
      <c r="W893" s="124"/>
      <c r="X893" s="178"/>
      <c r="Y893" s="126"/>
      <c r="Z893" s="126"/>
      <c r="AB893" s="31"/>
      <c r="AC893" s="31"/>
      <c r="AD893" s="31"/>
      <c r="AE893" s="1"/>
    </row>
    <row r="894">
      <c r="A894" s="104"/>
      <c r="C894" s="128"/>
      <c r="D894" s="74"/>
      <c r="E894" s="1"/>
      <c r="F894" s="1"/>
      <c r="G894" s="1"/>
      <c r="H894" s="118"/>
      <c r="I894" s="177"/>
      <c r="J894" s="31"/>
      <c r="K894" s="1"/>
      <c r="L894" s="120"/>
      <c r="M894" s="121"/>
      <c r="N894" s="121"/>
      <c r="O894" s="118"/>
      <c r="P894" s="118"/>
      <c r="Q894" s="31"/>
      <c r="R894" s="122"/>
      <c r="S894" s="121"/>
      <c r="T894" s="122"/>
      <c r="U894" s="121"/>
      <c r="V894" s="123"/>
      <c r="W894" s="124"/>
      <c r="X894" s="178"/>
      <c r="Y894" s="126"/>
      <c r="Z894" s="126"/>
      <c r="AB894" s="31"/>
      <c r="AC894" s="31"/>
      <c r="AD894" s="31"/>
      <c r="AE894" s="1"/>
    </row>
    <row r="895">
      <c r="A895" s="104"/>
      <c r="C895" s="128"/>
      <c r="D895" s="74"/>
      <c r="E895" s="1"/>
      <c r="F895" s="1"/>
      <c r="G895" s="1"/>
      <c r="H895" s="118"/>
      <c r="I895" s="177"/>
      <c r="J895" s="31"/>
      <c r="K895" s="1"/>
      <c r="L895" s="120"/>
      <c r="M895" s="121"/>
      <c r="N895" s="121"/>
      <c r="O895" s="118"/>
      <c r="P895" s="118"/>
      <c r="Q895" s="31"/>
      <c r="R895" s="122"/>
      <c r="S895" s="121"/>
      <c r="T895" s="122"/>
      <c r="U895" s="121"/>
      <c r="V895" s="123"/>
      <c r="W895" s="124"/>
      <c r="X895" s="178"/>
      <c r="Y895" s="126"/>
      <c r="Z895" s="126"/>
      <c r="AB895" s="31"/>
      <c r="AC895" s="31"/>
      <c r="AD895" s="31"/>
      <c r="AE895" s="1"/>
    </row>
    <row r="896">
      <c r="A896" s="104"/>
      <c r="C896" s="128"/>
      <c r="D896" s="74"/>
      <c r="E896" s="1"/>
      <c r="F896" s="1"/>
      <c r="G896" s="1"/>
      <c r="H896" s="118"/>
      <c r="I896" s="177"/>
      <c r="J896" s="31"/>
      <c r="K896" s="1"/>
      <c r="L896" s="120"/>
      <c r="M896" s="121"/>
      <c r="N896" s="121"/>
      <c r="O896" s="118"/>
      <c r="P896" s="118"/>
      <c r="Q896" s="31"/>
      <c r="R896" s="122"/>
      <c r="S896" s="121"/>
      <c r="T896" s="122"/>
      <c r="U896" s="121"/>
      <c r="V896" s="123"/>
      <c r="W896" s="124"/>
      <c r="X896" s="178"/>
      <c r="Y896" s="126"/>
      <c r="Z896" s="126"/>
      <c r="AB896" s="31"/>
      <c r="AC896" s="31"/>
      <c r="AD896" s="31"/>
      <c r="AE896" s="1"/>
    </row>
    <row r="897">
      <c r="A897" s="104"/>
      <c r="C897" s="128"/>
      <c r="D897" s="74"/>
      <c r="E897" s="1"/>
      <c r="F897" s="1"/>
      <c r="G897" s="1"/>
      <c r="H897" s="118"/>
      <c r="I897" s="177"/>
      <c r="J897" s="31"/>
      <c r="K897" s="1"/>
      <c r="L897" s="120"/>
      <c r="M897" s="121"/>
      <c r="N897" s="121"/>
      <c r="O897" s="118"/>
      <c r="P897" s="118"/>
      <c r="Q897" s="31"/>
      <c r="R897" s="122"/>
      <c r="S897" s="121"/>
      <c r="T897" s="122"/>
      <c r="U897" s="121"/>
      <c r="V897" s="123"/>
      <c r="W897" s="124"/>
      <c r="X897" s="178"/>
      <c r="Y897" s="126"/>
      <c r="Z897" s="126"/>
      <c r="AB897" s="31"/>
      <c r="AC897" s="31"/>
      <c r="AD897" s="31"/>
      <c r="AE897" s="1"/>
    </row>
    <row r="898">
      <c r="A898" s="104"/>
      <c r="C898" s="128"/>
      <c r="D898" s="74"/>
      <c r="E898" s="1"/>
      <c r="F898" s="1"/>
      <c r="G898" s="1"/>
      <c r="H898" s="118"/>
      <c r="I898" s="177"/>
      <c r="J898" s="31"/>
      <c r="K898" s="1"/>
      <c r="L898" s="120"/>
      <c r="M898" s="121"/>
      <c r="N898" s="121"/>
      <c r="O898" s="118"/>
      <c r="P898" s="118"/>
      <c r="Q898" s="31"/>
      <c r="R898" s="122"/>
      <c r="S898" s="121"/>
      <c r="T898" s="122"/>
      <c r="U898" s="121"/>
      <c r="V898" s="123"/>
      <c r="W898" s="124"/>
      <c r="X898" s="178"/>
      <c r="Y898" s="126"/>
      <c r="Z898" s="126"/>
      <c r="AB898" s="31"/>
      <c r="AC898" s="31"/>
      <c r="AD898" s="31"/>
      <c r="AE898" s="1"/>
    </row>
    <row r="899">
      <c r="A899" s="104"/>
      <c r="C899" s="128"/>
      <c r="D899" s="74"/>
      <c r="E899" s="1"/>
      <c r="F899" s="1"/>
      <c r="G899" s="1"/>
      <c r="H899" s="118"/>
      <c r="I899" s="177"/>
      <c r="J899" s="31"/>
      <c r="K899" s="1"/>
      <c r="L899" s="120"/>
      <c r="M899" s="121"/>
      <c r="N899" s="121"/>
      <c r="O899" s="118"/>
      <c r="P899" s="118"/>
      <c r="Q899" s="31"/>
      <c r="R899" s="122"/>
      <c r="S899" s="121"/>
      <c r="T899" s="122"/>
      <c r="U899" s="121"/>
      <c r="V899" s="123"/>
      <c r="W899" s="124"/>
      <c r="X899" s="178"/>
      <c r="Y899" s="126"/>
      <c r="Z899" s="126"/>
      <c r="AB899" s="31"/>
      <c r="AC899" s="31"/>
      <c r="AD899" s="31"/>
      <c r="AE899" s="1"/>
    </row>
    <row r="900">
      <c r="A900" s="104"/>
      <c r="C900" s="128"/>
      <c r="D900" s="74"/>
      <c r="E900" s="1"/>
      <c r="F900" s="1"/>
      <c r="G900" s="1"/>
      <c r="H900" s="118"/>
      <c r="I900" s="177"/>
      <c r="J900" s="31"/>
      <c r="K900" s="1"/>
      <c r="L900" s="120"/>
      <c r="M900" s="121"/>
      <c r="N900" s="121"/>
      <c r="O900" s="118"/>
      <c r="P900" s="118"/>
      <c r="Q900" s="31"/>
      <c r="R900" s="122"/>
      <c r="S900" s="121"/>
      <c r="T900" s="122"/>
      <c r="U900" s="121"/>
      <c r="V900" s="123"/>
      <c r="W900" s="124"/>
      <c r="X900" s="178"/>
      <c r="Y900" s="126"/>
      <c r="Z900" s="126"/>
      <c r="AB900" s="31"/>
      <c r="AC900" s="31"/>
      <c r="AD900" s="31"/>
      <c r="AE900" s="1"/>
    </row>
    <row r="901">
      <c r="A901" s="104"/>
      <c r="C901" s="128"/>
      <c r="D901" s="74"/>
      <c r="E901" s="1"/>
      <c r="F901" s="1"/>
      <c r="G901" s="1"/>
      <c r="H901" s="118"/>
      <c r="I901" s="177"/>
      <c r="J901" s="31"/>
      <c r="K901" s="1"/>
      <c r="L901" s="120"/>
      <c r="M901" s="121"/>
      <c r="N901" s="121"/>
      <c r="O901" s="118"/>
      <c r="P901" s="118"/>
      <c r="Q901" s="31"/>
      <c r="R901" s="122"/>
      <c r="S901" s="121"/>
      <c r="T901" s="122"/>
      <c r="U901" s="121"/>
      <c r="V901" s="123"/>
      <c r="W901" s="124"/>
      <c r="X901" s="178"/>
      <c r="Y901" s="126"/>
      <c r="Z901" s="126"/>
      <c r="AB901" s="31"/>
      <c r="AC901" s="31"/>
      <c r="AD901" s="31"/>
      <c r="AE901" s="1"/>
    </row>
    <row r="902">
      <c r="A902" s="104"/>
      <c r="C902" s="128"/>
      <c r="D902" s="74"/>
      <c r="E902" s="1"/>
      <c r="F902" s="1"/>
      <c r="G902" s="1"/>
      <c r="H902" s="118"/>
      <c r="I902" s="177"/>
      <c r="J902" s="31"/>
      <c r="K902" s="1"/>
      <c r="L902" s="120"/>
      <c r="M902" s="121"/>
      <c r="N902" s="121"/>
      <c r="O902" s="118"/>
      <c r="P902" s="118"/>
      <c r="Q902" s="31"/>
      <c r="R902" s="122"/>
      <c r="S902" s="121"/>
      <c r="T902" s="122"/>
      <c r="U902" s="121"/>
      <c r="V902" s="123"/>
      <c r="W902" s="124"/>
      <c r="X902" s="178"/>
      <c r="Y902" s="126"/>
      <c r="Z902" s="126"/>
      <c r="AB902" s="31"/>
      <c r="AC902" s="31"/>
      <c r="AD902" s="31"/>
      <c r="AE902" s="1"/>
    </row>
    <row r="903">
      <c r="A903" s="104"/>
      <c r="C903" s="128"/>
      <c r="D903" s="74"/>
      <c r="E903" s="1"/>
      <c r="F903" s="1"/>
      <c r="G903" s="1"/>
      <c r="H903" s="118"/>
      <c r="I903" s="177"/>
      <c r="J903" s="31"/>
      <c r="K903" s="1"/>
      <c r="L903" s="120"/>
      <c r="M903" s="121"/>
      <c r="N903" s="121"/>
      <c r="O903" s="118"/>
      <c r="P903" s="118"/>
      <c r="Q903" s="31"/>
      <c r="R903" s="122"/>
      <c r="S903" s="121"/>
      <c r="T903" s="122"/>
      <c r="U903" s="121"/>
      <c r="V903" s="123"/>
      <c r="W903" s="124"/>
      <c r="X903" s="178"/>
      <c r="Y903" s="126"/>
      <c r="Z903" s="126"/>
      <c r="AB903" s="31"/>
      <c r="AC903" s="31"/>
      <c r="AD903" s="31"/>
      <c r="AE903" s="1"/>
    </row>
    <row r="904">
      <c r="A904" s="104"/>
      <c r="C904" s="128"/>
      <c r="D904" s="74"/>
      <c r="E904" s="1"/>
      <c r="F904" s="1"/>
      <c r="G904" s="1"/>
      <c r="H904" s="118"/>
      <c r="I904" s="177"/>
      <c r="J904" s="31"/>
      <c r="K904" s="1"/>
      <c r="L904" s="120"/>
      <c r="M904" s="121"/>
      <c r="N904" s="121"/>
      <c r="O904" s="118"/>
      <c r="P904" s="118"/>
      <c r="Q904" s="31"/>
      <c r="R904" s="122"/>
      <c r="S904" s="121"/>
      <c r="T904" s="122"/>
      <c r="U904" s="121"/>
      <c r="V904" s="123"/>
      <c r="W904" s="124"/>
      <c r="X904" s="178"/>
      <c r="Y904" s="126"/>
      <c r="Z904" s="126"/>
      <c r="AB904" s="31"/>
      <c r="AC904" s="31"/>
      <c r="AD904" s="31"/>
      <c r="AE904" s="1"/>
    </row>
    <row r="905">
      <c r="A905" s="104"/>
      <c r="C905" s="128"/>
      <c r="D905" s="74"/>
      <c r="E905" s="1"/>
      <c r="F905" s="1"/>
      <c r="G905" s="1"/>
      <c r="H905" s="118"/>
      <c r="I905" s="177"/>
      <c r="J905" s="31"/>
      <c r="K905" s="1"/>
      <c r="L905" s="120"/>
      <c r="M905" s="121"/>
      <c r="N905" s="121"/>
      <c r="O905" s="118"/>
      <c r="P905" s="118"/>
      <c r="Q905" s="31"/>
      <c r="R905" s="122"/>
      <c r="S905" s="121"/>
      <c r="T905" s="122"/>
      <c r="U905" s="121"/>
      <c r="V905" s="123"/>
      <c r="W905" s="124"/>
      <c r="X905" s="178"/>
      <c r="Y905" s="126"/>
      <c r="Z905" s="126"/>
      <c r="AB905" s="31"/>
      <c r="AC905" s="31"/>
      <c r="AD905" s="31"/>
      <c r="AE905" s="1"/>
    </row>
    <row r="906">
      <c r="A906" s="104"/>
      <c r="C906" s="128"/>
      <c r="D906" s="74"/>
      <c r="E906" s="1"/>
      <c r="F906" s="1"/>
      <c r="G906" s="1"/>
      <c r="H906" s="118"/>
      <c r="I906" s="177"/>
      <c r="J906" s="31"/>
      <c r="K906" s="1"/>
      <c r="L906" s="120"/>
      <c r="M906" s="121"/>
      <c r="N906" s="121"/>
      <c r="O906" s="118"/>
      <c r="P906" s="118"/>
      <c r="Q906" s="31"/>
      <c r="R906" s="122"/>
      <c r="S906" s="121"/>
      <c r="T906" s="122"/>
      <c r="U906" s="121"/>
      <c r="V906" s="123"/>
      <c r="W906" s="124"/>
      <c r="X906" s="178"/>
      <c r="Y906" s="126"/>
      <c r="Z906" s="126"/>
      <c r="AB906" s="31"/>
      <c r="AC906" s="31"/>
      <c r="AD906" s="31"/>
      <c r="AE906" s="1"/>
    </row>
    <row r="907">
      <c r="A907" s="104"/>
      <c r="C907" s="128"/>
      <c r="D907" s="74"/>
      <c r="E907" s="1"/>
      <c r="F907" s="1"/>
      <c r="G907" s="1"/>
      <c r="H907" s="118"/>
      <c r="I907" s="177"/>
      <c r="J907" s="31"/>
      <c r="K907" s="1"/>
      <c r="L907" s="120"/>
      <c r="M907" s="121"/>
      <c r="N907" s="121"/>
      <c r="O907" s="118"/>
      <c r="P907" s="118"/>
      <c r="Q907" s="31"/>
      <c r="R907" s="122"/>
      <c r="S907" s="121"/>
      <c r="T907" s="122"/>
      <c r="U907" s="121"/>
      <c r="V907" s="123"/>
      <c r="W907" s="124"/>
      <c r="X907" s="178"/>
      <c r="Y907" s="126"/>
      <c r="Z907" s="126"/>
      <c r="AB907" s="31"/>
      <c r="AC907" s="31"/>
      <c r="AD907" s="31"/>
      <c r="AE907" s="1"/>
    </row>
    <row r="908">
      <c r="A908" s="104"/>
      <c r="C908" s="128"/>
      <c r="D908" s="74"/>
      <c r="E908" s="1"/>
      <c r="F908" s="1"/>
      <c r="G908" s="1"/>
      <c r="H908" s="118"/>
      <c r="I908" s="177"/>
      <c r="J908" s="31"/>
      <c r="K908" s="1"/>
      <c r="L908" s="120"/>
      <c r="M908" s="121"/>
      <c r="N908" s="121"/>
      <c r="O908" s="118"/>
      <c r="P908" s="118"/>
      <c r="Q908" s="31"/>
      <c r="R908" s="122"/>
      <c r="S908" s="121"/>
      <c r="T908" s="122"/>
      <c r="U908" s="121"/>
      <c r="V908" s="123"/>
      <c r="W908" s="124"/>
      <c r="X908" s="178"/>
      <c r="Y908" s="126"/>
      <c r="Z908" s="126"/>
      <c r="AB908" s="31"/>
      <c r="AC908" s="31"/>
      <c r="AD908" s="31"/>
      <c r="AE908" s="1"/>
    </row>
    <row r="909">
      <c r="A909" s="104"/>
      <c r="C909" s="128"/>
      <c r="D909" s="74"/>
      <c r="E909" s="1"/>
      <c r="F909" s="1"/>
      <c r="G909" s="1"/>
      <c r="H909" s="118"/>
      <c r="I909" s="177"/>
      <c r="J909" s="31"/>
      <c r="K909" s="1"/>
      <c r="L909" s="120"/>
      <c r="M909" s="121"/>
      <c r="N909" s="121"/>
      <c r="O909" s="118"/>
      <c r="P909" s="118"/>
      <c r="Q909" s="31"/>
      <c r="R909" s="122"/>
      <c r="S909" s="121"/>
      <c r="T909" s="122"/>
      <c r="U909" s="121"/>
      <c r="V909" s="123"/>
      <c r="W909" s="124"/>
      <c r="X909" s="178"/>
      <c r="Y909" s="126"/>
      <c r="Z909" s="126"/>
      <c r="AB909" s="31"/>
      <c r="AC909" s="31"/>
      <c r="AD909" s="31"/>
      <c r="AE909" s="1"/>
    </row>
    <row r="910">
      <c r="A910" s="104"/>
      <c r="C910" s="128"/>
      <c r="D910" s="74"/>
      <c r="E910" s="1"/>
      <c r="F910" s="1"/>
      <c r="G910" s="1"/>
      <c r="H910" s="118"/>
      <c r="I910" s="177"/>
      <c r="J910" s="31"/>
      <c r="K910" s="1"/>
      <c r="L910" s="120"/>
      <c r="M910" s="121"/>
      <c r="N910" s="121"/>
      <c r="O910" s="118"/>
      <c r="P910" s="118"/>
      <c r="Q910" s="31"/>
      <c r="R910" s="122"/>
      <c r="S910" s="121"/>
      <c r="T910" s="122"/>
      <c r="U910" s="121"/>
      <c r="V910" s="123"/>
      <c r="W910" s="124"/>
      <c r="X910" s="178"/>
      <c r="Y910" s="126"/>
      <c r="Z910" s="126"/>
      <c r="AB910" s="31"/>
      <c r="AC910" s="31"/>
      <c r="AD910" s="31"/>
      <c r="AE910" s="1"/>
    </row>
    <row r="911">
      <c r="A911" s="104"/>
      <c r="C911" s="128"/>
      <c r="D911" s="74"/>
      <c r="E911" s="1"/>
      <c r="F911" s="1"/>
      <c r="G911" s="1"/>
      <c r="H911" s="118"/>
      <c r="I911" s="177"/>
      <c r="J911" s="31"/>
      <c r="K911" s="1"/>
      <c r="L911" s="120"/>
      <c r="M911" s="121"/>
      <c r="N911" s="121"/>
      <c r="O911" s="118"/>
      <c r="P911" s="118"/>
      <c r="Q911" s="31"/>
      <c r="R911" s="122"/>
      <c r="S911" s="121"/>
      <c r="T911" s="122"/>
      <c r="U911" s="121"/>
      <c r="V911" s="123"/>
      <c r="W911" s="124"/>
      <c r="X911" s="178"/>
      <c r="Y911" s="126"/>
      <c r="Z911" s="126"/>
      <c r="AB911" s="31"/>
      <c r="AC911" s="31"/>
      <c r="AD911" s="31"/>
      <c r="AE911" s="1"/>
    </row>
    <row r="912">
      <c r="A912" s="104"/>
      <c r="C912" s="128"/>
      <c r="D912" s="74"/>
      <c r="E912" s="1"/>
      <c r="F912" s="1"/>
      <c r="G912" s="1"/>
      <c r="H912" s="118"/>
      <c r="I912" s="177"/>
      <c r="J912" s="31"/>
      <c r="K912" s="1"/>
      <c r="L912" s="120"/>
      <c r="M912" s="121"/>
      <c r="N912" s="121"/>
      <c r="O912" s="118"/>
      <c r="P912" s="118"/>
      <c r="Q912" s="31"/>
      <c r="R912" s="122"/>
      <c r="S912" s="121"/>
      <c r="T912" s="122"/>
      <c r="U912" s="121"/>
      <c r="V912" s="123"/>
      <c r="W912" s="124"/>
      <c r="X912" s="178"/>
      <c r="Y912" s="126"/>
      <c r="Z912" s="126"/>
      <c r="AB912" s="31"/>
      <c r="AC912" s="31"/>
      <c r="AD912" s="31"/>
      <c r="AE912" s="1"/>
    </row>
    <row r="913">
      <c r="A913" s="104"/>
      <c r="C913" s="128"/>
      <c r="D913" s="74"/>
      <c r="E913" s="1"/>
      <c r="F913" s="1"/>
      <c r="G913" s="1"/>
      <c r="H913" s="118"/>
      <c r="I913" s="177"/>
      <c r="J913" s="31"/>
      <c r="K913" s="1"/>
      <c r="L913" s="120"/>
      <c r="M913" s="121"/>
      <c r="N913" s="121"/>
      <c r="O913" s="118"/>
      <c r="P913" s="118"/>
      <c r="Q913" s="31"/>
      <c r="R913" s="122"/>
      <c r="S913" s="121"/>
      <c r="T913" s="122"/>
      <c r="U913" s="121"/>
      <c r="V913" s="123"/>
      <c r="W913" s="124"/>
      <c r="X913" s="178"/>
      <c r="Y913" s="126"/>
      <c r="Z913" s="126"/>
      <c r="AB913" s="31"/>
      <c r="AC913" s="31"/>
      <c r="AD913" s="31"/>
      <c r="AE913" s="1"/>
    </row>
    <row r="914">
      <c r="A914" s="104"/>
      <c r="C914" s="128"/>
      <c r="D914" s="74"/>
      <c r="E914" s="1"/>
      <c r="F914" s="1"/>
      <c r="G914" s="1"/>
      <c r="H914" s="118"/>
      <c r="I914" s="177"/>
      <c r="J914" s="31"/>
      <c r="K914" s="1"/>
      <c r="L914" s="120"/>
      <c r="M914" s="121"/>
      <c r="N914" s="121"/>
      <c r="O914" s="118"/>
      <c r="P914" s="118"/>
      <c r="Q914" s="31"/>
      <c r="R914" s="122"/>
      <c r="S914" s="121"/>
      <c r="T914" s="122"/>
      <c r="U914" s="121"/>
      <c r="V914" s="123"/>
      <c r="W914" s="124"/>
      <c r="X914" s="178"/>
      <c r="Y914" s="126"/>
      <c r="Z914" s="126"/>
      <c r="AB914" s="31"/>
      <c r="AC914" s="31"/>
      <c r="AD914" s="31"/>
      <c r="AE914" s="1"/>
    </row>
    <row r="915">
      <c r="A915" s="104"/>
      <c r="C915" s="128"/>
      <c r="D915" s="74"/>
      <c r="E915" s="1"/>
      <c r="F915" s="1"/>
      <c r="G915" s="1"/>
      <c r="H915" s="118"/>
      <c r="I915" s="177"/>
      <c r="J915" s="31"/>
      <c r="K915" s="1"/>
      <c r="L915" s="120"/>
      <c r="M915" s="121"/>
      <c r="N915" s="121"/>
      <c r="O915" s="118"/>
      <c r="P915" s="118"/>
      <c r="Q915" s="31"/>
      <c r="R915" s="122"/>
      <c r="S915" s="121"/>
      <c r="T915" s="122"/>
      <c r="U915" s="121"/>
      <c r="V915" s="123"/>
      <c r="W915" s="124"/>
      <c r="X915" s="178"/>
      <c r="Y915" s="126"/>
      <c r="Z915" s="126"/>
      <c r="AB915" s="31"/>
      <c r="AC915" s="31"/>
      <c r="AD915" s="31"/>
      <c r="AE915" s="1"/>
    </row>
    <row r="916">
      <c r="A916" s="104"/>
      <c r="C916" s="128"/>
      <c r="D916" s="74"/>
      <c r="E916" s="1"/>
      <c r="F916" s="1"/>
      <c r="G916" s="1"/>
      <c r="H916" s="118"/>
      <c r="I916" s="177"/>
      <c r="J916" s="31"/>
      <c r="K916" s="1"/>
      <c r="L916" s="120"/>
      <c r="M916" s="121"/>
      <c r="N916" s="121"/>
      <c r="O916" s="118"/>
      <c r="P916" s="118"/>
      <c r="Q916" s="31"/>
      <c r="R916" s="122"/>
      <c r="S916" s="121"/>
      <c r="T916" s="122"/>
      <c r="U916" s="121"/>
      <c r="V916" s="123"/>
      <c r="W916" s="124"/>
      <c r="X916" s="178"/>
      <c r="Y916" s="126"/>
      <c r="Z916" s="126"/>
      <c r="AB916" s="31"/>
      <c r="AC916" s="31"/>
      <c r="AD916" s="31"/>
      <c r="AE916" s="1"/>
    </row>
    <row r="917">
      <c r="A917" s="104"/>
      <c r="C917" s="128"/>
      <c r="D917" s="74"/>
      <c r="E917" s="1"/>
      <c r="F917" s="1"/>
      <c r="G917" s="1"/>
      <c r="H917" s="118"/>
      <c r="I917" s="177"/>
      <c r="J917" s="31"/>
      <c r="K917" s="1"/>
      <c r="L917" s="120"/>
      <c r="M917" s="121"/>
      <c r="N917" s="121"/>
      <c r="O917" s="118"/>
      <c r="P917" s="118"/>
      <c r="Q917" s="31"/>
      <c r="R917" s="122"/>
      <c r="S917" s="121"/>
      <c r="T917" s="122"/>
      <c r="U917" s="121"/>
      <c r="V917" s="123"/>
      <c r="W917" s="124"/>
      <c r="X917" s="178"/>
      <c r="Y917" s="126"/>
      <c r="Z917" s="126"/>
      <c r="AB917" s="31"/>
      <c r="AC917" s="31"/>
      <c r="AD917" s="31"/>
      <c r="AE917" s="1"/>
    </row>
    <row r="918">
      <c r="A918" s="104"/>
      <c r="C918" s="128"/>
      <c r="D918" s="74"/>
      <c r="E918" s="1"/>
      <c r="F918" s="1"/>
      <c r="G918" s="1"/>
      <c r="H918" s="118"/>
      <c r="I918" s="177"/>
      <c r="J918" s="31"/>
      <c r="K918" s="1"/>
      <c r="L918" s="120"/>
      <c r="M918" s="121"/>
      <c r="N918" s="121"/>
      <c r="O918" s="118"/>
      <c r="P918" s="118"/>
      <c r="Q918" s="31"/>
      <c r="R918" s="122"/>
      <c r="S918" s="121"/>
      <c r="T918" s="122"/>
      <c r="U918" s="121"/>
      <c r="V918" s="123"/>
      <c r="W918" s="124"/>
      <c r="X918" s="178"/>
      <c r="Y918" s="126"/>
      <c r="Z918" s="126"/>
      <c r="AB918" s="31"/>
      <c r="AC918" s="31"/>
      <c r="AD918" s="31"/>
      <c r="AE918" s="1"/>
    </row>
    <row r="919">
      <c r="A919" s="104"/>
      <c r="C919" s="128"/>
      <c r="D919" s="74"/>
      <c r="E919" s="1"/>
      <c r="F919" s="1"/>
      <c r="G919" s="1"/>
      <c r="H919" s="118"/>
      <c r="I919" s="177"/>
      <c r="J919" s="31"/>
      <c r="K919" s="1"/>
      <c r="L919" s="120"/>
      <c r="M919" s="121"/>
      <c r="N919" s="121"/>
      <c r="O919" s="118"/>
      <c r="P919" s="118"/>
      <c r="Q919" s="31"/>
      <c r="R919" s="122"/>
      <c r="S919" s="121"/>
      <c r="T919" s="122"/>
      <c r="U919" s="121"/>
      <c r="V919" s="123"/>
      <c r="W919" s="124"/>
      <c r="X919" s="178"/>
      <c r="Y919" s="126"/>
      <c r="Z919" s="126"/>
      <c r="AB919" s="31"/>
      <c r="AC919" s="31"/>
      <c r="AD919" s="31"/>
      <c r="AE919" s="1"/>
    </row>
    <row r="920">
      <c r="A920" s="104"/>
      <c r="C920" s="128"/>
      <c r="D920" s="74"/>
      <c r="E920" s="1"/>
      <c r="F920" s="1"/>
      <c r="G920" s="1"/>
      <c r="H920" s="118"/>
      <c r="I920" s="177"/>
      <c r="J920" s="31"/>
      <c r="K920" s="1"/>
      <c r="L920" s="120"/>
      <c r="M920" s="121"/>
      <c r="N920" s="121"/>
      <c r="O920" s="118"/>
      <c r="P920" s="118"/>
      <c r="Q920" s="31"/>
      <c r="R920" s="122"/>
      <c r="S920" s="121"/>
      <c r="T920" s="122"/>
      <c r="U920" s="121"/>
      <c r="V920" s="123"/>
      <c r="W920" s="124"/>
      <c r="X920" s="178"/>
      <c r="Y920" s="126"/>
      <c r="Z920" s="126"/>
      <c r="AB920" s="31"/>
      <c r="AC920" s="31"/>
      <c r="AD920" s="31"/>
      <c r="AE920" s="1"/>
    </row>
    <row r="921">
      <c r="A921" s="104"/>
      <c r="C921" s="128"/>
      <c r="D921" s="74"/>
      <c r="E921" s="1"/>
      <c r="F921" s="1"/>
      <c r="G921" s="1"/>
      <c r="H921" s="118"/>
      <c r="I921" s="177"/>
      <c r="J921" s="31"/>
      <c r="K921" s="1"/>
      <c r="L921" s="120"/>
      <c r="M921" s="121"/>
      <c r="N921" s="121"/>
      <c r="O921" s="118"/>
      <c r="P921" s="118"/>
      <c r="Q921" s="31"/>
      <c r="R921" s="122"/>
      <c r="S921" s="121"/>
      <c r="T921" s="122"/>
      <c r="U921" s="121"/>
      <c r="V921" s="123"/>
      <c r="W921" s="124"/>
      <c r="X921" s="178"/>
      <c r="Y921" s="126"/>
      <c r="Z921" s="126"/>
      <c r="AB921" s="31"/>
      <c r="AC921" s="31"/>
      <c r="AD921" s="31"/>
      <c r="AE921" s="1"/>
    </row>
    <row r="922">
      <c r="A922" s="104"/>
      <c r="C922" s="128"/>
      <c r="D922" s="74"/>
      <c r="E922" s="1"/>
      <c r="F922" s="1"/>
      <c r="G922" s="1"/>
      <c r="H922" s="118"/>
      <c r="I922" s="177"/>
      <c r="J922" s="31"/>
      <c r="K922" s="1"/>
      <c r="L922" s="120"/>
      <c r="M922" s="121"/>
      <c r="N922" s="121"/>
      <c r="O922" s="118"/>
      <c r="P922" s="118"/>
      <c r="Q922" s="31"/>
      <c r="R922" s="122"/>
      <c r="S922" s="121"/>
      <c r="T922" s="122"/>
      <c r="U922" s="121"/>
      <c r="V922" s="123"/>
      <c r="W922" s="124"/>
      <c r="X922" s="178"/>
      <c r="Y922" s="126"/>
      <c r="Z922" s="126"/>
      <c r="AB922" s="31"/>
      <c r="AC922" s="31"/>
      <c r="AD922" s="31"/>
      <c r="AE922" s="1"/>
    </row>
    <row r="923">
      <c r="A923" s="104"/>
      <c r="C923" s="128"/>
      <c r="D923" s="74"/>
      <c r="E923" s="1"/>
      <c r="F923" s="1"/>
      <c r="G923" s="1"/>
      <c r="H923" s="118"/>
      <c r="I923" s="177"/>
      <c r="J923" s="31"/>
      <c r="K923" s="1"/>
      <c r="L923" s="120"/>
      <c r="M923" s="121"/>
      <c r="N923" s="121"/>
      <c r="O923" s="118"/>
      <c r="P923" s="118"/>
      <c r="Q923" s="31"/>
      <c r="R923" s="122"/>
      <c r="S923" s="121"/>
      <c r="T923" s="122"/>
      <c r="U923" s="121"/>
      <c r="V923" s="123"/>
      <c r="W923" s="124"/>
      <c r="X923" s="178"/>
      <c r="Y923" s="126"/>
      <c r="Z923" s="126"/>
      <c r="AB923" s="31"/>
      <c r="AC923" s="31"/>
      <c r="AD923" s="31"/>
      <c r="AE923" s="1"/>
    </row>
    <row r="924">
      <c r="A924" s="104"/>
      <c r="C924" s="128"/>
      <c r="D924" s="74"/>
      <c r="E924" s="1"/>
      <c r="F924" s="1"/>
      <c r="G924" s="1"/>
      <c r="H924" s="118"/>
      <c r="I924" s="177"/>
      <c r="J924" s="31"/>
      <c r="K924" s="1"/>
      <c r="L924" s="120"/>
      <c r="M924" s="121"/>
      <c r="N924" s="121"/>
      <c r="O924" s="118"/>
      <c r="P924" s="118"/>
      <c r="Q924" s="31"/>
      <c r="R924" s="122"/>
      <c r="S924" s="121"/>
      <c r="T924" s="122"/>
      <c r="U924" s="121"/>
      <c r="V924" s="123"/>
      <c r="W924" s="124"/>
      <c r="X924" s="178"/>
      <c r="Y924" s="126"/>
      <c r="Z924" s="126"/>
      <c r="AB924" s="31"/>
      <c r="AC924" s="31"/>
      <c r="AD924" s="31"/>
      <c r="AE924" s="1"/>
    </row>
    <row r="925">
      <c r="A925" s="104"/>
      <c r="C925" s="128"/>
      <c r="D925" s="74"/>
      <c r="E925" s="1"/>
      <c r="F925" s="1"/>
      <c r="G925" s="1"/>
      <c r="H925" s="118"/>
      <c r="I925" s="177"/>
      <c r="J925" s="31"/>
      <c r="K925" s="1"/>
      <c r="L925" s="120"/>
      <c r="M925" s="121"/>
      <c r="N925" s="121"/>
      <c r="O925" s="118"/>
      <c r="P925" s="118"/>
      <c r="Q925" s="31"/>
      <c r="R925" s="122"/>
      <c r="S925" s="121"/>
      <c r="T925" s="122"/>
      <c r="U925" s="121"/>
      <c r="V925" s="123"/>
      <c r="W925" s="124"/>
      <c r="X925" s="178"/>
      <c r="Y925" s="126"/>
      <c r="Z925" s="126"/>
      <c r="AB925" s="31"/>
      <c r="AC925" s="31"/>
      <c r="AD925" s="31"/>
      <c r="AE925" s="1"/>
    </row>
    <row r="926">
      <c r="A926" s="104"/>
      <c r="C926" s="128"/>
      <c r="D926" s="74"/>
      <c r="E926" s="1"/>
      <c r="F926" s="1"/>
      <c r="G926" s="1"/>
      <c r="H926" s="118"/>
      <c r="I926" s="177"/>
      <c r="J926" s="31"/>
      <c r="K926" s="1"/>
      <c r="L926" s="120"/>
      <c r="M926" s="121"/>
      <c r="N926" s="121"/>
      <c r="O926" s="118"/>
      <c r="P926" s="118"/>
      <c r="Q926" s="31"/>
      <c r="R926" s="122"/>
      <c r="S926" s="121"/>
      <c r="T926" s="122"/>
      <c r="U926" s="121"/>
      <c r="V926" s="123"/>
      <c r="W926" s="124"/>
      <c r="X926" s="178"/>
      <c r="Y926" s="126"/>
      <c r="Z926" s="126"/>
      <c r="AB926" s="31"/>
      <c r="AC926" s="31"/>
      <c r="AD926" s="31"/>
      <c r="AE926" s="1"/>
    </row>
    <row r="927">
      <c r="A927" s="104"/>
      <c r="C927" s="128"/>
      <c r="D927" s="74"/>
      <c r="E927" s="1"/>
      <c r="F927" s="1"/>
      <c r="G927" s="1"/>
      <c r="H927" s="118"/>
      <c r="I927" s="177"/>
      <c r="J927" s="31"/>
      <c r="K927" s="1"/>
      <c r="L927" s="120"/>
      <c r="M927" s="121"/>
      <c r="N927" s="121"/>
      <c r="O927" s="118"/>
      <c r="P927" s="118"/>
      <c r="Q927" s="31"/>
      <c r="R927" s="122"/>
      <c r="S927" s="121"/>
      <c r="T927" s="122"/>
      <c r="U927" s="121"/>
      <c r="V927" s="123"/>
      <c r="W927" s="124"/>
      <c r="X927" s="178"/>
      <c r="Y927" s="126"/>
      <c r="Z927" s="126"/>
      <c r="AB927" s="31"/>
      <c r="AC927" s="31"/>
      <c r="AD927" s="31"/>
      <c r="AE927" s="1"/>
    </row>
    <row r="928">
      <c r="A928" s="104"/>
      <c r="C928" s="128"/>
      <c r="D928" s="74"/>
      <c r="E928" s="1"/>
      <c r="F928" s="1"/>
      <c r="G928" s="1"/>
      <c r="H928" s="118"/>
      <c r="I928" s="177"/>
      <c r="J928" s="31"/>
      <c r="K928" s="1"/>
      <c r="L928" s="120"/>
      <c r="M928" s="121"/>
      <c r="N928" s="121"/>
      <c r="O928" s="118"/>
      <c r="P928" s="118"/>
      <c r="Q928" s="31"/>
      <c r="R928" s="122"/>
      <c r="S928" s="121"/>
      <c r="T928" s="122"/>
      <c r="U928" s="121"/>
      <c r="V928" s="123"/>
      <c r="W928" s="124"/>
      <c r="X928" s="178"/>
      <c r="Y928" s="126"/>
      <c r="Z928" s="126"/>
      <c r="AB928" s="31"/>
      <c r="AC928" s="31"/>
      <c r="AD928" s="31"/>
      <c r="AE928" s="1"/>
    </row>
    <row r="929">
      <c r="A929" s="104"/>
      <c r="C929" s="128"/>
      <c r="D929" s="74"/>
      <c r="E929" s="1"/>
      <c r="F929" s="1"/>
      <c r="G929" s="1"/>
      <c r="H929" s="118"/>
      <c r="I929" s="177"/>
      <c r="J929" s="31"/>
      <c r="K929" s="1"/>
      <c r="L929" s="120"/>
      <c r="M929" s="121"/>
      <c r="N929" s="121"/>
      <c r="O929" s="118"/>
      <c r="P929" s="118"/>
      <c r="Q929" s="31"/>
      <c r="R929" s="122"/>
      <c r="S929" s="121"/>
      <c r="T929" s="122"/>
      <c r="U929" s="121"/>
      <c r="V929" s="123"/>
      <c r="W929" s="124"/>
      <c r="X929" s="178"/>
      <c r="Y929" s="126"/>
      <c r="Z929" s="126"/>
      <c r="AB929" s="31"/>
      <c r="AC929" s="31"/>
      <c r="AD929" s="31"/>
      <c r="AE929" s="1"/>
    </row>
    <row r="930">
      <c r="A930" s="104"/>
      <c r="C930" s="128"/>
      <c r="D930" s="74"/>
      <c r="E930" s="1"/>
      <c r="F930" s="1"/>
      <c r="G930" s="1"/>
      <c r="H930" s="118"/>
      <c r="I930" s="177"/>
      <c r="J930" s="31"/>
      <c r="K930" s="1"/>
      <c r="L930" s="120"/>
      <c r="M930" s="121"/>
      <c r="N930" s="121"/>
      <c r="O930" s="118"/>
      <c r="P930" s="118"/>
      <c r="Q930" s="31"/>
      <c r="R930" s="122"/>
      <c r="S930" s="121"/>
      <c r="T930" s="122"/>
      <c r="U930" s="121"/>
      <c r="V930" s="123"/>
      <c r="W930" s="124"/>
      <c r="X930" s="178"/>
      <c r="Y930" s="126"/>
      <c r="Z930" s="126"/>
      <c r="AB930" s="31"/>
      <c r="AC930" s="31"/>
      <c r="AD930" s="31"/>
      <c r="AE930" s="1"/>
    </row>
    <row r="931">
      <c r="A931" s="104"/>
      <c r="C931" s="128"/>
      <c r="D931" s="74"/>
      <c r="E931" s="1"/>
      <c r="F931" s="1"/>
      <c r="G931" s="1"/>
      <c r="H931" s="118"/>
      <c r="I931" s="177"/>
      <c r="J931" s="31"/>
      <c r="K931" s="1"/>
      <c r="L931" s="120"/>
      <c r="M931" s="121"/>
      <c r="N931" s="121"/>
      <c r="O931" s="118"/>
      <c r="P931" s="118"/>
      <c r="Q931" s="31"/>
      <c r="R931" s="122"/>
      <c r="S931" s="121"/>
      <c r="T931" s="122"/>
      <c r="U931" s="121"/>
      <c r="V931" s="123"/>
      <c r="W931" s="124"/>
      <c r="X931" s="178"/>
      <c r="Y931" s="126"/>
      <c r="Z931" s="126"/>
      <c r="AB931" s="31"/>
      <c r="AC931" s="31"/>
      <c r="AD931" s="31"/>
      <c r="AE931" s="1"/>
    </row>
    <row r="932">
      <c r="A932" s="104"/>
      <c r="C932" s="128"/>
      <c r="D932" s="74"/>
      <c r="E932" s="1"/>
      <c r="F932" s="1"/>
      <c r="G932" s="1"/>
      <c r="H932" s="118"/>
      <c r="I932" s="177"/>
      <c r="J932" s="31"/>
      <c r="K932" s="1"/>
      <c r="L932" s="120"/>
      <c r="M932" s="121"/>
      <c r="N932" s="121"/>
      <c r="O932" s="118"/>
      <c r="P932" s="118"/>
      <c r="Q932" s="31"/>
      <c r="R932" s="122"/>
      <c r="S932" s="121"/>
      <c r="T932" s="122"/>
      <c r="U932" s="121"/>
      <c r="V932" s="123"/>
      <c r="W932" s="124"/>
      <c r="X932" s="178"/>
      <c r="Y932" s="126"/>
      <c r="Z932" s="126"/>
      <c r="AB932" s="31"/>
      <c r="AC932" s="31"/>
      <c r="AD932" s="31"/>
      <c r="AE932" s="1"/>
    </row>
    <row r="933">
      <c r="A933" s="104"/>
      <c r="C933" s="128"/>
      <c r="D933" s="74"/>
      <c r="E933" s="1"/>
      <c r="F933" s="1"/>
      <c r="G933" s="1"/>
      <c r="H933" s="118"/>
      <c r="I933" s="177"/>
      <c r="J933" s="31"/>
      <c r="K933" s="1"/>
      <c r="L933" s="120"/>
      <c r="M933" s="121"/>
      <c r="N933" s="121"/>
      <c r="O933" s="118"/>
      <c r="P933" s="118"/>
      <c r="Q933" s="31"/>
      <c r="R933" s="122"/>
      <c r="S933" s="121"/>
      <c r="T933" s="122"/>
      <c r="U933" s="121"/>
      <c r="V933" s="123"/>
      <c r="W933" s="124"/>
      <c r="X933" s="178"/>
      <c r="Y933" s="126"/>
      <c r="Z933" s="126"/>
      <c r="AB933" s="31"/>
      <c r="AC933" s="31"/>
      <c r="AD933" s="31"/>
      <c r="AE933" s="1"/>
    </row>
    <row r="934">
      <c r="A934" s="104"/>
      <c r="C934" s="128"/>
      <c r="D934" s="74"/>
      <c r="E934" s="1"/>
      <c r="F934" s="1"/>
      <c r="G934" s="1"/>
      <c r="H934" s="118"/>
      <c r="I934" s="177"/>
      <c r="J934" s="31"/>
      <c r="K934" s="1"/>
      <c r="L934" s="120"/>
      <c r="M934" s="121"/>
      <c r="N934" s="121"/>
      <c r="O934" s="118"/>
      <c r="P934" s="118"/>
      <c r="Q934" s="31"/>
      <c r="R934" s="122"/>
      <c r="S934" s="121"/>
      <c r="T934" s="122"/>
      <c r="U934" s="121"/>
      <c r="V934" s="123"/>
      <c r="W934" s="124"/>
      <c r="X934" s="178"/>
      <c r="Y934" s="126"/>
      <c r="Z934" s="126"/>
      <c r="AB934" s="31"/>
      <c r="AC934" s="31"/>
      <c r="AD934" s="31"/>
      <c r="AE934" s="1"/>
    </row>
    <row r="935">
      <c r="A935" s="104"/>
      <c r="C935" s="128"/>
      <c r="D935" s="74"/>
      <c r="E935" s="1"/>
      <c r="F935" s="1"/>
      <c r="G935" s="1"/>
      <c r="H935" s="118"/>
      <c r="I935" s="177"/>
      <c r="J935" s="31"/>
      <c r="K935" s="1"/>
      <c r="L935" s="120"/>
      <c r="M935" s="121"/>
      <c r="N935" s="121"/>
      <c r="O935" s="118"/>
      <c r="P935" s="118"/>
      <c r="Q935" s="31"/>
      <c r="R935" s="122"/>
      <c r="S935" s="121"/>
      <c r="T935" s="122"/>
      <c r="U935" s="121"/>
      <c r="V935" s="123"/>
      <c r="W935" s="124"/>
      <c r="X935" s="178"/>
      <c r="Y935" s="126"/>
      <c r="Z935" s="126"/>
      <c r="AB935" s="31"/>
      <c r="AC935" s="31"/>
      <c r="AD935" s="31"/>
      <c r="AE935" s="1"/>
    </row>
    <row r="936">
      <c r="A936" s="104"/>
      <c r="C936" s="128"/>
      <c r="D936" s="74"/>
      <c r="E936" s="1"/>
      <c r="F936" s="1"/>
      <c r="G936" s="1"/>
      <c r="H936" s="118"/>
      <c r="I936" s="177"/>
      <c r="J936" s="31"/>
      <c r="K936" s="1"/>
      <c r="L936" s="120"/>
      <c r="M936" s="121"/>
      <c r="N936" s="121"/>
      <c r="O936" s="118"/>
      <c r="P936" s="118"/>
      <c r="Q936" s="31"/>
      <c r="R936" s="122"/>
      <c r="S936" s="121"/>
      <c r="T936" s="122"/>
      <c r="U936" s="121"/>
      <c r="V936" s="123"/>
      <c r="W936" s="124"/>
      <c r="X936" s="178"/>
      <c r="Y936" s="126"/>
      <c r="Z936" s="126"/>
      <c r="AB936" s="31"/>
      <c r="AC936" s="31"/>
      <c r="AD936" s="31"/>
      <c r="AE936" s="1"/>
    </row>
    <row r="937">
      <c r="A937" s="104"/>
      <c r="C937" s="128"/>
      <c r="D937" s="74"/>
      <c r="E937" s="1"/>
      <c r="F937" s="1"/>
      <c r="G937" s="1"/>
      <c r="H937" s="118"/>
      <c r="I937" s="177"/>
      <c r="J937" s="31"/>
      <c r="K937" s="1"/>
      <c r="L937" s="120"/>
      <c r="M937" s="121"/>
      <c r="N937" s="121"/>
      <c r="O937" s="118"/>
      <c r="P937" s="118"/>
      <c r="Q937" s="31"/>
      <c r="R937" s="122"/>
      <c r="S937" s="121"/>
      <c r="T937" s="122"/>
      <c r="U937" s="121"/>
      <c r="V937" s="123"/>
      <c r="W937" s="124"/>
      <c r="X937" s="178"/>
      <c r="Y937" s="126"/>
      <c r="Z937" s="126"/>
      <c r="AB937" s="31"/>
      <c r="AC937" s="31"/>
      <c r="AD937" s="31"/>
      <c r="AE937" s="1"/>
    </row>
    <row r="938">
      <c r="A938" s="104"/>
      <c r="C938" s="128"/>
      <c r="D938" s="74"/>
      <c r="E938" s="1"/>
      <c r="F938" s="1"/>
      <c r="G938" s="1"/>
      <c r="H938" s="118"/>
      <c r="I938" s="177"/>
      <c r="J938" s="31"/>
      <c r="K938" s="1"/>
      <c r="L938" s="120"/>
      <c r="M938" s="121"/>
      <c r="N938" s="121"/>
      <c r="O938" s="118"/>
      <c r="P938" s="118"/>
      <c r="Q938" s="31"/>
      <c r="R938" s="122"/>
      <c r="S938" s="121"/>
      <c r="T938" s="122"/>
      <c r="U938" s="121"/>
      <c r="V938" s="123"/>
      <c r="W938" s="124"/>
      <c r="X938" s="178"/>
      <c r="Y938" s="126"/>
      <c r="Z938" s="126"/>
      <c r="AB938" s="31"/>
      <c r="AC938" s="31"/>
      <c r="AD938" s="31"/>
      <c r="AE938" s="1"/>
    </row>
    <row r="939">
      <c r="A939" s="104"/>
      <c r="C939" s="128"/>
      <c r="D939" s="74"/>
      <c r="E939" s="1"/>
      <c r="F939" s="1"/>
      <c r="G939" s="1"/>
      <c r="H939" s="118"/>
      <c r="I939" s="177"/>
      <c r="J939" s="31"/>
      <c r="K939" s="1"/>
      <c r="L939" s="120"/>
      <c r="M939" s="121"/>
      <c r="N939" s="121"/>
      <c r="O939" s="118"/>
      <c r="P939" s="118"/>
      <c r="Q939" s="31"/>
      <c r="R939" s="122"/>
      <c r="S939" s="121"/>
      <c r="T939" s="122"/>
      <c r="U939" s="121"/>
      <c r="V939" s="123"/>
      <c r="W939" s="124"/>
      <c r="X939" s="178"/>
      <c r="Y939" s="126"/>
      <c r="Z939" s="126"/>
      <c r="AB939" s="31"/>
      <c r="AC939" s="31"/>
      <c r="AD939" s="31"/>
      <c r="AE939" s="1"/>
    </row>
    <row r="940">
      <c r="A940" s="104"/>
      <c r="C940" s="128"/>
      <c r="D940" s="74"/>
      <c r="E940" s="1"/>
      <c r="F940" s="1"/>
      <c r="G940" s="1"/>
      <c r="H940" s="118"/>
      <c r="I940" s="177"/>
      <c r="J940" s="31"/>
      <c r="K940" s="1"/>
      <c r="L940" s="120"/>
      <c r="M940" s="121"/>
      <c r="N940" s="121"/>
      <c r="O940" s="118"/>
      <c r="P940" s="118"/>
      <c r="Q940" s="31"/>
      <c r="R940" s="122"/>
      <c r="S940" s="121"/>
      <c r="T940" s="122"/>
      <c r="U940" s="121"/>
      <c r="V940" s="123"/>
      <c r="W940" s="124"/>
      <c r="X940" s="178"/>
      <c r="Y940" s="126"/>
      <c r="Z940" s="126"/>
      <c r="AB940" s="31"/>
      <c r="AC940" s="31"/>
      <c r="AD940" s="31"/>
      <c r="AE940" s="1"/>
    </row>
    <row r="941">
      <c r="A941" s="104"/>
      <c r="C941" s="128"/>
      <c r="D941" s="74"/>
      <c r="E941" s="1"/>
      <c r="F941" s="1"/>
      <c r="G941" s="1"/>
      <c r="H941" s="118"/>
      <c r="I941" s="177"/>
      <c r="J941" s="31"/>
      <c r="K941" s="1"/>
      <c r="L941" s="120"/>
      <c r="M941" s="121"/>
      <c r="N941" s="121"/>
      <c r="O941" s="118"/>
      <c r="P941" s="118"/>
      <c r="Q941" s="31"/>
      <c r="R941" s="122"/>
      <c r="S941" s="121"/>
      <c r="T941" s="122"/>
      <c r="U941" s="121"/>
      <c r="V941" s="123"/>
      <c r="W941" s="124"/>
      <c r="X941" s="178"/>
      <c r="Y941" s="126"/>
      <c r="Z941" s="126"/>
      <c r="AB941" s="31"/>
      <c r="AC941" s="31"/>
      <c r="AD941" s="31"/>
      <c r="AE941" s="1"/>
    </row>
    <row r="942">
      <c r="A942" s="104"/>
      <c r="C942" s="128"/>
      <c r="D942" s="74"/>
      <c r="E942" s="1"/>
      <c r="F942" s="1"/>
      <c r="G942" s="1"/>
      <c r="H942" s="118"/>
      <c r="I942" s="177"/>
      <c r="J942" s="31"/>
      <c r="K942" s="1"/>
      <c r="L942" s="120"/>
      <c r="M942" s="121"/>
      <c r="N942" s="121"/>
      <c r="O942" s="118"/>
      <c r="P942" s="118"/>
      <c r="Q942" s="31"/>
      <c r="R942" s="122"/>
      <c r="S942" s="121"/>
      <c r="T942" s="122"/>
      <c r="U942" s="121"/>
      <c r="V942" s="123"/>
      <c r="W942" s="124"/>
      <c r="X942" s="178"/>
      <c r="Y942" s="126"/>
      <c r="Z942" s="126"/>
      <c r="AB942" s="31"/>
      <c r="AC942" s="31"/>
      <c r="AD942" s="31"/>
      <c r="AE942" s="1"/>
    </row>
    <row r="943">
      <c r="A943" s="104"/>
      <c r="C943" s="128"/>
      <c r="D943" s="74"/>
      <c r="E943" s="1"/>
      <c r="F943" s="1"/>
      <c r="G943" s="1"/>
      <c r="H943" s="118"/>
      <c r="I943" s="177"/>
      <c r="J943" s="31"/>
      <c r="K943" s="1"/>
      <c r="L943" s="120"/>
      <c r="M943" s="121"/>
      <c r="N943" s="121"/>
      <c r="O943" s="118"/>
      <c r="P943" s="118"/>
      <c r="Q943" s="31"/>
      <c r="R943" s="122"/>
      <c r="S943" s="121"/>
      <c r="T943" s="122"/>
      <c r="U943" s="121"/>
      <c r="V943" s="123"/>
      <c r="W943" s="124"/>
      <c r="X943" s="178"/>
      <c r="Y943" s="126"/>
      <c r="Z943" s="126"/>
      <c r="AB943" s="31"/>
      <c r="AC943" s="31"/>
      <c r="AD943" s="31"/>
      <c r="AE943" s="1"/>
    </row>
    <row r="944">
      <c r="A944" s="104"/>
      <c r="C944" s="128"/>
      <c r="D944" s="74"/>
      <c r="E944" s="1"/>
      <c r="F944" s="1"/>
      <c r="G944" s="1"/>
      <c r="H944" s="118"/>
      <c r="I944" s="177"/>
      <c r="J944" s="31"/>
      <c r="K944" s="1"/>
      <c r="L944" s="120"/>
      <c r="M944" s="121"/>
      <c r="N944" s="121"/>
      <c r="O944" s="118"/>
      <c r="P944" s="118"/>
      <c r="Q944" s="31"/>
      <c r="R944" s="122"/>
      <c r="S944" s="121"/>
      <c r="T944" s="122"/>
      <c r="U944" s="121"/>
      <c r="V944" s="123"/>
      <c r="W944" s="124"/>
      <c r="X944" s="178"/>
      <c r="Y944" s="126"/>
      <c r="Z944" s="126"/>
      <c r="AB944" s="31"/>
      <c r="AC944" s="31"/>
      <c r="AD944" s="31"/>
      <c r="AE944" s="1"/>
    </row>
    <row r="945">
      <c r="A945" s="104"/>
      <c r="C945" s="128"/>
      <c r="D945" s="74"/>
      <c r="E945" s="1"/>
      <c r="F945" s="1"/>
      <c r="G945" s="1"/>
      <c r="H945" s="118"/>
      <c r="I945" s="177"/>
      <c r="J945" s="31"/>
      <c r="K945" s="1"/>
      <c r="L945" s="120"/>
      <c r="M945" s="121"/>
      <c r="N945" s="121"/>
      <c r="O945" s="118"/>
      <c r="P945" s="118"/>
      <c r="Q945" s="31"/>
      <c r="R945" s="122"/>
      <c r="S945" s="121"/>
      <c r="T945" s="122"/>
      <c r="U945" s="121"/>
      <c r="V945" s="123"/>
      <c r="W945" s="124"/>
      <c r="X945" s="178"/>
      <c r="Y945" s="126"/>
      <c r="Z945" s="126"/>
      <c r="AB945" s="31"/>
      <c r="AC945" s="31"/>
      <c r="AD945" s="31"/>
      <c r="AE945" s="1"/>
    </row>
    <row r="946">
      <c r="A946" s="104"/>
      <c r="C946" s="128"/>
      <c r="D946" s="74"/>
      <c r="E946" s="1"/>
      <c r="F946" s="1"/>
      <c r="G946" s="1"/>
      <c r="H946" s="118"/>
      <c r="I946" s="177"/>
      <c r="J946" s="31"/>
      <c r="K946" s="1"/>
      <c r="L946" s="120"/>
      <c r="M946" s="121"/>
      <c r="N946" s="121"/>
      <c r="O946" s="118"/>
      <c r="P946" s="118"/>
      <c r="Q946" s="31"/>
      <c r="R946" s="122"/>
      <c r="S946" s="121"/>
      <c r="T946" s="122"/>
      <c r="U946" s="121"/>
      <c r="V946" s="123"/>
      <c r="W946" s="124"/>
      <c r="X946" s="178"/>
      <c r="Y946" s="126"/>
      <c r="Z946" s="126"/>
      <c r="AB946" s="31"/>
      <c r="AC946" s="31"/>
      <c r="AD946" s="31"/>
      <c r="AE946" s="1"/>
    </row>
    <row r="947">
      <c r="A947" s="104"/>
      <c r="C947" s="128"/>
      <c r="D947" s="74"/>
      <c r="E947" s="1"/>
      <c r="F947" s="1"/>
      <c r="G947" s="1"/>
      <c r="H947" s="118"/>
      <c r="I947" s="177"/>
      <c r="J947" s="31"/>
      <c r="K947" s="1"/>
      <c r="L947" s="120"/>
      <c r="M947" s="121"/>
      <c r="N947" s="121"/>
      <c r="O947" s="118"/>
      <c r="P947" s="118"/>
      <c r="Q947" s="31"/>
      <c r="R947" s="122"/>
      <c r="S947" s="121"/>
      <c r="T947" s="122"/>
      <c r="U947" s="121"/>
      <c r="V947" s="123"/>
      <c r="W947" s="124"/>
      <c r="X947" s="178"/>
      <c r="Y947" s="126"/>
      <c r="Z947" s="126"/>
      <c r="AB947" s="31"/>
      <c r="AC947" s="31"/>
      <c r="AD947" s="31"/>
      <c r="AE947" s="1"/>
    </row>
    <row r="948">
      <c r="A948" s="104"/>
      <c r="C948" s="128"/>
      <c r="D948" s="74"/>
      <c r="E948" s="1"/>
      <c r="F948" s="1"/>
      <c r="G948" s="1"/>
      <c r="H948" s="118"/>
      <c r="I948" s="177"/>
      <c r="J948" s="31"/>
      <c r="K948" s="1"/>
      <c r="L948" s="120"/>
      <c r="M948" s="121"/>
      <c r="N948" s="121"/>
      <c r="O948" s="118"/>
      <c r="P948" s="118"/>
      <c r="Q948" s="31"/>
      <c r="R948" s="122"/>
      <c r="S948" s="121"/>
      <c r="T948" s="122"/>
      <c r="U948" s="121"/>
      <c r="V948" s="123"/>
      <c r="W948" s="124"/>
      <c r="X948" s="178"/>
      <c r="Y948" s="126"/>
      <c r="Z948" s="126"/>
      <c r="AB948" s="31"/>
      <c r="AC948" s="31"/>
      <c r="AD948" s="31"/>
      <c r="AE948" s="1"/>
    </row>
    <row r="949">
      <c r="A949" s="104"/>
      <c r="C949" s="128"/>
      <c r="D949" s="74"/>
      <c r="E949" s="1"/>
      <c r="F949" s="1"/>
      <c r="G949" s="1"/>
      <c r="H949" s="118"/>
      <c r="I949" s="177"/>
      <c r="J949" s="31"/>
      <c r="K949" s="1"/>
      <c r="L949" s="120"/>
      <c r="M949" s="121"/>
      <c r="N949" s="121"/>
      <c r="O949" s="118"/>
      <c r="P949" s="118"/>
      <c r="Q949" s="31"/>
      <c r="R949" s="122"/>
      <c r="S949" s="121"/>
      <c r="T949" s="122"/>
      <c r="U949" s="121"/>
      <c r="V949" s="123"/>
      <c r="W949" s="124"/>
      <c r="X949" s="178"/>
      <c r="Y949" s="126"/>
      <c r="Z949" s="126"/>
      <c r="AB949" s="31"/>
      <c r="AC949" s="31"/>
      <c r="AD949" s="31"/>
      <c r="AE949" s="1"/>
    </row>
    <row r="950">
      <c r="A950" s="104"/>
      <c r="C950" s="128"/>
      <c r="D950" s="74"/>
      <c r="E950" s="1"/>
      <c r="F950" s="1"/>
      <c r="G950" s="1"/>
      <c r="H950" s="118"/>
      <c r="I950" s="177"/>
      <c r="J950" s="31"/>
      <c r="K950" s="1"/>
      <c r="L950" s="120"/>
      <c r="M950" s="121"/>
      <c r="N950" s="121"/>
      <c r="O950" s="118"/>
      <c r="P950" s="118"/>
      <c r="Q950" s="31"/>
      <c r="R950" s="122"/>
      <c r="S950" s="121"/>
      <c r="T950" s="122"/>
      <c r="U950" s="121"/>
      <c r="V950" s="123"/>
      <c r="W950" s="124"/>
      <c r="X950" s="178"/>
      <c r="Y950" s="126"/>
      <c r="Z950" s="126"/>
      <c r="AB950" s="31"/>
      <c r="AC950" s="31"/>
      <c r="AD950" s="31"/>
      <c r="AE950" s="1"/>
    </row>
    <row r="951">
      <c r="A951" s="104"/>
      <c r="C951" s="128"/>
      <c r="D951" s="74"/>
      <c r="E951" s="1"/>
      <c r="F951" s="1"/>
      <c r="G951" s="1"/>
      <c r="H951" s="118"/>
      <c r="I951" s="177"/>
      <c r="J951" s="31"/>
      <c r="K951" s="1"/>
      <c r="L951" s="120"/>
      <c r="M951" s="121"/>
      <c r="N951" s="121"/>
      <c r="O951" s="118"/>
      <c r="P951" s="118"/>
      <c r="Q951" s="31"/>
      <c r="R951" s="122"/>
      <c r="S951" s="121"/>
      <c r="T951" s="122"/>
      <c r="U951" s="121"/>
      <c r="V951" s="123"/>
      <c r="W951" s="124"/>
      <c r="X951" s="178"/>
      <c r="Y951" s="126"/>
      <c r="Z951" s="126"/>
      <c r="AB951" s="31"/>
      <c r="AC951" s="31"/>
      <c r="AD951" s="31"/>
      <c r="AE951" s="1"/>
    </row>
    <row r="952">
      <c r="A952" s="104"/>
      <c r="C952" s="128"/>
      <c r="D952" s="74"/>
      <c r="E952" s="1"/>
      <c r="F952" s="1"/>
      <c r="G952" s="1"/>
      <c r="H952" s="118"/>
      <c r="I952" s="177"/>
      <c r="J952" s="31"/>
      <c r="K952" s="1"/>
      <c r="L952" s="120"/>
      <c r="M952" s="121"/>
      <c r="N952" s="121"/>
      <c r="O952" s="118"/>
      <c r="P952" s="118"/>
      <c r="Q952" s="31"/>
      <c r="R952" s="122"/>
      <c r="S952" s="121"/>
      <c r="T952" s="122"/>
      <c r="U952" s="121"/>
      <c r="V952" s="123"/>
      <c r="W952" s="124"/>
      <c r="X952" s="178"/>
      <c r="Y952" s="126"/>
      <c r="Z952" s="126"/>
      <c r="AB952" s="31"/>
      <c r="AC952" s="31"/>
      <c r="AD952" s="31"/>
      <c r="AE952" s="1"/>
    </row>
    <row r="953">
      <c r="A953" s="104"/>
      <c r="C953" s="128"/>
      <c r="D953" s="74"/>
      <c r="E953" s="1"/>
      <c r="F953" s="1"/>
      <c r="G953" s="1"/>
      <c r="H953" s="118"/>
      <c r="I953" s="177"/>
      <c r="J953" s="31"/>
      <c r="K953" s="1"/>
      <c r="L953" s="120"/>
      <c r="M953" s="121"/>
      <c r="N953" s="121"/>
      <c r="O953" s="118"/>
      <c r="P953" s="118"/>
      <c r="Q953" s="31"/>
      <c r="R953" s="122"/>
      <c r="S953" s="121"/>
      <c r="T953" s="122"/>
      <c r="U953" s="121"/>
      <c r="V953" s="123"/>
      <c r="W953" s="124"/>
      <c r="X953" s="178"/>
      <c r="Y953" s="126"/>
      <c r="Z953" s="126"/>
      <c r="AB953" s="31"/>
      <c r="AC953" s="31"/>
      <c r="AD953" s="31"/>
      <c r="AE953" s="1"/>
    </row>
    <row r="954">
      <c r="A954" s="104"/>
      <c r="C954" s="128"/>
      <c r="D954" s="74"/>
      <c r="E954" s="1"/>
      <c r="F954" s="1"/>
      <c r="G954" s="1"/>
      <c r="H954" s="118"/>
      <c r="I954" s="177"/>
      <c r="J954" s="31"/>
      <c r="K954" s="1"/>
      <c r="L954" s="120"/>
      <c r="M954" s="121"/>
      <c r="N954" s="121"/>
      <c r="O954" s="118"/>
      <c r="P954" s="118"/>
      <c r="Q954" s="31"/>
      <c r="R954" s="122"/>
      <c r="S954" s="121"/>
      <c r="T954" s="122"/>
      <c r="U954" s="121"/>
      <c r="V954" s="123"/>
      <c r="W954" s="124"/>
      <c r="X954" s="178"/>
      <c r="Y954" s="126"/>
      <c r="Z954" s="126"/>
      <c r="AB954" s="31"/>
      <c r="AC954" s="31"/>
      <c r="AD954" s="31"/>
      <c r="AE954" s="1"/>
    </row>
    <row r="955">
      <c r="A955" s="104"/>
      <c r="C955" s="128"/>
      <c r="D955" s="74"/>
      <c r="E955" s="1"/>
      <c r="F955" s="1"/>
      <c r="G955" s="1"/>
      <c r="H955" s="118"/>
      <c r="I955" s="177"/>
      <c r="J955" s="31"/>
      <c r="K955" s="1"/>
      <c r="L955" s="120"/>
      <c r="M955" s="121"/>
      <c r="N955" s="121"/>
      <c r="O955" s="118"/>
      <c r="P955" s="118"/>
      <c r="Q955" s="31"/>
      <c r="R955" s="122"/>
      <c r="S955" s="121"/>
      <c r="T955" s="122"/>
      <c r="U955" s="121"/>
      <c r="V955" s="123"/>
      <c r="W955" s="124"/>
      <c r="X955" s="178"/>
      <c r="Y955" s="126"/>
      <c r="Z955" s="126"/>
      <c r="AB955" s="31"/>
      <c r="AC955" s="31"/>
      <c r="AD955" s="31"/>
      <c r="AE955" s="1"/>
    </row>
    <row r="956">
      <c r="A956" s="104"/>
      <c r="C956" s="128"/>
      <c r="D956" s="74"/>
      <c r="E956" s="1"/>
      <c r="F956" s="1"/>
      <c r="G956" s="1"/>
      <c r="H956" s="118"/>
      <c r="I956" s="177"/>
      <c r="J956" s="31"/>
      <c r="K956" s="1"/>
      <c r="L956" s="120"/>
      <c r="M956" s="121"/>
      <c r="N956" s="121"/>
      <c r="O956" s="118"/>
      <c r="P956" s="118"/>
      <c r="Q956" s="31"/>
      <c r="R956" s="122"/>
      <c r="S956" s="121"/>
      <c r="T956" s="122"/>
      <c r="U956" s="121"/>
      <c r="V956" s="123"/>
      <c r="W956" s="124"/>
      <c r="X956" s="178"/>
      <c r="Y956" s="126"/>
      <c r="Z956" s="126"/>
      <c r="AB956" s="31"/>
      <c r="AC956" s="31"/>
      <c r="AD956" s="31"/>
      <c r="AE956" s="1"/>
    </row>
    <row r="957">
      <c r="A957" s="104"/>
      <c r="C957" s="128"/>
      <c r="D957" s="74"/>
      <c r="E957" s="1"/>
      <c r="F957" s="1"/>
      <c r="G957" s="1"/>
      <c r="H957" s="118"/>
      <c r="I957" s="177"/>
      <c r="J957" s="31"/>
      <c r="K957" s="1"/>
      <c r="L957" s="120"/>
      <c r="M957" s="121"/>
      <c r="N957" s="121"/>
      <c r="O957" s="118"/>
      <c r="P957" s="118"/>
      <c r="Q957" s="31"/>
      <c r="R957" s="122"/>
      <c r="S957" s="121"/>
      <c r="T957" s="122"/>
      <c r="U957" s="121"/>
      <c r="V957" s="123"/>
      <c r="W957" s="124"/>
      <c r="X957" s="178"/>
      <c r="Y957" s="126"/>
      <c r="Z957" s="126"/>
      <c r="AB957" s="31"/>
      <c r="AC957" s="31"/>
      <c r="AD957" s="31"/>
      <c r="AE957" s="1"/>
    </row>
    <row r="958">
      <c r="A958" s="104"/>
      <c r="C958" s="128"/>
      <c r="D958" s="74"/>
      <c r="E958" s="1"/>
      <c r="F958" s="1"/>
      <c r="G958" s="1"/>
      <c r="H958" s="118"/>
      <c r="I958" s="177"/>
      <c r="J958" s="31"/>
      <c r="K958" s="1"/>
      <c r="L958" s="120"/>
      <c r="M958" s="121"/>
      <c r="N958" s="121"/>
      <c r="O958" s="118"/>
      <c r="P958" s="118"/>
      <c r="Q958" s="31"/>
      <c r="R958" s="122"/>
      <c r="S958" s="121"/>
      <c r="T958" s="122"/>
      <c r="U958" s="121"/>
      <c r="V958" s="123"/>
      <c r="W958" s="124"/>
      <c r="X958" s="178"/>
      <c r="Y958" s="126"/>
      <c r="Z958" s="126"/>
      <c r="AB958" s="31"/>
      <c r="AC958" s="31"/>
      <c r="AD958" s="31"/>
      <c r="AE958" s="1"/>
    </row>
    <row r="959">
      <c r="A959" s="104"/>
      <c r="C959" s="128"/>
      <c r="D959" s="74"/>
      <c r="E959" s="1"/>
      <c r="F959" s="1"/>
      <c r="G959" s="1"/>
      <c r="H959" s="118"/>
      <c r="I959" s="177"/>
      <c r="J959" s="31"/>
      <c r="K959" s="1"/>
      <c r="L959" s="120"/>
      <c r="M959" s="121"/>
      <c r="N959" s="121"/>
      <c r="O959" s="118"/>
      <c r="P959" s="118"/>
      <c r="Q959" s="31"/>
      <c r="R959" s="122"/>
      <c r="S959" s="121"/>
      <c r="T959" s="122"/>
      <c r="U959" s="121"/>
      <c r="V959" s="123"/>
      <c r="W959" s="124"/>
      <c r="X959" s="178"/>
      <c r="Y959" s="126"/>
      <c r="Z959" s="126"/>
      <c r="AB959" s="31"/>
      <c r="AC959" s="31"/>
      <c r="AD959" s="31"/>
      <c r="AE959" s="1"/>
    </row>
    <row r="960">
      <c r="A960" s="104"/>
      <c r="C960" s="128"/>
      <c r="D960" s="74"/>
      <c r="E960" s="1"/>
      <c r="F960" s="1"/>
      <c r="G960" s="1"/>
      <c r="H960" s="118"/>
      <c r="I960" s="177"/>
      <c r="J960" s="31"/>
      <c r="K960" s="1"/>
      <c r="L960" s="120"/>
      <c r="M960" s="121"/>
      <c r="N960" s="121"/>
      <c r="O960" s="118"/>
      <c r="P960" s="118"/>
      <c r="Q960" s="31"/>
      <c r="R960" s="122"/>
      <c r="S960" s="121"/>
      <c r="T960" s="122"/>
      <c r="U960" s="121"/>
      <c r="V960" s="123"/>
      <c r="W960" s="124"/>
      <c r="X960" s="178"/>
      <c r="Y960" s="126"/>
      <c r="Z960" s="126"/>
      <c r="AB960" s="31"/>
      <c r="AC960" s="31"/>
      <c r="AD960" s="31"/>
      <c r="AE960" s="1"/>
    </row>
    <row r="961">
      <c r="A961" s="104"/>
      <c r="C961" s="128"/>
      <c r="D961" s="74"/>
      <c r="E961" s="1"/>
      <c r="F961" s="1"/>
      <c r="G961" s="1"/>
      <c r="H961" s="118"/>
      <c r="I961" s="177"/>
      <c r="J961" s="31"/>
      <c r="K961" s="1"/>
      <c r="L961" s="120"/>
      <c r="M961" s="121"/>
      <c r="N961" s="121"/>
      <c r="O961" s="118"/>
      <c r="P961" s="118"/>
      <c r="Q961" s="31"/>
      <c r="R961" s="122"/>
      <c r="S961" s="121"/>
      <c r="T961" s="122"/>
      <c r="U961" s="121"/>
      <c r="V961" s="123"/>
      <c r="W961" s="124"/>
      <c r="X961" s="178"/>
      <c r="Y961" s="126"/>
      <c r="Z961" s="126"/>
      <c r="AB961" s="31"/>
      <c r="AC961" s="31"/>
      <c r="AD961" s="31"/>
      <c r="AE961" s="1"/>
    </row>
    <row r="962">
      <c r="A962" s="104"/>
      <c r="C962" s="128"/>
      <c r="D962" s="74"/>
      <c r="E962" s="1"/>
      <c r="F962" s="1"/>
      <c r="G962" s="1"/>
      <c r="H962" s="118"/>
      <c r="I962" s="177"/>
      <c r="J962" s="31"/>
      <c r="K962" s="1"/>
      <c r="L962" s="120"/>
      <c r="M962" s="121"/>
      <c r="N962" s="121"/>
      <c r="O962" s="118"/>
      <c r="P962" s="118"/>
      <c r="Q962" s="31"/>
      <c r="R962" s="122"/>
      <c r="S962" s="121"/>
      <c r="T962" s="122"/>
      <c r="U962" s="121"/>
      <c r="V962" s="123"/>
      <c r="W962" s="124"/>
      <c r="X962" s="178"/>
      <c r="Y962" s="126"/>
      <c r="Z962" s="126"/>
      <c r="AB962" s="31"/>
      <c r="AC962" s="31"/>
      <c r="AD962" s="31"/>
      <c r="AE962" s="1"/>
    </row>
    <row r="963">
      <c r="A963" s="104"/>
      <c r="C963" s="128"/>
      <c r="D963" s="74"/>
      <c r="E963" s="1"/>
      <c r="F963" s="1"/>
      <c r="G963" s="1"/>
      <c r="H963" s="118"/>
      <c r="I963" s="177"/>
      <c r="J963" s="31"/>
      <c r="K963" s="1"/>
      <c r="L963" s="120"/>
      <c r="M963" s="121"/>
      <c r="N963" s="121"/>
      <c r="O963" s="118"/>
      <c r="P963" s="118"/>
      <c r="Q963" s="31"/>
      <c r="R963" s="122"/>
      <c r="S963" s="121"/>
      <c r="T963" s="122"/>
      <c r="U963" s="121"/>
      <c r="V963" s="123"/>
      <c r="W963" s="124"/>
      <c r="X963" s="178"/>
      <c r="Y963" s="126"/>
      <c r="Z963" s="126"/>
      <c r="AB963" s="31"/>
      <c r="AC963" s="31"/>
      <c r="AD963" s="31"/>
      <c r="AE963" s="1"/>
    </row>
    <row r="964">
      <c r="A964" s="104"/>
      <c r="C964" s="128"/>
      <c r="D964" s="74"/>
      <c r="E964" s="1"/>
      <c r="F964" s="1"/>
      <c r="G964" s="1"/>
      <c r="H964" s="118"/>
      <c r="I964" s="177"/>
      <c r="J964" s="31"/>
      <c r="K964" s="1"/>
      <c r="L964" s="120"/>
      <c r="M964" s="121"/>
      <c r="N964" s="121"/>
      <c r="O964" s="118"/>
      <c r="P964" s="118"/>
      <c r="Q964" s="31"/>
      <c r="R964" s="122"/>
      <c r="S964" s="121"/>
      <c r="T964" s="122"/>
      <c r="U964" s="121"/>
      <c r="V964" s="123"/>
      <c r="W964" s="124"/>
      <c r="X964" s="178"/>
      <c r="Y964" s="126"/>
      <c r="Z964" s="126"/>
      <c r="AB964" s="31"/>
      <c r="AC964" s="31"/>
      <c r="AD964" s="31"/>
      <c r="AE964" s="1"/>
    </row>
    <row r="965">
      <c r="A965" s="104"/>
      <c r="C965" s="128"/>
      <c r="D965" s="74"/>
      <c r="E965" s="1"/>
      <c r="F965" s="1"/>
      <c r="G965" s="1"/>
      <c r="H965" s="118"/>
      <c r="I965" s="177"/>
      <c r="J965" s="31"/>
      <c r="K965" s="1"/>
      <c r="L965" s="120"/>
      <c r="M965" s="121"/>
      <c r="N965" s="121"/>
      <c r="O965" s="118"/>
      <c r="P965" s="118"/>
      <c r="Q965" s="31"/>
      <c r="R965" s="122"/>
      <c r="S965" s="121"/>
      <c r="T965" s="122"/>
      <c r="U965" s="121"/>
      <c r="V965" s="123"/>
      <c r="W965" s="124"/>
      <c r="X965" s="178"/>
      <c r="Y965" s="126"/>
      <c r="Z965" s="126"/>
      <c r="AB965" s="31"/>
      <c r="AC965" s="31"/>
      <c r="AD965" s="31"/>
      <c r="AE965" s="1"/>
    </row>
    <row r="966">
      <c r="A966" s="104"/>
      <c r="C966" s="128"/>
      <c r="D966" s="74"/>
      <c r="E966" s="1"/>
      <c r="F966" s="1"/>
      <c r="G966" s="1"/>
      <c r="H966" s="118"/>
      <c r="I966" s="177"/>
      <c r="J966" s="31"/>
      <c r="K966" s="1"/>
      <c r="L966" s="120"/>
      <c r="M966" s="121"/>
      <c r="N966" s="121"/>
      <c r="O966" s="118"/>
      <c r="P966" s="118"/>
      <c r="Q966" s="31"/>
      <c r="R966" s="122"/>
      <c r="S966" s="121"/>
      <c r="T966" s="122"/>
      <c r="U966" s="121"/>
      <c r="V966" s="123"/>
      <c r="W966" s="124"/>
      <c r="X966" s="178"/>
      <c r="Y966" s="126"/>
      <c r="Z966" s="126"/>
      <c r="AB966" s="31"/>
      <c r="AC966" s="31"/>
      <c r="AD966" s="31"/>
      <c r="AE966" s="1"/>
    </row>
    <row r="967">
      <c r="A967" s="104"/>
      <c r="C967" s="128"/>
      <c r="D967" s="74"/>
      <c r="E967" s="1"/>
      <c r="F967" s="1"/>
      <c r="G967" s="1"/>
      <c r="H967" s="118"/>
      <c r="I967" s="177"/>
      <c r="J967" s="31"/>
      <c r="K967" s="1"/>
      <c r="L967" s="120"/>
      <c r="M967" s="121"/>
      <c r="N967" s="121"/>
      <c r="O967" s="118"/>
      <c r="P967" s="118"/>
      <c r="Q967" s="31"/>
      <c r="R967" s="122"/>
      <c r="S967" s="121"/>
      <c r="T967" s="122"/>
      <c r="U967" s="121"/>
      <c r="V967" s="123"/>
      <c r="W967" s="124"/>
      <c r="X967" s="178"/>
      <c r="Y967" s="126"/>
      <c r="Z967" s="126"/>
      <c r="AB967" s="31"/>
      <c r="AC967" s="31"/>
      <c r="AD967" s="31"/>
      <c r="AE967" s="1"/>
    </row>
    <row r="968">
      <c r="A968" s="104"/>
      <c r="C968" s="128"/>
      <c r="D968" s="74"/>
      <c r="E968" s="1"/>
      <c r="F968" s="1"/>
      <c r="G968" s="1"/>
      <c r="H968" s="118"/>
      <c r="I968" s="177"/>
      <c r="J968" s="31"/>
      <c r="K968" s="1"/>
      <c r="L968" s="120"/>
      <c r="M968" s="121"/>
      <c r="N968" s="121"/>
      <c r="O968" s="118"/>
      <c r="P968" s="118"/>
      <c r="Q968" s="31"/>
      <c r="R968" s="122"/>
      <c r="S968" s="121"/>
      <c r="T968" s="122"/>
      <c r="U968" s="121"/>
      <c r="V968" s="123"/>
      <c r="W968" s="124"/>
      <c r="X968" s="178"/>
      <c r="Y968" s="126"/>
      <c r="Z968" s="126"/>
      <c r="AB968" s="31"/>
      <c r="AC968" s="31"/>
      <c r="AD968" s="31"/>
      <c r="AE968" s="1"/>
    </row>
    <row r="969">
      <c r="A969" s="104"/>
      <c r="C969" s="128"/>
      <c r="D969" s="74"/>
      <c r="E969" s="1"/>
      <c r="F969" s="1"/>
      <c r="G969" s="1"/>
      <c r="H969" s="118"/>
      <c r="I969" s="177"/>
      <c r="J969" s="31"/>
      <c r="K969" s="1"/>
      <c r="L969" s="120"/>
      <c r="M969" s="121"/>
      <c r="N969" s="121"/>
      <c r="O969" s="118"/>
      <c r="P969" s="118"/>
      <c r="Q969" s="31"/>
      <c r="R969" s="122"/>
      <c r="S969" s="121"/>
      <c r="T969" s="122"/>
      <c r="U969" s="121"/>
      <c r="V969" s="123"/>
      <c r="W969" s="124"/>
      <c r="X969" s="178"/>
      <c r="Y969" s="126"/>
      <c r="Z969" s="126"/>
      <c r="AB969" s="31"/>
      <c r="AC969" s="31"/>
      <c r="AD969" s="31"/>
      <c r="AE969" s="1"/>
    </row>
    <row r="970">
      <c r="A970" s="104"/>
      <c r="C970" s="128"/>
      <c r="D970" s="74"/>
      <c r="E970" s="1"/>
      <c r="F970" s="1"/>
      <c r="G970" s="1"/>
      <c r="H970" s="118"/>
      <c r="I970" s="177"/>
      <c r="J970" s="31"/>
      <c r="K970" s="1"/>
      <c r="L970" s="120"/>
      <c r="M970" s="121"/>
      <c r="N970" s="121"/>
      <c r="O970" s="118"/>
      <c r="P970" s="118"/>
      <c r="Q970" s="31"/>
      <c r="R970" s="122"/>
      <c r="S970" s="121"/>
      <c r="T970" s="122"/>
      <c r="U970" s="121"/>
      <c r="V970" s="123"/>
      <c r="W970" s="124"/>
      <c r="X970" s="178"/>
      <c r="Y970" s="126"/>
      <c r="Z970" s="126"/>
      <c r="AB970" s="31"/>
      <c r="AC970" s="31"/>
      <c r="AD970" s="31"/>
      <c r="AE970" s="1"/>
    </row>
    <row r="971">
      <c r="A971" s="104"/>
      <c r="C971" s="128"/>
      <c r="D971" s="74"/>
      <c r="E971" s="1"/>
      <c r="F971" s="1"/>
      <c r="G971" s="1"/>
      <c r="H971" s="118"/>
      <c r="I971" s="177"/>
      <c r="J971" s="31"/>
      <c r="K971" s="1"/>
      <c r="L971" s="120"/>
      <c r="M971" s="121"/>
      <c r="N971" s="121"/>
      <c r="O971" s="118"/>
      <c r="P971" s="118"/>
      <c r="Q971" s="31"/>
      <c r="R971" s="122"/>
      <c r="S971" s="121"/>
      <c r="T971" s="122"/>
      <c r="U971" s="121"/>
      <c r="V971" s="123"/>
      <c r="W971" s="124"/>
      <c r="X971" s="178"/>
      <c r="Y971" s="126"/>
      <c r="Z971" s="126"/>
      <c r="AB971" s="31"/>
      <c r="AC971" s="31"/>
      <c r="AD971" s="31"/>
      <c r="AE971" s="1"/>
    </row>
    <row r="972">
      <c r="A972" s="104"/>
      <c r="C972" s="128"/>
      <c r="D972" s="74"/>
      <c r="E972" s="1"/>
      <c r="F972" s="1"/>
      <c r="G972" s="1"/>
      <c r="H972" s="118"/>
      <c r="I972" s="177"/>
      <c r="J972" s="31"/>
      <c r="K972" s="1"/>
      <c r="L972" s="120"/>
      <c r="M972" s="121"/>
      <c r="N972" s="121"/>
      <c r="O972" s="118"/>
      <c r="P972" s="118"/>
      <c r="Q972" s="31"/>
      <c r="R972" s="122"/>
      <c r="S972" s="121"/>
      <c r="T972" s="122"/>
      <c r="U972" s="121"/>
      <c r="V972" s="123"/>
      <c r="W972" s="124"/>
      <c r="X972" s="178"/>
      <c r="Y972" s="126"/>
      <c r="Z972" s="126"/>
      <c r="AB972" s="31"/>
      <c r="AC972" s="31"/>
      <c r="AD972" s="31"/>
      <c r="AE972" s="1"/>
    </row>
    <row r="973">
      <c r="A973" s="104"/>
      <c r="C973" s="128"/>
      <c r="D973" s="74"/>
      <c r="E973" s="1"/>
      <c r="F973" s="1"/>
      <c r="G973" s="1"/>
      <c r="H973" s="118"/>
      <c r="I973" s="177"/>
      <c r="J973" s="31"/>
      <c r="K973" s="1"/>
      <c r="L973" s="120"/>
      <c r="M973" s="121"/>
      <c r="N973" s="121"/>
      <c r="O973" s="118"/>
      <c r="P973" s="118"/>
      <c r="Q973" s="31"/>
      <c r="R973" s="122"/>
      <c r="S973" s="121"/>
      <c r="T973" s="122"/>
      <c r="U973" s="121"/>
      <c r="V973" s="123"/>
      <c r="W973" s="124"/>
      <c r="X973" s="178"/>
      <c r="Y973" s="126"/>
      <c r="Z973" s="126"/>
      <c r="AB973" s="31"/>
      <c r="AC973" s="31"/>
      <c r="AD973" s="31"/>
      <c r="AE973" s="1"/>
    </row>
    <row r="974">
      <c r="A974" s="104"/>
      <c r="C974" s="128"/>
      <c r="D974" s="74"/>
      <c r="E974" s="1"/>
      <c r="F974" s="1"/>
      <c r="G974" s="1"/>
      <c r="H974" s="118"/>
      <c r="I974" s="177"/>
      <c r="J974" s="31"/>
      <c r="K974" s="1"/>
      <c r="L974" s="120"/>
      <c r="M974" s="121"/>
      <c r="N974" s="121"/>
      <c r="O974" s="118"/>
      <c r="P974" s="118"/>
      <c r="Q974" s="31"/>
      <c r="R974" s="122"/>
      <c r="S974" s="121"/>
      <c r="T974" s="122"/>
      <c r="U974" s="121"/>
      <c r="V974" s="123"/>
      <c r="W974" s="124"/>
      <c r="X974" s="178"/>
      <c r="Y974" s="126"/>
      <c r="Z974" s="126"/>
      <c r="AB974" s="31"/>
      <c r="AC974" s="31"/>
      <c r="AD974" s="31"/>
      <c r="AE974" s="1"/>
    </row>
    <row r="975">
      <c r="A975" s="104"/>
      <c r="C975" s="128"/>
      <c r="D975" s="74"/>
      <c r="E975" s="1"/>
      <c r="F975" s="1"/>
      <c r="G975" s="1"/>
      <c r="H975" s="118"/>
      <c r="I975" s="177"/>
      <c r="J975" s="31"/>
      <c r="K975" s="1"/>
      <c r="L975" s="120"/>
      <c r="M975" s="121"/>
      <c r="N975" s="121"/>
      <c r="O975" s="118"/>
      <c r="P975" s="118"/>
      <c r="Q975" s="31"/>
      <c r="R975" s="122"/>
      <c r="S975" s="121"/>
      <c r="T975" s="122"/>
      <c r="U975" s="121"/>
      <c r="V975" s="123"/>
      <c r="W975" s="124"/>
      <c r="X975" s="178"/>
      <c r="Y975" s="126"/>
      <c r="Z975" s="126"/>
      <c r="AB975" s="31"/>
      <c r="AC975" s="31"/>
      <c r="AD975" s="31"/>
      <c r="AE975" s="1"/>
    </row>
    <row r="976">
      <c r="A976" s="104"/>
      <c r="C976" s="128"/>
      <c r="D976" s="74"/>
      <c r="E976" s="1"/>
      <c r="F976" s="1"/>
      <c r="G976" s="1"/>
      <c r="H976" s="118"/>
      <c r="I976" s="177"/>
      <c r="J976" s="31"/>
      <c r="K976" s="1"/>
      <c r="L976" s="120"/>
      <c r="M976" s="121"/>
      <c r="N976" s="121"/>
      <c r="O976" s="118"/>
      <c r="P976" s="118"/>
      <c r="Q976" s="31"/>
      <c r="R976" s="122"/>
      <c r="S976" s="121"/>
      <c r="T976" s="122"/>
      <c r="U976" s="121"/>
      <c r="V976" s="123"/>
      <c r="W976" s="124"/>
      <c r="X976" s="178"/>
      <c r="Y976" s="126"/>
      <c r="Z976" s="126"/>
      <c r="AB976" s="31"/>
      <c r="AC976" s="31"/>
      <c r="AD976" s="31"/>
      <c r="AE976" s="1"/>
    </row>
    <row r="977">
      <c r="A977" s="104"/>
      <c r="C977" s="128"/>
      <c r="D977" s="74"/>
      <c r="E977" s="1"/>
      <c r="F977" s="1"/>
      <c r="G977" s="1"/>
      <c r="H977" s="118"/>
      <c r="I977" s="177"/>
      <c r="J977" s="31"/>
      <c r="K977" s="1"/>
      <c r="L977" s="120"/>
      <c r="M977" s="121"/>
      <c r="N977" s="121"/>
      <c r="O977" s="118"/>
      <c r="P977" s="118"/>
      <c r="Q977" s="31"/>
      <c r="R977" s="122"/>
      <c r="S977" s="121"/>
      <c r="T977" s="122"/>
      <c r="U977" s="121"/>
      <c r="V977" s="123"/>
      <c r="W977" s="124"/>
      <c r="X977" s="178"/>
      <c r="Y977" s="126"/>
      <c r="Z977" s="126"/>
      <c r="AB977" s="31"/>
      <c r="AC977" s="31"/>
      <c r="AD977" s="31"/>
      <c r="AE977" s="1"/>
    </row>
    <row r="978">
      <c r="A978" s="104"/>
      <c r="C978" s="128"/>
      <c r="D978" s="74"/>
      <c r="E978" s="1"/>
      <c r="F978" s="1"/>
      <c r="G978" s="1"/>
      <c r="H978" s="118"/>
      <c r="I978" s="177"/>
      <c r="J978" s="31"/>
      <c r="K978" s="1"/>
      <c r="L978" s="120"/>
      <c r="M978" s="121"/>
      <c r="N978" s="121"/>
      <c r="O978" s="118"/>
      <c r="P978" s="118"/>
      <c r="Q978" s="31"/>
      <c r="R978" s="122"/>
      <c r="S978" s="121"/>
      <c r="T978" s="122"/>
      <c r="U978" s="121"/>
      <c r="V978" s="123"/>
      <c r="W978" s="124"/>
      <c r="X978" s="178"/>
      <c r="Y978" s="126"/>
      <c r="Z978" s="126"/>
      <c r="AB978" s="31"/>
      <c r="AC978" s="31"/>
      <c r="AD978" s="31"/>
      <c r="AE978" s="1"/>
    </row>
    <row r="979">
      <c r="A979" s="104"/>
      <c r="C979" s="128"/>
      <c r="D979" s="74"/>
      <c r="E979" s="1"/>
      <c r="F979" s="1"/>
      <c r="G979" s="1"/>
      <c r="H979" s="118"/>
      <c r="I979" s="177"/>
      <c r="J979" s="31"/>
      <c r="K979" s="1"/>
      <c r="L979" s="120"/>
      <c r="M979" s="121"/>
      <c r="N979" s="121"/>
      <c r="O979" s="118"/>
      <c r="P979" s="118"/>
      <c r="Q979" s="31"/>
      <c r="R979" s="122"/>
      <c r="S979" s="121"/>
      <c r="T979" s="122"/>
      <c r="U979" s="121"/>
      <c r="V979" s="123"/>
      <c r="W979" s="124"/>
      <c r="X979" s="178"/>
      <c r="Y979" s="126"/>
      <c r="Z979" s="126"/>
      <c r="AB979" s="31"/>
      <c r="AC979" s="31"/>
      <c r="AD979" s="31"/>
      <c r="AE979" s="1"/>
    </row>
    <row r="980">
      <c r="A980" s="104"/>
      <c r="C980" s="128"/>
      <c r="D980" s="74"/>
      <c r="E980" s="1"/>
      <c r="F980" s="1"/>
      <c r="G980" s="1"/>
      <c r="H980" s="118"/>
      <c r="I980" s="177"/>
      <c r="J980" s="31"/>
      <c r="K980" s="1"/>
      <c r="L980" s="120"/>
      <c r="M980" s="121"/>
      <c r="N980" s="121"/>
      <c r="O980" s="118"/>
      <c r="P980" s="118"/>
      <c r="Q980" s="31"/>
      <c r="R980" s="122"/>
      <c r="S980" s="121"/>
      <c r="T980" s="122"/>
      <c r="U980" s="121"/>
      <c r="V980" s="123"/>
      <c r="W980" s="124"/>
      <c r="X980" s="178"/>
      <c r="Y980" s="126"/>
      <c r="Z980" s="126"/>
      <c r="AB980" s="31"/>
      <c r="AC980" s="31"/>
      <c r="AD980" s="31"/>
      <c r="AE980" s="1"/>
    </row>
    <row r="981">
      <c r="A981" s="104"/>
      <c r="C981" s="128"/>
      <c r="D981" s="74"/>
      <c r="E981" s="1"/>
      <c r="F981" s="1"/>
      <c r="G981" s="1"/>
      <c r="H981" s="118"/>
      <c r="I981" s="177"/>
      <c r="J981" s="31"/>
      <c r="K981" s="1"/>
      <c r="L981" s="120"/>
      <c r="M981" s="121"/>
      <c r="N981" s="121"/>
      <c r="O981" s="118"/>
      <c r="P981" s="118"/>
      <c r="Q981" s="31"/>
      <c r="R981" s="122"/>
      <c r="S981" s="121"/>
      <c r="T981" s="122"/>
      <c r="U981" s="121"/>
      <c r="V981" s="123"/>
      <c r="W981" s="124"/>
      <c r="X981" s="178"/>
      <c r="Y981" s="126"/>
      <c r="Z981" s="126"/>
      <c r="AB981" s="31"/>
      <c r="AC981" s="31"/>
      <c r="AD981" s="31"/>
      <c r="AE981" s="1"/>
    </row>
    <row r="982">
      <c r="A982" s="104"/>
      <c r="C982" s="128"/>
      <c r="D982" s="74"/>
      <c r="E982" s="1"/>
      <c r="F982" s="1"/>
      <c r="G982" s="1"/>
      <c r="H982" s="118"/>
      <c r="I982" s="177"/>
      <c r="J982" s="31"/>
      <c r="K982" s="1"/>
      <c r="L982" s="120"/>
      <c r="M982" s="121"/>
      <c r="N982" s="121"/>
      <c r="O982" s="118"/>
      <c r="P982" s="118"/>
      <c r="Q982" s="31"/>
      <c r="R982" s="122"/>
      <c r="S982" s="121"/>
      <c r="T982" s="122"/>
      <c r="U982" s="121"/>
      <c r="V982" s="123"/>
      <c r="W982" s="124"/>
      <c r="X982" s="178"/>
      <c r="Y982" s="126"/>
      <c r="Z982" s="126"/>
      <c r="AB982" s="31"/>
      <c r="AC982" s="31"/>
      <c r="AD982" s="31"/>
      <c r="AE982" s="1"/>
    </row>
    <row r="983">
      <c r="A983" s="104"/>
      <c r="C983" s="128"/>
      <c r="D983" s="74"/>
      <c r="E983" s="1"/>
      <c r="F983" s="1"/>
      <c r="G983" s="1"/>
      <c r="H983" s="118"/>
      <c r="I983" s="177"/>
      <c r="J983" s="31"/>
      <c r="K983" s="1"/>
      <c r="L983" s="120"/>
      <c r="M983" s="121"/>
      <c r="N983" s="121"/>
      <c r="O983" s="118"/>
      <c r="P983" s="118"/>
      <c r="Q983" s="31"/>
      <c r="R983" s="122"/>
      <c r="S983" s="121"/>
      <c r="T983" s="122"/>
      <c r="U983" s="121"/>
      <c r="V983" s="123"/>
      <c r="W983" s="124"/>
      <c r="X983" s="178"/>
      <c r="Y983" s="126"/>
      <c r="Z983" s="126"/>
      <c r="AB983" s="31"/>
      <c r="AC983" s="31"/>
      <c r="AD983" s="31"/>
      <c r="AE983" s="1"/>
    </row>
    <row r="984">
      <c r="A984" s="104"/>
      <c r="C984" s="128"/>
      <c r="D984" s="74"/>
      <c r="E984" s="1"/>
      <c r="F984" s="1"/>
      <c r="G984" s="1"/>
      <c r="H984" s="118"/>
      <c r="I984" s="177"/>
      <c r="J984" s="31"/>
      <c r="K984" s="1"/>
      <c r="L984" s="120"/>
      <c r="M984" s="121"/>
      <c r="N984" s="121"/>
      <c r="O984" s="118"/>
      <c r="P984" s="118"/>
      <c r="Q984" s="31"/>
      <c r="R984" s="122"/>
      <c r="S984" s="121"/>
      <c r="T984" s="122"/>
      <c r="U984" s="121"/>
      <c r="V984" s="123"/>
      <c r="W984" s="124"/>
      <c r="X984" s="178"/>
      <c r="Y984" s="126"/>
      <c r="Z984" s="126"/>
      <c r="AB984" s="31"/>
      <c r="AC984" s="31"/>
      <c r="AD984" s="31"/>
      <c r="AE984" s="1"/>
    </row>
    <row r="985">
      <c r="A985" s="104"/>
      <c r="C985" s="128"/>
      <c r="D985" s="74"/>
      <c r="E985" s="1"/>
      <c r="F985" s="1"/>
      <c r="G985" s="1"/>
      <c r="H985" s="118"/>
      <c r="I985" s="177"/>
      <c r="J985" s="31"/>
      <c r="K985" s="1"/>
      <c r="L985" s="120"/>
      <c r="M985" s="121"/>
      <c r="N985" s="121"/>
      <c r="O985" s="118"/>
      <c r="P985" s="118"/>
      <c r="Q985" s="31"/>
      <c r="R985" s="122"/>
      <c r="S985" s="121"/>
      <c r="T985" s="122"/>
      <c r="U985" s="121"/>
      <c r="V985" s="123"/>
      <c r="W985" s="124"/>
      <c r="X985" s="178"/>
      <c r="Y985" s="126"/>
      <c r="Z985" s="126"/>
      <c r="AB985" s="31"/>
      <c r="AC985" s="31"/>
      <c r="AD985" s="31"/>
      <c r="AE985" s="1"/>
    </row>
    <row r="986">
      <c r="A986" s="104"/>
      <c r="C986" s="128"/>
      <c r="D986" s="74"/>
      <c r="E986" s="1"/>
      <c r="F986" s="1"/>
      <c r="G986" s="1"/>
      <c r="H986" s="118"/>
      <c r="I986" s="177"/>
      <c r="J986" s="31"/>
      <c r="K986" s="1"/>
      <c r="L986" s="120"/>
      <c r="M986" s="121"/>
      <c r="N986" s="121"/>
      <c r="O986" s="118"/>
      <c r="P986" s="118"/>
      <c r="Q986" s="31"/>
      <c r="R986" s="122"/>
      <c r="S986" s="121"/>
      <c r="T986" s="122"/>
      <c r="U986" s="121"/>
      <c r="V986" s="123"/>
      <c r="W986" s="124"/>
      <c r="X986" s="178"/>
      <c r="Y986" s="126"/>
      <c r="Z986" s="126"/>
      <c r="AB986" s="31"/>
      <c r="AC986" s="31"/>
      <c r="AD986" s="31"/>
      <c r="AE986" s="1"/>
    </row>
    <row r="987">
      <c r="A987" s="104"/>
      <c r="C987" s="128"/>
      <c r="D987" s="74"/>
      <c r="E987" s="1"/>
      <c r="F987" s="1"/>
      <c r="G987" s="1"/>
      <c r="H987" s="118"/>
      <c r="I987" s="177"/>
      <c r="J987" s="31"/>
      <c r="K987" s="1"/>
      <c r="L987" s="120"/>
      <c r="M987" s="121"/>
      <c r="N987" s="121"/>
      <c r="O987" s="118"/>
      <c r="P987" s="118"/>
      <c r="Q987" s="31"/>
      <c r="R987" s="122"/>
      <c r="S987" s="121"/>
      <c r="T987" s="122"/>
      <c r="U987" s="121"/>
      <c r="V987" s="123"/>
      <c r="W987" s="124"/>
      <c r="X987" s="178"/>
      <c r="Y987" s="126"/>
      <c r="Z987" s="126"/>
      <c r="AB987" s="31"/>
      <c r="AC987" s="31"/>
      <c r="AD987" s="31"/>
      <c r="AE987" s="1"/>
    </row>
    <row r="988">
      <c r="A988" s="104"/>
      <c r="C988" s="128"/>
      <c r="D988" s="74"/>
      <c r="E988" s="1"/>
      <c r="F988" s="1"/>
      <c r="G988" s="1"/>
      <c r="H988" s="118"/>
      <c r="I988" s="177"/>
      <c r="J988" s="31"/>
      <c r="K988" s="1"/>
      <c r="L988" s="120"/>
      <c r="M988" s="121"/>
      <c r="N988" s="121"/>
      <c r="O988" s="118"/>
      <c r="P988" s="118"/>
      <c r="Q988" s="31"/>
      <c r="R988" s="122"/>
      <c r="S988" s="121"/>
      <c r="T988" s="122"/>
      <c r="U988" s="121"/>
      <c r="V988" s="123"/>
      <c r="W988" s="124"/>
      <c r="X988" s="178"/>
      <c r="Y988" s="126"/>
      <c r="Z988" s="126"/>
      <c r="AB988" s="31"/>
      <c r="AC988" s="31"/>
      <c r="AD988" s="31"/>
      <c r="AE988" s="1"/>
    </row>
    <row r="989">
      <c r="A989" s="104"/>
      <c r="C989" s="128"/>
      <c r="D989" s="74"/>
      <c r="E989" s="1"/>
      <c r="F989" s="1"/>
      <c r="G989" s="1"/>
      <c r="H989" s="118"/>
      <c r="I989" s="177"/>
      <c r="J989" s="31"/>
      <c r="K989" s="1"/>
      <c r="L989" s="120"/>
      <c r="M989" s="121"/>
      <c r="N989" s="121"/>
      <c r="O989" s="118"/>
      <c r="P989" s="118"/>
      <c r="Q989" s="31"/>
      <c r="R989" s="122"/>
      <c r="S989" s="121"/>
      <c r="T989" s="122"/>
      <c r="U989" s="121"/>
      <c r="V989" s="123"/>
      <c r="W989" s="124"/>
      <c r="X989" s="178"/>
      <c r="Y989" s="126"/>
      <c r="Z989" s="126"/>
      <c r="AB989" s="31"/>
      <c r="AC989" s="31"/>
      <c r="AD989" s="31"/>
      <c r="AE989" s="1"/>
    </row>
    <row r="990">
      <c r="A990" s="104"/>
      <c r="C990" s="128"/>
      <c r="D990" s="74"/>
      <c r="E990" s="1"/>
      <c r="F990" s="1"/>
      <c r="G990" s="1"/>
      <c r="H990" s="118"/>
      <c r="I990" s="177"/>
      <c r="J990" s="31"/>
      <c r="K990" s="1"/>
      <c r="L990" s="120"/>
      <c r="M990" s="121"/>
      <c r="N990" s="121"/>
      <c r="O990" s="118"/>
      <c r="P990" s="118"/>
      <c r="Q990" s="31"/>
      <c r="R990" s="122"/>
      <c r="S990" s="121"/>
      <c r="T990" s="122"/>
      <c r="U990" s="121"/>
      <c r="V990" s="123"/>
      <c r="W990" s="124"/>
      <c r="X990" s="178"/>
      <c r="Y990" s="126"/>
      <c r="Z990" s="126"/>
      <c r="AB990" s="31"/>
      <c r="AC990" s="31"/>
      <c r="AD990" s="31"/>
      <c r="AE990" s="1"/>
    </row>
    <row r="991">
      <c r="A991" s="104"/>
      <c r="C991" s="128"/>
      <c r="D991" s="74"/>
      <c r="E991" s="1"/>
      <c r="F991" s="1"/>
      <c r="G991" s="1"/>
      <c r="H991" s="118"/>
      <c r="I991" s="177"/>
      <c r="J991" s="31"/>
      <c r="K991" s="1"/>
      <c r="L991" s="120"/>
      <c r="M991" s="121"/>
      <c r="N991" s="121"/>
      <c r="O991" s="118"/>
      <c r="P991" s="118"/>
      <c r="Q991" s="31"/>
      <c r="R991" s="122"/>
      <c r="S991" s="121"/>
      <c r="T991" s="122"/>
      <c r="U991" s="121"/>
      <c r="V991" s="123"/>
      <c r="W991" s="124"/>
      <c r="X991" s="178"/>
      <c r="Y991" s="126"/>
      <c r="Z991" s="126"/>
      <c r="AB991" s="31"/>
      <c r="AC991" s="31"/>
      <c r="AD991" s="31"/>
      <c r="AE991" s="1"/>
    </row>
    <row r="992">
      <c r="A992" s="104"/>
      <c r="C992" s="128"/>
      <c r="D992" s="74"/>
      <c r="E992" s="1"/>
      <c r="F992" s="1"/>
      <c r="G992" s="1"/>
      <c r="H992" s="118"/>
      <c r="I992" s="177"/>
      <c r="J992" s="31"/>
      <c r="K992" s="1"/>
      <c r="L992" s="120"/>
      <c r="M992" s="121"/>
      <c r="N992" s="121"/>
      <c r="O992" s="118"/>
      <c r="P992" s="118"/>
      <c r="Q992" s="31"/>
      <c r="R992" s="122"/>
      <c r="S992" s="121"/>
      <c r="T992" s="122"/>
      <c r="U992" s="121"/>
      <c r="V992" s="123"/>
      <c r="W992" s="124"/>
      <c r="X992" s="178"/>
      <c r="Y992" s="126"/>
      <c r="Z992" s="126"/>
      <c r="AB992" s="31"/>
      <c r="AC992" s="31"/>
      <c r="AD992" s="31"/>
      <c r="AE992" s="1"/>
    </row>
    <row r="993">
      <c r="A993" s="104"/>
      <c r="C993" s="128"/>
      <c r="D993" s="74"/>
      <c r="E993" s="1"/>
      <c r="F993" s="1"/>
      <c r="G993" s="1"/>
      <c r="H993" s="118"/>
      <c r="I993" s="177"/>
      <c r="J993" s="31"/>
      <c r="K993" s="1"/>
      <c r="L993" s="120"/>
      <c r="M993" s="121"/>
      <c r="N993" s="121"/>
      <c r="O993" s="118"/>
      <c r="P993" s="118"/>
      <c r="Q993" s="31"/>
      <c r="R993" s="122"/>
      <c r="S993" s="121"/>
      <c r="T993" s="122"/>
      <c r="U993" s="121"/>
      <c r="V993" s="123"/>
      <c r="W993" s="124"/>
      <c r="X993" s="178"/>
      <c r="Y993" s="126"/>
      <c r="Z993" s="126"/>
      <c r="AB993" s="31"/>
      <c r="AC993" s="31"/>
      <c r="AD993" s="31"/>
      <c r="AE993" s="1"/>
    </row>
    <row r="994">
      <c r="A994" s="104"/>
      <c r="C994" s="128"/>
      <c r="D994" s="74"/>
      <c r="E994" s="1"/>
      <c r="F994" s="1"/>
      <c r="G994" s="1"/>
      <c r="H994" s="118"/>
      <c r="I994" s="177"/>
      <c r="J994" s="31"/>
      <c r="K994" s="1"/>
      <c r="L994" s="120"/>
      <c r="M994" s="121"/>
      <c r="N994" s="121"/>
      <c r="O994" s="118"/>
      <c r="P994" s="118"/>
      <c r="Q994" s="31"/>
      <c r="R994" s="122"/>
      <c r="S994" s="121"/>
      <c r="T994" s="122"/>
      <c r="U994" s="121"/>
      <c r="V994" s="123"/>
      <c r="W994" s="124"/>
      <c r="X994" s="178"/>
      <c r="Y994" s="126"/>
      <c r="Z994" s="126"/>
      <c r="AB994" s="31"/>
      <c r="AC994" s="31"/>
      <c r="AD994" s="31"/>
      <c r="AE994" s="1"/>
    </row>
    <row r="995">
      <c r="A995" s="104"/>
      <c r="C995" s="128"/>
      <c r="D995" s="74"/>
      <c r="E995" s="1"/>
      <c r="F995" s="1"/>
      <c r="G995" s="1"/>
      <c r="H995" s="118"/>
      <c r="I995" s="177"/>
      <c r="J995" s="31"/>
      <c r="K995" s="1"/>
      <c r="L995" s="120"/>
      <c r="M995" s="121"/>
      <c r="N995" s="121"/>
      <c r="O995" s="118"/>
      <c r="P995" s="118"/>
      <c r="Q995" s="31"/>
      <c r="R995" s="122"/>
      <c r="S995" s="121"/>
      <c r="T995" s="122"/>
      <c r="U995" s="121"/>
      <c r="V995" s="123"/>
      <c r="W995" s="124"/>
      <c r="X995" s="178"/>
      <c r="Y995" s="126"/>
      <c r="Z995" s="126"/>
      <c r="AB995" s="31"/>
      <c r="AC995" s="31"/>
      <c r="AD995" s="31"/>
      <c r="AE995" s="1"/>
    </row>
    <row r="996">
      <c r="A996" s="104"/>
      <c r="C996" s="128"/>
      <c r="D996" s="74"/>
      <c r="E996" s="1"/>
      <c r="F996" s="1"/>
      <c r="G996" s="1"/>
      <c r="H996" s="118"/>
      <c r="I996" s="177"/>
      <c r="J996" s="31"/>
      <c r="K996" s="1"/>
      <c r="L996" s="120"/>
      <c r="M996" s="121"/>
      <c r="N996" s="121"/>
      <c r="O996" s="118"/>
      <c r="P996" s="118"/>
      <c r="Q996" s="31"/>
      <c r="R996" s="122"/>
      <c r="S996" s="121"/>
      <c r="T996" s="122"/>
      <c r="U996" s="121"/>
      <c r="V996" s="123"/>
      <c r="W996" s="124"/>
      <c r="X996" s="178"/>
      <c r="Y996" s="126"/>
      <c r="Z996" s="126"/>
      <c r="AB996" s="31"/>
      <c r="AC996" s="31"/>
      <c r="AD996" s="31"/>
      <c r="AE996" s="1"/>
    </row>
    <row r="997">
      <c r="A997" s="104"/>
      <c r="C997" s="128"/>
      <c r="D997" s="74"/>
      <c r="E997" s="1"/>
      <c r="F997" s="1"/>
      <c r="G997" s="1"/>
      <c r="H997" s="118"/>
      <c r="I997" s="177"/>
      <c r="J997" s="31"/>
      <c r="K997" s="1"/>
      <c r="L997" s="120"/>
      <c r="M997" s="121"/>
      <c r="N997" s="121"/>
      <c r="O997" s="118"/>
      <c r="P997" s="118"/>
      <c r="Q997" s="31"/>
      <c r="R997" s="122"/>
      <c r="S997" s="121"/>
      <c r="T997" s="122"/>
      <c r="U997" s="121"/>
      <c r="V997" s="123"/>
      <c r="W997" s="124"/>
      <c r="X997" s="178"/>
      <c r="Y997" s="126"/>
      <c r="Z997" s="126"/>
      <c r="AB997" s="31"/>
      <c r="AC997" s="31"/>
      <c r="AD997" s="31"/>
      <c r="AE997" s="1"/>
    </row>
    <row r="998">
      <c r="A998" s="104"/>
      <c r="C998" s="128"/>
      <c r="D998" s="74"/>
      <c r="E998" s="1"/>
      <c r="F998" s="1"/>
      <c r="G998" s="1"/>
      <c r="H998" s="118"/>
      <c r="I998" s="177"/>
      <c r="J998" s="31"/>
      <c r="K998" s="1"/>
      <c r="L998" s="120"/>
      <c r="M998" s="121"/>
      <c r="N998" s="121"/>
      <c r="O998" s="118"/>
      <c r="P998" s="118"/>
      <c r="Q998" s="31"/>
      <c r="R998" s="122"/>
      <c r="S998" s="121"/>
      <c r="T998" s="122"/>
      <c r="U998" s="121"/>
      <c r="V998" s="123"/>
      <c r="W998" s="124"/>
      <c r="X998" s="178"/>
      <c r="Y998" s="126"/>
      <c r="Z998" s="126"/>
      <c r="AB998" s="31"/>
      <c r="AC998" s="31"/>
      <c r="AD998" s="31"/>
      <c r="AE998" s="1"/>
    </row>
    <row r="999">
      <c r="A999" s="104"/>
      <c r="C999" s="128"/>
      <c r="D999" s="74"/>
      <c r="E999" s="1"/>
      <c r="F999" s="1"/>
      <c r="G999" s="1"/>
      <c r="H999" s="118"/>
      <c r="I999" s="177"/>
      <c r="J999" s="31"/>
      <c r="K999" s="1"/>
      <c r="L999" s="120"/>
      <c r="M999" s="121"/>
      <c r="N999" s="121"/>
      <c r="O999" s="118"/>
      <c r="P999" s="118"/>
      <c r="Q999" s="31"/>
      <c r="R999" s="122"/>
      <c r="S999" s="121"/>
      <c r="T999" s="122"/>
      <c r="U999" s="121"/>
      <c r="V999" s="123"/>
      <c r="W999" s="124"/>
      <c r="X999" s="178"/>
      <c r="Y999" s="126"/>
      <c r="Z999" s="126"/>
      <c r="AB999" s="31"/>
      <c r="AC999" s="31"/>
      <c r="AD999" s="31"/>
      <c r="AE999" s="1"/>
    </row>
    <row r="1000">
      <c r="A1000" s="104"/>
      <c r="C1000" s="128"/>
      <c r="D1000" s="74"/>
      <c r="E1000" s="1"/>
      <c r="F1000" s="1"/>
      <c r="G1000" s="1"/>
      <c r="H1000" s="118"/>
      <c r="I1000" s="177"/>
      <c r="J1000" s="31"/>
      <c r="K1000" s="1"/>
      <c r="L1000" s="120"/>
      <c r="M1000" s="121"/>
      <c r="N1000" s="121"/>
      <c r="O1000" s="118"/>
      <c r="P1000" s="118"/>
      <c r="Q1000" s="31"/>
      <c r="R1000" s="122"/>
      <c r="S1000" s="121"/>
      <c r="T1000" s="122"/>
      <c r="U1000" s="121"/>
      <c r="V1000" s="123"/>
      <c r="W1000" s="124"/>
      <c r="X1000" s="178"/>
      <c r="Y1000" s="126"/>
      <c r="Z1000" s="126"/>
      <c r="AB1000" s="31"/>
      <c r="AC1000" s="31"/>
      <c r="AD1000" s="31"/>
      <c r="AE1000" s="1"/>
    </row>
  </sheetData>
  <conditionalFormatting sqref="G2:H173 G205:H1000">
    <cfRule type="expression" dxfId="13" priority="1">
      <formula>$X2="Eliminated"</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2.63" defaultRowHeight="15.75"/>
  <cols>
    <col customWidth="1" min="1" max="1" width="14.25"/>
    <col customWidth="1" min="2" max="2" width="22.5"/>
    <col customWidth="1" hidden="1" min="3" max="3" width="17.0"/>
    <col customWidth="1" hidden="1" min="4" max="4" width="29.75"/>
    <col customWidth="1" min="5" max="5" width="8.88"/>
    <col customWidth="1" min="6" max="6" width="8.25"/>
    <col customWidth="1" min="7" max="7" width="32.88"/>
    <col customWidth="1" min="8" max="8" width="30.25"/>
    <col customWidth="1" min="9" max="17" width="6.88"/>
    <col customWidth="1" min="18" max="22" width="7.38"/>
    <col customWidth="1" hidden="1" min="23" max="23" width="15.5"/>
    <col customWidth="1" min="24" max="35" width="7.38"/>
  </cols>
  <sheetData>
    <row r="1">
      <c r="A1" s="92" t="str">
        <f>'Combined Standings'!A1</f>
        <v>ARENA GAUNTLET LEAGUE: Marvel Super Heroes</v>
      </c>
      <c r="B1" s="130"/>
      <c r="C1" s="130"/>
      <c r="D1" s="130"/>
      <c r="E1" s="130"/>
      <c r="F1" s="130"/>
      <c r="G1" s="72"/>
      <c r="H1" s="1"/>
      <c r="I1" s="1"/>
      <c r="J1" s="131"/>
      <c r="K1" s="72" t="s">
        <v>440</v>
      </c>
      <c r="L1" s="1">
        <f>Quotas!B2</f>
        <v>3</v>
      </c>
      <c r="M1" s="1"/>
      <c r="N1" s="1"/>
      <c r="O1" s="1"/>
      <c r="P1" s="1"/>
      <c r="Q1" s="1"/>
      <c r="R1" s="1"/>
      <c r="S1" s="1"/>
      <c r="T1" s="1"/>
      <c r="U1" s="1"/>
      <c r="V1" s="1"/>
      <c r="W1" s="1"/>
      <c r="X1" s="1"/>
      <c r="Y1" s="1"/>
      <c r="Z1" s="1"/>
      <c r="AA1" s="1"/>
      <c r="AB1" s="1"/>
      <c r="AC1" s="1"/>
      <c r="AD1" s="1"/>
      <c r="AE1" s="1"/>
      <c r="AF1" s="1"/>
      <c r="AG1" s="1"/>
      <c r="AH1" s="1"/>
      <c r="AI1" s="1"/>
    </row>
    <row r="2" hidden="1">
      <c r="A2" s="132" t="s">
        <v>441</v>
      </c>
      <c r="G2" s="1"/>
      <c r="H2" s="1"/>
      <c r="I2" s="1"/>
      <c r="J2" s="131"/>
      <c r="K2" s="131"/>
      <c r="L2" s="131"/>
      <c r="M2" s="1"/>
      <c r="N2" s="1"/>
      <c r="O2" s="1"/>
      <c r="P2" s="1"/>
      <c r="Q2" s="1"/>
      <c r="R2" s="1"/>
      <c r="S2" s="1"/>
      <c r="T2" s="1"/>
      <c r="U2" s="1"/>
      <c r="V2" s="1"/>
      <c r="W2" s="1"/>
      <c r="X2" s="1"/>
      <c r="Y2" s="1"/>
      <c r="Z2" s="1"/>
      <c r="AA2" s="1"/>
      <c r="AB2" s="1"/>
      <c r="AC2" s="1"/>
      <c r="AD2" s="1"/>
      <c r="AE2" s="1"/>
      <c r="AF2" s="1"/>
      <c r="AG2" s="1"/>
      <c r="AH2" s="1"/>
      <c r="AI2" s="1"/>
    </row>
    <row r="3" hidden="1">
      <c r="G3" s="1"/>
      <c r="H3" s="1"/>
      <c r="I3" s="1"/>
      <c r="J3" s="131"/>
      <c r="K3" s="131"/>
      <c r="L3" s="131"/>
      <c r="M3" s="1"/>
      <c r="N3" s="1"/>
      <c r="O3" s="1"/>
      <c r="P3" s="1"/>
      <c r="Q3" s="1"/>
      <c r="R3" s="1"/>
      <c r="S3" s="1"/>
      <c r="T3" s="1"/>
      <c r="U3" s="1"/>
      <c r="V3" s="1"/>
      <c r="W3" s="1"/>
      <c r="X3" s="1"/>
      <c r="Y3" s="1"/>
      <c r="Z3" s="1"/>
      <c r="AA3" s="1"/>
      <c r="AB3" s="1"/>
      <c r="AC3" s="1"/>
      <c r="AD3" s="1"/>
      <c r="AE3" s="1"/>
      <c r="AF3" s="1"/>
      <c r="AG3" s="1"/>
      <c r="AH3" s="1"/>
      <c r="AI3" s="1"/>
    </row>
    <row r="4" hidden="1">
      <c r="G4" s="1"/>
      <c r="H4" s="1"/>
      <c r="I4" s="1"/>
      <c r="J4" s="131"/>
      <c r="K4" s="131"/>
      <c r="L4" s="131"/>
      <c r="M4" s="1"/>
      <c r="N4" s="1"/>
      <c r="O4" s="1"/>
      <c r="P4" s="1"/>
      <c r="Q4" s="1"/>
      <c r="R4" s="1"/>
      <c r="S4" s="1"/>
      <c r="T4" s="1"/>
      <c r="U4" s="1"/>
      <c r="V4" s="1"/>
      <c r="W4" s="1"/>
      <c r="X4" s="1"/>
      <c r="Y4" s="1"/>
      <c r="Z4" s="1"/>
      <c r="AA4" s="1"/>
      <c r="AB4" s="1"/>
      <c r="AC4" s="1"/>
      <c r="AD4" s="1"/>
      <c r="AE4" s="1"/>
      <c r="AF4" s="1"/>
      <c r="AG4" s="1"/>
      <c r="AH4" s="1"/>
      <c r="AI4" s="1"/>
    </row>
    <row r="5" ht="24.75" customHeight="1">
      <c r="G5" s="133"/>
      <c r="I5" s="133"/>
      <c r="J5" s="133"/>
      <c r="K5" s="133"/>
      <c r="L5" s="133"/>
      <c r="M5" s="133"/>
      <c r="N5" s="133"/>
      <c r="O5" s="133"/>
      <c r="P5" s="133"/>
      <c r="Q5" s="133"/>
      <c r="R5" s="133"/>
      <c r="S5" s="133"/>
      <c r="T5" s="1"/>
      <c r="U5" s="1"/>
      <c r="V5" s="1"/>
      <c r="W5" s="1"/>
      <c r="X5" s="1"/>
      <c r="Y5" s="1"/>
      <c r="Z5" s="1"/>
      <c r="AA5" s="1"/>
      <c r="AB5" s="1"/>
      <c r="AC5" s="1"/>
      <c r="AD5" s="1"/>
      <c r="AE5" s="1"/>
      <c r="AF5" s="1"/>
      <c r="AG5" s="1"/>
      <c r="AH5" s="1"/>
      <c r="AI5" s="1"/>
    </row>
    <row r="6">
      <c r="A6" s="134" t="s">
        <v>442</v>
      </c>
      <c r="B6" s="135" t="s">
        <v>9</v>
      </c>
      <c r="C6" s="136" t="s">
        <v>357</v>
      </c>
      <c r="D6" s="136" t="s">
        <v>355</v>
      </c>
      <c r="E6" s="137" t="s">
        <v>443</v>
      </c>
      <c r="F6" s="137" t="s">
        <v>444</v>
      </c>
      <c r="G6" s="135" t="s">
        <v>445</v>
      </c>
      <c r="H6" s="138" t="s">
        <v>446</v>
      </c>
      <c r="I6" s="139" t="s">
        <v>447</v>
      </c>
      <c r="J6" s="139" t="s">
        <v>448</v>
      </c>
      <c r="K6" s="139" t="s">
        <v>449</v>
      </c>
      <c r="L6" s="139" t="s">
        <v>450</v>
      </c>
      <c r="M6" s="139" t="s">
        <v>451</v>
      </c>
      <c r="N6" s="139" t="s">
        <v>452</v>
      </c>
      <c r="O6" s="139" t="s">
        <v>453</v>
      </c>
      <c r="P6" s="139" t="s">
        <v>454</v>
      </c>
      <c r="Q6" s="139" t="s">
        <v>455</v>
      </c>
      <c r="R6" s="139" t="s">
        <v>456</v>
      </c>
      <c r="S6" s="139" t="s">
        <v>457</v>
      </c>
      <c r="T6" s="136"/>
      <c r="U6" s="136"/>
      <c r="V6" s="136"/>
      <c r="W6" s="136" t="s">
        <v>458</v>
      </c>
      <c r="X6" s="136"/>
      <c r="Y6" s="136"/>
      <c r="Z6" s="136"/>
      <c r="AA6" s="136"/>
      <c r="AB6" s="136"/>
      <c r="AC6" s="136"/>
      <c r="AD6" s="136"/>
      <c r="AE6" s="136"/>
      <c r="AF6" s="136"/>
      <c r="AG6" s="136"/>
      <c r="AH6" s="136"/>
      <c r="AI6" s="136"/>
    </row>
    <row r="7">
      <c r="A7" s="140" t="str">
        <f>IFERROR(__xludf.DUMMYFUNCTION("QUERY('Player Database'!B2:E1009,""SELECT C,E WHERE E!=' ' AND E!='' ORDER BY C"")"),"#REF!")</f>
        <v>#REF!</v>
      </c>
      <c r="B7" s="140" t="str">
        <f>IFERROR(__xludf.DUMMYFUNCTION("""COMPUTED_VALUE"""),"#REF!")</f>
        <v>#REF!</v>
      </c>
      <c r="C7" s="141" t="str">
        <f t="array" ref="C7">INDEX('Player Database'!$D:$D,MATCH($D7,'Player Database'!$B:$B,0))</f>
        <v>#N/A</v>
      </c>
      <c r="D7" s="142" t="str">
        <f t="shared" ref="D7:D178" si="1">A7 &amp; " - " &amp; B7</f>
        <v>#REF! - #REF!</v>
      </c>
      <c r="E7" s="143" t="str">
        <f t="array" ref="E7">XLOOKUP($D7,'Player Database'!$B$2:$B1009,'Player Database'!$I$2:$I1009)</f>
        <v>#N/A</v>
      </c>
      <c r="F7" s="143" t="str">
        <f t="array" ref="F7">XLOOKUP($D7,'Player Database'!$B$2:$B1009,'Player Database'!$J$2:$J1009)</f>
        <v>#N/A</v>
      </c>
      <c r="G7" s="144" t="str">
        <f t="array" ref="G7">IF(H7="","",IFERROR(
  "https://sealeddeck.tech/" &amp; INDEX('Pool Changes'!F:F,
    MAX(
      ROW('Pool Changes'!A:A) *
      ('Pool Changes'!B:B=D7) *
      ('Pool Changes'!F:F&lt;&gt;"")
    )
  ),
  ""
))</f>
        <v/>
      </c>
      <c r="H7" s="144" t="str">
        <f>IFERROR(__xludf.DUMMYFUNCTION("LET(changes,FILTER('Pool Changes'!$B:$D, 'Pool Changes'!$B:$B = $D7),added,FILTER(INDEX(changes,0,3),INDEX(changes,0,2)=""starting pool""),TRANSPOSE(IFERROR(ARRAYFORMULA(IF(added&lt;&gt;"""",""https://sealeddeck.tech/""&amp;added,"""")),"""")))"),"")</f>
        <v/>
      </c>
      <c r="I7" s="145" t="str">
        <f>IFERROR(__xludf.DUMMYFUNCTION("LET(changes,FILTER('Pool Changes'!$B:$D, 'Pool Changes'!$B:$B = $D7),added,FILTER(INDEX(changes,0,3),INDEX(changes,0,2)=""add pack""),IFERROR(TRANSPOSE(ARRAYFORMULA(IF(added&lt;&gt;"""",HYPERLINK(""https://sealeddeck.tech/""&amp;added,""Link""),""""))),""""))"),"")</f>
        <v/>
      </c>
      <c r="J7" s="146"/>
      <c r="K7" s="146"/>
      <c r="L7" s="146"/>
      <c r="M7" s="146"/>
      <c r="N7" s="146"/>
      <c r="O7" s="146"/>
      <c r="P7" s="146"/>
      <c r="Q7" s="146"/>
      <c r="R7" s="146"/>
      <c r="S7" s="146"/>
      <c r="T7" s="147"/>
      <c r="U7" s="147"/>
      <c r="V7" s="147"/>
      <c r="W7" s="147"/>
      <c r="X7" s="147"/>
      <c r="Y7" s="147"/>
      <c r="Z7" s="147"/>
      <c r="AA7" s="147"/>
      <c r="AB7" s="147"/>
      <c r="AC7" s="147"/>
      <c r="AD7" s="147"/>
      <c r="AE7" s="147"/>
      <c r="AF7" s="147"/>
      <c r="AG7" s="147"/>
      <c r="AH7" s="147"/>
      <c r="AI7" s="147"/>
    </row>
    <row r="8">
      <c r="A8" s="140"/>
      <c r="B8" s="140"/>
      <c r="C8" s="141" t="str">
        <f t="array" ref="C8">INDEX('Player Database'!$D:$D,MATCH($D8,'Player Database'!$B:$B,0))</f>
        <v>#N/A</v>
      </c>
      <c r="D8" s="142" t="str">
        <f t="shared" si="1"/>
        <v> - </v>
      </c>
      <c r="E8" s="143" t="str">
        <f t="array" ref="E8">XLOOKUP($D8,'Player Database'!$B$2:$B1009,'Player Database'!$I$2:$I1009)</f>
        <v>#N/A</v>
      </c>
      <c r="F8" s="143" t="str">
        <f t="array" ref="F8">XLOOKUP($D8,'Player Database'!$B$2:$B1009,'Player Database'!$J$2:$J1009)</f>
        <v>#N/A</v>
      </c>
      <c r="G8" s="144" t="str">
        <f t="array" ref="G8">IF(H8="","",IFERROR(
  "https://sealeddeck.tech/" &amp; INDEX('Pool Changes'!F:F,
    MAX(
      ROW('Pool Changes'!A:A) *
      ('Pool Changes'!B:B=D8) *
      ('Pool Changes'!F:F&lt;&gt;"")
    )
  ),
  ""
))</f>
        <v/>
      </c>
      <c r="H8" s="144" t="str">
        <f>IFERROR(__xludf.DUMMYFUNCTION("LET(changes,FILTER('Pool Changes'!$B:$D, 'Pool Changes'!$B:$B = $D8),added,FILTER(INDEX(changes,0,3),INDEX(changes,0,2)=""starting pool""),TRANSPOSE(IFERROR(ARRAYFORMULA(IF(added&lt;&gt;"""",""https://sealeddeck.tech/""&amp;added,"""")),"""")))"),"")</f>
        <v/>
      </c>
      <c r="I8" s="145" t="str">
        <f>IFERROR(__xludf.DUMMYFUNCTION("LET(changes,FILTER('Pool Changes'!$B:$D, 'Pool Changes'!$B:$B = $D8),added,FILTER(INDEX(changes,0,3),INDEX(changes,0,2)=""add pack""),IFERROR(TRANSPOSE(ARRAYFORMULA(IF(added&lt;&gt;"""",HYPERLINK(""https://sealeddeck.tech/""&amp;added,""Link""),""""))),""""))"),"")</f>
        <v/>
      </c>
      <c r="J8" s="146"/>
      <c r="K8" s="146"/>
      <c r="L8" s="146"/>
      <c r="M8" s="146"/>
      <c r="N8" s="146"/>
      <c r="O8" s="146"/>
      <c r="P8" s="146"/>
      <c r="Q8" s="146"/>
      <c r="R8" s="146"/>
      <c r="S8" s="146"/>
      <c r="W8" s="148" t="s">
        <v>459</v>
      </c>
    </row>
    <row r="9">
      <c r="A9" s="140"/>
      <c r="B9" s="140"/>
      <c r="C9" s="141" t="str">
        <f t="array" ref="C9">INDEX('Player Database'!$D:$D,MATCH($D9,'Player Database'!$B:$B,0))</f>
        <v>#N/A</v>
      </c>
      <c r="D9" s="142" t="str">
        <f t="shared" si="1"/>
        <v> - </v>
      </c>
      <c r="E9" s="143" t="str">
        <f t="array" ref="E9">XLOOKUP($D9,'Player Database'!$B$2:$B1009,'Player Database'!$I$2:$I1009)</f>
        <v>#N/A</v>
      </c>
      <c r="F9" s="143" t="str">
        <f t="array" ref="F9">XLOOKUP($D9,'Player Database'!$B$2:$B1009,'Player Database'!$J$2:$J1009)</f>
        <v>#N/A</v>
      </c>
      <c r="G9" s="144" t="str">
        <f t="array" ref="G9">IF(H9="","",IFERROR(
  "https://sealeddeck.tech/" &amp; INDEX('Pool Changes'!F:F,
    MAX(
      ROW('Pool Changes'!A:A) *
      ('Pool Changes'!B:B=D9) *
      ('Pool Changes'!F:F&lt;&gt;"")
    )
  ),
  ""
))</f>
        <v/>
      </c>
      <c r="H9" s="144" t="str">
        <f>IFERROR(__xludf.DUMMYFUNCTION("LET(changes,FILTER('Pool Changes'!$B:$D, 'Pool Changes'!$B:$B = $D9),added,FILTER(INDEX(changes,0,3),INDEX(changes,0,2)=""starting pool""),TRANSPOSE(IFERROR(ARRAYFORMULA(IF(added&lt;&gt;"""",""https://sealeddeck.tech/""&amp;added,"""")),"""")))"),"")</f>
        <v/>
      </c>
      <c r="I9" s="145" t="str">
        <f>IFERROR(__xludf.DUMMYFUNCTION("LET(changes,FILTER('Pool Changes'!$B:$D, 'Pool Changes'!$B:$B = $D9),added,FILTER(INDEX(changes,0,3),INDEX(changes,0,2)=""add pack""),IFERROR(TRANSPOSE(ARRAYFORMULA(IF(added&lt;&gt;"""",HYPERLINK(""https://sealeddeck.tech/""&amp;added,""Link""),""""))),""""))"),"")</f>
        <v/>
      </c>
      <c r="J9" s="146"/>
      <c r="K9" s="146"/>
      <c r="L9" s="146"/>
      <c r="M9" s="146"/>
      <c r="N9" s="146"/>
      <c r="O9" s="146"/>
      <c r="P9" s="146"/>
      <c r="Q9" s="146"/>
      <c r="R9" s="146"/>
      <c r="S9" s="146"/>
      <c r="T9" s="147"/>
      <c r="U9" s="147"/>
      <c r="V9" s="147"/>
      <c r="W9" s="147"/>
      <c r="X9" s="147"/>
      <c r="Y9" s="147"/>
      <c r="Z9" s="147"/>
      <c r="AA9" s="147"/>
      <c r="AB9" s="147"/>
      <c r="AC9" s="147"/>
      <c r="AD9" s="147"/>
      <c r="AE9" s="147"/>
      <c r="AF9" s="147"/>
      <c r="AG9" s="147"/>
      <c r="AH9" s="147"/>
      <c r="AI9" s="147"/>
    </row>
    <row r="10">
      <c r="A10" s="140"/>
      <c r="B10" s="140"/>
      <c r="C10" s="141" t="str">
        <f t="array" ref="C10">INDEX('Player Database'!$D:$D,MATCH($D10,'Player Database'!$B:$B,0))</f>
        <v>#N/A</v>
      </c>
      <c r="D10" s="142" t="str">
        <f t="shared" si="1"/>
        <v> - </v>
      </c>
      <c r="E10" s="143" t="str">
        <f t="array" ref="E10">XLOOKUP($D10,'Player Database'!$B$2:$B1009,'Player Database'!$I$2:$I1009)</f>
        <v>#N/A</v>
      </c>
      <c r="F10" s="143" t="str">
        <f t="array" ref="F10">XLOOKUP($D10,'Player Database'!$B$2:$B1009,'Player Database'!$J$2:$J1009)</f>
        <v>#N/A</v>
      </c>
      <c r="G10" s="144" t="str">
        <f t="array" ref="G10">IF(H10="","",IFERROR(
  "https://sealeddeck.tech/" &amp; INDEX('Pool Changes'!F:F,
    MAX(
      ROW('Pool Changes'!A:A) *
      ('Pool Changes'!B:B=D10) *
      ('Pool Changes'!F:F&lt;&gt;"")
    )
  ),
  ""
))</f>
        <v/>
      </c>
      <c r="H10" s="144" t="str">
        <f>IFERROR(__xludf.DUMMYFUNCTION("LET(changes,FILTER('Pool Changes'!$B:$D, 'Pool Changes'!$B:$B = $D10),added,FILTER(INDEX(changes,0,3),INDEX(changes,0,2)=""starting pool""),TRANSPOSE(IFERROR(ARRAYFORMULA(IF(added&lt;&gt;"""",""https://sealeddeck.tech/""&amp;added,"""")),"""")))"),"")</f>
        <v/>
      </c>
      <c r="I10" s="145" t="str">
        <f>IFERROR(__xludf.DUMMYFUNCTION("LET(changes,FILTER('Pool Changes'!$B:$D, 'Pool Changes'!$B:$B = $D10),added,FILTER(INDEX(changes,0,3),INDEX(changes,0,2)=""add pack""),IFERROR(TRANSPOSE(ARRAYFORMULA(IF(added&lt;&gt;"""",HYPERLINK(""https://sealeddeck.tech/""&amp;added,""Link""),""""))),""""))"),"")</f>
        <v/>
      </c>
      <c r="J10" s="146"/>
      <c r="K10" s="146"/>
      <c r="L10" s="146"/>
      <c r="M10" s="146"/>
      <c r="N10" s="146"/>
      <c r="O10" s="146"/>
      <c r="P10" s="146"/>
      <c r="Q10" s="146"/>
      <c r="R10" s="146"/>
      <c r="S10" s="146"/>
      <c r="T10" s="147"/>
      <c r="U10" s="147"/>
      <c r="V10" s="147"/>
      <c r="W10" s="149" t="s">
        <v>459</v>
      </c>
      <c r="X10" s="147"/>
      <c r="Y10" s="147"/>
      <c r="Z10" s="147"/>
      <c r="AA10" s="147"/>
      <c r="AB10" s="147"/>
      <c r="AC10" s="147"/>
      <c r="AD10" s="147"/>
      <c r="AE10" s="147"/>
      <c r="AF10" s="147"/>
      <c r="AG10" s="147"/>
      <c r="AH10" s="147"/>
      <c r="AI10" s="147"/>
    </row>
    <row r="11">
      <c r="A11" s="140"/>
      <c r="B11" s="140"/>
      <c r="C11" s="141" t="str">
        <f t="array" ref="C11">INDEX('Player Database'!$D:$D,MATCH($D11,'Player Database'!$B:$B,0))</f>
        <v>#N/A</v>
      </c>
      <c r="D11" s="142" t="str">
        <f t="shared" si="1"/>
        <v> - </v>
      </c>
      <c r="E11" s="143" t="str">
        <f t="array" ref="E11">XLOOKUP($D11,'Player Database'!$B$2:$B1009,'Player Database'!$I$2:$I1009)</f>
        <v>#N/A</v>
      </c>
      <c r="F11" s="143" t="str">
        <f t="array" ref="F11">XLOOKUP($D11,'Player Database'!$B$2:$B1009,'Player Database'!$J$2:$J1009)</f>
        <v>#N/A</v>
      </c>
      <c r="G11" s="144" t="str">
        <f t="array" ref="G11">IF(H11="","",IFERROR(
  "https://sealeddeck.tech/" &amp; INDEX('Pool Changes'!F:F,
    MAX(
      ROW('Pool Changes'!A:A) *
      ('Pool Changes'!B:B=D11) *
      ('Pool Changes'!F:F&lt;&gt;"")
    )
  ),
  ""
))</f>
        <v/>
      </c>
      <c r="H11" s="144" t="str">
        <f>IFERROR(__xludf.DUMMYFUNCTION("LET(changes,FILTER('Pool Changes'!$B:$D, 'Pool Changes'!$B:$B = $D11),added,FILTER(INDEX(changes,0,3),INDEX(changes,0,2)=""starting pool""),TRANSPOSE(IFERROR(ARRAYFORMULA(IF(added&lt;&gt;"""",""https://sealeddeck.tech/""&amp;added,"""")),"""")))"),"")</f>
        <v/>
      </c>
      <c r="I11" s="145" t="str">
        <f>IFERROR(__xludf.DUMMYFUNCTION("LET(changes,FILTER('Pool Changes'!$B:$D, 'Pool Changes'!$B:$B = $D11),added,FILTER(INDEX(changes,0,3),INDEX(changes,0,2)=""add pack""),IFERROR(TRANSPOSE(ARRAYFORMULA(IF(added&lt;&gt;"""",HYPERLINK(""https://sealeddeck.tech/""&amp;added,""Link""),""""))),""""))"),"")</f>
        <v/>
      </c>
      <c r="J11" s="146"/>
      <c r="K11" s="146"/>
      <c r="L11" s="146"/>
      <c r="M11" s="146"/>
      <c r="N11" s="146"/>
      <c r="O11" s="146"/>
      <c r="P11" s="146"/>
      <c r="Q11" s="146"/>
      <c r="R11" s="146"/>
      <c r="S11" s="146"/>
      <c r="T11" s="147"/>
      <c r="U11" s="147"/>
      <c r="V11" s="147"/>
      <c r="W11" s="147"/>
      <c r="X11" s="147"/>
      <c r="Y11" s="147"/>
      <c r="Z11" s="147"/>
      <c r="AA11" s="147"/>
      <c r="AB11" s="147"/>
      <c r="AC11" s="147"/>
      <c r="AD11" s="147"/>
      <c r="AE11" s="147"/>
      <c r="AF11" s="147"/>
      <c r="AG11" s="147"/>
      <c r="AH11" s="147"/>
      <c r="AI11" s="147"/>
    </row>
    <row r="12">
      <c r="A12" s="140"/>
      <c r="B12" s="140"/>
      <c r="C12" s="141" t="str">
        <f t="array" ref="C12">INDEX('Player Database'!$D:$D,MATCH($D12,'Player Database'!$B:$B,0))</f>
        <v>#N/A</v>
      </c>
      <c r="D12" s="142" t="str">
        <f t="shared" si="1"/>
        <v> - </v>
      </c>
      <c r="E12" s="143" t="str">
        <f t="array" ref="E12">XLOOKUP($D12,'Player Database'!$B$2:$B1009,'Player Database'!$I$2:$I1009)</f>
        <v>#N/A</v>
      </c>
      <c r="F12" s="143" t="str">
        <f t="array" ref="F12">XLOOKUP($D12,'Player Database'!$B$2:$B1009,'Player Database'!$J$2:$J1009)</f>
        <v>#N/A</v>
      </c>
      <c r="G12" s="144" t="str">
        <f t="array" ref="G12">IF(H12="","",IFERROR(
  "https://sealeddeck.tech/" &amp; INDEX('Pool Changes'!F:F,
    MAX(
      ROW('Pool Changes'!A:A) *
      ('Pool Changes'!B:B=D12) *
      ('Pool Changes'!F:F&lt;&gt;"")
    )
  ),
  ""
))</f>
        <v/>
      </c>
      <c r="H12" s="144" t="str">
        <f>IFERROR(__xludf.DUMMYFUNCTION("LET(changes,FILTER('Pool Changes'!$B:$D, 'Pool Changes'!$B:$B = $D12),added,FILTER(INDEX(changes,0,3),INDEX(changes,0,2)=""starting pool""),TRANSPOSE(IFERROR(ARRAYFORMULA(IF(added&lt;&gt;"""",""https://sealeddeck.tech/""&amp;added,"""")),"""")))"),"")</f>
        <v/>
      </c>
      <c r="I12" s="145" t="str">
        <f>IFERROR(__xludf.DUMMYFUNCTION("LET(changes,FILTER('Pool Changes'!$B:$D, 'Pool Changes'!$B:$B = $D12),added,FILTER(INDEX(changes,0,3),INDEX(changes,0,2)=""add pack""),IFERROR(TRANSPOSE(ARRAYFORMULA(IF(added&lt;&gt;"""",HYPERLINK(""https://sealeddeck.tech/""&amp;added,""Link""),""""))),""""))"),"")</f>
        <v/>
      </c>
      <c r="J12" s="146"/>
      <c r="K12" s="146"/>
      <c r="L12" s="146"/>
      <c r="M12" s="146"/>
      <c r="N12" s="146"/>
      <c r="O12" s="146"/>
      <c r="P12" s="146"/>
      <c r="Q12" s="146"/>
      <c r="R12" s="146"/>
      <c r="S12" s="146"/>
      <c r="T12" s="147"/>
      <c r="U12" s="147"/>
      <c r="V12" s="147"/>
      <c r="W12" s="147"/>
      <c r="X12" s="147"/>
      <c r="Y12" s="147"/>
      <c r="Z12" s="147"/>
      <c r="AA12" s="147"/>
      <c r="AB12" s="147"/>
      <c r="AC12" s="147"/>
      <c r="AD12" s="147"/>
      <c r="AE12" s="147"/>
      <c r="AF12" s="147"/>
      <c r="AG12" s="147"/>
      <c r="AH12" s="147"/>
      <c r="AI12" s="147"/>
    </row>
    <row r="13">
      <c r="A13" s="140"/>
      <c r="B13" s="140"/>
      <c r="C13" s="141" t="str">
        <f t="array" ref="C13">INDEX('Player Database'!$D:$D,MATCH($D13,'Player Database'!$B:$B,0))</f>
        <v>#N/A</v>
      </c>
      <c r="D13" s="142" t="str">
        <f t="shared" si="1"/>
        <v> - </v>
      </c>
      <c r="E13" s="143" t="str">
        <f t="array" ref="E13">XLOOKUP($D13,'Player Database'!$B$2:$B1009,'Player Database'!$I$2:$I1009)</f>
        <v>#N/A</v>
      </c>
      <c r="F13" s="143" t="str">
        <f t="array" ref="F13">XLOOKUP($D13,'Player Database'!$B$2:$B1009,'Player Database'!$J$2:$J1009)</f>
        <v>#N/A</v>
      </c>
      <c r="G13" s="144" t="str">
        <f t="array" ref="G13">IF(H13="","",IFERROR(
  "https://sealeddeck.tech/" &amp; INDEX('Pool Changes'!F:F,
    MAX(
      ROW('Pool Changes'!A:A) *
      ('Pool Changes'!B:B=D13) *
      ('Pool Changes'!F:F&lt;&gt;"")
    )
  ),
  ""
))</f>
        <v/>
      </c>
      <c r="H13" s="144" t="str">
        <f>IFERROR(__xludf.DUMMYFUNCTION("LET(changes,FILTER('Pool Changes'!$B:$D, 'Pool Changes'!$B:$B = $D13),added,FILTER(INDEX(changes,0,3),INDEX(changes,0,2)=""starting pool""),TRANSPOSE(IFERROR(ARRAYFORMULA(IF(added&lt;&gt;"""",""https://sealeddeck.tech/""&amp;added,"""")),"""")))"),"")</f>
        <v/>
      </c>
      <c r="I13" s="145" t="str">
        <f>IFERROR(__xludf.DUMMYFUNCTION("LET(changes,FILTER('Pool Changes'!$B:$D, 'Pool Changes'!$B:$B = $D13),added,FILTER(INDEX(changes,0,3),INDEX(changes,0,2)=""add pack""),IFERROR(TRANSPOSE(ARRAYFORMULA(IF(added&lt;&gt;"""",HYPERLINK(""https://sealeddeck.tech/""&amp;added,""Link""),""""))),""""))"),"")</f>
        <v/>
      </c>
      <c r="J13" s="146"/>
      <c r="K13" s="146"/>
      <c r="L13" s="146"/>
      <c r="M13" s="146"/>
      <c r="N13" s="146"/>
      <c r="O13" s="146"/>
      <c r="P13" s="146"/>
      <c r="Q13" s="146"/>
      <c r="R13" s="146"/>
      <c r="S13" s="146"/>
      <c r="T13" s="147"/>
      <c r="U13" s="147"/>
      <c r="V13" s="147"/>
      <c r="W13" s="147"/>
      <c r="X13" s="147"/>
      <c r="Y13" s="147"/>
      <c r="Z13" s="147"/>
      <c r="AA13" s="147"/>
      <c r="AB13" s="147"/>
      <c r="AC13" s="147"/>
      <c r="AD13" s="147"/>
      <c r="AE13" s="147"/>
      <c r="AF13" s="147"/>
      <c r="AG13" s="147"/>
      <c r="AH13" s="147"/>
      <c r="AI13" s="147"/>
    </row>
    <row r="14">
      <c r="A14" s="140"/>
      <c r="B14" s="140"/>
      <c r="C14" s="141" t="str">
        <f t="array" ref="C14">INDEX('Player Database'!$D:$D,MATCH($D14,'Player Database'!$B:$B,0))</f>
        <v>#N/A</v>
      </c>
      <c r="D14" s="142" t="str">
        <f t="shared" si="1"/>
        <v> - </v>
      </c>
      <c r="E14" s="143" t="str">
        <f t="array" ref="E14">XLOOKUP($D14,'Player Database'!$B$2:$B1009,'Player Database'!$I$2:$I1009)</f>
        <v>#N/A</v>
      </c>
      <c r="F14" s="143" t="str">
        <f t="array" ref="F14">XLOOKUP($D14,'Player Database'!$B$2:$B1009,'Player Database'!$J$2:$J1009)</f>
        <v>#N/A</v>
      </c>
      <c r="G14" s="144" t="str">
        <f t="array" ref="G14">IF(H14="","",IFERROR(
  "https://sealeddeck.tech/" &amp; INDEX('Pool Changes'!F:F,
    MAX(
      ROW('Pool Changes'!A:A) *
      ('Pool Changes'!B:B=D14) *
      ('Pool Changes'!F:F&lt;&gt;"")
    )
  ),
  ""
))</f>
        <v/>
      </c>
      <c r="H14" s="144" t="str">
        <f>IFERROR(__xludf.DUMMYFUNCTION("LET(changes,FILTER('Pool Changes'!$B:$D, 'Pool Changes'!$B:$B = $D14),added,FILTER(INDEX(changes,0,3),INDEX(changes,0,2)=""starting pool""),TRANSPOSE(IFERROR(ARRAYFORMULA(IF(added&lt;&gt;"""",""https://sealeddeck.tech/""&amp;added,"""")),"""")))"),"")</f>
        <v/>
      </c>
      <c r="I14" s="145" t="str">
        <f>IFERROR(__xludf.DUMMYFUNCTION("LET(changes,FILTER('Pool Changes'!$B:$D, 'Pool Changes'!$B:$B = $D14),added,FILTER(INDEX(changes,0,3),INDEX(changes,0,2)=""add pack""),IFERROR(TRANSPOSE(ARRAYFORMULA(IF(added&lt;&gt;"""",HYPERLINK(""https://sealeddeck.tech/""&amp;added,""Link""),""""))),""""))"),"")</f>
        <v/>
      </c>
      <c r="J14" s="146"/>
      <c r="K14" s="146"/>
      <c r="L14" s="146"/>
      <c r="M14" s="146"/>
      <c r="N14" s="146"/>
      <c r="O14" s="146"/>
      <c r="P14" s="146"/>
      <c r="Q14" s="146"/>
      <c r="R14" s="146"/>
      <c r="S14" s="146"/>
      <c r="T14" s="147"/>
      <c r="U14" s="147"/>
      <c r="V14" s="147"/>
      <c r="W14" s="149" t="s">
        <v>459</v>
      </c>
      <c r="X14" s="147"/>
      <c r="Y14" s="147"/>
      <c r="Z14" s="147"/>
      <c r="AA14" s="147"/>
      <c r="AB14" s="147"/>
      <c r="AC14" s="147"/>
      <c r="AD14" s="147"/>
      <c r="AE14" s="147"/>
      <c r="AF14" s="147"/>
      <c r="AG14" s="147"/>
      <c r="AH14" s="147"/>
      <c r="AI14" s="147"/>
    </row>
    <row r="15">
      <c r="A15" s="140"/>
      <c r="B15" s="140"/>
      <c r="C15" s="141" t="str">
        <f t="array" ref="C15">INDEX('Player Database'!$D:$D,MATCH($D15,'Player Database'!$B:$B,0))</f>
        <v>#N/A</v>
      </c>
      <c r="D15" s="142" t="str">
        <f t="shared" si="1"/>
        <v> - </v>
      </c>
      <c r="E15" s="143" t="str">
        <f t="array" ref="E15">XLOOKUP($D15,'Player Database'!$B$2:$B1009,'Player Database'!$I$2:$I1009)</f>
        <v>#N/A</v>
      </c>
      <c r="F15" s="143" t="str">
        <f t="array" ref="F15">XLOOKUP($D15,'Player Database'!$B$2:$B1009,'Player Database'!$J$2:$J1009)</f>
        <v>#N/A</v>
      </c>
      <c r="G15" s="144" t="str">
        <f t="array" ref="G15">IF(H15="","",IFERROR(
  "https://sealeddeck.tech/" &amp; INDEX('Pool Changes'!F:F,
    MAX(
      ROW('Pool Changes'!A:A) *
      ('Pool Changes'!B:B=D15) *
      ('Pool Changes'!F:F&lt;&gt;"")
    )
  ),
  ""
))</f>
        <v/>
      </c>
      <c r="H15" s="144" t="str">
        <f>IFERROR(__xludf.DUMMYFUNCTION("LET(changes,FILTER('Pool Changes'!$B:$D, 'Pool Changes'!$B:$B = $D15),added,FILTER(INDEX(changes,0,3),INDEX(changes,0,2)=""starting pool""),TRANSPOSE(IFERROR(ARRAYFORMULA(IF(added&lt;&gt;"""",""https://sealeddeck.tech/""&amp;added,"""")),"""")))"),"")</f>
        <v/>
      </c>
      <c r="I15" s="145" t="str">
        <f>IFERROR(__xludf.DUMMYFUNCTION("LET(changes,FILTER('Pool Changes'!$B:$D, 'Pool Changes'!$B:$B = $D15),added,FILTER(INDEX(changes,0,3),INDEX(changes,0,2)=""add pack""),IFERROR(TRANSPOSE(ARRAYFORMULA(IF(added&lt;&gt;"""",HYPERLINK(""https://sealeddeck.tech/""&amp;added,""Link""),""""))),""""))"),"")</f>
        <v/>
      </c>
      <c r="J15" s="146"/>
      <c r="K15" s="146"/>
      <c r="L15" s="146"/>
      <c r="M15" s="146"/>
      <c r="N15" s="146"/>
      <c r="O15" s="146"/>
      <c r="P15" s="146"/>
      <c r="Q15" s="146"/>
      <c r="R15" s="146"/>
      <c r="S15" s="146"/>
      <c r="T15" s="147"/>
      <c r="U15" s="147"/>
      <c r="V15" s="147"/>
      <c r="W15" s="147"/>
      <c r="X15" s="147"/>
      <c r="Y15" s="147"/>
      <c r="Z15" s="147"/>
      <c r="AA15" s="147"/>
      <c r="AB15" s="147"/>
      <c r="AC15" s="147"/>
      <c r="AD15" s="147"/>
      <c r="AE15" s="147"/>
      <c r="AF15" s="147"/>
      <c r="AG15" s="147"/>
      <c r="AH15" s="147"/>
      <c r="AI15" s="147"/>
    </row>
    <row r="16">
      <c r="A16" s="140"/>
      <c r="B16" s="140"/>
      <c r="C16" s="141" t="str">
        <f t="array" ref="C16">INDEX('Player Database'!$D:$D,MATCH($D16,'Player Database'!$B:$B,0))</f>
        <v>#N/A</v>
      </c>
      <c r="D16" s="142" t="str">
        <f t="shared" si="1"/>
        <v> - </v>
      </c>
      <c r="E16" s="143" t="str">
        <f t="array" ref="E16">XLOOKUP($D16,'Player Database'!$B$2:$B1009,'Player Database'!$I$2:$I1009)</f>
        <v>#N/A</v>
      </c>
      <c r="F16" s="143" t="str">
        <f t="array" ref="F16">XLOOKUP($D16,'Player Database'!$B$2:$B1009,'Player Database'!$J$2:$J1009)</f>
        <v>#N/A</v>
      </c>
      <c r="G16" s="144" t="str">
        <f t="array" ref="G16">IF(H16="","",IFERROR(
  "https://sealeddeck.tech/" &amp; INDEX('Pool Changes'!F:F,
    MAX(
      ROW('Pool Changes'!A:A) *
      ('Pool Changes'!B:B=D16) *
      ('Pool Changes'!F:F&lt;&gt;"")
    )
  ),
  ""
))</f>
        <v/>
      </c>
      <c r="H16" s="144" t="str">
        <f>IFERROR(__xludf.DUMMYFUNCTION("LET(changes,FILTER('Pool Changes'!$B:$D, 'Pool Changes'!$B:$B = $D16),added,FILTER(INDEX(changes,0,3),INDEX(changes,0,2)=""starting pool""),TRANSPOSE(IFERROR(ARRAYFORMULA(IF(added&lt;&gt;"""",""https://sealeddeck.tech/""&amp;added,"""")),"""")))"),"")</f>
        <v/>
      </c>
      <c r="I16" s="145" t="str">
        <f>IFERROR(__xludf.DUMMYFUNCTION("LET(changes,FILTER('Pool Changes'!$B:$D, 'Pool Changes'!$B:$B = $D16),added,FILTER(INDEX(changes,0,3),INDEX(changes,0,2)=""add pack""),IFERROR(TRANSPOSE(ARRAYFORMULA(IF(added&lt;&gt;"""",HYPERLINK(""https://sealeddeck.tech/""&amp;added,""Link""),""""))),""""))"),"")</f>
        <v/>
      </c>
      <c r="J16" s="146"/>
      <c r="K16" s="146"/>
      <c r="L16" s="146"/>
      <c r="M16" s="146"/>
      <c r="N16" s="146"/>
      <c r="O16" s="146"/>
      <c r="P16" s="146"/>
      <c r="Q16" s="146"/>
      <c r="R16" s="146"/>
      <c r="S16" s="146"/>
      <c r="T16" s="147"/>
      <c r="U16" s="147"/>
      <c r="V16" s="147"/>
      <c r="W16" s="149" t="s">
        <v>459</v>
      </c>
      <c r="X16" s="147"/>
      <c r="Y16" s="147"/>
      <c r="Z16" s="147"/>
      <c r="AA16" s="147"/>
      <c r="AB16" s="147"/>
      <c r="AC16" s="147"/>
      <c r="AD16" s="147"/>
      <c r="AE16" s="147"/>
      <c r="AF16" s="147"/>
      <c r="AG16" s="147"/>
      <c r="AH16" s="147"/>
      <c r="AI16" s="147"/>
    </row>
    <row r="17">
      <c r="A17" s="140"/>
      <c r="B17" s="140"/>
      <c r="C17" s="141" t="str">
        <f t="array" ref="C17">INDEX('Player Database'!$D:$D,MATCH($D17,'Player Database'!$B:$B,0))</f>
        <v>#N/A</v>
      </c>
      <c r="D17" s="142" t="str">
        <f t="shared" si="1"/>
        <v> - </v>
      </c>
      <c r="E17" s="143" t="str">
        <f t="array" ref="E17">XLOOKUP($D17,'Player Database'!$B$2:$B1009,'Player Database'!$I$2:$I1009)</f>
        <v>#N/A</v>
      </c>
      <c r="F17" s="143" t="str">
        <f t="array" ref="F17">XLOOKUP($D17,'Player Database'!$B$2:$B1009,'Player Database'!$J$2:$J1009)</f>
        <v>#N/A</v>
      </c>
      <c r="G17" s="144" t="str">
        <f t="array" ref="G17">IF(H17="","",IFERROR(
  "https://sealeddeck.tech/" &amp; INDEX('Pool Changes'!F:F,
    MAX(
      ROW('Pool Changes'!A:A) *
      ('Pool Changes'!B:B=D17) *
      ('Pool Changes'!F:F&lt;&gt;"")
    )
  ),
  ""
))</f>
        <v/>
      </c>
      <c r="H17" s="144" t="str">
        <f>IFERROR(__xludf.DUMMYFUNCTION("LET(changes,FILTER('Pool Changes'!$B:$D, 'Pool Changes'!$B:$B = $D17),added,FILTER(INDEX(changes,0,3),INDEX(changes,0,2)=""starting pool""),TRANSPOSE(IFERROR(ARRAYFORMULA(IF(added&lt;&gt;"""",""https://sealeddeck.tech/""&amp;added,"""")),"""")))"),"")</f>
        <v/>
      </c>
      <c r="I17" s="145" t="str">
        <f>IFERROR(__xludf.DUMMYFUNCTION("LET(changes,FILTER('Pool Changes'!$B:$D, 'Pool Changes'!$B:$B = $D17),added,FILTER(INDEX(changes,0,3),INDEX(changes,0,2)=""add pack""),IFERROR(TRANSPOSE(ARRAYFORMULA(IF(added&lt;&gt;"""",HYPERLINK(""https://sealeddeck.tech/""&amp;added,""Link""),""""))),""""))"),"")</f>
        <v/>
      </c>
      <c r="J17" s="146"/>
      <c r="K17" s="146"/>
      <c r="L17" s="146"/>
      <c r="M17" s="146"/>
      <c r="N17" s="146"/>
      <c r="O17" s="146"/>
      <c r="P17" s="146"/>
      <c r="Q17" s="146"/>
      <c r="R17" s="146"/>
      <c r="S17" s="146"/>
      <c r="T17" s="147"/>
      <c r="U17" s="147"/>
      <c r="V17" s="147"/>
      <c r="W17" s="147"/>
      <c r="X17" s="147"/>
      <c r="Y17" s="147"/>
      <c r="Z17" s="147"/>
      <c r="AA17" s="147"/>
      <c r="AB17" s="147"/>
      <c r="AC17" s="147"/>
      <c r="AD17" s="147"/>
      <c r="AE17" s="147"/>
      <c r="AF17" s="147"/>
      <c r="AG17" s="147"/>
      <c r="AH17" s="147"/>
      <c r="AI17" s="147"/>
    </row>
    <row r="18">
      <c r="A18" s="140"/>
      <c r="B18" s="140"/>
      <c r="C18" s="141" t="str">
        <f t="array" ref="C18">INDEX('Player Database'!$D:$D,MATCH($D18,'Player Database'!$B:$B,0))</f>
        <v>#N/A</v>
      </c>
      <c r="D18" s="142" t="str">
        <f t="shared" si="1"/>
        <v> - </v>
      </c>
      <c r="E18" s="143" t="str">
        <f t="array" ref="E18">XLOOKUP($D18,'Player Database'!$B$2:$B1009,'Player Database'!$I$2:$I1009)</f>
        <v>#N/A</v>
      </c>
      <c r="F18" s="143" t="str">
        <f t="array" ref="F18">XLOOKUP($D18,'Player Database'!$B$2:$B1009,'Player Database'!$J$2:$J1009)</f>
        <v>#N/A</v>
      </c>
      <c r="G18" s="144" t="str">
        <f t="array" ref="G18">IF(H18="","",IFERROR(
  "https://sealeddeck.tech/" &amp; INDEX('Pool Changes'!F:F,
    MAX(
      ROW('Pool Changes'!A:A) *
      ('Pool Changes'!B:B=D18) *
      ('Pool Changes'!F:F&lt;&gt;"")
    )
  ),
  ""
))</f>
        <v/>
      </c>
      <c r="H18" s="144" t="str">
        <f>IFERROR(__xludf.DUMMYFUNCTION("LET(changes,FILTER('Pool Changes'!$B:$D, 'Pool Changes'!$B:$B = $D18),added,FILTER(INDEX(changes,0,3),INDEX(changes,0,2)=""starting pool""),TRANSPOSE(IFERROR(ARRAYFORMULA(IF(added&lt;&gt;"""",""https://sealeddeck.tech/""&amp;added,"""")),"""")))"),"")</f>
        <v/>
      </c>
      <c r="I18" s="145" t="str">
        <f>IFERROR(__xludf.DUMMYFUNCTION("LET(changes,FILTER('Pool Changes'!$B:$D, 'Pool Changes'!$B:$B = $D18),added,FILTER(INDEX(changes,0,3),INDEX(changes,0,2)=""add pack""),IFERROR(TRANSPOSE(ARRAYFORMULA(IF(added&lt;&gt;"""",HYPERLINK(""https://sealeddeck.tech/""&amp;added,""Link""),""""))),""""))"),"")</f>
        <v/>
      </c>
      <c r="J18" s="146"/>
      <c r="K18" s="146"/>
      <c r="L18" s="146"/>
      <c r="M18" s="146"/>
      <c r="N18" s="146"/>
      <c r="O18" s="146"/>
      <c r="P18" s="146"/>
      <c r="Q18" s="146"/>
      <c r="R18" s="146"/>
      <c r="S18" s="146"/>
      <c r="T18" s="147"/>
      <c r="U18" s="147"/>
      <c r="V18" s="147"/>
      <c r="W18" s="149" t="s">
        <v>459</v>
      </c>
      <c r="X18" s="147"/>
      <c r="Y18" s="147"/>
      <c r="Z18" s="147"/>
      <c r="AA18" s="147"/>
      <c r="AB18" s="147"/>
      <c r="AC18" s="147"/>
      <c r="AD18" s="147"/>
      <c r="AE18" s="147"/>
      <c r="AF18" s="147"/>
      <c r="AG18" s="147"/>
      <c r="AH18" s="147"/>
      <c r="AI18" s="147"/>
    </row>
    <row r="19">
      <c r="A19" s="140"/>
      <c r="B19" s="140"/>
      <c r="C19" s="141" t="str">
        <f t="array" ref="C19">INDEX('Player Database'!$D:$D,MATCH($D19,'Player Database'!$B:$B,0))</f>
        <v>#N/A</v>
      </c>
      <c r="D19" s="142" t="str">
        <f t="shared" si="1"/>
        <v> - </v>
      </c>
      <c r="E19" s="143" t="str">
        <f t="array" ref="E19">XLOOKUP($D19,'Player Database'!$B$2:$B1009,'Player Database'!$I$2:$I1009)</f>
        <v>#N/A</v>
      </c>
      <c r="F19" s="143" t="str">
        <f t="array" ref="F19">XLOOKUP($D19,'Player Database'!$B$2:$B1009,'Player Database'!$J$2:$J1009)</f>
        <v>#N/A</v>
      </c>
      <c r="G19" s="144" t="str">
        <f t="array" ref="G19">IF(H19="","",IFERROR(
  "https://sealeddeck.tech/" &amp; INDEX('Pool Changes'!F:F,
    MAX(
      ROW('Pool Changes'!A:A) *
      ('Pool Changes'!B:B=D19) *
      ('Pool Changes'!F:F&lt;&gt;"")
    )
  ),
  ""
))</f>
        <v/>
      </c>
      <c r="H19" s="144" t="str">
        <f>IFERROR(__xludf.DUMMYFUNCTION("LET(changes,FILTER('Pool Changes'!$B:$D, 'Pool Changes'!$B:$B = $D19),added,FILTER(INDEX(changes,0,3),INDEX(changes,0,2)=""starting pool""),TRANSPOSE(IFERROR(ARRAYFORMULA(IF(added&lt;&gt;"""",""https://sealeddeck.tech/""&amp;added,"""")),"""")))"),"")</f>
        <v/>
      </c>
      <c r="I19" s="145" t="str">
        <f>IFERROR(__xludf.DUMMYFUNCTION("LET(changes,FILTER('Pool Changes'!$B:$D, 'Pool Changes'!$B:$B = $D19),added,FILTER(INDEX(changes,0,3),INDEX(changes,0,2)=""add pack""),IFERROR(TRANSPOSE(ARRAYFORMULA(IF(added&lt;&gt;"""",HYPERLINK(""https://sealeddeck.tech/""&amp;added,""Link""),""""))),""""))"),"")</f>
        <v/>
      </c>
      <c r="J19" s="146"/>
      <c r="K19" s="146"/>
      <c r="L19" s="146"/>
      <c r="M19" s="146"/>
      <c r="N19" s="146"/>
      <c r="O19" s="146"/>
      <c r="P19" s="146"/>
      <c r="Q19" s="146"/>
      <c r="R19" s="146"/>
      <c r="S19" s="146"/>
      <c r="T19" s="147"/>
      <c r="U19" s="147"/>
      <c r="V19" s="147"/>
      <c r="W19" s="149" t="s">
        <v>459</v>
      </c>
      <c r="X19" s="147"/>
      <c r="Y19" s="147"/>
      <c r="Z19" s="147"/>
      <c r="AA19" s="147"/>
      <c r="AB19" s="147"/>
      <c r="AC19" s="147"/>
      <c r="AD19" s="147"/>
      <c r="AE19" s="147"/>
      <c r="AF19" s="147"/>
      <c r="AG19" s="147"/>
      <c r="AH19" s="147"/>
      <c r="AI19" s="147"/>
    </row>
    <row r="20">
      <c r="A20" s="140"/>
      <c r="B20" s="140"/>
      <c r="C20" s="141" t="str">
        <f t="array" ref="C20">INDEX('Player Database'!$D:$D,MATCH($D20,'Player Database'!$B:$B,0))</f>
        <v>#N/A</v>
      </c>
      <c r="D20" s="142" t="str">
        <f t="shared" si="1"/>
        <v> - </v>
      </c>
      <c r="E20" s="143" t="str">
        <f t="array" ref="E20">XLOOKUP($D20,'Player Database'!$B$2:$B1009,'Player Database'!$I$2:$I1009)</f>
        <v>#N/A</v>
      </c>
      <c r="F20" s="143" t="str">
        <f t="array" ref="F20">XLOOKUP($D20,'Player Database'!$B$2:$B1009,'Player Database'!$J$2:$J1009)</f>
        <v>#N/A</v>
      </c>
      <c r="G20" s="144" t="str">
        <f t="array" ref="G20">IF(H20="","",IFERROR(
  "https://sealeddeck.tech/" &amp; INDEX('Pool Changes'!F:F,
    MAX(
      ROW('Pool Changes'!A:A) *
      ('Pool Changes'!B:B=D20) *
      ('Pool Changes'!F:F&lt;&gt;"")
    )
  ),
  ""
))</f>
        <v/>
      </c>
      <c r="H20" s="144" t="str">
        <f>IFERROR(__xludf.DUMMYFUNCTION("LET(changes,FILTER('Pool Changes'!$B:$D, 'Pool Changes'!$B:$B = $D20),added,FILTER(INDEX(changes,0,3),INDEX(changes,0,2)=""starting pool""),TRANSPOSE(IFERROR(ARRAYFORMULA(IF(added&lt;&gt;"""",""https://sealeddeck.tech/""&amp;added,"""")),"""")))"),"")</f>
        <v/>
      </c>
      <c r="I20" s="145" t="str">
        <f>IFERROR(__xludf.DUMMYFUNCTION("LET(changes,FILTER('Pool Changes'!$B:$D, 'Pool Changes'!$B:$B = $D20),added,FILTER(INDEX(changes,0,3),INDEX(changes,0,2)=""add pack""),IFERROR(TRANSPOSE(ARRAYFORMULA(IF(added&lt;&gt;"""",HYPERLINK(""https://sealeddeck.tech/""&amp;added,""Link""),""""))),""""))"),"")</f>
        <v/>
      </c>
      <c r="J20" s="146"/>
      <c r="K20" s="146"/>
      <c r="L20" s="146"/>
      <c r="M20" s="146"/>
      <c r="N20" s="146"/>
      <c r="O20" s="146"/>
      <c r="P20" s="146"/>
      <c r="Q20" s="146"/>
      <c r="R20" s="146"/>
      <c r="S20" s="146"/>
      <c r="T20" s="147"/>
      <c r="U20" s="147"/>
      <c r="V20" s="147"/>
      <c r="W20" s="147"/>
      <c r="X20" s="147"/>
      <c r="Y20" s="147"/>
      <c r="Z20" s="147"/>
      <c r="AA20" s="147"/>
      <c r="AB20" s="147"/>
      <c r="AC20" s="147"/>
      <c r="AD20" s="147"/>
      <c r="AE20" s="147"/>
      <c r="AF20" s="147"/>
      <c r="AG20" s="147"/>
      <c r="AH20" s="147"/>
      <c r="AI20" s="147"/>
    </row>
    <row r="21">
      <c r="A21" s="140"/>
      <c r="B21" s="140"/>
      <c r="C21" s="141" t="str">
        <f t="array" ref="C21">INDEX('Player Database'!$D:$D,MATCH($D21,'Player Database'!$B:$B,0))</f>
        <v>#N/A</v>
      </c>
      <c r="D21" s="142" t="str">
        <f t="shared" si="1"/>
        <v> - </v>
      </c>
      <c r="E21" s="143" t="str">
        <f t="array" ref="E21">XLOOKUP($D21,'Player Database'!$B$2:$B1009,'Player Database'!$I$2:$I1009)</f>
        <v>#N/A</v>
      </c>
      <c r="F21" s="143" t="str">
        <f t="array" ref="F21">XLOOKUP($D21,'Player Database'!$B$2:$B1009,'Player Database'!$J$2:$J1009)</f>
        <v>#N/A</v>
      </c>
      <c r="G21" s="144" t="str">
        <f t="array" ref="G21">IF(H21="","",IFERROR(
  "https://sealeddeck.tech/" &amp; INDEX('Pool Changes'!F:F,
    MAX(
      ROW('Pool Changes'!A:A) *
      ('Pool Changes'!B:B=D21) *
      ('Pool Changes'!F:F&lt;&gt;"")
    )
  ),
  ""
))</f>
        <v/>
      </c>
      <c r="H21" s="144" t="str">
        <f>IFERROR(__xludf.DUMMYFUNCTION("LET(changes,FILTER('Pool Changes'!$B:$D, 'Pool Changes'!$B:$B = $D21),added,FILTER(INDEX(changes,0,3),INDEX(changes,0,2)=""starting pool""),TRANSPOSE(IFERROR(ARRAYFORMULA(IF(added&lt;&gt;"""",""https://sealeddeck.tech/""&amp;added,"""")),"""")))"),"")</f>
        <v/>
      </c>
      <c r="I21" s="145" t="str">
        <f>IFERROR(__xludf.DUMMYFUNCTION("LET(changes,FILTER('Pool Changes'!$B:$D, 'Pool Changes'!$B:$B = $D21),added,FILTER(INDEX(changes,0,3),INDEX(changes,0,2)=""add pack""),IFERROR(TRANSPOSE(ARRAYFORMULA(IF(added&lt;&gt;"""",HYPERLINK(""https://sealeddeck.tech/""&amp;added,""Link""),""""))),""""))"),"")</f>
        <v/>
      </c>
      <c r="J21" s="146"/>
      <c r="K21" s="146"/>
      <c r="L21" s="146"/>
      <c r="M21" s="146"/>
      <c r="N21" s="146"/>
      <c r="O21" s="146"/>
      <c r="P21" s="146"/>
      <c r="Q21" s="146"/>
      <c r="R21" s="146"/>
      <c r="S21" s="146"/>
      <c r="T21" s="147"/>
      <c r="U21" s="147"/>
      <c r="V21" s="147"/>
      <c r="W21" s="149" t="s">
        <v>459</v>
      </c>
      <c r="X21" s="147"/>
      <c r="Y21" s="147"/>
      <c r="Z21" s="147"/>
      <c r="AA21" s="147"/>
      <c r="AB21" s="147"/>
      <c r="AC21" s="147"/>
      <c r="AD21" s="147"/>
      <c r="AE21" s="147"/>
      <c r="AF21" s="147"/>
      <c r="AG21" s="147"/>
      <c r="AH21" s="147"/>
      <c r="AI21" s="147"/>
    </row>
    <row r="22">
      <c r="A22" s="140"/>
      <c r="B22" s="140"/>
      <c r="C22" s="141" t="str">
        <f t="array" ref="C22">INDEX('Player Database'!$D:$D,MATCH($D22,'Player Database'!$B:$B,0))</f>
        <v>#N/A</v>
      </c>
      <c r="D22" s="142" t="str">
        <f t="shared" si="1"/>
        <v> - </v>
      </c>
      <c r="E22" s="143" t="str">
        <f t="array" ref="E22">XLOOKUP($D22,'Player Database'!$B$2:$B1009,'Player Database'!$I$2:$I1009)</f>
        <v>#N/A</v>
      </c>
      <c r="F22" s="143" t="str">
        <f t="array" ref="F22">XLOOKUP($D22,'Player Database'!$B$2:$B1009,'Player Database'!$J$2:$J1009)</f>
        <v>#N/A</v>
      </c>
      <c r="G22" s="144" t="str">
        <f t="array" ref="G22">IF(H22="","",IFERROR(
  "https://sealeddeck.tech/" &amp; INDEX('Pool Changes'!F:F,
    MAX(
      ROW('Pool Changes'!A:A) *
      ('Pool Changes'!B:B=D22) *
      ('Pool Changes'!F:F&lt;&gt;"")
    )
  ),
  ""
))</f>
        <v/>
      </c>
      <c r="H22" s="144" t="str">
        <f>IFERROR(__xludf.DUMMYFUNCTION("LET(changes,FILTER('Pool Changes'!$B:$D, 'Pool Changes'!$B:$B = $D22),added,FILTER(INDEX(changes,0,3),INDEX(changes,0,2)=""starting pool""),TRANSPOSE(IFERROR(ARRAYFORMULA(IF(added&lt;&gt;"""",""https://sealeddeck.tech/""&amp;added,"""")),"""")))"),"")</f>
        <v/>
      </c>
      <c r="I22" s="145" t="str">
        <f>IFERROR(__xludf.DUMMYFUNCTION("LET(changes,FILTER('Pool Changes'!$B:$D, 'Pool Changes'!$B:$B = $D22),added,FILTER(INDEX(changes,0,3),INDEX(changes,0,2)=""add pack""),IFERROR(TRANSPOSE(ARRAYFORMULA(IF(added&lt;&gt;"""",HYPERLINK(""https://sealeddeck.tech/""&amp;added,""Link""),""""))),""""))"),"")</f>
        <v/>
      </c>
      <c r="J22" s="146"/>
      <c r="K22" s="146"/>
      <c r="L22" s="146"/>
      <c r="M22" s="146"/>
      <c r="N22" s="146"/>
      <c r="O22" s="146"/>
      <c r="P22" s="146"/>
      <c r="Q22" s="146"/>
      <c r="R22" s="146"/>
      <c r="S22" s="146"/>
      <c r="T22" s="147"/>
      <c r="U22" s="147"/>
      <c r="V22" s="147"/>
      <c r="W22" s="147"/>
      <c r="X22" s="147"/>
      <c r="Y22" s="147"/>
      <c r="Z22" s="147"/>
      <c r="AA22" s="147"/>
      <c r="AB22" s="147"/>
      <c r="AC22" s="147"/>
      <c r="AD22" s="147"/>
      <c r="AE22" s="147"/>
      <c r="AF22" s="147"/>
      <c r="AG22" s="147"/>
      <c r="AH22" s="147"/>
      <c r="AI22" s="147"/>
    </row>
    <row r="23">
      <c r="A23" s="140"/>
      <c r="B23" s="140"/>
      <c r="C23" s="141" t="str">
        <f t="array" ref="C23">INDEX('Player Database'!$D:$D,MATCH($D23,'Player Database'!$B:$B,0))</f>
        <v>#N/A</v>
      </c>
      <c r="D23" s="142" t="str">
        <f t="shared" si="1"/>
        <v> - </v>
      </c>
      <c r="E23" s="143" t="str">
        <f t="array" ref="E23">XLOOKUP($D23,'Player Database'!$B$2:$B1009,'Player Database'!$I$2:$I1009)</f>
        <v>#N/A</v>
      </c>
      <c r="F23" s="143" t="str">
        <f t="array" ref="F23">XLOOKUP($D23,'Player Database'!$B$2:$B1009,'Player Database'!$J$2:$J1009)</f>
        <v>#N/A</v>
      </c>
      <c r="G23" s="144" t="str">
        <f t="array" ref="G23">IF(H23="","",IFERROR(
  "https://sealeddeck.tech/" &amp; INDEX('Pool Changes'!F:F,
    MAX(
      ROW('Pool Changes'!A:A) *
      ('Pool Changes'!B:B=D23) *
      ('Pool Changes'!F:F&lt;&gt;"")
    )
  ),
  ""
))</f>
        <v/>
      </c>
      <c r="H23" s="144" t="str">
        <f>IFERROR(__xludf.DUMMYFUNCTION("LET(changes,FILTER('Pool Changes'!$B:$D, 'Pool Changes'!$B:$B = $D23),added,FILTER(INDEX(changes,0,3),INDEX(changes,0,2)=""starting pool""),TRANSPOSE(IFERROR(ARRAYFORMULA(IF(added&lt;&gt;"""",""https://sealeddeck.tech/""&amp;added,"""")),"""")))"),"")</f>
        <v/>
      </c>
      <c r="I23" s="145" t="str">
        <f>IFERROR(__xludf.DUMMYFUNCTION("LET(changes,FILTER('Pool Changes'!$B:$D, 'Pool Changes'!$B:$B = $D23),added,FILTER(INDEX(changes,0,3),INDEX(changes,0,2)=""add pack""),IFERROR(TRANSPOSE(ARRAYFORMULA(IF(added&lt;&gt;"""",HYPERLINK(""https://sealeddeck.tech/""&amp;added,""Link""),""""))),""""))"),"")</f>
        <v/>
      </c>
      <c r="J23" s="146"/>
      <c r="K23" s="146"/>
      <c r="L23" s="146"/>
      <c r="M23" s="146"/>
      <c r="N23" s="146"/>
      <c r="O23" s="146"/>
      <c r="P23" s="146"/>
      <c r="Q23" s="146"/>
      <c r="R23" s="146"/>
      <c r="S23" s="146"/>
      <c r="T23" s="147"/>
      <c r="U23" s="147"/>
      <c r="V23" s="147"/>
      <c r="W23" s="147"/>
      <c r="X23" s="147"/>
      <c r="Y23" s="147"/>
      <c r="Z23" s="147"/>
      <c r="AA23" s="147"/>
      <c r="AB23" s="147"/>
      <c r="AC23" s="147"/>
      <c r="AD23" s="147"/>
      <c r="AE23" s="147"/>
      <c r="AF23" s="147"/>
      <c r="AG23" s="147"/>
      <c r="AH23" s="147"/>
      <c r="AI23" s="147"/>
    </row>
    <row r="24">
      <c r="A24" s="140"/>
      <c r="B24" s="140"/>
      <c r="C24" s="141" t="str">
        <f t="array" ref="C24">INDEX('Player Database'!$D:$D,MATCH($D24,'Player Database'!$B:$B,0))</f>
        <v>#N/A</v>
      </c>
      <c r="D24" s="142" t="str">
        <f t="shared" si="1"/>
        <v> - </v>
      </c>
      <c r="E24" s="143" t="str">
        <f t="array" ref="E24">XLOOKUP($D24,'Player Database'!$B$2:$B1009,'Player Database'!$I$2:$I1009)</f>
        <v>#N/A</v>
      </c>
      <c r="F24" s="143" t="str">
        <f t="array" ref="F24">XLOOKUP($D24,'Player Database'!$B$2:$B1009,'Player Database'!$J$2:$J1009)</f>
        <v>#N/A</v>
      </c>
      <c r="G24" s="144" t="str">
        <f t="array" ref="G24">IF(H24="","",IFERROR(
  "https://sealeddeck.tech/" &amp; INDEX('Pool Changes'!F:F,
    MAX(
      ROW('Pool Changes'!A:A) *
      ('Pool Changes'!B:B=D24) *
      ('Pool Changes'!F:F&lt;&gt;"")
    )
  ),
  ""
))</f>
        <v/>
      </c>
      <c r="H24" s="144" t="str">
        <f>IFERROR(__xludf.DUMMYFUNCTION("LET(changes,FILTER('Pool Changes'!$B:$D, 'Pool Changes'!$B:$B = $D24),added,FILTER(INDEX(changes,0,3),INDEX(changes,0,2)=""starting pool""),TRANSPOSE(IFERROR(ARRAYFORMULA(IF(added&lt;&gt;"""",""https://sealeddeck.tech/""&amp;added,"""")),"""")))"),"")</f>
        <v/>
      </c>
      <c r="I24" s="145" t="str">
        <f>IFERROR(__xludf.DUMMYFUNCTION("LET(changes,FILTER('Pool Changes'!$B:$D, 'Pool Changes'!$B:$B = $D24),added,FILTER(INDEX(changes,0,3),INDEX(changes,0,2)=""add pack""),IFERROR(TRANSPOSE(ARRAYFORMULA(IF(added&lt;&gt;"""",HYPERLINK(""https://sealeddeck.tech/""&amp;added,""Link""),""""))),""""))"),"")</f>
        <v/>
      </c>
      <c r="J24" s="146"/>
      <c r="K24" s="146"/>
      <c r="L24" s="146"/>
      <c r="M24" s="146"/>
      <c r="N24" s="146"/>
      <c r="O24" s="146"/>
      <c r="P24" s="146"/>
      <c r="Q24" s="146"/>
      <c r="R24" s="146"/>
      <c r="S24" s="146"/>
    </row>
    <row r="25">
      <c r="A25" s="140"/>
      <c r="B25" s="140"/>
      <c r="C25" s="141" t="str">
        <f t="array" ref="C25">INDEX('Player Database'!$D:$D,MATCH($D25,'Player Database'!$B:$B,0))</f>
        <v>#N/A</v>
      </c>
      <c r="D25" s="142" t="str">
        <f t="shared" si="1"/>
        <v> - </v>
      </c>
      <c r="E25" s="143" t="str">
        <f t="array" ref="E25">XLOOKUP($D25,'Player Database'!$B$2:$B1009,'Player Database'!$I$2:$I1009)</f>
        <v>#N/A</v>
      </c>
      <c r="F25" s="143" t="str">
        <f t="array" ref="F25">XLOOKUP($D25,'Player Database'!$B$2:$B1009,'Player Database'!$J$2:$J1009)</f>
        <v>#N/A</v>
      </c>
      <c r="G25" s="144" t="str">
        <f t="array" ref="G25">IF(H25="","",IFERROR(
  "https://sealeddeck.tech/" &amp; INDEX('Pool Changes'!F:F,
    MAX(
      ROW('Pool Changes'!A:A) *
      ('Pool Changes'!B:B=D25) *
      ('Pool Changes'!F:F&lt;&gt;"")
    )
  ),
  ""
))</f>
        <v/>
      </c>
      <c r="H25" s="144" t="str">
        <f>IFERROR(__xludf.DUMMYFUNCTION("LET(changes,FILTER('Pool Changes'!$B:$D, 'Pool Changes'!$B:$B = $D25),added,FILTER(INDEX(changes,0,3),INDEX(changes,0,2)=""starting pool""),TRANSPOSE(IFERROR(ARRAYFORMULA(IF(added&lt;&gt;"""",""https://sealeddeck.tech/""&amp;added,"""")),"""")))"),"")</f>
        <v/>
      </c>
      <c r="I25" s="145" t="str">
        <f>IFERROR(__xludf.DUMMYFUNCTION("LET(changes,FILTER('Pool Changes'!$B:$D, 'Pool Changes'!$B:$B = $D25),added,FILTER(INDEX(changes,0,3),INDEX(changes,0,2)=""add pack""),IFERROR(TRANSPOSE(ARRAYFORMULA(IF(added&lt;&gt;"""",HYPERLINK(""https://sealeddeck.tech/""&amp;added,""Link""),""""))),""""))"),"")</f>
        <v/>
      </c>
      <c r="J25" s="146"/>
      <c r="K25" s="146"/>
      <c r="L25" s="146"/>
      <c r="M25" s="146"/>
      <c r="N25" s="146"/>
      <c r="O25" s="146"/>
      <c r="P25" s="146"/>
      <c r="Q25" s="146"/>
      <c r="R25" s="146"/>
      <c r="S25" s="146"/>
      <c r="T25" s="147"/>
      <c r="U25" s="147"/>
      <c r="V25" s="147"/>
      <c r="W25" s="147"/>
      <c r="X25" s="147"/>
      <c r="Y25" s="147"/>
      <c r="Z25" s="147"/>
      <c r="AA25" s="147"/>
      <c r="AB25" s="147"/>
      <c r="AC25" s="147"/>
      <c r="AD25" s="147"/>
      <c r="AE25" s="147"/>
      <c r="AF25" s="147"/>
      <c r="AG25" s="147"/>
      <c r="AH25" s="147"/>
      <c r="AI25" s="147"/>
    </row>
    <row r="26">
      <c r="A26" s="140"/>
      <c r="B26" s="140"/>
      <c r="C26" s="141" t="str">
        <f t="array" ref="C26">INDEX('Player Database'!$D:$D,MATCH($D26,'Player Database'!$B:$B,0))</f>
        <v>#N/A</v>
      </c>
      <c r="D26" s="142" t="str">
        <f t="shared" si="1"/>
        <v> - </v>
      </c>
      <c r="E26" s="143" t="str">
        <f t="array" ref="E26">XLOOKUP($D26,'Player Database'!$B$2:$B1009,'Player Database'!$I$2:$I1009)</f>
        <v>#N/A</v>
      </c>
      <c r="F26" s="143" t="str">
        <f t="array" ref="F26">XLOOKUP($D26,'Player Database'!$B$2:$B1009,'Player Database'!$J$2:$J1009)</f>
        <v>#N/A</v>
      </c>
      <c r="G26" s="144" t="str">
        <f t="array" ref="G26">IF(H26="","",IFERROR(
  "https://sealeddeck.tech/" &amp; INDEX('Pool Changes'!F:F,
    MAX(
      ROW('Pool Changes'!A:A) *
      ('Pool Changes'!B:B=D26) *
      ('Pool Changes'!F:F&lt;&gt;"")
    )
  ),
  ""
))</f>
        <v/>
      </c>
      <c r="H26" s="144" t="str">
        <f>IFERROR(__xludf.DUMMYFUNCTION("LET(changes,FILTER('Pool Changes'!$B:$D, 'Pool Changes'!$B:$B = $D26),added,FILTER(INDEX(changes,0,3),INDEX(changes,0,2)=""starting pool""),TRANSPOSE(IFERROR(ARRAYFORMULA(IF(added&lt;&gt;"""",""https://sealeddeck.tech/""&amp;added,"""")),"""")))"),"")</f>
        <v/>
      </c>
      <c r="I26" s="145" t="str">
        <f>IFERROR(__xludf.DUMMYFUNCTION("LET(changes,FILTER('Pool Changes'!$B:$D, 'Pool Changes'!$B:$B = $D26),added,FILTER(INDEX(changes,0,3),INDEX(changes,0,2)=""add pack""),IFERROR(TRANSPOSE(ARRAYFORMULA(IF(added&lt;&gt;"""",HYPERLINK(""https://sealeddeck.tech/""&amp;added,""Link""),""""))),""""))"),"")</f>
        <v/>
      </c>
      <c r="J26" s="146"/>
      <c r="K26" s="146"/>
      <c r="L26" s="146"/>
      <c r="M26" s="146"/>
      <c r="N26" s="146"/>
      <c r="O26" s="146"/>
      <c r="P26" s="146"/>
      <c r="Q26" s="146"/>
      <c r="R26" s="146"/>
      <c r="S26" s="146"/>
      <c r="T26" s="147"/>
      <c r="U26" s="147"/>
      <c r="V26" s="147"/>
      <c r="W26" s="147"/>
      <c r="X26" s="147"/>
      <c r="Y26" s="147"/>
      <c r="Z26" s="147"/>
      <c r="AA26" s="147"/>
      <c r="AB26" s="147"/>
      <c r="AC26" s="147"/>
      <c r="AD26" s="147"/>
      <c r="AE26" s="147"/>
      <c r="AF26" s="147"/>
      <c r="AG26" s="147"/>
      <c r="AH26" s="147"/>
      <c r="AI26" s="147"/>
    </row>
    <row r="27">
      <c r="A27" s="140"/>
      <c r="B27" s="140"/>
      <c r="C27" s="141" t="str">
        <f t="array" ref="C27">INDEX('Player Database'!$D:$D,MATCH($D27,'Player Database'!$B:$B,0))</f>
        <v>#N/A</v>
      </c>
      <c r="D27" s="142" t="str">
        <f t="shared" si="1"/>
        <v> - </v>
      </c>
      <c r="E27" s="143" t="str">
        <f t="array" ref="E27">XLOOKUP($D27,'Player Database'!$B$2:$B1009,'Player Database'!$I$2:$I1009)</f>
        <v>#N/A</v>
      </c>
      <c r="F27" s="143" t="str">
        <f t="array" ref="F27">XLOOKUP($D27,'Player Database'!$B$2:$B1009,'Player Database'!$J$2:$J1009)</f>
        <v>#N/A</v>
      </c>
      <c r="G27" s="144" t="str">
        <f t="array" ref="G27">IF(H27="","",IFERROR(
  "https://sealeddeck.tech/" &amp; INDEX('Pool Changes'!F:F,
    MAX(
      ROW('Pool Changes'!A:A) *
      ('Pool Changes'!B:B=D27) *
      ('Pool Changes'!F:F&lt;&gt;"")
    )
  ),
  ""
))</f>
        <v/>
      </c>
      <c r="H27" s="144" t="str">
        <f>IFERROR(__xludf.DUMMYFUNCTION("LET(changes,FILTER('Pool Changes'!$B:$D, 'Pool Changes'!$B:$B = $D27),added,FILTER(INDEX(changes,0,3),INDEX(changes,0,2)=""starting pool""),TRANSPOSE(IFERROR(ARRAYFORMULA(IF(added&lt;&gt;"""",""https://sealeddeck.tech/""&amp;added,"""")),"""")))"),"")</f>
        <v/>
      </c>
      <c r="I27" s="145" t="str">
        <f>IFERROR(__xludf.DUMMYFUNCTION("LET(changes,FILTER('Pool Changes'!$B:$D, 'Pool Changes'!$B:$B = $D27),added,FILTER(INDEX(changes,0,3),INDEX(changes,0,2)=""add pack""),IFERROR(TRANSPOSE(ARRAYFORMULA(IF(added&lt;&gt;"""",HYPERLINK(""https://sealeddeck.tech/""&amp;added,""Link""),""""))),""""))"),"")</f>
        <v/>
      </c>
      <c r="J27" s="146"/>
      <c r="K27" s="146"/>
      <c r="L27" s="146"/>
      <c r="M27" s="146"/>
      <c r="N27" s="146"/>
      <c r="O27" s="146"/>
      <c r="P27" s="146"/>
      <c r="Q27" s="146"/>
      <c r="R27" s="146"/>
      <c r="S27" s="146"/>
      <c r="T27" s="147"/>
      <c r="U27" s="147"/>
      <c r="V27" s="147"/>
      <c r="W27" s="147"/>
      <c r="X27" s="147"/>
      <c r="Y27" s="147"/>
      <c r="Z27" s="147"/>
      <c r="AA27" s="147"/>
      <c r="AB27" s="147"/>
      <c r="AC27" s="147"/>
      <c r="AD27" s="147"/>
      <c r="AE27" s="147"/>
      <c r="AF27" s="147"/>
      <c r="AG27" s="147"/>
      <c r="AH27" s="147"/>
      <c r="AI27" s="147"/>
    </row>
    <row r="28">
      <c r="A28" s="140"/>
      <c r="B28" s="140"/>
      <c r="C28" s="141" t="str">
        <f t="array" ref="C28">INDEX('Player Database'!$D:$D,MATCH($D28,'Player Database'!$B:$B,0))</f>
        <v>#N/A</v>
      </c>
      <c r="D28" s="142" t="str">
        <f t="shared" si="1"/>
        <v> - </v>
      </c>
      <c r="E28" s="143" t="str">
        <f t="array" ref="E28">XLOOKUP($D28,'Player Database'!$B$2:$B1009,'Player Database'!$I$2:$I1009)</f>
        <v>#N/A</v>
      </c>
      <c r="F28" s="143" t="str">
        <f t="array" ref="F28">XLOOKUP($D28,'Player Database'!$B$2:$B1009,'Player Database'!$J$2:$J1009)</f>
        <v>#N/A</v>
      </c>
      <c r="G28" s="144" t="str">
        <f t="array" ref="G28">IF(H28="","",IFERROR(
  "https://sealeddeck.tech/" &amp; INDEX('Pool Changes'!F:F,
    MAX(
      ROW('Pool Changes'!A:A) *
      ('Pool Changes'!B:B=D28) *
      ('Pool Changes'!F:F&lt;&gt;"")
    )
  ),
  ""
))</f>
        <v/>
      </c>
      <c r="H28" s="144" t="str">
        <f>IFERROR(__xludf.DUMMYFUNCTION("LET(changes,FILTER('Pool Changes'!$B:$D, 'Pool Changes'!$B:$B = $D28),added,FILTER(INDEX(changes,0,3),INDEX(changes,0,2)=""starting pool""),TRANSPOSE(IFERROR(ARRAYFORMULA(IF(added&lt;&gt;"""",""https://sealeddeck.tech/""&amp;added,"""")),"""")))"),"")</f>
        <v/>
      </c>
      <c r="I28" s="145" t="str">
        <f>IFERROR(__xludf.DUMMYFUNCTION("LET(changes,FILTER('Pool Changes'!$B:$D, 'Pool Changes'!$B:$B = $D28),added,FILTER(INDEX(changes,0,3),INDEX(changes,0,2)=""add pack""),IFERROR(TRANSPOSE(ARRAYFORMULA(IF(added&lt;&gt;"""",HYPERLINK(""https://sealeddeck.tech/""&amp;added,""Link""),""""))),""""))"),"")</f>
        <v/>
      </c>
      <c r="J28" s="146"/>
      <c r="K28" s="146"/>
      <c r="L28" s="146"/>
      <c r="M28" s="146"/>
      <c r="N28" s="146"/>
      <c r="O28" s="146"/>
      <c r="P28" s="146"/>
      <c r="Q28" s="146"/>
      <c r="R28" s="146"/>
      <c r="S28" s="146"/>
      <c r="T28" s="147"/>
      <c r="U28" s="147"/>
      <c r="V28" s="147"/>
      <c r="W28" s="149" t="s">
        <v>459</v>
      </c>
      <c r="X28" s="147"/>
      <c r="Y28" s="147"/>
      <c r="Z28" s="147"/>
      <c r="AA28" s="147"/>
      <c r="AB28" s="147"/>
      <c r="AC28" s="147"/>
      <c r="AD28" s="147"/>
      <c r="AE28" s="147"/>
      <c r="AF28" s="147"/>
      <c r="AG28" s="147"/>
      <c r="AH28" s="147"/>
      <c r="AI28" s="147"/>
    </row>
    <row r="29">
      <c r="A29" s="140"/>
      <c r="B29" s="140"/>
      <c r="C29" s="141" t="str">
        <f t="array" ref="C29">INDEX('Player Database'!$D:$D,MATCH($D29,'Player Database'!$B:$B,0))</f>
        <v>#N/A</v>
      </c>
      <c r="D29" s="142" t="str">
        <f t="shared" si="1"/>
        <v> - </v>
      </c>
      <c r="E29" s="143" t="str">
        <f t="array" ref="E29">XLOOKUP($D29,'Player Database'!$B$2:$B1009,'Player Database'!$I$2:$I1009)</f>
        <v>#N/A</v>
      </c>
      <c r="F29" s="143" t="str">
        <f t="array" ref="F29">XLOOKUP($D29,'Player Database'!$B$2:$B1009,'Player Database'!$J$2:$J1009)</f>
        <v>#N/A</v>
      </c>
      <c r="G29" s="144" t="str">
        <f t="array" ref="G29">IF(H29="","",IFERROR(
  "https://sealeddeck.tech/" &amp; INDEX('Pool Changes'!F:F,
    MAX(
      ROW('Pool Changes'!A:A) *
      ('Pool Changes'!B:B=D29) *
      ('Pool Changes'!F:F&lt;&gt;"")
    )
  ),
  ""
))</f>
        <v/>
      </c>
      <c r="H29" s="144" t="str">
        <f>IFERROR(__xludf.DUMMYFUNCTION("LET(changes,FILTER('Pool Changes'!$B:$D, 'Pool Changes'!$B:$B = $D29),added,FILTER(INDEX(changes,0,3),INDEX(changes,0,2)=""starting pool""),TRANSPOSE(IFERROR(ARRAYFORMULA(IF(added&lt;&gt;"""",""https://sealeddeck.tech/""&amp;added,"""")),"""")))"),"")</f>
        <v/>
      </c>
      <c r="I29" s="145" t="str">
        <f>IFERROR(__xludf.DUMMYFUNCTION("LET(changes,FILTER('Pool Changes'!$B:$D, 'Pool Changes'!$B:$B = $D29),added,FILTER(INDEX(changes,0,3),INDEX(changes,0,2)=""add pack""),IFERROR(TRANSPOSE(ARRAYFORMULA(IF(added&lt;&gt;"""",HYPERLINK(""https://sealeddeck.tech/""&amp;added,""Link""),""""))),""""))"),"")</f>
        <v/>
      </c>
      <c r="J29" s="146"/>
      <c r="K29" s="146"/>
      <c r="L29" s="146"/>
      <c r="M29" s="146"/>
      <c r="N29" s="146"/>
      <c r="O29" s="146"/>
      <c r="P29" s="146"/>
      <c r="Q29" s="146"/>
      <c r="R29" s="146"/>
      <c r="S29" s="146"/>
      <c r="T29" s="147"/>
      <c r="U29" s="147"/>
      <c r="V29" s="147"/>
      <c r="W29" s="149" t="s">
        <v>459</v>
      </c>
      <c r="X29" s="147"/>
      <c r="Y29" s="147"/>
      <c r="Z29" s="147"/>
      <c r="AA29" s="147"/>
      <c r="AB29" s="147"/>
      <c r="AC29" s="147"/>
      <c r="AD29" s="147"/>
      <c r="AE29" s="147"/>
      <c r="AF29" s="147"/>
      <c r="AG29" s="147"/>
      <c r="AH29" s="147"/>
      <c r="AI29" s="147"/>
    </row>
    <row r="30">
      <c r="A30" s="140"/>
      <c r="B30" s="140"/>
      <c r="C30" s="141" t="str">
        <f t="array" ref="C30">INDEX('Player Database'!$D:$D,MATCH($D30,'Player Database'!$B:$B,0))</f>
        <v>#N/A</v>
      </c>
      <c r="D30" s="142" t="str">
        <f t="shared" si="1"/>
        <v> - </v>
      </c>
      <c r="E30" s="143" t="str">
        <f t="array" ref="E30">XLOOKUP($D30,'Player Database'!$B$2:$B1009,'Player Database'!$I$2:$I1009)</f>
        <v>#N/A</v>
      </c>
      <c r="F30" s="143" t="str">
        <f t="array" ref="F30">XLOOKUP($D30,'Player Database'!$B$2:$B1009,'Player Database'!$J$2:$J1009)</f>
        <v>#N/A</v>
      </c>
      <c r="G30" s="144" t="str">
        <f t="array" ref="G30">IF(H30="","",IFERROR(
  "https://sealeddeck.tech/" &amp; INDEX('Pool Changes'!F:F,
    MAX(
      ROW('Pool Changes'!A:A) *
      ('Pool Changes'!B:B=D30) *
      ('Pool Changes'!F:F&lt;&gt;"")
    )
  ),
  ""
))</f>
        <v/>
      </c>
      <c r="H30" s="144" t="str">
        <f>IFERROR(__xludf.DUMMYFUNCTION("LET(changes,FILTER('Pool Changes'!$B:$D, 'Pool Changes'!$B:$B = $D30),added,FILTER(INDEX(changes,0,3),INDEX(changes,0,2)=""starting pool""),TRANSPOSE(IFERROR(ARRAYFORMULA(IF(added&lt;&gt;"""",""https://sealeddeck.tech/""&amp;added,"""")),"""")))"),"")</f>
        <v/>
      </c>
      <c r="I30" s="145" t="str">
        <f>IFERROR(__xludf.DUMMYFUNCTION("LET(changes,FILTER('Pool Changes'!$B:$D, 'Pool Changes'!$B:$B = $D30),added,FILTER(INDEX(changes,0,3),INDEX(changes,0,2)=""add pack""),IFERROR(TRANSPOSE(ARRAYFORMULA(IF(added&lt;&gt;"""",HYPERLINK(""https://sealeddeck.tech/""&amp;added,""Link""),""""))),""""))"),"")</f>
        <v/>
      </c>
      <c r="J30" s="146"/>
      <c r="K30" s="146"/>
      <c r="L30" s="146"/>
      <c r="M30" s="146"/>
      <c r="N30" s="146"/>
      <c r="O30" s="146"/>
      <c r="P30" s="146"/>
      <c r="Q30" s="146"/>
      <c r="R30" s="146"/>
      <c r="S30" s="146"/>
      <c r="T30" s="147"/>
      <c r="U30" s="147"/>
      <c r="V30" s="147"/>
      <c r="W30" s="149" t="s">
        <v>459</v>
      </c>
      <c r="X30" s="147"/>
      <c r="Y30" s="147"/>
      <c r="Z30" s="147"/>
      <c r="AA30" s="147"/>
      <c r="AB30" s="147"/>
      <c r="AC30" s="147"/>
      <c r="AD30" s="147"/>
      <c r="AE30" s="147"/>
      <c r="AF30" s="147"/>
      <c r="AG30" s="147"/>
      <c r="AH30" s="147"/>
      <c r="AI30" s="147"/>
    </row>
    <row r="31">
      <c r="A31" s="140"/>
      <c r="B31" s="140"/>
      <c r="C31" s="141" t="str">
        <f t="array" ref="C31">INDEX('Player Database'!$D:$D,MATCH($D31,'Player Database'!$B:$B,0))</f>
        <v>#N/A</v>
      </c>
      <c r="D31" s="142" t="str">
        <f t="shared" si="1"/>
        <v> - </v>
      </c>
      <c r="E31" s="143" t="str">
        <f t="array" ref="E31">XLOOKUP($D31,'Player Database'!$B$2:$B1009,'Player Database'!$I$2:$I1009)</f>
        <v>#N/A</v>
      </c>
      <c r="F31" s="143" t="str">
        <f t="array" ref="F31">XLOOKUP($D31,'Player Database'!$B$2:$B1009,'Player Database'!$J$2:$J1009)</f>
        <v>#N/A</v>
      </c>
      <c r="G31" s="144" t="str">
        <f t="array" ref="G31">IF(H31="","",IFERROR(
  "https://sealeddeck.tech/" &amp; INDEX('Pool Changes'!F:F,
    MAX(
      ROW('Pool Changes'!A:A) *
      ('Pool Changes'!B:B=D31) *
      ('Pool Changes'!F:F&lt;&gt;"")
    )
  ),
  ""
))</f>
        <v/>
      </c>
      <c r="H31" s="144" t="str">
        <f>IFERROR(__xludf.DUMMYFUNCTION("LET(changes,FILTER('Pool Changes'!$B:$D, 'Pool Changes'!$B:$B = $D31),added,FILTER(INDEX(changes,0,3),INDEX(changes,0,2)=""starting pool""),TRANSPOSE(IFERROR(ARRAYFORMULA(IF(added&lt;&gt;"""",""https://sealeddeck.tech/""&amp;added,"""")),"""")))"),"")</f>
        <v/>
      </c>
      <c r="I31" s="145" t="str">
        <f>IFERROR(__xludf.DUMMYFUNCTION("LET(changes,FILTER('Pool Changes'!$B:$D, 'Pool Changes'!$B:$B = $D31),added,FILTER(INDEX(changes,0,3),INDEX(changes,0,2)=""add pack""),IFERROR(TRANSPOSE(ARRAYFORMULA(IF(added&lt;&gt;"""",HYPERLINK(""https://sealeddeck.tech/""&amp;added,""Link""),""""))),""""))"),"")</f>
        <v/>
      </c>
      <c r="J31" s="146"/>
      <c r="K31" s="146"/>
      <c r="L31" s="146"/>
      <c r="M31" s="146"/>
      <c r="N31" s="146"/>
      <c r="O31" s="146"/>
      <c r="P31" s="146"/>
      <c r="Q31" s="146"/>
      <c r="R31" s="146"/>
      <c r="S31" s="146"/>
      <c r="T31" s="147"/>
      <c r="U31" s="147"/>
      <c r="V31" s="147"/>
      <c r="W31" s="147"/>
      <c r="X31" s="147"/>
      <c r="Y31" s="147"/>
      <c r="Z31" s="147"/>
      <c r="AA31" s="147"/>
      <c r="AB31" s="147"/>
      <c r="AC31" s="147"/>
      <c r="AD31" s="147"/>
      <c r="AE31" s="147"/>
      <c r="AF31" s="147"/>
      <c r="AG31" s="147"/>
      <c r="AH31" s="147"/>
      <c r="AI31" s="147"/>
    </row>
    <row r="32">
      <c r="A32" s="140"/>
      <c r="B32" s="140"/>
      <c r="C32" s="141" t="str">
        <f t="array" ref="C32">INDEX('Player Database'!$D:$D,MATCH($D32,'Player Database'!$B:$B,0))</f>
        <v>#N/A</v>
      </c>
      <c r="D32" s="142" t="str">
        <f t="shared" si="1"/>
        <v> - </v>
      </c>
      <c r="E32" s="143" t="str">
        <f t="array" ref="E32">XLOOKUP($D32,'Player Database'!$B$2:$B1009,'Player Database'!$I$2:$I1009)</f>
        <v>#N/A</v>
      </c>
      <c r="F32" s="143" t="str">
        <f t="array" ref="F32">XLOOKUP($D32,'Player Database'!$B$2:$B1009,'Player Database'!$J$2:$J1009)</f>
        <v>#N/A</v>
      </c>
      <c r="G32" s="144" t="str">
        <f t="array" ref="G32">IF(H32="","",IFERROR(
  "https://sealeddeck.tech/" &amp; INDEX('Pool Changes'!F:F,
    MAX(
      ROW('Pool Changes'!A:A) *
      ('Pool Changes'!B:B=D32) *
      ('Pool Changes'!F:F&lt;&gt;"")
    )
  ),
  ""
))</f>
        <v/>
      </c>
      <c r="H32" s="144" t="str">
        <f>IFERROR(__xludf.DUMMYFUNCTION("LET(changes,FILTER('Pool Changes'!$B:$D, 'Pool Changes'!$B:$B = $D32),added,FILTER(INDEX(changes,0,3),INDEX(changes,0,2)=""starting pool""),TRANSPOSE(IFERROR(ARRAYFORMULA(IF(added&lt;&gt;"""",""https://sealeddeck.tech/""&amp;added,"""")),"""")))"),"")</f>
        <v/>
      </c>
      <c r="I32" s="145" t="str">
        <f>IFERROR(__xludf.DUMMYFUNCTION("LET(changes,FILTER('Pool Changes'!$B:$D, 'Pool Changes'!$B:$B = $D32),added,FILTER(INDEX(changes,0,3),INDEX(changes,0,2)=""add pack""),IFERROR(TRANSPOSE(ARRAYFORMULA(IF(added&lt;&gt;"""",HYPERLINK(""https://sealeddeck.tech/""&amp;added,""Link""),""""))),""""))"),"")</f>
        <v/>
      </c>
      <c r="J32" s="146"/>
      <c r="K32" s="146"/>
      <c r="L32" s="146"/>
      <c r="M32" s="146"/>
      <c r="N32" s="146"/>
      <c r="O32" s="146"/>
      <c r="P32" s="146"/>
      <c r="Q32" s="146"/>
      <c r="R32" s="146"/>
      <c r="S32" s="146"/>
      <c r="T32" s="147"/>
      <c r="U32" s="147"/>
      <c r="V32" s="147"/>
      <c r="W32" s="149" t="s">
        <v>459</v>
      </c>
      <c r="X32" s="147"/>
      <c r="Y32" s="147"/>
      <c r="Z32" s="147"/>
      <c r="AA32" s="147"/>
      <c r="AB32" s="147"/>
      <c r="AC32" s="147"/>
      <c r="AD32" s="147"/>
      <c r="AE32" s="147"/>
      <c r="AF32" s="147"/>
      <c r="AG32" s="147"/>
      <c r="AH32" s="147"/>
      <c r="AI32" s="147"/>
    </row>
    <row r="33">
      <c r="A33" s="140"/>
      <c r="B33" s="140"/>
      <c r="C33" s="141" t="str">
        <f t="array" ref="C33">INDEX('Player Database'!$D:$D,MATCH($D33,'Player Database'!$B:$B,0))</f>
        <v>#N/A</v>
      </c>
      <c r="D33" s="142" t="str">
        <f t="shared" si="1"/>
        <v> - </v>
      </c>
      <c r="E33" s="143" t="str">
        <f t="array" ref="E33">XLOOKUP($D33,'Player Database'!$B$2:$B1009,'Player Database'!$I$2:$I1009)</f>
        <v>#N/A</v>
      </c>
      <c r="F33" s="143" t="str">
        <f t="array" ref="F33">XLOOKUP($D33,'Player Database'!$B$2:$B1009,'Player Database'!$J$2:$J1009)</f>
        <v>#N/A</v>
      </c>
      <c r="G33" s="144" t="str">
        <f t="array" ref="G33">IF(H33="","",IFERROR(
  "https://sealeddeck.tech/" &amp; INDEX('Pool Changes'!F:F,
    MAX(
      ROW('Pool Changes'!A:A) *
      ('Pool Changes'!B:B=D33) *
      ('Pool Changes'!F:F&lt;&gt;"")
    )
  ),
  ""
))</f>
        <v/>
      </c>
      <c r="H33" s="144" t="str">
        <f>IFERROR(__xludf.DUMMYFUNCTION("LET(changes,FILTER('Pool Changes'!$B:$D, 'Pool Changes'!$B:$B = $D33),added,FILTER(INDEX(changes,0,3),INDEX(changes,0,2)=""starting pool""),TRANSPOSE(IFERROR(ARRAYFORMULA(IF(added&lt;&gt;"""",""https://sealeddeck.tech/""&amp;added,"""")),"""")))"),"")</f>
        <v/>
      </c>
      <c r="I33" s="145" t="str">
        <f>IFERROR(__xludf.DUMMYFUNCTION("LET(changes,FILTER('Pool Changes'!$B:$D, 'Pool Changes'!$B:$B = $D33),added,FILTER(INDEX(changes,0,3),INDEX(changes,0,2)=""add pack""),IFERROR(TRANSPOSE(ARRAYFORMULA(IF(added&lt;&gt;"""",HYPERLINK(""https://sealeddeck.tech/""&amp;added,""Link""),""""))),""""))"),"")</f>
        <v/>
      </c>
      <c r="J33" s="146"/>
      <c r="K33" s="146"/>
      <c r="L33" s="146"/>
      <c r="M33" s="146"/>
      <c r="N33" s="146"/>
      <c r="O33" s="146"/>
      <c r="P33" s="146"/>
      <c r="Q33" s="146"/>
      <c r="R33" s="146"/>
      <c r="S33" s="146"/>
      <c r="T33" s="147"/>
      <c r="U33" s="147"/>
      <c r="V33" s="147"/>
      <c r="W33" s="147"/>
      <c r="X33" s="147"/>
      <c r="Y33" s="147"/>
      <c r="Z33" s="147"/>
      <c r="AA33" s="147"/>
      <c r="AB33" s="147"/>
      <c r="AC33" s="147"/>
      <c r="AD33" s="147"/>
      <c r="AE33" s="147"/>
      <c r="AF33" s="147"/>
      <c r="AG33" s="147"/>
      <c r="AH33" s="147"/>
      <c r="AI33" s="147"/>
    </row>
    <row r="34">
      <c r="A34" s="140"/>
      <c r="B34" s="140"/>
      <c r="C34" s="141" t="str">
        <f t="array" ref="C34">INDEX('Player Database'!$D:$D,MATCH($D34,'Player Database'!$B:$B,0))</f>
        <v>#N/A</v>
      </c>
      <c r="D34" s="142" t="str">
        <f t="shared" si="1"/>
        <v> - </v>
      </c>
      <c r="E34" s="143" t="str">
        <f t="array" ref="E34">XLOOKUP($D34,'Player Database'!$B$2:$B1009,'Player Database'!$I$2:$I1009)</f>
        <v>#N/A</v>
      </c>
      <c r="F34" s="143" t="str">
        <f t="array" ref="F34">XLOOKUP($D34,'Player Database'!$B$2:$B1009,'Player Database'!$J$2:$J1009)</f>
        <v>#N/A</v>
      </c>
      <c r="G34" s="144" t="str">
        <f t="array" ref="G34">IF(H34="","",IFERROR(
  "https://sealeddeck.tech/" &amp; INDEX('Pool Changes'!F:F,
    MAX(
      ROW('Pool Changes'!A:A) *
      ('Pool Changes'!B:B=D34) *
      ('Pool Changes'!F:F&lt;&gt;"")
    )
  ),
  ""
))</f>
        <v/>
      </c>
      <c r="H34" s="144" t="str">
        <f>IFERROR(__xludf.DUMMYFUNCTION("LET(changes,FILTER('Pool Changes'!$B:$D, 'Pool Changes'!$B:$B = $D34),added,FILTER(INDEX(changes,0,3),INDEX(changes,0,2)=""starting pool""),TRANSPOSE(IFERROR(ARRAYFORMULA(IF(added&lt;&gt;"""",""https://sealeddeck.tech/""&amp;added,"""")),"""")))"),"")</f>
        <v/>
      </c>
      <c r="I34" s="145" t="str">
        <f>IFERROR(__xludf.DUMMYFUNCTION("LET(changes,FILTER('Pool Changes'!$B:$D, 'Pool Changes'!$B:$B = $D34),added,FILTER(INDEX(changes,0,3),INDEX(changes,0,2)=""add pack""),IFERROR(TRANSPOSE(ARRAYFORMULA(IF(added&lt;&gt;"""",HYPERLINK(""https://sealeddeck.tech/""&amp;added,""Link""),""""))),""""))"),"")</f>
        <v/>
      </c>
      <c r="J34" s="146"/>
      <c r="K34" s="146"/>
      <c r="L34" s="146"/>
      <c r="M34" s="146"/>
      <c r="N34" s="146"/>
      <c r="O34" s="146"/>
      <c r="P34" s="146"/>
      <c r="Q34" s="146"/>
      <c r="R34" s="146"/>
      <c r="S34" s="146"/>
      <c r="T34" s="147"/>
      <c r="U34" s="147"/>
      <c r="V34" s="147"/>
      <c r="W34" s="147"/>
      <c r="X34" s="147"/>
      <c r="Y34" s="147"/>
      <c r="Z34" s="147"/>
      <c r="AA34" s="147"/>
      <c r="AB34" s="147"/>
      <c r="AC34" s="147"/>
      <c r="AD34" s="147"/>
      <c r="AE34" s="147"/>
      <c r="AF34" s="147"/>
      <c r="AG34" s="147"/>
      <c r="AH34" s="147"/>
      <c r="AI34" s="147"/>
    </row>
    <row r="35">
      <c r="A35" s="140"/>
      <c r="B35" s="140"/>
      <c r="C35" s="141" t="str">
        <f t="array" ref="C35">INDEX('Player Database'!$D:$D,MATCH($D35,'Player Database'!$B:$B,0))</f>
        <v>#N/A</v>
      </c>
      <c r="D35" s="142" t="str">
        <f t="shared" si="1"/>
        <v> - </v>
      </c>
      <c r="E35" s="143" t="str">
        <f t="array" ref="E35">XLOOKUP($D35,'Player Database'!$B$2:$B1009,'Player Database'!$I$2:$I1009)</f>
        <v>#N/A</v>
      </c>
      <c r="F35" s="143" t="str">
        <f t="array" ref="F35">XLOOKUP($D35,'Player Database'!$B$2:$B1009,'Player Database'!$J$2:$J1009)</f>
        <v>#N/A</v>
      </c>
      <c r="G35" s="144" t="str">
        <f t="array" ref="G35">IF(H35="","",IFERROR(
  "https://sealeddeck.tech/" &amp; INDEX('Pool Changes'!F:F,
    MAX(
      ROW('Pool Changes'!A:A) *
      ('Pool Changes'!B:B=D35) *
      ('Pool Changes'!F:F&lt;&gt;"")
    )
  ),
  ""
))</f>
        <v/>
      </c>
      <c r="H35" s="144" t="str">
        <f>IFERROR(__xludf.DUMMYFUNCTION("LET(changes,FILTER('Pool Changes'!$B:$D, 'Pool Changes'!$B:$B = $D35),added,FILTER(INDEX(changes,0,3),INDEX(changes,0,2)=""starting pool""),TRANSPOSE(IFERROR(ARRAYFORMULA(IF(added&lt;&gt;"""",""https://sealeddeck.tech/""&amp;added,"""")),"""")))"),"")</f>
        <v/>
      </c>
      <c r="I35" s="145" t="str">
        <f>IFERROR(__xludf.DUMMYFUNCTION("LET(changes,FILTER('Pool Changes'!$B:$D, 'Pool Changes'!$B:$B = $D35),added,FILTER(INDEX(changes,0,3),INDEX(changes,0,2)=""add pack""),IFERROR(TRANSPOSE(ARRAYFORMULA(IF(added&lt;&gt;"""",HYPERLINK(""https://sealeddeck.tech/""&amp;added,""Link""),""""))),""""))"),"")</f>
        <v/>
      </c>
      <c r="J35" s="146"/>
      <c r="K35" s="146"/>
      <c r="L35" s="146"/>
      <c r="M35" s="146"/>
      <c r="N35" s="146"/>
      <c r="O35" s="146"/>
      <c r="P35" s="146"/>
      <c r="Q35" s="146"/>
      <c r="R35" s="146"/>
      <c r="S35" s="146"/>
      <c r="T35" s="147"/>
      <c r="U35" s="147"/>
      <c r="V35" s="147"/>
      <c r="W35" s="147"/>
      <c r="X35" s="147"/>
      <c r="Y35" s="147"/>
      <c r="Z35" s="147"/>
      <c r="AA35" s="147"/>
      <c r="AB35" s="147"/>
      <c r="AC35" s="147"/>
      <c r="AD35" s="147"/>
      <c r="AE35" s="147"/>
      <c r="AF35" s="147"/>
      <c r="AG35" s="147"/>
      <c r="AH35" s="147"/>
      <c r="AI35" s="147"/>
    </row>
    <row r="36">
      <c r="A36" s="140"/>
      <c r="B36" s="140"/>
      <c r="C36" s="141" t="str">
        <f t="array" ref="C36">INDEX('Player Database'!$D:$D,MATCH($D36,'Player Database'!$B:$B,0))</f>
        <v>#N/A</v>
      </c>
      <c r="D36" s="142" t="str">
        <f t="shared" si="1"/>
        <v> - </v>
      </c>
      <c r="E36" s="143" t="str">
        <f t="array" ref="E36">XLOOKUP($D36,'Player Database'!$B$2:$B1009,'Player Database'!$I$2:$I1009)</f>
        <v>#N/A</v>
      </c>
      <c r="F36" s="143" t="str">
        <f t="array" ref="F36">XLOOKUP($D36,'Player Database'!$B$2:$B1009,'Player Database'!$J$2:$J1009)</f>
        <v>#N/A</v>
      </c>
      <c r="G36" s="144" t="str">
        <f t="array" ref="G36">IF(H36="","",IFERROR(
  "https://sealeddeck.tech/" &amp; INDEX('Pool Changes'!F:F,
    MAX(
      ROW('Pool Changes'!A:A) *
      ('Pool Changes'!B:B=D36) *
      ('Pool Changes'!F:F&lt;&gt;"")
    )
  ),
  ""
))</f>
        <v/>
      </c>
      <c r="H36" s="144" t="str">
        <f>IFERROR(__xludf.DUMMYFUNCTION("LET(changes,FILTER('Pool Changes'!$B:$D, 'Pool Changes'!$B:$B = $D36),added,FILTER(INDEX(changes,0,3),INDEX(changes,0,2)=""starting pool""),TRANSPOSE(IFERROR(ARRAYFORMULA(IF(added&lt;&gt;"""",""https://sealeddeck.tech/""&amp;added,"""")),"""")))"),"")</f>
        <v/>
      </c>
      <c r="I36" s="145" t="str">
        <f>IFERROR(__xludf.DUMMYFUNCTION("LET(changes,FILTER('Pool Changes'!$B:$D, 'Pool Changes'!$B:$B = $D36),added,FILTER(INDEX(changes,0,3),INDEX(changes,0,2)=""add pack""),IFERROR(TRANSPOSE(ARRAYFORMULA(IF(added&lt;&gt;"""",HYPERLINK(""https://sealeddeck.tech/""&amp;added,""Link""),""""))),""""))"),"")</f>
        <v/>
      </c>
      <c r="J36" s="146"/>
      <c r="K36" s="146"/>
      <c r="L36" s="146"/>
      <c r="M36" s="146"/>
      <c r="N36" s="146"/>
      <c r="O36" s="146"/>
      <c r="P36" s="146"/>
      <c r="Q36" s="146"/>
      <c r="R36" s="146"/>
      <c r="S36" s="146"/>
      <c r="T36" s="147"/>
      <c r="U36" s="147"/>
      <c r="V36" s="147"/>
      <c r="W36" s="147"/>
      <c r="X36" s="147"/>
      <c r="Y36" s="147"/>
      <c r="Z36" s="147"/>
      <c r="AA36" s="147"/>
      <c r="AB36" s="147"/>
      <c r="AC36" s="147"/>
      <c r="AD36" s="147"/>
      <c r="AE36" s="147"/>
      <c r="AF36" s="147"/>
      <c r="AG36" s="147"/>
      <c r="AH36" s="147"/>
      <c r="AI36" s="147"/>
    </row>
    <row r="37">
      <c r="A37" s="140"/>
      <c r="B37" s="140"/>
      <c r="C37" s="141" t="str">
        <f t="array" ref="C37">INDEX('Player Database'!$D:$D,MATCH($D37,'Player Database'!$B:$B,0))</f>
        <v>#N/A</v>
      </c>
      <c r="D37" s="142" t="str">
        <f t="shared" si="1"/>
        <v> - </v>
      </c>
      <c r="E37" s="143" t="str">
        <f t="array" ref="E37">XLOOKUP($D37,'Player Database'!$B$2:$B1009,'Player Database'!$I$2:$I1009)</f>
        <v>#N/A</v>
      </c>
      <c r="F37" s="143" t="str">
        <f t="array" ref="F37">XLOOKUP($D37,'Player Database'!$B$2:$B1009,'Player Database'!$J$2:$J1009)</f>
        <v>#N/A</v>
      </c>
      <c r="G37" s="144" t="str">
        <f t="array" ref="G37">IF(H37="","",IFERROR(
  "https://sealeddeck.tech/" &amp; INDEX('Pool Changes'!F:F,
    MAX(
      ROW('Pool Changes'!A:A) *
      ('Pool Changes'!B:B=D37) *
      ('Pool Changes'!F:F&lt;&gt;"")
    )
  ),
  ""
))</f>
        <v/>
      </c>
      <c r="H37" s="144" t="str">
        <f>IFERROR(__xludf.DUMMYFUNCTION("LET(changes,FILTER('Pool Changes'!$B:$D, 'Pool Changes'!$B:$B = $D37),added,FILTER(INDEX(changes,0,3),INDEX(changes,0,2)=""starting pool""),TRANSPOSE(IFERROR(ARRAYFORMULA(IF(added&lt;&gt;"""",""https://sealeddeck.tech/""&amp;added,"""")),"""")))"),"")</f>
        <v/>
      </c>
      <c r="I37" s="145" t="str">
        <f>IFERROR(__xludf.DUMMYFUNCTION("LET(changes,FILTER('Pool Changes'!$B:$D, 'Pool Changes'!$B:$B = $D37),added,FILTER(INDEX(changes,0,3),INDEX(changes,0,2)=""add pack""),IFERROR(TRANSPOSE(ARRAYFORMULA(IF(added&lt;&gt;"""",HYPERLINK(""https://sealeddeck.tech/""&amp;added,""Link""),""""))),""""))"),"")</f>
        <v/>
      </c>
      <c r="J37" s="146"/>
      <c r="K37" s="146"/>
      <c r="L37" s="146"/>
      <c r="M37" s="146"/>
      <c r="N37" s="146"/>
      <c r="O37" s="146"/>
      <c r="P37" s="146"/>
      <c r="Q37" s="146"/>
      <c r="R37" s="146"/>
      <c r="S37" s="146"/>
      <c r="T37" s="147"/>
      <c r="U37" s="147"/>
      <c r="V37" s="147"/>
      <c r="W37" s="147"/>
      <c r="X37" s="147"/>
      <c r="Y37" s="147"/>
      <c r="Z37" s="147"/>
      <c r="AA37" s="147"/>
      <c r="AB37" s="147"/>
      <c r="AC37" s="147"/>
      <c r="AD37" s="147"/>
      <c r="AE37" s="147"/>
      <c r="AF37" s="147"/>
      <c r="AG37" s="147"/>
      <c r="AH37" s="147"/>
      <c r="AI37" s="147"/>
    </row>
    <row r="38">
      <c r="A38" s="140"/>
      <c r="B38" s="140"/>
      <c r="C38" s="141" t="str">
        <f t="array" ref="C38">INDEX('Player Database'!$D:$D,MATCH($D38,'Player Database'!$B:$B,0))</f>
        <v>#N/A</v>
      </c>
      <c r="D38" s="142" t="str">
        <f t="shared" si="1"/>
        <v> - </v>
      </c>
      <c r="E38" s="143" t="str">
        <f t="array" ref="E38">XLOOKUP($D38,'Player Database'!$B$2:$B1009,'Player Database'!$I$2:$I1009)</f>
        <v>#N/A</v>
      </c>
      <c r="F38" s="143" t="str">
        <f t="array" ref="F38">XLOOKUP($D38,'Player Database'!$B$2:$B1009,'Player Database'!$J$2:$J1009)</f>
        <v>#N/A</v>
      </c>
      <c r="G38" s="144" t="str">
        <f t="array" ref="G38">IF(H38="","",IFERROR(
  "https://sealeddeck.tech/" &amp; INDEX('Pool Changes'!F:F,
    MAX(
      ROW('Pool Changes'!A:A) *
      ('Pool Changes'!B:B=D38) *
      ('Pool Changes'!F:F&lt;&gt;"")
    )
  ),
  ""
))</f>
        <v/>
      </c>
      <c r="H38" s="144" t="str">
        <f>IFERROR(__xludf.DUMMYFUNCTION("LET(changes,FILTER('Pool Changes'!$B:$D, 'Pool Changes'!$B:$B = $D38),added,FILTER(INDEX(changes,0,3),INDEX(changes,0,2)=""starting pool""),TRANSPOSE(IFERROR(ARRAYFORMULA(IF(added&lt;&gt;"""",""https://sealeddeck.tech/""&amp;added,"""")),"""")))"),"")</f>
        <v/>
      </c>
      <c r="I38" s="145" t="str">
        <f>IFERROR(__xludf.DUMMYFUNCTION("LET(changes,FILTER('Pool Changes'!$B:$D, 'Pool Changes'!$B:$B = $D38),added,FILTER(INDEX(changes,0,3),INDEX(changes,0,2)=""add pack""),IFERROR(TRANSPOSE(ARRAYFORMULA(IF(added&lt;&gt;"""",HYPERLINK(""https://sealeddeck.tech/""&amp;added,""Link""),""""))),""""))"),"")</f>
        <v/>
      </c>
      <c r="J38" s="146"/>
      <c r="K38" s="146"/>
      <c r="L38" s="146"/>
      <c r="M38" s="146"/>
      <c r="N38" s="146"/>
      <c r="O38" s="146"/>
      <c r="P38" s="146"/>
      <c r="Q38" s="146"/>
      <c r="R38" s="146"/>
      <c r="S38" s="146"/>
      <c r="T38" s="147"/>
      <c r="U38" s="147"/>
      <c r="V38" s="147"/>
      <c r="W38" s="149" t="s">
        <v>459</v>
      </c>
      <c r="X38" s="147"/>
      <c r="Y38" s="147"/>
      <c r="Z38" s="147"/>
      <c r="AA38" s="147"/>
      <c r="AB38" s="147"/>
      <c r="AC38" s="147"/>
      <c r="AD38" s="147"/>
      <c r="AE38" s="147"/>
      <c r="AF38" s="147"/>
      <c r="AG38" s="147"/>
      <c r="AH38" s="147"/>
      <c r="AI38" s="147"/>
    </row>
    <row r="39">
      <c r="A39" s="140"/>
      <c r="B39" s="140"/>
      <c r="C39" s="141" t="str">
        <f t="array" ref="C39">INDEX('Player Database'!$D:$D,MATCH($D39,'Player Database'!$B:$B,0))</f>
        <v>#N/A</v>
      </c>
      <c r="D39" s="142" t="str">
        <f t="shared" si="1"/>
        <v> - </v>
      </c>
      <c r="E39" s="143" t="str">
        <f t="array" ref="E39">XLOOKUP($D39,'Player Database'!$B$2:$B1009,'Player Database'!$I$2:$I1009)</f>
        <v>#N/A</v>
      </c>
      <c r="F39" s="143" t="str">
        <f t="array" ref="F39">XLOOKUP($D39,'Player Database'!$B$2:$B1009,'Player Database'!$J$2:$J1009)</f>
        <v>#N/A</v>
      </c>
      <c r="G39" s="144" t="str">
        <f t="array" ref="G39">IF(H39="","",IFERROR(
  "https://sealeddeck.tech/" &amp; INDEX('Pool Changes'!F:F,
    MAX(
      ROW('Pool Changes'!A:A) *
      ('Pool Changes'!B:B=D39) *
      ('Pool Changes'!F:F&lt;&gt;"")
    )
  ),
  ""
))</f>
        <v/>
      </c>
      <c r="H39" s="144" t="str">
        <f>IFERROR(__xludf.DUMMYFUNCTION("LET(changes,FILTER('Pool Changes'!$B:$D, 'Pool Changes'!$B:$B = $D39),added,FILTER(INDEX(changes,0,3),INDEX(changes,0,2)=""starting pool""),TRANSPOSE(IFERROR(ARRAYFORMULA(IF(added&lt;&gt;"""",""https://sealeddeck.tech/""&amp;added,"""")),"""")))"),"")</f>
        <v/>
      </c>
      <c r="I39" s="145" t="str">
        <f>IFERROR(__xludf.DUMMYFUNCTION("LET(changes,FILTER('Pool Changes'!$B:$D, 'Pool Changes'!$B:$B = $D39),added,FILTER(INDEX(changes,0,3),INDEX(changes,0,2)=""add pack""),IFERROR(TRANSPOSE(ARRAYFORMULA(IF(added&lt;&gt;"""",HYPERLINK(""https://sealeddeck.tech/""&amp;added,""Link""),""""))),""""))"),"")</f>
        <v/>
      </c>
      <c r="J39" s="146"/>
      <c r="K39" s="146"/>
      <c r="L39" s="146"/>
      <c r="M39" s="146"/>
      <c r="N39" s="146"/>
      <c r="O39" s="146"/>
      <c r="P39" s="146"/>
      <c r="Q39" s="146"/>
      <c r="R39" s="146"/>
      <c r="S39" s="146"/>
      <c r="T39" s="147"/>
      <c r="U39" s="147"/>
      <c r="V39" s="147"/>
      <c r="W39" s="149" t="s">
        <v>459</v>
      </c>
      <c r="X39" s="147"/>
      <c r="Y39" s="147"/>
      <c r="Z39" s="147"/>
      <c r="AA39" s="147"/>
      <c r="AB39" s="147"/>
      <c r="AC39" s="147"/>
      <c r="AD39" s="147"/>
      <c r="AE39" s="147"/>
      <c r="AF39" s="147"/>
      <c r="AG39" s="147"/>
      <c r="AH39" s="147"/>
      <c r="AI39" s="147"/>
    </row>
    <row r="40">
      <c r="A40" s="140"/>
      <c r="B40" s="140"/>
      <c r="C40" s="141" t="str">
        <f t="array" ref="C40">INDEX('Player Database'!$D:$D,MATCH($D40,'Player Database'!$B:$B,0))</f>
        <v>#N/A</v>
      </c>
      <c r="D40" s="142" t="str">
        <f t="shared" si="1"/>
        <v> - </v>
      </c>
      <c r="E40" s="143" t="str">
        <f t="array" ref="E40">XLOOKUP($D40,'Player Database'!$B$2:$B1009,'Player Database'!$I$2:$I1009)</f>
        <v>#N/A</v>
      </c>
      <c r="F40" s="143" t="str">
        <f t="array" ref="F40">XLOOKUP($D40,'Player Database'!$B$2:$B1009,'Player Database'!$J$2:$J1009)</f>
        <v>#N/A</v>
      </c>
      <c r="G40" s="144" t="str">
        <f t="array" ref="G40">IF(H40="","",IFERROR(
  "https://sealeddeck.tech/" &amp; INDEX('Pool Changes'!F:F,
    MAX(
      ROW('Pool Changes'!A:A) *
      ('Pool Changes'!B:B=D40) *
      ('Pool Changes'!F:F&lt;&gt;"")
    )
  ),
  ""
))</f>
        <v/>
      </c>
      <c r="H40" s="144" t="str">
        <f>IFERROR(__xludf.DUMMYFUNCTION("LET(changes,FILTER('Pool Changes'!$B:$D, 'Pool Changes'!$B:$B = $D40),added,FILTER(INDEX(changes,0,3),INDEX(changes,0,2)=""starting pool""),TRANSPOSE(IFERROR(ARRAYFORMULA(IF(added&lt;&gt;"""",""https://sealeddeck.tech/""&amp;added,"""")),"""")))"),"")</f>
        <v/>
      </c>
      <c r="I40" s="145" t="str">
        <f>IFERROR(__xludf.DUMMYFUNCTION("LET(changes,FILTER('Pool Changes'!$B:$D, 'Pool Changes'!$B:$B = $D40),added,FILTER(INDEX(changes,0,3),INDEX(changes,0,2)=""add pack""),IFERROR(TRANSPOSE(ARRAYFORMULA(IF(added&lt;&gt;"""",HYPERLINK(""https://sealeddeck.tech/""&amp;added,""Link""),""""))),""""))"),"")</f>
        <v/>
      </c>
      <c r="J40" s="146"/>
      <c r="K40" s="146"/>
      <c r="L40" s="146"/>
      <c r="M40" s="146"/>
      <c r="N40" s="146"/>
      <c r="O40" s="146"/>
      <c r="P40" s="146"/>
      <c r="Q40" s="146"/>
      <c r="R40" s="146"/>
      <c r="S40" s="146"/>
      <c r="T40" s="147"/>
      <c r="U40" s="147"/>
      <c r="V40" s="147"/>
      <c r="W40" s="149" t="s">
        <v>459</v>
      </c>
      <c r="X40" s="147"/>
      <c r="Y40" s="147"/>
      <c r="Z40" s="147"/>
      <c r="AA40" s="147"/>
      <c r="AB40" s="147"/>
      <c r="AC40" s="147"/>
      <c r="AD40" s="147"/>
      <c r="AE40" s="147"/>
      <c r="AF40" s="147"/>
      <c r="AG40" s="147"/>
      <c r="AH40" s="147"/>
      <c r="AI40" s="147"/>
    </row>
    <row r="41">
      <c r="A41" s="140"/>
      <c r="B41" s="140"/>
      <c r="C41" s="141" t="str">
        <f t="array" ref="C41">INDEX('Player Database'!$D:$D,MATCH($D41,'Player Database'!$B:$B,0))</f>
        <v>#N/A</v>
      </c>
      <c r="D41" s="142" t="str">
        <f t="shared" si="1"/>
        <v> - </v>
      </c>
      <c r="E41" s="143" t="str">
        <f t="array" ref="E41">XLOOKUP($D41,'Player Database'!$B$2:$B1009,'Player Database'!$I$2:$I1009)</f>
        <v>#N/A</v>
      </c>
      <c r="F41" s="143" t="str">
        <f t="array" ref="F41">XLOOKUP($D41,'Player Database'!$B$2:$B1009,'Player Database'!$J$2:$J1009)</f>
        <v>#N/A</v>
      </c>
      <c r="G41" s="144" t="str">
        <f t="array" ref="G41">IF(H41="","",IFERROR(
  "https://sealeddeck.tech/" &amp; INDEX('Pool Changes'!F:F,
    MAX(
      ROW('Pool Changes'!A:A) *
      ('Pool Changes'!B:B=D41) *
      ('Pool Changes'!F:F&lt;&gt;"")
    )
  ),
  ""
))</f>
        <v/>
      </c>
      <c r="H41" s="144" t="str">
        <f>IFERROR(__xludf.DUMMYFUNCTION("LET(changes,FILTER('Pool Changes'!$B:$D, 'Pool Changes'!$B:$B = $D41),added,FILTER(INDEX(changes,0,3),INDEX(changes,0,2)=""starting pool""),TRANSPOSE(IFERROR(ARRAYFORMULA(IF(added&lt;&gt;"""",""https://sealeddeck.tech/""&amp;added,"""")),"""")))"),"")</f>
        <v/>
      </c>
      <c r="I41" s="145" t="str">
        <f>IFERROR(__xludf.DUMMYFUNCTION("LET(changes,FILTER('Pool Changes'!$B:$D, 'Pool Changes'!$B:$B = $D41),added,FILTER(INDEX(changes,0,3),INDEX(changes,0,2)=""add pack""),IFERROR(TRANSPOSE(ARRAYFORMULA(IF(added&lt;&gt;"""",HYPERLINK(""https://sealeddeck.tech/""&amp;added,""Link""),""""))),""""))"),"")</f>
        <v/>
      </c>
      <c r="J41" s="146"/>
      <c r="K41" s="146"/>
      <c r="L41" s="146"/>
      <c r="M41" s="146"/>
      <c r="N41" s="146"/>
      <c r="O41" s="146"/>
      <c r="P41" s="146"/>
      <c r="Q41" s="146"/>
      <c r="R41" s="146"/>
      <c r="S41" s="146"/>
      <c r="T41" s="147"/>
      <c r="U41" s="147"/>
      <c r="V41" s="147"/>
      <c r="W41" s="147"/>
      <c r="X41" s="147"/>
      <c r="Y41" s="147"/>
      <c r="Z41" s="147"/>
      <c r="AA41" s="147"/>
      <c r="AB41" s="147"/>
      <c r="AC41" s="147"/>
      <c r="AD41" s="147"/>
      <c r="AE41" s="147"/>
      <c r="AF41" s="147"/>
      <c r="AG41" s="147"/>
      <c r="AH41" s="147"/>
      <c r="AI41" s="147"/>
    </row>
    <row r="42">
      <c r="A42" s="140"/>
      <c r="B42" s="140"/>
      <c r="C42" s="141" t="str">
        <f t="array" ref="C42">INDEX('Player Database'!$D:$D,MATCH($D42,'Player Database'!$B:$B,0))</f>
        <v>#N/A</v>
      </c>
      <c r="D42" s="142" t="str">
        <f t="shared" si="1"/>
        <v> - </v>
      </c>
      <c r="E42" s="143" t="str">
        <f t="array" ref="E42">XLOOKUP($D42,'Player Database'!$B$2:$B1009,'Player Database'!$I$2:$I1009)</f>
        <v>#N/A</v>
      </c>
      <c r="F42" s="143" t="str">
        <f t="array" ref="F42">XLOOKUP($D42,'Player Database'!$B$2:$B1009,'Player Database'!$J$2:$J1009)</f>
        <v>#N/A</v>
      </c>
      <c r="G42" s="144" t="str">
        <f t="array" ref="G42">IF(H42="","",IFERROR(
  "https://sealeddeck.tech/" &amp; INDEX('Pool Changes'!F:F,
    MAX(
      ROW('Pool Changes'!A:A) *
      ('Pool Changes'!B:B=D42) *
      ('Pool Changes'!F:F&lt;&gt;"")
    )
  ),
  ""
))</f>
        <v/>
      </c>
      <c r="H42" s="144" t="str">
        <f>IFERROR(__xludf.DUMMYFUNCTION("LET(changes,FILTER('Pool Changes'!$B:$D, 'Pool Changes'!$B:$B = $D42),added,FILTER(INDEX(changes,0,3),INDEX(changes,0,2)=""starting pool""),TRANSPOSE(IFERROR(ARRAYFORMULA(IF(added&lt;&gt;"""",""https://sealeddeck.tech/""&amp;added,"""")),"""")))"),"")</f>
        <v/>
      </c>
      <c r="I42" s="145" t="str">
        <f>IFERROR(__xludf.DUMMYFUNCTION("LET(changes,FILTER('Pool Changes'!$B:$D, 'Pool Changes'!$B:$B = $D42),added,FILTER(INDEX(changes,0,3),INDEX(changes,0,2)=""add pack""),IFERROR(TRANSPOSE(ARRAYFORMULA(IF(added&lt;&gt;"""",HYPERLINK(""https://sealeddeck.tech/""&amp;added,""Link""),""""))),""""))"),"")</f>
        <v/>
      </c>
      <c r="J42" s="146"/>
      <c r="K42" s="146"/>
      <c r="L42" s="146"/>
      <c r="M42" s="146"/>
      <c r="N42" s="146"/>
      <c r="O42" s="146"/>
      <c r="P42" s="146"/>
      <c r="Q42" s="146"/>
      <c r="R42" s="146"/>
      <c r="S42" s="146"/>
      <c r="T42" s="147"/>
      <c r="U42" s="147"/>
      <c r="V42" s="147"/>
      <c r="W42" s="149" t="s">
        <v>459</v>
      </c>
      <c r="X42" s="147"/>
      <c r="Y42" s="147"/>
      <c r="Z42" s="147"/>
      <c r="AA42" s="147"/>
      <c r="AB42" s="147"/>
      <c r="AC42" s="147"/>
      <c r="AD42" s="147"/>
      <c r="AE42" s="147"/>
      <c r="AF42" s="147"/>
      <c r="AG42" s="147"/>
      <c r="AH42" s="147"/>
      <c r="AI42" s="147"/>
    </row>
    <row r="43">
      <c r="A43" s="140"/>
      <c r="B43" s="140"/>
      <c r="C43" s="141" t="str">
        <f t="array" ref="C43">INDEX('Player Database'!$D:$D,MATCH($D43,'Player Database'!$B:$B,0))</f>
        <v>#N/A</v>
      </c>
      <c r="D43" s="142" t="str">
        <f t="shared" si="1"/>
        <v> - </v>
      </c>
      <c r="E43" s="143" t="str">
        <f t="array" ref="E43">XLOOKUP($D43,'Player Database'!$B$2:$B1009,'Player Database'!$I$2:$I1009)</f>
        <v>#N/A</v>
      </c>
      <c r="F43" s="143" t="str">
        <f t="array" ref="F43">XLOOKUP($D43,'Player Database'!$B$2:$B1009,'Player Database'!$J$2:$J1009)</f>
        <v>#N/A</v>
      </c>
      <c r="G43" s="144" t="str">
        <f t="array" ref="G43">IF(H43="","",IFERROR(
  "https://sealeddeck.tech/" &amp; INDEX('Pool Changes'!F:F,
    MAX(
      ROW('Pool Changes'!A:A) *
      ('Pool Changes'!B:B=D43) *
      ('Pool Changes'!F:F&lt;&gt;"")
    )
  ),
  ""
))</f>
        <v/>
      </c>
      <c r="H43" s="144" t="str">
        <f>IFERROR(__xludf.DUMMYFUNCTION("LET(changes,FILTER('Pool Changes'!$B:$D, 'Pool Changes'!$B:$B = $D43),added,FILTER(INDEX(changes,0,3),INDEX(changes,0,2)=""starting pool""),TRANSPOSE(IFERROR(ARRAYFORMULA(IF(added&lt;&gt;"""",""https://sealeddeck.tech/""&amp;added,"""")),"""")))"),"")</f>
        <v/>
      </c>
      <c r="I43" s="145" t="str">
        <f>IFERROR(__xludf.DUMMYFUNCTION("LET(changes,FILTER('Pool Changes'!$B:$D, 'Pool Changes'!$B:$B = $D43),added,FILTER(INDEX(changes,0,3),INDEX(changes,0,2)=""add pack""),IFERROR(TRANSPOSE(ARRAYFORMULA(IF(added&lt;&gt;"""",HYPERLINK(""https://sealeddeck.tech/""&amp;added,""Link""),""""))),""""))"),"")</f>
        <v/>
      </c>
      <c r="J43" s="146"/>
      <c r="K43" s="146"/>
      <c r="L43" s="146"/>
      <c r="M43" s="146"/>
      <c r="N43" s="146"/>
      <c r="O43" s="146"/>
      <c r="P43" s="146"/>
      <c r="Q43" s="146"/>
      <c r="R43" s="146"/>
      <c r="S43" s="146"/>
      <c r="T43" s="147"/>
      <c r="U43" s="147"/>
      <c r="V43" s="147"/>
      <c r="W43" s="147"/>
      <c r="X43" s="147"/>
      <c r="Y43" s="147"/>
      <c r="Z43" s="147"/>
      <c r="AA43" s="147"/>
      <c r="AB43" s="147"/>
      <c r="AC43" s="147"/>
      <c r="AD43" s="147"/>
      <c r="AE43" s="147"/>
      <c r="AF43" s="147"/>
      <c r="AG43" s="147"/>
      <c r="AH43" s="147"/>
      <c r="AI43" s="147"/>
    </row>
    <row r="44">
      <c r="A44" s="140"/>
      <c r="B44" s="140"/>
      <c r="C44" s="141" t="str">
        <f t="array" ref="C44">INDEX('Player Database'!$D:$D,MATCH($D44,'Player Database'!$B:$B,0))</f>
        <v>#N/A</v>
      </c>
      <c r="D44" s="142" t="str">
        <f t="shared" si="1"/>
        <v> - </v>
      </c>
      <c r="E44" s="143" t="str">
        <f t="array" ref="E44">XLOOKUP($D44,'Player Database'!$B$2:$B1009,'Player Database'!$I$2:$I1009)</f>
        <v>#N/A</v>
      </c>
      <c r="F44" s="143" t="str">
        <f t="array" ref="F44">XLOOKUP($D44,'Player Database'!$B$2:$B1009,'Player Database'!$J$2:$J1009)</f>
        <v>#N/A</v>
      </c>
      <c r="G44" s="144" t="str">
        <f t="array" ref="G44">IF(H44="","",IFERROR(
  "https://sealeddeck.tech/" &amp; INDEX('Pool Changes'!F:F,
    MAX(
      ROW('Pool Changes'!A:A) *
      ('Pool Changes'!B:B=D44) *
      ('Pool Changes'!F:F&lt;&gt;"")
    )
  ),
  ""
))</f>
        <v/>
      </c>
      <c r="H44" s="144" t="str">
        <f>IFERROR(__xludf.DUMMYFUNCTION("LET(changes,FILTER('Pool Changes'!$B:$D, 'Pool Changes'!$B:$B = $D44),added,FILTER(INDEX(changes,0,3),INDEX(changes,0,2)=""starting pool""),TRANSPOSE(IFERROR(ARRAYFORMULA(IF(added&lt;&gt;"""",""https://sealeddeck.tech/""&amp;added,"""")),"""")))"),"")</f>
        <v/>
      </c>
      <c r="I44" s="145" t="str">
        <f>IFERROR(__xludf.DUMMYFUNCTION("LET(changes,FILTER('Pool Changes'!$B:$D, 'Pool Changes'!$B:$B = $D44),added,FILTER(INDEX(changes,0,3),INDEX(changes,0,2)=""add pack""),IFERROR(TRANSPOSE(ARRAYFORMULA(IF(added&lt;&gt;"""",HYPERLINK(""https://sealeddeck.tech/""&amp;added,""Link""),""""))),""""))"),"")</f>
        <v/>
      </c>
      <c r="J44" s="146"/>
      <c r="K44" s="146"/>
      <c r="L44" s="146"/>
      <c r="M44" s="146"/>
      <c r="N44" s="146"/>
      <c r="O44" s="146"/>
      <c r="P44" s="146"/>
      <c r="Q44" s="146"/>
      <c r="R44" s="146"/>
      <c r="S44" s="146"/>
      <c r="T44" s="147"/>
      <c r="U44" s="147"/>
      <c r="V44" s="147"/>
      <c r="W44" s="147"/>
      <c r="X44" s="147"/>
      <c r="Y44" s="147"/>
      <c r="Z44" s="147"/>
      <c r="AA44" s="147"/>
      <c r="AB44" s="147"/>
      <c r="AC44" s="147"/>
      <c r="AD44" s="147"/>
      <c r="AE44" s="147"/>
      <c r="AF44" s="147"/>
      <c r="AG44" s="147"/>
      <c r="AH44" s="147"/>
      <c r="AI44" s="147"/>
    </row>
    <row r="45">
      <c r="A45" s="140"/>
      <c r="B45" s="140"/>
      <c r="C45" s="141" t="str">
        <f t="array" ref="C45">INDEX('Player Database'!$D:$D,MATCH($D45,'Player Database'!$B:$B,0))</f>
        <v>#N/A</v>
      </c>
      <c r="D45" s="142" t="str">
        <f t="shared" si="1"/>
        <v> - </v>
      </c>
      <c r="E45" s="143" t="str">
        <f t="array" ref="E45">XLOOKUP($D45,'Player Database'!$B$2:$B1009,'Player Database'!$I$2:$I1009)</f>
        <v>#N/A</v>
      </c>
      <c r="F45" s="143" t="str">
        <f t="array" ref="F45">XLOOKUP($D45,'Player Database'!$B$2:$B1009,'Player Database'!$J$2:$J1009)</f>
        <v>#N/A</v>
      </c>
      <c r="G45" s="144" t="str">
        <f t="array" ref="G45">IF(H45="","",IFERROR(
  "https://sealeddeck.tech/" &amp; INDEX('Pool Changes'!F:F,
    MAX(
      ROW('Pool Changes'!A:A) *
      ('Pool Changes'!B:B=D45) *
      ('Pool Changes'!F:F&lt;&gt;"")
    )
  ),
  ""
))</f>
        <v/>
      </c>
      <c r="H45" s="144" t="str">
        <f>IFERROR(__xludf.DUMMYFUNCTION("LET(changes,FILTER('Pool Changes'!$B:$D, 'Pool Changes'!$B:$B = $D45),added,FILTER(INDEX(changes,0,3),INDEX(changes,0,2)=""starting pool""),TRANSPOSE(IFERROR(ARRAYFORMULA(IF(added&lt;&gt;"""",""https://sealeddeck.tech/""&amp;added,"""")),"""")))"),"")</f>
        <v/>
      </c>
      <c r="I45" s="145" t="str">
        <f>IFERROR(__xludf.DUMMYFUNCTION("LET(changes,FILTER('Pool Changes'!$B:$D, 'Pool Changes'!$B:$B = $D45),added,FILTER(INDEX(changes,0,3),INDEX(changes,0,2)=""add pack""),IFERROR(TRANSPOSE(ARRAYFORMULA(IF(added&lt;&gt;"""",HYPERLINK(""https://sealeddeck.tech/""&amp;added,""Link""),""""))),""""))"),"")</f>
        <v/>
      </c>
      <c r="J45" s="146"/>
      <c r="K45" s="146"/>
      <c r="L45" s="146"/>
      <c r="M45" s="146"/>
      <c r="N45" s="146"/>
      <c r="O45" s="146"/>
      <c r="P45" s="146"/>
      <c r="Q45" s="146"/>
      <c r="R45" s="146"/>
      <c r="S45" s="146"/>
      <c r="T45" s="147"/>
      <c r="U45" s="147"/>
      <c r="V45" s="147"/>
      <c r="W45" s="147"/>
      <c r="X45" s="147"/>
      <c r="Y45" s="147"/>
      <c r="Z45" s="147"/>
      <c r="AA45" s="147"/>
      <c r="AB45" s="147"/>
      <c r="AC45" s="147"/>
      <c r="AD45" s="147"/>
      <c r="AE45" s="147"/>
      <c r="AF45" s="147"/>
      <c r="AG45" s="147"/>
      <c r="AH45" s="147"/>
      <c r="AI45" s="147"/>
    </row>
    <row r="46">
      <c r="A46" s="140"/>
      <c r="B46" s="140"/>
      <c r="C46" s="141" t="str">
        <f t="array" ref="C46">INDEX('Player Database'!$D:$D,MATCH($D46,'Player Database'!$B:$B,0))</f>
        <v>#N/A</v>
      </c>
      <c r="D46" s="142" t="str">
        <f t="shared" si="1"/>
        <v> - </v>
      </c>
      <c r="E46" s="143" t="str">
        <f t="array" ref="E46">XLOOKUP($D46,'Player Database'!$B$2:$B1009,'Player Database'!$I$2:$I1009)</f>
        <v>#N/A</v>
      </c>
      <c r="F46" s="143" t="str">
        <f t="array" ref="F46">XLOOKUP($D46,'Player Database'!$B$2:$B1009,'Player Database'!$J$2:$J1009)</f>
        <v>#N/A</v>
      </c>
      <c r="G46" s="144" t="str">
        <f t="array" ref="G46">IF(H46="","",IFERROR(
  "https://sealeddeck.tech/" &amp; INDEX('Pool Changes'!F:F,
    MAX(
      ROW('Pool Changes'!A:A) *
      ('Pool Changes'!B:B=D46) *
      ('Pool Changes'!F:F&lt;&gt;"")
    )
  ),
  ""
))</f>
        <v/>
      </c>
      <c r="H46" s="144" t="str">
        <f>IFERROR(__xludf.DUMMYFUNCTION("LET(changes,FILTER('Pool Changes'!$B:$D, 'Pool Changes'!$B:$B = $D46),added,FILTER(INDEX(changes,0,3),INDEX(changes,0,2)=""starting pool""),TRANSPOSE(IFERROR(ARRAYFORMULA(IF(added&lt;&gt;"""",""https://sealeddeck.tech/""&amp;added,"""")),"""")))"),"")</f>
        <v/>
      </c>
      <c r="I46" s="145" t="str">
        <f>IFERROR(__xludf.DUMMYFUNCTION("LET(changes,FILTER('Pool Changes'!$B:$D, 'Pool Changes'!$B:$B = $D46),added,FILTER(INDEX(changes,0,3),INDEX(changes,0,2)=""add pack""),IFERROR(TRANSPOSE(ARRAYFORMULA(IF(added&lt;&gt;"""",HYPERLINK(""https://sealeddeck.tech/""&amp;added,""Link""),""""))),""""))"),"")</f>
        <v/>
      </c>
      <c r="J46" s="146"/>
      <c r="K46" s="146"/>
      <c r="L46" s="146"/>
      <c r="M46" s="146"/>
      <c r="N46" s="146"/>
      <c r="O46" s="146"/>
      <c r="P46" s="146"/>
      <c r="Q46" s="146"/>
      <c r="R46" s="146"/>
      <c r="S46" s="146"/>
      <c r="T46" s="147"/>
      <c r="U46" s="147"/>
      <c r="V46" s="147"/>
      <c r="W46" s="149" t="s">
        <v>459</v>
      </c>
      <c r="X46" s="147"/>
      <c r="Y46" s="147"/>
      <c r="Z46" s="147"/>
      <c r="AA46" s="147"/>
      <c r="AB46" s="147"/>
      <c r="AC46" s="147"/>
      <c r="AD46" s="147"/>
      <c r="AE46" s="147"/>
      <c r="AF46" s="147"/>
      <c r="AG46" s="147"/>
      <c r="AH46" s="147"/>
      <c r="AI46" s="147"/>
    </row>
    <row r="47">
      <c r="A47" s="140"/>
      <c r="B47" s="140"/>
      <c r="C47" s="141" t="str">
        <f t="array" ref="C47">INDEX('Player Database'!$D:$D,MATCH($D47,'Player Database'!$B:$B,0))</f>
        <v>#N/A</v>
      </c>
      <c r="D47" s="142" t="str">
        <f t="shared" si="1"/>
        <v> - </v>
      </c>
      <c r="E47" s="143" t="str">
        <f t="array" ref="E47">XLOOKUP($D47,'Player Database'!$B$2:$B1009,'Player Database'!$I$2:$I1009)</f>
        <v>#N/A</v>
      </c>
      <c r="F47" s="143" t="str">
        <f t="array" ref="F47">XLOOKUP($D47,'Player Database'!$B$2:$B1009,'Player Database'!$J$2:$J1009)</f>
        <v>#N/A</v>
      </c>
      <c r="G47" s="144" t="str">
        <f t="array" ref="G47">IF(H47="","",IFERROR(
  "https://sealeddeck.tech/" &amp; INDEX('Pool Changes'!F:F,
    MAX(
      ROW('Pool Changes'!A:A) *
      ('Pool Changes'!B:B=D47) *
      ('Pool Changes'!F:F&lt;&gt;"")
    )
  ),
  ""
))</f>
        <v/>
      </c>
      <c r="H47" s="144" t="str">
        <f>IFERROR(__xludf.DUMMYFUNCTION("LET(changes,FILTER('Pool Changes'!$B:$D, 'Pool Changes'!$B:$B = $D47),added,FILTER(INDEX(changes,0,3),INDEX(changes,0,2)=""starting pool""),TRANSPOSE(IFERROR(ARRAYFORMULA(IF(added&lt;&gt;"""",""https://sealeddeck.tech/""&amp;added,"""")),"""")))"),"")</f>
        <v/>
      </c>
      <c r="I47" s="145" t="str">
        <f>IFERROR(__xludf.DUMMYFUNCTION("LET(changes,FILTER('Pool Changes'!$B:$D, 'Pool Changes'!$B:$B = $D47),added,FILTER(INDEX(changes,0,3),INDEX(changes,0,2)=""add pack""),IFERROR(TRANSPOSE(ARRAYFORMULA(IF(added&lt;&gt;"""",HYPERLINK(""https://sealeddeck.tech/""&amp;added,""Link""),""""))),""""))"),"")</f>
        <v/>
      </c>
      <c r="J47" s="146"/>
      <c r="K47" s="146"/>
      <c r="L47" s="146"/>
      <c r="M47" s="146"/>
      <c r="N47" s="146"/>
      <c r="O47" s="146"/>
      <c r="P47" s="146"/>
      <c r="Q47" s="146"/>
      <c r="R47" s="146"/>
      <c r="S47" s="146"/>
      <c r="T47" s="147"/>
      <c r="U47" s="147"/>
      <c r="V47" s="147"/>
      <c r="W47" s="147"/>
      <c r="X47" s="147"/>
      <c r="Y47" s="147"/>
      <c r="Z47" s="147"/>
      <c r="AA47" s="147"/>
      <c r="AB47" s="147"/>
      <c r="AC47" s="147"/>
      <c r="AD47" s="147"/>
      <c r="AE47" s="147"/>
      <c r="AF47" s="147"/>
      <c r="AG47" s="147"/>
      <c r="AH47" s="147"/>
      <c r="AI47" s="147"/>
    </row>
    <row r="48">
      <c r="A48" s="140"/>
      <c r="B48" s="140"/>
      <c r="C48" s="141" t="str">
        <f t="array" ref="C48">INDEX('Player Database'!$D:$D,MATCH($D48,'Player Database'!$B:$B,0))</f>
        <v>#N/A</v>
      </c>
      <c r="D48" s="142" t="str">
        <f t="shared" si="1"/>
        <v> - </v>
      </c>
      <c r="E48" s="143" t="str">
        <f t="array" ref="E48">XLOOKUP($D48,'Player Database'!$B$2:$B1009,'Player Database'!$I$2:$I1009)</f>
        <v>#N/A</v>
      </c>
      <c r="F48" s="143" t="str">
        <f t="array" ref="F48">XLOOKUP($D48,'Player Database'!$B$2:$B1009,'Player Database'!$J$2:$J1009)</f>
        <v>#N/A</v>
      </c>
      <c r="G48" s="144" t="str">
        <f t="array" ref="G48">IF(H48="","",IFERROR(
  "https://sealeddeck.tech/" &amp; INDEX('Pool Changes'!F:F,
    MAX(
      ROW('Pool Changes'!A:A) *
      ('Pool Changes'!B:B=D48) *
      ('Pool Changes'!F:F&lt;&gt;"")
    )
  ),
  ""
))</f>
        <v/>
      </c>
      <c r="H48" s="144" t="str">
        <f>IFERROR(__xludf.DUMMYFUNCTION("LET(changes,FILTER('Pool Changes'!$B:$D, 'Pool Changes'!$B:$B = $D48),added,FILTER(INDEX(changes,0,3),INDEX(changes,0,2)=""starting pool""),TRANSPOSE(IFERROR(ARRAYFORMULA(IF(added&lt;&gt;"""",""https://sealeddeck.tech/""&amp;added,"""")),"""")))"),"")</f>
        <v/>
      </c>
      <c r="I48" s="145" t="str">
        <f>IFERROR(__xludf.DUMMYFUNCTION("LET(changes,FILTER('Pool Changes'!$B:$D, 'Pool Changes'!$B:$B = $D48),added,FILTER(INDEX(changes,0,3),INDEX(changes,0,2)=""add pack""),IFERROR(TRANSPOSE(ARRAYFORMULA(IF(added&lt;&gt;"""",HYPERLINK(""https://sealeddeck.tech/""&amp;added,""Link""),""""))),""""))"),"")</f>
        <v/>
      </c>
      <c r="J48" s="146"/>
      <c r="K48" s="146"/>
      <c r="L48" s="146"/>
      <c r="M48" s="146"/>
      <c r="N48" s="146"/>
      <c r="O48" s="146"/>
      <c r="P48" s="146"/>
      <c r="Q48" s="146"/>
      <c r="R48" s="146"/>
      <c r="S48" s="146"/>
      <c r="T48" s="147"/>
      <c r="U48" s="147"/>
      <c r="V48" s="147"/>
      <c r="W48" s="149" t="s">
        <v>459</v>
      </c>
      <c r="X48" s="147"/>
      <c r="Y48" s="147"/>
      <c r="Z48" s="147"/>
      <c r="AA48" s="147"/>
      <c r="AB48" s="147"/>
      <c r="AC48" s="147"/>
      <c r="AD48" s="147"/>
      <c r="AE48" s="147"/>
      <c r="AF48" s="147"/>
      <c r="AG48" s="147"/>
      <c r="AH48" s="147"/>
      <c r="AI48" s="147"/>
    </row>
    <row r="49">
      <c r="A49" s="140"/>
      <c r="B49" s="140"/>
      <c r="C49" s="141" t="str">
        <f t="array" ref="C49">INDEX('Player Database'!$D:$D,MATCH($D49,'Player Database'!$B:$B,0))</f>
        <v>#N/A</v>
      </c>
      <c r="D49" s="142" t="str">
        <f t="shared" si="1"/>
        <v> - </v>
      </c>
      <c r="E49" s="143" t="str">
        <f t="array" ref="E49">XLOOKUP($D49,'Player Database'!$B$2:$B1009,'Player Database'!$I$2:$I1009)</f>
        <v>#N/A</v>
      </c>
      <c r="F49" s="143" t="str">
        <f t="array" ref="F49">XLOOKUP($D49,'Player Database'!$B$2:$B1009,'Player Database'!$J$2:$J1009)</f>
        <v>#N/A</v>
      </c>
      <c r="G49" s="144" t="str">
        <f t="array" ref="G49">IF(H49="","",IFERROR(
  "https://sealeddeck.tech/" &amp; INDEX('Pool Changes'!F:F,
    MAX(
      ROW('Pool Changes'!A:A) *
      ('Pool Changes'!B:B=D49) *
      ('Pool Changes'!F:F&lt;&gt;"")
    )
  ),
  ""
))</f>
        <v/>
      </c>
      <c r="H49" s="144" t="str">
        <f>IFERROR(__xludf.DUMMYFUNCTION("LET(changes,FILTER('Pool Changes'!$B:$D, 'Pool Changes'!$B:$B = $D49),added,FILTER(INDEX(changes,0,3),INDEX(changes,0,2)=""starting pool""),TRANSPOSE(IFERROR(ARRAYFORMULA(IF(added&lt;&gt;"""",""https://sealeddeck.tech/""&amp;added,"""")),"""")))"),"")</f>
        <v/>
      </c>
      <c r="I49" s="145" t="str">
        <f>IFERROR(__xludf.DUMMYFUNCTION("LET(changes,FILTER('Pool Changes'!$B:$D, 'Pool Changes'!$B:$B = $D49),added,FILTER(INDEX(changes,0,3),INDEX(changes,0,2)=""add pack""),IFERROR(TRANSPOSE(ARRAYFORMULA(IF(added&lt;&gt;"""",HYPERLINK(""https://sealeddeck.tech/""&amp;added,""Link""),""""))),""""))"),"")</f>
        <v/>
      </c>
      <c r="J49" s="146"/>
      <c r="K49" s="146"/>
      <c r="L49" s="146"/>
      <c r="M49" s="146"/>
      <c r="N49" s="146"/>
      <c r="O49" s="146"/>
      <c r="P49" s="146"/>
      <c r="Q49" s="146"/>
      <c r="R49" s="146"/>
      <c r="S49" s="146"/>
      <c r="T49" s="147"/>
      <c r="U49" s="147"/>
      <c r="V49" s="147"/>
      <c r="W49" s="149" t="s">
        <v>459</v>
      </c>
      <c r="X49" s="147"/>
      <c r="Y49" s="147"/>
      <c r="Z49" s="147"/>
      <c r="AA49" s="147"/>
      <c r="AB49" s="147"/>
      <c r="AC49" s="147"/>
      <c r="AD49" s="147"/>
      <c r="AE49" s="147"/>
      <c r="AF49" s="147"/>
      <c r="AG49" s="147"/>
      <c r="AH49" s="147"/>
      <c r="AI49" s="147"/>
    </row>
    <row r="50">
      <c r="A50" s="140"/>
      <c r="B50" s="140"/>
      <c r="C50" s="141" t="str">
        <f t="array" ref="C50">INDEX('Player Database'!$D:$D,MATCH($D50,'Player Database'!$B:$B,0))</f>
        <v>#N/A</v>
      </c>
      <c r="D50" s="142" t="str">
        <f t="shared" si="1"/>
        <v> - </v>
      </c>
      <c r="E50" s="143" t="str">
        <f t="array" ref="E50">XLOOKUP($D50,'Player Database'!$B$2:$B1009,'Player Database'!$I$2:$I1009)</f>
        <v>#N/A</v>
      </c>
      <c r="F50" s="143" t="str">
        <f t="array" ref="F50">XLOOKUP($D50,'Player Database'!$B$2:$B1009,'Player Database'!$J$2:$J1009)</f>
        <v>#N/A</v>
      </c>
      <c r="G50" s="144" t="str">
        <f t="array" ref="G50">IF(H50="","",IFERROR(
  "https://sealeddeck.tech/" &amp; INDEX('Pool Changes'!F:F,
    MAX(
      ROW('Pool Changes'!A:A) *
      ('Pool Changes'!B:B=D50) *
      ('Pool Changes'!F:F&lt;&gt;"")
    )
  ),
  ""
))</f>
        <v/>
      </c>
      <c r="H50" s="144" t="str">
        <f>IFERROR(__xludf.DUMMYFUNCTION("LET(changes,FILTER('Pool Changes'!$B:$D, 'Pool Changes'!$B:$B = $D50),added,FILTER(INDEX(changes,0,3),INDEX(changes,0,2)=""starting pool""),TRANSPOSE(IFERROR(ARRAYFORMULA(IF(added&lt;&gt;"""",""https://sealeddeck.tech/""&amp;added,"""")),"""")))"),"")</f>
        <v/>
      </c>
      <c r="I50" s="145" t="str">
        <f>IFERROR(__xludf.DUMMYFUNCTION("LET(changes,FILTER('Pool Changes'!$B:$D, 'Pool Changes'!$B:$B = $D50),added,FILTER(INDEX(changes,0,3),INDEX(changes,0,2)=""add pack""),IFERROR(TRANSPOSE(ARRAYFORMULA(IF(added&lt;&gt;"""",HYPERLINK(""https://sealeddeck.tech/""&amp;added,""Link""),""""))),""""))"),"")</f>
        <v/>
      </c>
      <c r="J50" s="146"/>
      <c r="K50" s="146"/>
      <c r="L50" s="146"/>
      <c r="M50" s="146"/>
      <c r="N50" s="146"/>
      <c r="O50" s="146"/>
      <c r="P50" s="146"/>
      <c r="Q50" s="146"/>
      <c r="R50" s="146"/>
      <c r="S50" s="146"/>
      <c r="T50" s="147"/>
      <c r="U50" s="147"/>
      <c r="V50" s="147"/>
      <c r="W50" s="147"/>
      <c r="X50" s="147"/>
      <c r="Y50" s="147"/>
      <c r="Z50" s="147"/>
      <c r="AA50" s="147"/>
      <c r="AB50" s="147"/>
      <c r="AC50" s="147"/>
      <c r="AD50" s="147"/>
      <c r="AE50" s="147"/>
      <c r="AF50" s="147"/>
      <c r="AG50" s="147"/>
      <c r="AH50" s="147"/>
      <c r="AI50" s="147"/>
    </row>
    <row r="51">
      <c r="A51" s="140"/>
      <c r="B51" s="140"/>
      <c r="C51" s="141" t="str">
        <f t="array" ref="C51">INDEX('Player Database'!$D:$D,MATCH($D51,'Player Database'!$B:$B,0))</f>
        <v>#N/A</v>
      </c>
      <c r="D51" s="142" t="str">
        <f t="shared" si="1"/>
        <v> - </v>
      </c>
      <c r="E51" s="143" t="str">
        <f t="array" ref="E51">XLOOKUP($D51,'Player Database'!$B$2:$B1009,'Player Database'!$I$2:$I1009)</f>
        <v>#N/A</v>
      </c>
      <c r="F51" s="143" t="str">
        <f t="array" ref="F51">XLOOKUP($D51,'Player Database'!$B$2:$B1009,'Player Database'!$J$2:$J1009)</f>
        <v>#N/A</v>
      </c>
      <c r="G51" s="144" t="str">
        <f t="array" ref="G51">IF(H51="","",IFERROR(
  "https://sealeddeck.tech/" &amp; INDEX('Pool Changes'!F:F,
    MAX(
      ROW('Pool Changes'!A:A) *
      ('Pool Changes'!B:B=D51) *
      ('Pool Changes'!F:F&lt;&gt;"")
    )
  ),
  ""
))</f>
        <v/>
      </c>
      <c r="H51" s="144" t="str">
        <f>IFERROR(__xludf.DUMMYFUNCTION("LET(changes,FILTER('Pool Changes'!$B:$D, 'Pool Changes'!$B:$B = $D51),added,FILTER(INDEX(changes,0,3),INDEX(changes,0,2)=""starting pool""),TRANSPOSE(IFERROR(ARRAYFORMULA(IF(added&lt;&gt;"""",""https://sealeddeck.tech/""&amp;added,"""")),"""")))"),"")</f>
        <v/>
      </c>
      <c r="I51" s="145" t="str">
        <f>IFERROR(__xludf.DUMMYFUNCTION("LET(changes,FILTER('Pool Changes'!$B:$D, 'Pool Changes'!$B:$B = $D51),added,FILTER(INDEX(changes,0,3),INDEX(changes,0,2)=""add pack""),IFERROR(TRANSPOSE(ARRAYFORMULA(IF(added&lt;&gt;"""",HYPERLINK(""https://sealeddeck.tech/""&amp;added,""Link""),""""))),""""))"),"")</f>
        <v/>
      </c>
      <c r="J51" s="146"/>
      <c r="K51" s="146"/>
      <c r="L51" s="146"/>
      <c r="M51" s="146"/>
      <c r="N51" s="146"/>
      <c r="O51" s="146"/>
      <c r="P51" s="146"/>
      <c r="Q51" s="146"/>
      <c r="R51" s="146"/>
      <c r="S51" s="146"/>
      <c r="T51" s="147"/>
      <c r="U51" s="147"/>
      <c r="V51" s="147"/>
      <c r="W51" s="149" t="s">
        <v>459</v>
      </c>
      <c r="X51" s="147"/>
      <c r="Y51" s="147"/>
      <c r="Z51" s="147"/>
      <c r="AA51" s="147"/>
      <c r="AB51" s="147"/>
      <c r="AC51" s="147"/>
      <c r="AD51" s="147"/>
      <c r="AE51" s="147"/>
      <c r="AF51" s="147"/>
      <c r="AG51" s="147"/>
      <c r="AH51" s="147"/>
      <c r="AI51" s="147"/>
    </row>
    <row r="52">
      <c r="A52" s="140"/>
      <c r="B52" s="140"/>
      <c r="C52" s="141" t="str">
        <f t="array" ref="C52">INDEX('Player Database'!$D:$D,MATCH($D52,'Player Database'!$B:$B,0))</f>
        <v>#N/A</v>
      </c>
      <c r="D52" s="142" t="str">
        <f t="shared" si="1"/>
        <v> - </v>
      </c>
      <c r="E52" s="143" t="str">
        <f t="array" ref="E52">XLOOKUP($D52,'Player Database'!$B$2:$B1009,'Player Database'!$I$2:$I1009)</f>
        <v>#N/A</v>
      </c>
      <c r="F52" s="143" t="str">
        <f t="array" ref="F52">XLOOKUP($D52,'Player Database'!$B$2:$B1009,'Player Database'!$J$2:$J1009)</f>
        <v>#N/A</v>
      </c>
      <c r="G52" s="144" t="str">
        <f t="array" ref="G52">IF(H52="","",IFERROR(
  "https://sealeddeck.tech/" &amp; INDEX('Pool Changes'!F:F,
    MAX(
      ROW('Pool Changes'!A:A) *
      ('Pool Changes'!B:B=D52) *
      ('Pool Changes'!F:F&lt;&gt;"")
    )
  ),
  ""
))</f>
        <v/>
      </c>
      <c r="H52" s="144" t="str">
        <f>IFERROR(__xludf.DUMMYFUNCTION("LET(changes,FILTER('Pool Changes'!$B:$D, 'Pool Changes'!$B:$B = $D52),added,FILTER(INDEX(changes,0,3),INDEX(changes,0,2)=""starting pool""),TRANSPOSE(IFERROR(ARRAYFORMULA(IF(added&lt;&gt;"""",""https://sealeddeck.tech/""&amp;added,"""")),"""")))"),"")</f>
        <v/>
      </c>
      <c r="I52" s="145" t="str">
        <f>IFERROR(__xludf.DUMMYFUNCTION("LET(changes,FILTER('Pool Changes'!$B:$D, 'Pool Changes'!$B:$B = $D52),added,FILTER(INDEX(changes,0,3),INDEX(changes,0,2)=""add pack""),IFERROR(TRANSPOSE(ARRAYFORMULA(IF(added&lt;&gt;"""",HYPERLINK(""https://sealeddeck.tech/""&amp;added,""Link""),""""))),""""))"),"")</f>
        <v/>
      </c>
      <c r="J52" s="146"/>
      <c r="K52" s="146"/>
      <c r="L52" s="146"/>
      <c r="M52" s="146"/>
      <c r="N52" s="146"/>
      <c r="O52" s="146"/>
      <c r="P52" s="146"/>
      <c r="Q52" s="146"/>
      <c r="R52" s="146"/>
      <c r="S52" s="146"/>
    </row>
    <row r="53">
      <c r="A53" s="140"/>
      <c r="B53" s="140"/>
      <c r="C53" s="141" t="str">
        <f t="array" ref="C53">INDEX('Player Database'!$D:$D,MATCH($D53,'Player Database'!$B:$B,0))</f>
        <v>#N/A</v>
      </c>
      <c r="D53" s="142" t="str">
        <f t="shared" si="1"/>
        <v> - </v>
      </c>
      <c r="E53" s="143" t="str">
        <f t="array" ref="E53">XLOOKUP($D53,'Player Database'!$B$2:$B1009,'Player Database'!$I$2:$I1009)</f>
        <v>#N/A</v>
      </c>
      <c r="F53" s="143" t="str">
        <f t="array" ref="F53">XLOOKUP($D53,'Player Database'!$B$2:$B1009,'Player Database'!$J$2:$J1009)</f>
        <v>#N/A</v>
      </c>
      <c r="G53" s="144" t="str">
        <f t="array" ref="G53">IF(H53="","",IFERROR(
  "https://sealeddeck.tech/" &amp; INDEX('Pool Changes'!F:F,
    MAX(
      ROW('Pool Changes'!A:A) *
      ('Pool Changes'!B:B=D53) *
      ('Pool Changes'!F:F&lt;&gt;"")
    )
  ),
  ""
))</f>
        <v/>
      </c>
      <c r="H53" s="144" t="str">
        <f>IFERROR(__xludf.DUMMYFUNCTION("LET(changes,FILTER('Pool Changes'!$B:$D, 'Pool Changes'!$B:$B = $D53),added,FILTER(INDEX(changes,0,3),INDEX(changes,0,2)=""starting pool""),TRANSPOSE(IFERROR(ARRAYFORMULA(IF(added&lt;&gt;"""",""https://sealeddeck.tech/""&amp;added,"""")),"""")))"),"")</f>
        <v/>
      </c>
      <c r="I53" s="145" t="str">
        <f>IFERROR(__xludf.DUMMYFUNCTION("LET(changes,FILTER('Pool Changes'!$B:$D, 'Pool Changes'!$B:$B = $D53),added,FILTER(INDEX(changes,0,3),INDEX(changes,0,2)=""add pack""),IFERROR(TRANSPOSE(ARRAYFORMULA(IF(added&lt;&gt;"""",HYPERLINK(""https://sealeddeck.tech/""&amp;added,""Link""),""""))),""""))"),"")</f>
        <v/>
      </c>
      <c r="J53" s="146"/>
      <c r="K53" s="146"/>
      <c r="L53" s="146"/>
      <c r="M53" s="146"/>
      <c r="N53" s="146"/>
      <c r="O53" s="146"/>
      <c r="P53" s="146"/>
      <c r="Q53" s="146"/>
      <c r="R53" s="146"/>
      <c r="S53" s="146"/>
      <c r="T53" s="147"/>
      <c r="U53" s="147"/>
      <c r="V53" s="147"/>
      <c r="W53" s="149" t="s">
        <v>459</v>
      </c>
      <c r="X53" s="147"/>
      <c r="Y53" s="147"/>
      <c r="Z53" s="147"/>
      <c r="AA53" s="147"/>
      <c r="AB53" s="147"/>
      <c r="AC53" s="147"/>
      <c r="AD53" s="147"/>
      <c r="AE53" s="147"/>
      <c r="AF53" s="147"/>
      <c r="AG53" s="147"/>
      <c r="AH53" s="147"/>
      <c r="AI53" s="147"/>
    </row>
    <row r="54">
      <c r="A54" s="140"/>
      <c r="B54" s="140"/>
      <c r="C54" s="141" t="str">
        <f t="array" ref="C54">INDEX('Player Database'!$D:$D,MATCH($D54,'Player Database'!$B:$B,0))</f>
        <v>#N/A</v>
      </c>
      <c r="D54" s="142" t="str">
        <f t="shared" si="1"/>
        <v> - </v>
      </c>
      <c r="E54" s="143" t="str">
        <f t="array" ref="E54">XLOOKUP($D54,'Player Database'!$B$2:$B1009,'Player Database'!$I$2:$I1009)</f>
        <v>#N/A</v>
      </c>
      <c r="F54" s="143" t="str">
        <f t="array" ref="F54">XLOOKUP($D54,'Player Database'!$B$2:$B1009,'Player Database'!$J$2:$J1009)</f>
        <v>#N/A</v>
      </c>
      <c r="G54" s="144" t="str">
        <f t="array" ref="G54">IF(H54="","",IFERROR(
  "https://sealeddeck.tech/" &amp; INDEX('Pool Changes'!F:F,
    MAX(
      ROW('Pool Changes'!A:A) *
      ('Pool Changes'!B:B=D54) *
      ('Pool Changes'!F:F&lt;&gt;"")
    )
  ),
  ""
))</f>
        <v/>
      </c>
      <c r="H54" s="144" t="str">
        <f>IFERROR(__xludf.DUMMYFUNCTION("LET(changes,FILTER('Pool Changes'!$B:$D, 'Pool Changes'!$B:$B = $D54),added,FILTER(INDEX(changes,0,3),INDEX(changes,0,2)=""starting pool""),TRANSPOSE(IFERROR(ARRAYFORMULA(IF(added&lt;&gt;"""",""https://sealeddeck.tech/""&amp;added,"""")),"""")))"),"")</f>
        <v/>
      </c>
      <c r="I54" s="145" t="str">
        <f>IFERROR(__xludf.DUMMYFUNCTION("LET(changes,FILTER('Pool Changes'!$B:$D, 'Pool Changes'!$B:$B = $D54),added,FILTER(INDEX(changes,0,3),INDEX(changes,0,2)=""add pack""),IFERROR(TRANSPOSE(ARRAYFORMULA(IF(added&lt;&gt;"""",HYPERLINK(""https://sealeddeck.tech/""&amp;added,""Link""),""""))),""""))"),"")</f>
        <v/>
      </c>
      <c r="J54" s="146"/>
      <c r="K54" s="146"/>
      <c r="L54" s="146"/>
      <c r="M54" s="146"/>
      <c r="N54" s="146"/>
      <c r="O54" s="146"/>
      <c r="P54" s="146"/>
      <c r="Q54" s="146"/>
      <c r="R54" s="146"/>
      <c r="S54" s="146"/>
      <c r="T54" s="147"/>
      <c r="U54" s="147"/>
      <c r="V54" s="147"/>
      <c r="W54" s="147"/>
      <c r="X54" s="147"/>
      <c r="Y54" s="147"/>
      <c r="Z54" s="147"/>
      <c r="AA54" s="147"/>
      <c r="AB54" s="147"/>
      <c r="AC54" s="147"/>
      <c r="AD54" s="147"/>
      <c r="AE54" s="147"/>
      <c r="AF54" s="147"/>
      <c r="AG54" s="147"/>
      <c r="AH54" s="147"/>
      <c r="AI54" s="147"/>
    </row>
    <row r="55">
      <c r="A55" s="140"/>
      <c r="B55" s="140"/>
      <c r="C55" s="141" t="str">
        <f t="array" ref="C55">INDEX('Player Database'!$D:$D,MATCH($D55,'Player Database'!$B:$B,0))</f>
        <v>#N/A</v>
      </c>
      <c r="D55" s="142" t="str">
        <f t="shared" si="1"/>
        <v> - </v>
      </c>
      <c r="E55" s="143" t="str">
        <f t="array" ref="E55">XLOOKUP($D55,'Player Database'!$B$2:$B1009,'Player Database'!$I$2:$I1009)</f>
        <v>#N/A</v>
      </c>
      <c r="F55" s="143" t="str">
        <f t="array" ref="F55">XLOOKUP($D55,'Player Database'!$B$2:$B1009,'Player Database'!$J$2:$J1009)</f>
        <v>#N/A</v>
      </c>
      <c r="G55" s="144" t="str">
        <f t="array" ref="G55">IF(H55="","",IFERROR(
  "https://sealeddeck.tech/" &amp; INDEX('Pool Changes'!F:F,
    MAX(
      ROW('Pool Changes'!A:A) *
      ('Pool Changes'!B:B=D55) *
      ('Pool Changes'!F:F&lt;&gt;"")
    )
  ),
  ""
))</f>
        <v/>
      </c>
      <c r="H55" s="144" t="str">
        <f>IFERROR(__xludf.DUMMYFUNCTION("LET(changes,FILTER('Pool Changes'!$B:$D, 'Pool Changes'!$B:$B = $D55),added,FILTER(INDEX(changes,0,3),INDEX(changes,0,2)=""starting pool""),TRANSPOSE(IFERROR(ARRAYFORMULA(IF(added&lt;&gt;"""",""https://sealeddeck.tech/""&amp;added,"""")),"""")))"),"")</f>
        <v/>
      </c>
      <c r="I55" s="145" t="str">
        <f>IFERROR(__xludf.DUMMYFUNCTION("LET(changes,FILTER('Pool Changes'!$B:$D, 'Pool Changes'!$B:$B = $D55),added,FILTER(INDEX(changes,0,3),INDEX(changes,0,2)=""add pack""),IFERROR(TRANSPOSE(ARRAYFORMULA(IF(added&lt;&gt;"""",HYPERLINK(""https://sealeddeck.tech/""&amp;added,""Link""),""""))),""""))"),"")</f>
        <v/>
      </c>
      <c r="J55" s="146"/>
      <c r="K55" s="146"/>
      <c r="L55" s="146"/>
      <c r="M55" s="146"/>
      <c r="N55" s="146"/>
      <c r="O55" s="146"/>
      <c r="P55" s="146"/>
      <c r="Q55" s="146"/>
      <c r="R55" s="146"/>
      <c r="S55" s="146"/>
      <c r="T55" s="147"/>
      <c r="U55" s="147"/>
      <c r="V55" s="147"/>
      <c r="W55" s="149" t="s">
        <v>459</v>
      </c>
      <c r="X55" s="147"/>
      <c r="Y55" s="147"/>
      <c r="Z55" s="147"/>
      <c r="AA55" s="147"/>
      <c r="AB55" s="147"/>
      <c r="AC55" s="147"/>
      <c r="AD55" s="147"/>
      <c r="AE55" s="147"/>
      <c r="AF55" s="147"/>
      <c r="AG55" s="147"/>
      <c r="AH55" s="147"/>
      <c r="AI55" s="147"/>
    </row>
    <row r="56">
      <c r="A56" s="140"/>
      <c r="B56" s="140"/>
      <c r="C56" s="141" t="str">
        <f t="array" ref="C56">INDEX('Player Database'!$D:$D,MATCH($D56,'Player Database'!$B:$B,0))</f>
        <v>#N/A</v>
      </c>
      <c r="D56" s="142" t="str">
        <f t="shared" si="1"/>
        <v> - </v>
      </c>
      <c r="E56" s="143" t="str">
        <f t="array" ref="E56">XLOOKUP($D56,'Player Database'!$B$2:$B1009,'Player Database'!$I$2:$I1009)</f>
        <v>#N/A</v>
      </c>
      <c r="F56" s="143" t="str">
        <f t="array" ref="F56">XLOOKUP($D56,'Player Database'!$B$2:$B1009,'Player Database'!$J$2:$J1009)</f>
        <v>#N/A</v>
      </c>
      <c r="G56" s="144" t="str">
        <f t="array" ref="G56">IF(H56="","",IFERROR(
  "https://sealeddeck.tech/" &amp; INDEX('Pool Changes'!F:F,
    MAX(
      ROW('Pool Changes'!A:A) *
      ('Pool Changes'!B:B=D56) *
      ('Pool Changes'!F:F&lt;&gt;"")
    )
  ),
  ""
))</f>
        <v/>
      </c>
      <c r="H56" s="144" t="str">
        <f>IFERROR(__xludf.DUMMYFUNCTION("LET(changes,FILTER('Pool Changes'!$B:$D, 'Pool Changes'!$B:$B = $D56),added,FILTER(INDEX(changes,0,3),INDEX(changes,0,2)=""starting pool""),TRANSPOSE(IFERROR(ARRAYFORMULA(IF(added&lt;&gt;"""",""https://sealeddeck.tech/""&amp;added,"""")),"""")))"),"")</f>
        <v/>
      </c>
      <c r="I56" s="145" t="str">
        <f>IFERROR(__xludf.DUMMYFUNCTION("LET(changes,FILTER('Pool Changes'!$B:$D, 'Pool Changes'!$B:$B = $D56),added,FILTER(INDEX(changes,0,3),INDEX(changes,0,2)=""add pack""),IFERROR(TRANSPOSE(ARRAYFORMULA(IF(added&lt;&gt;"""",HYPERLINK(""https://sealeddeck.tech/""&amp;added,""Link""),""""))),""""))"),"")</f>
        <v/>
      </c>
      <c r="J56" s="146"/>
      <c r="K56" s="146"/>
      <c r="L56" s="146"/>
      <c r="M56" s="146"/>
      <c r="N56" s="146"/>
      <c r="O56" s="146"/>
      <c r="P56" s="146"/>
      <c r="Q56" s="146"/>
      <c r="R56" s="146"/>
      <c r="S56" s="146"/>
      <c r="T56" s="147"/>
      <c r="U56" s="147"/>
      <c r="V56" s="147"/>
      <c r="W56" s="149" t="s">
        <v>459</v>
      </c>
      <c r="X56" s="147"/>
      <c r="Y56" s="147"/>
      <c r="Z56" s="147"/>
      <c r="AA56" s="147"/>
      <c r="AB56" s="147"/>
      <c r="AC56" s="147"/>
      <c r="AD56" s="147"/>
      <c r="AE56" s="147"/>
      <c r="AF56" s="147"/>
      <c r="AG56" s="147"/>
      <c r="AH56" s="147"/>
      <c r="AI56" s="147"/>
    </row>
    <row r="57">
      <c r="A57" s="140"/>
      <c r="B57" s="140"/>
      <c r="C57" s="141" t="str">
        <f t="array" ref="C57">INDEX('Player Database'!$D:$D,MATCH($D57,'Player Database'!$B:$B,0))</f>
        <v>#N/A</v>
      </c>
      <c r="D57" s="142" t="str">
        <f t="shared" si="1"/>
        <v> - </v>
      </c>
      <c r="E57" s="143" t="str">
        <f t="array" ref="E57">XLOOKUP($D57,'Player Database'!$B$2:$B1009,'Player Database'!$I$2:$I1009)</f>
        <v>#N/A</v>
      </c>
      <c r="F57" s="143" t="str">
        <f t="array" ref="F57">XLOOKUP($D57,'Player Database'!$B$2:$B1009,'Player Database'!$J$2:$J1009)</f>
        <v>#N/A</v>
      </c>
      <c r="G57" s="144" t="str">
        <f t="array" ref="G57">IF(H57="","",IFERROR(
  "https://sealeddeck.tech/" &amp; INDEX('Pool Changes'!F:F,
    MAX(
      ROW('Pool Changes'!A:A) *
      ('Pool Changes'!B:B=D57) *
      ('Pool Changes'!F:F&lt;&gt;"")
    )
  ),
  ""
))</f>
        <v/>
      </c>
      <c r="H57" s="144" t="str">
        <f>IFERROR(__xludf.DUMMYFUNCTION("LET(changes,FILTER('Pool Changes'!$B:$D, 'Pool Changes'!$B:$B = $D57),added,FILTER(INDEX(changes,0,3),INDEX(changes,0,2)=""starting pool""),TRANSPOSE(IFERROR(ARRAYFORMULA(IF(added&lt;&gt;"""",""https://sealeddeck.tech/""&amp;added,"""")),"""")))"),"")</f>
        <v/>
      </c>
      <c r="I57" s="145" t="str">
        <f>IFERROR(__xludf.DUMMYFUNCTION("LET(changes,FILTER('Pool Changes'!$B:$D, 'Pool Changes'!$B:$B = $D57),added,FILTER(INDEX(changes,0,3),INDEX(changes,0,2)=""add pack""),IFERROR(TRANSPOSE(ARRAYFORMULA(IF(added&lt;&gt;"""",HYPERLINK(""https://sealeddeck.tech/""&amp;added,""Link""),""""))),""""))"),"")</f>
        <v/>
      </c>
      <c r="J57" s="146"/>
      <c r="K57" s="146"/>
      <c r="L57" s="146"/>
      <c r="M57" s="146"/>
      <c r="N57" s="146"/>
      <c r="O57" s="146"/>
      <c r="P57" s="146"/>
      <c r="Q57" s="146"/>
      <c r="R57" s="146"/>
      <c r="S57" s="146"/>
      <c r="T57" s="147"/>
      <c r="U57" s="147"/>
      <c r="V57" s="147"/>
      <c r="W57" s="147"/>
      <c r="X57" s="147"/>
      <c r="Y57" s="147"/>
      <c r="Z57" s="147"/>
      <c r="AA57" s="147"/>
      <c r="AB57" s="147"/>
      <c r="AC57" s="147"/>
      <c r="AD57" s="147"/>
      <c r="AE57" s="147"/>
      <c r="AF57" s="147"/>
      <c r="AG57" s="147"/>
      <c r="AH57" s="147"/>
      <c r="AI57" s="147"/>
    </row>
    <row r="58">
      <c r="A58" s="140"/>
      <c r="B58" s="140"/>
      <c r="C58" s="141" t="str">
        <f t="array" ref="C58">INDEX('Player Database'!$D:$D,MATCH($D58,'Player Database'!$B:$B,0))</f>
        <v>#N/A</v>
      </c>
      <c r="D58" s="142" t="str">
        <f t="shared" si="1"/>
        <v> - </v>
      </c>
      <c r="E58" s="143" t="str">
        <f t="array" ref="E58">XLOOKUP($D58,'Player Database'!$B$2:$B1009,'Player Database'!$I$2:$I1009)</f>
        <v>#N/A</v>
      </c>
      <c r="F58" s="143" t="str">
        <f t="array" ref="F58">XLOOKUP($D58,'Player Database'!$B$2:$B1009,'Player Database'!$J$2:$J1009)</f>
        <v>#N/A</v>
      </c>
      <c r="G58" s="144" t="str">
        <f t="array" ref="G58">IF(H58="","",IFERROR(
  "https://sealeddeck.tech/" &amp; INDEX('Pool Changes'!F:F,
    MAX(
      ROW('Pool Changes'!A:A) *
      ('Pool Changes'!B:B=D58) *
      ('Pool Changes'!F:F&lt;&gt;"")
    )
  ),
  ""
))</f>
        <v/>
      </c>
      <c r="H58" s="144" t="str">
        <f>IFERROR(__xludf.DUMMYFUNCTION("LET(changes,FILTER('Pool Changes'!$B:$D, 'Pool Changes'!$B:$B = $D58),added,FILTER(INDEX(changes,0,3),INDEX(changes,0,2)=""starting pool""),TRANSPOSE(IFERROR(ARRAYFORMULA(IF(added&lt;&gt;"""",""https://sealeddeck.tech/""&amp;added,"""")),"""")))"),"")</f>
        <v/>
      </c>
      <c r="I58" s="145" t="str">
        <f>IFERROR(__xludf.DUMMYFUNCTION("LET(changes,FILTER('Pool Changes'!$B:$D, 'Pool Changes'!$B:$B = $D58),added,FILTER(INDEX(changes,0,3),INDEX(changes,0,2)=""add pack""),IFERROR(TRANSPOSE(ARRAYFORMULA(IF(added&lt;&gt;"""",HYPERLINK(""https://sealeddeck.tech/""&amp;added,""Link""),""""))),""""))"),"")</f>
        <v/>
      </c>
      <c r="J58" s="146"/>
      <c r="K58" s="146"/>
      <c r="L58" s="146"/>
      <c r="M58" s="146"/>
      <c r="N58" s="146"/>
      <c r="O58" s="146"/>
      <c r="P58" s="146"/>
      <c r="Q58" s="146"/>
      <c r="R58" s="146"/>
      <c r="S58" s="146"/>
      <c r="T58" s="147"/>
      <c r="U58" s="147"/>
      <c r="V58" s="147"/>
      <c r="W58" s="149" t="s">
        <v>459</v>
      </c>
      <c r="X58" s="147"/>
      <c r="Y58" s="147"/>
      <c r="Z58" s="147"/>
      <c r="AA58" s="147"/>
      <c r="AB58" s="147"/>
      <c r="AC58" s="147"/>
      <c r="AD58" s="147"/>
      <c r="AE58" s="147"/>
      <c r="AF58" s="147"/>
      <c r="AG58" s="147"/>
      <c r="AH58" s="147"/>
      <c r="AI58" s="147"/>
    </row>
    <row r="59">
      <c r="A59" s="140"/>
      <c r="B59" s="140"/>
      <c r="C59" s="141" t="str">
        <f t="array" ref="C59">INDEX('Player Database'!$D:$D,MATCH($D59,'Player Database'!$B:$B,0))</f>
        <v>#N/A</v>
      </c>
      <c r="D59" s="142" t="str">
        <f t="shared" si="1"/>
        <v> - </v>
      </c>
      <c r="E59" s="143" t="str">
        <f t="array" ref="E59">XLOOKUP($D59,'Player Database'!$B$2:$B1009,'Player Database'!$I$2:$I1009)</f>
        <v>#N/A</v>
      </c>
      <c r="F59" s="143" t="str">
        <f t="array" ref="F59">XLOOKUP($D59,'Player Database'!$B$2:$B1009,'Player Database'!$J$2:$J1009)</f>
        <v>#N/A</v>
      </c>
      <c r="G59" s="144" t="str">
        <f t="array" ref="G59">IF(H59="","",IFERROR(
  "https://sealeddeck.tech/" &amp; INDEX('Pool Changes'!F:F,
    MAX(
      ROW('Pool Changes'!A:A) *
      ('Pool Changes'!B:B=D59) *
      ('Pool Changes'!F:F&lt;&gt;"")
    )
  ),
  ""
))</f>
        <v/>
      </c>
      <c r="H59" s="144" t="str">
        <f>IFERROR(__xludf.DUMMYFUNCTION("LET(changes,FILTER('Pool Changes'!$B:$D, 'Pool Changes'!$B:$B = $D59),added,FILTER(INDEX(changes,0,3),INDEX(changes,0,2)=""starting pool""),TRANSPOSE(IFERROR(ARRAYFORMULA(IF(added&lt;&gt;"""",""https://sealeddeck.tech/""&amp;added,"""")),"""")))"),"")</f>
        <v/>
      </c>
      <c r="I59" s="145" t="str">
        <f>IFERROR(__xludf.DUMMYFUNCTION("LET(changes,FILTER('Pool Changes'!$B:$D, 'Pool Changes'!$B:$B = $D59),added,FILTER(INDEX(changes,0,3),INDEX(changes,0,2)=""add pack""),IFERROR(TRANSPOSE(ARRAYFORMULA(IF(added&lt;&gt;"""",HYPERLINK(""https://sealeddeck.tech/""&amp;added,""Link""),""""))),""""))"),"")</f>
        <v/>
      </c>
      <c r="J59" s="146"/>
      <c r="K59" s="146"/>
      <c r="L59" s="146"/>
      <c r="M59" s="146"/>
      <c r="N59" s="146"/>
      <c r="O59" s="146"/>
      <c r="P59" s="146"/>
      <c r="Q59" s="146"/>
      <c r="R59" s="146"/>
      <c r="S59" s="146"/>
      <c r="T59" s="147"/>
      <c r="U59" s="147"/>
      <c r="V59" s="147"/>
      <c r="W59" s="149" t="s">
        <v>459</v>
      </c>
      <c r="X59" s="147"/>
      <c r="Y59" s="147"/>
      <c r="Z59" s="147"/>
      <c r="AA59" s="147"/>
      <c r="AB59" s="147"/>
      <c r="AC59" s="147"/>
      <c r="AD59" s="147"/>
      <c r="AE59" s="147"/>
      <c r="AF59" s="147"/>
      <c r="AG59" s="147"/>
      <c r="AH59" s="147"/>
      <c r="AI59" s="147"/>
    </row>
    <row r="60">
      <c r="A60" s="140"/>
      <c r="B60" s="140"/>
      <c r="C60" s="141" t="str">
        <f t="array" ref="C60">INDEX('Player Database'!$D:$D,MATCH($D60,'Player Database'!$B:$B,0))</f>
        <v>#N/A</v>
      </c>
      <c r="D60" s="142" t="str">
        <f t="shared" si="1"/>
        <v> - </v>
      </c>
      <c r="E60" s="143" t="str">
        <f t="array" ref="E60">XLOOKUP($D60,'Player Database'!$B$2:$B1009,'Player Database'!$I$2:$I1009)</f>
        <v>#N/A</v>
      </c>
      <c r="F60" s="143" t="str">
        <f t="array" ref="F60">XLOOKUP($D60,'Player Database'!$B$2:$B1009,'Player Database'!$J$2:$J1009)</f>
        <v>#N/A</v>
      </c>
      <c r="G60" s="144" t="str">
        <f t="array" ref="G60">IF(H60="","",IFERROR(
  "https://sealeddeck.tech/" &amp; INDEX('Pool Changes'!F:F,
    MAX(
      ROW('Pool Changes'!A:A) *
      ('Pool Changes'!B:B=D60) *
      ('Pool Changes'!F:F&lt;&gt;"")
    )
  ),
  ""
))</f>
        <v/>
      </c>
      <c r="H60" s="144" t="str">
        <f>IFERROR(__xludf.DUMMYFUNCTION("LET(changes,FILTER('Pool Changes'!$B:$D, 'Pool Changes'!$B:$B = $D60),added,FILTER(INDEX(changes,0,3),INDEX(changes,0,2)=""starting pool""),TRANSPOSE(IFERROR(ARRAYFORMULA(IF(added&lt;&gt;"""",""https://sealeddeck.tech/""&amp;added,"""")),"""")))"),"")</f>
        <v/>
      </c>
      <c r="I60" s="145" t="str">
        <f>IFERROR(__xludf.DUMMYFUNCTION("LET(changes,FILTER('Pool Changes'!$B:$D, 'Pool Changes'!$B:$B = $D60),added,FILTER(INDEX(changes,0,3),INDEX(changes,0,2)=""add pack""),IFERROR(TRANSPOSE(ARRAYFORMULA(IF(added&lt;&gt;"""",HYPERLINK(""https://sealeddeck.tech/""&amp;added,""Link""),""""))),""""))"),"")</f>
        <v/>
      </c>
      <c r="J60" s="146"/>
      <c r="K60" s="146"/>
      <c r="L60" s="146"/>
      <c r="M60" s="146"/>
      <c r="N60" s="146"/>
      <c r="O60" s="146"/>
      <c r="P60" s="146"/>
      <c r="Q60" s="146"/>
      <c r="R60" s="146"/>
      <c r="S60" s="146"/>
      <c r="T60" s="147"/>
      <c r="U60" s="147"/>
      <c r="V60" s="147"/>
      <c r="W60" s="147"/>
      <c r="X60" s="147"/>
      <c r="Y60" s="147"/>
      <c r="Z60" s="147"/>
      <c r="AA60" s="147"/>
      <c r="AB60" s="147"/>
      <c r="AC60" s="147"/>
      <c r="AD60" s="147"/>
      <c r="AE60" s="147"/>
      <c r="AF60" s="147"/>
      <c r="AG60" s="147"/>
      <c r="AH60" s="147"/>
      <c r="AI60" s="147"/>
    </row>
    <row r="61">
      <c r="A61" s="140"/>
      <c r="B61" s="140"/>
      <c r="C61" s="141" t="str">
        <f t="array" ref="C61">INDEX('Player Database'!$D:$D,MATCH($D61,'Player Database'!$B:$B,0))</f>
        <v>#N/A</v>
      </c>
      <c r="D61" s="142" t="str">
        <f t="shared" si="1"/>
        <v> - </v>
      </c>
      <c r="E61" s="143" t="str">
        <f t="array" ref="E61">XLOOKUP($D61,'Player Database'!$B$2:$B1009,'Player Database'!$I$2:$I1009)</f>
        <v>#N/A</v>
      </c>
      <c r="F61" s="143" t="str">
        <f t="array" ref="F61">XLOOKUP($D61,'Player Database'!$B$2:$B1009,'Player Database'!$J$2:$J1009)</f>
        <v>#N/A</v>
      </c>
      <c r="G61" s="144" t="str">
        <f t="array" ref="G61">IF(H61="","",IFERROR(
  "https://sealeddeck.tech/" &amp; INDEX('Pool Changes'!F:F,
    MAX(
      ROW('Pool Changes'!A:A) *
      ('Pool Changes'!B:B=D61) *
      ('Pool Changes'!F:F&lt;&gt;"")
    )
  ),
  ""
))</f>
        <v/>
      </c>
      <c r="H61" s="144" t="str">
        <f>IFERROR(__xludf.DUMMYFUNCTION("LET(changes,FILTER('Pool Changes'!$B:$D, 'Pool Changes'!$B:$B = $D61),added,FILTER(INDEX(changes,0,3),INDEX(changes,0,2)=""starting pool""),TRANSPOSE(IFERROR(ARRAYFORMULA(IF(added&lt;&gt;"""",""https://sealeddeck.tech/""&amp;added,"""")),"""")))"),"")</f>
        <v/>
      </c>
      <c r="I61" s="145" t="str">
        <f>IFERROR(__xludf.DUMMYFUNCTION("LET(changes,FILTER('Pool Changes'!$B:$D, 'Pool Changes'!$B:$B = $D61),added,FILTER(INDEX(changes,0,3),INDEX(changes,0,2)=""add pack""),IFERROR(TRANSPOSE(ARRAYFORMULA(IF(added&lt;&gt;"""",HYPERLINK(""https://sealeddeck.tech/""&amp;added,""Link""),""""))),""""))"),"")</f>
        <v/>
      </c>
      <c r="J61" s="146"/>
      <c r="K61" s="146"/>
      <c r="L61" s="146"/>
      <c r="M61" s="146"/>
      <c r="N61" s="146"/>
      <c r="O61" s="146"/>
      <c r="P61" s="146"/>
      <c r="Q61" s="146"/>
      <c r="R61" s="146"/>
      <c r="S61" s="146"/>
      <c r="T61" s="147"/>
      <c r="U61" s="147"/>
      <c r="V61" s="147"/>
      <c r="W61" s="147"/>
      <c r="X61" s="147"/>
      <c r="Y61" s="147"/>
      <c r="Z61" s="147"/>
      <c r="AA61" s="147"/>
      <c r="AB61" s="147"/>
      <c r="AC61" s="147"/>
      <c r="AD61" s="147"/>
      <c r="AE61" s="147"/>
      <c r="AF61" s="147"/>
      <c r="AG61" s="147"/>
      <c r="AH61" s="147"/>
      <c r="AI61" s="147"/>
    </row>
    <row r="62">
      <c r="A62" s="140"/>
      <c r="B62" s="140"/>
      <c r="C62" s="141" t="str">
        <f t="array" ref="C62">INDEX('Player Database'!$D:$D,MATCH($D62,'Player Database'!$B:$B,0))</f>
        <v>#N/A</v>
      </c>
      <c r="D62" s="142" t="str">
        <f t="shared" si="1"/>
        <v> - </v>
      </c>
      <c r="E62" s="143" t="str">
        <f t="array" ref="E62">XLOOKUP($D62,'Player Database'!$B$2:$B1009,'Player Database'!$I$2:$I1009)</f>
        <v>#N/A</v>
      </c>
      <c r="F62" s="143" t="str">
        <f t="array" ref="F62">XLOOKUP($D62,'Player Database'!$B$2:$B1009,'Player Database'!$J$2:$J1009)</f>
        <v>#N/A</v>
      </c>
      <c r="G62" s="144" t="str">
        <f t="array" ref="G62">IF(H62="","",IFERROR(
  "https://sealeddeck.tech/" &amp; INDEX('Pool Changes'!F:F,
    MAX(
      ROW('Pool Changes'!A:A) *
      ('Pool Changes'!B:B=D62) *
      ('Pool Changes'!F:F&lt;&gt;"")
    )
  ),
  ""
))</f>
        <v/>
      </c>
      <c r="H62" s="144" t="str">
        <f>IFERROR(__xludf.DUMMYFUNCTION("LET(changes,FILTER('Pool Changes'!$B:$D, 'Pool Changes'!$B:$B = $D62),added,FILTER(INDEX(changes,0,3),INDEX(changes,0,2)=""starting pool""),TRANSPOSE(IFERROR(ARRAYFORMULA(IF(added&lt;&gt;"""",""https://sealeddeck.tech/""&amp;added,"""")),"""")))"),"")</f>
        <v/>
      </c>
      <c r="I62" s="145" t="str">
        <f>IFERROR(__xludf.DUMMYFUNCTION("LET(changes,FILTER('Pool Changes'!$B:$D, 'Pool Changes'!$B:$B = $D62),added,FILTER(INDEX(changes,0,3),INDEX(changes,0,2)=""add pack""),IFERROR(TRANSPOSE(ARRAYFORMULA(IF(added&lt;&gt;"""",HYPERLINK(""https://sealeddeck.tech/""&amp;added,""Link""),""""))),""""))"),"")</f>
        <v/>
      </c>
      <c r="J62" s="146"/>
      <c r="K62" s="146"/>
      <c r="L62" s="146"/>
      <c r="M62" s="146"/>
      <c r="N62" s="146"/>
      <c r="O62" s="146"/>
      <c r="P62" s="146"/>
      <c r="Q62" s="146"/>
      <c r="R62" s="146"/>
      <c r="S62" s="146"/>
      <c r="T62" s="147"/>
      <c r="U62" s="147"/>
      <c r="V62" s="147"/>
      <c r="W62" s="149" t="s">
        <v>459</v>
      </c>
      <c r="X62" s="147"/>
      <c r="Y62" s="147"/>
      <c r="Z62" s="147"/>
      <c r="AA62" s="147"/>
      <c r="AB62" s="147"/>
      <c r="AC62" s="147"/>
      <c r="AD62" s="147"/>
      <c r="AE62" s="147"/>
      <c r="AF62" s="147"/>
      <c r="AG62" s="147"/>
      <c r="AH62" s="147"/>
      <c r="AI62" s="147"/>
    </row>
    <row r="63">
      <c r="A63" s="140"/>
      <c r="B63" s="140"/>
      <c r="C63" s="141" t="str">
        <f t="array" ref="C63">INDEX('Player Database'!$D:$D,MATCH($D63,'Player Database'!$B:$B,0))</f>
        <v>#N/A</v>
      </c>
      <c r="D63" s="142" t="str">
        <f t="shared" si="1"/>
        <v> - </v>
      </c>
      <c r="E63" s="143" t="str">
        <f t="array" ref="E63">XLOOKUP($D63,'Player Database'!$B$2:$B1009,'Player Database'!$I$2:$I1009)</f>
        <v>#N/A</v>
      </c>
      <c r="F63" s="143" t="str">
        <f t="array" ref="F63">XLOOKUP($D63,'Player Database'!$B$2:$B1009,'Player Database'!$J$2:$J1009)</f>
        <v>#N/A</v>
      </c>
      <c r="G63" s="144" t="str">
        <f t="array" ref="G63">IF(H63="","",IFERROR(
  "https://sealeddeck.tech/" &amp; INDEX('Pool Changes'!F:F,
    MAX(
      ROW('Pool Changes'!A:A) *
      ('Pool Changes'!B:B=D63) *
      ('Pool Changes'!F:F&lt;&gt;"")
    )
  ),
  ""
))</f>
        <v/>
      </c>
      <c r="H63" s="144" t="str">
        <f>IFERROR(__xludf.DUMMYFUNCTION("LET(changes,FILTER('Pool Changes'!$B:$D, 'Pool Changes'!$B:$B = $D63),added,FILTER(INDEX(changes,0,3),INDEX(changes,0,2)=""starting pool""),TRANSPOSE(IFERROR(ARRAYFORMULA(IF(added&lt;&gt;"""",""https://sealeddeck.tech/""&amp;added,"""")),"""")))"),"")</f>
        <v/>
      </c>
      <c r="I63" s="145" t="str">
        <f>IFERROR(__xludf.DUMMYFUNCTION("LET(changes,FILTER('Pool Changes'!$B:$D, 'Pool Changes'!$B:$B = $D63),added,FILTER(INDEX(changes,0,3),INDEX(changes,0,2)=""add pack""),IFERROR(TRANSPOSE(ARRAYFORMULA(IF(added&lt;&gt;"""",HYPERLINK(""https://sealeddeck.tech/""&amp;added,""Link""),""""))),""""))"),"")</f>
        <v/>
      </c>
      <c r="J63" s="146"/>
      <c r="K63" s="146"/>
      <c r="L63" s="146"/>
      <c r="M63" s="146"/>
      <c r="N63" s="146"/>
      <c r="O63" s="146"/>
      <c r="P63" s="146"/>
      <c r="Q63" s="146"/>
      <c r="R63" s="146"/>
      <c r="S63" s="146"/>
      <c r="T63" s="147"/>
      <c r="U63" s="147"/>
      <c r="V63" s="147"/>
      <c r="W63" s="147"/>
      <c r="X63" s="147"/>
      <c r="Y63" s="147"/>
      <c r="Z63" s="147"/>
      <c r="AA63" s="147"/>
      <c r="AB63" s="147"/>
      <c r="AC63" s="147"/>
      <c r="AD63" s="147"/>
      <c r="AE63" s="147"/>
      <c r="AF63" s="147"/>
      <c r="AG63" s="147"/>
      <c r="AH63" s="147"/>
      <c r="AI63" s="147"/>
    </row>
    <row r="64">
      <c r="A64" s="140"/>
      <c r="B64" s="140"/>
      <c r="C64" s="141" t="str">
        <f t="array" ref="C64">INDEX('Player Database'!$D:$D,MATCH($D64,'Player Database'!$B:$B,0))</f>
        <v>#N/A</v>
      </c>
      <c r="D64" s="142" t="str">
        <f t="shared" si="1"/>
        <v> - </v>
      </c>
      <c r="E64" s="143" t="str">
        <f t="array" ref="E64">XLOOKUP($D64,'Player Database'!$B$2:$B1009,'Player Database'!$I$2:$I1009)</f>
        <v>#N/A</v>
      </c>
      <c r="F64" s="143" t="str">
        <f t="array" ref="F64">XLOOKUP($D64,'Player Database'!$B$2:$B1009,'Player Database'!$J$2:$J1009)</f>
        <v>#N/A</v>
      </c>
      <c r="G64" s="144" t="str">
        <f t="array" ref="G64">IF(H64="","",IFERROR(
  "https://sealeddeck.tech/" &amp; INDEX('Pool Changes'!F:F,
    MAX(
      ROW('Pool Changes'!A:A) *
      ('Pool Changes'!B:B=D64) *
      ('Pool Changes'!F:F&lt;&gt;"")
    )
  ),
  ""
))</f>
        <v/>
      </c>
      <c r="H64" s="144" t="str">
        <f>IFERROR(__xludf.DUMMYFUNCTION("LET(changes,FILTER('Pool Changes'!$B:$D, 'Pool Changes'!$B:$B = $D64),added,FILTER(INDEX(changes,0,3),INDEX(changes,0,2)=""starting pool""),TRANSPOSE(IFERROR(ARRAYFORMULA(IF(added&lt;&gt;"""",""https://sealeddeck.tech/""&amp;added,"""")),"""")))"),"")</f>
        <v/>
      </c>
      <c r="I64" s="145" t="str">
        <f>IFERROR(__xludf.DUMMYFUNCTION("LET(changes,FILTER('Pool Changes'!$B:$D, 'Pool Changes'!$B:$B = $D64),added,FILTER(INDEX(changes,0,3),INDEX(changes,0,2)=""add pack""),IFERROR(TRANSPOSE(ARRAYFORMULA(IF(added&lt;&gt;"""",HYPERLINK(""https://sealeddeck.tech/""&amp;added,""Link""),""""))),""""))"),"")</f>
        <v/>
      </c>
      <c r="J64" s="146"/>
      <c r="K64" s="146"/>
      <c r="L64" s="146"/>
      <c r="M64" s="146"/>
      <c r="N64" s="146"/>
      <c r="O64" s="146"/>
      <c r="P64" s="146"/>
      <c r="Q64" s="146"/>
      <c r="R64" s="146"/>
      <c r="S64" s="146"/>
      <c r="T64" s="147"/>
      <c r="U64" s="147"/>
      <c r="V64" s="147"/>
      <c r="W64" s="147"/>
      <c r="X64" s="147"/>
      <c r="Y64" s="147"/>
      <c r="Z64" s="147"/>
      <c r="AA64" s="147"/>
      <c r="AB64" s="147"/>
      <c r="AC64" s="147"/>
      <c r="AD64" s="147"/>
      <c r="AE64" s="147"/>
      <c r="AF64" s="147"/>
      <c r="AG64" s="147"/>
      <c r="AH64" s="147"/>
      <c r="AI64" s="147"/>
    </row>
    <row r="65">
      <c r="A65" s="140"/>
      <c r="B65" s="140"/>
      <c r="C65" s="141" t="str">
        <f t="array" ref="C65">INDEX('Player Database'!$D:$D,MATCH($D65,'Player Database'!$B:$B,0))</f>
        <v>#N/A</v>
      </c>
      <c r="D65" s="142" t="str">
        <f t="shared" si="1"/>
        <v> - </v>
      </c>
      <c r="E65" s="143" t="str">
        <f t="array" ref="E65">XLOOKUP($D65,'Player Database'!$B$2:$B1009,'Player Database'!$I$2:$I1009)</f>
        <v>#N/A</v>
      </c>
      <c r="F65" s="143" t="str">
        <f t="array" ref="F65">XLOOKUP($D65,'Player Database'!$B$2:$B1009,'Player Database'!$J$2:$J1009)</f>
        <v>#N/A</v>
      </c>
      <c r="G65" s="144" t="str">
        <f t="array" ref="G65">IF(H65="","",IFERROR(
  "https://sealeddeck.tech/" &amp; INDEX('Pool Changes'!F:F,
    MAX(
      ROW('Pool Changes'!A:A) *
      ('Pool Changes'!B:B=D65) *
      ('Pool Changes'!F:F&lt;&gt;"")
    )
  ),
  ""
))</f>
        <v/>
      </c>
      <c r="H65" s="144" t="str">
        <f>IFERROR(__xludf.DUMMYFUNCTION("LET(changes,FILTER('Pool Changes'!$B:$D, 'Pool Changes'!$B:$B = $D65),added,FILTER(INDEX(changes,0,3),INDEX(changes,0,2)=""starting pool""),TRANSPOSE(IFERROR(ARRAYFORMULA(IF(added&lt;&gt;"""",""https://sealeddeck.tech/""&amp;added,"""")),"""")))"),"")</f>
        <v/>
      </c>
      <c r="I65" s="145" t="str">
        <f>IFERROR(__xludf.DUMMYFUNCTION("LET(changes,FILTER('Pool Changes'!$B:$D, 'Pool Changes'!$B:$B = $D65),added,FILTER(INDEX(changes,0,3),INDEX(changes,0,2)=""add pack""),IFERROR(TRANSPOSE(ARRAYFORMULA(IF(added&lt;&gt;"""",HYPERLINK(""https://sealeddeck.tech/""&amp;added,""Link""),""""))),""""))"),"")</f>
        <v/>
      </c>
      <c r="J65" s="146"/>
      <c r="K65" s="146"/>
      <c r="L65" s="146"/>
      <c r="M65" s="146"/>
      <c r="N65" s="146"/>
      <c r="O65" s="146"/>
      <c r="P65" s="146"/>
      <c r="Q65" s="146"/>
      <c r="R65" s="146"/>
      <c r="S65" s="146"/>
      <c r="T65" s="147"/>
      <c r="U65" s="147"/>
      <c r="V65" s="147"/>
      <c r="W65" s="149" t="s">
        <v>459</v>
      </c>
      <c r="X65" s="147"/>
      <c r="Y65" s="147"/>
      <c r="Z65" s="147"/>
      <c r="AA65" s="147"/>
      <c r="AB65" s="147"/>
      <c r="AC65" s="147"/>
      <c r="AD65" s="147"/>
      <c r="AE65" s="147"/>
      <c r="AF65" s="147"/>
      <c r="AG65" s="147"/>
      <c r="AH65" s="147"/>
      <c r="AI65" s="147"/>
    </row>
    <row r="66">
      <c r="A66" s="140"/>
      <c r="B66" s="140"/>
      <c r="C66" s="141" t="str">
        <f t="array" ref="C66">INDEX('Player Database'!$D:$D,MATCH($D66,'Player Database'!$B:$B,0))</f>
        <v>#N/A</v>
      </c>
      <c r="D66" s="142" t="str">
        <f t="shared" si="1"/>
        <v> - </v>
      </c>
      <c r="E66" s="143" t="str">
        <f t="array" ref="E66">XLOOKUP($D66,'Player Database'!$B$2:$B1009,'Player Database'!$I$2:$I1009)</f>
        <v>#N/A</v>
      </c>
      <c r="F66" s="143" t="str">
        <f t="array" ref="F66">XLOOKUP($D66,'Player Database'!$B$2:$B1009,'Player Database'!$J$2:$J1009)</f>
        <v>#N/A</v>
      </c>
      <c r="G66" s="144" t="str">
        <f t="array" ref="G66">IF(H66="","",IFERROR(
  "https://sealeddeck.tech/" &amp; INDEX('Pool Changes'!F:F,
    MAX(
      ROW('Pool Changes'!A:A) *
      ('Pool Changes'!B:B=D66) *
      ('Pool Changes'!F:F&lt;&gt;"")
    )
  ),
  ""
))</f>
        <v/>
      </c>
      <c r="H66" s="144" t="str">
        <f>IFERROR(__xludf.DUMMYFUNCTION("LET(changes,FILTER('Pool Changes'!$B:$D, 'Pool Changes'!$B:$B = $D66),added,FILTER(INDEX(changes,0,3),INDEX(changes,0,2)=""starting pool""),TRANSPOSE(IFERROR(ARRAYFORMULA(IF(added&lt;&gt;"""",""https://sealeddeck.tech/""&amp;added,"""")),"""")))"),"")</f>
        <v/>
      </c>
      <c r="I66" s="145" t="str">
        <f>IFERROR(__xludf.DUMMYFUNCTION("LET(changes,FILTER('Pool Changes'!$B:$D, 'Pool Changes'!$B:$B = $D66),added,FILTER(INDEX(changes,0,3),INDEX(changes,0,2)=""add pack""),IFERROR(TRANSPOSE(ARRAYFORMULA(IF(added&lt;&gt;"""",HYPERLINK(""https://sealeddeck.tech/""&amp;added,""Link""),""""))),""""))"),"")</f>
        <v/>
      </c>
      <c r="J66" s="146"/>
      <c r="K66" s="146"/>
      <c r="L66" s="146"/>
      <c r="M66" s="146"/>
      <c r="N66" s="146"/>
      <c r="O66" s="146"/>
      <c r="P66" s="146"/>
      <c r="Q66" s="146"/>
      <c r="R66" s="146"/>
      <c r="S66" s="146"/>
      <c r="T66" s="147"/>
      <c r="U66" s="147"/>
      <c r="V66" s="147"/>
      <c r="W66" s="149" t="s">
        <v>459</v>
      </c>
      <c r="X66" s="147"/>
      <c r="Y66" s="147"/>
      <c r="Z66" s="147"/>
      <c r="AA66" s="147"/>
      <c r="AB66" s="147"/>
      <c r="AC66" s="147"/>
      <c r="AD66" s="147"/>
      <c r="AE66" s="147"/>
      <c r="AF66" s="147"/>
      <c r="AG66" s="147"/>
      <c r="AH66" s="147"/>
      <c r="AI66" s="147"/>
    </row>
    <row r="67">
      <c r="A67" s="140"/>
      <c r="B67" s="140"/>
      <c r="C67" s="141" t="str">
        <f t="array" ref="C67">INDEX('Player Database'!$D:$D,MATCH($D67,'Player Database'!$B:$B,0))</f>
        <v>#N/A</v>
      </c>
      <c r="D67" s="142" t="str">
        <f t="shared" si="1"/>
        <v> - </v>
      </c>
      <c r="E67" s="143" t="str">
        <f t="array" ref="E67">XLOOKUP($D67,'Player Database'!$B$2:$B1009,'Player Database'!$I$2:$I1009)</f>
        <v>#N/A</v>
      </c>
      <c r="F67" s="143" t="str">
        <f t="array" ref="F67">XLOOKUP($D67,'Player Database'!$B$2:$B1009,'Player Database'!$J$2:$J1009)</f>
        <v>#N/A</v>
      </c>
      <c r="G67" s="144" t="str">
        <f t="array" ref="G67">IF(H67="","",IFERROR(
  "https://sealeddeck.tech/" &amp; INDEX('Pool Changes'!F:F,
    MAX(
      ROW('Pool Changes'!A:A) *
      ('Pool Changes'!B:B=D67) *
      ('Pool Changes'!F:F&lt;&gt;"")
    )
  ),
  ""
))</f>
        <v/>
      </c>
      <c r="H67" s="144" t="str">
        <f>IFERROR(__xludf.DUMMYFUNCTION("LET(changes,FILTER('Pool Changes'!$B:$D, 'Pool Changes'!$B:$B = $D67),added,FILTER(INDEX(changes,0,3),INDEX(changes,0,2)=""starting pool""),TRANSPOSE(IFERROR(ARRAYFORMULA(IF(added&lt;&gt;"""",""https://sealeddeck.tech/""&amp;added,"""")),"""")))"),"")</f>
        <v/>
      </c>
      <c r="I67" s="145" t="str">
        <f>IFERROR(__xludf.DUMMYFUNCTION("LET(changes,FILTER('Pool Changes'!$B:$D, 'Pool Changes'!$B:$B = $D67),added,FILTER(INDEX(changes,0,3),INDEX(changes,0,2)=""add pack""),IFERROR(TRANSPOSE(ARRAYFORMULA(IF(added&lt;&gt;"""",HYPERLINK(""https://sealeddeck.tech/""&amp;added,""Link""),""""))),""""))"),"")</f>
        <v/>
      </c>
      <c r="J67" s="146"/>
      <c r="K67" s="146"/>
      <c r="L67" s="146"/>
      <c r="M67" s="146"/>
      <c r="N67" s="146"/>
      <c r="O67" s="146"/>
      <c r="P67" s="146"/>
      <c r="Q67" s="146"/>
      <c r="R67" s="146"/>
      <c r="S67" s="146"/>
      <c r="T67" s="147"/>
      <c r="U67" s="147"/>
      <c r="V67" s="147"/>
      <c r="W67" s="147"/>
      <c r="X67" s="147"/>
      <c r="Y67" s="147"/>
      <c r="Z67" s="147"/>
      <c r="AA67" s="147"/>
      <c r="AB67" s="147"/>
      <c r="AC67" s="147"/>
      <c r="AD67" s="147"/>
      <c r="AE67" s="147"/>
      <c r="AF67" s="147"/>
      <c r="AG67" s="147"/>
      <c r="AH67" s="147"/>
      <c r="AI67" s="147"/>
    </row>
    <row r="68">
      <c r="A68" s="140"/>
      <c r="B68" s="140"/>
      <c r="C68" s="141" t="str">
        <f t="array" ref="C68">INDEX('Player Database'!$D:$D,MATCH($D68,'Player Database'!$B:$B,0))</f>
        <v>#N/A</v>
      </c>
      <c r="D68" s="142" t="str">
        <f t="shared" si="1"/>
        <v> - </v>
      </c>
      <c r="E68" s="143" t="str">
        <f t="array" ref="E68">XLOOKUP($D68,'Player Database'!$B$2:$B1009,'Player Database'!$I$2:$I1009)</f>
        <v>#N/A</v>
      </c>
      <c r="F68" s="143" t="str">
        <f t="array" ref="F68">XLOOKUP($D68,'Player Database'!$B$2:$B1009,'Player Database'!$J$2:$J1009)</f>
        <v>#N/A</v>
      </c>
      <c r="G68" s="144" t="str">
        <f t="array" ref="G68">IF(H68="","",IFERROR(
  "https://sealeddeck.tech/" &amp; INDEX('Pool Changes'!F:F,
    MAX(
      ROW('Pool Changes'!A:A) *
      ('Pool Changes'!B:B=D68) *
      ('Pool Changes'!F:F&lt;&gt;"")
    )
  ),
  ""
))</f>
        <v/>
      </c>
      <c r="H68" s="144" t="str">
        <f>IFERROR(__xludf.DUMMYFUNCTION("LET(changes,FILTER('Pool Changes'!$B:$D, 'Pool Changes'!$B:$B = $D68),added,FILTER(INDEX(changes,0,3),INDEX(changes,0,2)=""starting pool""),TRANSPOSE(IFERROR(ARRAYFORMULA(IF(added&lt;&gt;"""",""https://sealeddeck.tech/""&amp;added,"""")),"""")))"),"")</f>
        <v/>
      </c>
      <c r="I68" s="145" t="str">
        <f>IFERROR(__xludf.DUMMYFUNCTION("LET(changes,FILTER('Pool Changes'!$B:$D, 'Pool Changes'!$B:$B = $D68),added,FILTER(INDEX(changes,0,3),INDEX(changes,0,2)=""add pack""),IFERROR(TRANSPOSE(ARRAYFORMULA(IF(added&lt;&gt;"""",HYPERLINK(""https://sealeddeck.tech/""&amp;added,""Link""),""""))),""""))"),"")</f>
        <v/>
      </c>
      <c r="J68" s="146"/>
      <c r="K68" s="146"/>
      <c r="L68" s="146"/>
      <c r="M68" s="146"/>
      <c r="N68" s="146"/>
      <c r="O68" s="146"/>
      <c r="P68" s="146"/>
      <c r="Q68" s="146"/>
      <c r="R68" s="146"/>
      <c r="S68" s="146"/>
      <c r="T68" s="147"/>
      <c r="U68" s="147"/>
      <c r="V68" s="147"/>
      <c r="W68" s="147"/>
      <c r="X68" s="147"/>
      <c r="Y68" s="147"/>
      <c r="Z68" s="147"/>
      <c r="AA68" s="147"/>
      <c r="AB68" s="147"/>
      <c r="AC68" s="147"/>
      <c r="AD68" s="147"/>
      <c r="AE68" s="147"/>
      <c r="AF68" s="147"/>
      <c r="AG68" s="147"/>
      <c r="AH68" s="147"/>
      <c r="AI68" s="147"/>
    </row>
    <row r="69">
      <c r="A69" s="140"/>
      <c r="B69" s="140"/>
      <c r="C69" s="141" t="str">
        <f t="array" ref="C69">INDEX('Player Database'!$D:$D,MATCH($D69,'Player Database'!$B:$B,0))</f>
        <v>#N/A</v>
      </c>
      <c r="D69" s="142" t="str">
        <f t="shared" si="1"/>
        <v> - </v>
      </c>
      <c r="E69" s="143" t="str">
        <f t="array" ref="E69">XLOOKUP($D69,'Player Database'!$B$2:$B1009,'Player Database'!$I$2:$I1009)</f>
        <v>#N/A</v>
      </c>
      <c r="F69" s="143" t="str">
        <f t="array" ref="F69">XLOOKUP($D69,'Player Database'!$B$2:$B1009,'Player Database'!$J$2:$J1009)</f>
        <v>#N/A</v>
      </c>
      <c r="G69" s="144" t="str">
        <f t="array" ref="G69">IF(H69="","",IFERROR(
  "https://sealeddeck.tech/" &amp; INDEX('Pool Changes'!F:F,
    MAX(
      ROW('Pool Changes'!A:A) *
      ('Pool Changes'!B:B=D69) *
      ('Pool Changes'!F:F&lt;&gt;"")
    )
  ),
  ""
))</f>
        <v/>
      </c>
      <c r="H69" s="144" t="str">
        <f>IFERROR(__xludf.DUMMYFUNCTION("LET(changes,FILTER('Pool Changes'!$B:$D, 'Pool Changes'!$B:$B = $D69),added,FILTER(INDEX(changes,0,3),INDEX(changes,0,2)=""starting pool""),TRANSPOSE(IFERROR(ARRAYFORMULA(IF(added&lt;&gt;"""",""https://sealeddeck.tech/""&amp;added,"""")),"""")))"),"")</f>
        <v/>
      </c>
      <c r="I69" s="145" t="str">
        <f>IFERROR(__xludf.DUMMYFUNCTION("LET(changes,FILTER('Pool Changes'!$B:$D, 'Pool Changes'!$B:$B = $D69),added,FILTER(INDEX(changes,0,3),INDEX(changes,0,2)=""add pack""),IFERROR(TRANSPOSE(ARRAYFORMULA(IF(added&lt;&gt;"""",HYPERLINK(""https://sealeddeck.tech/""&amp;added,""Link""),""""))),""""))"),"")</f>
        <v/>
      </c>
      <c r="J69" s="146"/>
      <c r="K69" s="146"/>
      <c r="L69" s="146"/>
      <c r="M69" s="146"/>
      <c r="N69" s="146"/>
      <c r="O69" s="146"/>
      <c r="P69" s="146"/>
      <c r="Q69" s="146"/>
      <c r="R69" s="146"/>
      <c r="S69" s="146"/>
    </row>
    <row r="70">
      <c r="A70" s="140"/>
      <c r="B70" s="140"/>
      <c r="C70" s="141" t="str">
        <f t="array" ref="C70">INDEX('Player Database'!$D:$D,MATCH($D70,'Player Database'!$B:$B,0))</f>
        <v>#N/A</v>
      </c>
      <c r="D70" s="142" t="str">
        <f t="shared" si="1"/>
        <v> - </v>
      </c>
      <c r="E70" s="143" t="str">
        <f t="array" ref="E70">XLOOKUP($D70,'Player Database'!$B$2:$B1009,'Player Database'!$I$2:$I1009)</f>
        <v>#N/A</v>
      </c>
      <c r="F70" s="143" t="str">
        <f t="array" ref="F70">XLOOKUP($D70,'Player Database'!$B$2:$B1009,'Player Database'!$J$2:$J1009)</f>
        <v>#N/A</v>
      </c>
      <c r="G70" s="144" t="str">
        <f t="array" ref="G70">IF(H70="","",IFERROR(
  "https://sealeddeck.tech/" &amp; INDEX('Pool Changes'!F:F,
    MAX(
      ROW('Pool Changes'!A:A) *
      ('Pool Changes'!B:B=D70) *
      ('Pool Changes'!F:F&lt;&gt;"")
    )
  ),
  ""
))</f>
        <v/>
      </c>
      <c r="H70" s="144" t="str">
        <f>IFERROR(__xludf.DUMMYFUNCTION("LET(changes,FILTER('Pool Changes'!$B:$D, 'Pool Changes'!$B:$B = $D70),added,FILTER(INDEX(changes,0,3),INDEX(changes,0,2)=""starting pool""),TRANSPOSE(IFERROR(ARRAYFORMULA(IF(added&lt;&gt;"""",""https://sealeddeck.tech/""&amp;added,"""")),"""")))"),"")</f>
        <v/>
      </c>
      <c r="I70" s="145" t="str">
        <f>IFERROR(__xludf.DUMMYFUNCTION("LET(changes,FILTER('Pool Changes'!$B:$D, 'Pool Changes'!$B:$B = $D70),added,FILTER(INDEX(changes,0,3),INDEX(changes,0,2)=""add pack""),IFERROR(TRANSPOSE(ARRAYFORMULA(IF(added&lt;&gt;"""",HYPERLINK(""https://sealeddeck.tech/""&amp;added,""Link""),""""))),""""))"),"")</f>
        <v/>
      </c>
      <c r="J70" s="146"/>
      <c r="K70" s="146"/>
      <c r="L70" s="146"/>
      <c r="M70" s="146"/>
      <c r="N70" s="146"/>
      <c r="O70" s="146"/>
      <c r="P70" s="146"/>
      <c r="Q70" s="146"/>
      <c r="R70" s="146"/>
      <c r="S70" s="146"/>
      <c r="T70" s="147"/>
      <c r="U70" s="147"/>
      <c r="V70" s="147"/>
      <c r="W70" s="149" t="s">
        <v>459</v>
      </c>
      <c r="X70" s="147"/>
      <c r="Y70" s="147"/>
      <c r="Z70" s="147"/>
      <c r="AA70" s="147"/>
      <c r="AB70" s="147"/>
      <c r="AC70" s="147"/>
      <c r="AD70" s="147"/>
      <c r="AE70" s="147"/>
      <c r="AF70" s="147"/>
      <c r="AG70" s="147"/>
      <c r="AH70" s="147"/>
      <c r="AI70" s="147"/>
    </row>
    <row r="71">
      <c r="A71" s="140"/>
      <c r="B71" s="140"/>
      <c r="C71" s="141" t="str">
        <f t="array" ref="C71">INDEX('Player Database'!$D:$D,MATCH($D71,'Player Database'!$B:$B,0))</f>
        <v>#N/A</v>
      </c>
      <c r="D71" s="142" t="str">
        <f t="shared" si="1"/>
        <v> - </v>
      </c>
      <c r="E71" s="143" t="str">
        <f t="array" ref="E71">XLOOKUP($D71,'Player Database'!$B$2:$B1009,'Player Database'!$I$2:$I1009)</f>
        <v>#N/A</v>
      </c>
      <c r="F71" s="143" t="str">
        <f t="array" ref="F71">XLOOKUP($D71,'Player Database'!$B$2:$B1009,'Player Database'!$J$2:$J1009)</f>
        <v>#N/A</v>
      </c>
      <c r="G71" s="144" t="str">
        <f t="array" ref="G71">IF(H71="","",IFERROR(
  "https://sealeddeck.tech/" &amp; INDEX('Pool Changes'!F:F,
    MAX(
      ROW('Pool Changes'!A:A) *
      ('Pool Changes'!B:B=D71) *
      ('Pool Changes'!F:F&lt;&gt;"")
    )
  ),
  ""
))</f>
        <v/>
      </c>
      <c r="H71" s="144" t="str">
        <f>IFERROR(__xludf.DUMMYFUNCTION("LET(changes,FILTER('Pool Changes'!$B:$D, 'Pool Changes'!$B:$B = $D71),added,FILTER(INDEX(changes,0,3),INDEX(changes,0,2)=""starting pool""),TRANSPOSE(IFERROR(ARRAYFORMULA(IF(added&lt;&gt;"""",""https://sealeddeck.tech/""&amp;added,"""")),"""")))"),"")</f>
        <v/>
      </c>
      <c r="I71" s="145" t="str">
        <f>IFERROR(__xludf.DUMMYFUNCTION("LET(changes,FILTER('Pool Changes'!$B:$D, 'Pool Changes'!$B:$B = $D71),added,FILTER(INDEX(changes,0,3),INDEX(changes,0,2)=""add pack""),IFERROR(TRANSPOSE(ARRAYFORMULA(IF(added&lt;&gt;"""",HYPERLINK(""https://sealeddeck.tech/""&amp;added,""Link""),""""))),""""))"),"")</f>
        <v/>
      </c>
      <c r="J71" s="146"/>
      <c r="K71" s="146"/>
      <c r="L71" s="146"/>
      <c r="M71" s="146"/>
      <c r="N71" s="146"/>
      <c r="O71" s="146"/>
      <c r="P71" s="146"/>
      <c r="Q71" s="146"/>
      <c r="R71" s="146"/>
      <c r="S71" s="146"/>
      <c r="T71" s="147"/>
      <c r="U71" s="147"/>
      <c r="V71" s="147"/>
      <c r="W71" s="147"/>
      <c r="X71" s="147"/>
      <c r="Y71" s="147"/>
      <c r="Z71" s="147"/>
      <c r="AA71" s="147"/>
      <c r="AB71" s="147"/>
      <c r="AC71" s="147"/>
      <c r="AD71" s="147"/>
      <c r="AE71" s="147"/>
      <c r="AF71" s="147"/>
      <c r="AG71" s="147"/>
      <c r="AH71" s="147"/>
      <c r="AI71" s="147"/>
    </row>
    <row r="72">
      <c r="A72" s="140"/>
      <c r="B72" s="140"/>
      <c r="C72" s="141" t="str">
        <f t="array" ref="C72">INDEX('Player Database'!$D:$D,MATCH($D72,'Player Database'!$B:$B,0))</f>
        <v>#N/A</v>
      </c>
      <c r="D72" s="142" t="str">
        <f t="shared" si="1"/>
        <v> - </v>
      </c>
      <c r="E72" s="143" t="str">
        <f t="array" ref="E72">XLOOKUP($D72,'Player Database'!$B$2:$B1009,'Player Database'!$I$2:$I1009)</f>
        <v>#N/A</v>
      </c>
      <c r="F72" s="143" t="str">
        <f t="array" ref="F72">XLOOKUP($D72,'Player Database'!$B$2:$B1009,'Player Database'!$J$2:$J1009)</f>
        <v>#N/A</v>
      </c>
      <c r="G72" s="144" t="str">
        <f t="array" ref="G72">IF(H72="","",IFERROR(
  "https://sealeddeck.tech/" &amp; INDEX('Pool Changes'!F:F,
    MAX(
      ROW('Pool Changes'!A:A) *
      ('Pool Changes'!B:B=D72) *
      ('Pool Changes'!F:F&lt;&gt;"")
    )
  ),
  ""
))</f>
        <v/>
      </c>
      <c r="H72" s="144" t="str">
        <f>IFERROR(__xludf.DUMMYFUNCTION("LET(changes,FILTER('Pool Changes'!$B:$D, 'Pool Changes'!$B:$B = $D72),added,FILTER(INDEX(changes,0,3),INDEX(changes,0,2)=""starting pool""),TRANSPOSE(IFERROR(ARRAYFORMULA(IF(added&lt;&gt;"""",""https://sealeddeck.tech/""&amp;added,"""")),"""")))"),"")</f>
        <v/>
      </c>
      <c r="I72" s="145" t="str">
        <f>IFERROR(__xludf.DUMMYFUNCTION("LET(changes,FILTER('Pool Changes'!$B:$D, 'Pool Changes'!$B:$B = $D72),added,FILTER(INDEX(changes,0,3),INDEX(changes,0,2)=""add pack""),IFERROR(TRANSPOSE(ARRAYFORMULA(IF(added&lt;&gt;"""",HYPERLINK(""https://sealeddeck.tech/""&amp;added,""Link""),""""))),""""))"),"")</f>
        <v/>
      </c>
      <c r="J72" s="146"/>
      <c r="K72" s="146"/>
      <c r="L72" s="146"/>
      <c r="M72" s="146"/>
      <c r="N72" s="146"/>
      <c r="O72" s="146"/>
      <c r="P72" s="146"/>
      <c r="Q72" s="146"/>
      <c r="R72" s="146"/>
      <c r="S72" s="146"/>
      <c r="T72" s="147"/>
      <c r="U72" s="147"/>
      <c r="V72" s="147"/>
      <c r="W72" s="149" t="s">
        <v>459</v>
      </c>
      <c r="X72" s="147"/>
      <c r="Y72" s="147"/>
      <c r="Z72" s="147"/>
      <c r="AA72" s="147"/>
      <c r="AB72" s="147"/>
      <c r="AC72" s="147"/>
      <c r="AD72" s="147"/>
      <c r="AE72" s="147"/>
      <c r="AF72" s="147"/>
      <c r="AG72" s="147"/>
      <c r="AH72" s="147"/>
      <c r="AI72" s="147"/>
    </row>
    <row r="73">
      <c r="A73" s="140"/>
      <c r="B73" s="140"/>
      <c r="C73" s="141" t="str">
        <f t="array" ref="C73">INDEX('Player Database'!$D:$D,MATCH($D73,'Player Database'!$B:$B,0))</f>
        <v>#N/A</v>
      </c>
      <c r="D73" s="142" t="str">
        <f t="shared" si="1"/>
        <v> - </v>
      </c>
      <c r="E73" s="143" t="str">
        <f t="array" ref="E73">XLOOKUP($D73,'Player Database'!$B$2:$B1009,'Player Database'!$I$2:$I1009)</f>
        <v>#N/A</v>
      </c>
      <c r="F73" s="143" t="str">
        <f t="array" ref="F73">XLOOKUP($D73,'Player Database'!$B$2:$B1009,'Player Database'!$J$2:$J1009)</f>
        <v>#N/A</v>
      </c>
      <c r="G73" s="144" t="str">
        <f t="array" ref="G73">IF(H73="","",IFERROR(
  "https://sealeddeck.tech/" &amp; INDEX('Pool Changes'!F:F,
    MAX(
      ROW('Pool Changes'!A:A) *
      ('Pool Changes'!B:B=D73) *
      ('Pool Changes'!F:F&lt;&gt;"")
    )
  ),
  ""
))</f>
        <v/>
      </c>
      <c r="H73" s="144" t="str">
        <f>IFERROR(__xludf.DUMMYFUNCTION("LET(changes,FILTER('Pool Changes'!$B:$D, 'Pool Changes'!$B:$B = $D73),added,FILTER(INDEX(changes,0,3),INDEX(changes,0,2)=""starting pool""),TRANSPOSE(IFERROR(ARRAYFORMULA(IF(added&lt;&gt;"""",""https://sealeddeck.tech/""&amp;added,"""")),"""")))"),"")</f>
        <v/>
      </c>
      <c r="I73" s="145" t="str">
        <f>IFERROR(__xludf.DUMMYFUNCTION("LET(changes,FILTER('Pool Changes'!$B:$D, 'Pool Changes'!$B:$B = $D73),added,FILTER(INDEX(changes,0,3),INDEX(changes,0,2)=""add pack""),IFERROR(TRANSPOSE(ARRAYFORMULA(IF(added&lt;&gt;"""",HYPERLINK(""https://sealeddeck.tech/""&amp;added,""Link""),""""))),""""))"),"")</f>
        <v/>
      </c>
      <c r="J73" s="146"/>
      <c r="K73" s="146"/>
      <c r="L73" s="146"/>
      <c r="M73" s="146"/>
      <c r="N73" s="146"/>
      <c r="O73" s="146"/>
      <c r="P73" s="146"/>
      <c r="Q73" s="146"/>
      <c r="R73" s="146"/>
      <c r="S73" s="146"/>
      <c r="T73" s="147"/>
      <c r="U73" s="147"/>
      <c r="V73" s="147"/>
      <c r="W73" s="147"/>
      <c r="X73" s="147"/>
      <c r="Y73" s="147"/>
      <c r="Z73" s="147"/>
      <c r="AA73" s="147"/>
      <c r="AB73" s="147"/>
      <c r="AC73" s="147"/>
      <c r="AD73" s="147"/>
      <c r="AE73" s="147"/>
      <c r="AF73" s="147"/>
      <c r="AG73" s="147"/>
      <c r="AH73" s="147"/>
      <c r="AI73" s="147"/>
    </row>
    <row r="74">
      <c r="A74" s="140"/>
      <c r="B74" s="140"/>
      <c r="C74" s="141" t="str">
        <f t="array" ref="C74">INDEX('Player Database'!$D:$D,MATCH($D74,'Player Database'!$B:$B,0))</f>
        <v>#N/A</v>
      </c>
      <c r="D74" s="142" t="str">
        <f t="shared" si="1"/>
        <v> - </v>
      </c>
      <c r="E74" s="143" t="str">
        <f t="array" ref="E74">XLOOKUP($D74,'Player Database'!$B$2:$B1009,'Player Database'!$I$2:$I1009)</f>
        <v>#N/A</v>
      </c>
      <c r="F74" s="143" t="str">
        <f t="array" ref="F74">XLOOKUP($D74,'Player Database'!$B$2:$B1009,'Player Database'!$J$2:$J1009)</f>
        <v>#N/A</v>
      </c>
      <c r="G74" s="144" t="str">
        <f t="array" ref="G74">IF(H74="","",IFERROR(
  "https://sealeddeck.tech/" &amp; INDEX('Pool Changes'!F:F,
    MAX(
      ROW('Pool Changes'!A:A) *
      ('Pool Changes'!B:B=D74) *
      ('Pool Changes'!F:F&lt;&gt;"")
    )
  ),
  ""
))</f>
        <v/>
      </c>
      <c r="H74" s="144" t="str">
        <f>IFERROR(__xludf.DUMMYFUNCTION("LET(changes,FILTER('Pool Changes'!$B:$D, 'Pool Changes'!$B:$B = $D74),added,FILTER(INDEX(changes,0,3),INDEX(changes,0,2)=""starting pool""),TRANSPOSE(IFERROR(ARRAYFORMULA(IF(added&lt;&gt;"""",""https://sealeddeck.tech/""&amp;added,"""")),"""")))"),"")</f>
        <v/>
      </c>
      <c r="I74" s="145" t="str">
        <f>IFERROR(__xludf.DUMMYFUNCTION("LET(changes,FILTER('Pool Changes'!$B:$D, 'Pool Changes'!$B:$B = $D74),added,FILTER(INDEX(changes,0,3),INDEX(changes,0,2)=""add pack""),IFERROR(TRANSPOSE(ARRAYFORMULA(IF(added&lt;&gt;"""",HYPERLINK(""https://sealeddeck.tech/""&amp;added,""Link""),""""))),""""))"),"")</f>
        <v/>
      </c>
      <c r="J74" s="146"/>
      <c r="K74" s="146"/>
      <c r="L74" s="146"/>
      <c r="M74" s="146"/>
      <c r="N74" s="146"/>
      <c r="O74" s="146"/>
      <c r="P74" s="146"/>
      <c r="Q74" s="146"/>
      <c r="R74" s="146"/>
      <c r="S74" s="146"/>
      <c r="T74" s="147"/>
      <c r="U74" s="147"/>
      <c r="V74" s="147"/>
      <c r="W74" s="147"/>
      <c r="X74" s="147"/>
      <c r="Y74" s="147"/>
      <c r="Z74" s="147"/>
      <c r="AA74" s="147"/>
      <c r="AB74" s="147"/>
      <c r="AC74" s="147"/>
      <c r="AD74" s="147"/>
      <c r="AE74" s="147"/>
      <c r="AF74" s="147"/>
      <c r="AG74" s="147"/>
      <c r="AH74" s="147"/>
      <c r="AI74" s="147"/>
    </row>
    <row r="75">
      <c r="A75" s="140"/>
      <c r="B75" s="140"/>
      <c r="C75" s="141" t="str">
        <f t="array" ref="C75">INDEX('Player Database'!$D:$D,MATCH($D75,'Player Database'!$B:$B,0))</f>
        <v>#N/A</v>
      </c>
      <c r="D75" s="142" t="str">
        <f t="shared" si="1"/>
        <v> - </v>
      </c>
      <c r="E75" s="143" t="str">
        <f t="array" ref="E75">XLOOKUP($D75,'Player Database'!$B$2:$B1009,'Player Database'!$I$2:$I1009)</f>
        <v>#N/A</v>
      </c>
      <c r="F75" s="143" t="str">
        <f t="array" ref="F75">XLOOKUP($D75,'Player Database'!$B$2:$B1009,'Player Database'!$J$2:$J1009)</f>
        <v>#N/A</v>
      </c>
      <c r="G75" s="144" t="str">
        <f t="array" ref="G75">IF(H75="","",IFERROR(
  "https://sealeddeck.tech/" &amp; INDEX('Pool Changes'!F:F,
    MAX(
      ROW('Pool Changes'!A:A) *
      ('Pool Changes'!B:B=D75) *
      ('Pool Changes'!F:F&lt;&gt;"")
    )
  ),
  ""
))</f>
        <v/>
      </c>
      <c r="H75" s="144" t="str">
        <f>IFERROR(__xludf.DUMMYFUNCTION("LET(changes,FILTER('Pool Changes'!$B:$D, 'Pool Changes'!$B:$B = $D75),added,FILTER(INDEX(changes,0,3),INDEX(changes,0,2)=""starting pool""),TRANSPOSE(IFERROR(ARRAYFORMULA(IF(added&lt;&gt;"""",""https://sealeddeck.tech/""&amp;added,"""")),"""")))"),"")</f>
        <v/>
      </c>
      <c r="I75" s="145" t="str">
        <f>IFERROR(__xludf.DUMMYFUNCTION("LET(changes,FILTER('Pool Changes'!$B:$D, 'Pool Changes'!$B:$B = $D75),added,FILTER(INDEX(changes,0,3),INDEX(changes,0,2)=""add pack""),IFERROR(TRANSPOSE(ARRAYFORMULA(IF(added&lt;&gt;"""",HYPERLINK(""https://sealeddeck.tech/""&amp;added,""Link""),""""))),""""))"),"")</f>
        <v/>
      </c>
      <c r="J75" s="146"/>
      <c r="K75" s="146"/>
      <c r="L75" s="146"/>
      <c r="M75" s="146"/>
      <c r="N75" s="146"/>
      <c r="O75" s="146"/>
      <c r="P75" s="146"/>
      <c r="Q75" s="146"/>
      <c r="R75" s="146"/>
      <c r="S75" s="146"/>
      <c r="T75" s="147"/>
      <c r="U75" s="147"/>
      <c r="V75" s="147"/>
      <c r="W75" s="149" t="s">
        <v>459</v>
      </c>
      <c r="X75" s="147"/>
      <c r="Y75" s="147"/>
      <c r="Z75" s="147"/>
      <c r="AA75" s="147"/>
      <c r="AB75" s="147"/>
      <c r="AC75" s="147"/>
      <c r="AD75" s="147"/>
      <c r="AE75" s="147"/>
      <c r="AF75" s="147"/>
      <c r="AG75" s="147"/>
      <c r="AH75" s="147"/>
      <c r="AI75" s="147"/>
    </row>
    <row r="76">
      <c r="A76" s="140"/>
      <c r="B76" s="140"/>
      <c r="C76" s="141" t="str">
        <f t="array" ref="C76">INDEX('Player Database'!$D:$D,MATCH($D76,'Player Database'!$B:$B,0))</f>
        <v>#N/A</v>
      </c>
      <c r="D76" s="142" t="str">
        <f t="shared" si="1"/>
        <v> - </v>
      </c>
      <c r="E76" s="143" t="str">
        <f t="array" ref="E76">XLOOKUP($D76,'Player Database'!$B$2:$B1009,'Player Database'!$I$2:$I1009)</f>
        <v>#N/A</v>
      </c>
      <c r="F76" s="143" t="str">
        <f t="array" ref="F76">XLOOKUP($D76,'Player Database'!$B$2:$B1009,'Player Database'!$J$2:$J1009)</f>
        <v>#N/A</v>
      </c>
      <c r="G76" s="144" t="str">
        <f t="array" ref="G76">IF(H76="","",IFERROR(
  "https://sealeddeck.tech/" &amp; INDEX('Pool Changes'!F:F,
    MAX(
      ROW('Pool Changes'!A:A) *
      ('Pool Changes'!B:B=D76) *
      ('Pool Changes'!F:F&lt;&gt;"")
    )
  ),
  ""
))</f>
        <v/>
      </c>
      <c r="H76" s="144" t="str">
        <f>IFERROR(__xludf.DUMMYFUNCTION("LET(changes,FILTER('Pool Changes'!$B:$D, 'Pool Changes'!$B:$B = $D76),added,FILTER(INDEX(changes,0,3),INDEX(changes,0,2)=""starting pool""),TRANSPOSE(IFERROR(ARRAYFORMULA(IF(added&lt;&gt;"""",""https://sealeddeck.tech/""&amp;added,"""")),"""")))"),"")</f>
        <v/>
      </c>
      <c r="I76" s="145" t="str">
        <f>IFERROR(__xludf.DUMMYFUNCTION("LET(changes,FILTER('Pool Changes'!$B:$D, 'Pool Changes'!$B:$B = $D76),added,FILTER(INDEX(changes,0,3),INDEX(changes,0,2)=""add pack""),IFERROR(TRANSPOSE(ARRAYFORMULA(IF(added&lt;&gt;"""",HYPERLINK(""https://sealeddeck.tech/""&amp;added,""Link""),""""))),""""))"),"")</f>
        <v/>
      </c>
      <c r="J76" s="146"/>
      <c r="K76" s="146"/>
      <c r="L76" s="146"/>
      <c r="M76" s="146"/>
      <c r="N76" s="146"/>
      <c r="O76" s="146"/>
      <c r="P76" s="146"/>
      <c r="Q76" s="146"/>
      <c r="R76" s="146"/>
      <c r="S76" s="146"/>
      <c r="T76" s="147"/>
      <c r="U76" s="147"/>
      <c r="V76" s="147"/>
      <c r="W76" s="147"/>
      <c r="X76" s="147"/>
      <c r="Y76" s="147"/>
      <c r="Z76" s="147"/>
      <c r="AA76" s="147"/>
      <c r="AB76" s="147"/>
      <c r="AC76" s="147"/>
      <c r="AD76" s="147"/>
      <c r="AE76" s="147"/>
      <c r="AF76" s="147"/>
      <c r="AG76" s="147"/>
      <c r="AH76" s="147"/>
      <c r="AI76" s="147"/>
    </row>
    <row r="77">
      <c r="A77" s="140"/>
      <c r="B77" s="140"/>
      <c r="C77" s="141" t="str">
        <f t="array" ref="C77">INDEX('Player Database'!$D:$D,MATCH($D77,'Player Database'!$B:$B,0))</f>
        <v>#N/A</v>
      </c>
      <c r="D77" s="142" t="str">
        <f t="shared" si="1"/>
        <v> - </v>
      </c>
      <c r="E77" s="143" t="str">
        <f t="array" ref="E77">XLOOKUP($D77,'Player Database'!$B$2:$B1009,'Player Database'!$I$2:$I1009)</f>
        <v>#N/A</v>
      </c>
      <c r="F77" s="143" t="str">
        <f t="array" ref="F77">XLOOKUP($D77,'Player Database'!$B$2:$B1009,'Player Database'!$J$2:$J1009)</f>
        <v>#N/A</v>
      </c>
      <c r="G77" s="144" t="str">
        <f t="array" ref="G77">IF(H77="","",IFERROR(
  "https://sealeddeck.tech/" &amp; INDEX('Pool Changes'!F:F,
    MAX(
      ROW('Pool Changes'!A:A) *
      ('Pool Changes'!B:B=D77) *
      ('Pool Changes'!F:F&lt;&gt;"")
    )
  ),
  ""
))</f>
        <v/>
      </c>
      <c r="H77" s="144" t="str">
        <f>IFERROR(__xludf.DUMMYFUNCTION("LET(changes,FILTER('Pool Changes'!$B:$D, 'Pool Changes'!$B:$B = $D77),added,FILTER(INDEX(changes,0,3),INDEX(changes,0,2)=""starting pool""),TRANSPOSE(IFERROR(ARRAYFORMULA(IF(added&lt;&gt;"""",""https://sealeddeck.tech/""&amp;added,"""")),"""")))"),"")</f>
        <v/>
      </c>
      <c r="I77" s="145" t="str">
        <f>IFERROR(__xludf.DUMMYFUNCTION("LET(changes,FILTER('Pool Changes'!$B:$D, 'Pool Changes'!$B:$B = $D77),added,FILTER(INDEX(changes,0,3),INDEX(changes,0,2)=""add pack""),IFERROR(TRANSPOSE(ARRAYFORMULA(IF(added&lt;&gt;"""",HYPERLINK(""https://sealeddeck.tech/""&amp;added,""Link""),""""))),""""))"),"")</f>
        <v/>
      </c>
      <c r="J77" s="146"/>
      <c r="K77" s="146"/>
      <c r="L77" s="146"/>
      <c r="M77" s="146"/>
      <c r="N77" s="146"/>
      <c r="O77" s="146"/>
      <c r="P77" s="146"/>
      <c r="Q77" s="146"/>
      <c r="R77" s="146"/>
      <c r="S77" s="146"/>
      <c r="T77" s="147"/>
      <c r="U77" s="147"/>
      <c r="V77" s="147"/>
      <c r="W77" s="147"/>
      <c r="X77" s="147"/>
      <c r="Y77" s="147"/>
      <c r="Z77" s="147"/>
      <c r="AA77" s="147"/>
      <c r="AB77" s="147"/>
      <c r="AC77" s="147"/>
      <c r="AD77" s="147"/>
      <c r="AE77" s="147"/>
      <c r="AF77" s="147"/>
      <c r="AG77" s="147"/>
      <c r="AH77" s="147"/>
      <c r="AI77" s="147"/>
    </row>
    <row r="78">
      <c r="A78" s="140"/>
      <c r="B78" s="140"/>
      <c r="C78" s="141" t="str">
        <f t="array" ref="C78">INDEX('Player Database'!$D:$D,MATCH($D78,'Player Database'!$B:$B,0))</f>
        <v>#N/A</v>
      </c>
      <c r="D78" s="142" t="str">
        <f t="shared" si="1"/>
        <v> - </v>
      </c>
      <c r="E78" s="143" t="str">
        <f t="array" ref="E78">XLOOKUP($D78,'Player Database'!$B$2:$B1009,'Player Database'!$I$2:$I1009)</f>
        <v>#N/A</v>
      </c>
      <c r="F78" s="143" t="str">
        <f t="array" ref="F78">XLOOKUP($D78,'Player Database'!$B$2:$B1009,'Player Database'!$J$2:$J1009)</f>
        <v>#N/A</v>
      </c>
      <c r="G78" s="144" t="str">
        <f t="array" ref="G78">IF(H78="","",IFERROR(
  "https://sealeddeck.tech/" &amp; INDEX('Pool Changes'!F:F,
    MAX(
      ROW('Pool Changes'!A:A) *
      ('Pool Changes'!B:B=D78) *
      ('Pool Changes'!F:F&lt;&gt;"")
    )
  ),
  ""
))</f>
        <v/>
      </c>
      <c r="H78" s="144" t="str">
        <f>IFERROR(__xludf.DUMMYFUNCTION("LET(changes,FILTER('Pool Changes'!$B:$D, 'Pool Changes'!$B:$B = $D78),added,FILTER(INDEX(changes,0,3),INDEX(changes,0,2)=""starting pool""),TRANSPOSE(IFERROR(ARRAYFORMULA(IF(added&lt;&gt;"""",""https://sealeddeck.tech/""&amp;added,"""")),"""")))"),"")</f>
        <v/>
      </c>
      <c r="I78" s="145" t="str">
        <f>IFERROR(__xludf.DUMMYFUNCTION("LET(changes,FILTER('Pool Changes'!$B:$D, 'Pool Changes'!$B:$B = $D78),added,FILTER(INDEX(changes,0,3),INDEX(changes,0,2)=""add pack""),IFERROR(TRANSPOSE(ARRAYFORMULA(IF(added&lt;&gt;"""",HYPERLINK(""https://sealeddeck.tech/""&amp;added,""Link""),""""))),""""))"),"")</f>
        <v/>
      </c>
      <c r="J78" s="146"/>
      <c r="K78" s="146"/>
      <c r="L78" s="146"/>
      <c r="M78" s="146"/>
      <c r="N78" s="146"/>
      <c r="O78" s="146"/>
      <c r="P78" s="146"/>
      <c r="Q78" s="146"/>
      <c r="R78" s="146"/>
      <c r="S78" s="146"/>
      <c r="T78" s="147"/>
      <c r="U78" s="147"/>
      <c r="V78" s="147"/>
      <c r="W78" s="147"/>
      <c r="X78" s="147"/>
      <c r="Y78" s="147"/>
      <c r="Z78" s="147"/>
      <c r="AA78" s="147"/>
      <c r="AB78" s="147"/>
      <c r="AC78" s="147"/>
      <c r="AD78" s="147"/>
      <c r="AE78" s="147"/>
      <c r="AF78" s="147"/>
      <c r="AG78" s="147"/>
      <c r="AH78" s="147"/>
      <c r="AI78" s="147"/>
    </row>
    <row r="79">
      <c r="A79" s="140"/>
      <c r="B79" s="140"/>
      <c r="C79" s="141" t="str">
        <f t="array" ref="C79">INDEX('Player Database'!$D:$D,MATCH($D79,'Player Database'!$B:$B,0))</f>
        <v>#N/A</v>
      </c>
      <c r="D79" s="142" t="str">
        <f t="shared" si="1"/>
        <v> - </v>
      </c>
      <c r="E79" s="143" t="str">
        <f t="array" ref="E79">XLOOKUP($D79,'Player Database'!$B$2:$B1009,'Player Database'!$I$2:$I1009)</f>
        <v>#N/A</v>
      </c>
      <c r="F79" s="143" t="str">
        <f t="array" ref="F79">XLOOKUP($D79,'Player Database'!$B$2:$B1009,'Player Database'!$J$2:$J1009)</f>
        <v>#N/A</v>
      </c>
      <c r="G79" s="144" t="str">
        <f t="array" ref="G79">IF(H79="","",IFERROR(
  "https://sealeddeck.tech/" &amp; INDEX('Pool Changes'!F:F,
    MAX(
      ROW('Pool Changes'!A:A) *
      ('Pool Changes'!B:B=D79) *
      ('Pool Changes'!F:F&lt;&gt;"")
    )
  ),
  ""
))</f>
        <v/>
      </c>
      <c r="H79" s="144" t="str">
        <f>IFERROR(__xludf.DUMMYFUNCTION("LET(changes,FILTER('Pool Changes'!$B:$D, 'Pool Changes'!$B:$B = $D79),added,FILTER(INDEX(changes,0,3),INDEX(changes,0,2)=""starting pool""),TRANSPOSE(IFERROR(ARRAYFORMULA(IF(added&lt;&gt;"""",""https://sealeddeck.tech/""&amp;added,"""")),"""")))"),"")</f>
        <v/>
      </c>
      <c r="I79" s="145" t="str">
        <f>IFERROR(__xludf.DUMMYFUNCTION("LET(changes,FILTER('Pool Changes'!$B:$D, 'Pool Changes'!$B:$B = $D79),added,FILTER(INDEX(changes,0,3),INDEX(changes,0,2)=""add pack""),IFERROR(TRANSPOSE(ARRAYFORMULA(IF(added&lt;&gt;"""",HYPERLINK(""https://sealeddeck.tech/""&amp;added,""Link""),""""))),""""))"),"")</f>
        <v/>
      </c>
      <c r="J79" s="146"/>
      <c r="K79" s="146"/>
      <c r="L79" s="146"/>
      <c r="M79" s="146"/>
      <c r="N79" s="146"/>
      <c r="O79" s="146"/>
      <c r="P79" s="146"/>
      <c r="Q79" s="146"/>
      <c r="R79" s="146"/>
      <c r="S79" s="146"/>
      <c r="W79" s="148" t="s">
        <v>459</v>
      </c>
    </row>
    <row r="80">
      <c r="A80" s="140"/>
      <c r="B80" s="140"/>
      <c r="C80" s="141" t="str">
        <f t="array" ref="C80">INDEX('Player Database'!$D:$D,MATCH($D80,'Player Database'!$B:$B,0))</f>
        <v>#N/A</v>
      </c>
      <c r="D80" s="142" t="str">
        <f t="shared" si="1"/>
        <v> - </v>
      </c>
      <c r="E80" s="143" t="str">
        <f t="array" ref="E80">XLOOKUP($D80,'Player Database'!$B$2:$B1009,'Player Database'!$I$2:$I1009)</f>
        <v>#N/A</v>
      </c>
      <c r="F80" s="143" t="str">
        <f t="array" ref="F80">XLOOKUP($D80,'Player Database'!$B$2:$B1009,'Player Database'!$J$2:$J1009)</f>
        <v>#N/A</v>
      </c>
      <c r="G80" s="144" t="str">
        <f t="array" ref="G80">IF(H80="","",IFERROR(
  "https://sealeddeck.tech/" &amp; INDEX('Pool Changes'!F:F,
    MAX(
      ROW('Pool Changes'!A:A) *
      ('Pool Changes'!B:B=D80) *
      ('Pool Changes'!F:F&lt;&gt;"")
    )
  ),
  ""
))</f>
        <v/>
      </c>
      <c r="H80" s="144" t="str">
        <f>IFERROR(__xludf.DUMMYFUNCTION("LET(changes,FILTER('Pool Changes'!$B:$D, 'Pool Changes'!$B:$B = $D80),added,FILTER(INDEX(changes,0,3),INDEX(changes,0,2)=""starting pool""),TRANSPOSE(IFERROR(ARRAYFORMULA(IF(added&lt;&gt;"""",""https://sealeddeck.tech/""&amp;added,"""")),"""")))"),"")</f>
        <v/>
      </c>
      <c r="I80" s="145" t="str">
        <f>IFERROR(__xludf.DUMMYFUNCTION("LET(changes,FILTER('Pool Changes'!$B:$D, 'Pool Changes'!$B:$B = $D80),added,FILTER(INDEX(changes,0,3),INDEX(changes,0,2)=""add pack""),IFERROR(TRANSPOSE(ARRAYFORMULA(IF(added&lt;&gt;"""",HYPERLINK(""https://sealeddeck.tech/""&amp;added,""Link""),""""))),""""))"),"")</f>
        <v/>
      </c>
      <c r="J80" s="146"/>
      <c r="K80" s="146"/>
      <c r="L80" s="146"/>
      <c r="M80" s="146"/>
      <c r="N80" s="146"/>
      <c r="O80" s="146"/>
      <c r="P80" s="146"/>
      <c r="Q80" s="146"/>
      <c r="R80" s="146"/>
      <c r="S80" s="146"/>
      <c r="W80" s="148" t="s">
        <v>459</v>
      </c>
    </row>
    <row r="81">
      <c r="A81" s="140"/>
      <c r="B81" s="140"/>
      <c r="C81" s="141" t="str">
        <f t="array" ref="C81">INDEX('Player Database'!$D:$D,MATCH($D81,'Player Database'!$B:$B,0))</f>
        <v>#N/A</v>
      </c>
      <c r="D81" s="142" t="str">
        <f t="shared" si="1"/>
        <v> - </v>
      </c>
      <c r="E81" s="143" t="str">
        <f t="array" ref="E81">XLOOKUP($D81,'Player Database'!$B$2:$B1009,'Player Database'!$I$2:$I1009)</f>
        <v>#N/A</v>
      </c>
      <c r="F81" s="143" t="str">
        <f t="array" ref="F81">XLOOKUP($D81,'Player Database'!$B$2:$B1009,'Player Database'!$J$2:$J1009)</f>
        <v>#N/A</v>
      </c>
      <c r="G81" s="144" t="str">
        <f t="array" ref="G81">IF(H81="","",IFERROR(
  "https://sealeddeck.tech/" &amp; INDEX('Pool Changes'!F:F,
    MAX(
      ROW('Pool Changes'!A:A) *
      ('Pool Changes'!B:B=D81) *
      ('Pool Changes'!F:F&lt;&gt;"")
    )
  ),
  ""
))</f>
        <v/>
      </c>
      <c r="H81" s="144" t="str">
        <f>IFERROR(__xludf.DUMMYFUNCTION("LET(changes,FILTER('Pool Changes'!$B:$D, 'Pool Changes'!$B:$B = $D81),added,FILTER(INDEX(changes,0,3),INDEX(changes,0,2)=""starting pool""),TRANSPOSE(IFERROR(ARRAYFORMULA(IF(added&lt;&gt;"""",""https://sealeddeck.tech/""&amp;added,"""")),"""")))"),"")</f>
        <v/>
      </c>
      <c r="I81" s="145" t="str">
        <f>IFERROR(__xludf.DUMMYFUNCTION("LET(changes,FILTER('Pool Changes'!$B:$D, 'Pool Changes'!$B:$B = $D81),added,FILTER(INDEX(changes,0,3),INDEX(changes,0,2)=""add pack""),IFERROR(TRANSPOSE(ARRAYFORMULA(IF(added&lt;&gt;"""",HYPERLINK(""https://sealeddeck.tech/""&amp;added,""Link""),""""))),""""))"),"")</f>
        <v/>
      </c>
      <c r="J81" s="146"/>
      <c r="K81" s="146"/>
      <c r="L81" s="146"/>
      <c r="M81" s="146"/>
      <c r="N81" s="146"/>
      <c r="O81" s="146"/>
      <c r="P81" s="146"/>
      <c r="Q81" s="146"/>
      <c r="R81" s="146"/>
      <c r="S81" s="146"/>
      <c r="W81" s="148" t="s">
        <v>459</v>
      </c>
    </row>
    <row r="82">
      <c r="A82" s="140"/>
      <c r="B82" s="140"/>
      <c r="C82" s="141" t="str">
        <f t="array" ref="C82">INDEX('Player Database'!$D:$D,MATCH($D82,'Player Database'!$B:$B,0))</f>
        <v>#N/A</v>
      </c>
      <c r="D82" s="142" t="str">
        <f t="shared" si="1"/>
        <v> - </v>
      </c>
      <c r="E82" s="143" t="str">
        <f t="array" ref="E82">XLOOKUP($D82,'Player Database'!$B$2:$B1009,'Player Database'!$I$2:$I1009)</f>
        <v>#N/A</v>
      </c>
      <c r="F82" s="143" t="str">
        <f t="array" ref="F82">XLOOKUP($D82,'Player Database'!$B$2:$B1009,'Player Database'!$J$2:$J1009)</f>
        <v>#N/A</v>
      </c>
      <c r="G82" s="144" t="str">
        <f t="array" ref="G82">IF(H82="","",IFERROR(
  "https://sealeddeck.tech/" &amp; INDEX('Pool Changes'!F:F,
    MAX(
      ROW('Pool Changes'!A:A) *
      ('Pool Changes'!B:B=D82) *
      ('Pool Changes'!F:F&lt;&gt;"")
    )
  ),
  ""
))</f>
        <v/>
      </c>
      <c r="H82" s="144" t="str">
        <f>IFERROR(__xludf.DUMMYFUNCTION("LET(changes,FILTER('Pool Changes'!$B:$D, 'Pool Changes'!$B:$B = $D82),added,FILTER(INDEX(changes,0,3),INDEX(changes,0,2)=""starting pool""),TRANSPOSE(IFERROR(ARRAYFORMULA(IF(added&lt;&gt;"""",""https://sealeddeck.tech/""&amp;added,"""")),"""")))"),"")</f>
        <v/>
      </c>
      <c r="I82" s="145" t="str">
        <f>IFERROR(__xludf.DUMMYFUNCTION("LET(changes,FILTER('Pool Changes'!$B:$D, 'Pool Changes'!$B:$B = $D82),added,FILTER(INDEX(changes,0,3),INDEX(changes,0,2)=""add pack""),IFERROR(TRANSPOSE(ARRAYFORMULA(IF(added&lt;&gt;"""",HYPERLINK(""https://sealeddeck.tech/""&amp;added,""Link""),""""))),""""))"),"")</f>
        <v/>
      </c>
      <c r="J82" s="146"/>
      <c r="K82" s="146"/>
      <c r="L82" s="146"/>
      <c r="M82" s="146"/>
      <c r="N82" s="146"/>
      <c r="O82" s="146"/>
      <c r="P82" s="146"/>
      <c r="Q82" s="146"/>
      <c r="R82" s="146"/>
      <c r="S82" s="146"/>
    </row>
    <row r="83">
      <c r="A83" s="140"/>
      <c r="B83" s="140"/>
      <c r="C83" s="141" t="str">
        <f t="array" ref="C83">INDEX('Player Database'!$D:$D,MATCH($D83,'Player Database'!$B:$B,0))</f>
        <v>#N/A</v>
      </c>
      <c r="D83" s="142" t="str">
        <f t="shared" si="1"/>
        <v> - </v>
      </c>
      <c r="E83" s="143" t="str">
        <f t="array" ref="E83">XLOOKUP($D83,'Player Database'!$B$2:$B1009,'Player Database'!$I$2:$I1009)</f>
        <v>#N/A</v>
      </c>
      <c r="F83" s="143" t="str">
        <f t="array" ref="F83">XLOOKUP($D83,'Player Database'!$B$2:$B1009,'Player Database'!$J$2:$J1009)</f>
        <v>#N/A</v>
      </c>
      <c r="G83" s="144" t="str">
        <f t="array" ref="G83">IF(H83="","",IFERROR(
  "https://sealeddeck.tech/" &amp; INDEX('Pool Changes'!F:F,
    MAX(
      ROW('Pool Changes'!A:A) *
      ('Pool Changes'!B:B=D83) *
      ('Pool Changes'!F:F&lt;&gt;"")
    )
  ),
  ""
))</f>
        <v/>
      </c>
      <c r="H83" s="144" t="str">
        <f>IFERROR(__xludf.DUMMYFUNCTION("LET(changes,FILTER('Pool Changes'!$B:$D, 'Pool Changes'!$B:$B = $D83),added,FILTER(INDEX(changes,0,3),INDEX(changes,0,2)=""starting pool""),TRANSPOSE(IFERROR(ARRAYFORMULA(IF(added&lt;&gt;"""",""https://sealeddeck.tech/""&amp;added,"""")),"""")))"),"")</f>
        <v/>
      </c>
      <c r="I83" s="145" t="str">
        <f>IFERROR(__xludf.DUMMYFUNCTION("LET(changes,FILTER('Pool Changes'!$B:$D, 'Pool Changes'!$B:$B = $D83),added,FILTER(INDEX(changes,0,3),INDEX(changes,0,2)=""add pack""),IFERROR(TRANSPOSE(ARRAYFORMULA(IF(added&lt;&gt;"""",HYPERLINK(""https://sealeddeck.tech/""&amp;added,""Link""),""""))),""""))"),"")</f>
        <v/>
      </c>
      <c r="J83" s="146"/>
      <c r="K83" s="146"/>
      <c r="L83" s="146"/>
      <c r="M83" s="146"/>
      <c r="N83" s="146"/>
      <c r="O83" s="146"/>
      <c r="P83" s="146"/>
      <c r="Q83" s="146"/>
      <c r="R83" s="146"/>
      <c r="S83" s="146"/>
      <c r="T83" s="147"/>
      <c r="U83" s="147"/>
      <c r="V83" s="147"/>
      <c r="W83" s="147"/>
      <c r="X83" s="147"/>
      <c r="Y83" s="147"/>
      <c r="Z83" s="147"/>
      <c r="AA83" s="147"/>
      <c r="AB83" s="147"/>
      <c r="AC83" s="147"/>
      <c r="AD83" s="147"/>
      <c r="AE83" s="147"/>
      <c r="AF83" s="147"/>
      <c r="AG83" s="147"/>
      <c r="AH83" s="147"/>
      <c r="AI83" s="147"/>
    </row>
    <row r="84">
      <c r="A84" s="140"/>
      <c r="B84" s="140"/>
      <c r="C84" s="141" t="str">
        <f t="array" ref="C84">INDEX('Player Database'!$D:$D,MATCH($D84,'Player Database'!$B:$B,0))</f>
        <v>#N/A</v>
      </c>
      <c r="D84" s="142" t="str">
        <f t="shared" si="1"/>
        <v> - </v>
      </c>
      <c r="E84" s="143" t="str">
        <f t="array" ref="E84">XLOOKUP($D84,'Player Database'!$B$2:$B1009,'Player Database'!$I$2:$I1009)</f>
        <v>#N/A</v>
      </c>
      <c r="F84" s="143" t="str">
        <f t="array" ref="F84">XLOOKUP($D84,'Player Database'!$B$2:$B1009,'Player Database'!$J$2:$J1009)</f>
        <v>#N/A</v>
      </c>
      <c r="G84" s="144" t="str">
        <f t="array" ref="G84">IF(H84="","",IFERROR(
  "https://sealeddeck.tech/" &amp; INDEX('Pool Changes'!F:F,
    MAX(
      ROW('Pool Changes'!A:A) *
      ('Pool Changes'!B:B=D84) *
      ('Pool Changes'!F:F&lt;&gt;"")
    )
  ),
  ""
))</f>
        <v/>
      </c>
      <c r="H84" s="144" t="str">
        <f>IFERROR(__xludf.DUMMYFUNCTION("LET(changes,FILTER('Pool Changes'!$B:$D, 'Pool Changes'!$B:$B = $D84),added,FILTER(INDEX(changes,0,3),INDEX(changes,0,2)=""starting pool""),TRANSPOSE(IFERROR(ARRAYFORMULA(IF(added&lt;&gt;"""",""https://sealeddeck.tech/""&amp;added,"""")),"""")))"),"")</f>
        <v/>
      </c>
      <c r="I84" s="145" t="str">
        <f>IFERROR(__xludf.DUMMYFUNCTION("LET(changes,FILTER('Pool Changes'!$B:$D, 'Pool Changes'!$B:$B = $D84),added,FILTER(INDEX(changes,0,3),INDEX(changes,0,2)=""add pack""),IFERROR(TRANSPOSE(ARRAYFORMULA(IF(added&lt;&gt;"""",HYPERLINK(""https://sealeddeck.tech/""&amp;added,""Link""),""""))),""""))"),"")</f>
        <v/>
      </c>
      <c r="J84" s="146"/>
      <c r="K84" s="146"/>
      <c r="L84" s="146"/>
      <c r="M84" s="146"/>
      <c r="N84" s="146"/>
      <c r="O84" s="146"/>
      <c r="P84" s="146"/>
      <c r="Q84" s="146"/>
      <c r="R84" s="146"/>
      <c r="S84" s="146"/>
      <c r="T84" s="147"/>
      <c r="U84" s="147"/>
      <c r="V84" s="147"/>
      <c r="W84" s="149" t="s">
        <v>459</v>
      </c>
      <c r="X84" s="147"/>
      <c r="Y84" s="147"/>
      <c r="Z84" s="147"/>
      <c r="AA84" s="147"/>
      <c r="AB84" s="147"/>
      <c r="AC84" s="147"/>
      <c r="AD84" s="147"/>
      <c r="AE84" s="147"/>
      <c r="AF84" s="147"/>
      <c r="AG84" s="147"/>
      <c r="AH84" s="147"/>
      <c r="AI84" s="147"/>
    </row>
    <row r="85">
      <c r="A85" s="140"/>
      <c r="B85" s="140"/>
      <c r="C85" s="141" t="str">
        <f t="array" ref="C85">INDEX('Player Database'!$D:$D,MATCH($D85,'Player Database'!$B:$B,0))</f>
        <v>#N/A</v>
      </c>
      <c r="D85" s="142" t="str">
        <f t="shared" si="1"/>
        <v> - </v>
      </c>
      <c r="E85" s="143" t="str">
        <f t="array" ref="E85">XLOOKUP($D85,'Player Database'!$B$2:$B1009,'Player Database'!$I$2:$I1009)</f>
        <v>#N/A</v>
      </c>
      <c r="F85" s="143" t="str">
        <f t="array" ref="F85">XLOOKUP($D85,'Player Database'!$B$2:$B1009,'Player Database'!$J$2:$J1009)</f>
        <v>#N/A</v>
      </c>
      <c r="G85" s="144" t="str">
        <f t="array" ref="G85">IF(H85="","",IFERROR(
  "https://sealeddeck.tech/" &amp; INDEX('Pool Changes'!F:F,
    MAX(
      ROW('Pool Changes'!A:A) *
      ('Pool Changes'!B:B=D85) *
      ('Pool Changes'!F:F&lt;&gt;"")
    )
  ),
  ""
))</f>
        <v/>
      </c>
      <c r="H85" s="144" t="str">
        <f>IFERROR(__xludf.DUMMYFUNCTION("LET(changes,FILTER('Pool Changes'!$B:$D, 'Pool Changes'!$B:$B = $D85),added,FILTER(INDEX(changes,0,3),INDEX(changes,0,2)=""starting pool""),TRANSPOSE(IFERROR(ARRAYFORMULA(IF(added&lt;&gt;"""",""https://sealeddeck.tech/""&amp;added,"""")),"""")))"),"")</f>
        <v/>
      </c>
      <c r="I85" s="145" t="str">
        <f>IFERROR(__xludf.DUMMYFUNCTION("LET(changes,FILTER('Pool Changes'!$B:$D, 'Pool Changes'!$B:$B = $D85),added,FILTER(INDEX(changes,0,3),INDEX(changes,0,2)=""add pack""),IFERROR(TRANSPOSE(ARRAYFORMULA(IF(added&lt;&gt;"""",HYPERLINK(""https://sealeddeck.tech/""&amp;added,""Link""),""""))),""""))"),"")</f>
        <v/>
      </c>
      <c r="J85" s="146"/>
      <c r="K85" s="146"/>
      <c r="L85" s="146"/>
      <c r="M85" s="146"/>
      <c r="N85" s="146"/>
      <c r="O85" s="146"/>
      <c r="P85" s="146"/>
      <c r="Q85" s="146"/>
      <c r="R85" s="146"/>
      <c r="S85" s="146"/>
      <c r="T85" s="147"/>
      <c r="U85" s="147"/>
      <c r="V85" s="147"/>
      <c r="W85" s="149" t="s">
        <v>459</v>
      </c>
      <c r="X85" s="147"/>
      <c r="Y85" s="147"/>
      <c r="Z85" s="147"/>
      <c r="AA85" s="147"/>
      <c r="AB85" s="147"/>
      <c r="AC85" s="147"/>
      <c r="AD85" s="147"/>
      <c r="AE85" s="147"/>
      <c r="AF85" s="147"/>
      <c r="AG85" s="147"/>
      <c r="AH85" s="147"/>
      <c r="AI85" s="147"/>
    </row>
    <row r="86">
      <c r="A86" s="140"/>
      <c r="B86" s="140"/>
      <c r="C86" s="141" t="str">
        <f t="array" ref="C86">INDEX('Player Database'!$D:$D,MATCH($D86,'Player Database'!$B:$B,0))</f>
        <v>#N/A</v>
      </c>
      <c r="D86" s="142" t="str">
        <f t="shared" si="1"/>
        <v> - </v>
      </c>
      <c r="E86" s="143" t="str">
        <f t="array" ref="E86">XLOOKUP($D86,'Player Database'!$B$2:$B1009,'Player Database'!$I$2:$I1009)</f>
        <v>#N/A</v>
      </c>
      <c r="F86" s="143" t="str">
        <f t="array" ref="F86">XLOOKUP($D86,'Player Database'!$B$2:$B1009,'Player Database'!$J$2:$J1009)</f>
        <v>#N/A</v>
      </c>
      <c r="G86" s="144" t="str">
        <f t="array" ref="G86">IF(H86="","",IFERROR(
  "https://sealeddeck.tech/" &amp; INDEX('Pool Changes'!F:F,
    MAX(
      ROW('Pool Changes'!A:A) *
      ('Pool Changes'!B:B=D86) *
      ('Pool Changes'!F:F&lt;&gt;"")
    )
  ),
  ""
))</f>
        <v/>
      </c>
      <c r="H86" s="144" t="str">
        <f>IFERROR(__xludf.DUMMYFUNCTION("LET(changes,FILTER('Pool Changes'!$B:$D, 'Pool Changes'!$B:$B = $D86),added,FILTER(INDEX(changes,0,3),INDEX(changes,0,2)=""starting pool""),TRANSPOSE(IFERROR(ARRAYFORMULA(IF(added&lt;&gt;"""",""https://sealeddeck.tech/""&amp;added,"""")),"""")))"),"")</f>
        <v/>
      </c>
      <c r="I86" s="145" t="str">
        <f>IFERROR(__xludf.DUMMYFUNCTION("LET(changes,FILTER('Pool Changes'!$B:$D, 'Pool Changes'!$B:$B = $D86),added,FILTER(INDEX(changes,0,3),INDEX(changes,0,2)=""add pack""),IFERROR(TRANSPOSE(ARRAYFORMULA(IF(added&lt;&gt;"""",HYPERLINK(""https://sealeddeck.tech/""&amp;added,""Link""),""""))),""""))"),"")</f>
        <v/>
      </c>
      <c r="J86" s="146"/>
      <c r="K86" s="146"/>
      <c r="L86" s="146"/>
      <c r="M86" s="146"/>
      <c r="N86" s="146"/>
      <c r="O86" s="146"/>
      <c r="P86" s="146"/>
      <c r="Q86" s="146"/>
      <c r="R86" s="146"/>
      <c r="S86" s="146"/>
      <c r="T86" s="147"/>
      <c r="U86" s="147"/>
      <c r="V86" s="147"/>
      <c r="W86" s="149" t="s">
        <v>459</v>
      </c>
      <c r="X86" s="147"/>
      <c r="Y86" s="147"/>
      <c r="Z86" s="147"/>
      <c r="AA86" s="147"/>
      <c r="AB86" s="147"/>
      <c r="AC86" s="147"/>
      <c r="AD86" s="147"/>
      <c r="AE86" s="147"/>
      <c r="AF86" s="147"/>
      <c r="AG86" s="147"/>
      <c r="AH86" s="147"/>
      <c r="AI86" s="147"/>
    </row>
    <row r="87">
      <c r="A87" s="140"/>
      <c r="B87" s="140"/>
      <c r="C87" s="141" t="str">
        <f t="array" ref="C87">INDEX('Player Database'!$D:$D,MATCH($D87,'Player Database'!$B:$B,0))</f>
        <v>#N/A</v>
      </c>
      <c r="D87" s="142" t="str">
        <f t="shared" si="1"/>
        <v> - </v>
      </c>
      <c r="E87" s="143" t="str">
        <f t="array" ref="E87">XLOOKUP($D87,'Player Database'!$B$2:$B1009,'Player Database'!$I$2:$I1009)</f>
        <v>#N/A</v>
      </c>
      <c r="F87" s="143" t="str">
        <f t="array" ref="F87">XLOOKUP($D87,'Player Database'!$B$2:$B1009,'Player Database'!$J$2:$J1009)</f>
        <v>#N/A</v>
      </c>
      <c r="G87" s="144" t="str">
        <f t="array" ref="G87">IF(H87="","",IFERROR(
  "https://sealeddeck.tech/" &amp; INDEX('Pool Changes'!F:F,
    MAX(
      ROW('Pool Changes'!A:A) *
      ('Pool Changes'!B:B=D87) *
      ('Pool Changes'!F:F&lt;&gt;"")
    )
  ),
  ""
))</f>
        <v/>
      </c>
      <c r="H87" s="144" t="str">
        <f>IFERROR(__xludf.DUMMYFUNCTION("LET(changes,FILTER('Pool Changes'!$B:$D, 'Pool Changes'!$B:$B = $D87),added,FILTER(INDEX(changes,0,3),INDEX(changes,0,2)=""starting pool""),TRANSPOSE(IFERROR(ARRAYFORMULA(IF(added&lt;&gt;"""",""https://sealeddeck.tech/""&amp;added,"""")),"""")))"),"")</f>
        <v/>
      </c>
      <c r="I87" s="145" t="str">
        <f>IFERROR(__xludf.DUMMYFUNCTION("LET(changes,FILTER('Pool Changes'!$B:$D, 'Pool Changes'!$B:$B = $D87),added,FILTER(INDEX(changes,0,3),INDEX(changes,0,2)=""add pack""),IFERROR(TRANSPOSE(ARRAYFORMULA(IF(added&lt;&gt;"""",HYPERLINK(""https://sealeddeck.tech/""&amp;added,""Link""),""""))),""""))"),"")</f>
        <v/>
      </c>
      <c r="J87" s="146"/>
      <c r="K87" s="146"/>
      <c r="L87" s="146"/>
      <c r="M87" s="146"/>
      <c r="N87" s="146"/>
      <c r="O87" s="146"/>
      <c r="P87" s="146"/>
      <c r="Q87" s="146"/>
      <c r="R87" s="146"/>
      <c r="S87" s="146"/>
      <c r="T87" s="147"/>
      <c r="U87" s="147"/>
      <c r="V87" s="147"/>
      <c r="W87" s="147"/>
      <c r="X87" s="147"/>
      <c r="Y87" s="147"/>
      <c r="Z87" s="147"/>
      <c r="AA87" s="147"/>
      <c r="AB87" s="147"/>
      <c r="AC87" s="147"/>
      <c r="AD87" s="147"/>
      <c r="AE87" s="147"/>
      <c r="AF87" s="147"/>
      <c r="AG87" s="147"/>
      <c r="AH87" s="147"/>
      <c r="AI87" s="147"/>
    </row>
    <row r="88">
      <c r="A88" s="140"/>
      <c r="B88" s="140"/>
      <c r="C88" s="141" t="str">
        <f t="array" ref="C88">INDEX('Player Database'!$D:$D,MATCH($D88,'Player Database'!$B:$B,0))</f>
        <v>#N/A</v>
      </c>
      <c r="D88" s="142" t="str">
        <f t="shared" si="1"/>
        <v> - </v>
      </c>
      <c r="E88" s="143" t="str">
        <f t="array" ref="E88">XLOOKUP($D88,'Player Database'!$B$2:$B1009,'Player Database'!$I$2:$I1009)</f>
        <v>#N/A</v>
      </c>
      <c r="F88" s="143" t="str">
        <f t="array" ref="F88">XLOOKUP($D88,'Player Database'!$B$2:$B1009,'Player Database'!$J$2:$J1009)</f>
        <v>#N/A</v>
      </c>
      <c r="G88" s="144" t="str">
        <f t="array" ref="G88">IF(H88="","",IFERROR(
  "https://sealeddeck.tech/" &amp; INDEX('Pool Changes'!F:F,
    MAX(
      ROW('Pool Changes'!A:A) *
      ('Pool Changes'!B:B=D88) *
      ('Pool Changes'!F:F&lt;&gt;"")
    )
  ),
  ""
))</f>
        <v/>
      </c>
      <c r="H88" s="144" t="str">
        <f>IFERROR(__xludf.DUMMYFUNCTION("LET(changes,FILTER('Pool Changes'!$B:$D, 'Pool Changes'!$B:$B = $D88),added,FILTER(INDEX(changes,0,3),INDEX(changes,0,2)=""starting pool""),TRANSPOSE(IFERROR(ARRAYFORMULA(IF(added&lt;&gt;"""",""https://sealeddeck.tech/""&amp;added,"""")),"""")))"),"")</f>
        <v/>
      </c>
      <c r="I88" s="145" t="str">
        <f>IFERROR(__xludf.DUMMYFUNCTION("LET(changes,FILTER('Pool Changes'!$B:$D, 'Pool Changes'!$B:$B = $D88),added,FILTER(INDEX(changes,0,3),INDEX(changes,0,2)=""add pack""),IFERROR(TRANSPOSE(ARRAYFORMULA(IF(added&lt;&gt;"""",HYPERLINK(""https://sealeddeck.tech/""&amp;added,""Link""),""""))),""""))"),"")</f>
        <v/>
      </c>
      <c r="J88" s="146"/>
      <c r="K88" s="146"/>
      <c r="L88" s="146"/>
      <c r="M88" s="146"/>
      <c r="N88" s="146"/>
      <c r="O88" s="146"/>
      <c r="P88" s="146"/>
      <c r="Q88" s="146"/>
      <c r="R88" s="146"/>
      <c r="S88" s="146"/>
      <c r="T88" s="147"/>
      <c r="U88" s="147"/>
      <c r="V88" s="147"/>
      <c r="W88" s="147"/>
      <c r="X88" s="147"/>
      <c r="Y88" s="147"/>
      <c r="Z88" s="147"/>
      <c r="AA88" s="147"/>
      <c r="AB88" s="147"/>
      <c r="AC88" s="147"/>
      <c r="AD88" s="147"/>
      <c r="AE88" s="147"/>
      <c r="AF88" s="147"/>
      <c r="AG88" s="147"/>
      <c r="AH88" s="147"/>
      <c r="AI88" s="147"/>
    </row>
    <row r="89">
      <c r="A89" s="140"/>
      <c r="B89" s="140"/>
      <c r="C89" s="141" t="str">
        <f t="array" ref="C89">INDEX('Player Database'!$D:$D,MATCH($D89,'Player Database'!$B:$B,0))</f>
        <v>#N/A</v>
      </c>
      <c r="D89" s="142" t="str">
        <f t="shared" si="1"/>
        <v> - </v>
      </c>
      <c r="E89" s="143" t="str">
        <f t="array" ref="E89">XLOOKUP($D89,'Player Database'!$B$2:$B1009,'Player Database'!$I$2:$I1009)</f>
        <v>#N/A</v>
      </c>
      <c r="F89" s="143" t="str">
        <f t="array" ref="F89">XLOOKUP($D89,'Player Database'!$B$2:$B1009,'Player Database'!$J$2:$J1009)</f>
        <v>#N/A</v>
      </c>
      <c r="G89" s="144" t="str">
        <f t="array" ref="G89">IF(H89="","",IFERROR(
  "https://sealeddeck.tech/" &amp; INDEX('Pool Changes'!F:F,
    MAX(
      ROW('Pool Changes'!A:A) *
      ('Pool Changes'!B:B=D89) *
      ('Pool Changes'!F:F&lt;&gt;"")
    )
  ),
  ""
))</f>
        <v/>
      </c>
      <c r="H89" s="144" t="str">
        <f>IFERROR(__xludf.DUMMYFUNCTION("LET(changes,FILTER('Pool Changes'!$B:$D, 'Pool Changes'!$B:$B = $D89),added,FILTER(INDEX(changes,0,3),INDEX(changes,0,2)=""starting pool""),TRANSPOSE(IFERROR(ARRAYFORMULA(IF(added&lt;&gt;"""",""https://sealeddeck.tech/""&amp;added,"""")),"""")))"),"")</f>
        <v/>
      </c>
      <c r="I89" s="145" t="str">
        <f>IFERROR(__xludf.DUMMYFUNCTION("LET(changes,FILTER('Pool Changes'!$B:$D, 'Pool Changes'!$B:$B = $D89),added,FILTER(INDEX(changes,0,3),INDEX(changes,0,2)=""add pack""),IFERROR(TRANSPOSE(ARRAYFORMULA(IF(added&lt;&gt;"""",HYPERLINK(""https://sealeddeck.tech/""&amp;added,""Link""),""""))),""""))"),"")</f>
        <v/>
      </c>
      <c r="J89" s="146"/>
      <c r="K89" s="146"/>
      <c r="L89" s="146"/>
      <c r="M89" s="146"/>
      <c r="N89" s="146"/>
      <c r="O89" s="146"/>
      <c r="P89" s="146"/>
      <c r="Q89" s="146"/>
      <c r="R89" s="146"/>
      <c r="S89" s="146"/>
      <c r="T89" s="147"/>
      <c r="U89" s="147"/>
      <c r="V89" s="147"/>
      <c r="W89" s="147"/>
      <c r="X89" s="147"/>
      <c r="Y89" s="147"/>
      <c r="Z89" s="147"/>
      <c r="AA89" s="147"/>
      <c r="AB89" s="147"/>
      <c r="AC89" s="147"/>
      <c r="AD89" s="147"/>
      <c r="AE89" s="147"/>
      <c r="AF89" s="147"/>
      <c r="AG89" s="147"/>
      <c r="AH89" s="147"/>
      <c r="AI89" s="147"/>
    </row>
    <row r="90">
      <c r="A90" s="140"/>
      <c r="B90" s="140"/>
      <c r="C90" s="141" t="str">
        <f t="array" ref="C90">INDEX('Player Database'!$D:$D,MATCH($D90,'Player Database'!$B:$B,0))</f>
        <v>#N/A</v>
      </c>
      <c r="D90" s="142" t="str">
        <f t="shared" si="1"/>
        <v> - </v>
      </c>
      <c r="E90" s="143" t="str">
        <f t="array" ref="E90">XLOOKUP($D90,'Player Database'!$B$2:$B1009,'Player Database'!$I$2:$I1009)</f>
        <v>#N/A</v>
      </c>
      <c r="F90" s="143" t="str">
        <f t="array" ref="F90">XLOOKUP($D90,'Player Database'!$B$2:$B1009,'Player Database'!$J$2:$J1009)</f>
        <v>#N/A</v>
      </c>
      <c r="G90" s="144" t="str">
        <f t="array" ref="G90">IF(H90="","",IFERROR(
  "https://sealeddeck.tech/" &amp; INDEX('Pool Changes'!F:F,
    MAX(
      ROW('Pool Changes'!A:A) *
      ('Pool Changes'!B:B=D90) *
      ('Pool Changes'!F:F&lt;&gt;"")
    )
  ),
  ""
))</f>
        <v/>
      </c>
      <c r="H90" s="144" t="str">
        <f>IFERROR(__xludf.DUMMYFUNCTION("LET(changes,FILTER('Pool Changes'!$B:$D, 'Pool Changes'!$B:$B = $D90),added,FILTER(INDEX(changes,0,3),INDEX(changes,0,2)=""starting pool""),TRANSPOSE(IFERROR(ARRAYFORMULA(IF(added&lt;&gt;"""",""https://sealeddeck.tech/""&amp;added,"""")),"""")))"),"")</f>
        <v/>
      </c>
      <c r="I90" s="145" t="str">
        <f>IFERROR(__xludf.DUMMYFUNCTION("LET(changes,FILTER('Pool Changes'!$B:$D, 'Pool Changes'!$B:$B = $D90),added,FILTER(INDEX(changes,0,3),INDEX(changes,0,2)=""add pack""),IFERROR(TRANSPOSE(ARRAYFORMULA(IF(added&lt;&gt;"""",HYPERLINK(""https://sealeddeck.tech/""&amp;added,""Link""),""""))),""""))"),"")</f>
        <v/>
      </c>
      <c r="J90" s="146"/>
      <c r="K90" s="146"/>
      <c r="L90" s="146"/>
      <c r="M90" s="146"/>
      <c r="N90" s="146"/>
      <c r="O90" s="146"/>
      <c r="P90" s="146"/>
      <c r="Q90" s="146"/>
      <c r="R90" s="146"/>
      <c r="S90" s="146"/>
      <c r="T90" s="147"/>
      <c r="U90" s="147"/>
      <c r="V90" s="147"/>
      <c r="W90" s="147"/>
      <c r="X90" s="147"/>
      <c r="Y90" s="147"/>
      <c r="Z90" s="147"/>
      <c r="AA90" s="147"/>
      <c r="AB90" s="147"/>
      <c r="AC90" s="147"/>
      <c r="AD90" s="147"/>
      <c r="AE90" s="147"/>
      <c r="AF90" s="147"/>
      <c r="AG90" s="147"/>
      <c r="AH90" s="147"/>
      <c r="AI90" s="147"/>
    </row>
    <row r="91">
      <c r="A91" s="140"/>
      <c r="B91" s="140"/>
      <c r="C91" s="141" t="str">
        <f t="array" ref="C91">INDEX('Player Database'!$D:$D,MATCH($D91,'Player Database'!$B:$B,0))</f>
        <v>#N/A</v>
      </c>
      <c r="D91" s="142" t="str">
        <f t="shared" si="1"/>
        <v> - </v>
      </c>
      <c r="E91" s="143" t="str">
        <f t="array" ref="E91">XLOOKUP($D91,'Player Database'!$B$2:$B1009,'Player Database'!$I$2:$I1009)</f>
        <v>#N/A</v>
      </c>
      <c r="F91" s="143" t="str">
        <f t="array" ref="F91">XLOOKUP($D91,'Player Database'!$B$2:$B1009,'Player Database'!$J$2:$J1009)</f>
        <v>#N/A</v>
      </c>
      <c r="G91" s="144" t="str">
        <f t="array" ref="G91">IF(H91="","",IFERROR(
  "https://sealeddeck.tech/" &amp; INDEX('Pool Changes'!F:F,
    MAX(
      ROW('Pool Changes'!A:A) *
      ('Pool Changes'!B:B=D91) *
      ('Pool Changes'!F:F&lt;&gt;"")
    )
  ),
  ""
))</f>
        <v/>
      </c>
      <c r="H91" s="144" t="str">
        <f>IFERROR(__xludf.DUMMYFUNCTION("LET(changes,FILTER('Pool Changes'!$B:$D, 'Pool Changes'!$B:$B = $D91),added,FILTER(INDEX(changes,0,3),INDEX(changes,0,2)=""starting pool""),TRANSPOSE(IFERROR(ARRAYFORMULA(IF(added&lt;&gt;"""",""https://sealeddeck.tech/""&amp;added,"""")),"""")))"),"")</f>
        <v/>
      </c>
      <c r="I91" s="145" t="str">
        <f>IFERROR(__xludf.DUMMYFUNCTION("LET(changes,FILTER('Pool Changes'!$B:$D, 'Pool Changes'!$B:$B = $D91),added,FILTER(INDEX(changes,0,3),INDEX(changes,0,2)=""add pack""),IFERROR(TRANSPOSE(ARRAYFORMULA(IF(added&lt;&gt;"""",HYPERLINK(""https://sealeddeck.tech/""&amp;added,""Link""),""""))),""""))"),"")</f>
        <v/>
      </c>
      <c r="J91" s="146"/>
      <c r="K91" s="146"/>
      <c r="L91" s="146"/>
      <c r="M91" s="146"/>
      <c r="N91" s="146"/>
      <c r="O91" s="146"/>
      <c r="P91" s="146"/>
      <c r="Q91" s="146"/>
      <c r="R91" s="146"/>
      <c r="S91" s="146"/>
      <c r="T91" s="147"/>
      <c r="U91" s="147"/>
      <c r="V91" s="147"/>
      <c r="W91" s="147"/>
      <c r="X91" s="147"/>
      <c r="Y91" s="147"/>
      <c r="Z91" s="147"/>
      <c r="AA91" s="147"/>
      <c r="AB91" s="147"/>
      <c r="AC91" s="147"/>
      <c r="AD91" s="147"/>
      <c r="AE91" s="147"/>
      <c r="AF91" s="147"/>
      <c r="AG91" s="147"/>
      <c r="AH91" s="147"/>
      <c r="AI91" s="147"/>
    </row>
    <row r="92">
      <c r="A92" s="140"/>
      <c r="B92" s="140"/>
      <c r="C92" s="141" t="str">
        <f t="array" ref="C92">INDEX('Player Database'!$D:$D,MATCH($D92,'Player Database'!$B:$B,0))</f>
        <v>#N/A</v>
      </c>
      <c r="D92" s="142" t="str">
        <f t="shared" si="1"/>
        <v> - </v>
      </c>
      <c r="E92" s="143" t="str">
        <f t="array" ref="E92">XLOOKUP($D92,'Player Database'!$B$2:$B1009,'Player Database'!$I$2:$I1009)</f>
        <v>#N/A</v>
      </c>
      <c r="F92" s="143" t="str">
        <f t="array" ref="F92">XLOOKUP($D92,'Player Database'!$B$2:$B1009,'Player Database'!$J$2:$J1009)</f>
        <v>#N/A</v>
      </c>
      <c r="G92" s="144" t="str">
        <f t="array" ref="G92">IF(H92="","",IFERROR(
  "https://sealeddeck.tech/" &amp; INDEX('Pool Changes'!F:F,
    MAX(
      ROW('Pool Changes'!A:A) *
      ('Pool Changes'!B:B=D92) *
      ('Pool Changes'!F:F&lt;&gt;"")
    )
  ),
  ""
))</f>
        <v/>
      </c>
      <c r="H92" s="144" t="str">
        <f>IFERROR(__xludf.DUMMYFUNCTION("LET(changes,FILTER('Pool Changes'!$B:$D, 'Pool Changes'!$B:$B = $D92),added,FILTER(INDEX(changes,0,3),INDEX(changes,0,2)=""starting pool""),TRANSPOSE(IFERROR(ARRAYFORMULA(IF(added&lt;&gt;"""",""https://sealeddeck.tech/""&amp;added,"""")),"""")))"),"")</f>
        <v/>
      </c>
      <c r="I92" s="145" t="str">
        <f>IFERROR(__xludf.DUMMYFUNCTION("LET(changes,FILTER('Pool Changes'!$B:$D, 'Pool Changes'!$B:$B = $D92),added,FILTER(INDEX(changes,0,3),INDEX(changes,0,2)=""add pack""),IFERROR(TRANSPOSE(ARRAYFORMULA(IF(added&lt;&gt;"""",HYPERLINK(""https://sealeddeck.tech/""&amp;added,""Link""),""""))),""""))"),"")</f>
        <v/>
      </c>
      <c r="J92" s="146"/>
      <c r="K92" s="146"/>
      <c r="L92" s="146"/>
      <c r="M92" s="146"/>
      <c r="N92" s="146"/>
      <c r="O92" s="146"/>
      <c r="P92" s="146"/>
      <c r="Q92" s="146"/>
      <c r="R92" s="146"/>
      <c r="S92" s="146"/>
      <c r="T92" s="147"/>
      <c r="U92" s="147"/>
      <c r="V92" s="147"/>
      <c r="W92" s="149" t="s">
        <v>459</v>
      </c>
      <c r="X92" s="147"/>
      <c r="Y92" s="147"/>
      <c r="Z92" s="147"/>
      <c r="AA92" s="147"/>
      <c r="AB92" s="147"/>
      <c r="AC92" s="147"/>
      <c r="AD92" s="147"/>
      <c r="AE92" s="147"/>
      <c r="AF92" s="147"/>
      <c r="AG92" s="147"/>
      <c r="AH92" s="147"/>
      <c r="AI92" s="147"/>
    </row>
    <row r="93">
      <c r="A93" s="140"/>
      <c r="B93" s="140"/>
      <c r="C93" s="141" t="str">
        <f t="array" ref="C93">INDEX('Player Database'!$D:$D,MATCH($D93,'Player Database'!$B:$B,0))</f>
        <v>#N/A</v>
      </c>
      <c r="D93" s="142" t="str">
        <f t="shared" si="1"/>
        <v> - </v>
      </c>
      <c r="E93" s="143" t="str">
        <f t="array" ref="E93">XLOOKUP($D93,'Player Database'!$B$2:$B1009,'Player Database'!$I$2:$I1009)</f>
        <v>#N/A</v>
      </c>
      <c r="F93" s="143" t="str">
        <f t="array" ref="F93">XLOOKUP($D93,'Player Database'!$B$2:$B1009,'Player Database'!$J$2:$J1009)</f>
        <v>#N/A</v>
      </c>
      <c r="G93" s="144" t="str">
        <f t="array" ref="G93">IF(H93="","",IFERROR(
  "https://sealeddeck.tech/" &amp; INDEX('Pool Changes'!F:F,
    MAX(
      ROW('Pool Changes'!A:A) *
      ('Pool Changes'!B:B=D93) *
      ('Pool Changes'!F:F&lt;&gt;"")
    )
  ),
  ""
))</f>
        <v/>
      </c>
      <c r="H93" s="144" t="str">
        <f>IFERROR(__xludf.DUMMYFUNCTION("LET(changes,FILTER('Pool Changes'!$B:$D, 'Pool Changes'!$B:$B = $D93),added,FILTER(INDEX(changes,0,3),INDEX(changes,0,2)=""starting pool""),TRANSPOSE(IFERROR(ARRAYFORMULA(IF(added&lt;&gt;"""",""https://sealeddeck.tech/""&amp;added,"""")),"""")))"),"")</f>
        <v/>
      </c>
      <c r="I93" s="145" t="str">
        <f>IFERROR(__xludf.DUMMYFUNCTION("LET(changes,FILTER('Pool Changes'!$B:$D, 'Pool Changes'!$B:$B = $D93),added,FILTER(INDEX(changes,0,3),INDEX(changes,0,2)=""add pack""),IFERROR(TRANSPOSE(ARRAYFORMULA(IF(added&lt;&gt;"""",HYPERLINK(""https://sealeddeck.tech/""&amp;added,""Link""),""""))),""""))"),"")</f>
        <v/>
      </c>
      <c r="J93" s="146"/>
      <c r="K93" s="146"/>
      <c r="L93" s="146"/>
      <c r="M93" s="146"/>
      <c r="N93" s="146"/>
      <c r="O93" s="146"/>
      <c r="P93" s="146"/>
      <c r="Q93" s="146"/>
      <c r="R93" s="146"/>
      <c r="S93" s="146"/>
      <c r="T93" s="147"/>
      <c r="U93" s="147"/>
      <c r="V93" s="147"/>
      <c r="W93" s="149" t="s">
        <v>459</v>
      </c>
      <c r="X93" s="147"/>
      <c r="Y93" s="147"/>
      <c r="Z93" s="147"/>
      <c r="AA93" s="147"/>
      <c r="AB93" s="147"/>
      <c r="AC93" s="147"/>
      <c r="AD93" s="147"/>
      <c r="AE93" s="147"/>
      <c r="AF93" s="147"/>
      <c r="AG93" s="147"/>
      <c r="AH93" s="147"/>
      <c r="AI93" s="147"/>
    </row>
    <row r="94">
      <c r="A94" s="140"/>
      <c r="B94" s="140"/>
      <c r="C94" s="141" t="str">
        <f t="array" ref="C94">INDEX('Player Database'!$D:$D,MATCH($D94,'Player Database'!$B:$B,0))</f>
        <v>#N/A</v>
      </c>
      <c r="D94" s="142" t="str">
        <f t="shared" si="1"/>
        <v> - </v>
      </c>
      <c r="E94" s="143" t="str">
        <f t="array" ref="E94">XLOOKUP($D94,'Player Database'!$B$2:$B1009,'Player Database'!$I$2:$I1009)</f>
        <v>#N/A</v>
      </c>
      <c r="F94" s="143" t="str">
        <f t="array" ref="F94">XLOOKUP($D94,'Player Database'!$B$2:$B1009,'Player Database'!$J$2:$J1009)</f>
        <v>#N/A</v>
      </c>
      <c r="G94" s="144" t="str">
        <f t="array" ref="G94">IF(H94="","",IFERROR(
  "https://sealeddeck.tech/" &amp; INDEX('Pool Changes'!F:F,
    MAX(
      ROW('Pool Changes'!A:A) *
      ('Pool Changes'!B:B=D94) *
      ('Pool Changes'!F:F&lt;&gt;"")
    )
  ),
  ""
))</f>
        <v/>
      </c>
      <c r="H94" s="144" t="str">
        <f>IFERROR(__xludf.DUMMYFUNCTION("LET(changes,FILTER('Pool Changes'!$B:$D, 'Pool Changes'!$B:$B = $D94),added,FILTER(INDEX(changes,0,3),INDEX(changes,0,2)=""starting pool""),TRANSPOSE(IFERROR(ARRAYFORMULA(IF(added&lt;&gt;"""",""https://sealeddeck.tech/""&amp;added,"""")),"""")))"),"")</f>
        <v/>
      </c>
      <c r="I94" s="145" t="str">
        <f>IFERROR(__xludf.DUMMYFUNCTION("LET(changes,FILTER('Pool Changes'!$B:$D, 'Pool Changes'!$B:$B = $D94),added,FILTER(INDEX(changes,0,3),INDEX(changes,0,2)=""add pack""),IFERROR(TRANSPOSE(ARRAYFORMULA(IF(added&lt;&gt;"""",HYPERLINK(""https://sealeddeck.tech/""&amp;added,""Link""),""""))),""""))"),"")</f>
        <v/>
      </c>
      <c r="J94" s="146"/>
      <c r="K94" s="146"/>
      <c r="L94" s="146"/>
      <c r="M94" s="146"/>
      <c r="N94" s="146"/>
      <c r="O94" s="146"/>
      <c r="P94" s="146"/>
      <c r="Q94" s="146"/>
      <c r="R94" s="146"/>
      <c r="S94" s="146"/>
      <c r="T94" s="147"/>
      <c r="U94" s="147"/>
      <c r="V94" s="147"/>
      <c r="W94" s="149" t="s">
        <v>459</v>
      </c>
      <c r="X94" s="147"/>
      <c r="Y94" s="147"/>
      <c r="Z94" s="147"/>
      <c r="AA94" s="147"/>
      <c r="AB94" s="147"/>
      <c r="AC94" s="147"/>
      <c r="AD94" s="147"/>
      <c r="AE94" s="147"/>
      <c r="AF94" s="147"/>
      <c r="AG94" s="147"/>
      <c r="AH94" s="147"/>
      <c r="AI94" s="147"/>
    </row>
    <row r="95">
      <c r="A95" s="140"/>
      <c r="B95" s="140"/>
      <c r="C95" s="141" t="str">
        <f t="array" ref="C95">INDEX('Player Database'!$D:$D,MATCH($D95,'Player Database'!$B:$B,0))</f>
        <v>#N/A</v>
      </c>
      <c r="D95" s="142" t="str">
        <f t="shared" si="1"/>
        <v> - </v>
      </c>
      <c r="E95" s="143" t="str">
        <f t="array" ref="E95">XLOOKUP($D95,'Player Database'!$B$2:$B1009,'Player Database'!$I$2:$I1009)</f>
        <v>#N/A</v>
      </c>
      <c r="F95" s="143" t="str">
        <f t="array" ref="F95">XLOOKUP($D95,'Player Database'!$B$2:$B1009,'Player Database'!$J$2:$J1009)</f>
        <v>#N/A</v>
      </c>
      <c r="G95" s="144" t="str">
        <f t="array" ref="G95">IF(H95="","",IFERROR(
  "https://sealeddeck.tech/" &amp; INDEX('Pool Changes'!F:F,
    MAX(
      ROW('Pool Changes'!A:A) *
      ('Pool Changes'!B:B=D95) *
      ('Pool Changes'!F:F&lt;&gt;"")
    )
  ),
  ""
))</f>
        <v/>
      </c>
      <c r="H95" s="144" t="str">
        <f>IFERROR(__xludf.DUMMYFUNCTION("LET(changes,FILTER('Pool Changes'!$B:$D, 'Pool Changes'!$B:$B = $D95),added,FILTER(INDEX(changes,0,3),INDEX(changes,0,2)=""starting pool""),TRANSPOSE(IFERROR(ARRAYFORMULA(IF(added&lt;&gt;"""",""https://sealeddeck.tech/""&amp;added,"""")),"""")))"),"")</f>
        <v/>
      </c>
      <c r="I95" s="145" t="str">
        <f>IFERROR(__xludf.DUMMYFUNCTION("LET(changes,FILTER('Pool Changes'!$B:$D, 'Pool Changes'!$B:$B = $D95),added,FILTER(INDEX(changes,0,3),INDEX(changes,0,2)=""add pack""),IFERROR(TRANSPOSE(ARRAYFORMULA(IF(added&lt;&gt;"""",HYPERLINK(""https://sealeddeck.tech/""&amp;added,""Link""),""""))),""""))"),"")</f>
        <v/>
      </c>
      <c r="J95" s="146"/>
      <c r="K95" s="146"/>
      <c r="L95" s="146"/>
      <c r="M95" s="146"/>
      <c r="N95" s="146"/>
      <c r="O95" s="146"/>
      <c r="P95" s="146"/>
      <c r="Q95" s="146"/>
      <c r="R95" s="146"/>
      <c r="S95" s="146"/>
      <c r="T95" s="147"/>
      <c r="U95" s="147"/>
      <c r="V95" s="147"/>
      <c r="W95" s="147"/>
      <c r="X95" s="147"/>
      <c r="Y95" s="147"/>
      <c r="Z95" s="147"/>
      <c r="AA95" s="147"/>
      <c r="AB95" s="147"/>
      <c r="AC95" s="147"/>
      <c r="AD95" s="147"/>
      <c r="AE95" s="147"/>
      <c r="AF95" s="147"/>
      <c r="AG95" s="147"/>
      <c r="AH95" s="147"/>
      <c r="AI95" s="147"/>
    </row>
    <row r="96">
      <c r="A96" s="140"/>
      <c r="B96" s="140"/>
      <c r="C96" s="141" t="str">
        <f t="array" ref="C96">INDEX('Player Database'!$D:$D,MATCH($D96,'Player Database'!$B:$B,0))</f>
        <v>#N/A</v>
      </c>
      <c r="D96" s="142" t="str">
        <f t="shared" si="1"/>
        <v> - </v>
      </c>
      <c r="E96" s="143" t="str">
        <f t="array" ref="E96">XLOOKUP($D96,'Player Database'!$B$2:$B1009,'Player Database'!$I$2:$I1009)</f>
        <v>#N/A</v>
      </c>
      <c r="F96" s="143" t="str">
        <f t="array" ref="F96">XLOOKUP($D96,'Player Database'!$B$2:$B1009,'Player Database'!$J$2:$J1009)</f>
        <v>#N/A</v>
      </c>
      <c r="G96" s="144" t="str">
        <f t="array" ref="G96">IF(H96="","",IFERROR(
  "https://sealeddeck.tech/" &amp; INDEX('Pool Changes'!F:F,
    MAX(
      ROW('Pool Changes'!A:A) *
      ('Pool Changes'!B:B=D96) *
      ('Pool Changes'!F:F&lt;&gt;"")
    )
  ),
  ""
))</f>
        <v/>
      </c>
      <c r="H96" s="144" t="str">
        <f>IFERROR(__xludf.DUMMYFUNCTION("LET(changes,FILTER('Pool Changes'!$B:$D, 'Pool Changes'!$B:$B = $D96),added,FILTER(INDEX(changes,0,3),INDEX(changes,0,2)=""starting pool""),TRANSPOSE(IFERROR(ARRAYFORMULA(IF(added&lt;&gt;"""",""https://sealeddeck.tech/""&amp;added,"""")),"""")))"),"")</f>
        <v/>
      </c>
      <c r="I96" s="145" t="str">
        <f>IFERROR(__xludf.DUMMYFUNCTION("LET(changes,FILTER('Pool Changes'!$B:$D, 'Pool Changes'!$B:$B = $D96),added,FILTER(INDEX(changes,0,3),INDEX(changes,0,2)=""add pack""),IFERROR(TRANSPOSE(ARRAYFORMULA(IF(added&lt;&gt;"""",HYPERLINK(""https://sealeddeck.tech/""&amp;added,""Link""),""""))),""""))"),"")</f>
        <v/>
      </c>
      <c r="J96" s="146"/>
      <c r="K96" s="146"/>
      <c r="L96" s="146"/>
      <c r="M96" s="146"/>
      <c r="N96" s="146"/>
      <c r="O96" s="146"/>
      <c r="P96" s="146"/>
      <c r="Q96" s="146"/>
      <c r="R96" s="146"/>
      <c r="S96" s="146"/>
      <c r="T96" s="147"/>
      <c r="U96" s="147"/>
      <c r="V96" s="147"/>
      <c r="W96" s="147"/>
      <c r="X96" s="147"/>
      <c r="Y96" s="147"/>
      <c r="Z96" s="147"/>
      <c r="AA96" s="147"/>
      <c r="AB96" s="147"/>
      <c r="AC96" s="147"/>
      <c r="AD96" s="147"/>
      <c r="AE96" s="147"/>
      <c r="AF96" s="147"/>
      <c r="AG96" s="147"/>
      <c r="AH96" s="147"/>
      <c r="AI96" s="147"/>
    </row>
    <row r="97">
      <c r="A97" s="140"/>
      <c r="B97" s="140"/>
      <c r="C97" s="141" t="str">
        <f t="array" ref="C97">INDEX('Player Database'!$D:$D,MATCH($D97,'Player Database'!$B:$B,0))</f>
        <v>#N/A</v>
      </c>
      <c r="D97" s="142" t="str">
        <f t="shared" si="1"/>
        <v> - </v>
      </c>
      <c r="E97" s="143" t="str">
        <f t="array" ref="E97">XLOOKUP($D97,'Player Database'!$B$2:$B1009,'Player Database'!$I$2:$I1009)</f>
        <v>#N/A</v>
      </c>
      <c r="F97" s="143" t="str">
        <f t="array" ref="F97">XLOOKUP($D97,'Player Database'!$B$2:$B1009,'Player Database'!$J$2:$J1009)</f>
        <v>#N/A</v>
      </c>
      <c r="G97" s="144" t="str">
        <f t="array" ref="G97">IF(H97="","",IFERROR(
  "https://sealeddeck.tech/" &amp; INDEX('Pool Changes'!F:F,
    MAX(
      ROW('Pool Changes'!A:A) *
      ('Pool Changes'!B:B=D97) *
      ('Pool Changes'!F:F&lt;&gt;"")
    )
  ),
  ""
))</f>
        <v/>
      </c>
      <c r="H97" s="144" t="str">
        <f>IFERROR(__xludf.DUMMYFUNCTION("LET(changes,FILTER('Pool Changes'!$B:$D, 'Pool Changes'!$B:$B = $D97),added,FILTER(INDEX(changes,0,3),INDEX(changes,0,2)=""starting pool""),TRANSPOSE(IFERROR(ARRAYFORMULA(IF(added&lt;&gt;"""",""https://sealeddeck.tech/""&amp;added,"""")),"""")))"),"")</f>
        <v/>
      </c>
      <c r="I97" s="145" t="str">
        <f>IFERROR(__xludf.DUMMYFUNCTION("LET(changes,FILTER('Pool Changes'!$B:$D, 'Pool Changes'!$B:$B = $D97),added,FILTER(INDEX(changes,0,3),INDEX(changes,0,2)=""add pack""),IFERROR(TRANSPOSE(ARRAYFORMULA(IF(added&lt;&gt;"""",HYPERLINK(""https://sealeddeck.tech/""&amp;added,""Link""),""""))),""""))"),"")</f>
        <v/>
      </c>
      <c r="J97" s="146"/>
      <c r="K97" s="146"/>
      <c r="L97" s="146"/>
      <c r="M97" s="146"/>
      <c r="N97" s="146"/>
      <c r="O97" s="146"/>
      <c r="P97" s="146"/>
      <c r="Q97" s="146"/>
      <c r="R97" s="146"/>
      <c r="S97" s="146"/>
      <c r="T97" s="147"/>
      <c r="U97" s="147"/>
      <c r="V97" s="147"/>
      <c r="W97" s="149" t="s">
        <v>459</v>
      </c>
      <c r="X97" s="147"/>
      <c r="Y97" s="147"/>
      <c r="Z97" s="147"/>
      <c r="AA97" s="147"/>
      <c r="AB97" s="147"/>
      <c r="AC97" s="147"/>
      <c r="AD97" s="147"/>
      <c r="AE97" s="147"/>
      <c r="AF97" s="147"/>
      <c r="AG97" s="147"/>
      <c r="AH97" s="147"/>
      <c r="AI97" s="147"/>
    </row>
    <row r="98">
      <c r="A98" s="140"/>
      <c r="B98" s="140"/>
      <c r="C98" s="141" t="str">
        <f t="array" ref="C98">INDEX('Player Database'!$D:$D,MATCH($D98,'Player Database'!$B:$B,0))</f>
        <v>#N/A</v>
      </c>
      <c r="D98" s="142" t="str">
        <f t="shared" si="1"/>
        <v> - </v>
      </c>
      <c r="E98" s="143" t="str">
        <f t="array" ref="E98">XLOOKUP($D98,'Player Database'!$B$2:$B1009,'Player Database'!$I$2:$I1009)</f>
        <v>#N/A</v>
      </c>
      <c r="F98" s="143" t="str">
        <f t="array" ref="F98">XLOOKUP($D98,'Player Database'!$B$2:$B1009,'Player Database'!$J$2:$J1009)</f>
        <v>#N/A</v>
      </c>
      <c r="G98" s="144" t="str">
        <f t="array" ref="G98">IF(H98="","",IFERROR(
  "https://sealeddeck.tech/" &amp; INDEX('Pool Changes'!F:F,
    MAX(
      ROW('Pool Changes'!A:A) *
      ('Pool Changes'!B:B=D98) *
      ('Pool Changes'!F:F&lt;&gt;"")
    )
  ),
  ""
))</f>
        <v/>
      </c>
      <c r="H98" s="144" t="str">
        <f>IFERROR(__xludf.DUMMYFUNCTION("LET(changes,FILTER('Pool Changes'!$B:$D, 'Pool Changes'!$B:$B = $D98),added,FILTER(INDEX(changes,0,3),INDEX(changes,0,2)=""starting pool""),TRANSPOSE(IFERROR(ARRAYFORMULA(IF(added&lt;&gt;"""",""https://sealeddeck.tech/""&amp;added,"""")),"""")))"),"")</f>
        <v/>
      </c>
      <c r="I98" s="145" t="str">
        <f>IFERROR(__xludf.DUMMYFUNCTION("LET(changes,FILTER('Pool Changes'!$B:$D, 'Pool Changes'!$B:$B = $D98),added,FILTER(INDEX(changes,0,3),INDEX(changes,0,2)=""add pack""),IFERROR(TRANSPOSE(ARRAYFORMULA(IF(added&lt;&gt;"""",HYPERLINK(""https://sealeddeck.tech/""&amp;added,""Link""),""""))),""""))"),"")</f>
        <v/>
      </c>
      <c r="J98" s="146"/>
      <c r="K98" s="146"/>
      <c r="L98" s="146"/>
      <c r="M98" s="146"/>
      <c r="N98" s="146"/>
      <c r="O98" s="146"/>
      <c r="P98" s="146"/>
      <c r="Q98" s="146"/>
      <c r="R98" s="146"/>
      <c r="S98" s="146"/>
      <c r="T98" s="147"/>
      <c r="U98" s="147"/>
      <c r="V98" s="147"/>
      <c r="W98" s="147"/>
      <c r="X98" s="147"/>
      <c r="Y98" s="147"/>
      <c r="Z98" s="147"/>
      <c r="AA98" s="147"/>
      <c r="AB98" s="147"/>
      <c r="AC98" s="147"/>
      <c r="AD98" s="147"/>
      <c r="AE98" s="147"/>
      <c r="AF98" s="147"/>
      <c r="AG98" s="147"/>
      <c r="AH98" s="147"/>
      <c r="AI98" s="147"/>
    </row>
    <row r="99">
      <c r="A99" s="140"/>
      <c r="B99" s="140"/>
      <c r="C99" s="141" t="str">
        <f t="array" ref="C99">INDEX('Player Database'!$D:$D,MATCH($D99,'Player Database'!$B:$B,0))</f>
        <v>#N/A</v>
      </c>
      <c r="D99" s="142" t="str">
        <f t="shared" si="1"/>
        <v> - </v>
      </c>
      <c r="E99" s="143" t="str">
        <f t="array" ref="E99">XLOOKUP($D99,'Player Database'!$B$2:$B1009,'Player Database'!$I$2:$I1009)</f>
        <v>#N/A</v>
      </c>
      <c r="F99" s="143" t="str">
        <f t="array" ref="F99">XLOOKUP($D99,'Player Database'!$B$2:$B1009,'Player Database'!$J$2:$J1009)</f>
        <v>#N/A</v>
      </c>
      <c r="G99" s="144" t="str">
        <f t="array" ref="G99">IF(H99="","",IFERROR(
  "https://sealeddeck.tech/" &amp; INDEX('Pool Changes'!F:F,
    MAX(
      ROW('Pool Changes'!A:A) *
      ('Pool Changes'!B:B=D99) *
      ('Pool Changes'!F:F&lt;&gt;"")
    )
  ),
  ""
))</f>
        <v/>
      </c>
      <c r="H99" s="144" t="str">
        <f>IFERROR(__xludf.DUMMYFUNCTION("LET(changes,FILTER('Pool Changes'!$B:$D, 'Pool Changes'!$B:$B = $D99),added,FILTER(INDEX(changes,0,3),INDEX(changes,0,2)=""starting pool""),TRANSPOSE(IFERROR(ARRAYFORMULA(IF(added&lt;&gt;"""",""https://sealeddeck.tech/""&amp;added,"""")),"""")))"),"")</f>
        <v/>
      </c>
      <c r="I99" s="145" t="str">
        <f>IFERROR(__xludf.DUMMYFUNCTION("LET(changes,FILTER('Pool Changes'!$B:$D, 'Pool Changes'!$B:$B = $D99),added,FILTER(INDEX(changes,0,3),INDEX(changes,0,2)=""add pack""),IFERROR(TRANSPOSE(ARRAYFORMULA(IF(added&lt;&gt;"""",HYPERLINK(""https://sealeddeck.tech/""&amp;added,""Link""),""""))),""""))"),"")</f>
        <v/>
      </c>
      <c r="J99" s="146"/>
      <c r="K99" s="146"/>
      <c r="L99" s="146"/>
      <c r="M99" s="146"/>
      <c r="N99" s="146"/>
      <c r="O99" s="146"/>
      <c r="P99" s="146"/>
      <c r="Q99" s="146"/>
      <c r="R99" s="146"/>
      <c r="S99" s="146"/>
      <c r="T99" s="147"/>
      <c r="U99" s="147"/>
      <c r="V99" s="147"/>
      <c r="W99" s="147"/>
      <c r="X99" s="147"/>
      <c r="Y99" s="147"/>
      <c r="Z99" s="147"/>
      <c r="AA99" s="147"/>
      <c r="AB99" s="147"/>
      <c r="AC99" s="147"/>
      <c r="AD99" s="147"/>
      <c r="AE99" s="147"/>
      <c r="AF99" s="147"/>
      <c r="AG99" s="147"/>
      <c r="AH99" s="147"/>
      <c r="AI99" s="147"/>
    </row>
    <row r="100">
      <c r="A100" s="140"/>
      <c r="B100" s="140"/>
      <c r="C100" s="141" t="str">
        <f t="array" ref="C100">INDEX('Player Database'!$D:$D,MATCH($D100,'Player Database'!$B:$B,0))</f>
        <v>#N/A</v>
      </c>
      <c r="D100" s="142" t="str">
        <f t="shared" si="1"/>
        <v> - </v>
      </c>
      <c r="E100" s="143" t="str">
        <f t="array" ref="E100">XLOOKUP($D100,'Player Database'!$B$2:$B1009,'Player Database'!$I$2:$I1009)</f>
        <v>#N/A</v>
      </c>
      <c r="F100" s="143" t="str">
        <f t="array" ref="F100">XLOOKUP($D100,'Player Database'!$B$2:$B1009,'Player Database'!$J$2:$J1009)</f>
        <v>#N/A</v>
      </c>
      <c r="G100" s="144" t="str">
        <f t="array" ref="G100">IF(H100="","",IFERROR(
  "https://sealeddeck.tech/" &amp; INDEX('Pool Changes'!F:F,
    MAX(
      ROW('Pool Changes'!A:A) *
      ('Pool Changes'!B:B=D100) *
      ('Pool Changes'!F:F&lt;&gt;"")
    )
  ),
  ""
))</f>
        <v/>
      </c>
      <c r="H100" s="144" t="str">
        <f>IFERROR(__xludf.DUMMYFUNCTION("LET(changes,FILTER('Pool Changes'!$B:$D, 'Pool Changes'!$B:$B = $D100),added,FILTER(INDEX(changes,0,3),INDEX(changes,0,2)=""starting pool""),TRANSPOSE(IFERROR(ARRAYFORMULA(IF(added&lt;&gt;"""",""https://sealeddeck.tech/""&amp;added,"""")),"""")))"),"")</f>
        <v/>
      </c>
      <c r="I100" s="145" t="str">
        <f>IFERROR(__xludf.DUMMYFUNCTION("LET(changes,FILTER('Pool Changes'!$B:$D, 'Pool Changes'!$B:$B = $D100),added,FILTER(INDEX(changes,0,3),INDEX(changes,0,2)=""add pack""),IFERROR(TRANSPOSE(ARRAYFORMULA(IF(added&lt;&gt;"""",HYPERLINK(""https://sealeddeck.tech/""&amp;added,""Link""),""""))),""""))"),"")</f>
        <v/>
      </c>
      <c r="J100" s="146"/>
      <c r="K100" s="146"/>
      <c r="L100" s="146"/>
      <c r="M100" s="146"/>
      <c r="N100" s="146"/>
      <c r="O100" s="146"/>
      <c r="P100" s="146"/>
      <c r="Q100" s="146"/>
      <c r="R100" s="146"/>
      <c r="S100" s="146"/>
      <c r="T100" s="147"/>
      <c r="U100" s="147"/>
      <c r="V100" s="147"/>
      <c r="W100" s="147"/>
      <c r="X100" s="147"/>
      <c r="Y100" s="147"/>
      <c r="Z100" s="147"/>
      <c r="AA100" s="147"/>
      <c r="AB100" s="147"/>
      <c r="AC100" s="147"/>
      <c r="AD100" s="147"/>
      <c r="AE100" s="147"/>
      <c r="AF100" s="147"/>
      <c r="AG100" s="147"/>
      <c r="AH100" s="147"/>
      <c r="AI100" s="147"/>
    </row>
    <row r="101">
      <c r="A101" s="140"/>
      <c r="B101" s="140"/>
      <c r="C101" s="141" t="str">
        <f t="array" ref="C101">INDEX('Player Database'!$D:$D,MATCH($D101,'Player Database'!$B:$B,0))</f>
        <v>#N/A</v>
      </c>
      <c r="D101" s="142" t="str">
        <f t="shared" si="1"/>
        <v> - </v>
      </c>
      <c r="E101" s="143" t="str">
        <f t="array" ref="E101">XLOOKUP($D101,'Player Database'!$B$2:$B1009,'Player Database'!$I$2:$I1009)</f>
        <v>#N/A</v>
      </c>
      <c r="F101" s="143" t="str">
        <f t="array" ref="F101">XLOOKUP($D101,'Player Database'!$B$2:$B1009,'Player Database'!$J$2:$J1009)</f>
        <v>#N/A</v>
      </c>
      <c r="G101" s="144" t="str">
        <f t="array" ref="G101">IF(H101="","",IFERROR(
  "https://sealeddeck.tech/" &amp; INDEX('Pool Changes'!F:F,
    MAX(
      ROW('Pool Changes'!A:A) *
      ('Pool Changes'!B:B=D101) *
      ('Pool Changes'!F:F&lt;&gt;"")
    )
  ),
  ""
))</f>
        <v/>
      </c>
      <c r="H101" s="144" t="str">
        <f>IFERROR(__xludf.DUMMYFUNCTION("LET(changes,FILTER('Pool Changes'!$B:$D, 'Pool Changes'!$B:$B = $D101),added,FILTER(INDEX(changes,0,3),INDEX(changes,0,2)=""starting pool""),TRANSPOSE(IFERROR(ARRAYFORMULA(IF(added&lt;&gt;"""",""https://sealeddeck.tech/""&amp;added,"""")),"""")))"),"")</f>
        <v/>
      </c>
      <c r="I101" s="145" t="str">
        <f>IFERROR(__xludf.DUMMYFUNCTION("LET(changes,FILTER('Pool Changes'!$B:$D, 'Pool Changes'!$B:$B = $D101),added,FILTER(INDEX(changes,0,3),INDEX(changes,0,2)=""add pack""),IFERROR(TRANSPOSE(ARRAYFORMULA(IF(added&lt;&gt;"""",HYPERLINK(""https://sealeddeck.tech/""&amp;added,""Link""),""""))),""""))"),"")</f>
        <v/>
      </c>
      <c r="J101" s="146"/>
      <c r="K101" s="146"/>
      <c r="L101" s="146"/>
      <c r="M101" s="146"/>
      <c r="N101" s="146"/>
      <c r="O101" s="146"/>
      <c r="P101" s="146"/>
      <c r="Q101" s="146"/>
      <c r="R101" s="146"/>
      <c r="S101" s="146"/>
      <c r="T101" s="147"/>
      <c r="U101" s="147"/>
      <c r="V101" s="147"/>
      <c r="W101" s="149" t="s">
        <v>459</v>
      </c>
      <c r="X101" s="147"/>
      <c r="Y101" s="147"/>
      <c r="Z101" s="147"/>
      <c r="AA101" s="147"/>
      <c r="AB101" s="147"/>
      <c r="AC101" s="147"/>
      <c r="AD101" s="147"/>
      <c r="AE101" s="147"/>
      <c r="AF101" s="147"/>
      <c r="AG101" s="147"/>
      <c r="AH101" s="147"/>
      <c r="AI101" s="147"/>
    </row>
    <row r="102">
      <c r="A102" s="140"/>
      <c r="B102" s="140"/>
      <c r="C102" s="141" t="str">
        <f t="array" ref="C102">INDEX('Player Database'!$D:$D,MATCH($D102,'Player Database'!$B:$B,0))</f>
        <v>#N/A</v>
      </c>
      <c r="D102" s="142" t="str">
        <f t="shared" si="1"/>
        <v> - </v>
      </c>
      <c r="E102" s="143" t="str">
        <f t="array" ref="E102">XLOOKUP($D102,'Player Database'!$B$2:$B1009,'Player Database'!$I$2:$I1009)</f>
        <v>#N/A</v>
      </c>
      <c r="F102" s="143" t="str">
        <f t="array" ref="F102">XLOOKUP($D102,'Player Database'!$B$2:$B1009,'Player Database'!$J$2:$J1009)</f>
        <v>#N/A</v>
      </c>
      <c r="G102" s="144" t="str">
        <f t="array" ref="G102">IF(H102="","",IFERROR(
  "https://sealeddeck.tech/" &amp; INDEX('Pool Changes'!F:F,
    MAX(
      ROW('Pool Changes'!A:A) *
      ('Pool Changes'!B:B=D102) *
      ('Pool Changes'!F:F&lt;&gt;"")
    )
  ),
  ""
))</f>
        <v/>
      </c>
      <c r="H102" s="144" t="str">
        <f>IFERROR(__xludf.DUMMYFUNCTION("LET(changes,FILTER('Pool Changes'!$B:$D, 'Pool Changes'!$B:$B = $D102),added,FILTER(INDEX(changes,0,3),INDEX(changes,0,2)=""starting pool""),TRANSPOSE(IFERROR(ARRAYFORMULA(IF(added&lt;&gt;"""",""https://sealeddeck.tech/""&amp;added,"""")),"""")))"),"")</f>
        <v/>
      </c>
      <c r="I102" s="145" t="str">
        <f>IFERROR(__xludf.DUMMYFUNCTION("LET(changes,FILTER('Pool Changes'!$B:$D, 'Pool Changes'!$B:$B = $D102),added,FILTER(INDEX(changes,0,3),INDEX(changes,0,2)=""add pack""),IFERROR(TRANSPOSE(ARRAYFORMULA(IF(added&lt;&gt;"""",HYPERLINK(""https://sealeddeck.tech/""&amp;added,""Link""),""""))),""""))"),"")</f>
        <v/>
      </c>
      <c r="J102" s="146"/>
      <c r="K102" s="146"/>
      <c r="L102" s="146"/>
      <c r="M102" s="146"/>
      <c r="N102" s="146"/>
      <c r="O102" s="146"/>
      <c r="P102" s="146"/>
      <c r="Q102" s="146"/>
      <c r="R102" s="146"/>
      <c r="S102" s="146"/>
      <c r="T102" s="147"/>
      <c r="U102" s="147"/>
      <c r="V102" s="147"/>
      <c r="W102" s="149" t="s">
        <v>459</v>
      </c>
      <c r="X102" s="147"/>
      <c r="Y102" s="147"/>
      <c r="Z102" s="147"/>
      <c r="AA102" s="147"/>
      <c r="AB102" s="147"/>
      <c r="AC102" s="147"/>
      <c r="AD102" s="147"/>
      <c r="AE102" s="147"/>
      <c r="AF102" s="147"/>
      <c r="AG102" s="147"/>
      <c r="AH102" s="147"/>
      <c r="AI102" s="147"/>
    </row>
    <row r="103">
      <c r="A103" s="140"/>
      <c r="B103" s="140"/>
      <c r="C103" s="141" t="str">
        <f t="array" ref="C103">INDEX('Player Database'!$D:$D,MATCH($D103,'Player Database'!$B:$B,0))</f>
        <v>#N/A</v>
      </c>
      <c r="D103" s="142" t="str">
        <f t="shared" si="1"/>
        <v> - </v>
      </c>
      <c r="E103" s="143" t="str">
        <f t="array" ref="E103">XLOOKUP($D103,'Player Database'!$B$2:$B1009,'Player Database'!$I$2:$I1009)</f>
        <v>#N/A</v>
      </c>
      <c r="F103" s="143" t="str">
        <f t="array" ref="F103">XLOOKUP($D103,'Player Database'!$B$2:$B1009,'Player Database'!$J$2:$J1009)</f>
        <v>#N/A</v>
      </c>
      <c r="G103" s="144" t="str">
        <f t="array" ref="G103">IF(H103="","",IFERROR(
  "https://sealeddeck.tech/" &amp; INDEX('Pool Changes'!F:F,
    MAX(
      ROW('Pool Changes'!A:A) *
      ('Pool Changes'!B:B=D103) *
      ('Pool Changes'!F:F&lt;&gt;"")
    )
  ),
  ""
))</f>
        <v/>
      </c>
      <c r="H103" s="144" t="str">
        <f>IFERROR(__xludf.DUMMYFUNCTION("LET(changes,FILTER('Pool Changes'!$B:$D, 'Pool Changes'!$B:$B = $D103),added,FILTER(INDEX(changes,0,3),INDEX(changes,0,2)=""starting pool""),TRANSPOSE(IFERROR(ARRAYFORMULA(IF(added&lt;&gt;"""",""https://sealeddeck.tech/""&amp;added,"""")),"""")))"),"")</f>
        <v/>
      </c>
      <c r="I103" s="145" t="str">
        <f>IFERROR(__xludf.DUMMYFUNCTION("LET(changes,FILTER('Pool Changes'!$B:$D, 'Pool Changes'!$B:$B = $D103),added,FILTER(INDEX(changes,0,3),INDEX(changes,0,2)=""add pack""),IFERROR(TRANSPOSE(ARRAYFORMULA(IF(added&lt;&gt;"""",HYPERLINK(""https://sealeddeck.tech/""&amp;added,""Link""),""""))),""""))"),"")</f>
        <v/>
      </c>
      <c r="J103" s="146"/>
      <c r="K103" s="146"/>
      <c r="L103" s="146"/>
      <c r="M103" s="146"/>
      <c r="N103" s="146"/>
      <c r="O103" s="146"/>
      <c r="P103" s="146"/>
      <c r="Q103" s="146"/>
      <c r="R103" s="146"/>
      <c r="S103" s="146"/>
      <c r="T103" s="147"/>
      <c r="U103" s="147"/>
      <c r="V103" s="147"/>
      <c r="W103" s="147"/>
      <c r="X103" s="147"/>
      <c r="Y103" s="147"/>
      <c r="Z103" s="147"/>
      <c r="AA103" s="147"/>
      <c r="AB103" s="147"/>
      <c r="AC103" s="147"/>
      <c r="AD103" s="147"/>
      <c r="AE103" s="147"/>
      <c r="AF103" s="147"/>
      <c r="AG103" s="147"/>
      <c r="AH103" s="147"/>
      <c r="AI103" s="147"/>
    </row>
    <row r="104">
      <c r="A104" s="140"/>
      <c r="B104" s="140"/>
      <c r="C104" s="141" t="str">
        <f t="array" ref="C104">INDEX('Player Database'!$D:$D,MATCH($D104,'Player Database'!$B:$B,0))</f>
        <v>#N/A</v>
      </c>
      <c r="D104" s="142" t="str">
        <f t="shared" si="1"/>
        <v> - </v>
      </c>
      <c r="E104" s="143" t="str">
        <f t="array" ref="E104">XLOOKUP($D104,'Player Database'!$B$2:$B1009,'Player Database'!$I$2:$I1009)</f>
        <v>#N/A</v>
      </c>
      <c r="F104" s="143" t="str">
        <f t="array" ref="F104">XLOOKUP($D104,'Player Database'!$B$2:$B1009,'Player Database'!$J$2:$J1009)</f>
        <v>#N/A</v>
      </c>
      <c r="G104" s="144" t="str">
        <f t="array" ref="G104">IF(H104="","",IFERROR(
  "https://sealeddeck.tech/" &amp; INDEX('Pool Changes'!F:F,
    MAX(
      ROW('Pool Changes'!A:A) *
      ('Pool Changes'!B:B=D104) *
      ('Pool Changes'!F:F&lt;&gt;"")
    )
  ),
  ""
))</f>
        <v/>
      </c>
      <c r="H104" s="144" t="str">
        <f>IFERROR(__xludf.DUMMYFUNCTION("LET(changes,FILTER('Pool Changes'!$B:$D, 'Pool Changes'!$B:$B = $D104),added,FILTER(INDEX(changes,0,3),INDEX(changes,0,2)=""starting pool""),TRANSPOSE(IFERROR(ARRAYFORMULA(IF(added&lt;&gt;"""",""https://sealeddeck.tech/""&amp;added,"""")),"""")))"),"")</f>
        <v/>
      </c>
      <c r="I104" s="145" t="str">
        <f>IFERROR(__xludf.DUMMYFUNCTION("LET(changes,FILTER('Pool Changes'!$B:$D, 'Pool Changes'!$B:$B = $D104),added,FILTER(INDEX(changes,0,3),INDEX(changes,0,2)=""add pack""),IFERROR(TRANSPOSE(ARRAYFORMULA(IF(added&lt;&gt;"""",HYPERLINK(""https://sealeddeck.tech/""&amp;added,""Link""),""""))),""""))"),"")</f>
        <v/>
      </c>
      <c r="J104" s="146"/>
      <c r="K104" s="146"/>
      <c r="L104" s="146"/>
      <c r="M104" s="146"/>
      <c r="N104" s="146"/>
      <c r="O104" s="146"/>
      <c r="P104" s="146"/>
      <c r="Q104" s="146"/>
      <c r="R104" s="146"/>
      <c r="S104" s="146"/>
      <c r="T104" s="147"/>
      <c r="U104" s="147"/>
      <c r="V104" s="147"/>
      <c r="W104" s="149" t="s">
        <v>459</v>
      </c>
      <c r="X104" s="147"/>
      <c r="Y104" s="147"/>
      <c r="Z104" s="147"/>
      <c r="AA104" s="147"/>
      <c r="AB104" s="147"/>
      <c r="AC104" s="147"/>
      <c r="AD104" s="147"/>
      <c r="AE104" s="147"/>
      <c r="AF104" s="147"/>
      <c r="AG104" s="147"/>
      <c r="AH104" s="147"/>
      <c r="AI104" s="147"/>
    </row>
    <row r="105">
      <c r="A105" s="140"/>
      <c r="B105" s="140"/>
      <c r="C105" s="141" t="str">
        <f t="array" ref="C105">INDEX('Player Database'!$D:$D,MATCH($D105,'Player Database'!$B:$B,0))</f>
        <v>#N/A</v>
      </c>
      <c r="D105" s="142" t="str">
        <f t="shared" si="1"/>
        <v> - </v>
      </c>
      <c r="E105" s="143" t="str">
        <f t="array" ref="E105">XLOOKUP($D105,'Player Database'!$B$2:$B1009,'Player Database'!$I$2:$I1009)</f>
        <v>#N/A</v>
      </c>
      <c r="F105" s="143" t="str">
        <f t="array" ref="F105">XLOOKUP($D105,'Player Database'!$B$2:$B1009,'Player Database'!$J$2:$J1009)</f>
        <v>#N/A</v>
      </c>
      <c r="G105" s="144" t="str">
        <f t="array" ref="G105">IF(H105="","",IFERROR(
  "https://sealeddeck.tech/" &amp; INDEX('Pool Changes'!F:F,
    MAX(
      ROW('Pool Changes'!A:A) *
      ('Pool Changes'!B:B=D105) *
      ('Pool Changes'!F:F&lt;&gt;"")
    )
  ),
  ""
))</f>
        <v/>
      </c>
      <c r="H105" s="144" t="str">
        <f>IFERROR(__xludf.DUMMYFUNCTION("LET(changes,FILTER('Pool Changes'!$B:$D, 'Pool Changes'!$B:$B = $D105),added,FILTER(INDEX(changes,0,3),INDEX(changes,0,2)=""starting pool""),TRANSPOSE(IFERROR(ARRAYFORMULA(IF(added&lt;&gt;"""",""https://sealeddeck.tech/""&amp;added,"""")),"""")))"),"")</f>
        <v/>
      </c>
      <c r="I105" s="145" t="str">
        <f>IFERROR(__xludf.DUMMYFUNCTION("LET(changes,FILTER('Pool Changes'!$B:$D, 'Pool Changes'!$B:$B = $D105),added,FILTER(INDEX(changes,0,3),INDEX(changes,0,2)=""add pack""),IFERROR(TRANSPOSE(ARRAYFORMULA(IF(added&lt;&gt;"""",HYPERLINK(""https://sealeddeck.tech/""&amp;added,""Link""),""""))),""""))"),"")</f>
        <v/>
      </c>
      <c r="J105" s="146"/>
      <c r="K105" s="146"/>
      <c r="L105" s="146"/>
      <c r="M105" s="146"/>
      <c r="N105" s="146"/>
      <c r="O105" s="146"/>
      <c r="P105" s="146"/>
      <c r="Q105" s="146"/>
      <c r="R105" s="146"/>
      <c r="S105" s="146"/>
      <c r="T105" s="147"/>
      <c r="U105" s="147"/>
      <c r="V105" s="147"/>
      <c r="W105" s="149" t="s">
        <v>459</v>
      </c>
      <c r="X105" s="147"/>
      <c r="Y105" s="147"/>
      <c r="Z105" s="147"/>
      <c r="AA105" s="147"/>
      <c r="AB105" s="147"/>
      <c r="AC105" s="147"/>
      <c r="AD105" s="147"/>
      <c r="AE105" s="147"/>
      <c r="AF105" s="147"/>
      <c r="AG105" s="147"/>
      <c r="AH105" s="147"/>
      <c r="AI105" s="147"/>
    </row>
    <row r="106">
      <c r="A106" s="140"/>
      <c r="B106" s="140"/>
      <c r="C106" s="141" t="str">
        <f t="array" ref="C106">INDEX('Player Database'!$D:$D,MATCH($D106,'Player Database'!$B:$B,0))</f>
        <v>#N/A</v>
      </c>
      <c r="D106" s="142" t="str">
        <f t="shared" si="1"/>
        <v> - </v>
      </c>
      <c r="E106" s="143" t="str">
        <f t="array" ref="E106">XLOOKUP($D106,'Player Database'!$B$2:$B1009,'Player Database'!$I$2:$I1009)</f>
        <v>#N/A</v>
      </c>
      <c r="F106" s="143" t="str">
        <f t="array" ref="F106">XLOOKUP($D106,'Player Database'!$B$2:$B1009,'Player Database'!$J$2:$J1009)</f>
        <v>#N/A</v>
      </c>
      <c r="G106" s="144" t="str">
        <f t="array" ref="G106">IF(H106="","",IFERROR(
  "https://sealeddeck.tech/" &amp; INDEX('Pool Changes'!F:F,
    MAX(
      ROW('Pool Changes'!A:A) *
      ('Pool Changes'!B:B=D106) *
      ('Pool Changes'!F:F&lt;&gt;"")
    )
  ),
  ""
))</f>
        <v/>
      </c>
      <c r="H106" s="144" t="str">
        <f>IFERROR(__xludf.DUMMYFUNCTION("LET(changes,FILTER('Pool Changes'!$B:$D, 'Pool Changes'!$B:$B = $D106),added,FILTER(INDEX(changes,0,3),INDEX(changes,0,2)=""starting pool""),TRANSPOSE(IFERROR(ARRAYFORMULA(IF(added&lt;&gt;"""",""https://sealeddeck.tech/""&amp;added,"""")),"""")))"),"")</f>
        <v/>
      </c>
      <c r="I106" s="145" t="str">
        <f>IFERROR(__xludf.DUMMYFUNCTION("LET(changes,FILTER('Pool Changes'!$B:$D, 'Pool Changes'!$B:$B = $D106),added,FILTER(INDEX(changes,0,3),INDEX(changes,0,2)=""add pack""),IFERROR(TRANSPOSE(ARRAYFORMULA(IF(added&lt;&gt;"""",HYPERLINK(""https://sealeddeck.tech/""&amp;added,""Link""),""""))),""""))"),"")</f>
        <v/>
      </c>
      <c r="J106" s="146"/>
      <c r="K106" s="146"/>
      <c r="L106" s="146"/>
      <c r="M106" s="146"/>
      <c r="N106" s="146"/>
      <c r="O106" s="146"/>
      <c r="P106" s="146"/>
      <c r="Q106" s="146"/>
      <c r="R106" s="146"/>
      <c r="S106" s="146"/>
      <c r="T106" s="147"/>
      <c r="U106" s="147"/>
      <c r="V106" s="147"/>
      <c r="W106" s="147"/>
      <c r="X106" s="147"/>
      <c r="Y106" s="147"/>
      <c r="Z106" s="147"/>
      <c r="AA106" s="147"/>
      <c r="AB106" s="147"/>
      <c r="AC106" s="147"/>
      <c r="AD106" s="147"/>
      <c r="AE106" s="147"/>
      <c r="AF106" s="147"/>
      <c r="AG106" s="147"/>
      <c r="AH106" s="147"/>
      <c r="AI106" s="147"/>
    </row>
    <row r="107">
      <c r="A107" s="140"/>
      <c r="B107" s="140"/>
      <c r="C107" s="141" t="str">
        <f t="array" ref="C107">INDEX('Player Database'!$D:$D,MATCH($D107,'Player Database'!$B:$B,0))</f>
        <v>#N/A</v>
      </c>
      <c r="D107" s="142" t="str">
        <f t="shared" si="1"/>
        <v> - </v>
      </c>
      <c r="E107" s="143" t="str">
        <f t="array" ref="E107">XLOOKUP($D107,'Player Database'!$B$2:$B1009,'Player Database'!$I$2:$I1009)</f>
        <v>#N/A</v>
      </c>
      <c r="F107" s="143" t="str">
        <f t="array" ref="F107">XLOOKUP($D107,'Player Database'!$B$2:$B1009,'Player Database'!$J$2:$J1009)</f>
        <v>#N/A</v>
      </c>
      <c r="G107" s="144" t="str">
        <f t="array" ref="G107">IF(H107="","",IFERROR(
  "https://sealeddeck.tech/" &amp; INDEX('Pool Changes'!F:F,
    MAX(
      ROW('Pool Changes'!A:A) *
      ('Pool Changes'!B:B=D107) *
      ('Pool Changes'!F:F&lt;&gt;"")
    )
  ),
  ""
))</f>
        <v/>
      </c>
      <c r="H107" s="144" t="str">
        <f>IFERROR(__xludf.DUMMYFUNCTION("LET(changes,FILTER('Pool Changes'!$B:$D, 'Pool Changes'!$B:$B = $D107),added,FILTER(INDEX(changes,0,3),INDEX(changes,0,2)=""starting pool""),TRANSPOSE(IFERROR(ARRAYFORMULA(IF(added&lt;&gt;"""",""https://sealeddeck.tech/""&amp;added,"""")),"""")))"),"")</f>
        <v/>
      </c>
      <c r="I107" s="145" t="str">
        <f>IFERROR(__xludf.DUMMYFUNCTION("LET(changes,FILTER('Pool Changes'!$B:$D, 'Pool Changes'!$B:$B = $D107),added,FILTER(INDEX(changes,0,3),INDEX(changes,0,2)=""add pack""),IFERROR(TRANSPOSE(ARRAYFORMULA(IF(added&lt;&gt;"""",HYPERLINK(""https://sealeddeck.tech/""&amp;added,""Link""),""""))),""""))"),"")</f>
        <v/>
      </c>
      <c r="J107" s="146"/>
      <c r="K107" s="146"/>
      <c r="L107" s="146"/>
      <c r="M107" s="146"/>
      <c r="N107" s="146"/>
      <c r="O107" s="146"/>
      <c r="P107" s="146"/>
      <c r="Q107" s="146"/>
      <c r="R107" s="146"/>
      <c r="S107" s="146"/>
      <c r="T107" s="147"/>
      <c r="U107" s="147"/>
      <c r="V107" s="147"/>
      <c r="W107" s="149" t="s">
        <v>459</v>
      </c>
      <c r="X107" s="147"/>
      <c r="Y107" s="147"/>
      <c r="Z107" s="147"/>
      <c r="AA107" s="147"/>
      <c r="AB107" s="147"/>
      <c r="AC107" s="147"/>
      <c r="AD107" s="147"/>
      <c r="AE107" s="147"/>
      <c r="AF107" s="147"/>
      <c r="AG107" s="147"/>
      <c r="AH107" s="147"/>
      <c r="AI107" s="147"/>
    </row>
    <row r="108">
      <c r="A108" s="140"/>
      <c r="B108" s="140"/>
      <c r="C108" s="141" t="str">
        <f t="array" ref="C108">INDEX('Player Database'!$D:$D,MATCH($D108,'Player Database'!$B:$B,0))</f>
        <v>#N/A</v>
      </c>
      <c r="D108" s="142" t="str">
        <f t="shared" si="1"/>
        <v> - </v>
      </c>
      <c r="E108" s="143" t="str">
        <f t="array" ref="E108">XLOOKUP($D108,'Player Database'!$B$2:$B1009,'Player Database'!$I$2:$I1009)</f>
        <v>#N/A</v>
      </c>
      <c r="F108" s="143" t="str">
        <f t="array" ref="F108">XLOOKUP($D108,'Player Database'!$B$2:$B1009,'Player Database'!$J$2:$J1009)</f>
        <v>#N/A</v>
      </c>
      <c r="G108" s="144" t="str">
        <f t="array" ref="G108">IF(H108="","",IFERROR(
  "https://sealeddeck.tech/" &amp; INDEX('Pool Changes'!F:F,
    MAX(
      ROW('Pool Changes'!A:A) *
      ('Pool Changes'!B:B=D108) *
      ('Pool Changes'!F:F&lt;&gt;"")
    )
  ),
  ""
))</f>
        <v/>
      </c>
      <c r="H108" s="144" t="str">
        <f>IFERROR(__xludf.DUMMYFUNCTION("LET(changes,FILTER('Pool Changes'!$B:$D, 'Pool Changes'!$B:$B = $D108),added,FILTER(INDEX(changes,0,3),INDEX(changes,0,2)=""starting pool""),TRANSPOSE(IFERROR(ARRAYFORMULA(IF(added&lt;&gt;"""",""https://sealeddeck.tech/""&amp;added,"""")),"""")))"),"")</f>
        <v/>
      </c>
      <c r="I108" s="145" t="str">
        <f>IFERROR(__xludf.DUMMYFUNCTION("LET(changes,FILTER('Pool Changes'!$B:$D, 'Pool Changes'!$B:$B = $D108),added,FILTER(INDEX(changes,0,3),INDEX(changes,0,2)=""add pack""),IFERROR(TRANSPOSE(ARRAYFORMULA(IF(added&lt;&gt;"""",HYPERLINK(""https://sealeddeck.tech/""&amp;added,""Link""),""""))),""""))"),"")</f>
        <v/>
      </c>
      <c r="J108" s="146"/>
      <c r="K108" s="146"/>
      <c r="L108" s="146"/>
      <c r="M108" s="146"/>
      <c r="N108" s="146"/>
      <c r="O108" s="146"/>
      <c r="P108" s="146"/>
      <c r="Q108" s="146"/>
      <c r="R108" s="146"/>
      <c r="S108" s="146"/>
      <c r="T108" s="147"/>
      <c r="U108" s="147"/>
      <c r="V108" s="147"/>
      <c r="W108" s="147"/>
      <c r="X108" s="147"/>
      <c r="Y108" s="147"/>
      <c r="Z108" s="147"/>
      <c r="AA108" s="147"/>
      <c r="AB108" s="147"/>
      <c r="AC108" s="147"/>
      <c r="AD108" s="147"/>
      <c r="AE108" s="147"/>
      <c r="AF108" s="147"/>
      <c r="AG108" s="147"/>
      <c r="AH108" s="147"/>
      <c r="AI108" s="147"/>
    </row>
    <row r="109">
      <c r="A109" s="140"/>
      <c r="B109" s="140"/>
      <c r="C109" s="141" t="str">
        <f t="array" ref="C109">INDEX('Player Database'!$D:$D,MATCH($D109,'Player Database'!$B:$B,0))</f>
        <v>#N/A</v>
      </c>
      <c r="D109" s="142" t="str">
        <f t="shared" si="1"/>
        <v> - </v>
      </c>
      <c r="E109" s="143" t="str">
        <f t="array" ref="E109">XLOOKUP($D109,'Player Database'!$B$2:$B1009,'Player Database'!$I$2:$I1009)</f>
        <v>#N/A</v>
      </c>
      <c r="F109" s="143" t="str">
        <f t="array" ref="F109">XLOOKUP($D109,'Player Database'!$B$2:$B1009,'Player Database'!$J$2:$J1009)</f>
        <v>#N/A</v>
      </c>
      <c r="G109" s="144" t="str">
        <f t="array" ref="G109">IF(H109="","",IFERROR(
  "https://sealeddeck.tech/" &amp; INDEX('Pool Changes'!F:F,
    MAX(
      ROW('Pool Changes'!A:A) *
      ('Pool Changes'!B:B=D109) *
      ('Pool Changes'!F:F&lt;&gt;"")
    )
  ),
  ""
))</f>
        <v/>
      </c>
      <c r="H109" s="144" t="str">
        <f>IFERROR(__xludf.DUMMYFUNCTION("LET(changes,FILTER('Pool Changes'!$B:$D, 'Pool Changes'!$B:$B = $D109),added,FILTER(INDEX(changes,0,3),INDEX(changes,0,2)=""starting pool""),TRANSPOSE(IFERROR(ARRAYFORMULA(IF(added&lt;&gt;"""",""https://sealeddeck.tech/""&amp;added,"""")),"""")))"),"")</f>
        <v/>
      </c>
      <c r="I109" s="145" t="str">
        <f>IFERROR(__xludf.DUMMYFUNCTION("LET(changes,FILTER('Pool Changes'!$B:$D, 'Pool Changes'!$B:$B = $D109),added,FILTER(INDEX(changes,0,3),INDEX(changes,0,2)=""add pack""),IFERROR(TRANSPOSE(ARRAYFORMULA(IF(added&lt;&gt;"""",HYPERLINK(""https://sealeddeck.tech/""&amp;added,""Link""),""""))),""""))"),"")</f>
        <v/>
      </c>
      <c r="J109" s="146"/>
      <c r="K109" s="146"/>
      <c r="L109" s="146"/>
      <c r="M109" s="146"/>
      <c r="N109" s="146"/>
      <c r="O109" s="146"/>
      <c r="P109" s="146"/>
      <c r="Q109" s="146"/>
      <c r="R109" s="146"/>
      <c r="S109" s="146"/>
      <c r="T109" s="147"/>
      <c r="U109" s="147"/>
      <c r="V109" s="147"/>
      <c r="W109" s="147"/>
      <c r="X109" s="147"/>
      <c r="Y109" s="147"/>
      <c r="Z109" s="147"/>
      <c r="AA109" s="147"/>
      <c r="AB109" s="147"/>
      <c r="AC109" s="147"/>
      <c r="AD109" s="147"/>
      <c r="AE109" s="147"/>
      <c r="AF109" s="147"/>
      <c r="AG109" s="147"/>
      <c r="AH109" s="147"/>
      <c r="AI109" s="147"/>
    </row>
    <row r="110">
      <c r="A110" s="140"/>
      <c r="B110" s="140"/>
      <c r="C110" s="141" t="str">
        <f t="array" ref="C110">INDEX('Player Database'!$D:$D,MATCH($D110,'Player Database'!$B:$B,0))</f>
        <v>#N/A</v>
      </c>
      <c r="D110" s="142" t="str">
        <f t="shared" si="1"/>
        <v> - </v>
      </c>
      <c r="E110" s="143" t="str">
        <f t="array" ref="E110">XLOOKUP($D110,'Player Database'!$B$2:$B1009,'Player Database'!$I$2:$I1009)</f>
        <v>#N/A</v>
      </c>
      <c r="F110" s="143" t="str">
        <f t="array" ref="F110">XLOOKUP($D110,'Player Database'!$B$2:$B1009,'Player Database'!$J$2:$J1009)</f>
        <v>#N/A</v>
      </c>
      <c r="G110" s="144" t="str">
        <f t="array" ref="G110">IF(H110="","",IFERROR(
  "https://sealeddeck.tech/" &amp; INDEX('Pool Changes'!F:F,
    MAX(
      ROW('Pool Changes'!A:A) *
      ('Pool Changes'!B:B=D110) *
      ('Pool Changes'!F:F&lt;&gt;"")
    )
  ),
  ""
))</f>
        <v/>
      </c>
      <c r="H110" s="144" t="str">
        <f>IFERROR(__xludf.DUMMYFUNCTION("LET(changes,FILTER('Pool Changes'!$B:$D, 'Pool Changes'!$B:$B = $D110),added,FILTER(INDEX(changes,0,3),INDEX(changes,0,2)=""starting pool""),TRANSPOSE(IFERROR(ARRAYFORMULA(IF(added&lt;&gt;"""",""https://sealeddeck.tech/""&amp;added,"""")),"""")))"),"")</f>
        <v/>
      </c>
      <c r="I110" s="145" t="str">
        <f>IFERROR(__xludf.DUMMYFUNCTION("LET(changes,FILTER('Pool Changes'!$B:$D, 'Pool Changes'!$B:$B = $D110),added,FILTER(INDEX(changes,0,3),INDEX(changes,0,2)=""add pack""),IFERROR(TRANSPOSE(ARRAYFORMULA(IF(added&lt;&gt;"""",HYPERLINK(""https://sealeddeck.tech/""&amp;added,""Link""),""""))),""""))"),"")</f>
        <v/>
      </c>
      <c r="J110" s="146"/>
      <c r="K110" s="146"/>
      <c r="L110" s="146"/>
      <c r="M110" s="146"/>
      <c r="N110" s="146"/>
      <c r="O110" s="146"/>
      <c r="P110" s="146"/>
      <c r="Q110" s="146"/>
      <c r="R110" s="146"/>
      <c r="S110" s="146"/>
      <c r="T110" s="147"/>
      <c r="U110" s="147"/>
      <c r="V110" s="147"/>
      <c r="W110" s="147"/>
      <c r="X110" s="147"/>
      <c r="Y110" s="147"/>
      <c r="Z110" s="147"/>
      <c r="AA110" s="147"/>
      <c r="AB110" s="147"/>
      <c r="AC110" s="147"/>
      <c r="AD110" s="147"/>
      <c r="AE110" s="147"/>
      <c r="AF110" s="147"/>
      <c r="AG110" s="147"/>
      <c r="AH110" s="147"/>
      <c r="AI110" s="147"/>
    </row>
    <row r="111">
      <c r="A111" s="140"/>
      <c r="B111" s="140"/>
      <c r="C111" s="141" t="str">
        <f t="array" ref="C111">INDEX('Player Database'!$D:$D,MATCH($D111,'Player Database'!$B:$B,0))</f>
        <v>#N/A</v>
      </c>
      <c r="D111" s="142" t="str">
        <f t="shared" si="1"/>
        <v> - </v>
      </c>
      <c r="E111" s="143" t="str">
        <f t="array" ref="E111">XLOOKUP($D111,'Player Database'!$B$2:$B1009,'Player Database'!$I$2:$I1009)</f>
        <v>#N/A</v>
      </c>
      <c r="F111" s="143" t="str">
        <f t="array" ref="F111">XLOOKUP($D111,'Player Database'!$B$2:$B1009,'Player Database'!$J$2:$J1009)</f>
        <v>#N/A</v>
      </c>
      <c r="G111" s="144" t="str">
        <f t="array" ref="G111">IF(H111="","",IFERROR(
  "https://sealeddeck.tech/" &amp; INDEX('Pool Changes'!F:F,
    MAX(
      ROW('Pool Changes'!A:A) *
      ('Pool Changes'!B:B=D111) *
      ('Pool Changes'!F:F&lt;&gt;"")
    )
  ),
  ""
))</f>
        <v/>
      </c>
      <c r="H111" s="144" t="str">
        <f>IFERROR(__xludf.DUMMYFUNCTION("LET(changes,FILTER('Pool Changes'!$B:$D, 'Pool Changes'!$B:$B = $D111),added,FILTER(INDEX(changes,0,3),INDEX(changes,0,2)=""starting pool""),TRANSPOSE(IFERROR(ARRAYFORMULA(IF(added&lt;&gt;"""",""https://sealeddeck.tech/""&amp;added,"""")),"""")))"),"")</f>
        <v/>
      </c>
      <c r="I111" s="145" t="str">
        <f>IFERROR(__xludf.DUMMYFUNCTION("LET(changes,FILTER('Pool Changes'!$B:$D, 'Pool Changes'!$B:$B = $D111),added,FILTER(INDEX(changes,0,3),INDEX(changes,0,2)=""add pack""),IFERROR(TRANSPOSE(ARRAYFORMULA(IF(added&lt;&gt;"""",HYPERLINK(""https://sealeddeck.tech/""&amp;added,""Link""),""""))),""""))"),"")</f>
        <v/>
      </c>
      <c r="J111" s="146"/>
      <c r="K111" s="146"/>
      <c r="L111" s="146"/>
      <c r="M111" s="146"/>
      <c r="N111" s="146"/>
      <c r="O111" s="146"/>
      <c r="P111" s="146"/>
      <c r="Q111" s="146"/>
      <c r="R111" s="146"/>
      <c r="S111" s="146"/>
      <c r="T111" s="147"/>
      <c r="U111" s="147"/>
      <c r="V111" s="147"/>
      <c r="W111" s="149" t="s">
        <v>459</v>
      </c>
      <c r="X111" s="147"/>
      <c r="Y111" s="147"/>
      <c r="Z111" s="147"/>
      <c r="AA111" s="147"/>
      <c r="AB111" s="147"/>
      <c r="AC111" s="147"/>
      <c r="AD111" s="147"/>
      <c r="AE111" s="147"/>
      <c r="AF111" s="147"/>
      <c r="AG111" s="147"/>
      <c r="AH111" s="147"/>
      <c r="AI111" s="147"/>
    </row>
    <row r="112">
      <c r="A112" s="140"/>
      <c r="B112" s="140"/>
      <c r="C112" s="141" t="str">
        <f t="array" ref="C112">INDEX('Player Database'!$D:$D,MATCH($D112,'Player Database'!$B:$B,0))</f>
        <v>#N/A</v>
      </c>
      <c r="D112" s="142" t="str">
        <f t="shared" si="1"/>
        <v> - </v>
      </c>
      <c r="E112" s="143" t="str">
        <f t="array" ref="E112">XLOOKUP($D112,'Player Database'!$B$2:$B1009,'Player Database'!$I$2:$I1009)</f>
        <v>#N/A</v>
      </c>
      <c r="F112" s="143" t="str">
        <f t="array" ref="F112">XLOOKUP($D112,'Player Database'!$B$2:$B1009,'Player Database'!$J$2:$J1009)</f>
        <v>#N/A</v>
      </c>
      <c r="G112" s="144" t="str">
        <f t="array" ref="G112">IF(H112="","",IFERROR(
  "https://sealeddeck.tech/" &amp; INDEX('Pool Changes'!F:F,
    MAX(
      ROW('Pool Changes'!A:A) *
      ('Pool Changes'!B:B=D112) *
      ('Pool Changes'!F:F&lt;&gt;"")
    )
  ),
  ""
))</f>
        <v/>
      </c>
      <c r="H112" s="144" t="str">
        <f>IFERROR(__xludf.DUMMYFUNCTION("LET(changes,FILTER('Pool Changes'!$B:$D, 'Pool Changes'!$B:$B = $D112),added,FILTER(INDEX(changes,0,3),INDEX(changes,0,2)=""starting pool""),TRANSPOSE(IFERROR(ARRAYFORMULA(IF(added&lt;&gt;"""",""https://sealeddeck.tech/""&amp;added,"""")),"""")))"),"")</f>
        <v/>
      </c>
      <c r="I112" s="145" t="str">
        <f>IFERROR(__xludf.DUMMYFUNCTION("LET(changes,FILTER('Pool Changes'!$B:$D, 'Pool Changes'!$B:$B = $D112),added,FILTER(INDEX(changes,0,3),INDEX(changes,0,2)=""add pack""),IFERROR(TRANSPOSE(ARRAYFORMULA(IF(added&lt;&gt;"""",HYPERLINK(""https://sealeddeck.tech/""&amp;added,""Link""),""""))),""""))"),"")</f>
        <v/>
      </c>
      <c r="J112" s="146"/>
      <c r="K112" s="146"/>
      <c r="L112" s="146"/>
      <c r="M112" s="146"/>
      <c r="N112" s="146"/>
      <c r="O112" s="146"/>
      <c r="P112" s="146"/>
      <c r="Q112" s="146"/>
      <c r="R112" s="146"/>
      <c r="S112" s="146"/>
      <c r="T112" s="147"/>
      <c r="U112" s="147"/>
      <c r="V112" s="147"/>
      <c r="W112" s="147"/>
      <c r="X112" s="147"/>
      <c r="Y112" s="147"/>
      <c r="Z112" s="147"/>
      <c r="AA112" s="147"/>
      <c r="AB112" s="147"/>
      <c r="AC112" s="147"/>
      <c r="AD112" s="147"/>
      <c r="AE112" s="147"/>
      <c r="AF112" s="147"/>
      <c r="AG112" s="147"/>
      <c r="AH112" s="147"/>
      <c r="AI112" s="147"/>
    </row>
    <row r="113">
      <c r="A113" s="140"/>
      <c r="B113" s="140"/>
      <c r="C113" s="141" t="str">
        <f t="array" ref="C113">INDEX('Player Database'!$D:$D,MATCH($D113,'Player Database'!$B:$B,0))</f>
        <v>#N/A</v>
      </c>
      <c r="D113" s="142" t="str">
        <f t="shared" si="1"/>
        <v> - </v>
      </c>
      <c r="E113" s="143" t="str">
        <f t="array" ref="E113">XLOOKUP($D113,'Player Database'!$B$2:$B1009,'Player Database'!$I$2:$I1009)</f>
        <v>#N/A</v>
      </c>
      <c r="F113" s="143" t="str">
        <f t="array" ref="F113">XLOOKUP($D113,'Player Database'!$B$2:$B1009,'Player Database'!$J$2:$J1009)</f>
        <v>#N/A</v>
      </c>
      <c r="G113" s="144" t="str">
        <f t="array" ref="G113">IF(H113="","",IFERROR(
  "https://sealeddeck.tech/" &amp; INDEX('Pool Changes'!F:F,
    MAX(
      ROW('Pool Changes'!A:A) *
      ('Pool Changes'!B:B=D113) *
      ('Pool Changes'!F:F&lt;&gt;"")
    )
  ),
  ""
))</f>
        <v/>
      </c>
      <c r="H113" s="144" t="str">
        <f>IFERROR(__xludf.DUMMYFUNCTION("LET(changes,FILTER('Pool Changes'!$B:$D, 'Pool Changes'!$B:$B = $D113),added,FILTER(INDEX(changes,0,3),INDEX(changes,0,2)=""starting pool""),TRANSPOSE(IFERROR(ARRAYFORMULA(IF(added&lt;&gt;"""",""https://sealeddeck.tech/""&amp;added,"""")),"""")))"),"")</f>
        <v/>
      </c>
      <c r="I113" s="145" t="str">
        <f>IFERROR(__xludf.DUMMYFUNCTION("LET(changes,FILTER('Pool Changes'!$B:$D, 'Pool Changes'!$B:$B = $D113),added,FILTER(INDEX(changes,0,3),INDEX(changes,0,2)=""add pack""),IFERROR(TRANSPOSE(ARRAYFORMULA(IF(added&lt;&gt;"""",HYPERLINK(""https://sealeddeck.tech/""&amp;added,""Link""),""""))),""""))"),"")</f>
        <v/>
      </c>
      <c r="J113" s="146"/>
      <c r="K113" s="146"/>
      <c r="L113" s="146"/>
      <c r="M113" s="146"/>
      <c r="N113" s="146"/>
      <c r="O113" s="146"/>
      <c r="P113" s="146"/>
      <c r="Q113" s="146"/>
      <c r="R113" s="146"/>
      <c r="S113" s="146"/>
      <c r="T113" s="147"/>
      <c r="U113" s="147"/>
      <c r="V113" s="147"/>
      <c r="W113" s="149" t="s">
        <v>459</v>
      </c>
      <c r="X113" s="147"/>
      <c r="Y113" s="147"/>
      <c r="Z113" s="147"/>
      <c r="AA113" s="147"/>
      <c r="AB113" s="147"/>
      <c r="AC113" s="147"/>
      <c r="AD113" s="147"/>
      <c r="AE113" s="147"/>
      <c r="AF113" s="147"/>
      <c r="AG113" s="147"/>
      <c r="AH113" s="147"/>
      <c r="AI113" s="147"/>
    </row>
    <row r="114">
      <c r="A114" s="140"/>
      <c r="B114" s="140"/>
      <c r="C114" s="141" t="str">
        <f t="array" ref="C114">INDEX('Player Database'!$D:$D,MATCH($D114,'Player Database'!$B:$B,0))</f>
        <v>#N/A</v>
      </c>
      <c r="D114" s="142" t="str">
        <f t="shared" si="1"/>
        <v> - </v>
      </c>
      <c r="E114" s="143" t="str">
        <f t="array" ref="E114">XLOOKUP($D114,'Player Database'!$B$2:$B1009,'Player Database'!$I$2:$I1009)</f>
        <v>#N/A</v>
      </c>
      <c r="F114" s="143" t="str">
        <f t="array" ref="F114">XLOOKUP($D114,'Player Database'!$B$2:$B1009,'Player Database'!$J$2:$J1009)</f>
        <v>#N/A</v>
      </c>
      <c r="G114" s="144" t="str">
        <f t="array" ref="G114">IF(H114="","",IFERROR(
  "https://sealeddeck.tech/" &amp; INDEX('Pool Changes'!F:F,
    MAX(
      ROW('Pool Changes'!A:A) *
      ('Pool Changes'!B:B=D114) *
      ('Pool Changes'!F:F&lt;&gt;"")
    )
  ),
  ""
))</f>
        <v/>
      </c>
      <c r="H114" s="144" t="str">
        <f>IFERROR(__xludf.DUMMYFUNCTION("LET(changes,FILTER('Pool Changes'!$B:$D, 'Pool Changes'!$B:$B = $D114),added,FILTER(INDEX(changes,0,3),INDEX(changes,0,2)=""starting pool""),TRANSPOSE(IFERROR(ARRAYFORMULA(IF(added&lt;&gt;"""",""https://sealeddeck.tech/""&amp;added,"""")),"""")))"),"")</f>
        <v/>
      </c>
      <c r="I114" s="145" t="str">
        <f>IFERROR(__xludf.DUMMYFUNCTION("LET(changes,FILTER('Pool Changes'!$B:$D, 'Pool Changes'!$B:$B = $D114),added,FILTER(INDEX(changes,0,3),INDEX(changes,0,2)=""add pack""),IFERROR(TRANSPOSE(ARRAYFORMULA(IF(added&lt;&gt;"""",HYPERLINK(""https://sealeddeck.tech/""&amp;added,""Link""),""""))),""""))"),"")</f>
        <v/>
      </c>
      <c r="J114" s="146"/>
      <c r="K114" s="146"/>
      <c r="L114" s="146"/>
      <c r="M114" s="146"/>
      <c r="N114" s="146"/>
      <c r="O114" s="146"/>
      <c r="P114" s="146"/>
      <c r="Q114" s="146"/>
      <c r="R114" s="146"/>
      <c r="S114" s="146"/>
      <c r="T114" s="147"/>
      <c r="U114" s="147"/>
      <c r="V114" s="147"/>
      <c r="W114" s="149" t="s">
        <v>459</v>
      </c>
      <c r="X114" s="147"/>
      <c r="Y114" s="147"/>
      <c r="Z114" s="147"/>
      <c r="AA114" s="147"/>
      <c r="AB114" s="147"/>
      <c r="AC114" s="147"/>
      <c r="AD114" s="147"/>
      <c r="AE114" s="147"/>
      <c r="AF114" s="147"/>
      <c r="AG114" s="147"/>
      <c r="AH114" s="147"/>
      <c r="AI114" s="147"/>
    </row>
    <row r="115">
      <c r="A115" s="140"/>
      <c r="B115" s="140"/>
      <c r="C115" s="141" t="str">
        <f t="array" ref="C115">INDEX('Player Database'!$D:$D,MATCH($D115,'Player Database'!$B:$B,0))</f>
        <v>#N/A</v>
      </c>
      <c r="D115" s="142" t="str">
        <f t="shared" si="1"/>
        <v> - </v>
      </c>
      <c r="E115" s="143" t="str">
        <f t="array" ref="E115">XLOOKUP($D115,'Player Database'!$B$2:$B1009,'Player Database'!$I$2:$I1009)</f>
        <v>#N/A</v>
      </c>
      <c r="F115" s="143" t="str">
        <f t="array" ref="F115">XLOOKUP($D115,'Player Database'!$B$2:$B1009,'Player Database'!$J$2:$J1009)</f>
        <v>#N/A</v>
      </c>
      <c r="G115" s="144" t="str">
        <f t="array" ref="G115">IF(H115="","",IFERROR(
  "https://sealeddeck.tech/" &amp; INDEX('Pool Changes'!F:F,
    MAX(
      ROW('Pool Changes'!A:A) *
      ('Pool Changes'!B:B=D115) *
      ('Pool Changes'!F:F&lt;&gt;"")
    )
  ),
  ""
))</f>
        <v/>
      </c>
      <c r="H115" s="144" t="str">
        <f>IFERROR(__xludf.DUMMYFUNCTION("LET(changes,FILTER('Pool Changes'!$B:$D, 'Pool Changes'!$B:$B = $D115),added,FILTER(INDEX(changes,0,3),INDEX(changes,0,2)=""starting pool""),TRANSPOSE(IFERROR(ARRAYFORMULA(IF(added&lt;&gt;"""",""https://sealeddeck.tech/""&amp;added,"""")),"""")))"),"")</f>
        <v/>
      </c>
      <c r="I115" s="145" t="str">
        <f>IFERROR(__xludf.DUMMYFUNCTION("LET(changes,FILTER('Pool Changes'!$B:$D, 'Pool Changes'!$B:$B = $D115),added,FILTER(INDEX(changes,0,3),INDEX(changes,0,2)=""add pack""),IFERROR(TRANSPOSE(ARRAYFORMULA(IF(added&lt;&gt;"""",HYPERLINK(""https://sealeddeck.tech/""&amp;added,""Link""),""""))),""""))"),"")</f>
        <v/>
      </c>
      <c r="J115" s="146"/>
      <c r="K115" s="146"/>
      <c r="L115" s="146"/>
      <c r="M115" s="146"/>
      <c r="N115" s="146"/>
      <c r="O115" s="146"/>
      <c r="P115" s="146"/>
      <c r="Q115" s="146"/>
      <c r="R115" s="146"/>
      <c r="S115" s="146"/>
      <c r="T115" s="147"/>
      <c r="U115" s="147"/>
      <c r="V115" s="147"/>
      <c r="W115" s="147"/>
      <c r="X115" s="147"/>
      <c r="Y115" s="147"/>
      <c r="Z115" s="147"/>
      <c r="AA115" s="147"/>
      <c r="AB115" s="147"/>
      <c r="AC115" s="147"/>
      <c r="AD115" s="147"/>
      <c r="AE115" s="147"/>
      <c r="AF115" s="147"/>
      <c r="AG115" s="147"/>
      <c r="AH115" s="147"/>
      <c r="AI115" s="147"/>
    </row>
    <row r="116">
      <c r="A116" s="140"/>
      <c r="B116" s="140"/>
      <c r="C116" s="141" t="str">
        <f t="array" ref="C116">INDEX('Player Database'!$D:$D,MATCH($D116,'Player Database'!$B:$B,0))</f>
        <v>#N/A</v>
      </c>
      <c r="D116" s="142" t="str">
        <f t="shared" si="1"/>
        <v> - </v>
      </c>
      <c r="E116" s="143" t="str">
        <f t="array" ref="E116">XLOOKUP($D116,'Player Database'!$B$2:$B1009,'Player Database'!$I$2:$I1009)</f>
        <v>#N/A</v>
      </c>
      <c r="F116" s="143" t="str">
        <f t="array" ref="F116">XLOOKUP($D116,'Player Database'!$B$2:$B1009,'Player Database'!$J$2:$J1009)</f>
        <v>#N/A</v>
      </c>
      <c r="G116" s="144" t="str">
        <f t="array" ref="G116">IF(H116="","",IFERROR(
  "https://sealeddeck.tech/" &amp; INDEX('Pool Changes'!F:F,
    MAX(
      ROW('Pool Changes'!A:A) *
      ('Pool Changes'!B:B=D116) *
      ('Pool Changes'!F:F&lt;&gt;"")
    )
  ),
  ""
))</f>
        <v/>
      </c>
      <c r="H116" s="144" t="str">
        <f>IFERROR(__xludf.DUMMYFUNCTION("LET(changes,FILTER('Pool Changes'!$B:$D, 'Pool Changes'!$B:$B = $D116),added,FILTER(INDEX(changes,0,3),INDEX(changes,0,2)=""starting pool""),TRANSPOSE(IFERROR(ARRAYFORMULA(IF(added&lt;&gt;"""",""https://sealeddeck.tech/""&amp;added,"""")),"""")))"),"")</f>
        <v/>
      </c>
      <c r="I116" s="145" t="str">
        <f>IFERROR(__xludf.DUMMYFUNCTION("LET(changes,FILTER('Pool Changes'!$B:$D, 'Pool Changes'!$B:$B = $D116),added,FILTER(INDEX(changes,0,3),INDEX(changes,0,2)=""add pack""),IFERROR(TRANSPOSE(ARRAYFORMULA(IF(added&lt;&gt;"""",HYPERLINK(""https://sealeddeck.tech/""&amp;added,""Link""),""""))),""""))"),"")</f>
        <v/>
      </c>
      <c r="J116" s="146"/>
      <c r="K116" s="146"/>
      <c r="L116" s="146"/>
      <c r="M116" s="146"/>
      <c r="N116" s="146"/>
      <c r="O116" s="146"/>
      <c r="P116" s="146"/>
      <c r="Q116" s="146"/>
      <c r="R116" s="146"/>
      <c r="S116" s="146"/>
      <c r="T116" s="147"/>
      <c r="U116" s="147"/>
      <c r="V116" s="147"/>
      <c r="W116" s="147"/>
      <c r="X116" s="147"/>
      <c r="Y116" s="147"/>
      <c r="Z116" s="147"/>
      <c r="AA116" s="147"/>
      <c r="AB116" s="147"/>
      <c r="AC116" s="147"/>
      <c r="AD116" s="147"/>
      <c r="AE116" s="147"/>
      <c r="AF116" s="147"/>
      <c r="AG116" s="147"/>
      <c r="AH116" s="147"/>
      <c r="AI116" s="147"/>
    </row>
    <row r="117">
      <c r="A117" s="140"/>
      <c r="B117" s="140"/>
      <c r="C117" s="141" t="str">
        <f t="array" ref="C117">INDEX('Player Database'!$D:$D,MATCH($D117,'Player Database'!$B:$B,0))</f>
        <v>#N/A</v>
      </c>
      <c r="D117" s="142" t="str">
        <f t="shared" si="1"/>
        <v> - </v>
      </c>
      <c r="E117" s="143" t="str">
        <f t="array" ref="E117">XLOOKUP($D117,'Player Database'!$B$2:$B1009,'Player Database'!$I$2:$I1009)</f>
        <v>#N/A</v>
      </c>
      <c r="F117" s="143" t="str">
        <f t="array" ref="F117">XLOOKUP($D117,'Player Database'!$B$2:$B1009,'Player Database'!$J$2:$J1009)</f>
        <v>#N/A</v>
      </c>
      <c r="G117" s="144" t="str">
        <f t="array" ref="G117">IF(H117="","",IFERROR(
  "https://sealeddeck.tech/" &amp; INDEX('Pool Changes'!F:F,
    MAX(
      ROW('Pool Changes'!A:A) *
      ('Pool Changes'!B:B=D117) *
      ('Pool Changes'!F:F&lt;&gt;"")
    )
  ),
  ""
))</f>
        <v/>
      </c>
      <c r="H117" s="144" t="str">
        <f>IFERROR(__xludf.DUMMYFUNCTION("LET(changes,FILTER('Pool Changes'!$B:$D, 'Pool Changes'!$B:$B = $D117),added,FILTER(INDEX(changes,0,3),INDEX(changes,0,2)=""starting pool""),TRANSPOSE(IFERROR(ARRAYFORMULA(IF(added&lt;&gt;"""",""https://sealeddeck.tech/""&amp;added,"""")),"""")))"),"")</f>
        <v/>
      </c>
      <c r="I117" s="145" t="str">
        <f>IFERROR(__xludf.DUMMYFUNCTION("LET(changes,FILTER('Pool Changes'!$B:$D, 'Pool Changes'!$B:$B = $D117),added,FILTER(INDEX(changes,0,3),INDEX(changes,0,2)=""add pack""),IFERROR(TRANSPOSE(ARRAYFORMULA(IF(added&lt;&gt;"""",HYPERLINK(""https://sealeddeck.tech/""&amp;added,""Link""),""""))),""""))"),"")</f>
        <v/>
      </c>
      <c r="J117" s="146"/>
      <c r="K117" s="146"/>
      <c r="L117" s="146"/>
      <c r="M117" s="146"/>
      <c r="N117" s="146"/>
      <c r="O117" s="146"/>
      <c r="P117" s="146"/>
      <c r="Q117" s="146"/>
      <c r="R117" s="146"/>
      <c r="S117" s="146"/>
      <c r="T117" s="147"/>
      <c r="U117" s="147"/>
      <c r="V117" s="147"/>
      <c r="W117" s="147"/>
      <c r="X117" s="147"/>
      <c r="Y117" s="147"/>
      <c r="Z117" s="147"/>
      <c r="AA117" s="147"/>
      <c r="AB117" s="147"/>
      <c r="AC117" s="147"/>
      <c r="AD117" s="147"/>
      <c r="AE117" s="147"/>
      <c r="AF117" s="147"/>
      <c r="AG117" s="147"/>
      <c r="AH117" s="147"/>
      <c r="AI117" s="147"/>
    </row>
    <row r="118">
      <c r="A118" s="140"/>
      <c r="B118" s="140"/>
      <c r="C118" s="141" t="str">
        <f t="array" ref="C118">INDEX('Player Database'!$D:$D,MATCH($D118,'Player Database'!$B:$B,0))</f>
        <v>#N/A</v>
      </c>
      <c r="D118" s="142" t="str">
        <f t="shared" si="1"/>
        <v> - </v>
      </c>
      <c r="E118" s="143" t="str">
        <f t="array" ref="E118">XLOOKUP($D118,'Player Database'!$B$2:$B1009,'Player Database'!$I$2:$I1009)</f>
        <v>#N/A</v>
      </c>
      <c r="F118" s="143" t="str">
        <f t="array" ref="F118">XLOOKUP($D118,'Player Database'!$B$2:$B1009,'Player Database'!$J$2:$J1009)</f>
        <v>#N/A</v>
      </c>
      <c r="G118" s="144" t="str">
        <f t="array" ref="G118">IF(H118="","",IFERROR(
  "https://sealeddeck.tech/" &amp; INDEX('Pool Changes'!F:F,
    MAX(
      ROW('Pool Changes'!A:A) *
      ('Pool Changes'!B:B=D118) *
      ('Pool Changes'!F:F&lt;&gt;"")
    )
  ),
  ""
))</f>
        <v/>
      </c>
      <c r="H118" s="144" t="str">
        <f>IFERROR(__xludf.DUMMYFUNCTION("LET(changes,FILTER('Pool Changes'!$B:$D, 'Pool Changes'!$B:$B = $D118),added,FILTER(INDEX(changes,0,3),INDEX(changes,0,2)=""starting pool""),TRANSPOSE(IFERROR(ARRAYFORMULA(IF(added&lt;&gt;"""",""https://sealeddeck.tech/""&amp;added,"""")),"""")))"),"")</f>
        <v/>
      </c>
      <c r="I118" s="145" t="str">
        <f>IFERROR(__xludf.DUMMYFUNCTION("LET(changes,FILTER('Pool Changes'!$B:$D, 'Pool Changes'!$B:$B = $D118),added,FILTER(INDEX(changes,0,3),INDEX(changes,0,2)=""add pack""),IFERROR(TRANSPOSE(ARRAYFORMULA(IF(added&lt;&gt;"""",HYPERLINK(""https://sealeddeck.tech/""&amp;added,""Link""),""""))),""""))"),"")</f>
        <v/>
      </c>
      <c r="J118" s="146"/>
      <c r="K118" s="146"/>
      <c r="L118" s="146"/>
      <c r="M118" s="146"/>
      <c r="N118" s="146"/>
      <c r="O118" s="146"/>
      <c r="P118" s="146"/>
      <c r="Q118" s="146"/>
      <c r="R118" s="146"/>
      <c r="S118" s="146"/>
      <c r="T118" s="147"/>
      <c r="U118" s="147"/>
      <c r="V118" s="147"/>
      <c r="W118" s="149" t="s">
        <v>459</v>
      </c>
      <c r="X118" s="147"/>
      <c r="Y118" s="147"/>
      <c r="Z118" s="147"/>
      <c r="AA118" s="147"/>
      <c r="AB118" s="147"/>
      <c r="AC118" s="147"/>
      <c r="AD118" s="147"/>
      <c r="AE118" s="147"/>
      <c r="AF118" s="147"/>
      <c r="AG118" s="147"/>
      <c r="AH118" s="147"/>
      <c r="AI118" s="147"/>
    </row>
    <row r="119">
      <c r="A119" s="140"/>
      <c r="B119" s="140"/>
      <c r="C119" s="141" t="str">
        <f t="array" ref="C119">INDEX('Player Database'!$D:$D,MATCH($D119,'Player Database'!$B:$B,0))</f>
        <v>#N/A</v>
      </c>
      <c r="D119" s="142" t="str">
        <f t="shared" si="1"/>
        <v> - </v>
      </c>
      <c r="E119" s="143" t="str">
        <f t="array" ref="E119">XLOOKUP($D119,'Player Database'!$B$2:$B1009,'Player Database'!$I$2:$I1009)</f>
        <v>#N/A</v>
      </c>
      <c r="F119" s="143" t="str">
        <f t="array" ref="F119">XLOOKUP($D119,'Player Database'!$B$2:$B1009,'Player Database'!$J$2:$J1009)</f>
        <v>#N/A</v>
      </c>
      <c r="G119" s="144" t="str">
        <f t="array" ref="G119">IF(H119="","",IFERROR(
  "https://sealeddeck.tech/" &amp; INDEX('Pool Changes'!F:F,
    MAX(
      ROW('Pool Changes'!A:A) *
      ('Pool Changes'!B:B=D119) *
      ('Pool Changes'!F:F&lt;&gt;"")
    )
  ),
  ""
))</f>
        <v/>
      </c>
      <c r="H119" s="144" t="str">
        <f>IFERROR(__xludf.DUMMYFUNCTION("LET(changes,FILTER('Pool Changes'!$B:$D, 'Pool Changes'!$B:$B = $D119),added,FILTER(INDEX(changes,0,3),INDEX(changes,0,2)=""starting pool""),TRANSPOSE(IFERROR(ARRAYFORMULA(IF(added&lt;&gt;"""",""https://sealeddeck.tech/""&amp;added,"""")),"""")))"),"")</f>
        <v/>
      </c>
      <c r="I119" s="145" t="str">
        <f>IFERROR(__xludf.DUMMYFUNCTION("LET(changes,FILTER('Pool Changes'!$B:$D, 'Pool Changes'!$B:$B = $D119),added,FILTER(INDEX(changes,0,3),INDEX(changes,0,2)=""add pack""),IFERROR(TRANSPOSE(ARRAYFORMULA(IF(added&lt;&gt;"""",HYPERLINK(""https://sealeddeck.tech/""&amp;added,""Link""),""""))),""""))"),"")</f>
        <v/>
      </c>
      <c r="J119" s="146"/>
      <c r="K119" s="146"/>
      <c r="L119" s="146"/>
      <c r="M119" s="146"/>
      <c r="N119" s="146"/>
      <c r="O119" s="146"/>
      <c r="P119" s="146"/>
      <c r="Q119" s="146"/>
      <c r="R119" s="146"/>
      <c r="S119" s="146"/>
      <c r="T119" s="147"/>
      <c r="U119" s="147"/>
      <c r="V119" s="147"/>
      <c r="W119" s="149" t="s">
        <v>459</v>
      </c>
      <c r="X119" s="147"/>
      <c r="Y119" s="147"/>
      <c r="Z119" s="147"/>
      <c r="AA119" s="147"/>
      <c r="AB119" s="147"/>
      <c r="AC119" s="147"/>
      <c r="AD119" s="147"/>
      <c r="AE119" s="147"/>
      <c r="AF119" s="147"/>
      <c r="AG119" s="147"/>
      <c r="AH119" s="147"/>
      <c r="AI119" s="147"/>
    </row>
    <row r="120">
      <c r="A120" s="140"/>
      <c r="B120" s="140"/>
      <c r="C120" s="141" t="str">
        <f t="array" ref="C120">INDEX('Player Database'!$D:$D,MATCH($D120,'Player Database'!$B:$B,0))</f>
        <v>#N/A</v>
      </c>
      <c r="D120" s="142" t="str">
        <f t="shared" si="1"/>
        <v> - </v>
      </c>
      <c r="E120" s="143" t="str">
        <f t="array" ref="E120">XLOOKUP($D120,'Player Database'!$B$2:$B1009,'Player Database'!$I$2:$I1009)</f>
        <v>#N/A</v>
      </c>
      <c r="F120" s="143" t="str">
        <f t="array" ref="F120">XLOOKUP($D120,'Player Database'!$B$2:$B1009,'Player Database'!$J$2:$J1009)</f>
        <v>#N/A</v>
      </c>
      <c r="G120" s="144" t="str">
        <f t="array" ref="G120">IF(H120="","",IFERROR(
  "https://sealeddeck.tech/" &amp; INDEX('Pool Changes'!F:F,
    MAX(
      ROW('Pool Changes'!A:A) *
      ('Pool Changes'!B:B=D120) *
      ('Pool Changes'!F:F&lt;&gt;"")
    )
  ),
  ""
))</f>
        <v/>
      </c>
      <c r="H120" s="144" t="str">
        <f>IFERROR(__xludf.DUMMYFUNCTION("LET(changes,FILTER('Pool Changes'!$B:$D, 'Pool Changes'!$B:$B = $D120),added,FILTER(INDEX(changes,0,3),INDEX(changes,0,2)=""starting pool""),TRANSPOSE(IFERROR(ARRAYFORMULA(IF(added&lt;&gt;"""",""https://sealeddeck.tech/""&amp;added,"""")),"""")))"),"")</f>
        <v/>
      </c>
      <c r="I120" s="145" t="str">
        <f>IFERROR(__xludf.DUMMYFUNCTION("LET(changes,FILTER('Pool Changes'!$B:$D, 'Pool Changes'!$B:$B = $D120),added,FILTER(INDEX(changes,0,3),INDEX(changes,0,2)=""add pack""),IFERROR(TRANSPOSE(ARRAYFORMULA(IF(added&lt;&gt;"""",HYPERLINK(""https://sealeddeck.tech/""&amp;added,""Link""),""""))),""""))"),"")</f>
        <v/>
      </c>
      <c r="J120" s="146"/>
      <c r="K120" s="146"/>
      <c r="L120" s="146"/>
      <c r="M120" s="146"/>
      <c r="N120" s="146"/>
      <c r="O120" s="146"/>
      <c r="P120" s="146"/>
      <c r="Q120" s="146"/>
      <c r="R120" s="146"/>
      <c r="S120" s="146"/>
      <c r="T120" s="147"/>
      <c r="U120" s="147"/>
      <c r="V120" s="147"/>
      <c r="W120" s="149" t="s">
        <v>459</v>
      </c>
      <c r="X120" s="147"/>
      <c r="Y120" s="147"/>
      <c r="Z120" s="147"/>
      <c r="AA120" s="147"/>
      <c r="AB120" s="147"/>
      <c r="AC120" s="147"/>
      <c r="AD120" s="147"/>
      <c r="AE120" s="147"/>
      <c r="AF120" s="147"/>
      <c r="AG120" s="147"/>
      <c r="AH120" s="147"/>
      <c r="AI120" s="147"/>
    </row>
    <row r="121">
      <c r="A121" s="140"/>
      <c r="B121" s="140"/>
      <c r="C121" s="141" t="str">
        <f t="array" ref="C121">INDEX('Player Database'!$D:$D,MATCH($D121,'Player Database'!$B:$B,0))</f>
        <v>#N/A</v>
      </c>
      <c r="D121" s="142" t="str">
        <f t="shared" si="1"/>
        <v> - </v>
      </c>
      <c r="E121" s="143" t="str">
        <f t="array" ref="E121">XLOOKUP($D121,'Player Database'!$B$2:$B1009,'Player Database'!$I$2:$I1009)</f>
        <v>#N/A</v>
      </c>
      <c r="F121" s="143" t="str">
        <f t="array" ref="F121">XLOOKUP($D121,'Player Database'!$B$2:$B1009,'Player Database'!$J$2:$J1009)</f>
        <v>#N/A</v>
      </c>
      <c r="G121" s="144" t="str">
        <f t="array" ref="G121">IF(H121="","",IFERROR(
  "https://sealeddeck.tech/" &amp; INDEX('Pool Changes'!F:F,
    MAX(
      ROW('Pool Changes'!A:A) *
      ('Pool Changes'!B:B=D121) *
      ('Pool Changes'!F:F&lt;&gt;"")
    )
  ),
  ""
))</f>
        <v/>
      </c>
      <c r="H121" s="144" t="str">
        <f>IFERROR(__xludf.DUMMYFUNCTION("LET(changes,FILTER('Pool Changes'!$B:$D, 'Pool Changes'!$B:$B = $D121),added,FILTER(INDEX(changes,0,3),INDEX(changes,0,2)=""starting pool""),TRANSPOSE(IFERROR(ARRAYFORMULA(IF(added&lt;&gt;"""",""https://sealeddeck.tech/""&amp;added,"""")),"""")))"),"")</f>
        <v/>
      </c>
      <c r="I121" s="145" t="str">
        <f>IFERROR(__xludf.DUMMYFUNCTION("LET(changes,FILTER('Pool Changes'!$B:$D, 'Pool Changes'!$B:$B = $D121),added,FILTER(INDEX(changes,0,3),INDEX(changes,0,2)=""add pack""),IFERROR(TRANSPOSE(ARRAYFORMULA(IF(added&lt;&gt;"""",HYPERLINK(""https://sealeddeck.tech/""&amp;added,""Link""),""""))),""""))"),"")</f>
        <v/>
      </c>
      <c r="J121" s="146"/>
      <c r="K121" s="146"/>
      <c r="L121" s="146"/>
      <c r="M121" s="146"/>
      <c r="N121" s="146"/>
      <c r="O121" s="146"/>
      <c r="P121" s="146"/>
      <c r="Q121" s="146"/>
      <c r="R121" s="146"/>
      <c r="S121" s="146"/>
      <c r="T121" s="147"/>
      <c r="U121" s="147"/>
      <c r="V121" s="147"/>
      <c r="W121" s="147"/>
      <c r="X121" s="147"/>
      <c r="Y121" s="147"/>
      <c r="Z121" s="147"/>
      <c r="AA121" s="147"/>
      <c r="AB121" s="147"/>
      <c r="AC121" s="147"/>
      <c r="AD121" s="147"/>
      <c r="AE121" s="147"/>
      <c r="AF121" s="147"/>
      <c r="AG121" s="147"/>
      <c r="AH121" s="147"/>
      <c r="AI121" s="147"/>
    </row>
    <row r="122">
      <c r="A122" s="140"/>
      <c r="B122" s="140"/>
      <c r="C122" s="141" t="str">
        <f t="array" ref="C122">INDEX('Player Database'!$D:$D,MATCH($D122,'Player Database'!$B:$B,0))</f>
        <v>#N/A</v>
      </c>
      <c r="D122" s="142" t="str">
        <f t="shared" si="1"/>
        <v> - </v>
      </c>
      <c r="E122" s="143" t="str">
        <f t="array" ref="E122">XLOOKUP($D122,'Player Database'!$B$2:$B1009,'Player Database'!$I$2:$I1009)</f>
        <v>#N/A</v>
      </c>
      <c r="F122" s="143" t="str">
        <f t="array" ref="F122">XLOOKUP($D122,'Player Database'!$B$2:$B1009,'Player Database'!$J$2:$J1009)</f>
        <v>#N/A</v>
      </c>
      <c r="G122" s="144" t="str">
        <f t="array" ref="G122">IF(H122="","",IFERROR(
  "https://sealeddeck.tech/" &amp; INDEX('Pool Changes'!F:F,
    MAX(
      ROW('Pool Changes'!A:A) *
      ('Pool Changes'!B:B=D122) *
      ('Pool Changes'!F:F&lt;&gt;"")
    )
  ),
  ""
))</f>
        <v/>
      </c>
      <c r="H122" s="144" t="str">
        <f>IFERROR(__xludf.DUMMYFUNCTION("LET(changes,FILTER('Pool Changes'!$B:$D, 'Pool Changes'!$B:$B = $D122),added,FILTER(INDEX(changes,0,3),INDEX(changes,0,2)=""starting pool""),TRANSPOSE(IFERROR(ARRAYFORMULA(IF(added&lt;&gt;"""",""https://sealeddeck.tech/""&amp;added,"""")),"""")))"),"")</f>
        <v/>
      </c>
      <c r="I122" s="145" t="str">
        <f>IFERROR(__xludf.DUMMYFUNCTION("LET(changes,FILTER('Pool Changes'!$B:$D, 'Pool Changes'!$B:$B = $D122),added,FILTER(INDEX(changes,0,3),INDEX(changes,0,2)=""add pack""),IFERROR(TRANSPOSE(ARRAYFORMULA(IF(added&lt;&gt;"""",HYPERLINK(""https://sealeddeck.tech/""&amp;added,""Link""),""""))),""""))"),"")</f>
        <v/>
      </c>
      <c r="J122" s="146"/>
      <c r="K122" s="146"/>
      <c r="L122" s="146"/>
      <c r="M122" s="146"/>
      <c r="N122" s="146"/>
      <c r="O122" s="146"/>
      <c r="P122" s="146"/>
      <c r="Q122" s="146"/>
      <c r="R122" s="146"/>
      <c r="S122" s="146"/>
      <c r="T122" s="147"/>
      <c r="U122" s="147"/>
      <c r="V122" s="147"/>
      <c r="W122" s="149" t="s">
        <v>459</v>
      </c>
      <c r="X122" s="147"/>
      <c r="Y122" s="147"/>
      <c r="Z122" s="147"/>
      <c r="AA122" s="147"/>
      <c r="AB122" s="147"/>
      <c r="AC122" s="147"/>
      <c r="AD122" s="147"/>
      <c r="AE122" s="147"/>
      <c r="AF122" s="147"/>
      <c r="AG122" s="147"/>
      <c r="AH122" s="147"/>
      <c r="AI122" s="147"/>
    </row>
    <row r="123">
      <c r="A123" s="140"/>
      <c r="B123" s="140"/>
      <c r="C123" s="141" t="str">
        <f t="array" ref="C123">INDEX('Player Database'!$D:$D,MATCH($D123,'Player Database'!$B:$B,0))</f>
        <v>#N/A</v>
      </c>
      <c r="D123" s="142" t="str">
        <f t="shared" si="1"/>
        <v> - </v>
      </c>
      <c r="E123" s="143" t="str">
        <f t="array" ref="E123">XLOOKUP($D123,'Player Database'!$B$2:$B1009,'Player Database'!$I$2:$I1009)</f>
        <v>#N/A</v>
      </c>
      <c r="F123" s="143" t="str">
        <f t="array" ref="F123">XLOOKUP($D123,'Player Database'!$B$2:$B1009,'Player Database'!$J$2:$J1009)</f>
        <v>#N/A</v>
      </c>
      <c r="G123" s="144" t="str">
        <f t="array" ref="G123">IF(H123="","",IFERROR(
  "https://sealeddeck.tech/" &amp; INDEX('Pool Changes'!F:F,
    MAX(
      ROW('Pool Changes'!A:A) *
      ('Pool Changes'!B:B=D123) *
      ('Pool Changes'!F:F&lt;&gt;"")
    )
  ),
  ""
))</f>
        <v/>
      </c>
      <c r="H123" s="144" t="str">
        <f>IFERROR(__xludf.DUMMYFUNCTION("LET(changes,FILTER('Pool Changes'!$B:$D, 'Pool Changes'!$B:$B = $D123),added,FILTER(INDEX(changes,0,3),INDEX(changes,0,2)=""starting pool""),TRANSPOSE(IFERROR(ARRAYFORMULA(IF(added&lt;&gt;"""",""https://sealeddeck.tech/""&amp;added,"""")),"""")))"),"")</f>
        <v/>
      </c>
      <c r="I123" s="145" t="str">
        <f>IFERROR(__xludf.DUMMYFUNCTION("LET(changes,FILTER('Pool Changes'!$B:$D, 'Pool Changes'!$B:$B = $D123),added,FILTER(INDEX(changes,0,3),INDEX(changes,0,2)=""add pack""),IFERROR(TRANSPOSE(ARRAYFORMULA(IF(added&lt;&gt;"""",HYPERLINK(""https://sealeddeck.tech/""&amp;added,""Link""),""""))),""""))"),"")</f>
        <v/>
      </c>
      <c r="J123" s="146"/>
      <c r="K123" s="146"/>
      <c r="L123" s="146"/>
      <c r="M123" s="146"/>
      <c r="N123" s="146"/>
      <c r="O123" s="146"/>
      <c r="P123" s="146"/>
      <c r="Q123" s="146"/>
      <c r="R123" s="146"/>
      <c r="S123" s="146"/>
      <c r="T123" s="147"/>
      <c r="U123" s="147"/>
      <c r="V123" s="147"/>
      <c r="W123" s="149" t="s">
        <v>459</v>
      </c>
      <c r="X123" s="147"/>
      <c r="Y123" s="147"/>
      <c r="Z123" s="147"/>
      <c r="AA123" s="147"/>
      <c r="AB123" s="147"/>
      <c r="AC123" s="147"/>
      <c r="AD123" s="147"/>
      <c r="AE123" s="147"/>
      <c r="AF123" s="147"/>
      <c r="AG123" s="147"/>
      <c r="AH123" s="147"/>
      <c r="AI123" s="147"/>
    </row>
    <row r="124">
      <c r="A124" s="140"/>
      <c r="B124" s="140"/>
      <c r="C124" s="141" t="str">
        <f t="array" ref="C124">INDEX('Player Database'!$D:$D,MATCH($D124,'Player Database'!$B:$B,0))</f>
        <v>#N/A</v>
      </c>
      <c r="D124" s="142" t="str">
        <f t="shared" si="1"/>
        <v> - </v>
      </c>
      <c r="E124" s="143" t="str">
        <f t="array" ref="E124">XLOOKUP($D124,'Player Database'!$B$2:$B1009,'Player Database'!$I$2:$I1009)</f>
        <v>#N/A</v>
      </c>
      <c r="F124" s="143" t="str">
        <f t="array" ref="F124">XLOOKUP($D124,'Player Database'!$B$2:$B1009,'Player Database'!$J$2:$J1009)</f>
        <v>#N/A</v>
      </c>
      <c r="G124" s="144" t="str">
        <f t="array" ref="G124">IF(H124="","",IFERROR(
  "https://sealeddeck.tech/" &amp; INDEX('Pool Changes'!F:F,
    MAX(
      ROW('Pool Changes'!A:A) *
      ('Pool Changes'!B:B=D124) *
      ('Pool Changes'!F:F&lt;&gt;"")
    )
  ),
  ""
))</f>
        <v/>
      </c>
      <c r="H124" s="144" t="str">
        <f>IFERROR(__xludf.DUMMYFUNCTION("LET(changes,FILTER('Pool Changes'!$B:$D, 'Pool Changes'!$B:$B = $D124),added,FILTER(INDEX(changes,0,3),INDEX(changes,0,2)=""starting pool""),TRANSPOSE(IFERROR(ARRAYFORMULA(IF(added&lt;&gt;"""",""https://sealeddeck.tech/""&amp;added,"""")),"""")))"),"")</f>
        <v/>
      </c>
      <c r="I124" s="145" t="str">
        <f>IFERROR(__xludf.DUMMYFUNCTION("LET(changes,FILTER('Pool Changes'!$B:$D, 'Pool Changes'!$B:$B = $D124),added,FILTER(INDEX(changes,0,3),INDEX(changes,0,2)=""add pack""),IFERROR(TRANSPOSE(ARRAYFORMULA(IF(added&lt;&gt;"""",HYPERLINK(""https://sealeddeck.tech/""&amp;added,""Link""),""""))),""""))"),"")</f>
        <v/>
      </c>
      <c r="J124" s="146"/>
      <c r="K124" s="146"/>
      <c r="L124" s="146"/>
      <c r="M124" s="146"/>
      <c r="N124" s="146"/>
      <c r="O124" s="146"/>
      <c r="P124" s="146"/>
      <c r="Q124" s="146"/>
      <c r="R124" s="146"/>
      <c r="S124" s="146"/>
      <c r="T124" s="147"/>
      <c r="U124" s="147"/>
      <c r="V124" s="147"/>
      <c r="W124" s="149" t="s">
        <v>459</v>
      </c>
      <c r="X124" s="147"/>
      <c r="Y124" s="147"/>
      <c r="Z124" s="147"/>
      <c r="AA124" s="147"/>
      <c r="AB124" s="147"/>
      <c r="AC124" s="147"/>
      <c r="AD124" s="147"/>
      <c r="AE124" s="147"/>
      <c r="AF124" s="147"/>
      <c r="AG124" s="147"/>
      <c r="AH124" s="147"/>
      <c r="AI124" s="147"/>
    </row>
    <row r="125">
      <c r="A125" s="140"/>
      <c r="B125" s="140"/>
      <c r="C125" s="141" t="str">
        <f t="array" ref="C125">INDEX('Player Database'!$D:$D,MATCH($D125,'Player Database'!$B:$B,0))</f>
        <v>#N/A</v>
      </c>
      <c r="D125" s="142" t="str">
        <f t="shared" si="1"/>
        <v> - </v>
      </c>
      <c r="E125" s="143" t="str">
        <f t="array" ref="E125">XLOOKUP($D125,'Player Database'!$B$2:$B1009,'Player Database'!$I$2:$I1009)</f>
        <v>#N/A</v>
      </c>
      <c r="F125" s="143" t="str">
        <f t="array" ref="F125">XLOOKUP($D125,'Player Database'!$B$2:$B1009,'Player Database'!$J$2:$J1009)</f>
        <v>#N/A</v>
      </c>
      <c r="G125" s="144" t="str">
        <f t="array" ref="G125">IF(H125="","",IFERROR(
  "https://sealeddeck.tech/" &amp; INDEX('Pool Changes'!F:F,
    MAX(
      ROW('Pool Changes'!A:A) *
      ('Pool Changes'!B:B=D125) *
      ('Pool Changes'!F:F&lt;&gt;"")
    )
  ),
  ""
))</f>
        <v/>
      </c>
      <c r="H125" s="144" t="str">
        <f>IFERROR(__xludf.DUMMYFUNCTION("LET(changes,FILTER('Pool Changes'!$B:$D, 'Pool Changes'!$B:$B = $D125),added,FILTER(INDEX(changes,0,3),INDEX(changes,0,2)=""starting pool""),TRANSPOSE(IFERROR(ARRAYFORMULA(IF(added&lt;&gt;"""",""https://sealeddeck.tech/""&amp;added,"""")),"""")))"),"")</f>
        <v/>
      </c>
      <c r="I125" s="145" t="str">
        <f>IFERROR(__xludf.DUMMYFUNCTION("LET(changes,FILTER('Pool Changes'!$B:$D, 'Pool Changes'!$B:$B = $D125),added,FILTER(INDEX(changes,0,3),INDEX(changes,0,2)=""add pack""),IFERROR(TRANSPOSE(ARRAYFORMULA(IF(added&lt;&gt;"""",HYPERLINK(""https://sealeddeck.tech/""&amp;added,""Link""),""""))),""""))"),"")</f>
        <v/>
      </c>
      <c r="J125" s="146"/>
      <c r="K125" s="146"/>
      <c r="L125" s="146"/>
      <c r="M125" s="146"/>
      <c r="N125" s="146"/>
      <c r="O125" s="146"/>
      <c r="P125" s="146"/>
      <c r="Q125" s="146"/>
      <c r="R125" s="146"/>
      <c r="S125" s="146"/>
      <c r="T125" s="147"/>
      <c r="U125" s="147"/>
      <c r="V125" s="147"/>
      <c r="W125" s="147"/>
      <c r="X125" s="147"/>
      <c r="Y125" s="147"/>
      <c r="Z125" s="147"/>
      <c r="AA125" s="147"/>
      <c r="AB125" s="147"/>
      <c r="AC125" s="147"/>
      <c r="AD125" s="147"/>
      <c r="AE125" s="147"/>
      <c r="AF125" s="147"/>
      <c r="AG125" s="147"/>
      <c r="AH125" s="147"/>
      <c r="AI125" s="147"/>
    </row>
    <row r="126">
      <c r="A126" s="140"/>
      <c r="B126" s="140"/>
      <c r="C126" s="141" t="str">
        <f t="array" ref="C126">INDEX('Player Database'!$D:$D,MATCH($D126,'Player Database'!$B:$B,0))</f>
        <v>#N/A</v>
      </c>
      <c r="D126" s="142" t="str">
        <f t="shared" si="1"/>
        <v> - </v>
      </c>
      <c r="E126" s="143" t="str">
        <f t="array" ref="E126">XLOOKUP($D126,'Player Database'!$B$2:$B1009,'Player Database'!$I$2:$I1009)</f>
        <v>#N/A</v>
      </c>
      <c r="F126" s="143" t="str">
        <f t="array" ref="F126">XLOOKUP($D126,'Player Database'!$B$2:$B1009,'Player Database'!$J$2:$J1009)</f>
        <v>#N/A</v>
      </c>
      <c r="G126" s="144" t="str">
        <f t="array" ref="G126">IF(H126="","",IFERROR(
  "https://sealeddeck.tech/" &amp; INDEX('Pool Changes'!F:F,
    MAX(
      ROW('Pool Changes'!A:A) *
      ('Pool Changes'!B:B=D126) *
      ('Pool Changes'!F:F&lt;&gt;"")
    )
  ),
  ""
))</f>
        <v/>
      </c>
      <c r="H126" s="144" t="str">
        <f>IFERROR(__xludf.DUMMYFUNCTION("LET(changes,FILTER('Pool Changes'!$B:$D, 'Pool Changes'!$B:$B = $D126),added,FILTER(INDEX(changes,0,3),INDEX(changes,0,2)=""starting pool""),TRANSPOSE(IFERROR(ARRAYFORMULA(IF(added&lt;&gt;"""",""https://sealeddeck.tech/""&amp;added,"""")),"""")))"),"")</f>
        <v/>
      </c>
      <c r="I126" s="145" t="str">
        <f>IFERROR(__xludf.DUMMYFUNCTION("LET(changes,FILTER('Pool Changes'!$B:$D, 'Pool Changes'!$B:$B = $D126),added,FILTER(INDEX(changes,0,3),INDEX(changes,0,2)=""add pack""),IFERROR(TRANSPOSE(ARRAYFORMULA(IF(added&lt;&gt;"""",HYPERLINK(""https://sealeddeck.tech/""&amp;added,""Link""),""""))),""""))"),"")</f>
        <v/>
      </c>
      <c r="J126" s="146"/>
      <c r="K126" s="146"/>
      <c r="L126" s="146"/>
      <c r="M126" s="146"/>
      <c r="N126" s="146"/>
      <c r="O126" s="146"/>
      <c r="P126" s="146"/>
      <c r="Q126" s="146"/>
      <c r="R126" s="146"/>
      <c r="S126" s="146"/>
      <c r="T126" s="147"/>
      <c r="U126" s="147"/>
      <c r="V126" s="147"/>
      <c r="W126" s="149" t="s">
        <v>459</v>
      </c>
      <c r="X126" s="147"/>
      <c r="Y126" s="147"/>
      <c r="Z126" s="147"/>
      <c r="AA126" s="147"/>
      <c r="AB126" s="147"/>
      <c r="AC126" s="147"/>
      <c r="AD126" s="147"/>
      <c r="AE126" s="147"/>
      <c r="AF126" s="147"/>
      <c r="AG126" s="147"/>
      <c r="AH126" s="147"/>
      <c r="AI126" s="147"/>
    </row>
    <row r="127">
      <c r="A127" s="140"/>
      <c r="B127" s="140"/>
      <c r="C127" s="141" t="str">
        <f t="array" ref="C127">INDEX('Player Database'!$D:$D,MATCH($D127,'Player Database'!$B:$B,0))</f>
        <v>#N/A</v>
      </c>
      <c r="D127" s="142" t="str">
        <f t="shared" si="1"/>
        <v> - </v>
      </c>
      <c r="E127" s="143" t="str">
        <f t="array" ref="E127">XLOOKUP($D127,'Player Database'!$B$2:$B1009,'Player Database'!$I$2:$I1009)</f>
        <v>#N/A</v>
      </c>
      <c r="F127" s="143" t="str">
        <f t="array" ref="F127">XLOOKUP($D127,'Player Database'!$B$2:$B1009,'Player Database'!$J$2:$J1009)</f>
        <v>#N/A</v>
      </c>
      <c r="G127" s="144" t="str">
        <f t="array" ref="G127">IF(H127="","",IFERROR(
  "https://sealeddeck.tech/" &amp; INDEX('Pool Changes'!F:F,
    MAX(
      ROW('Pool Changes'!A:A) *
      ('Pool Changes'!B:B=D127) *
      ('Pool Changes'!F:F&lt;&gt;"")
    )
  ),
  ""
))</f>
        <v/>
      </c>
      <c r="H127" s="144" t="str">
        <f>IFERROR(__xludf.DUMMYFUNCTION("LET(changes,FILTER('Pool Changes'!$B:$D, 'Pool Changes'!$B:$B = $D127),added,FILTER(INDEX(changes,0,3),INDEX(changes,0,2)=""starting pool""),TRANSPOSE(IFERROR(ARRAYFORMULA(IF(added&lt;&gt;"""",""https://sealeddeck.tech/""&amp;added,"""")),"""")))"),"")</f>
        <v/>
      </c>
      <c r="I127" s="145" t="str">
        <f>IFERROR(__xludf.DUMMYFUNCTION("LET(changes,FILTER('Pool Changes'!$B:$D, 'Pool Changes'!$B:$B = $D127),added,FILTER(INDEX(changes,0,3),INDEX(changes,0,2)=""add pack""),IFERROR(TRANSPOSE(ARRAYFORMULA(IF(added&lt;&gt;"""",HYPERLINK(""https://sealeddeck.tech/""&amp;added,""Link""),""""))),""""))"),"")</f>
        <v/>
      </c>
      <c r="J127" s="146"/>
      <c r="K127" s="146"/>
      <c r="L127" s="146"/>
      <c r="M127" s="146"/>
      <c r="N127" s="146"/>
      <c r="O127" s="146"/>
      <c r="P127" s="146"/>
      <c r="Q127" s="146"/>
      <c r="R127" s="146"/>
      <c r="S127" s="146"/>
      <c r="T127" s="147"/>
      <c r="U127" s="147"/>
      <c r="V127" s="147"/>
      <c r="W127" s="149" t="s">
        <v>459</v>
      </c>
      <c r="X127" s="147"/>
      <c r="Y127" s="147"/>
      <c r="Z127" s="147"/>
      <c r="AA127" s="147"/>
      <c r="AB127" s="147"/>
      <c r="AC127" s="147"/>
      <c r="AD127" s="147"/>
      <c r="AE127" s="147"/>
      <c r="AF127" s="147"/>
      <c r="AG127" s="147"/>
      <c r="AH127" s="147"/>
      <c r="AI127" s="147"/>
    </row>
    <row r="128">
      <c r="A128" s="140"/>
      <c r="B128" s="140"/>
      <c r="C128" s="141" t="str">
        <f t="array" ref="C128">INDEX('Player Database'!$D:$D,MATCH($D128,'Player Database'!$B:$B,0))</f>
        <v>#N/A</v>
      </c>
      <c r="D128" s="142" t="str">
        <f t="shared" si="1"/>
        <v> - </v>
      </c>
      <c r="E128" s="143" t="str">
        <f t="array" ref="E128">XLOOKUP($D128,'Player Database'!$B$2:$B1009,'Player Database'!$I$2:$I1009)</f>
        <v>#N/A</v>
      </c>
      <c r="F128" s="143" t="str">
        <f t="array" ref="F128">XLOOKUP($D128,'Player Database'!$B$2:$B1009,'Player Database'!$J$2:$J1009)</f>
        <v>#N/A</v>
      </c>
      <c r="G128" s="144" t="str">
        <f t="array" ref="G128">IF(H128="","",IFERROR(
  "https://sealeddeck.tech/" &amp; INDEX('Pool Changes'!F:F,
    MAX(
      ROW('Pool Changes'!A:A) *
      ('Pool Changes'!B:B=D128) *
      ('Pool Changes'!F:F&lt;&gt;"")
    )
  ),
  ""
))</f>
        <v/>
      </c>
      <c r="H128" s="144" t="str">
        <f>IFERROR(__xludf.DUMMYFUNCTION("LET(changes,FILTER('Pool Changes'!$B:$D, 'Pool Changes'!$B:$B = $D128),added,FILTER(INDEX(changes,0,3),INDEX(changes,0,2)=""starting pool""),TRANSPOSE(IFERROR(ARRAYFORMULA(IF(added&lt;&gt;"""",""https://sealeddeck.tech/""&amp;added,"""")),"""")))"),"")</f>
        <v/>
      </c>
      <c r="I128" s="145" t="str">
        <f>IFERROR(__xludf.DUMMYFUNCTION("LET(changes,FILTER('Pool Changes'!$B:$D, 'Pool Changes'!$B:$B = $D128),added,FILTER(INDEX(changes,0,3),INDEX(changes,0,2)=""add pack""),IFERROR(TRANSPOSE(ARRAYFORMULA(IF(added&lt;&gt;"""",HYPERLINK(""https://sealeddeck.tech/""&amp;added,""Link""),""""))),""""))"),"")</f>
        <v/>
      </c>
      <c r="J128" s="146"/>
      <c r="K128" s="146"/>
      <c r="L128" s="146"/>
      <c r="M128" s="146"/>
      <c r="N128" s="146"/>
      <c r="O128" s="146"/>
      <c r="P128" s="146"/>
      <c r="Q128" s="146"/>
      <c r="R128" s="146"/>
      <c r="S128" s="146"/>
      <c r="T128" s="147"/>
      <c r="U128" s="147"/>
      <c r="V128" s="147"/>
      <c r="W128" s="149" t="s">
        <v>459</v>
      </c>
      <c r="X128" s="147"/>
      <c r="Y128" s="147"/>
      <c r="Z128" s="147"/>
      <c r="AA128" s="147"/>
      <c r="AB128" s="147"/>
      <c r="AC128" s="147"/>
      <c r="AD128" s="147"/>
      <c r="AE128" s="147"/>
      <c r="AF128" s="147"/>
      <c r="AG128" s="147"/>
      <c r="AH128" s="147"/>
      <c r="AI128" s="147"/>
    </row>
    <row r="129">
      <c r="A129" s="140"/>
      <c r="B129" s="140"/>
      <c r="C129" s="141" t="str">
        <f t="array" ref="C129">INDEX('Player Database'!$D:$D,MATCH($D129,'Player Database'!$B:$B,0))</f>
        <v>#N/A</v>
      </c>
      <c r="D129" s="142" t="str">
        <f t="shared" si="1"/>
        <v> - </v>
      </c>
      <c r="E129" s="143" t="str">
        <f t="array" ref="E129">XLOOKUP($D129,'Player Database'!$B$2:$B1009,'Player Database'!$I$2:$I1009)</f>
        <v>#N/A</v>
      </c>
      <c r="F129" s="143" t="str">
        <f t="array" ref="F129">XLOOKUP($D129,'Player Database'!$B$2:$B1009,'Player Database'!$J$2:$J1009)</f>
        <v>#N/A</v>
      </c>
      <c r="G129" s="144" t="str">
        <f t="array" ref="G129">IF(H129="","",IFERROR(
  "https://sealeddeck.tech/" &amp; INDEX('Pool Changes'!F:F,
    MAX(
      ROW('Pool Changes'!A:A) *
      ('Pool Changes'!B:B=D129) *
      ('Pool Changes'!F:F&lt;&gt;"")
    )
  ),
  ""
))</f>
        <v/>
      </c>
      <c r="H129" s="144" t="str">
        <f>IFERROR(__xludf.DUMMYFUNCTION("LET(changes,FILTER('Pool Changes'!$B:$D, 'Pool Changes'!$B:$B = $D129),added,FILTER(INDEX(changes,0,3),INDEX(changes,0,2)=""starting pool""),TRANSPOSE(IFERROR(ARRAYFORMULA(IF(added&lt;&gt;"""",""https://sealeddeck.tech/""&amp;added,"""")),"""")))"),"")</f>
        <v/>
      </c>
      <c r="I129" s="145" t="str">
        <f>IFERROR(__xludf.DUMMYFUNCTION("LET(changes,FILTER('Pool Changes'!$B:$D, 'Pool Changes'!$B:$B = $D129),added,FILTER(INDEX(changes,0,3),INDEX(changes,0,2)=""add pack""),IFERROR(TRANSPOSE(ARRAYFORMULA(IF(added&lt;&gt;"""",HYPERLINK(""https://sealeddeck.tech/""&amp;added,""Link""),""""))),""""))"),"")</f>
        <v/>
      </c>
      <c r="J129" s="146"/>
      <c r="K129" s="146"/>
      <c r="L129" s="146"/>
      <c r="M129" s="146"/>
      <c r="N129" s="146"/>
      <c r="O129" s="146"/>
      <c r="P129" s="146"/>
      <c r="Q129" s="146"/>
      <c r="R129" s="146"/>
      <c r="S129" s="146"/>
      <c r="T129" s="147"/>
      <c r="U129" s="147"/>
      <c r="V129" s="147"/>
      <c r="W129" s="147"/>
      <c r="X129" s="147"/>
      <c r="Y129" s="147"/>
      <c r="Z129" s="147"/>
      <c r="AA129" s="147"/>
      <c r="AB129" s="147"/>
      <c r="AC129" s="147"/>
      <c r="AD129" s="147"/>
      <c r="AE129" s="147"/>
      <c r="AF129" s="147"/>
      <c r="AG129" s="147"/>
      <c r="AH129" s="147"/>
      <c r="AI129" s="147"/>
    </row>
    <row r="130">
      <c r="A130" s="140"/>
      <c r="B130" s="140"/>
      <c r="C130" s="141" t="str">
        <f t="array" ref="C130">INDEX('Player Database'!$D:$D,MATCH($D130,'Player Database'!$B:$B,0))</f>
        <v>#N/A</v>
      </c>
      <c r="D130" s="142" t="str">
        <f t="shared" si="1"/>
        <v> - </v>
      </c>
      <c r="E130" s="143" t="str">
        <f t="array" ref="E130">XLOOKUP($D130,'Player Database'!$B$2:$B1009,'Player Database'!$I$2:$I1009)</f>
        <v>#N/A</v>
      </c>
      <c r="F130" s="143" t="str">
        <f t="array" ref="F130">XLOOKUP($D130,'Player Database'!$B$2:$B1009,'Player Database'!$J$2:$J1009)</f>
        <v>#N/A</v>
      </c>
      <c r="G130" s="144" t="str">
        <f t="array" ref="G130">IF(H130="","",IFERROR(
  "https://sealeddeck.tech/" &amp; INDEX('Pool Changes'!F:F,
    MAX(
      ROW('Pool Changes'!A:A) *
      ('Pool Changes'!B:B=D130) *
      ('Pool Changes'!F:F&lt;&gt;"")
    )
  ),
  ""
))</f>
        <v/>
      </c>
      <c r="H130" s="144" t="str">
        <f>IFERROR(__xludf.DUMMYFUNCTION("LET(changes,FILTER('Pool Changes'!$B:$D, 'Pool Changes'!$B:$B = $D130),added,FILTER(INDEX(changes,0,3),INDEX(changes,0,2)=""starting pool""),TRANSPOSE(IFERROR(ARRAYFORMULA(IF(added&lt;&gt;"""",""https://sealeddeck.tech/""&amp;added,"""")),"""")))"),"")</f>
        <v/>
      </c>
      <c r="I130" s="145" t="str">
        <f>IFERROR(__xludf.DUMMYFUNCTION("LET(changes,FILTER('Pool Changes'!$B:$D, 'Pool Changes'!$B:$B = $D130),added,FILTER(INDEX(changes,0,3),INDEX(changes,0,2)=""add pack""),IFERROR(TRANSPOSE(ARRAYFORMULA(IF(added&lt;&gt;"""",HYPERLINK(""https://sealeddeck.tech/""&amp;added,""Link""),""""))),""""))"),"")</f>
        <v/>
      </c>
      <c r="J130" s="146"/>
      <c r="K130" s="146"/>
      <c r="L130" s="146"/>
      <c r="M130" s="146"/>
      <c r="N130" s="146"/>
      <c r="O130" s="146"/>
      <c r="P130" s="146"/>
      <c r="Q130" s="146"/>
      <c r="R130" s="146"/>
      <c r="S130" s="146"/>
      <c r="T130" s="147"/>
      <c r="U130" s="147"/>
      <c r="V130" s="147"/>
      <c r="W130" s="147"/>
      <c r="X130" s="147"/>
      <c r="Y130" s="147"/>
      <c r="Z130" s="147"/>
      <c r="AA130" s="147"/>
      <c r="AB130" s="147"/>
      <c r="AC130" s="147"/>
      <c r="AD130" s="147"/>
      <c r="AE130" s="147"/>
      <c r="AF130" s="147"/>
      <c r="AG130" s="147"/>
      <c r="AH130" s="147"/>
      <c r="AI130" s="147"/>
    </row>
    <row r="131">
      <c r="A131" s="140"/>
      <c r="B131" s="140"/>
      <c r="C131" s="141" t="str">
        <f t="array" ref="C131">INDEX('Player Database'!$D:$D,MATCH($D131,'Player Database'!$B:$B,0))</f>
        <v>#N/A</v>
      </c>
      <c r="D131" s="142" t="str">
        <f t="shared" si="1"/>
        <v> - </v>
      </c>
      <c r="E131" s="143" t="str">
        <f t="array" ref="E131">XLOOKUP($D131,'Player Database'!$B$2:$B1009,'Player Database'!$I$2:$I1009)</f>
        <v>#N/A</v>
      </c>
      <c r="F131" s="143" t="str">
        <f t="array" ref="F131">XLOOKUP($D131,'Player Database'!$B$2:$B1009,'Player Database'!$J$2:$J1009)</f>
        <v>#N/A</v>
      </c>
      <c r="G131" s="144" t="str">
        <f t="array" ref="G131">IF(H131="","",IFERROR(
  "https://sealeddeck.tech/" &amp; INDEX('Pool Changes'!F:F,
    MAX(
      ROW('Pool Changes'!A:A) *
      ('Pool Changes'!B:B=D131) *
      ('Pool Changes'!F:F&lt;&gt;"")
    )
  ),
  ""
))</f>
        <v/>
      </c>
      <c r="H131" s="144" t="str">
        <f>IFERROR(__xludf.DUMMYFUNCTION("LET(changes,FILTER('Pool Changes'!$B:$D, 'Pool Changes'!$B:$B = $D131),added,FILTER(INDEX(changes,0,3),INDEX(changes,0,2)=""starting pool""),TRANSPOSE(IFERROR(ARRAYFORMULA(IF(added&lt;&gt;"""",""https://sealeddeck.tech/""&amp;added,"""")),"""")))"),"")</f>
        <v/>
      </c>
      <c r="I131" s="145" t="str">
        <f>IFERROR(__xludf.DUMMYFUNCTION("LET(changes,FILTER('Pool Changes'!$B:$D, 'Pool Changes'!$B:$B = $D131),added,FILTER(INDEX(changes,0,3),INDEX(changes,0,2)=""add pack""),IFERROR(TRANSPOSE(ARRAYFORMULA(IF(added&lt;&gt;"""",HYPERLINK(""https://sealeddeck.tech/""&amp;added,""Link""),""""))),""""))"),"")</f>
        <v/>
      </c>
      <c r="J131" s="146"/>
      <c r="K131" s="146"/>
      <c r="L131" s="146"/>
      <c r="M131" s="146"/>
      <c r="N131" s="146"/>
      <c r="O131" s="146"/>
      <c r="P131" s="146"/>
      <c r="Q131" s="146"/>
      <c r="R131" s="146"/>
      <c r="S131" s="146"/>
      <c r="T131" s="147"/>
      <c r="U131" s="147"/>
      <c r="V131" s="147"/>
      <c r="W131" s="149" t="s">
        <v>459</v>
      </c>
      <c r="X131" s="147"/>
      <c r="Y131" s="147"/>
      <c r="Z131" s="147"/>
      <c r="AA131" s="147"/>
      <c r="AB131" s="147"/>
      <c r="AC131" s="147"/>
      <c r="AD131" s="147"/>
      <c r="AE131" s="147"/>
      <c r="AF131" s="147"/>
      <c r="AG131" s="147"/>
      <c r="AH131" s="147"/>
      <c r="AI131" s="147"/>
    </row>
    <row r="132">
      <c r="A132" s="140"/>
      <c r="B132" s="140"/>
      <c r="C132" s="141" t="str">
        <f t="array" ref="C132">INDEX('Player Database'!$D:$D,MATCH($D132,'Player Database'!$B:$B,0))</f>
        <v>#N/A</v>
      </c>
      <c r="D132" s="142" t="str">
        <f t="shared" si="1"/>
        <v> - </v>
      </c>
      <c r="E132" s="143" t="str">
        <f t="array" ref="E132">XLOOKUP($D132,'Player Database'!$B$2:$B1009,'Player Database'!$I$2:$I1009)</f>
        <v>#N/A</v>
      </c>
      <c r="F132" s="143" t="str">
        <f t="array" ref="F132">XLOOKUP($D132,'Player Database'!$B$2:$B1009,'Player Database'!$J$2:$J1009)</f>
        <v>#N/A</v>
      </c>
      <c r="G132" s="144" t="str">
        <f t="array" ref="G132">IF(H132="","",IFERROR(
  "https://sealeddeck.tech/" &amp; INDEX('Pool Changes'!F:F,
    MAX(
      ROW('Pool Changes'!A:A) *
      ('Pool Changes'!B:B=D132) *
      ('Pool Changes'!F:F&lt;&gt;"")
    )
  ),
  ""
))</f>
        <v/>
      </c>
      <c r="H132" s="144" t="str">
        <f>IFERROR(__xludf.DUMMYFUNCTION("LET(changes,FILTER('Pool Changes'!$B:$D, 'Pool Changes'!$B:$B = $D132),added,FILTER(INDEX(changes,0,3),INDEX(changes,0,2)=""starting pool""),TRANSPOSE(IFERROR(ARRAYFORMULA(IF(added&lt;&gt;"""",""https://sealeddeck.tech/""&amp;added,"""")),"""")))"),"")</f>
        <v/>
      </c>
      <c r="I132" s="145" t="str">
        <f>IFERROR(__xludf.DUMMYFUNCTION("LET(changes,FILTER('Pool Changes'!$B:$D, 'Pool Changes'!$B:$B = $D132),added,FILTER(INDEX(changes,0,3),INDEX(changes,0,2)=""add pack""),IFERROR(TRANSPOSE(ARRAYFORMULA(IF(added&lt;&gt;"""",HYPERLINK(""https://sealeddeck.tech/""&amp;added,""Link""),""""))),""""))"),"")</f>
        <v/>
      </c>
      <c r="J132" s="146"/>
      <c r="K132" s="146"/>
      <c r="L132" s="146"/>
      <c r="M132" s="146"/>
      <c r="N132" s="146"/>
      <c r="O132" s="146"/>
      <c r="P132" s="146"/>
      <c r="Q132" s="146"/>
      <c r="R132" s="146"/>
      <c r="S132" s="146"/>
      <c r="T132" s="147"/>
      <c r="U132" s="147"/>
      <c r="V132" s="147"/>
      <c r="W132" s="149" t="s">
        <v>459</v>
      </c>
      <c r="X132" s="147"/>
      <c r="Y132" s="147"/>
      <c r="Z132" s="147"/>
      <c r="AA132" s="147"/>
      <c r="AB132" s="147"/>
      <c r="AC132" s="147"/>
      <c r="AD132" s="147"/>
      <c r="AE132" s="147"/>
      <c r="AF132" s="147"/>
      <c r="AG132" s="147"/>
      <c r="AH132" s="147"/>
      <c r="AI132" s="147"/>
    </row>
    <row r="133">
      <c r="A133" s="140"/>
      <c r="B133" s="140"/>
      <c r="C133" s="141" t="str">
        <f t="array" ref="C133">INDEX('Player Database'!$D:$D,MATCH($D133,'Player Database'!$B:$B,0))</f>
        <v>#N/A</v>
      </c>
      <c r="D133" s="142" t="str">
        <f t="shared" si="1"/>
        <v> - </v>
      </c>
      <c r="E133" s="143" t="str">
        <f t="array" ref="E133">XLOOKUP($D133,'Player Database'!$B$2:$B1009,'Player Database'!$I$2:$I1009)</f>
        <v>#N/A</v>
      </c>
      <c r="F133" s="143" t="str">
        <f t="array" ref="F133">XLOOKUP($D133,'Player Database'!$B$2:$B1009,'Player Database'!$J$2:$J1009)</f>
        <v>#N/A</v>
      </c>
      <c r="G133" s="144" t="str">
        <f t="array" ref="G133">IF(H133="","",IFERROR(
  "https://sealeddeck.tech/" &amp; INDEX('Pool Changes'!F:F,
    MAX(
      ROW('Pool Changes'!A:A) *
      ('Pool Changes'!B:B=D133) *
      ('Pool Changes'!F:F&lt;&gt;"")
    )
  ),
  ""
))</f>
        <v/>
      </c>
      <c r="H133" s="144" t="str">
        <f>IFERROR(__xludf.DUMMYFUNCTION("LET(changes,FILTER('Pool Changes'!$B:$D, 'Pool Changes'!$B:$B = $D133),added,FILTER(INDEX(changes,0,3),INDEX(changes,0,2)=""starting pool""),TRANSPOSE(IFERROR(ARRAYFORMULA(IF(added&lt;&gt;"""",""https://sealeddeck.tech/""&amp;added,"""")),"""")))"),"")</f>
        <v/>
      </c>
      <c r="I133" s="145" t="str">
        <f>IFERROR(__xludf.DUMMYFUNCTION("LET(changes,FILTER('Pool Changes'!$B:$D, 'Pool Changes'!$B:$B = $D133),added,FILTER(INDEX(changes,0,3),INDEX(changes,0,2)=""add pack""),IFERROR(TRANSPOSE(ARRAYFORMULA(IF(added&lt;&gt;"""",HYPERLINK(""https://sealeddeck.tech/""&amp;added,""Link""),""""))),""""))"),"")</f>
        <v/>
      </c>
      <c r="J133" s="146"/>
      <c r="K133" s="146"/>
      <c r="L133" s="146"/>
      <c r="M133" s="146"/>
      <c r="N133" s="146"/>
      <c r="O133" s="146"/>
      <c r="P133" s="146"/>
      <c r="Q133" s="146"/>
      <c r="R133" s="146"/>
      <c r="S133" s="146"/>
      <c r="T133" s="147"/>
      <c r="U133" s="147"/>
      <c r="V133" s="147"/>
      <c r="W133" s="147"/>
      <c r="X133" s="147"/>
      <c r="Y133" s="147"/>
      <c r="Z133" s="147"/>
      <c r="AA133" s="147"/>
      <c r="AB133" s="147"/>
      <c r="AC133" s="147"/>
      <c r="AD133" s="147"/>
      <c r="AE133" s="147"/>
      <c r="AF133" s="147"/>
      <c r="AG133" s="147"/>
      <c r="AH133" s="147"/>
      <c r="AI133" s="147"/>
    </row>
    <row r="134">
      <c r="A134" s="140"/>
      <c r="B134" s="140"/>
      <c r="C134" s="141" t="str">
        <f t="array" ref="C134">INDEX('Player Database'!$D:$D,MATCH($D134,'Player Database'!$B:$B,0))</f>
        <v>#N/A</v>
      </c>
      <c r="D134" s="142" t="str">
        <f t="shared" si="1"/>
        <v> - </v>
      </c>
      <c r="E134" s="143" t="str">
        <f t="array" ref="E134">XLOOKUP($D134,'Player Database'!$B$2:$B1009,'Player Database'!$I$2:$I1009)</f>
        <v>#N/A</v>
      </c>
      <c r="F134" s="143" t="str">
        <f t="array" ref="F134">XLOOKUP($D134,'Player Database'!$B$2:$B1009,'Player Database'!$J$2:$J1009)</f>
        <v>#N/A</v>
      </c>
      <c r="G134" s="144" t="str">
        <f t="array" ref="G134">IF(H134="","",IFERROR(
  "https://sealeddeck.tech/" &amp; INDEX('Pool Changes'!F:F,
    MAX(
      ROW('Pool Changes'!A:A) *
      ('Pool Changes'!B:B=D134) *
      ('Pool Changes'!F:F&lt;&gt;"")
    )
  ),
  ""
))</f>
        <v/>
      </c>
      <c r="H134" s="144" t="str">
        <f>IFERROR(__xludf.DUMMYFUNCTION("LET(changes,FILTER('Pool Changes'!$B:$D, 'Pool Changes'!$B:$B = $D134),added,FILTER(INDEX(changes,0,3),INDEX(changes,0,2)=""starting pool""),TRANSPOSE(IFERROR(ARRAYFORMULA(IF(added&lt;&gt;"""",""https://sealeddeck.tech/""&amp;added,"""")),"""")))"),"")</f>
        <v/>
      </c>
      <c r="I134" s="145" t="str">
        <f>IFERROR(__xludf.DUMMYFUNCTION("LET(changes,FILTER('Pool Changes'!$B:$D, 'Pool Changes'!$B:$B = $D134),added,FILTER(INDEX(changes,0,3),INDEX(changes,0,2)=""add pack""),IFERROR(TRANSPOSE(ARRAYFORMULA(IF(added&lt;&gt;"""",HYPERLINK(""https://sealeddeck.tech/""&amp;added,""Link""),""""))),""""))"),"")</f>
        <v/>
      </c>
      <c r="J134" s="146"/>
      <c r="K134" s="146"/>
      <c r="L134" s="146"/>
      <c r="M134" s="146"/>
      <c r="N134" s="146"/>
      <c r="O134" s="146"/>
      <c r="P134" s="146"/>
      <c r="Q134" s="146"/>
      <c r="R134" s="146"/>
      <c r="S134" s="146"/>
      <c r="T134" s="147"/>
      <c r="U134" s="147"/>
      <c r="V134" s="147"/>
      <c r="W134" s="149" t="s">
        <v>459</v>
      </c>
      <c r="X134" s="147"/>
      <c r="Y134" s="147"/>
      <c r="Z134" s="147"/>
      <c r="AA134" s="147"/>
      <c r="AB134" s="147"/>
      <c r="AC134" s="147"/>
      <c r="AD134" s="147"/>
      <c r="AE134" s="147"/>
      <c r="AF134" s="147"/>
      <c r="AG134" s="147"/>
      <c r="AH134" s="147"/>
      <c r="AI134" s="147"/>
    </row>
    <row r="135">
      <c r="A135" s="140"/>
      <c r="B135" s="140"/>
      <c r="C135" s="141" t="str">
        <f t="array" ref="C135">INDEX('Player Database'!$D:$D,MATCH($D135,'Player Database'!$B:$B,0))</f>
        <v>#N/A</v>
      </c>
      <c r="D135" s="142" t="str">
        <f t="shared" si="1"/>
        <v> - </v>
      </c>
      <c r="E135" s="143" t="str">
        <f t="array" ref="E135">XLOOKUP($D135,'Player Database'!$B$2:$B1009,'Player Database'!$I$2:$I1009)</f>
        <v>#N/A</v>
      </c>
      <c r="F135" s="143" t="str">
        <f t="array" ref="F135">XLOOKUP($D135,'Player Database'!$B$2:$B1009,'Player Database'!$J$2:$J1009)</f>
        <v>#N/A</v>
      </c>
      <c r="G135" s="144" t="str">
        <f t="array" ref="G135">IF(H135="","",IFERROR(
  "https://sealeddeck.tech/" &amp; INDEX('Pool Changes'!F:F,
    MAX(
      ROW('Pool Changes'!A:A) *
      ('Pool Changes'!B:B=D135) *
      ('Pool Changes'!F:F&lt;&gt;"")
    )
  ),
  ""
))</f>
        <v/>
      </c>
      <c r="H135" s="144" t="str">
        <f>IFERROR(__xludf.DUMMYFUNCTION("LET(changes,FILTER('Pool Changes'!$B:$D, 'Pool Changes'!$B:$B = $D135),added,FILTER(INDEX(changes,0,3),INDEX(changes,0,2)=""starting pool""),TRANSPOSE(IFERROR(ARRAYFORMULA(IF(added&lt;&gt;"""",""https://sealeddeck.tech/""&amp;added,"""")),"""")))"),"")</f>
        <v/>
      </c>
      <c r="I135" s="145" t="str">
        <f>IFERROR(__xludf.DUMMYFUNCTION("LET(changes,FILTER('Pool Changes'!$B:$D, 'Pool Changes'!$B:$B = $D135),added,FILTER(INDEX(changes,0,3),INDEX(changes,0,2)=""add pack""),IFERROR(TRANSPOSE(ARRAYFORMULA(IF(added&lt;&gt;"""",HYPERLINK(""https://sealeddeck.tech/""&amp;added,""Link""),""""))),""""))"),"")</f>
        <v/>
      </c>
      <c r="J135" s="146"/>
      <c r="K135" s="146"/>
      <c r="L135" s="146"/>
      <c r="M135" s="146"/>
      <c r="N135" s="146"/>
      <c r="O135" s="146"/>
      <c r="P135" s="146"/>
      <c r="Q135" s="146"/>
      <c r="R135" s="146"/>
      <c r="S135" s="146"/>
      <c r="T135" s="147"/>
      <c r="U135" s="147"/>
      <c r="V135" s="147"/>
      <c r="W135" s="166" t="s">
        <v>76</v>
      </c>
      <c r="X135" s="147"/>
      <c r="Y135" s="147"/>
      <c r="Z135" s="147"/>
      <c r="AA135" s="147"/>
      <c r="AB135" s="147"/>
      <c r="AC135" s="147"/>
      <c r="AD135" s="147"/>
      <c r="AE135" s="147"/>
      <c r="AF135" s="147"/>
      <c r="AG135" s="147"/>
      <c r="AH135" s="147"/>
      <c r="AI135" s="147"/>
    </row>
    <row r="136">
      <c r="A136" s="140"/>
      <c r="B136" s="140"/>
      <c r="C136" s="141" t="str">
        <f t="array" ref="C136">INDEX('Player Database'!$D:$D,MATCH($D136,'Player Database'!$B:$B,0))</f>
        <v>#N/A</v>
      </c>
      <c r="D136" s="142" t="str">
        <f t="shared" si="1"/>
        <v> - </v>
      </c>
      <c r="E136" s="143" t="str">
        <f t="array" ref="E136">XLOOKUP($D136,'Player Database'!$B$2:$B1009,'Player Database'!$I$2:$I1009)</f>
        <v>#N/A</v>
      </c>
      <c r="F136" s="143" t="str">
        <f t="array" ref="F136">XLOOKUP($D136,'Player Database'!$B$2:$B1009,'Player Database'!$J$2:$J1009)</f>
        <v>#N/A</v>
      </c>
      <c r="G136" s="144" t="str">
        <f t="array" ref="G136">IF(H136="","",IFERROR(
  "https://sealeddeck.tech/" &amp; INDEX('Pool Changes'!F:F,
    MAX(
      ROW('Pool Changes'!A:A) *
      ('Pool Changes'!B:B=D136) *
      ('Pool Changes'!F:F&lt;&gt;"")
    )
  ),
  ""
))</f>
        <v/>
      </c>
      <c r="H136" s="144" t="str">
        <f>IFERROR(__xludf.DUMMYFUNCTION("LET(changes,FILTER('Pool Changes'!$B:$D, 'Pool Changes'!$B:$B = $D136),added,FILTER(INDEX(changes,0,3),INDEX(changes,0,2)=""starting pool""),TRANSPOSE(IFERROR(ARRAYFORMULA(IF(added&lt;&gt;"""",""https://sealeddeck.tech/""&amp;added,"""")),"""")))"),"")</f>
        <v/>
      </c>
      <c r="I136" s="145" t="str">
        <f>IFERROR(__xludf.DUMMYFUNCTION("LET(changes,FILTER('Pool Changes'!$B:$D, 'Pool Changes'!$B:$B = $D136),added,FILTER(INDEX(changes,0,3),INDEX(changes,0,2)=""add pack""),IFERROR(TRANSPOSE(ARRAYFORMULA(IF(added&lt;&gt;"""",HYPERLINK(""https://sealeddeck.tech/""&amp;added,""Link""),""""))),""""))"),"")</f>
        <v/>
      </c>
      <c r="J136" s="146"/>
      <c r="K136" s="146"/>
      <c r="L136" s="146"/>
      <c r="M136" s="146"/>
      <c r="N136" s="146"/>
      <c r="O136" s="146"/>
      <c r="P136" s="146"/>
      <c r="Q136" s="146"/>
      <c r="R136" s="146"/>
      <c r="S136" s="146"/>
      <c r="T136" s="147"/>
      <c r="U136" s="147"/>
      <c r="V136" s="147"/>
      <c r="W136" s="147"/>
      <c r="X136" s="147"/>
      <c r="Y136" s="147"/>
      <c r="Z136" s="147"/>
      <c r="AA136" s="147"/>
      <c r="AB136" s="147"/>
      <c r="AC136" s="147"/>
      <c r="AD136" s="147"/>
      <c r="AE136" s="147"/>
      <c r="AF136" s="147"/>
      <c r="AG136" s="147"/>
      <c r="AH136" s="147"/>
      <c r="AI136" s="147"/>
    </row>
    <row r="137">
      <c r="B137" s="140"/>
      <c r="C137" s="141" t="str">
        <f t="array" ref="C137">INDEX('Player Database'!$D:$D,MATCH($D137,'Player Database'!$B:$B,0))</f>
        <v>#N/A</v>
      </c>
      <c r="D137" s="142" t="str">
        <f t="shared" si="1"/>
        <v> - </v>
      </c>
      <c r="E137" s="143" t="str">
        <f t="array" ref="E137">XLOOKUP($D137,'Player Database'!$B$2:$B1009,'Player Database'!$I$2:$I1009)</f>
        <v>#N/A</v>
      </c>
      <c r="F137" s="143" t="str">
        <f t="array" ref="F137">XLOOKUP($D137,'Player Database'!$B$2:$B1009,'Player Database'!$J$2:$J1009)</f>
        <v>#N/A</v>
      </c>
      <c r="G137" s="144" t="str">
        <f t="array" ref="G137">IF(H137="","",IFERROR(
  "https://sealeddeck.tech/" &amp; INDEX('Pool Changes'!F:F,
    MAX(
      ROW('Pool Changes'!A:A) *
      ('Pool Changes'!B:B=D137) *
      ('Pool Changes'!F:F&lt;&gt;"")
    )
  ),
  ""
))</f>
        <v/>
      </c>
      <c r="H137" s="144" t="str">
        <f>IFERROR(__xludf.DUMMYFUNCTION("LET(changes,FILTER('Pool Changes'!$B:$D, 'Pool Changes'!$B:$B = $D137),added,FILTER(INDEX(changes,0,3),INDEX(changes,0,2)=""starting pool""),TRANSPOSE(IFERROR(ARRAYFORMULA(IF(added&lt;&gt;"""",""https://sealeddeck.tech/""&amp;added,"""")),"""")))"),"")</f>
        <v/>
      </c>
      <c r="I137" s="145" t="str">
        <f>IFERROR(__xludf.DUMMYFUNCTION("LET(changes,FILTER('Pool Changes'!$B:$D, 'Pool Changes'!$B:$B = $D137),added,FILTER(INDEX(changes,0,3),INDEX(changes,0,2)=""add pack""),IFERROR(TRANSPOSE(ARRAYFORMULA(IF(added&lt;&gt;"""",HYPERLINK(""https://sealeddeck.tech/""&amp;added,""Link""),""""))),""""))"),"")</f>
        <v/>
      </c>
      <c r="J137" s="146"/>
      <c r="K137" s="146"/>
      <c r="L137" s="146"/>
      <c r="M137" s="146"/>
      <c r="N137" s="146"/>
      <c r="O137" s="146"/>
      <c r="P137" s="146"/>
      <c r="Q137" s="146"/>
      <c r="R137" s="146"/>
      <c r="S137" s="146"/>
      <c r="T137" s="147"/>
      <c r="U137" s="147"/>
      <c r="V137" s="147"/>
      <c r="W137" s="147"/>
      <c r="X137" s="147"/>
      <c r="Y137" s="147"/>
      <c r="Z137" s="147"/>
      <c r="AA137" s="147"/>
      <c r="AB137" s="147"/>
      <c r="AC137" s="147"/>
      <c r="AD137" s="147"/>
      <c r="AE137" s="147"/>
      <c r="AF137" s="147"/>
      <c r="AG137" s="147"/>
      <c r="AH137" s="147"/>
      <c r="AI137" s="147"/>
    </row>
    <row r="138">
      <c r="A138" s="167"/>
      <c r="B138" s="140"/>
      <c r="C138" s="141" t="str">
        <f t="array" ref="C138">INDEX('Player Database'!$D:$D,MATCH($D138,'Player Database'!$B:$B,0))</f>
        <v>#N/A</v>
      </c>
      <c r="D138" s="142" t="str">
        <f t="shared" si="1"/>
        <v> - </v>
      </c>
      <c r="E138" s="143" t="str">
        <f t="array" ref="E138">XLOOKUP($D138,'Player Database'!$B$2:$B1009,'Player Database'!$I$2:$I1009)</f>
        <v>#N/A</v>
      </c>
      <c r="F138" s="143" t="str">
        <f t="array" ref="F138">XLOOKUP($D138,'Player Database'!$B$2:$B1009,'Player Database'!$J$2:$J1009)</f>
        <v>#N/A</v>
      </c>
      <c r="G138" s="144" t="str">
        <f t="array" ref="G138">IF(H138="","",IFERROR(
  "https://sealeddeck.tech/" &amp; INDEX('Pool Changes'!F:F,
    MAX(
      ROW('Pool Changes'!A:A) *
      ('Pool Changes'!B:B=D138) *
      ('Pool Changes'!F:F&lt;&gt;"")
    )
  ),
  ""
))</f>
        <v/>
      </c>
      <c r="H138" s="144" t="str">
        <f>IFERROR(__xludf.DUMMYFUNCTION("LET(changes,FILTER('Pool Changes'!$B:$D, 'Pool Changes'!$B:$B = $D138),added,FILTER(INDEX(changes,0,3),INDEX(changes,0,2)=""starting pool""),TRANSPOSE(IFERROR(ARRAYFORMULA(IF(added&lt;&gt;"""",""https://sealeddeck.tech/""&amp;added,"""")),"""")))"),"")</f>
        <v/>
      </c>
      <c r="I138" s="145" t="str">
        <f>IFERROR(__xludf.DUMMYFUNCTION("LET(changes,FILTER('Pool Changes'!$B:$D, 'Pool Changes'!$B:$B = $D138),added,FILTER(INDEX(changes,0,3),INDEX(changes,0,2)=""add pack""),IFERROR(TRANSPOSE(ARRAYFORMULA(IF(added&lt;&gt;"""",HYPERLINK(""https://sealeddeck.tech/""&amp;added,""Link""),""""))),""""))"),"")</f>
        <v/>
      </c>
      <c r="J138" s="146"/>
      <c r="K138" s="146"/>
      <c r="L138" s="146"/>
      <c r="M138" s="146"/>
      <c r="N138" s="146"/>
      <c r="O138" s="146"/>
      <c r="P138" s="146"/>
      <c r="Q138" s="146"/>
      <c r="R138" s="146"/>
      <c r="S138" s="146"/>
      <c r="T138" s="147"/>
      <c r="U138" s="147"/>
      <c r="V138" s="147"/>
      <c r="W138" s="147"/>
      <c r="X138" s="147"/>
      <c r="Y138" s="147"/>
      <c r="Z138" s="147"/>
      <c r="AA138" s="147"/>
      <c r="AB138" s="147"/>
      <c r="AC138" s="147"/>
      <c r="AD138" s="147"/>
      <c r="AE138" s="147"/>
      <c r="AF138" s="147"/>
      <c r="AG138" s="147"/>
      <c r="AH138" s="147"/>
      <c r="AI138" s="147"/>
    </row>
    <row r="139">
      <c r="A139" s="167"/>
      <c r="B139" s="140"/>
      <c r="C139" s="141" t="str">
        <f t="array" ref="C139">INDEX('Player Database'!$D:$D,MATCH($D139,'Player Database'!$B:$B,0))</f>
        <v>#N/A</v>
      </c>
      <c r="D139" s="142" t="str">
        <f t="shared" si="1"/>
        <v> - </v>
      </c>
      <c r="E139" s="143" t="str">
        <f t="array" ref="E139">XLOOKUP($D139,'Player Database'!$B$2:$B1009,'Player Database'!$I$2:$I1009)</f>
        <v>#N/A</v>
      </c>
      <c r="F139" s="143" t="str">
        <f t="array" ref="F139">XLOOKUP($D139,'Player Database'!$B$2:$B1009,'Player Database'!$J$2:$J1009)</f>
        <v>#N/A</v>
      </c>
      <c r="G139" s="144" t="str">
        <f t="array" ref="G139">IF(H139="","",IFERROR(
  "https://sealeddeck.tech/" &amp; INDEX('Pool Changes'!F:F,
    MAX(
      ROW('Pool Changes'!A:A) *
      ('Pool Changes'!B:B=D139) *
      ('Pool Changes'!F:F&lt;&gt;"")
    )
  ),
  ""
))</f>
        <v/>
      </c>
      <c r="H139" s="144" t="str">
        <f>IFERROR(__xludf.DUMMYFUNCTION("LET(changes,FILTER('Pool Changes'!$B:$D, 'Pool Changes'!$B:$B = $D139),added,FILTER(INDEX(changes,0,3),INDEX(changes,0,2)=""starting pool""),TRANSPOSE(IFERROR(ARRAYFORMULA(IF(added&lt;&gt;"""",""https://sealeddeck.tech/""&amp;added,"""")),"""")))"),"")</f>
        <v/>
      </c>
      <c r="I139" s="145" t="str">
        <f>IFERROR(__xludf.DUMMYFUNCTION("LET(changes,FILTER('Pool Changes'!$B:$D, 'Pool Changes'!$B:$B = $D139),added,FILTER(INDEX(changes,0,3),INDEX(changes,0,2)=""add pack""),IFERROR(TRANSPOSE(ARRAYFORMULA(IF(added&lt;&gt;"""",HYPERLINK(""https://sealeddeck.tech/""&amp;added,""Link""),""""))),""""))"),"")</f>
        <v/>
      </c>
      <c r="J139" s="146"/>
      <c r="K139" s="146"/>
      <c r="L139" s="146"/>
      <c r="M139" s="146"/>
      <c r="N139" s="146"/>
      <c r="O139" s="146"/>
      <c r="P139" s="146"/>
      <c r="Q139" s="146"/>
      <c r="R139" s="146"/>
      <c r="S139" s="146"/>
      <c r="T139" s="147"/>
      <c r="U139" s="147"/>
      <c r="V139" s="147"/>
      <c r="W139" s="147"/>
      <c r="X139" s="147"/>
      <c r="Y139" s="147"/>
      <c r="Z139" s="147"/>
      <c r="AA139" s="147"/>
      <c r="AB139" s="147"/>
      <c r="AC139" s="147"/>
      <c r="AD139" s="147"/>
      <c r="AE139" s="147"/>
      <c r="AF139" s="147"/>
      <c r="AG139" s="147"/>
      <c r="AH139" s="147"/>
      <c r="AI139" s="147"/>
    </row>
    <row r="140">
      <c r="A140" s="167"/>
      <c r="B140" s="140"/>
      <c r="C140" s="141" t="str">
        <f t="array" ref="C140">INDEX('Player Database'!$D:$D,MATCH($D140,'Player Database'!$B:$B,0))</f>
        <v>#N/A</v>
      </c>
      <c r="D140" s="142" t="str">
        <f t="shared" si="1"/>
        <v> - </v>
      </c>
      <c r="E140" s="143" t="str">
        <f t="array" ref="E140">XLOOKUP($D140,'Player Database'!$B$2:$B1009,'Player Database'!$I$2:$I1009)</f>
        <v>#N/A</v>
      </c>
      <c r="F140" s="143" t="str">
        <f t="array" ref="F140">XLOOKUP($D140,'Player Database'!$B$2:$B1009,'Player Database'!$J$2:$J1009)</f>
        <v>#N/A</v>
      </c>
      <c r="G140" s="144" t="str">
        <f t="array" ref="G140">IF(H140="","",IFERROR(
  "https://sealeddeck.tech/" &amp; INDEX('Pool Changes'!F:F,
    MAX(
      ROW('Pool Changes'!A:A) *
      ('Pool Changes'!B:B=D140) *
      ('Pool Changes'!F:F&lt;&gt;"")
    )
  ),
  ""
))</f>
        <v/>
      </c>
      <c r="H140" s="144" t="str">
        <f>IFERROR(__xludf.DUMMYFUNCTION("LET(changes,FILTER('Pool Changes'!$B:$D, 'Pool Changes'!$B:$B = $D140),added,FILTER(INDEX(changes,0,3),INDEX(changes,0,2)=""starting pool""),TRANSPOSE(IFERROR(ARRAYFORMULA(IF(added&lt;&gt;"""",""https://sealeddeck.tech/""&amp;added,"""")),"""")))"),"")</f>
        <v/>
      </c>
      <c r="I140" s="145" t="str">
        <f>IFERROR(__xludf.DUMMYFUNCTION("LET(changes,FILTER('Pool Changes'!$B:$D, 'Pool Changes'!$B:$B = $D140),added,FILTER(INDEX(changes,0,3),INDEX(changes,0,2)=""add pack""),IFERROR(TRANSPOSE(ARRAYFORMULA(IF(added&lt;&gt;"""",HYPERLINK(""https://sealeddeck.tech/""&amp;added,""Link""),""""))),""""))"),"")</f>
        <v/>
      </c>
      <c r="J140" s="146"/>
      <c r="K140" s="146"/>
      <c r="L140" s="146"/>
      <c r="M140" s="146"/>
      <c r="N140" s="146"/>
      <c r="O140" s="146"/>
      <c r="P140" s="146"/>
      <c r="Q140" s="146"/>
      <c r="R140" s="146"/>
      <c r="S140" s="146"/>
      <c r="T140" s="147"/>
      <c r="U140" s="147"/>
      <c r="V140" s="147"/>
      <c r="W140" s="147"/>
      <c r="X140" s="147"/>
      <c r="Y140" s="147"/>
      <c r="Z140" s="147"/>
      <c r="AA140" s="147"/>
      <c r="AB140" s="147"/>
      <c r="AC140" s="147"/>
      <c r="AD140" s="147"/>
      <c r="AE140" s="147"/>
      <c r="AF140" s="147"/>
      <c r="AG140" s="147"/>
      <c r="AH140" s="147"/>
      <c r="AI140" s="147"/>
    </row>
    <row r="141">
      <c r="A141" s="167"/>
      <c r="B141" s="140"/>
      <c r="C141" s="141" t="str">
        <f t="array" ref="C141">INDEX('Player Database'!$D:$D,MATCH($D141,'Player Database'!$B:$B,0))</f>
        <v>#N/A</v>
      </c>
      <c r="D141" s="142" t="str">
        <f t="shared" si="1"/>
        <v> - </v>
      </c>
      <c r="E141" s="143" t="str">
        <f t="array" ref="E141">XLOOKUP($D141,'Player Database'!$B$2:$B1009,'Player Database'!$I$2:$I1009)</f>
        <v>#N/A</v>
      </c>
      <c r="F141" s="143" t="str">
        <f t="array" ref="F141">XLOOKUP($D141,'Player Database'!$B$2:$B1009,'Player Database'!$J$2:$J1009)</f>
        <v>#N/A</v>
      </c>
      <c r="G141" s="144" t="str">
        <f t="array" ref="G141">IF(H141="","",IFERROR(
  "https://sealeddeck.tech/" &amp; INDEX('Pool Changes'!F:F,
    MAX(
      ROW('Pool Changes'!A:A) *
      ('Pool Changes'!B:B=D141) *
      ('Pool Changes'!F:F&lt;&gt;"")
    )
  ),
  ""
))</f>
        <v/>
      </c>
      <c r="H141" s="144" t="str">
        <f>IFERROR(__xludf.DUMMYFUNCTION("LET(changes,FILTER('Pool Changes'!$B:$D, 'Pool Changes'!$B:$B = $D141),added,FILTER(INDEX(changes,0,3),INDEX(changes,0,2)=""starting pool""),TRANSPOSE(IFERROR(ARRAYFORMULA(IF(added&lt;&gt;"""",""https://sealeddeck.tech/""&amp;added,"""")),"""")))"),"")</f>
        <v/>
      </c>
      <c r="I141" s="145" t="str">
        <f>IFERROR(__xludf.DUMMYFUNCTION("LET(changes,FILTER('Pool Changes'!$B:$D, 'Pool Changes'!$B:$B = $D141),added,FILTER(INDEX(changes,0,3),INDEX(changes,0,2)=""add pack""),IFERROR(TRANSPOSE(ARRAYFORMULA(IF(added&lt;&gt;"""",HYPERLINK(""https://sealeddeck.tech/""&amp;added,""Link""),""""))),""""))"),"")</f>
        <v/>
      </c>
      <c r="J141" s="146"/>
      <c r="K141" s="146"/>
      <c r="L141" s="146"/>
      <c r="M141" s="146"/>
      <c r="N141" s="146"/>
      <c r="O141" s="146"/>
      <c r="P141" s="146"/>
      <c r="Q141" s="146"/>
      <c r="R141" s="146"/>
      <c r="S141" s="146"/>
      <c r="T141" s="147"/>
      <c r="U141" s="147"/>
      <c r="V141" s="147"/>
      <c r="W141" s="147"/>
      <c r="X141" s="147"/>
      <c r="Y141" s="147"/>
      <c r="Z141" s="147"/>
      <c r="AA141" s="147"/>
      <c r="AB141" s="147"/>
      <c r="AC141" s="147"/>
      <c r="AD141" s="147"/>
      <c r="AE141" s="147"/>
      <c r="AF141" s="147"/>
      <c r="AG141" s="147"/>
      <c r="AH141" s="147"/>
      <c r="AI141" s="147"/>
    </row>
    <row r="142">
      <c r="A142" s="167"/>
      <c r="B142" s="140"/>
      <c r="C142" s="141" t="str">
        <f t="array" ref="C142">INDEX('Player Database'!$D:$D,MATCH($D142,'Player Database'!$B:$B,0))</f>
        <v>#N/A</v>
      </c>
      <c r="D142" s="142" t="str">
        <f t="shared" si="1"/>
        <v> - </v>
      </c>
      <c r="E142" s="143" t="str">
        <f t="array" ref="E142">XLOOKUP($D142,'Player Database'!$B$2:$B1009,'Player Database'!$I$2:$I1009)</f>
        <v>#N/A</v>
      </c>
      <c r="F142" s="143" t="str">
        <f t="array" ref="F142">XLOOKUP($D142,'Player Database'!$B$2:$B1009,'Player Database'!$J$2:$J1009)</f>
        <v>#N/A</v>
      </c>
      <c r="G142" s="144" t="str">
        <f t="array" ref="G142">IF(H142="","",IFERROR(
  "https://sealeddeck.tech/" &amp; INDEX('Pool Changes'!F:F,
    MAX(
      ROW('Pool Changes'!A:A) *
      ('Pool Changes'!B:B=D142) *
      ('Pool Changes'!F:F&lt;&gt;"")
    )
  ),
  ""
))</f>
        <v/>
      </c>
      <c r="H142" s="144" t="str">
        <f>IFERROR(__xludf.DUMMYFUNCTION("LET(changes,FILTER('Pool Changes'!$B:$D, 'Pool Changes'!$B:$B = $D142),added,FILTER(INDEX(changes,0,3),INDEX(changes,0,2)=""starting pool""),TRANSPOSE(IFERROR(ARRAYFORMULA(IF(added&lt;&gt;"""",""https://sealeddeck.tech/""&amp;added,"""")),"""")))"),"")</f>
        <v/>
      </c>
      <c r="I142" s="145" t="str">
        <f>IFERROR(__xludf.DUMMYFUNCTION("LET(changes,FILTER('Pool Changes'!$B:$D, 'Pool Changes'!$B:$B = $D142),added,FILTER(INDEX(changes,0,3),INDEX(changes,0,2)=""add pack""),IFERROR(TRANSPOSE(ARRAYFORMULA(IF(added&lt;&gt;"""",HYPERLINK(""https://sealeddeck.tech/""&amp;added,""Link""),""""))),""""))"),"")</f>
        <v/>
      </c>
      <c r="J142" s="146"/>
      <c r="K142" s="146"/>
      <c r="L142" s="146"/>
      <c r="M142" s="146"/>
      <c r="N142" s="146"/>
      <c r="O142" s="146"/>
      <c r="P142" s="146"/>
      <c r="Q142" s="146"/>
      <c r="R142" s="146"/>
      <c r="S142" s="146"/>
      <c r="T142" s="147"/>
      <c r="U142" s="147"/>
      <c r="V142" s="147"/>
      <c r="W142" s="147"/>
      <c r="X142" s="147"/>
      <c r="Y142" s="147"/>
      <c r="Z142" s="147"/>
      <c r="AA142" s="147"/>
      <c r="AB142" s="147"/>
      <c r="AC142" s="147"/>
      <c r="AD142" s="147"/>
      <c r="AE142" s="147"/>
      <c r="AF142" s="147"/>
      <c r="AG142" s="147"/>
      <c r="AH142" s="147"/>
      <c r="AI142" s="147"/>
    </row>
    <row r="143">
      <c r="A143" s="167"/>
      <c r="B143" s="140"/>
      <c r="C143" s="141" t="str">
        <f t="array" ref="C143">INDEX('Player Database'!$D:$D,MATCH($D143,'Player Database'!$B:$B,0))</f>
        <v>#N/A</v>
      </c>
      <c r="D143" s="142" t="str">
        <f t="shared" si="1"/>
        <v> - </v>
      </c>
      <c r="E143" s="143" t="str">
        <f t="array" ref="E143">XLOOKUP($D143,'Player Database'!$B$2:$B1009,'Player Database'!$I$2:$I1009)</f>
        <v>#N/A</v>
      </c>
      <c r="F143" s="143" t="str">
        <f t="array" ref="F143">XLOOKUP($D143,'Player Database'!$B$2:$B1009,'Player Database'!$J$2:$J1009)</f>
        <v>#N/A</v>
      </c>
      <c r="G143" s="144" t="str">
        <f t="array" ref="G143">IF(H143="","",IFERROR(
  "https://sealeddeck.tech/" &amp; INDEX('Pool Changes'!F:F,
    MAX(
      ROW('Pool Changes'!A:A) *
      ('Pool Changes'!B:B=D143) *
      ('Pool Changes'!F:F&lt;&gt;"")
    )
  ),
  ""
))</f>
        <v/>
      </c>
      <c r="H143" s="144" t="str">
        <f>IFERROR(__xludf.DUMMYFUNCTION("LET(changes,FILTER('Pool Changes'!$B:$D, 'Pool Changes'!$B:$B = $D143),added,FILTER(INDEX(changes,0,3),INDEX(changes,0,2)=""starting pool""),TRANSPOSE(IFERROR(ARRAYFORMULA(IF(added&lt;&gt;"""",""https://sealeddeck.tech/""&amp;added,"""")),"""")))"),"")</f>
        <v/>
      </c>
      <c r="I143" s="145" t="str">
        <f>IFERROR(__xludf.DUMMYFUNCTION("LET(changes,FILTER('Pool Changes'!$B:$D, 'Pool Changes'!$B:$B = $D143),added,FILTER(INDEX(changes,0,3),INDEX(changes,0,2)=""add pack""),IFERROR(TRANSPOSE(ARRAYFORMULA(IF(added&lt;&gt;"""",HYPERLINK(""https://sealeddeck.tech/""&amp;added,""Link""),""""))),""""))"),"")</f>
        <v/>
      </c>
      <c r="J143" s="146"/>
      <c r="K143" s="146"/>
      <c r="L143" s="146"/>
      <c r="M143" s="146"/>
      <c r="N143" s="146"/>
      <c r="O143" s="146"/>
      <c r="P143" s="146"/>
      <c r="Q143" s="146"/>
      <c r="R143" s="146"/>
      <c r="S143" s="146"/>
      <c r="T143" s="147"/>
      <c r="U143" s="147"/>
      <c r="V143" s="147"/>
      <c r="W143" s="147"/>
      <c r="X143" s="147"/>
      <c r="Y143" s="147"/>
      <c r="Z143" s="147"/>
      <c r="AA143" s="147"/>
      <c r="AB143" s="147"/>
      <c r="AC143" s="147"/>
      <c r="AD143" s="147"/>
      <c r="AE143" s="147"/>
      <c r="AF143" s="147"/>
      <c r="AG143" s="147"/>
      <c r="AH143" s="147"/>
      <c r="AI143" s="147"/>
    </row>
    <row r="144">
      <c r="A144" s="167"/>
      <c r="B144" s="140"/>
      <c r="C144" s="141" t="str">
        <f t="array" ref="C144">INDEX('Player Database'!$D:$D,MATCH($D144,'Player Database'!$B:$B,0))</f>
        <v>#N/A</v>
      </c>
      <c r="D144" s="142" t="str">
        <f t="shared" si="1"/>
        <v> - </v>
      </c>
      <c r="E144" s="143" t="str">
        <f t="array" ref="E144">XLOOKUP($D144,'Player Database'!$B$2:$B1009,'Player Database'!$I$2:$I1009)</f>
        <v>#N/A</v>
      </c>
      <c r="F144" s="143" t="str">
        <f t="array" ref="F144">XLOOKUP($D144,'Player Database'!$B$2:$B1009,'Player Database'!$J$2:$J1009)</f>
        <v>#N/A</v>
      </c>
      <c r="G144" s="144" t="str">
        <f t="array" ref="G144">IF(H144="","",IFERROR(
  "https://sealeddeck.tech/" &amp; INDEX('Pool Changes'!F:F,
    MAX(
      ROW('Pool Changes'!A:A) *
      ('Pool Changes'!B:B=D144) *
      ('Pool Changes'!F:F&lt;&gt;"")
    )
  ),
  ""
))</f>
        <v/>
      </c>
      <c r="H144" s="144" t="str">
        <f>IFERROR(__xludf.DUMMYFUNCTION("LET(changes,FILTER('Pool Changes'!$B:$D, 'Pool Changes'!$B:$B = $D144),added,FILTER(INDEX(changes,0,3),INDEX(changes,0,2)=""starting pool""),TRANSPOSE(IFERROR(ARRAYFORMULA(IF(added&lt;&gt;"""",""https://sealeddeck.tech/""&amp;added,"""")),"""")))"),"")</f>
        <v/>
      </c>
      <c r="I144" s="145" t="str">
        <f>IFERROR(__xludf.DUMMYFUNCTION("LET(changes,FILTER('Pool Changes'!$B:$D, 'Pool Changes'!$B:$B = $D144),added,FILTER(INDEX(changes,0,3),INDEX(changes,0,2)=""add pack""),IFERROR(TRANSPOSE(ARRAYFORMULA(IF(added&lt;&gt;"""",HYPERLINK(""https://sealeddeck.tech/""&amp;added,""Link""),""""))),""""))"),"")</f>
        <v/>
      </c>
      <c r="J144" s="146"/>
      <c r="K144" s="146"/>
      <c r="L144" s="146"/>
      <c r="M144" s="146"/>
      <c r="N144" s="146"/>
      <c r="O144" s="146"/>
      <c r="P144" s="146"/>
      <c r="Q144" s="146"/>
      <c r="R144" s="146"/>
      <c r="S144" s="146"/>
      <c r="T144" s="147"/>
      <c r="U144" s="147"/>
      <c r="V144" s="147"/>
      <c r="W144" s="147"/>
      <c r="X144" s="147"/>
      <c r="Y144" s="147"/>
      <c r="Z144" s="147"/>
      <c r="AA144" s="147"/>
      <c r="AB144" s="147"/>
      <c r="AC144" s="147"/>
      <c r="AD144" s="147"/>
      <c r="AE144" s="147"/>
      <c r="AF144" s="147"/>
      <c r="AG144" s="147"/>
      <c r="AH144" s="147"/>
      <c r="AI144" s="147"/>
    </row>
    <row r="145">
      <c r="A145" s="167"/>
      <c r="B145" s="140"/>
      <c r="C145" s="141" t="str">
        <f t="array" ref="C145">INDEX('Player Database'!$D:$D,MATCH($D145,'Player Database'!$B:$B,0))</f>
        <v>#N/A</v>
      </c>
      <c r="D145" s="142" t="str">
        <f t="shared" si="1"/>
        <v> - </v>
      </c>
      <c r="E145" s="143" t="str">
        <f t="array" ref="E145">XLOOKUP($D145,'Player Database'!$B$2:$B1009,'Player Database'!$I$2:$I1009)</f>
        <v>#N/A</v>
      </c>
      <c r="F145" s="143" t="str">
        <f t="array" ref="F145">XLOOKUP($D145,'Player Database'!$B$2:$B1009,'Player Database'!$J$2:$J1009)</f>
        <v>#N/A</v>
      </c>
      <c r="G145" s="144" t="str">
        <f t="array" ref="G145">IF(H145="","",IFERROR(
  "https://sealeddeck.tech/" &amp; INDEX('Pool Changes'!F:F,
    MAX(
      ROW('Pool Changes'!A:A) *
      ('Pool Changes'!B:B=D145) *
      ('Pool Changes'!F:F&lt;&gt;"")
    )
  ),
  ""
))</f>
        <v/>
      </c>
      <c r="H145" s="144" t="str">
        <f>IFERROR(__xludf.DUMMYFUNCTION("LET(changes,FILTER('Pool Changes'!$B:$D, 'Pool Changes'!$B:$B = $D145),added,FILTER(INDEX(changes,0,3),INDEX(changes,0,2)=""starting pool""),TRANSPOSE(IFERROR(ARRAYFORMULA(IF(added&lt;&gt;"""",""https://sealeddeck.tech/""&amp;added,"""")),"""")))"),"")</f>
        <v/>
      </c>
      <c r="I145" s="145" t="str">
        <f>IFERROR(__xludf.DUMMYFUNCTION("LET(changes,FILTER('Pool Changes'!$B:$D, 'Pool Changes'!$B:$B = $D145),added,FILTER(INDEX(changes,0,3),INDEX(changes,0,2)=""add pack""),IFERROR(TRANSPOSE(ARRAYFORMULA(IF(added&lt;&gt;"""",HYPERLINK(""https://sealeddeck.tech/""&amp;added,""Link""),""""))),""""))"),"")</f>
        <v/>
      </c>
      <c r="J145" s="146"/>
      <c r="K145" s="146"/>
      <c r="L145" s="146"/>
      <c r="M145" s="146"/>
      <c r="N145" s="146"/>
      <c r="O145" s="146"/>
      <c r="P145" s="146"/>
      <c r="Q145" s="146"/>
      <c r="R145" s="146"/>
      <c r="S145" s="146"/>
      <c r="T145" s="147"/>
      <c r="U145" s="147"/>
      <c r="V145" s="147"/>
      <c r="W145" s="147"/>
      <c r="X145" s="147"/>
      <c r="Y145" s="147"/>
      <c r="Z145" s="147"/>
      <c r="AA145" s="147"/>
      <c r="AB145" s="147"/>
      <c r="AC145" s="147"/>
      <c r="AD145" s="147"/>
      <c r="AE145" s="147"/>
      <c r="AF145" s="147"/>
      <c r="AG145" s="147"/>
      <c r="AH145" s="147"/>
      <c r="AI145" s="147"/>
    </row>
    <row r="146">
      <c r="A146" s="167"/>
      <c r="B146" s="140"/>
      <c r="C146" s="141" t="str">
        <f t="array" ref="C146">INDEX('Player Database'!$D:$D,MATCH($D146,'Player Database'!$B:$B,0))</f>
        <v>#N/A</v>
      </c>
      <c r="D146" s="142" t="str">
        <f t="shared" si="1"/>
        <v> - </v>
      </c>
      <c r="E146" s="143" t="str">
        <f t="array" ref="E146">XLOOKUP($D146,'Player Database'!$B$2:$B1009,'Player Database'!$I$2:$I1009)</f>
        <v>#N/A</v>
      </c>
      <c r="F146" s="143" t="str">
        <f t="array" ref="F146">XLOOKUP($D146,'Player Database'!$B$2:$B1009,'Player Database'!$J$2:$J1009)</f>
        <v>#N/A</v>
      </c>
      <c r="G146" s="144" t="str">
        <f t="array" ref="G146">IF(H146="","",IFERROR(
  "https://sealeddeck.tech/" &amp; INDEX('Pool Changes'!F:F,
    MAX(
      ROW('Pool Changes'!A:A) *
      ('Pool Changes'!B:B=D146) *
      ('Pool Changes'!F:F&lt;&gt;"")
    )
  ),
  ""
))</f>
        <v/>
      </c>
      <c r="H146" s="144" t="str">
        <f>IFERROR(__xludf.DUMMYFUNCTION("LET(changes,FILTER('Pool Changes'!$B:$D, 'Pool Changes'!$B:$B = $D146),added,FILTER(INDEX(changes,0,3),INDEX(changes,0,2)=""starting pool""),TRANSPOSE(IFERROR(ARRAYFORMULA(IF(added&lt;&gt;"""",""https://sealeddeck.tech/""&amp;added,"""")),"""")))"),"")</f>
        <v/>
      </c>
      <c r="I146" s="145" t="str">
        <f>IFERROR(__xludf.DUMMYFUNCTION("LET(changes,FILTER('Pool Changes'!$B:$D, 'Pool Changes'!$B:$B = $D146),added,FILTER(INDEX(changes,0,3),INDEX(changes,0,2)=""add pack""),IFERROR(TRANSPOSE(ARRAYFORMULA(IF(added&lt;&gt;"""",HYPERLINK(""https://sealeddeck.tech/""&amp;added,""Link""),""""))),""""))"),"")</f>
        <v/>
      </c>
      <c r="J146" s="146"/>
      <c r="K146" s="146"/>
      <c r="L146" s="146"/>
      <c r="M146" s="146"/>
      <c r="N146" s="146"/>
      <c r="O146" s="146"/>
      <c r="P146" s="146"/>
      <c r="Q146" s="146"/>
      <c r="R146" s="146"/>
      <c r="S146" s="146"/>
      <c r="T146" s="147"/>
      <c r="U146" s="147"/>
      <c r="V146" s="147"/>
      <c r="W146" s="147"/>
      <c r="X146" s="147"/>
      <c r="Y146" s="147"/>
      <c r="Z146" s="147"/>
      <c r="AA146" s="147"/>
      <c r="AB146" s="147"/>
      <c r="AC146" s="147"/>
      <c r="AD146" s="147"/>
      <c r="AE146" s="147"/>
      <c r="AF146" s="147"/>
      <c r="AG146" s="147"/>
      <c r="AH146" s="147"/>
      <c r="AI146" s="147"/>
    </row>
    <row r="147">
      <c r="A147" s="167"/>
      <c r="B147" s="140"/>
      <c r="C147" s="141" t="str">
        <f t="array" ref="C147">INDEX('Player Database'!$D:$D,MATCH($D147,'Player Database'!$B:$B,0))</f>
        <v>#N/A</v>
      </c>
      <c r="D147" s="142" t="str">
        <f t="shared" si="1"/>
        <v> - </v>
      </c>
      <c r="E147" s="143" t="str">
        <f t="array" ref="E147">XLOOKUP($D147,'Player Database'!$B$2:$B1009,'Player Database'!$I$2:$I1009)</f>
        <v>#N/A</v>
      </c>
      <c r="F147" s="143" t="str">
        <f t="array" ref="F147">XLOOKUP($D147,'Player Database'!$B$2:$B1009,'Player Database'!$J$2:$J1009)</f>
        <v>#N/A</v>
      </c>
      <c r="G147" s="144" t="str">
        <f t="array" ref="G147">IF(H147="","",IFERROR(
  "https://sealeddeck.tech/" &amp; INDEX('Pool Changes'!F:F,
    MAX(
      ROW('Pool Changes'!A:A) *
      ('Pool Changes'!B:B=D147) *
      ('Pool Changes'!F:F&lt;&gt;"")
    )
  ),
  ""
))</f>
        <v/>
      </c>
      <c r="H147" s="144" t="str">
        <f>IFERROR(__xludf.DUMMYFUNCTION("LET(changes,FILTER('Pool Changes'!$B:$D, 'Pool Changes'!$B:$B = $D147),added,FILTER(INDEX(changes,0,3),INDEX(changes,0,2)=""starting pool""),TRANSPOSE(IFERROR(ARRAYFORMULA(IF(added&lt;&gt;"""",""https://sealeddeck.tech/""&amp;added,"""")),"""")))"),"")</f>
        <v/>
      </c>
      <c r="I147" s="145" t="str">
        <f>IFERROR(__xludf.DUMMYFUNCTION("LET(changes,FILTER('Pool Changes'!$B:$D, 'Pool Changes'!$B:$B = $D147),added,FILTER(INDEX(changes,0,3),INDEX(changes,0,2)=""add pack""),IFERROR(TRANSPOSE(ARRAYFORMULA(IF(added&lt;&gt;"""",HYPERLINK(""https://sealeddeck.tech/""&amp;added,""Link""),""""))),""""))"),"")</f>
        <v/>
      </c>
      <c r="J147" s="146"/>
      <c r="K147" s="146"/>
      <c r="L147" s="146"/>
      <c r="M147" s="146"/>
      <c r="N147" s="146"/>
      <c r="O147" s="146"/>
      <c r="P147" s="146"/>
      <c r="Q147" s="146"/>
      <c r="R147" s="146"/>
      <c r="S147" s="146"/>
      <c r="T147" s="147"/>
      <c r="U147" s="147"/>
      <c r="V147" s="147"/>
      <c r="W147" s="147"/>
      <c r="X147" s="147"/>
      <c r="Y147" s="147"/>
      <c r="Z147" s="147"/>
      <c r="AA147" s="147"/>
      <c r="AB147" s="147"/>
      <c r="AC147" s="147"/>
      <c r="AD147" s="147"/>
      <c r="AE147" s="147"/>
      <c r="AF147" s="147"/>
      <c r="AG147" s="147"/>
      <c r="AH147" s="147"/>
      <c r="AI147" s="147"/>
    </row>
    <row r="148">
      <c r="A148" s="167"/>
      <c r="B148" s="140"/>
      <c r="C148" s="141" t="str">
        <f t="array" ref="C148">INDEX('Player Database'!$D:$D,MATCH($D148,'Player Database'!$B:$B,0))</f>
        <v>#N/A</v>
      </c>
      <c r="D148" s="142" t="str">
        <f t="shared" si="1"/>
        <v> - </v>
      </c>
      <c r="E148" s="143" t="str">
        <f t="array" ref="E148">XLOOKUP($D148,'Player Database'!$B$2:$B1009,'Player Database'!$I$2:$I1009)</f>
        <v>#N/A</v>
      </c>
      <c r="F148" s="143" t="str">
        <f t="array" ref="F148">XLOOKUP($D148,'Player Database'!$B$2:$B1009,'Player Database'!$J$2:$J1009)</f>
        <v>#N/A</v>
      </c>
      <c r="G148" s="144" t="str">
        <f t="array" ref="G148">IF(H148="","",IFERROR(
  "https://sealeddeck.tech/" &amp; INDEX('Pool Changes'!F:F,
    MAX(
      ROW('Pool Changes'!A:A) *
      ('Pool Changes'!B:B=D148) *
      ('Pool Changes'!F:F&lt;&gt;"")
    )
  ),
  ""
))</f>
        <v/>
      </c>
      <c r="H148" s="144" t="str">
        <f>IFERROR(__xludf.DUMMYFUNCTION("LET(changes,FILTER('Pool Changes'!$B:$D, 'Pool Changes'!$B:$B = $D148),added,FILTER(INDEX(changes,0,3),INDEX(changes,0,2)=""starting pool""),TRANSPOSE(IFERROR(ARRAYFORMULA(IF(added&lt;&gt;"""",""https://sealeddeck.tech/""&amp;added,"""")),"""")))"),"")</f>
        <v/>
      </c>
      <c r="I148" s="145" t="str">
        <f>IFERROR(__xludf.DUMMYFUNCTION("LET(changes,FILTER('Pool Changes'!$B:$D, 'Pool Changes'!$B:$B = $D148),added,FILTER(INDEX(changes,0,3),INDEX(changes,0,2)=""add pack""),IFERROR(TRANSPOSE(ARRAYFORMULA(IF(added&lt;&gt;"""",HYPERLINK(""https://sealeddeck.tech/""&amp;added,""Link""),""""))),""""))"),"")</f>
        <v/>
      </c>
      <c r="J148" s="146"/>
      <c r="K148" s="146"/>
      <c r="L148" s="146"/>
      <c r="M148" s="146"/>
      <c r="N148" s="146"/>
      <c r="O148" s="146"/>
      <c r="P148" s="146"/>
      <c r="Q148" s="146"/>
      <c r="R148" s="146"/>
      <c r="S148" s="146"/>
      <c r="T148" s="147"/>
      <c r="U148" s="147"/>
      <c r="V148" s="147"/>
      <c r="W148" s="147"/>
      <c r="X148" s="147"/>
      <c r="Y148" s="147"/>
      <c r="Z148" s="147"/>
      <c r="AA148" s="147"/>
      <c r="AB148" s="147"/>
      <c r="AC148" s="147"/>
      <c r="AD148" s="147"/>
      <c r="AE148" s="147"/>
      <c r="AF148" s="147"/>
      <c r="AG148" s="147"/>
      <c r="AH148" s="147"/>
      <c r="AI148" s="147"/>
    </row>
    <row r="149">
      <c r="A149" s="167"/>
      <c r="B149" s="140"/>
      <c r="C149" s="141" t="str">
        <f t="array" ref="C149">INDEX('Player Database'!$D:$D,MATCH($D149,'Player Database'!$B:$B,0))</f>
        <v>#N/A</v>
      </c>
      <c r="D149" s="142" t="str">
        <f t="shared" si="1"/>
        <v> - </v>
      </c>
      <c r="E149" s="143" t="str">
        <f t="array" ref="E149">XLOOKUP($D149,'Player Database'!$B$2:$B1009,'Player Database'!$I$2:$I1009)</f>
        <v>#N/A</v>
      </c>
      <c r="F149" s="143" t="str">
        <f t="array" ref="F149">XLOOKUP($D149,'Player Database'!$B$2:$B1009,'Player Database'!$J$2:$J1009)</f>
        <v>#N/A</v>
      </c>
      <c r="G149" s="144" t="str">
        <f t="array" ref="G149">IF(H149="","",IFERROR(
  "https://sealeddeck.tech/" &amp; INDEX('Pool Changes'!F:F,
    MAX(
      ROW('Pool Changes'!A:A) *
      ('Pool Changes'!B:B=D149) *
      ('Pool Changes'!F:F&lt;&gt;"")
    )
  ),
  ""
))</f>
        <v/>
      </c>
      <c r="H149" s="144" t="str">
        <f>IFERROR(__xludf.DUMMYFUNCTION("LET(changes,FILTER('Pool Changes'!$B:$D, 'Pool Changes'!$B:$B = $D149),added,FILTER(INDEX(changes,0,3),INDEX(changes,0,2)=""starting pool""),TRANSPOSE(IFERROR(ARRAYFORMULA(IF(added&lt;&gt;"""",""https://sealeddeck.tech/""&amp;added,"""")),"""")))"),"")</f>
        <v/>
      </c>
      <c r="I149" s="145" t="str">
        <f>IFERROR(__xludf.DUMMYFUNCTION("LET(changes,FILTER('Pool Changes'!$B:$D, 'Pool Changes'!$B:$B = $D149),added,FILTER(INDEX(changes,0,3),INDEX(changes,0,2)=""add pack""),IFERROR(TRANSPOSE(ARRAYFORMULA(IF(added&lt;&gt;"""",HYPERLINK(""https://sealeddeck.tech/""&amp;added,""Link""),""""))),""""))"),"")</f>
        <v/>
      </c>
      <c r="J149" s="146"/>
      <c r="K149" s="146"/>
      <c r="L149" s="146"/>
      <c r="M149" s="146"/>
      <c r="N149" s="146"/>
      <c r="O149" s="146"/>
      <c r="P149" s="146"/>
      <c r="Q149" s="146"/>
      <c r="R149" s="146"/>
      <c r="S149" s="146"/>
      <c r="T149" s="147"/>
      <c r="U149" s="147"/>
      <c r="V149" s="147"/>
      <c r="W149" s="147"/>
      <c r="X149" s="147"/>
      <c r="Y149" s="147"/>
      <c r="Z149" s="147"/>
      <c r="AA149" s="147"/>
      <c r="AB149" s="147"/>
      <c r="AC149" s="147"/>
      <c r="AD149" s="147"/>
      <c r="AE149" s="147"/>
      <c r="AF149" s="147"/>
      <c r="AG149" s="147"/>
      <c r="AH149" s="147"/>
      <c r="AI149" s="147"/>
    </row>
    <row r="150">
      <c r="A150" s="167"/>
      <c r="B150" s="140"/>
      <c r="C150" s="141" t="str">
        <f t="array" ref="C150">INDEX('Player Database'!$D:$D,MATCH($D150,'Player Database'!$B:$B,0))</f>
        <v>#N/A</v>
      </c>
      <c r="D150" s="142" t="str">
        <f t="shared" si="1"/>
        <v> - </v>
      </c>
      <c r="E150" s="143" t="str">
        <f t="array" ref="E150">XLOOKUP($D150,'Player Database'!$B$2:$B1009,'Player Database'!$I$2:$I1009)</f>
        <v>#N/A</v>
      </c>
      <c r="F150" s="143" t="str">
        <f t="array" ref="F150">XLOOKUP($D150,'Player Database'!$B$2:$B1009,'Player Database'!$J$2:$J1009)</f>
        <v>#N/A</v>
      </c>
      <c r="G150" s="144" t="str">
        <f t="array" ref="G150">IF(H150="","",IFERROR(
  "https://sealeddeck.tech/" &amp; INDEX('Pool Changes'!F:F,
    MAX(
      ROW('Pool Changes'!A:A) *
      ('Pool Changes'!B:B=D150) *
      ('Pool Changes'!F:F&lt;&gt;"")
    )
  ),
  ""
))</f>
        <v/>
      </c>
      <c r="H150" s="144" t="str">
        <f>IFERROR(__xludf.DUMMYFUNCTION("LET(changes,FILTER('Pool Changes'!$B:$D, 'Pool Changes'!$B:$B = $D150),added,FILTER(INDEX(changes,0,3),INDEX(changes,0,2)=""starting pool""),TRANSPOSE(IFERROR(ARRAYFORMULA(IF(added&lt;&gt;"""",""https://sealeddeck.tech/""&amp;added,"""")),"""")))"),"")</f>
        <v/>
      </c>
      <c r="I150" s="145" t="str">
        <f>IFERROR(__xludf.DUMMYFUNCTION("LET(changes,FILTER('Pool Changes'!$B:$D, 'Pool Changes'!$B:$B = $D150),added,FILTER(INDEX(changes,0,3),INDEX(changes,0,2)=""add pack""),IFERROR(TRANSPOSE(ARRAYFORMULA(IF(added&lt;&gt;"""",HYPERLINK(""https://sealeddeck.tech/""&amp;added,""Link""),""""))),""""))"),"")</f>
        <v/>
      </c>
      <c r="J150" s="146"/>
      <c r="K150" s="146"/>
      <c r="L150" s="146"/>
      <c r="M150" s="146"/>
      <c r="N150" s="146"/>
      <c r="O150" s="146"/>
      <c r="P150" s="146"/>
      <c r="Q150" s="146"/>
      <c r="R150" s="146"/>
      <c r="S150" s="146"/>
      <c r="T150" s="147"/>
      <c r="U150" s="147"/>
      <c r="V150" s="147"/>
      <c r="W150" s="147"/>
      <c r="X150" s="147"/>
      <c r="Y150" s="147"/>
      <c r="Z150" s="147"/>
      <c r="AA150" s="147"/>
      <c r="AB150" s="147"/>
      <c r="AC150" s="147"/>
      <c r="AD150" s="147"/>
      <c r="AE150" s="147"/>
      <c r="AF150" s="147"/>
      <c r="AG150" s="147"/>
      <c r="AH150" s="147"/>
      <c r="AI150" s="147"/>
    </row>
    <row r="151">
      <c r="A151" s="167"/>
      <c r="B151" s="140"/>
      <c r="C151" s="141" t="str">
        <f t="array" ref="C151">INDEX('Player Database'!$D:$D,MATCH($D151,'Player Database'!$B:$B,0))</f>
        <v>#N/A</v>
      </c>
      <c r="D151" s="142" t="str">
        <f t="shared" si="1"/>
        <v> - </v>
      </c>
      <c r="E151" s="143" t="str">
        <f t="array" ref="E151">XLOOKUP($D151,'Player Database'!$B$2:$B1009,'Player Database'!$I$2:$I1009)</f>
        <v>#N/A</v>
      </c>
      <c r="F151" s="143" t="str">
        <f t="array" ref="F151">XLOOKUP($D151,'Player Database'!$B$2:$B1009,'Player Database'!$J$2:$J1009)</f>
        <v>#N/A</v>
      </c>
      <c r="G151" s="144" t="str">
        <f t="array" ref="G151">IF(H151="","",IFERROR(
  "https://sealeddeck.tech/" &amp; INDEX('Pool Changes'!F:F,
    MAX(
      ROW('Pool Changes'!A:A) *
      ('Pool Changes'!B:B=D151) *
      ('Pool Changes'!F:F&lt;&gt;"")
    )
  ),
  ""
))</f>
        <v/>
      </c>
      <c r="H151" s="144" t="str">
        <f>IFERROR(__xludf.DUMMYFUNCTION("LET(changes,FILTER('Pool Changes'!$B:$D, 'Pool Changes'!$B:$B = $D151),added,FILTER(INDEX(changes,0,3),INDEX(changes,0,2)=""starting pool""),TRANSPOSE(IFERROR(ARRAYFORMULA(IF(added&lt;&gt;"""",""https://sealeddeck.tech/""&amp;added,"""")),"""")))"),"")</f>
        <v/>
      </c>
      <c r="I151" s="145" t="str">
        <f>IFERROR(__xludf.DUMMYFUNCTION("LET(changes,FILTER('Pool Changes'!$B:$D, 'Pool Changes'!$B:$B = $D151),added,FILTER(INDEX(changes,0,3),INDEX(changes,0,2)=""add pack""),IFERROR(TRANSPOSE(ARRAYFORMULA(IF(added&lt;&gt;"""",HYPERLINK(""https://sealeddeck.tech/""&amp;added,""Link""),""""))),""""))"),"")</f>
        <v/>
      </c>
      <c r="J151" s="146"/>
      <c r="K151" s="146"/>
      <c r="L151" s="146"/>
      <c r="M151" s="146"/>
      <c r="N151" s="146"/>
      <c r="O151" s="146"/>
      <c r="P151" s="146"/>
      <c r="Q151" s="146"/>
      <c r="R151" s="146"/>
      <c r="S151" s="146"/>
      <c r="T151" s="147"/>
      <c r="U151" s="147"/>
      <c r="V151" s="147"/>
      <c r="W151" s="147"/>
      <c r="X151" s="147"/>
      <c r="Y151" s="147"/>
      <c r="Z151" s="147"/>
      <c r="AA151" s="147"/>
      <c r="AB151" s="147"/>
      <c r="AC151" s="147"/>
      <c r="AD151" s="147"/>
      <c r="AE151" s="147"/>
      <c r="AF151" s="147"/>
      <c r="AG151" s="147"/>
      <c r="AH151" s="147"/>
      <c r="AI151" s="147"/>
    </row>
    <row r="152">
      <c r="A152" s="167"/>
      <c r="B152" s="140"/>
      <c r="C152" s="141" t="str">
        <f t="array" ref="C152">INDEX('Player Database'!$D:$D,MATCH($D152,'Player Database'!$B:$B,0))</f>
        <v>#N/A</v>
      </c>
      <c r="D152" s="142" t="str">
        <f t="shared" si="1"/>
        <v> - </v>
      </c>
      <c r="E152" s="143" t="str">
        <f t="array" ref="E152">XLOOKUP($D152,'Player Database'!$B$2:$B1009,'Player Database'!$I$2:$I1009)</f>
        <v>#N/A</v>
      </c>
      <c r="F152" s="143" t="str">
        <f t="array" ref="F152">XLOOKUP($D152,'Player Database'!$B$2:$B1009,'Player Database'!$J$2:$J1009)</f>
        <v>#N/A</v>
      </c>
      <c r="G152" s="144" t="str">
        <f t="array" ref="G152">IF(H152="","",IFERROR(
  "https://sealeddeck.tech/" &amp; INDEX('Pool Changes'!F:F,
    MAX(
      ROW('Pool Changes'!A:A) *
      ('Pool Changes'!B:B=D152) *
      ('Pool Changes'!F:F&lt;&gt;"")
    )
  ),
  ""
))</f>
        <v/>
      </c>
      <c r="H152" s="144" t="str">
        <f>IFERROR(__xludf.DUMMYFUNCTION("LET(changes,FILTER('Pool Changes'!$B:$D, 'Pool Changes'!$B:$B = $D152),added,FILTER(INDEX(changes,0,3),INDEX(changes,0,2)=""starting pool""),TRANSPOSE(IFERROR(ARRAYFORMULA(IF(added&lt;&gt;"""",""https://sealeddeck.tech/""&amp;added,"""")),"""")))"),"")</f>
        <v/>
      </c>
      <c r="I152" s="145" t="str">
        <f>IFERROR(__xludf.DUMMYFUNCTION("LET(changes,FILTER('Pool Changes'!$B:$D, 'Pool Changes'!$B:$B = $D152),added,FILTER(INDEX(changes,0,3),INDEX(changes,0,2)=""add pack""),IFERROR(TRANSPOSE(ARRAYFORMULA(IF(added&lt;&gt;"""",HYPERLINK(""https://sealeddeck.tech/""&amp;added,""Link""),""""))),""""))"),"")</f>
        <v/>
      </c>
      <c r="J152" s="146"/>
      <c r="K152" s="146"/>
      <c r="L152" s="146"/>
      <c r="M152" s="146"/>
      <c r="N152" s="146"/>
      <c r="O152" s="146"/>
      <c r="P152" s="146"/>
      <c r="Q152" s="146"/>
      <c r="R152" s="146"/>
      <c r="S152" s="146"/>
      <c r="T152" s="147"/>
      <c r="U152" s="147"/>
      <c r="V152" s="147"/>
      <c r="W152" s="147"/>
      <c r="X152" s="147"/>
      <c r="Y152" s="147"/>
      <c r="Z152" s="147"/>
      <c r="AA152" s="147"/>
      <c r="AB152" s="147"/>
      <c r="AC152" s="147"/>
      <c r="AD152" s="147"/>
      <c r="AE152" s="147"/>
      <c r="AF152" s="147"/>
      <c r="AG152" s="147"/>
      <c r="AH152" s="147"/>
      <c r="AI152" s="147"/>
    </row>
    <row r="153">
      <c r="A153" s="167"/>
      <c r="B153" s="140"/>
      <c r="C153" s="141" t="str">
        <f t="array" ref="C153">INDEX('Player Database'!$D:$D,MATCH($D153,'Player Database'!$B:$B,0))</f>
        <v>#N/A</v>
      </c>
      <c r="D153" s="142" t="str">
        <f t="shared" si="1"/>
        <v> - </v>
      </c>
      <c r="E153" s="143" t="str">
        <f t="array" ref="E153">XLOOKUP($D153,'Player Database'!$B$2:$B1009,'Player Database'!$I$2:$I1009)</f>
        <v>#N/A</v>
      </c>
      <c r="F153" s="143" t="str">
        <f t="array" ref="F153">XLOOKUP($D153,'Player Database'!$B$2:$B1009,'Player Database'!$J$2:$J1009)</f>
        <v>#N/A</v>
      </c>
      <c r="G153" s="144" t="str">
        <f t="array" ref="G153">IF(H153="","",IFERROR(
  "https://sealeddeck.tech/" &amp; INDEX('Pool Changes'!F:F,
    MAX(
      ROW('Pool Changes'!A:A) *
      ('Pool Changes'!B:B=D153) *
      ('Pool Changes'!F:F&lt;&gt;"")
    )
  ),
  ""
))</f>
        <v/>
      </c>
      <c r="H153" s="144" t="str">
        <f>IFERROR(__xludf.DUMMYFUNCTION("LET(changes,FILTER('Pool Changes'!$B:$D, 'Pool Changes'!$B:$B = $D153),added,FILTER(INDEX(changes,0,3),INDEX(changes,0,2)=""starting pool""),TRANSPOSE(IFERROR(ARRAYFORMULA(IF(added&lt;&gt;"""",""https://sealeddeck.tech/""&amp;added,"""")),"""")))"),"")</f>
        <v/>
      </c>
      <c r="I153" s="145" t="str">
        <f>IFERROR(__xludf.DUMMYFUNCTION("LET(changes,FILTER('Pool Changes'!$B:$D, 'Pool Changes'!$B:$B = $D153),added,FILTER(INDEX(changes,0,3),INDEX(changes,0,2)=""add pack""),IFERROR(TRANSPOSE(ARRAYFORMULA(IF(added&lt;&gt;"""",HYPERLINK(""https://sealeddeck.tech/""&amp;added,""Link""),""""))),""""))"),"")</f>
        <v/>
      </c>
      <c r="J153" s="146"/>
      <c r="K153" s="146"/>
      <c r="L153" s="146"/>
      <c r="M153" s="146"/>
      <c r="N153" s="146"/>
      <c r="O153" s="146"/>
      <c r="P153" s="146"/>
      <c r="Q153" s="146"/>
      <c r="R153" s="146"/>
      <c r="S153" s="146"/>
      <c r="T153" s="147"/>
      <c r="U153" s="147"/>
      <c r="V153" s="147"/>
      <c r="W153" s="147"/>
      <c r="X153" s="147"/>
      <c r="Y153" s="147"/>
      <c r="Z153" s="147"/>
      <c r="AA153" s="147"/>
      <c r="AB153" s="147"/>
      <c r="AC153" s="147"/>
      <c r="AD153" s="147"/>
      <c r="AE153" s="147"/>
      <c r="AF153" s="147"/>
      <c r="AG153" s="147"/>
      <c r="AH153" s="147"/>
      <c r="AI153" s="147"/>
    </row>
    <row r="154">
      <c r="A154" s="167"/>
      <c r="B154" s="140"/>
      <c r="C154" s="141" t="str">
        <f t="array" ref="C154">INDEX('Player Database'!$D:$D,MATCH($D154,'Player Database'!$B:$B,0))</f>
        <v>#N/A</v>
      </c>
      <c r="D154" s="142" t="str">
        <f t="shared" si="1"/>
        <v> - </v>
      </c>
      <c r="E154" s="143" t="str">
        <f t="array" ref="E154">XLOOKUP($D154,'Player Database'!$B$2:$B1009,'Player Database'!$I$2:$I1009)</f>
        <v>#N/A</v>
      </c>
      <c r="F154" s="143" t="str">
        <f t="array" ref="F154">XLOOKUP($D154,'Player Database'!$B$2:$B1009,'Player Database'!$J$2:$J1009)</f>
        <v>#N/A</v>
      </c>
      <c r="G154" s="144" t="str">
        <f t="array" ref="G154">IF(H154="","",IFERROR(
  "https://sealeddeck.tech/" &amp; INDEX('Pool Changes'!F:F,
    MAX(
      ROW('Pool Changes'!A:A) *
      ('Pool Changes'!B:B=D154) *
      ('Pool Changes'!F:F&lt;&gt;"")
    )
  ),
  ""
))</f>
        <v/>
      </c>
      <c r="H154" s="144" t="str">
        <f>IFERROR(__xludf.DUMMYFUNCTION("LET(changes,FILTER('Pool Changes'!$B:$D, 'Pool Changes'!$B:$B = $D154),added,FILTER(INDEX(changes,0,3),INDEX(changes,0,2)=""starting pool""),TRANSPOSE(IFERROR(ARRAYFORMULA(IF(added&lt;&gt;"""",""https://sealeddeck.tech/""&amp;added,"""")),"""")))"),"")</f>
        <v/>
      </c>
      <c r="I154" s="145" t="str">
        <f>IFERROR(__xludf.DUMMYFUNCTION("LET(changes,FILTER('Pool Changes'!$B:$D, 'Pool Changes'!$B:$B = $D154),added,FILTER(INDEX(changes,0,3),INDEX(changes,0,2)=""add pack""),IFERROR(TRANSPOSE(ARRAYFORMULA(IF(added&lt;&gt;"""",HYPERLINK(""https://sealeddeck.tech/""&amp;added,""Link""),""""))),""""))"),"")</f>
        <v/>
      </c>
      <c r="J154" s="146"/>
      <c r="K154" s="146"/>
      <c r="L154" s="146"/>
      <c r="M154" s="146"/>
      <c r="N154" s="146"/>
      <c r="O154" s="146"/>
      <c r="P154" s="146"/>
      <c r="Q154" s="146"/>
      <c r="R154" s="146"/>
      <c r="S154" s="146"/>
      <c r="T154" s="147"/>
      <c r="U154" s="147"/>
      <c r="V154" s="147"/>
      <c r="W154" s="147"/>
      <c r="X154" s="147"/>
      <c r="Y154" s="147"/>
      <c r="Z154" s="147"/>
      <c r="AA154" s="147"/>
      <c r="AB154" s="147"/>
      <c r="AC154" s="147"/>
      <c r="AD154" s="147"/>
      <c r="AE154" s="147"/>
      <c r="AF154" s="147"/>
      <c r="AG154" s="147"/>
      <c r="AH154" s="147"/>
      <c r="AI154" s="147"/>
    </row>
    <row r="155">
      <c r="A155" s="167"/>
      <c r="B155" s="140"/>
      <c r="C155" s="141" t="str">
        <f t="array" ref="C155">INDEX('Player Database'!$D:$D,MATCH($D155,'Player Database'!$B:$B,0))</f>
        <v>#N/A</v>
      </c>
      <c r="D155" s="142" t="str">
        <f t="shared" si="1"/>
        <v> - </v>
      </c>
      <c r="E155" s="143" t="str">
        <f t="array" ref="E155">XLOOKUP($D155,'Player Database'!$B$2:$B1009,'Player Database'!$I$2:$I1009)</f>
        <v>#N/A</v>
      </c>
      <c r="F155" s="143" t="str">
        <f t="array" ref="F155">XLOOKUP($D155,'Player Database'!$B$2:$B1009,'Player Database'!$J$2:$J1009)</f>
        <v>#N/A</v>
      </c>
      <c r="G155" s="144" t="str">
        <f t="array" ref="G155">IF(H155="","",IFERROR(
  "https://sealeddeck.tech/" &amp; INDEX('Pool Changes'!F:F,
    MAX(
      ROW('Pool Changes'!A:A) *
      ('Pool Changes'!B:B=D155) *
      ('Pool Changes'!F:F&lt;&gt;"")
    )
  ),
  ""
))</f>
        <v/>
      </c>
      <c r="H155" s="144" t="str">
        <f>IFERROR(__xludf.DUMMYFUNCTION("LET(changes,FILTER('Pool Changes'!$B:$D, 'Pool Changes'!$B:$B = $D155),added,FILTER(INDEX(changes,0,3),INDEX(changes,0,2)=""starting pool""),TRANSPOSE(IFERROR(ARRAYFORMULA(IF(added&lt;&gt;"""",""https://sealeddeck.tech/""&amp;added,"""")),"""")))"),"")</f>
        <v/>
      </c>
      <c r="I155" s="145" t="str">
        <f>IFERROR(__xludf.DUMMYFUNCTION("LET(changes,FILTER('Pool Changes'!$B:$D, 'Pool Changes'!$B:$B = $D155),added,FILTER(INDEX(changes,0,3),INDEX(changes,0,2)=""add pack""),IFERROR(TRANSPOSE(ARRAYFORMULA(IF(added&lt;&gt;"""",HYPERLINK(""https://sealeddeck.tech/""&amp;added,""Link""),""""))),""""))"),"")</f>
        <v/>
      </c>
      <c r="J155" s="146"/>
      <c r="K155" s="146"/>
      <c r="L155" s="146"/>
      <c r="M155" s="146"/>
      <c r="N155" s="146"/>
      <c r="O155" s="146"/>
      <c r="P155" s="146"/>
      <c r="Q155" s="146"/>
      <c r="R155" s="146"/>
      <c r="S155" s="146"/>
      <c r="T155" s="147"/>
      <c r="U155" s="147"/>
      <c r="V155" s="147"/>
      <c r="W155" s="147"/>
      <c r="X155" s="147"/>
      <c r="Y155" s="147"/>
      <c r="Z155" s="147"/>
      <c r="AA155" s="147"/>
      <c r="AB155" s="147"/>
      <c r="AC155" s="147"/>
      <c r="AD155" s="147"/>
      <c r="AE155" s="147"/>
      <c r="AF155" s="147"/>
      <c r="AG155" s="147"/>
      <c r="AH155" s="147"/>
      <c r="AI155" s="147"/>
    </row>
    <row r="156">
      <c r="A156" s="167"/>
      <c r="B156" s="140"/>
      <c r="C156" s="141" t="str">
        <f t="array" ref="C156">INDEX('Player Database'!$D:$D,MATCH($D156,'Player Database'!$B:$B,0))</f>
        <v>#N/A</v>
      </c>
      <c r="D156" s="142" t="str">
        <f t="shared" si="1"/>
        <v> - </v>
      </c>
      <c r="E156" s="143" t="str">
        <f t="array" ref="E156">XLOOKUP($D156,'Player Database'!$B$2:$B1009,'Player Database'!$I$2:$I1009)</f>
        <v>#N/A</v>
      </c>
      <c r="F156" s="143" t="str">
        <f t="array" ref="F156">XLOOKUP($D156,'Player Database'!$B$2:$B1009,'Player Database'!$J$2:$J1009)</f>
        <v>#N/A</v>
      </c>
      <c r="G156" s="144" t="str">
        <f t="array" ref="G156">IF(H156="","",IFERROR(
  "https://sealeddeck.tech/" &amp; INDEX('Pool Changes'!F:F,
    MAX(
      ROW('Pool Changes'!A:A) *
      ('Pool Changes'!B:B=D156) *
      ('Pool Changes'!F:F&lt;&gt;"")
    )
  ),
  ""
))</f>
        <v/>
      </c>
      <c r="H156" s="144" t="str">
        <f>IFERROR(__xludf.DUMMYFUNCTION("LET(changes,FILTER('Pool Changes'!$B:$D, 'Pool Changes'!$B:$B = $D156),added,FILTER(INDEX(changes,0,3),INDEX(changes,0,2)=""starting pool""),TRANSPOSE(IFERROR(ARRAYFORMULA(IF(added&lt;&gt;"""",""https://sealeddeck.tech/""&amp;added,"""")),"""")))"),"")</f>
        <v/>
      </c>
      <c r="I156" s="145" t="str">
        <f>IFERROR(__xludf.DUMMYFUNCTION("LET(changes,FILTER('Pool Changes'!$B:$D, 'Pool Changes'!$B:$B = $D156),added,FILTER(INDEX(changes,0,3),INDEX(changes,0,2)=""add pack""),IFERROR(TRANSPOSE(ARRAYFORMULA(IF(added&lt;&gt;"""",HYPERLINK(""https://sealeddeck.tech/""&amp;added,""Link""),""""))),""""))"),"")</f>
        <v/>
      </c>
      <c r="J156" s="146"/>
      <c r="K156" s="146"/>
      <c r="L156" s="146"/>
      <c r="M156" s="146"/>
      <c r="N156" s="146"/>
      <c r="O156" s="146"/>
      <c r="P156" s="146"/>
      <c r="Q156" s="146"/>
      <c r="R156" s="146"/>
      <c r="S156" s="146"/>
      <c r="T156" s="147"/>
      <c r="U156" s="147"/>
      <c r="V156" s="147"/>
      <c r="W156" s="147"/>
      <c r="X156" s="147"/>
      <c r="Y156" s="147"/>
      <c r="Z156" s="147"/>
      <c r="AA156" s="147"/>
      <c r="AB156" s="147"/>
      <c r="AC156" s="147"/>
      <c r="AD156" s="147"/>
      <c r="AE156" s="147"/>
      <c r="AF156" s="147"/>
      <c r="AG156" s="147"/>
      <c r="AH156" s="147"/>
      <c r="AI156" s="147"/>
    </row>
    <row r="157">
      <c r="A157" s="167"/>
      <c r="B157" s="140"/>
      <c r="C157" s="141" t="str">
        <f t="array" ref="C157">INDEX('Player Database'!$D:$D,MATCH($D157,'Player Database'!$B:$B,0))</f>
        <v>#N/A</v>
      </c>
      <c r="D157" s="142" t="str">
        <f t="shared" si="1"/>
        <v> - </v>
      </c>
      <c r="E157" s="143" t="str">
        <f t="array" ref="E157">XLOOKUP($D157,'Player Database'!$B$2:$B1009,'Player Database'!$I$2:$I1009)</f>
        <v>#N/A</v>
      </c>
      <c r="F157" s="143" t="str">
        <f t="array" ref="F157">XLOOKUP($D157,'Player Database'!$B$2:$B1009,'Player Database'!$J$2:$J1009)</f>
        <v>#N/A</v>
      </c>
      <c r="G157" s="144" t="str">
        <f t="array" ref="G157">IF(H157="","",IFERROR(
  "https://sealeddeck.tech/" &amp; INDEX('Pool Changes'!F:F,
    MAX(
      ROW('Pool Changes'!A:A) *
      ('Pool Changes'!B:B=D157) *
      ('Pool Changes'!F:F&lt;&gt;"")
    )
  ),
  ""
))</f>
        <v/>
      </c>
      <c r="H157" s="144" t="str">
        <f>IFERROR(__xludf.DUMMYFUNCTION("LET(changes,FILTER('Pool Changes'!$B:$D, 'Pool Changes'!$B:$B = $D157),added,FILTER(INDEX(changes,0,3),INDEX(changes,0,2)=""starting pool""),TRANSPOSE(IFERROR(ARRAYFORMULA(IF(added&lt;&gt;"""",""https://sealeddeck.tech/""&amp;added,"""")),"""")))"),"")</f>
        <v/>
      </c>
      <c r="I157" s="145" t="str">
        <f>IFERROR(__xludf.DUMMYFUNCTION("LET(changes,FILTER('Pool Changes'!$B:$D, 'Pool Changes'!$B:$B = $D157),added,FILTER(INDEX(changes,0,3),INDEX(changes,0,2)=""add pack""),IFERROR(TRANSPOSE(ARRAYFORMULA(IF(added&lt;&gt;"""",HYPERLINK(""https://sealeddeck.tech/""&amp;added,""Link""),""""))),""""))"),"")</f>
        <v/>
      </c>
      <c r="J157" s="146"/>
      <c r="K157" s="146"/>
      <c r="L157" s="146"/>
      <c r="M157" s="146"/>
      <c r="N157" s="146"/>
      <c r="O157" s="146"/>
      <c r="P157" s="146"/>
      <c r="Q157" s="146"/>
      <c r="R157" s="146"/>
      <c r="S157" s="146"/>
      <c r="T157" s="147"/>
      <c r="U157" s="147"/>
      <c r="V157" s="147"/>
      <c r="W157" s="147"/>
      <c r="X157" s="147"/>
      <c r="Y157" s="147"/>
      <c r="Z157" s="147"/>
      <c r="AA157" s="147"/>
      <c r="AB157" s="147"/>
      <c r="AC157" s="147"/>
      <c r="AD157" s="147"/>
      <c r="AE157" s="147"/>
      <c r="AF157" s="147"/>
      <c r="AG157" s="147"/>
      <c r="AH157" s="147"/>
      <c r="AI157" s="147"/>
    </row>
    <row r="158">
      <c r="A158" s="167"/>
      <c r="B158" s="140"/>
      <c r="C158" s="141" t="str">
        <f t="array" ref="C158">INDEX('Player Database'!$D:$D,MATCH($D158,'Player Database'!$B:$B,0))</f>
        <v>#N/A</v>
      </c>
      <c r="D158" s="142" t="str">
        <f t="shared" si="1"/>
        <v> - </v>
      </c>
      <c r="E158" s="143" t="str">
        <f t="array" ref="E158">XLOOKUP($D158,'Player Database'!$B$2:$B1009,'Player Database'!$I$2:$I1009)</f>
        <v>#N/A</v>
      </c>
      <c r="F158" s="143" t="str">
        <f t="array" ref="F158">XLOOKUP($D158,'Player Database'!$B$2:$B1009,'Player Database'!$J$2:$J1009)</f>
        <v>#N/A</v>
      </c>
      <c r="G158" s="144" t="str">
        <f t="array" ref="G158">IF(H158="","",IFERROR(
  "https://sealeddeck.tech/" &amp; INDEX('Pool Changes'!F:F,
    MAX(
      ROW('Pool Changes'!A:A) *
      ('Pool Changes'!B:B=D158) *
      ('Pool Changes'!F:F&lt;&gt;"")
    )
  ),
  ""
))</f>
        <v/>
      </c>
      <c r="H158" s="144" t="str">
        <f>IFERROR(__xludf.DUMMYFUNCTION("LET(changes,FILTER('Pool Changes'!$B:$D, 'Pool Changes'!$B:$B = $D158),added,FILTER(INDEX(changes,0,3),INDEX(changes,0,2)=""starting pool""),TRANSPOSE(IFERROR(ARRAYFORMULA(IF(added&lt;&gt;"""",""https://sealeddeck.tech/""&amp;added,"""")),"""")))"),"")</f>
        <v/>
      </c>
      <c r="I158" s="145" t="str">
        <f>IFERROR(__xludf.DUMMYFUNCTION("LET(changes,FILTER('Pool Changes'!$B:$D, 'Pool Changes'!$B:$B = $D158),added,FILTER(INDEX(changes,0,3),INDEX(changes,0,2)=""add pack""),IFERROR(TRANSPOSE(ARRAYFORMULA(IF(added&lt;&gt;"""",HYPERLINK(""https://sealeddeck.tech/""&amp;added,""Link""),""""))),""""))"),"")</f>
        <v/>
      </c>
      <c r="J158" s="146"/>
      <c r="K158" s="146"/>
      <c r="L158" s="146"/>
      <c r="M158" s="146"/>
      <c r="N158" s="146"/>
      <c r="O158" s="146"/>
      <c r="P158" s="146"/>
      <c r="Q158" s="146"/>
      <c r="R158" s="146"/>
      <c r="S158" s="146"/>
      <c r="T158" s="147"/>
      <c r="U158" s="147"/>
      <c r="V158" s="147"/>
      <c r="W158" s="147"/>
      <c r="X158" s="147"/>
      <c r="Y158" s="147"/>
      <c r="Z158" s="147"/>
      <c r="AA158" s="147"/>
      <c r="AB158" s="147"/>
      <c r="AC158" s="147"/>
      <c r="AD158" s="147"/>
      <c r="AE158" s="147"/>
      <c r="AF158" s="147"/>
      <c r="AG158" s="147"/>
      <c r="AH158" s="147"/>
      <c r="AI158" s="147"/>
    </row>
    <row r="159">
      <c r="A159" s="167"/>
      <c r="B159" s="140"/>
      <c r="C159" s="141" t="str">
        <f t="array" ref="C159">INDEX('Player Database'!$D:$D,MATCH($D159,'Player Database'!$B:$B,0))</f>
        <v>#N/A</v>
      </c>
      <c r="D159" s="142" t="str">
        <f t="shared" si="1"/>
        <v> - </v>
      </c>
      <c r="E159" s="143" t="str">
        <f t="array" ref="E159">XLOOKUP($D159,'Player Database'!$B$2:$B1009,'Player Database'!$I$2:$I1009)</f>
        <v>#N/A</v>
      </c>
      <c r="F159" s="143" t="str">
        <f t="array" ref="F159">XLOOKUP($D159,'Player Database'!$B$2:$B1009,'Player Database'!$J$2:$J1009)</f>
        <v>#N/A</v>
      </c>
      <c r="G159" s="144" t="str">
        <f t="array" ref="G159">IF(H159="","",IFERROR(
  "https://sealeddeck.tech/" &amp; INDEX('Pool Changes'!F:F,
    MAX(
      ROW('Pool Changes'!A:A) *
      ('Pool Changes'!B:B=D159) *
      ('Pool Changes'!F:F&lt;&gt;"")
    )
  ),
  ""
))</f>
        <v/>
      </c>
      <c r="H159" s="144" t="str">
        <f>IFERROR(__xludf.DUMMYFUNCTION("LET(changes,FILTER('Pool Changes'!$B:$D, 'Pool Changes'!$B:$B = $D159),added,FILTER(INDEX(changes,0,3),INDEX(changes,0,2)=""starting pool""),TRANSPOSE(IFERROR(ARRAYFORMULA(IF(added&lt;&gt;"""",""https://sealeddeck.tech/""&amp;added,"""")),"""")))"),"")</f>
        <v/>
      </c>
      <c r="I159" s="145" t="str">
        <f>IFERROR(__xludf.DUMMYFUNCTION("LET(changes,FILTER('Pool Changes'!$B:$D, 'Pool Changes'!$B:$B = $D159),added,FILTER(INDEX(changes,0,3),INDEX(changes,0,2)=""add pack""),IFERROR(TRANSPOSE(ARRAYFORMULA(IF(added&lt;&gt;"""",HYPERLINK(""https://sealeddeck.tech/""&amp;added,""Link""),""""))),""""))"),"")</f>
        <v/>
      </c>
      <c r="J159" s="146"/>
      <c r="K159" s="146"/>
      <c r="L159" s="146"/>
      <c r="M159" s="146"/>
      <c r="N159" s="146"/>
      <c r="O159" s="146"/>
      <c r="P159" s="146"/>
      <c r="Q159" s="146"/>
      <c r="R159" s="146"/>
      <c r="S159" s="146"/>
      <c r="T159" s="147"/>
      <c r="U159" s="147"/>
      <c r="V159" s="147"/>
      <c r="W159" s="147"/>
      <c r="X159" s="147"/>
      <c r="Y159" s="147"/>
      <c r="Z159" s="147"/>
      <c r="AA159" s="147"/>
      <c r="AB159" s="147"/>
      <c r="AC159" s="147"/>
      <c r="AD159" s="147"/>
      <c r="AE159" s="147"/>
      <c r="AF159" s="147"/>
      <c r="AG159" s="147"/>
      <c r="AH159" s="147"/>
      <c r="AI159" s="147"/>
    </row>
    <row r="160">
      <c r="A160" s="167"/>
      <c r="B160" s="140"/>
      <c r="C160" s="141" t="str">
        <f t="array" ref="C160">INDEX('Player Database'!$D:$D,MATCH($D160,'Player Database'!$B:$B,0))</f>
        <v>#N/A</v>
      </c>
      <c r="D160" s="142" t="str">
        <f t="shared" si="1"/>
        <v> - </v>
      </c>
      <c r="E160" s="143" t="str">
        <f t="array" ref="E160">XLOOKUP($D160,'Player Database'!$B$2:$B1009,'Player Database'!$I$2:$I1009)</f>
        <v>#N/A</v>
      </c>
      <c r="F160" s="143" t="str">
        <f t="array" ref="F160">XLOOKUP($D160,'Player Database'!$B$2:$B1009,'Player Database'!$J$2:$J1009)</f>
        <v>#N/A</v>
      </c>
      <c r="G160" s="144" t="str">
        <f t="array" ref="G160">IF(H160="","",IFERROR(
  "https://sealeddeck.tech/" &amp; INDEX('Pool Changes'!F:F,
    MAX(
      ROW('Pool Changes'!A:A) *
      ('Pool Changes'!B:B=D160) *
      ('Pool Changes'!F:F&lt;&gt;"")
    )
  ),
  ""
))</f>
        <v/>
      </c>
      <c r="H160" s="144" t="str">
        <f>IFERROR(__xludf.DUMMYFUNCTION("LET(changes,FILTER('Pool Changes'!$B:$D, 'Pool Changes'!$B:$B = $D160),added,FILTER(INDEX(changes,0,3),INDEX(changes,0,2)=""starting pool""),TRANSPOSE(IFERROR(ARRAYFORMULA(IF(added&lt;&gt;"""",""https://sealeddeck.tech/""&amp;added,"""")),"""")))"),"")</f>
        <v/>
      </c>
      <c r="I160" s="145" t="str">
        <f>IFERROR(__xludf.DUMMYFUNCTION("LET(changes,FILTER('Pool Changes'!$B:$D, 'Pool Changes'!$B:$B = $D160),added,FILTER(INDEX(changes,0,3),INDEX(changes,0,2)=""add pack""),IFERROR(TRANSPOSE(ARRAYFORMULA(IF(added&lt;&gt;"""",HYPERLINK(""https://sealeddeck.tech/""&amp;added,""Link""),""""))),""""))"),"")</f>
        <v/>
      </c>
      <c r="J160" s="146"/>
      <c r="K160" s="146"/>
      <c r="L160" s="146"/>
      <c r="M160" s="146"/>
      <c r="N160" s="146"/>
      <c r="O160" s="146"/>
      <c r="P160" s="146"/>
      <c r="Q160" s="146"/>
      <c r="R160" s="146"/>
      <c r="S160" s="146"/>
      <c r="T160" s="147"/>
      <c r="U160" s="147"/>
      <c r="V160" s="147"/>
      <c r="W160" s="147"/>
      <c r="X160" s="147"/>
      <c r="Y160" s="147"/>
      <c r="Z160" s="147"/>
      <c r="AA160" s="147"/>
      <c r="AB160" s="147"/>
      <c r="AC160" s="147"/>
      <c r="AD160" s="147"/>
      <c r="AE160" s="147"/>
      <c r="AF160" s="147"/>
      <c r="AG160" s="147"/>
      <c r="AH160" s="147"/>
      <c r="AI160" s="147"/>
    </row>
    <row r="161">
      <c r="A161" s="167"/>
      <c r="B161" s="140"/>
      <c r="C161" s="141" t="str">
        <f t="array" ref="C161">INDEX('Player Database'!$D:$D,MATCH($D161,'Player Database'!$B:$B,0))</f>
        <v>#N/A</v>
      </c>
      <c r="D161" s="142" t="str">
        <f t="shared" si="1"/>
        <v> - </v>
      </c>
      <c r="E161" s="143" t="str">
        <f t="array" ref="E161">XLOOKUP($D161,'Player Database'!$B$2:$B1009,'Player Database'!$I$2:$I1009)</f>
        <v>#N/A</v>
      </c>
      <c r="F161" s="143" t="str">
        <f t="array" ref="F161">XLOOKUP($D161,'Player Database'!$B$2:$B1009,'Player Database'!$J$2:$J1009)</f>
        <v>#N/A</v>
      </c>
      <c r="G161" s="144" t="str">
        <f t="array" ref="G161">IF(H161="","",IFERROR(
  "https://sealeddeck.tech/" &amp; INDEX('Pool Changes'!F:F,
    MAX(
      ROW('Pool Changes'!A:A) *
      ('Pool Changes'!B:B=D161) *
      ('Pool Changes'!F:F&lt;&gt;"")
    )
  ),
  ""
))</f>
        <v/>
      </c>
      <c r="H161" s="144" t="str">
        <f>IFERROR(__xludf.DUMMYFUNCTION("LET(changes,FILTER('Pool Changes'!$B:$D, 'Pool Changes'!$B:$B = $D161),added,FILTER(INDEX(changes,0,3),INDEX(changes,0,2)=""starting pool""),TRANSPOSE(IFERROR(ARRAYFORMULA(IF(added&lt;&gt;"""",""https://sealeddeck.tech/""&amp;added,"""")),"""")))"),"")</f>
        <v/>
      </c>
      <c r="I161" s="145" t="str">
        <f>IFERROR(__xludf.DUMMYFUNCTION("LET(changes,FILTER('Pool Changes'!$B:$D, 'Pool Changes'!$B:$B = $D161),added,FILTER(INDEX(changes,0,3),INDEX(changes,0,2)=""add pack""),IFERROR(TRANSPOSE(ARRAYFORMULA(IF(added&lt;&gt;"""",HYPERLINK(""https://sealeddeck.tech/""&amp;added,""Link""),""""))),""""))"),"")</f>
        <v/>
      </c>
      <c r="J161" s="146"/>
      <c r="K161" s="146"/>
      <c r="L161" s="146"/>
      <c r="M161" s="146"/>
      <c r="N161" s="146"/>
      <c r="O161" s="146"/>
      <c r="P161" s="146"/>
      <c r="Q161" s="146"/>
      <c r="R161" s="146"/>
      <c r="S161" s="146"/>
      <c r="T161" s="147"/>
      <c r="U161" s="147"/>
      <c r="V161" s="147"/>
      <c r="W161" s="147"/>
      <c r="X161" s="147"/>
      <c r="Y161" s="147"/>
      <c r="Z161" s="147"/>
      <c r="AA161" s="147"/>
      <c r="AB161" s="147"/>
      <c r="AC161" s="147"/>
      <c r="AD161" s="147"/>
      <c r="AE161" s="147"/>
      <c r="AF161" s="147"/>
      <c r="AG161" s="147"/>
      <c r="AH161" s="147"/>
      <c r="AI161" s="147"/>
    </row>
    <row r="162">
      <c r="A162" s="167"/>
      <c r="B162" s="140"/>
      <c r="C162" s="141" t="str">
        <f t="array" ref="C162">INDEX('Player Database'!$D:$D,MATCH($D162,'Player Database'!$B:$B,0))</f>
        <v>#N/A</v>
      </c>
      <c r="D162" s="142" t="str">
        <f t="shared" si="1"/>
        <v> - </v>
      </c>
      <c r="E162" s="143" t="str">
        <f t="array" ref="E162">XLOOKUP($D162,'Player Database'!$B$2:$B1009,'Player Database'!$I$2:$I1009)</f>
        <v>#N/A</v>
      </c>
      <c r="F162" s="143" t="str">
        <f t="array" ref="F162">XLOOKUP($D162,'Player Database'!$B$2:$B1009,'Player Database'!$J$2:$J1009)</f>
        <v>#N/A</v>
      </c>
      <c r="G162" s="144" t="str">
        <f t="array" ref="G162">IF(H162="","",IFERROR(
  "https://sealeddeck.tech/" &amp; INDEX('Pool Changes'!F:F,
    MAX(
      ROW('Pool Changes'!A:A) *
      ('Pool Changes'!B:B=D162) *
      ('Pool Changes'!F:F&lt;&gt;"")
    )
  ),
  ""
))</f>
        <v/>
      </c>
      <c r="H162" s="144" t="str">
        <f>IFERROR(__xludf.DUMMYFUNCTION("LET(changes,FILTER('Pool Changes'!$B:$D, 'Pool Changes'!$B:$B = $D162),added,FILTER(INDEX(changes,0,3),INDEX(changes,0,2)=""starting pool""),TRANSPOSE(IFERROR(ARRAYFORMULA(IF(added&lt;&gt;"""",""https://sealeddeck.tech/""&amp;added,"""")),"""")))"),"")</f>
        <v/>
      </c>
      <c r="I162" s="145" t="str">
        <f>IFERROR(__xludf.DUMMYFUNCTION("LET(changes,FILTER('Pool Changes'!$B:$D, 'Pool Changes'!$B:$B = $D162),added,FILTER(INDEX(changes,0,3),INDEX(changes,0,2)=""add pack""),IFERROR(TRANSPOSE(ARRAYFORMULA(IF(added&lt;&gt;"""",HYPERLINK(""https://sealeddeck.tech/""&amp;added,""Link""),""""))),""""))"),"")</f>
        <v/>
      </c>
      <c r="J162" s="146"/>
      <c r="K162" s="146"/>
      <c r="L162" s="146"/>
      <c r="M162" s="146"/>
      <c r="N162" s="146"/>
      <c r="O162" s="146"/>
      <c r="P162" s="146"/>
      <c r="Q162" s="146"/>
      <c r="R162" s="146"/>
      <c r="S162" s="146"/>
      <c r="T162" s="147"/>
      <c r="U162" s="147"/>
      <c r="V162" s="147"/>
      <c r="W162" s="147"/>
      <c r="X162" s="147"/>
      <c r="Y162" s="147"/>
      <c r="Z162" s="147"/>
      <c r="AA162" s="147"/>
      <c r="AB162" s="147"/>
      <c r="AC162" s="147"/>
      <c r="AD162" s="147"/>
      <c r="AE162" s="147"/>
      <c r="AF162" s="147"/>
      <c r="AG162" s="147"/>
      <c r="AH162" s="147"/>
      <c r="AI162" s="147"/>
    </row>
    <row r="163">
      <c r="A163" s="167"/>
      <c r="B163" s="140"/>
      <c r="C163" s="141" t="str">
        <f t="array" ref="C163">INDEX('Player Database'!$D:$D,MATCH($D163,'Player Database'!$B:$B,0))</f>
        <v>#N/A</v>
      </c>
      <c r="D163" s="142" t="str">
        <f t="shared" si="1"/>
        <v> - </v>
      </c>
      <c r="E163" s="143" t="str">
        <f t="array" ref="E163">XLOOKUP($D163,'Player Database'!$B$2:$B1009,'Player Database'!$I$2:$I1009)</f>
        <v>#N/A</v>
      </c>
      <c r="F163" s="143" t="str">
        <f t="array" ref="F163">XLOOKUP($D163,'Player Database'!$B$2:$B1009,'Player Database'!$J$2:$J1009)</f>
        <v>#N/A</v>
      </c>
      <c r="G163" s="144" t="str">
        <f t="array" ref="G163">IF(H163="","",IFERROR(
  "https://sealeddeck.tech/" &amp; INDEX('Pool Changes'!F:F,
    MAX(
      ROW('Pool Changes'!A:A) *
      ('Pool Changes'!B:B=D163) *
      ('Pool Changes'!F:F&lt;&gt;"")
    )
  ),
  ""
))</f>
        <v/>
      </c>
      <c r="H163" s="144" t="str">
        <f>IFERROR(__xludf.DUMMYFUNCTION("LET(changes,FILTER('Pool Changes'!$B:$D, 'Pool Changes'!$B:$B = $D163),added,FILTER(INDEX(changes,0,3),INDEX(changes,0,2)=""starting pool""),TRANSPOSE(IFERROR(ARRAYFORMULA(IF(added&lt;&gt;"""",""https://sealeddeck.tech/""&amp;added,"""")),"""")))"),"")</f>
        <v/>
      </c>
      <c r="I163" s="145" t="str">
        <f>IFERROR(__xludf.DUMMYFUNCTION("LET(changes,FILTER('Pool Changes'!$B:$D, 'Pool Changes'!$B:$B = $D163),added,FILTER(INDEX(changes,0,3),INDEX(changes,0,2)=""add pack""),IFERROR(TRANSPOSE(ARRAYFORMULA(IF(added&lt;&gt;"""",HYPERLINK(""https://sealeddeck.tech/""&amp;added,""Link""),""""))),""""))"),"")</f>
        <v/>
      </c>
      <c r="J163" s="146"/>
      <c r="K163" s="146"/>
      <c r="L163" s="146"/>
      <c r="M163" s="146"/>
      <c r="N163" s="146"/>
      <c r="O163" s="146"/>
      <c r="P163" s="146"/>
      <c r="Q163" s="146"/>
      <c r="R163" s="146"/>
      <c r="S163" s="146"/>
      <c r="T163" s="147"/>
      <c r="U163" s="147"/>
      <c r="V163" s="147"/>
      <c r="W163" s="147"/>
      <c r="X163" s="147"/>
      <c r="Y163" s="147"/>
      <c r="Z163" s="147"/>
      <c r="AA163" s="147"/>
      <c r="AB163" s="147"/>
      <c r="AC163" s="147"/>
      <c r="AD163" s="147"/>
      <c r="AE163" s="147"/>
      <c r="AF163" s="147"/>
      <c r="AG163" s="147"/>
      <c r="AH163" s="147"/>
      <c r="AI163" s="147"/>
    </row>
    <row r="164">
      <c r="A164" s="167"/>
      <c r="B164" s="140"/>
      <c r="C164" s="141" t="str">
        <f t="array" ref="C164">INDEX('Player Database'!$D:$D,MATCH($D164,'Player Database'!$B:$B,0))</f>
        <v>#N/A</v>
      </c>
      <c r="D164" s="142" t="str">
        <f t="shared" si="1"/>
        <v> - </v>
      </c>
      <c r="E164" s="143" t="str">
        <f t="array" ref="E164">XLOOKUP($D164,'Player Database'!$B$2:$B1009,'Player Database'!$I$2:$I1009)</f>
        <v>#N/A</v>
      </c>
      <c r="F164" s="143" t="str">
        <f t="array" ref="F164">XLOOKUP($D164,'Player Database'!$B$2:$B1009,'Player Database'!$J$2:$J1009)</f>
        <v>#N/A</v>
      </c>
      <c r="G164" s="144" t="str">
        <f t="array" ref="G164">IF(H164="","",IFERROR(
  "https://sealeddeck.tech/" &amp; INDEX('Pool Changes'!F:F,
    MAX(
      ROW('Pool Changes'!A:A) *
      ('Pool Changes'!B:B=D164) *
      ('Pool Changes'!F:F&lt;&gt;"")
    )
  ),
  ""
))</f>
        <v/>
      </c>
      <c r="H164" s="144" t="str">
        <f>IFERROR(__xludf.DUMMYFUNCTION("LET(changes,FILTER('Pool Changes'!$B:$D, 'Pool Changes'!$B:$B = $D164),added,FILTER(INDEX(changes,0,3),INDEX(changes,0,2)=""starting pool""),TRANSPOSE(IFERROR(ARRAYFORMULA(IF(added&lt;&gt;"""",""https://sealeddeck.tech/""&amp;added,"""")),"""")))"),"")</f>
        <v/>
      </c>
      <c r="I164" s="145" t="str">
        <f>IFERROR(__xludf.DUMMYFUNCTION("LET(changes,FILTER('Pool Changes'!$B:$D, 'Pool Changes'!$B:$B = $D164),added,FILTER(INDEX(changes,0,3),INDEX(changes,0,2)=""add pack""),IFERROR(TRANSPOSE(ARRAYFORMULA(IF(added&lt;&gt;"""",HYPERLINK(""https://sealeddeck.tech/""&amp;added,""Link""),""""))),""""))"),"")</f>
        <v/>
      </c>
      <c r="J164" s="146"/>
      <c r="K164" s="146"/>
      <c r="L164" s="146"/>
      <c r="M164" s="146"/>
      <c r="N164" s="146"/>
      <c r="O164" s="146"/>
      <c r="P164" s="146"/>
      <c r="Q164" s="146"/>
      <c r="R164" s="146"/>
      <c r="S164" s="146"/>
      <c r="T164" s="147"/>
      <c r="U164" s="147"/>
      <c r="V164" s="147"/>
      <c r="W164" s="147"/>
      <c r="X164" s="147"/>
      <c r="Y164" s="147"/>
      <c r="Z164" s="147"/>
      <c r="AA164" s="147"/>
      <c r="AB164" s="147"/>
      <c r="AC164" s="147"/>
      <c r="AD164" s="147"/>
      <c r="AE164" s="147"/>
      <c r="AF164" s="147"/>
      <c r="AG164" s="147"/>
      <c r="AH164" s="147"/>
      <c r="AI164" s="147"/>
    </row>
    <row r="165">
      <c r="A165" s="167"/>
      <c r="B165" s="140"/>
      <c r="C165" s="141" t="str">
        <f t="array" ref="C165">INDEX('Player Database'!$D:$D,MATCH($D165,'Player Database'!$B:$B,0))</f>
        <v>#N/A</v>
      </c>
      <c r="D165" s="142" t="str">
        <f t="shared" si="1"/>
        <v> - </v>
      </c>
      <c r="E165" s="143" t="str">
        <f t="array" ref="E165">XLOOKUP($D165,'Player Database'!$B$2:$B1009,'Player Database'!$I$2:$I1009)</f>
        <v>#N/A</v>
      </c>
      <c r="F165" s="143" t="str">
        <f t="array" ref="F165">XLOOKUP($D165,'Player Database'!$B$2:$B1009,'Player Database'!$J$2:$J1009)</f>
        <v>#N/A</v>
      </c>
      <c r="G165" s="144" t="str">
        <f t="array" ref="G165">IF(H165="","",IFERROR(
  "https://sealeddeck.tech/" &amp; INDEX('Pool Changes'!F:F,
    MAX(
      ROW('Pool Changes'!A:A) *
      ('Pool Changes'!B:B=D165) *
      ('Pool Changes'!F:F&lt;&gt;"")
    )
  ),
  ""
))</f>
        <v/>
      </c>
      <c r="H165" s="144" t="str">
        <f>IFERROR(__xludf.DUMMYFUNCTION("LET(changes,FILTER('Pool Changes'!$B:$D, 'Pool Changes'!$B:$B = $D165),added,FILTER(INDEX(changes,0,3),INDEX(changes,0,2)=""starting pool""),TRANSPOSE(IFERROR(ARRAYFORMULA(IF(added&lt;&gt;"""",""https://sealeddeck.tech/""&amp;added,"""")),"""")))"),"")</f>
        <v/>
      </c>
      <c r="I165" s="145" t="str">
        <f>IFERROR(__xludf.DUMMYFUNCTION("LET(changes,FILTER('Pool Changes'!$B:$D, 'Pool Changes'!$B:$B = $D165),added,FILTER(INDEX(changes,0,3),INDEX(changes,0,2)=""add pack""),IFERROR(TRANSPOSE(ARRAYFORMULA(IF(added&lt;&gt;"""",HYPERLINK(""https://sealeddeck.tech/""&amp;added,""Link""),""""))),""""))"),"")</f>
        <v/>
      </c>
      <c r="J165" s="146"/>
      <c r="K165" s="146"/>
      <c r="L165" s="146"/>
      <c r="M165" s="146"/>
      <c r="N165" s="146"/>
      <c r="O165" s="146"/>
      <c r="P165" s="146"/>
      <c r="Q165" s="146"/>
      <c r="R165" s="146"/>
      <c r="S165" s="146"/>
      <c r="T165" s="147"/>
      <c r="U165" s="147"/>
      <c r="V165" s="147"/>
      <c r="W165" s="147"/>
      <c r="X165" s="147"/>
      <c r="Y165" s="147"/>
      <c r="Z165" s="147"/>
      <c r="AA165" s="147"/>
      <c r="AB165" s="147"/>
      <c r="AC165" s="147"/>
      <c r="AD165" s="147"/>
      <c r="AE165" s="147"/>
      <c r="AF165" s="147"/>
      <c r="AG165" s="147"/>
      <c r="AH165" s="147"/>
      <c r="AI165" s="147"/>
    </row>
    <row r="166">
      <c r="A166" s="167"/>
      <c r="B166" s="140"/>
      <c r="C166" s="141" t="str">
        <f t="array" ref="C166">INDEX('Player Database'!$D:$D,MATCH($D166,'Player Database'!$B:$B,0))</f>
        <v>#N/A</v>
      </c>
      <c r="D166" s="142" t="str">
        <f t="shared" si="1"/>
        <v> - </v>
      </c>
      <c r="E166" s="143" t="str">
        <f t="array" ref="E166">XLOOKUP($D166,'Player Database'!$B$2:$B1009,'Player Database'!$I$2:$I1009)</f>
        <v>#N/A</v>
      </c>
      <c r="F166" s="143" t="str">
        <f t="array" ref="F166">XLOOKUP($D166,'Player Database'!$B$2:$B1009,'Player Database'!$J$2:$J1009)</f>
        <v>#N/A</v>
      </c>
      <c r="G166" s="144" t="str">
        <f t="array" ref="G166">IF(H166="","",IFERROR(
  "https://sealeddeck.tech/" &amp; INDEX('Pool Changes'!F:F,
    MAX(
      ROW('Pool Changes'!A:A) *
      ('Pool Changes'!B:B=D166) *
      ('Pool Changes'!F:F&lt;&gt;"")
    )
  ),
  ""
))</f>
        <v/>
      </c>
      <c r="H166" s="144" t="str">
        <f>IFERROR(__xludf.DUMMYFUNCTION("LET(changes,FILTER('Pool Changes'!$B:$D, 'Pool Changes'!$B:$B = $D166),added,FILTER(INDEX(changes,0,3),INDEX(changes,0,2)=""starting pool""),TRANSPOSE(IFERROR(ARRAYFORMULA(IF(added&lt;&gt;"""",""https://sealeddeck.tech/""&amp;added,"""")),"""")))"),"")</f>
        <v/>
      </c>
      <c r="I166" s="145" t="str">
        <f>IFERROR(__xludf.DUMMYFUNCTION("LET(changes,FILTER('Pool Changes'!$B:$D, 'Pool Changes'!$B:$B = $D166),added,FILTER(INDEX(changes,0,3),INDEX(changes,0,2)=""add pack""),IFERROR(TRANSPOSE(ARRAYFORMULA(IF(added&lt;&gt;"""",HYPERLINK(""https://sealeddeck.tech/""&amp;added,""Link""),""""))),""""))"),"")</f>
        <v/>
      </c>
      <c r="J166" s="146"/>
      <c r="K166" s="146"/>
      <c r="L166" s="146"/>
      <c r="M166" s="146"/>
      <c r="N166" s="146"/>
      <c r="O166" s="146"/>
      <c r="P166" s="146"/>
      <c r="Q166" s="146"/>
      <c r="R166" s="146"/>
      <c r="S166" s="146"/>
      <c r="T166" s="147"/>
      <c r="U166" s="147"/>
      <c r="V166" s="147"/>
      <c r="W166" s="147"/>
      <c r="X166" s="147"/>
      <c r="Y166" s="147"/>
      <c r="Z166" s="147"/>
      <c r="AA166" s="147"/>
      <c r="AB166" s="147"/>
      <c r="AC166" s="147"/>
      <c r="AD166" s="147"/>
      <c r="AE166" s="147"/>
      <c r="AF166" s="147"/>
      <c r="AG166" s="147"/>
      <c r="AH166" s="147"/>
      <c r="AI166" s="147"/>
    </row>
    <row r="167">
      <c r="A167" s="167"/>
      <c r="B167" s="140"/>
      <c r="C167" s="141" t="str">
        <f t="array" ref="C167">INDEX('Player Database'!$D:$D,MATCH($D167,'Player Database'!$B:$B,0))</f>
        <v>#N/A</v>
      </c>
      <c r="D167" s="142" t="str">
        <f t="shared" si="1"/>
        <v> - </v>
      </c>
      <c r="E167" s="143" t="str">
        <f t="array" ref="E167">XLOOKUP($D167,'Player Database'!$B$2:$B1009,'Player Database'!$I$2:$I1009)</f>
        <v>#N/A</v>
      </c>
      <c r="F167" s="143" t="str">
        <f t="array" ref="F167">XLOOKUP($D167,'Player Database'!$B$2:$B1009,'Player Database'!$J$2:$J1009)</f>
        <v>#N/A</v>
      </c>
      <c r="G167" s="144" t="str">
        <f t="array" ref="G167">IF(H167="","",IFERROR(
  "https://sealeddeck.tech/" &amp; INDEX('Pool Changes'!F:F,
    MAX(
      ROW('Pool Changes'!A:A) *
      ('Pool Changes'!B:B=D167) *
      ('Pool Changes'!F:F&lt;&gt;"")
    )
  ),
  ""
))</f>
        <v/>
      </c>
      <c r="H167" s="144" t="str">
        <f>IFERROR(__xludf.DUMMYFUNCTION("LET(changes,FILTER('Pool Changes'!$B:$D, 'Pool Changes'!$B:$B = $D167),added,FILTER(INDEX(changes,0,3),INDEX(changes,0,2)=""starting pool""),TRANSPOSE(IFERROR(ARRAYFORMULA(IF(added&lt;&gt;"""",""https://sealeddeck.tech/""&amp;added,"""")),"""")))"),"")</f>
        <v/>
      </c>
      <c r="I167" s="145" t="str">
        <f>IFERROR(__xludf.DUMMYFUNCTION("LET(changes,FILTER('Pool Changes'!$B:$D, 'Pool Changes'!$B:$B = $D167),added,FILTER(INDEX(changes,0,3),INDEX(changes,0,2)=""add pack""),IFERROR(TRANSPOSE(ARRAYFORMULA(IF(added&lt;&gt;"""",HYPERLINK(""https://sealeddeck.tech/""&amp;added,""Link""),""""))),""""))"),"")</f>
        <v/>
      </c>
      <c r="J167" s="146"/>
      <c r="K167" s="146"/>
      <c r="L167" s="146"/>
      <c r="M167" s="146"/>
      <c r="N167" s="146"/>
      <c r="O167" s="146"/>
      <c r="P167" s="146"/>
      <c r="Q167" s="146"/>
      <c r="R167" s="146"/>
      <c r="S167" s="146"/>
      <c r="T167" s="147"/>
      <c r="U167" s="147"/>
      <c r="V167" s="147"/>
      <c r="W167" s="147"/>
      <c r="X167" s="147"/>
      <c r="Y167" s="147"/>
      <c r="Z167" s="147"/>
      <c r="AA167" s="147"/>
      <c r="AB167" s="147"/>
      <c r="AC167" s="147"/>
      <c r="AD167" s="147"/>
      <c r="AE167" s="147"/>
      <c r="AF167" s="147"/>
      <c r="AG167" s="147"/>
      <c r="AH167" s="147"/>
      <c r="AI167" s="147"/>
    </row>
    <row r="168">
      <c r="A168" s="167"/>
      <c r="B168" s="140"/>
      <c r="C168" s="141" t="str">
        <f t="array" ref="C168">INDEX('Player Database'!$D:$D,MATCH($D168,'Player Database'!$B:$B,0))</f>
        <v>#N/A</v>
      </c>
      <c r="D168" s="142" t="str">
        <f t="shared" si="1"/>
        <v> - </v>
      </c>
      <c r="E168" s="143" t="str">
        <f t="array" ref="E168">XLOOKUP($D168,'Player Database'!$B$2:$B1009,'Player Database'!$I$2:$I1009)</f>
        <v>#N/A</v>
      </c>
      <c r="F168" s="143" t="str">
        <f t="array" ref="F168">XLOOKUP($D168,'Player Database'!$B$2:$B1009,'Player Database'!$J$2:$J1009)</f>
        <v>#N/A</v>
      </c>
      <c r="G168" s="144" t="str">
        <f t="array" ref="G168">IF(H168="","",IFERROR(
  "https://sealeddeck.tech/" &amp; INDEX('Pool Changes'!F:F,
    MAX(
      ROW('Pool Changes'!A:A) *
      ('Pool Changes'!B:B=D168) *
      ('Pool Changes'!F:F&lt;&gt;"")
    )
  ),
  ""
))</f>
        <v/>
      </c>
      <c r="H168" s="144" t="str">
        <f>IFERROR(__xludf.DUMMYFUNCTION("LET(changes,FILTER('Pool Changes'!$B:$D, 'Pool Changes'!$B:$B = $D168),added,FILTER(INDEX(changes,0,3),INDEX(changes,0,2)=""starting pool""),TRANSPOSE(IFERROR(ARRAYFORMULA(IF(added&lt;&gt;"""",""https://sealeddeck.tech/""&amp;added,"""")),"""")))"),"")</f>
        <v/>
      </c>
      <c r="I168" s="145" t="str">
        <f>IFERROR(__xludf.DUMMYFUNCTION("LET(changes,FILTER('Pool Changes'!$B:$D, 'Pool Changes'!$B:$B = $D168),added,FILTER(INDEX(changes,0,3),INDEX(changes,0,2)=""add pack""),IFERROR(TRANSPOSE(ARRAYFORMULA(IF(added&lt;&gt;"""",HYPERLINK(""https://sealeddeck.tech/""&amp;added,""Link""),""""))),""""))"),"")</f>
        <v/>
      </c>
      <c r="J168" s="146"/>
      <c r="K168" s="146"/>
      <c r="L168" s="146"/>
      <c r="M168" s="146"/>
      <c r="N168" s="146"/>
      <c r="O168" s="146"/>
      <c r="P168" s="146"/>
      <c r="Q168" s="146"/>
      <c r="R168" s="146"/>
      <c r="S168" s="146"/>
      <c r="T168" s="147"/>
      <c r="U168" s="147"/>
      <c r="V168" s="147"/>
      <c r="W168" s="147"/>
      <c r="X168" s="147"/>
      <c r="Y168" s="147"/>
      <c r="Z168" s="147"/>
      <c r="AA168" s="147"/>
      <c r="AB168" s="147"/>
      <c r="AC168" s="147"/>
      <c r="AD168" s="147"/>
      <c r="AE168" s="147"/>
      <c r="AF168" s="147"/>
      <c r="AG168" s="147"/>
      <c r="AH168" s="147"/>
      <c r="AI168" s="147"/>
    </row>
    <row r="169">
      <c r="A169" s="167"/>
      <c r="B169" s="140"/>
      <c r="C169" s="141" t="str">
        <f t="array" ref="C169">INDEX('Player Database'!$D:$D,MATCH($D169,'Player Database'!$B:$B,0))</f>
        <v>#N/A</v>
      </c>
      <c r="D169" s="142" t="str">
        <f t="shared" si="1"/>
        <v> - </v>
      </c>
      <c r="E169" s="143" t="str">
        <f t="array" ref="E169">XLOOKUP($D169,'Player Database'!$B$2:$B1009,'Player Database'!$I$2:$I1009)</f>
        <v>#N/A</v>
      </c>
      <c r="F169" s="143" t="str">
        <f t="array" ref="F169">XLOOKUP($D169,'Player Database'!$B$2:$B1009,'Player Database'!$J$2:$J1009)</f>
        <v>#N/A</v>
      </c>
      <c r="G169" s="144" t="str">
        <f t="array" ref="G169">IF(H169="","",IFERROR(
  "https://sealeddeck.tech/" &amp; INDEX('Pool Changes'!F:F,
    MAX(
      ROW('Pool Changes'!A:A) *
      ('Pool Changes'!B:B=D169) *
      ('Pool Changes'!F:F&lt;&gt;"")
    )
  ),
  ""
))</f>
        <v/>
      </c>
      <c r="H169" s="144" t="str">
        <f>IFERROR(__xludf.DUMMYFUNCTION("LET(changes,FILTER('Pool Changes'!$B:$D, 'Pool Changes'!$B:$B = $D169),added,FILTER(INDEX(changes,0,3),INDEX(changes,0,2)=""starting pool""),TRANSPOSE(IFERROR(ARRAYFORMULA(IF(added&lt;&gt;"""",""https://sealeddeck.tech/""&amp;added,"""")),"""")))"),"")</f>
        <v/>
      </c>
      <c r="I169" s="145" t="str">
        <f>IFERROR(__xludf.DUMMYFUNCTION("LET(changes,FILTER('Pool Changes'!$B:$D, 'Pool Changes'!$B:$B = $D169),added,FILTER(INDEX(changes,0,3),INDEX(changes,0,2)=""add pack""),IFERROR(TRANSPOSE(ARRAYFORMULA(IF(added&lt;&gt;"""",HYPERLINK(""https://sealeddeck.tech/""&amp;added,""Link""),""""))),""""))"),"")</f>
        <v/>
      </c>
      <c r="J169" s="146"/>
      <c r="K169" s="146"/>
      <c r="L169" s="146"/>
      <c r="M169" s="146"/>
      <c r="N169" s="146"/>
      <c r="O169" s="146"/>
      <c r="P169" s="146"/>
      <c r="Q169" s="146"/>
      <c r="R169" s="146"/>
      <c r="S169" s="146"/>
      <c r="T169" s="147"/>
      <c r="U169" s="147"/>
      <c r="V169" s="147"/>
      <c r="W169" s="147"/>
      <c r="X169" s="147"/>
      <c r="Y169" s="147"/>
      <c r="Z169" s="147"/>
      <c r="AA169" s="147"/>
      <c r="AB169" s="147"/>
      <c r="AC169" s="147"/>
      <c r="AD169" s="147"/>
      <c r="AE169" s="147"/>
      <c r="AF169" s="147"/>
      <c r="AG169" s="147"/>
      <c r="AH169" s="147"/>
      <c r="AI169" s="147"/>
    </row>
    <row r="170">
      <c r="A170" s="167"/>
      <c r="B170" s="140"/>
      <c r="C170" s="141" t="str">
        <f t="array" ref="C170">INDEX('Player Database'!$D:$D,MATCH($D170,'Player Database'!$B:$B,0))</f>
        <v>#N/A</v>
      </c>
      <c r="D170" s="142" t="str">
        <f t="shared" si="1"/>
        <v> - </v>
      </c>
      <c r="E170" s="143" t="str">
        <f t="array" ref="E170">XLOOKUP($D170,'Player Database'!$B$2:$B1009,'Player Database'!$I$2:$I1009)</f>
        <v>#N/A</v>
      </c>
      <c r="F170" s="143" t="str">
        <f t="array" ref="F170">XLOOKUP($D170,'Player Database'!$B$2:$B1009,'Player Database'!$J$2:$J1009)</f>
        <v>#N/A</v>
      </c>
      <c r="G170" s="144" t="str">
        <f t="array" ref="G170">IF(H170="","",IFERROR(
  "https://sealeddeck.tech/" &amp; INDEX('Pool Changes'!F:F,
    MAX(
      ROW('Pool Changes'!A:A) *
      ('Pool Changes'!B:B=D170) *
      ('Pool Changes'!F:F&lt;&gt;"")
    )
  ),
  ""
))</f>
        <v/>
      </c>
      <c r="H170" s="144" t="str">
        <f>IFERROR(__xludf.DUMMYFUNCTION("LET(changes,FILTER('Pool Changes'!$B:$D, 'Pool Changes'!$B:$B = $D170),added,FILTER(INDEX(changes,0,3),INDEX(changes,0,2)=""starting pool""),TRANSPOSE(IFERROR(ARRAYFORMULA(IF(added&lt;&gt;"""",""https://sealeddeck.tech/""&amp;added,"""")),"""")))"),"")</f>
        <v/>
      </c>
      <c r="I170" s="145" t="str">
        <f>IFERROR(__xludf.DUMMYFUNCTION("LET(changes,FILTER('Pool Changes'!$B:$D, 'Pool Changes'!$B:$B = $D170),added,FILTER(INDEX(changes,0,3),INDEX(changes,0,2)=""add pack""),IFERROR(TRANSPOSE(ARRAYFORMULA(IF(added&lt;&gt;"""",HYPERLINK(""https://sealeddeck.tech/""&amp;added,""Link""),""""))),""""))"),"")</f>
        <v/>
      </c>
      <c r="J170" s="146"/>
      <c r="K170" s="146"/>
      <c r="L170" s="146"/>
      <c r="M170" s="146"/>
      <c r="N170" s="146"/>
      <c r="O170" s="146"/>
      <c r="P170" s="146"/>
      <c r="Q170" s="146"/>
      <c r="R170" s="146"/>
      <c r="S170" s="146"/>
      <c r="T170" s="147"/>
      <c r="U170" s="147"/>
      <c r="V170" s="147"/>
      <c r="W170" s="147"/>
      <c r="X170" s="147"/>
      <c r="Y170" s="147"/>
      <c r="Z170" s="147"/>
      <c r="AA170" s="147"/>
      <c r="AB170" s="147"/>
      <c r="AC170" s="147"/>
      <c r="AD170" s="147"/>
      <c r="AE170" s="147"/>
      <c r="AF170" s="147"/>
      <c r="AG170" s="147"/>
      <c r="AH170" s="147"/>
      <c r="AI170" s="147"/>
    </row>
    <row r="171">
      <c r="A171" s="167"/>
      <c r="B171" s="140"/>
      <c r="C171" s="141" t="str">
        <f t="array" ref="C171">INDEX('Player Database'!$D:$D,MATCH($D171,'Player Database'!$B:$B,0))</f>
        <v>#N/A</v>
      </c>
      <c r="D171" s="142" t="str">
        <f t="shared" si="1"/>
        <v> - </v>
      </c>
      <c r="E171" s="143" t="str">
        <f t="array" ref="E171">XLOOKUP($D171,'Player Database'!$B$2:$B1009,'Player Database'!$I$2:$I1009)</f>
        <v>#N/A</v>
      </c>
      <c r="F171" s="143" t="str">
        <f t="array" ref="F171">XLOOKUP($D171,'Player Database'!$B$2:$B1009,'Player Database'!$J$2:$J1009)</f>
        <v>#N/A</v>
      </c>
      <c r="G171" s="144" t="str">
        <f t="array" ref="G171">IF(H171="","",IFERROR(
  "https://sealeddeck.tech/" &amp; INDEX('Pool Changes'!F:F,
    MAX(
      ROW('Pool Changes'!A:A) *
      ('Pool Changes'!B:B=D171) *
      ('Pool Changes'!F:F&lt;&gt;"")
    )
  ),
  ""
))</f>
        <v/>
      </c>
      <c r="H171" s="144" t="str">
        <f>IFERROR(__xludf.DUMMYFUNCTION("LET(changes,FILTER('Pool Changes'!$B:$D, 'Pool Changes'!$B:$B = $D171),added,FILTER(INDEX(changes,0,3),INDEX(changes,0,2)=""starting pool""),TRANSPOSE(IFERROR(ARRAYFORMULA(IF(added&lt;&gt;"""",""https://sealeddeck.tech/""&amp;added,"""")),"""")))"),"")</f>
        <v/>
      </c>
      <c r="I171" s="145" t="str">
        <f>IFERROR(__xludf.DUMMYFUNCTION("LET(changes,FILTER('Pool Changes'!$B:$D, 'Pool Changes'!$B:$B = $D171),added,FILTER(INDEX(changes,0,3),INDEX(changes,0,2)=""add pack""),IFERROR(TRANSPOSE(ARRAYFORMULA(IF(added&lt;&gt;"""",HYPERLINK(""https://sealeddeck.tech/""&amp;added,""Link""),""""))),""""))"),"")</f>
        <v/>
      </c>
      <c r="J171" s="146"/>
      <c r="K171" s="146"/>
      <c r="L171" s="146"/>
      <c r="M171" s="146"/>
      <c r="N171" s="146"/>
      <c r="O171" s="146"/>
      <c r="P171" s="146"/>
      <c r="Q171" s="146"/>
      <c r="R171" s="146"/>
      <c r="S171" s="146"/>
      <c r="T171" s="147"/>
      <c r="U171" s="147"/>
      <c r="V171" s="147"/>
      <c r="W171" s="147"/>
      <c r="X171" s="147"/>
      <c r="Y171" s="147"/>
      <c r="Z171" s="147"/>
      <c r="AA171" s="147"/>
      <c r="AB171" s="147"/>
      <c r="AC171" s="147"/>
      <c r="AD171" s="147"/>
      <c r="AE171" s="147"/>
      <c r="AF171" s="147"/>
      <c r="AG171" s="147"/>
      <c r="AH171" s="147"/>
      <c r="AI171" s="147"/>
    </row>
    <row r="172">
      <c r="A172" s="167"/>
      <c r="B172" s="140"/>
      <c r="C172" s="141" t="str">
        <f t="array" ref="C172">INDEX('Player Database'!$D:$D,MATCH($D172,'Player Database'!$B:$B,0))</f>
        <v>#N/A</v>
      </c>
      <c r="D172" s="142" t="str">
        <f t="shared" si="1"/>
        <v> - </v>
      </c>
      <c r="E172" s="143" t="str">
        <f t="array" ref="E172">XLOOKUP($D172,'Player Database'!$B$2:$B1009,'Player Database'!$I$2:$I1009)</f>
        <v>#N/A</v>
      </c>
      <c r="F172" s="143" t="str">
        <f t="array" ref="F172">XLOOKUP($D172,'Player Database'!$B$2:$B1009,'Player Database'!$J$2:$J1009)</f>
        <v>#N/A</v>
      </c>
      <c r="G172" s="144" t="str">
        <f t="array" ref="G172">IF(H172="","",IFERROR(
  "https://sealeddeck.tech/" &amp; INDEX('Pool Changes'!F:F,
    MAX(
      ROW('Pool Changes'!A:A) *
      ('Pool Changes'!B:B=D172) *
      ('Pool Changes'!F:F&lt;&gt;"")
    )
  ),
  ""
))</f>
        <v/>
      </c>
      <c r="H172" s="144" t="str">
        <f>IFERROR(__xludf.DUMMYFUNCTION("LET(changes,FILTER('Pool Changes'!$B:$D, 'Pool Changes'!$B:$B = $D172),added,FILTER(INDEX(changes,0,3),INDEX(changes,0,2)=""starting pool""),TRANSPOSE(IFERROR(ARRAYFORMULA(IF(added&lt;&gt;"""",""https://sealeddeck.tech/""&amp;added,"""")),"""")))"),"")</f>
        <v/>
      </c>
      <c r="I172" s="145" t="str">
        <f>IFERROR(__xludf.DUMMYFUNCTION("LET(changes,FILTER('Pool Changes'!$B:$D, 'Pool Changes'!$B:$B = $D172),added,FILTER(INDEX(changes,0,3),INDEX(changes,0,2)=""add pack""),IFERROR(TRANSPOSE(ARRAYFORMULA(IF(added&lt;&gt;"""",HYPERLINK(""https://sealeddeck.tech/""&amp;added,""Link""),""""))),""""))"),"")</f>
        <v/>
      </c>
      <c r="J172" s="146"/>
      <c r="K172" s="146"/>
      <c r="L172" s="146"/>
      <c r="M172" s="146"/>
      <c r="N172" s="146"/>
      <c r="O172" s="146"/>
      <c r="P172" s="146"/>
      <c r="Q172" s="146"/>
      <c r="R172" s="146"/>
      <c r="S172" s="146"/>
      <c r="T172" s="147"/>
      <c r="U172" s="147"/>
      <c r="V172" s="147"/>
      <c r="W172" s="147"/>
      <c r="X172" s="147"/>
      <c r="Y172" s="147"/>
      <c r="Z172" s="147"/>
      <c r="AA172" s="147"/>
      <c r="AB172" s="147"/>
      <c r="AC172" s="147"/>
      <c r="AD172" s="147"/>
      <c r="AE172" s="147"/>
      <c r="AF172" s="147"/>
      <c r="AG172" s="147"/>
      <c r="AH172" s="147"/>
      <c r="AI172" s="147"/>
    </row>
    <row r="173">
      <c r="A173" s="167"/>
      <c r="B173" s="140"/>
      <c r="C173" s="141" t="str">
        <f t="array" ref="C173">INDEX('Player Database'!$D:$D,MATCH($D173,'Player Database'!$B:$B,0))</f>
        <v>#N/A</v>
      </c>
      <c r="D173" s="142" t="str">
        <f t="shared" si="1"/>
        <v> - </v>
      </c>
      <c r="E173" s="143" t="str">
        <f t="array" ref="E173">XLOOKUP($D173,'Player Database'!$B$2:$B1009,'Player Database'!$I$2:$I1009)</f>
        <v>#N/A</v>
      </c>
      <c r="F173" s="143" t="str">
        <f t="array" ref="F173">XLOOKUP($D173,'Player Database'!$B$2:$B1009,'Player Database'!$J$2:$J1009)</f>
        <v>#N/A</v>
      </c>
      <c r="G173" s="144" t="str">
        <f t="array" ref="G173">IF(H173="","",IFERROR(
  "https://sealeddeck.tech/" &amp; INDEX('Pool Changes'!F:F,
    MAX(
      ROW('Pool Changes'!A:A) *
      ('Pool Changes'!B:B=D173) *
      ('Pool Changes'!F:F&lt;&gt;"")
    )
  ),
  ""
))</f>
        <v/>
      </c>
      <c r="H173" s="144" t="str">
        <f>IFERROR(__xludf.DUMMYFUNCTION("LET(changes,FILTER('Pool Changes'!$B:$D, 'Pool Changes'!$B:$B = $D173),added,FILTER(INDEX(changes,0,3),INDEX(changes,0,2)=""starting pool""),TRANSPOSE(IFERROR(ARRAYFORMULA(IF(added&lt;&gt;"""",""https://sealeddeck.tech/""&amp;added,"""")),"""")))"),"")</f>
        <v/>
      </c>
      <c r="I173" s="145" t="str">
        <f>IFERROR(__xludf.DUMMYFUNCTION("LET(changes,FILTER('Pool Changes'!$B:$D, 'Pool Changes'!$B:$B = $D173),added,FILTER(INDEX(changes,0,3),INDEX(changes,0,2)=""add pack""),IFERROR(TRANSPOSE(ARRAYFORMULA(IF(added&lt;&gt;"""",HYPERLINK(""https://sealeddeck.tech/""&amp;added,""Link""),""""))),""""))"),"")</f>
        <v/>
      </c>
      <c r="J173" s="146"/>
      <c r="K173" s="146"/>
      <c r="L173" s="146"/>
      <c r="M173" s="146"/>
      <c r="N173" s="146"/>
      <c r="O173" s="146"/>
      <c r="P173" s="146"/>
      <c r="Q173" s="146"/>
      <c r="R173" s="146"/>
      <c r="S173" s="146"/>
      <c r="T173" s="147"/>
      <c r="U173" s="147"/>
      <c r="V173" s="147"/>
      <c r="W173" s="147"/>
      <c r="X173" s="147"/>
      <c r="Y173" s="147"/>
      <c r="Z173" s="147"/>
      <c r="AA173" s="147"/>
      <c r="AB173" s="147"/>
      <c r="AC173" s="147"/>
      <c r="AD173" s="147"/>
      <c r="AE173" s="147"/>
      <c r="AF173" s="147"/>
      <c r="AG173" s="147"/>
      <c r="AH173" s="147"/>
      <c r="AI173" s="147"/>
    </row>
    <row r="174">
      <c r="A174" s="167"/>
      <c r="B174" s="140"/>
      <c r="C174" s="141" t="str">
        <f t="array" ref="C174">INDEX('Player Database'!$D:$D,MATCH($D174,'Player Database'!$B:$B,0))</f>
        <v>#N/A</v>
      </c>
      <c r="D174" s="142" t="str">
        <f t="shared" si="1"/>
        <v> - </v>
      </c>
      <c r="E174" s="143" t="str">
        <f t="array" ref="E174">XLOOKUP($D174,'Player Database'!$B$2:$B1009,'Player Database'!$I$2:$I1009)</f>
        <v>#N/A</v>
      </c>
      <c r="F174" s="143" t="str">
        <f t="array" ref="F174">XLOOKUP($D174,'Player Database'!$B$2:$B1009,'Player Database'!$J$2:$J1009)</f>
        <v>#N/A</v>
      </c>
      <c r="G174" s="144" t="str">
        <f t="array" ref="G174">IF(H174="","",IFERROR(
  "https://sealeddeck.tech/" &amp; INDEX('Pool Changes'!F:F,
    MAX(
      ROW('Pool Changes'!A:A) *
      ('Pool Changes'!B:B=D174) *
      ('Pool Changes'!F:F&lt;&gt;"")
    )
  ),
  ""
))</f>
        <v/>
      </c>
      <c r="H174" s="144" t="str">
        <f>IFERROR(__xludf.DUMMYFUNCTION("LET(changes,FILTER('Pool Changes'!$B:$D, 'Pool Changes'!$B:$B = $D174),added,FILTER(INDEX(changes,0,3),INDEX(changes,0,2)=""starting pool""),TRANSPOSE(IFERROR(ARRAYFORMULA(IF(added&lt;&gt;"""",""https://sealeddeck.tech/""&amp;added,"""")),"""")))"),"")</f>
        <v/>
      </c>
      <c r="I174" s="145" t="str">
        <f>IFERROR(__xludf.DUMMYFUNCTION("LET(changes,FILTER('Pool Changes'!$B:$D, 'Pool Changes'!$B:$B = $D174),added,FILTER(INDEX(changes,0,3),INDEX(changes,0,2)=""add pack""),IFERROR(TRANSPOSE(ARRAYFORMULA(IF(added&lt;&gt;"""",HYPERLINK(""https://sealeddeck.tech/""&amp;added,""Link""),""""))),""""))"),"")</f>
        <v/>
      </c>
      <c r="J174" s="146"/>
      <c r="K174" s="146"/>
      <c r="L174" s="146"/>
      <c r="M174" s="146"/>
      <c r="N174" s="146"/>
      <c r="O174" s="146"/>
      <c r="P174" s="146"/>
      <c r="Q174" s="146"/>
      <c r="R174" s="146"/>
      <c r="S174" s="146"/>
      <c r="T174" s="147"/>
      <c r="U174" s="147"/>
      <c r="V174" s="147"/>
      <c r="W174" s="147"/>
      <c r="X174" s="147"/>
      <c r="Y174" s="147"/>
      <c r="Z174" s="147"/>
      <c r="AA174" s="147"/>
      <c r="AB174" s="147"/>
      <c r="AC174" s="147"/>
      <c r="AD174" s="147"/>
      <c r="AE174" s="147"/>
      <c r="AF174" s="147"/>
      <c r="AG174" s="147"/>
      <c r="AH174" s="147"/>
      <c r="AI174" s="147"/>
    </row>
    <row r="175">
      <c r="A175" s="167"/>
      <c r="B175" s="140"/>
      <c r="C175" s="141" t="str">
        <f t="array" ref="C175">INDEX('Player Database'!$D:$D,MATCH($D175,'Player Database'!$B:$B,0))</f>
        <v>#N/A</v>
      </c>
      <c r="D175" s="142" t="str">
        <f t="shared" si="1"/>
        <v> - </v>
      </c>
      <c r="E175" s="143" t="str">
        <f t="array" ref="E175">XLOOKUP($D175,'Player Database'!$B$2:$B1009,'Player Database'!$I$2:$I1009)</f>
        <v>#N/A</v>
      </c>
      <c r="F175" s="143" t="str">
        <f t="array" ref="F175">XLOOKUP($D175,'Player Database'!$B$2:$B1009,'Player Database'!$J$2:$J1009)</f>
        <v>#N/A</v>
      </c>
      <c r="G175" s="144" t="str">
        <f t="array" ref="G175">IF(H175="","",IFERROR(
  "https://sealeddeck.tech/" &amp; INDEX('Pool Changes'!F:F,
    MAX(
      ROW('Pool Changes'!A:A) *
      ('Pool Changes'!B:B=D175) *
      ('Pool Changes'!F:F&lt;&gt;"")
    )
  ),
  ""
))</f>
        <v/>
      </c>
      <c r="H175" s="144" t="str">
        <f>IFERROR(__xludf.DUMMYFUNCTION("LET(changes,FILTER('Pool Changes'!$B:$D, 'Pool Changes'!$B:$B = $D175),added,FILTER(INDEX(changes,0,3),INDEX(changes,0,2)=""starting pool""),TRANSPOSE(IFERROR(ARRAYFORMULA(IF(added&lt;&gt;"""",""https://sealeddeck.tech/""&amp;added,"""")),"""")))"),"")</f>
        <v/>
      </c>
      <c r="I175" s="145" t="str">
        <f>IFERROR(__xludf.DUMMYFUNCTION("LET(changes,FILTER('Pool Changes'!$B:$D, 'Pool Changes'!$B:$B = $D175),added,FILTER(INDEX(changes,0,3),INDEX(changes,0,2)=""add pack""),IFERROR(TRANSPOSE(ARRAYFORMULA(IF(added&lt;&gt;"""",HYPERLINK(""https://sealeddeck.tech/""&amp;added,""Link""),""""))),""""))"),"")</f>
        <v/>
      </c>
      <c r="J175" s="146"/>
      <c r="K175" s="146"/>
      <c r="L175" s="146"/>
      <c r="M175" s="146"/>
      <c r="N175" s="146"/>
      <c r="O175" s="146"/>
      <c r="P175" s="146"/>
      <c r="Q175" s="146"/>
      <c r="R175" s="146"/>
      <c r="S175" s="146"/>
      <c r="T175" s="147"/>
      <c r="U175" s="147"/>
      <c r="V175" s="147"/>
      <c r="W175" s="147"/>
      <c r="X175" s="147"/>
      <c r="Y175" s="147"/>
      <c r="Z175" s="147"/>
      <c r="AA175" s="147"/>
      <c r="AB175" s="147"/>
      <c r="AC175" s="147"/>
      <c r="AD175" s="147"/>
      <c r="AE175" s="147"/>
      <c r="AF175" s="147"/>
      <c r="AG175" s="147"/>
      <c r="AH175" s="147"/>
      <c r="AI175" s="147"/>
    </row>
    <row r="176">
      <c r="A176" s="167"/>
      <c r="B176" s="140"/>
      <c r="C176" s="141" t="str">
        <f t="array" ref="C176">INDEX('Player Database'!$D:$D,MATCH($D176,'Player Database'!$B:$B,0))</f>
        <v>#N/A</v>
      </c>
      <c r="D176" s="142" t="str">
        <f t="shared" si="1"/>
        <v> - </v>
      </c>
      <c r="E176" s="143" t="str">
        <f t="array" ref="E176">XLOOKUP($D176,'Player Database'!$B$2:$B1009,'Player Database'!$I$2:$I1009)</f>
        <v>#N/A</v>
      </c>
      <c r="F176" s="143" t="str">
        <f t="array" ref="F176">XLOOKUP($D176,'Player Database'!$B$2:$B1009,'Player Database'!$J$2:$J1009)</f>
        <v>#N/A</v>
      </c>
      <c r="G176" s="144" t="str">
        <f t="array" ref="G176">IF(H176="","",IFERROR(
  "https://sealeddeck.tech/" &amp; INDEX('Pool Changes'!F:F,
    MAX(
      ROW('Pool Changes'!A:A) *
      ('Pool Changes'!B:B=D176) *
      ('Pool Changes'!F:F&lt;&gt;"")
    )
  ),
  ""
))</f>
        <v/>
      </c>
      <c r="H176" s="144" t="str">
        <f>IFERROR(__xludf.DUMMYFUNCTION("LET(changes,FILTER('Pool Changes'!$B:$D, 'Pool Changes'!$B:$B = $D176),added,FILTER(INDEX(changes,0,3),INDEX(changes,0,2)=""starting pool""),TRANSPOSE(IFERROR(ARRAYFORMULA(IF(added&lt;&gt;"""",""https://sealeddeck.tech/""&amp;added,"""")),"""")))"),"")</f>
        <v/>
      </c>
      <c r="I176" s="145" t="str">
        <f>IFERROR(__xludf.DUMMYFUNCTION("LET(changes,FILTER('Pool Changes'!$B:$D, 'Pool Changes'!$B:$B = $D176),added,FILTER(INDEX(changes,0,3),INDEX(changes,0,2)=""add pack""),IFERROR(TRANSPOSE(ARRAYFORMULA(IF(added&lt;&gt;"""",HYPERLINK(""https://sealeddeck.tech/""&amp;added,""Link""),""""))),""""))"),"")</f>
        <v/>
      </c>
      <c r="J176" s="146"/>
      <c r="K176" s="146"/>
      <c r="L176" s="146"/>
      <c r="M176" s="146"/>
      <c r="N176" s="146"/>
      <c r="O176" s="146"/>
      <c r="P176" s="146"/>
      <c r="Q176" s="146"/>
      <c r="R176" s="146"/>
      <c r="S176" s="146"/>
      <c r="T176" s="147"/>
      <c r="U176" s="147"/>
      <c r="V176" s="147"/>
      <c r="W176" s="147"/>
      <c r="X176" s="147"/>
      <c r="Y176" s="147"/>
      <c r="Z176" s="147"/>
      <c r="AA176" s="147"/>
      <c r="AB176" s="147"/>
      <c r="AC176" s="147"/>
      <c r="AD176" s="147"/>
      <c r="AE176" s="147"/>
      <c r="AF176" s="147"/>
      <c r="AG176" s="147"/>
      <c r="AH176" s="147"/>
      <c r="AI176" s="147"/>
    </row>
    <row r="177">
      <c r="A177" s="167"/>
      <c r="B177" s="140"/>
      <c r="C177" s="141" t="str">
        <f t="array" ref="C177">INDEX('Player Database'!$D:$D,MATCH($D177,'Player Database'!$B:$B,0))</f>
        <v>#N/A</v>
      </c>
      <c r="D177" s="142" t="str">
        <f t="shared" si="1"/>
        <v> - </v>
      </c>
      <c r="E177" s="143" t="str">
        <f t="array" ref="E177">XLOOKUP($D177,'Player Database'!$B$2:$B1009,'Player Database'!$I$2:$I1009)</f>
        <v>#N/A</v>
      </c>
      <c r="F177" s="143" t="str">
        <f t="array" ref="F177">XLOOKUP($D177,'Player Database'!$B$2:$B1009,'Player Database'!$J$2:$J1009)</f>
        <v>#N/A</v>
      </c>
      <c r="G177" s="144" t="str">
        <f t="array" ref="G177">IF(H177="","",IFERROR(
  "https://sealeddeck.tech/" &amp; INDEX('Pool Changes'!F:F,
    MAX(
      ROW('Pool Changes'!A:A) *
      ('Pool Changes'!B:B=D177) *
      ('Pool Changes'!F:F&lt;&gt;"")
    )
  ),
  ""
))</f>
        <v/>
      </c>
      <c r="H177" s="144" t="str">
        <f>IFERROR(__xludf.DUMMYFUNCTION("LET(changes,FILTER('Pool Changes'!$B:$D, 'Pool Changes'!$B:$B = $D177),added,FILTER(INDEX(changes,0,3),INDEX(changes,0,2)=""starting pool""),TRANSPOSE(IFERROR(ARRAYFORMULA(IF(added&lt;&gt;"""",""https://sealeddeck.tech/""&amp;added,"""")),"""")))"),"")</f>
        <v/>
      </c>
      <c r="I177" s="145" t="str">
        <f>IFERROR(__xludf.DUMMYFUNCTION("LET(changes,FILTER('Pool Changes'!$B:$D, 'Pool Changes'!$B:$B = $D177),added,FILTER(INDEX(changes,0,3),INDEX(changes,0,2)=""add pack""),IFERROR(TRANSPOSE(ARRAYFORMULA(IF(added&lt;&gt;"""",HYPERLINK(""https://sealeddeck.tech/""&amp;added,""Link""),""""))),""""))"),"")</f>
        <v/>
      </c>
      <c r="J177" s="146"/>
      <c r="K177" s="146"/>
      <c r="L177" s="146"/>
      <c r="M177" s="146"/>
      <c r="N177" s="146"/>
      <c r="O177" s="146"/>
      <c r="P177" s="146"/>
      <c r="Q177" s="146"/>
      <c r="R177" s="146"/>
      <c r="S177" s="146"/>
      <c r="T177" s="147"/>
      <c r="U177" s="147"/>
      <c r="V177" s="147"/>
      <c r="W177" s="147"/>
      <c r="X177" s="147"/>
      <c r="Y177" s="147"/>
      <c r="Z177" s="147"/>
      <c r="AA177" s="147"/>
      <c r="AB177" s="147"/>
      <c r="AC177" s="147"/>
      <c r="AD177" s="147"/>
      <c r="AE177" s="147"/>
      <c r="AF177" s="147"/>
      <c r="AG177" s="147"/>
      <c r="AH177" s="147"/>
      <c r="AI177" s="147"/>
    </row>
    <row r="178">
      <c r="A178" s="167"/>
      <c r="B178" s="140"/>
      <c r="C178" s="141" t="str">
        <f t="array" ref="C178">INDEX('Player Database'!$D:$D,MATCH($D178,'Player Database'!$B:$B,0))</f>
        <v>#N/A</v>
      </c>
      <c r="D178" s="142" t="str">
        <f t="shared" si="1"/>
        <v> - </v>
      </c>
      <c r="E178" s="143" t="str">
        <f t="array" ref="E178">XLOOKUP($D178,'Player Database'!$B$2:$B1009,'Player Database'!$I$2:$I1009)</f>
        <v>#N/A</v>
      </c>
      <c r="F178" s="143" t="str">
        <f t="array" ref="F178">XLOOKUP($D178,'Player Database'!$B$2:$B1009,'Player Database'!$J$2:$J1009)</f>
        <v>#N/A</v>
      </c>
      <c r="G178" s="144" t="str">
        <f t="array" ref="G178">IF(H178="","",IFERROR(
  "https://sealeddeck.tech/" &amp; INDEX('Pool Changes'!F:F,
    MAX(
      ROW('Pool Changes'!A:A) *
      ('Pool Changes'!B:B=D178) *
      ('Pool Changes'!F:F&lt;&gt;"")
    )
  ),
  ""
))</f>
        <v/>
      </c>
      <c r="H178" s="144" t="str">
        <f>IFERROR(__xludf.DUMMYFUNCTION("LET(changes,FILTER('Pool Changes'!$B:$D, 'Pool Changes'!$B:$B = $D178),added,FILTER(INDEX(changes,0,3),INDEX(changes,0,2)=""starting pool""),TRANSPOSE(IFERROR(ARRAYFORMULA(IF(added&lt;&gt;"""",""https://sealeddeck.tech/""&amp;added,"""")),"""")))"),"")</f>
        <v/>
      </c>
      <c r="I178" s="145" t="str">
        <f>IFERROR(__xludf.DUMMYFUNCTION("LET(changes,FILTER('Pool Changes'!$B:$D, 'Pool Changes'!$B:$B = $D178),added,FILTER(INDEX(changes,0,3),INDEX(changes,0,2)=""add pack""),IFERROR(TRANSPOSE(ARRAYFORMULA(IF(added&lt;&gt;"""",HYPERLINK(""https://sealeddeck.tech/""&amp;added,""Link""),""""))),""""))"),"")</f>
        <v/>
      </c>
      <c r="J178" s="146"/>
      <c r="K178" s="146"/>
      <c r="L178" s="146"/>
      <c r="M178" s="146"/>
      <c r="N178" s="146"/>
      <c r="O178" s="146"/>
      <c r="P178" s="146"/>
      <c r="Q178" s="146"/>
      <c r="R178" s="146"/>
      <c r="S178" s="146"/>
      <c r="T178" s="147"/>
      <c r="U178" s="147"/>
      <c r="V178" s="147"/>
      <c r="W178" s="147"/>
      <c r="X178" s="147"/>
      <c r="Y178" s="147"/>
      <c r="Z178" s="147"/>
      <c r="AA178" s="147"/>
      <c r="AB178" s="147"/>
      <c r="AC178" s="147"/>
      <c r="AD178" s="147"/>
      <c r="AE178" s="147"/>
      <c r="AF178" s="147"/>
      <c r="AG178" s="147"/>
      <c r="AH178" s="147"/>
      <c r="AI178" s="147"/>
    </row>
    <row r="179">
      <c r="A179" s="54"/>
      <c r="C179" s="54"/>
      <c r="D179" s="54"/>
      <c r="G179" s="54"/>
      <c r="H179" s="54"/>
    </row>
    <row r="180">
      <c r="A180" s="54"/>
      <c r="C180" s="54"/>
      <c r="D180" s="54"/>
      <c r="G180" s="54"/>
      <c r="H180" s="54"/>
    </row>
    <row r="181">
      <c r="A181" s="54"/>
      <c r="C181" s="54"/>
      <c r="D181" s="54"/>
      <c r="G181" s="54"/>
      <c r="H181" s="54"/>
    </row>
    <row r="182">
      <c r="A182" s="54"/>
      <c r="C182" s="54"/>
      <c r="D182" s="54"/>
      <c r="G182" s="54"/>
      <c r="H182" s="54"/>
    </row>
    <row r="183">
      <c r="A183" s="54"/>
      <c r="C183" s="54"/>
      <c r="D183" s="54"/>
      <c r="G183" s="54"/>
      <c r="H183" s="54"/>
    </row>
    <row r="184">
      <c r="A184" s="54"/>
      <c r="C184" s="54"/>
      <c r="D184" s="54"/>
      <c r="G184" s="54"/>
      <c r="H184" s="54"/>
    </row>
    <row r="185">
      <c r="A185" s="54"/>
      <c r="C185" s="54"/>
      <c r="D185" s="54"/>
      <c r="G185" s="54"/>
      <c r="H185" s="54"/>
    </row>
    <row r="186">
      <c r="A186" s="54"/>
      <c r="C186" s="54"/>
      <c r="D186" s="54"/>
      <c r="G186" s="54"/>
      <c r="H186" s="54"/>
    </row>
    <row r="187">
      <c r="A187" s="54"/>
      <c r="C187" s="54"/>
      <c r="D187" s="54"/>
      <c r="G187" s="54"/>
      <c r="H187" s="54"/>
    </row>
    <row r="188">
      <c r="A188" s="54"/>
      <c r="C188" s="54"/>
      <c r="D188" s="54"/>
      <c r="G188" s="54"/>
      <c r="H188" s="54"/>
    </row>
    <row r="189">
      <c r="A189" s="54"/>
      <c r="C189" s="54"/>
      <c r="D189" s="54"/>
      <c r="G189" s="54"/>
      <c r="H189" s="54"/>
    </row>
    <row r="190">
      <c r="A190" s="54"/>
      <c r="C190" s="54"/>
      <c r="D190" s="54"/>
      <c r="G190" s="54"/>
      <c r="H190" s="54"/>
    </row>
    <row r="191">
      <c r="A191" s="54"/>
      <c r="C191" s="54"/>
      <c r="D191" s="54"/>
      <c r="G191" s="54"/>
      <c r="H191" s="54"/>
    </row>
    <row r="192">
      <c r="A192" s="54"/>
      <c r="C192" s="54"/>
      <c r="D192" s="54"/>
      <c r="G192" s="54"/>
      <c r="H192" s="54"/>
    </row>
    <row r="193">
      <c r="A193" s="167"/>
      <c r="B193" s="169"/>
      <c r="C193" s="170"/>
      <c r="D193" s="170"/>
      <c r="E193" s="170"/>
      <c r="F193" s="170"/>
      <c r="G193" s="171"/>
      <c r="H193" s="171"/>
      <c r="I193" s="172"/>
      <c r="J193" s="172"/>
      <c r="K193" s="172"/>
      <c r="L193" s="172"/>
      <c r="M193" s="147"/>
      <c r="Q193" s="147"/>
      <c r="R193" s="147"/>
      <c r="S193" s="147"/>
      <c r="T193" s="147"/>
      <c r="U193" s="147"/>
      <c r="V193" s="147"/>
      <c r="W193" s="147"/>
      <c r="X193" s="147"/>
      <c r="Y193" s="147"/>
      <c r="Z193" s="147"/>
      <c r="AA193" s="147"/>
      <c r="AB193" s="147"/>
      <c r="AC193" s="147"/>
      <c r="AD193" s="147"/>
      <c r="AE193" s="147"/>
      <c r="AF193" s="147"/>
      <c r="AG193" s="147"/>
      <c r="AH193" s="147"/>
      <c r="AI193" s="147"/>
    </row>
    <row r="194">
      <c r="A194" s="167"/>
      <c r="B194" s="169"/>
      <c r="C194" s="170"/>
      <c r="D194" s="170"/>
      <c r="E194" s="170"/>
      <c r="F194" s="170"/>
      <c r="G194" s="171"/>
      <c r="H194" s="171"/>
      <c r="I194" s="172"/>
      <c r="J194" s="172"/>
      <c r="K194" s="172"/>
      <c r="L194" s="172"/>
      <c r="M194" s="147"/>
      <c r="Q194" s="147"/>
      <c r="R194" s="147"/>
      <c r="S194" s="147"/>
      <c r="T194" s="147"/>
      <c r="U194" s="147"/>
      <c r="V194" s="147"/>
      <c r="W194" s="147"/>
      <c r="X194" s="147"/>
      <c r="Y194" s="147"/>
      <c r="Z194" s="147"/>
      <c r="AA194" s="147"/>
      <c r="AB194" s="147"/>
      <c r="AC194" s="147"/>
      <c r="AD194" s="147"/>
      <c r="AE194" s="147"/>
      <c r="AF194" s="147"/>
      <c r="AG194" s="147"/>
      <c r="AH194" s="147"/>
      <c r="AI194" s="147"/>
    </row>
    <row r="195">
      <c r="A195" s="167"/>
      <c r="B195" s="169"/>
      <c r="C195" s="170"/>
      <c r="D195" s="170"/>
      <c r="E195" s="170"/>
      <c r="F195" s="170"/>
      <c r="G195" s="171"/>
      <c r="H195" s="171"/>
      <c r="I195" s="172"/>
      <c r="J195" s="172"/>
      <c r="K195" s="172"/>
      <c r="L195" s="172"/>
      <c r="M195" s="147"/>
      <c r="Q195" s="147"/>
      <c r="R195" s="147"/>
      <c r="S195" s="147"/>
      <c r="T195" s="147"/>
      <c r="U195" s="147"/>
      <c r="V195" s="147"/>
      <c r="W195" s="147"/>
      <c r="X195" s="147"/>
      <c r="Y195" s="147"/>
      <c r="Z195" s="147"/>
      <c r="AA195" s="147"/>
      <c r="AB195" s="147"/>
      <c r="AC195" s="147"/>
      <c r="AD195" s="147"/>
      <c r="AE195" s="147"/>
      <c r="AF195" s="147"/>
      <c r="AG195" s="147"/>
      <c r="AH195" s="147"/>
      <c r="AI195" s="147"/>
    </row>
    <row r="196">
      <c r="A196" s="167"/>
      <c r="B196" s="169"/>
      <c r="C196" s="170"/>
      <c r="D196" s="170"/>
      <c r="E196" s="170"/>
      <c r="F196" s="170"/>
      <c r="G196" s="171"/>
      <c r="H196" s="171"/>
      <c r="I196" s="172"/>
      <c r="J196" s="172"/>
      <c r="K196" s="172"/>
      <c r="L196" s="172"/>
      <c r="M196" s="147"/>
      <c r="Q196" s="147"/>
      <c r="R196" s="147"/>
      <c r="S196" s="147"/>
      <c r="T196" s="147"/>
      <c r="U196" s="147"/>
      <c r="V196" s="147"/>
      <c r="W196" s="147"/>
      <c r="X196" s="147"/>
      <c r="Y196" s="147"/>
      <c r="Z196" s="147"/>
      <c r="AA196" s="147"/>
      <c r="AB196" s="147"/>
      <c r="AC196" s="147"/>
      <c r="AD196" s="147"/>
      <c r="AE196" s="147"/>
      <c r="AF196" s="147"/>
      <c r="AG196" s="147"/>
      <c r="AH196" s="147"/>
      <c r="AI196" s="147"/>
    </row>
    <row r="197">
      <c r="A197" s="167"/>
      <c r="B197" s="169"/>
      <c r="C197" s="170"/>
      <c r="D197" s="170"/>
      <c r="E197" s="170"/>
      <c r="F197" s="170"/>
      <c r="G197" s="171"/>
      <c r="H197" s="171"/>
      <c r="I197" s="172"/>
      <c r="J197" s="172"/>
      <c r="K197" s="172"/>
      <c r="L197" s="172"/>
      <c r="M197" s="147"/>
      <c r="Q197" s="147"/>
      <c r="R197" s="147"/>
      <c r="S197" s="147"/>
      <c r="T197" s="147"/>
      <c r="U197" s="147"/>
      <c r="V197" s="147"/>
      <c r="W197" s="147"/>
      <c r="X197" s="147"/>
      <c r="Y197" s="147"/>
      <c r="Z197" s="147"/>
      <c r="AA197" s="147"/>
      <c r="AB197" s="147"/>
      <c r="AC197" s="147"/>
      <c r="AD197" s="147"/>
      <c r="AE197" s="147"/>
      <c r="AF197" s="147"/>
      <c r="AG197" s="147"/>
      <c r="AH197" s="147"/>
      <c r="AI197" s="147"/>
    </row>
    <row r="198">
      <c r="A198" s="167"/>
      <c r="B198" s="169"/>
      <c r="C198" s="170"/>
      <c r="D198" s="170"/>
      <c r="E198" s="170"/>
      <c r="F198" s="170"/>
      <c r="G198" s="171"/>
      <c r="H198" s="171"/>
      <c r="I198" s="172"/>
      <c r="J198" s="172"/>
      <c r="K198" s="172"/>
      <c r="L198" s="172"/>
      <c r="M198" s="147"/>
      <c r="Q198" s="147"/>
      <c r="R198" s="147"/>
      <c r="S198" s="147"/>
      <c r="T198" s="147"/>
      <c r="U198" s="147"/>
      <c r="V198" s="147"/>
      <c r="W198" s="147"/>
      <c r="X198" s="147"/>
      <c r="Y198" s="147"/>
      <c r="Z198" s="147"/>
      <c r="AA198" s="147"/>
      <c r="AB198" s="147"/>
      <c r="AC198" s="147"/>
      <c r="AD198" s="147"/>
      <c r="AE198" s="147"/>
      <c r="AF198" s="147"/>
      <c r="AG198" s="147"/>
      <c r="AH198" s="147"/>
      <c r="AI198" s="147"/>
    </row>
    <row r="199">
      <c r="A199" s="167"/>
      <c r="B199" s="169"/>
      <c r="C199" s="170"/>
      <c r="D199" s="170"/>
      <c r="E199" s="170"/>
      <c r="F199" s="170"/>
      <c r="G199" s="171"/>
      <c r="H199" s="171"/>
      <c r="I199" s="172"/>
      <c r="J199" s="172"/>
      <c r="K199" s="172"/>
      <c r="L199" s="172"/>
      <c r="M199" s="147"/>
      <c r="Q199" s="147"/>
      <c r="R199" s="147"/>
      <c r="S199" s="147"/>
      <c r="T199" s="147"/>
      <c r="U199" s="147"/>
      <c r="V199" s="147"/>
      <c r="W199" s="147"/>
      <c r="X199" s="147"/>
      <c r="Y199" s="147"/>
      <c r="Z199" s="147"/>
      <c r="AA199" s="147"/>
      <c r="AB199" s="147"/>
      <c r="AC199" s="147"/>
      <c r="AD199" s="147"/>
      <c r="AE199" s="147"/>
      <c r="AF199" s="147"/>
      <c r="AG199" s="147"/>
      <c r="AH199" s="147"/>
      <c r="AI199" s="147"/>
    </row>
    <row r="200">
      <c r="A200" s="167"/>
      <c r="B200" s="169"/>
      <c r="C200" s="170"/>
      <c r="D200" s="170"/>
      <c r="E200" s="170"/>
      <c r="F200" s="170"/>
      <c r="G200" s="171"/>
      <c r="H200" s="171"/>
      <c r="I200" s="172"/>
      <c r="J200" s="172"/>
      <c r="K200" s="172"/>
      <c r="L200" s="172"/>
      <c r="M200" s="147"/>
      <c r="Q200" s="147"/>
      <c r="R200" s="147"/>
      <c r="S200" s="147"/>
      <c r="T200" s="147"/>
      <c r="U200" s="147"/>
      <c r="V200" s="147"/>
      <c r="W200" s="147"/>
      <c r="X200" s="147"/>
      <c r="Y200" s="147"/>
      <c r="Z200" s="147"/>
      <c r="AA200" s="147"/>
      <c r="AB200" s="147"/>
      <c r="AC200" s="147"/>
      <c r="AD200" s="147"/>
      <c r="AE200" s="147"/>
      <c r="AF200" s="147"/>
      <c r="AG200" s="147"/>
      <c r="AH200" s="147"/>
      <c r="AI200" s="147"/>
    </row>
    <row r="201">
      <c r="A201" s="167"/>
      <c r="B201" s="169"/>
      <c r="C201" s="170"/>
      <c r="D201" s="170"/>
      <c r="E201" s="170"/>
      <c r="F201" s="170"/>
      <c r="G201" s="171"/>
      <c r="H201" s="171"/>
      <c r="I201" s="172"/>
      <c r="J201" s="172"/>
      <c r="K201" s="172"/>
      <c r="L201" s="172"/>
      <c r="M201" s="147"/>
      <c r="Q201" s="147"/>
      <c r="R201" s="147"/>
      <c r="S201" s="147"/>
      <c r="T201" s="147"/>
      <c r="U201" s="147"/>
      <c r="V201" s="147"/>
      <c r="W201" s="147"/>
      <c r="X201" s="147"/>
      <c r="Y201" s="147"/>
      <c r="Z201" s="147"/>
      <c r="AA201" s="147"/>
      <c r="AB201" s="147"/>
      <c r="AC201" s="147"/>
      <c r="AD201" s="147"/>
      <c r="AE201" s="147"/>
      <c r="AF201" s="147"/>
      <c r="AG201" s="147"/>
      <c r="AH201" s="147"/>
      <c r="AI201" s="147"/>
    </row>
    <row r="202">
      <c r="A202" s="167"/>
      <c r="B202" s="169"/>
      <c r="C202" s="170"/>
      <c r="D202" s="170"/>
      <c r="E202" s="170"/>
      <c r="F202" s="170"/>
      <c r="G202" s="171"/>
      <c r="H202" s="171"/>
      <c r="I202" s="172"/>
      <c r="J202" s="172"/>
      <c r="K202" s="172"/>
      <c r="L202" s="172"/>
      <c r="M202" s="147"/>
      <c r="Q202" s="147"/>
      <c r="R202" s="147"/>
      <c r="S202" s="147"/>
      <c r="T202" s="147"/>
      <c r="U202" s="147"/>
      <c r="V202" s="147"/>
      <c r="W202" s="147"/>
      <c r="X202" s="147"/>
      <c r="Y202" s="147"/>
      <c r="Z202" s="147"/>
      <c r="AA202" s="147"/>
      <c r="AB202" s="147"/>
      <c r="AC202" s="147"/>
      <c r="AD202" s="147"/>
      <c r="AE202" s="147"/>
      <c r="AF202" s="147"/>
      <c r="AG202" s="147"/>
      <c r="AH202" s="147"/>
      <c r="AI202" s="147"/>
    </row>
    <row r="203">
      <c r="A203" s="167"/>
      <c r="B203" s="169"/>
      <c r="C203" s="170"/>
      <c r="D203" s="170"/>
      <c r="E203" s="170"/>
      <c r="F203" s="170"/>
      <c r="G203" s="171"/>
      <c r="H203" s="171"/>
      <c r="I203" s="172"/>
      <c r="J203" s="172"/>
      <c r="K203" s="172"/>
      <c r="L203" s="172"/>
      <c r="M203" s="147"/>
      <c r="Q203" s="147"/>
      <c r="R203" s="147"/>
      <c r="S203" s="147"/>
      <c r="T203" s="147"/>
      <c r="U203" s="147"/>
      <c r="V203" s="147"/>
      <c r="W203" s="147"/>
      <c r="X203" s="147"/>
      <c r="Y203" s="147"/>
      <c r="Z203" s="147"/>
      <c r="AA203" s="147"/>
      <c r="AB203" s="147"/>
      <c r="AC203" s="147"/>
      <c r="AD203" s="147"/>
      <c r="AE203" s="147"/>
      <c r="AF203" s="147"/>
      <c r="AG203" s="147"/>
      <c r="AH203" s="147"/>
      <c r="AI203" s="147"/>
    </row>
    <row r="204">
      <c r="A204" s="167"/>
      <c r="B204" s="169"/>
      <c r="C204" s="170"/>
      <c r="D204" s="170"/>
      <c r="E204" s="170"/>
      <c r="F204" s="170"/>
      <c r="G204" s="171"/>
      <c r="H204" s="171"/>
      <c r="I204" s="172"/>
      <c r="J204" s="172"/>
      <c r="K204" s="172"/>
      <c r="L204" s="172"/>
      <c r="M204" s="147"/>
      <c r="Q204" s="147"/>
      <c r="R204" s="147"/>
      <c r="S204" s="147"/>
      <c r="T204" s="147"/>
      <c r="U204" s="147"/>
      <c r="V204" s="147"/>
      <c r="W204" s="147"/>
      <c r="X204" s="147"/>
      <c r="Y204" s="147"/>
      <c r="Z204" s="147"/>
      <c r="AA204" s="147"/>
      <c r="AB204" s="147"/>
      <c r="AC204" s="147"/>
      <c r="AD204" s="147"/>
      <c r="AE204" s="147"/>
      <c r="AF204" s="147"/>
      <c r="AG204" s="147"/>
      <c r="AH204" s="147"/>
      <c r="AI204" s="147"/>
    </row>
    <row r="205">
      <c r="A205" s="167"/>
      <c r="B205" s="169"/>
      <c r="C205" s="170"/>
      <c r="D205" s="170"/>
      <c r="E205" s="170"/>
      <c r="F205" s="170"/>
      <c r="G205" s="171"/>
      <c r="H205" s="171"/>
      <c r="I205" s="172"/>
      <c r="J205" s="172"/>
      <c r="K205" s="172"/>
      <c r="L205" s="172"/>
      <c r="M205" s="147"/>
      <c r="Q205" s="147"/>
      <c r="R205" s="147"/>
      <c r="S205" s="147"/>
      <c r="T205" s="147"/>
      <c r="U205" s="147"/>
      <c r="V205" s="147"/>
      <c r="W205" s="147"/>
      <c r="X205" s="147"/>
      <c r="Y205" s="147"/>
      <c r="Z205" s="147"/>
      <c r="AA205" s="147"/>
      <c r="AB205" s="147"/>
      <c r="AC205" s="147"/>
      <c r="AD205" s="147"/>
      <c r="AE205" s="147"/>
      <c r="AF205" s="147"/>
      <c r="AG205" s="147"/>
      <c r="AH205" s="147"/>
      <c r="AI205" s="147"/>
    </row>
    <row r="206">
      <c r="A206" s="167"/>
      <c r="B206" s="169"/>
      <c r="C206" s="170"/>
      <c r="D206" s="170"/>
      <c r="E206" s="170"/>
      <c r="F206" s="170"/>
      <c r="G206" s="171"/>
      <c r="H206" s="171"/>
      <c r="I206" s="172"/>
      <c r="J206" s="172"/>
      <c r="K206" s="172"/>
      <c r="L206" s="172"/>
      <c r="M206" s="147"/>
      <c r="Q206" s="147"/>
      <c r="R206" s="147"/>
      <c r="S206" s="147"/>
      <c r="T206" s="147"/>
      <c r="U206" s="147"/>
      <c r="V206" s="147"/>
      <c r="W206" s="147"/>
      <c r="X206" s="147"/>
      <c r="Y206" s="147"/>
      <c r="Z206" s="147"/>
      <c r="AA206" s="147"/>
      <c r="AB206" s="147"/>
      <c r="AC206" s="147"/>
      <c r="AD206" s="147"/>
      <c r="AE206" s="147"/>
      <c r="AF206" s="147"/>
      <c r="AG206" s="147"/>
      <c r="AH206" s="147"/>
      <c r="AI206" s="147"/>
    </row>
    <row r="207">
      <c r="A207" s="167"/>
      <c r="B207" s="169"/>
      <c r="C207" s="170"/>
      <c r="D207" s="170"/>
      <c r="E207" s="170"/>
      <c r="F207" s="170"/>
      <c r="G207" s="171"/>
      <c r="H207" s="171"/>
      <c r="I207" s="172"/>
      <c r="J207" s="172"/>
      <c r="K207" s="172"/>
      <c r="L207" s="172"/>
      <c r="M207" s="147"/>
      <c r="Q207" s="147"/>
      <c r="R207" s="147"/>
      <c r="S207" s="147"/>
      <c r="T207" s="147"/>
      <c r="U207" s="147"/>
      <c r="V207" s="147"/>
      <c r="W207" s="147"/>
      <c r="X207" s="147"/>
      <c r="Y207" s="147"/>
      <c r="Z207" s="147"/>
      <c r="AA207" s="147"/>
      <c r="AB207" s="147"/>
      <c r="AC207" s="147"/>
      <c r="AD207" s="147"/>
      <c r="AE207" s="147"/>
      <c r="AF207" s="147"/>
      <c r="AG207" s="147"/>
      <c r="AH207" s="147"/>
      <c r="AI207" s="147"/>
    </row>
    <row r="208">
      <c r="A208" s="167"/>
      <c r="B208" s="169"/>
      <c r="C208" s="170"/>
      <c r="D208" s="170"/>
      <c r="E208" s="170"/>
      <c r="F208" s="170"/>
      <c r="G208" s="171"/>
      <c r="H208" s="171"/>
      <c r="I208" s="172"/>
      <c r="J208" s="172"/>
      <c r="K208" s="172"/>
      <c r="L208" s="172"/>
      <c r="M208" s="147"/>
      <c r="Q208" s="147"/>
      <c r="R208" s="147"/>
      <c r="S208" s="147"/>
      <c r="T208" s="147"/>
      <c r="U208" s="147"/>
      <c r="V208" s="147"/>
      <c r="W208" s="147"/>
      <c r="X208" s="147"/>
      <c r="Y208" s="147"/>
      <c r="Z208" s="147"/>
      <c r="AA208" s="147"/>
      <c r="AB208" s="147"/>
      <c r="AC208" s="147"/>
      <c r="AD208" s="147"/>
      <c r="AE208" s="147"/>
      <c r="AF208" s="147"/>
      <c r="AG208" s="147"/>
      <c r="AH208" s="147"/>
      <c r="AI208" s="147"/>
    </row>
    <row r="209">
      <c r="A209" s="167"/>
      <c r="B209" s="169"/>
      <c r="C209" s="170"/>
      <c r="D209" s="170"/>
      <c r="E209" s="170"/>
      <c r="F209" s="170"/>
      <c r="G209" s="171"/>
      <c r="H209" s="171"/>
      <c r="I209" s="172"/>
      <c r="J209" s="172"/>
      <c r="K209" s="172"/>
      <c r="L209" s="172"/>
      <c r="M209" s="147"/>
      <c r="Q209" s="147"/>
      <c r="R209" s="147"/>
      <c r="S209" s="147"/>
      <c r="T209" s="147"/>
      <c r="U209" s="147"/>
      <c r="V209" s="147"/>
      <c r="W209" s="147"/>
      <c r="X209" s="147"/>
      <c r="Y209" s="147"/>
      <c r="Z209" s="147"/>
      <c r="AA209" s="147"/>
      <c r="AB209" s="147"/>
      <c r="AC209" s="147"/>
      <c r="AD209" s="147"/>
      <c r="AE209" s="147"/>
      <c r="AF209" s="147"/>
      <c r="AG209" s="147"/>
      <c r="AH209" s="147"/>
      <c r="AI209" s="147"/>
    </row>
    <row r="210">
      <c r="A210" s="167"/>
      <c r="B210" s="169"/>
      <c r="C210" s="170"/>
      <c r="D210" s="170"/>
      <c r="E210" s="170"/>
      <c r="F210" s="170"/>
      <c r="G210" s="171"/>
      <c r="H210" s="171"/>
      <c r="I210" s="172"/>
      <c r="J210" s="172"/>
      <c r="K210" s="172"/>
      <c r="L210" s="172"/>
      <c r="M210" s="147"/>
      <c r="Q210" s="147"/>
      <c r="R210" s="147"/>
      <c r="S210" s="147"/>
      <c r="T210" s="147"/>
      <c r="U210" s="147"/>
      <c r="V210" s="147"/>
      <c r="W210" s="147"/>
      <c r="X210" s="147"/>
      <c r="Y210" s="147"/>
      <c r="Z210" s="147"/>
      <c r="AA210" s="147"/>
      <c r="AB210" s="147"/>
      <c r="AC210" s="147"/>
      <c r="AD210" s="147"/>
      <c r="AE210" s="147"/>
      <c r="AF210" s="147"/>
      <c r="AG210" s="147"/>
      <c r="AH210" s="147"/>
      <c r="AI210" s="147"/>
    </row>
    <row r="211">
      <c r="A211" s="167"/>
      <c r="B211" s="169"/>
      <c r="C211" s="170"/>
      <c r="D211" s="170"/>
      <c r="E211" s="170"/>
      <c r="F211" s="170"/>
      <c r="G211" s="171"/>
      <c r="H211" s="171"/>
      <c r="I211" s="172"/>
      <c r="J211" s="172"/>
      <c r="K211" s="172"/>
      <c r="L211" s="172"/>
      <c r="M211" s="147"/>
      <c r="Q211" s="147"/>
      <c r="R211" s="147"/>
      <c r="S211" s="147"/>
      <c r="T211" s="147"/>
      <c r="U211" s="147"/>
      <c r="V211" s="147"/>
      <c r="W211" s="147"/>
      <c r="X211" s="147"/>
      <c r="Y211" s="147"/>
      <c r="Z211" s="147"/>
      <c r="AA211" s="147"/>
      <c r="AB211" s="147"/>
      <c r="AC211" s="147"/>
      <c r="AD211" s="147"/>
      <c r="AE211" s="147"/>
      <c r="AF211" s="147"/>
      <c r="AG211" s="147"/>
      <c r="AH211" s="147"/>
      <c r="AI211" s="147"/>
    </row>
    <row r="212">
      <c r="A212" s="167"/>
      <c r="B212" s="169"/>
      <c r="C212" s="170"/>
      <c r="D212" s="170"/>
      <c r="E212" s="170"/>
      <c r="F212" s="170"/>
      <c r="G212" s="171"/>
      <c r="H212" s="171"/>
      <c r="I212" s="172"/>
      <c r="J212" s="172"/>
      <c r="K212" s="172"/>
      <c r="L212" s="172"/>
      <c r="M212" s="147"/>
      <c r="Q212" s="147"/>
      <c r="R212" s="147"/>
      <c r="S212" s="147"/>
      <c r="T212" s="147"/>
      <c r="U212" s="147"/>
      <c r="V212" s="147"/>
      <c r="W212" s="147"/>
      <c r="X212" s="147"/>
      <c r="Y212" s="147"/>
      <c r="Z212" s="147"/>
      <c r="AA212" s="147"/>
      <c r="AB212" s="147"/>
      <c r="AC212" s="147"/>
      <c r="AD212" s="147"/>
      <c r="AE212" s="147"/>
      <c r="AF212" s="147"/>
      <c r="AG212" s="147"/>
      <c r="AH212" s="147"/>
      <c r="AI212" s="147"/>
    </row>
    <row r="213">
      <c r="A213" s="167"/>
      <c r="B213" s="169"/>
      <c r="C213" s="170"/>
      <c r="D213" s="170"/>
      <c r="E213" s="170"/>
      <c r="F213" s="170"/>
      <c r="G213" s="171"/>
      <c r="H213" s="171"/>
      <c r="I213" s="172"/>
      <c r="J213" s="172"/>
      <c r="K213" s="172"/>
      <c r="L213" s="172"/>
      <c r="M213" s="147"/>
      <c r="Q213" s="147"/>
      <c r="R213" s="147"/>
      <c r="S213" s="147"/>
      <c r="T213" s="147"/>
      <c r="U213" s="147"/>
      <c r="V213" s="147"/>
      <c r="W213" s="147"/>
      <c r="X213" s="147"/>
      <c r="Y213" s="147"/>
      <c r="Z213" s="147"/>
      <c r="AA213" s="147"/>
      <c r="AB213" s="147"/>
      <c r="AC213" s="147"/>
      <c r="AD213" s="147"/>
      <c r="AE213" s="147"/>
      <c r="AF213" s="147"/>
      <c r="AG213" s="147"/>
      <c r="AH213" s="147"/>
      <c r="AI213" s="147"/>
    </row>
    <row r="214">
      <c r="A214" s="167"/>
      <c r="B214" s="169"/>
      <c r="C214" s="170"/>
      <c r="D214" s="170"/>
      <c r="E214" s="170"/>
      <c r="F214" s="170"/>
      <c r="G214" s="171"/>
      <c r="H214" s="171"/>
      <c r="I214" s="172"/>
      <c r="J214" s="172"/>
      <c r="K214" s="172"/>
      <c r="L214" s="172"/>
      <c r="M214" s="147"/>
      <c r="Q214" s="147"/>
      <c r="R214" s="147"/>
      <c r="S214" s="147"/>
      <c r="T214" s="147"/>
      <c r="U214" s="147"/>
      <c r="V214" s="147"/>
      <c r="W214" s="147"/>
      <c r="X214" s="147"/>
      <c r="Y214" s="147"/>
      <c r="Z214" s="147"/>
      <c r="AA214" s="147"/>
      <c r="AB214" s="147"/>
      <c r="AC214" s="147"/>
      <c r="AD214" s="147"/>
      <c r="AE214" s="147"/>
      <c r="AF214" s="147"/>
      <c r="AG214" s="147"/>
      <c r="AH214" s="147"/>
      <c r="AI214" s="147"/>
    </row>
    <row r="215">
      <c r="A215" s="167"/>
      <c r="B215" s="169"/>
      <c r="C215" s="170"/>
      <c r="D215" s="170"/>
      <c r="E215" s="170"/>
      <c r="F215" s="170"/>
      <c r="G215" s="171"/>
      <c r="H215" s="171"/>
      <c r="I215" s="172"/>
      <c r="J215" s="172"/>
      <c r="K215" s="172"/>
      <c r="L215" s="172"/>
      <c r="M215" s="147"/>
      <c r="Q215" s="147"/>
      <c r="R215" s="147"/>
      <c r="S215" s="147"/>
      <c r="T215" s="147"/>
      <c r="U215" s="147"/>
      <c r="V215" s="147"/>
      <c r="W215" s="147"/>
      <c r="X215" s="147"/>
      <c r="Y215" s="147"/>
      <c r="Z215" s="147"/>
      <c r="AA215" s="147"/>
      <c r="AB215" s="147"/>
      <c r="AC215" s="147"/>
      <c r="AD215" s="147"/>
      <c r="AE215" s="147"/>
      <c r="AF215" s="147"/>
      <c r="AG215" s="147"/>
      <c r="AH215" s="147"/>
      <c r="AI215" s="147"/>
    </row>
    <row r="216">
      <c r="A216" s="167"/>
      <c r="B216" s="169"/>
      <c r="C216" s="170"/>
      <c r="D216" s="170"/>
      <c r="E216" s="170"/>
      <c r="F216" s="170"/>
      <c r="G216" s="171"/>
      <c r="H216" s="171"/>
      <c r="I216" s="172"/>
      <c r="J216" s="172"/>
      <c r="K216" s="172"/>
      <c r="L216" s="172"/>
      <c r="M216" s="147"/>
      <c r="Q216" s="147"/>
      <c r="R216" s="147"/>
      <c r="S216" s="147"/>
      <c r="T216" s="147"/>
      <c r="U216" s="147"/>
      <c r="V216" s="147"/>
      <c r="W216" s="147"/>
      <c r="X216" s="147"/>
      <c r="Y216" s="147"/>
      <c r="Z216" s="147"/>
      <c r="AA216" s="147"/>
      <c r="AB216" s="147"/>
      <c r="AC216" s="147"/>
      <c r="AD216" s="147"/>
      <c r="AE216" s="147"/>
      <c r="AF216" s="147"/>
      <c r="AG216" s="147"/>
      <c r="AH216" s="147"/>
      <c r="AI216" s="147"/>
    </row>
    <row r="217">
      <c r="A217" s="167"/>
      <c r="B217" s="169"/>
      <c r="C217" s="170"/>
      <c r="D217" s="170"/>
      <c r="E217" s="170"/>
      <c r="F217" s="170"/>
      <c r="G217" s="171"/>
      <c r="H217" s="171"/>
      <c r="I217" s="172"/>
      <c r="J217" s="172"/>
      <c r="K217" s="172"/>
      <c r="L217" s="172"/>
      <c r="M217" s="147"/>
      <c r="Q217" s="147"/>
      <c r="R217" s="147"/>
      <c r="S217" s="147"/>
      <c r="T217" s="147"/>
      <c r="U217" s="147"/>
      <c r="V217" s="147"/>
      <c r="W217" s="147"/>
      <c r="X217" s="147"/>
      <c r="Y217" s="147"/>
      <c r="Z217" s="147"/>
      <c r="AA217" s="147"/>
      <c r="AB217" s="147"/>
      <c r="AC217" s="147"/>
      <c r="AD217" s="147"/>
      <c r="AE217" s="147"/>
      <c r="AF217" s="147"/>
      <c r="AG217" s="147"/>
      <c r="AH217" s="147"/>
      <c r="AI217" s="147"/>
    </row>
    <row r="218">
      <c r="A218" s="167"/>
      <c r="B218" s="169"/>
      <c r="C218" s="170"/>
      <c r="D218" s="170"/>
      <c r="E218" s="170"/>
      <c r="F218" s="170"/>
      <c r="G218" s="171"/>
      <c r="H218" s="171"/>
      <c r="I218" s="172"/>
      <c r="J218" s="172"/>
      <c r="K218" s="172"/>
      <c r="L218" s="172"/>
      <c r="M218" s="147"/>
      <c r="Q218" s="147"/>
      <c r="R218" s="147"/>
      <c r="S218" s="147"/>
      <c r="T218" s="147"/>
      <c r="U218" s="147"/>
      <c r="V218" s="147"/>
      <c r="W218" s="147"/>
      <c r="X218" s="147"/>
      <c r="Y218" s="147"/>
      <c r="Z218" s="147"/>
      <c r="AA218" s="147"/>
      <c r="AB218" s="147"/>
      <c r="AC218" s="147"/>
      <c r="AD218" s="147"/>
      <c r="AE218" s="147"/>
      <c r="AF218" s="147"/>
      <c r="AG218" s="147"/>
      <c r="AH218" s="147"/>
      <c r="AI218" s="147"/>
    </row>
    <row r="219">
      <c r="A219" s="167"/>
      <c r="B219" s="169"/>
      <c r="C219" s="170"/>
      <c r="D219" s="170"/>
      <c r="E219" s="170"/>
      <c r="F219" s="170"/>
      <c r="G219" s="171"/>
      <c r="H219" s="171"/>
      <c r="I219" s="172"/>
      <c r="J219" s="172"/>
      <c r="K219" s="172"/>
      <c r="L219" s="172"/>
      <c r="M219" s="147"/>
      <c r="Q219" s="147"/>
      <c r="R219" s="147"/>
      <c r="S219" s="147"/>
      <c r="T219" s="147"/>
      <c r="U219" s="147"/>
      <c r="V219" s="147"/>
      <c r="W219" s="147"/>
      <c r="X219" s="147"/>
      <c r="Y219" s="147"/>
      <c r="Z219" s="147"/>
      <c r="AA219" s="147"/>
      <c r="AB219" s="147"/>
      <c r="AC219" s="147"/>
      <c r="AD219" s="147"/>
      <c r="AE219" s="147"/>
      <c r="AF219" s="147"/>
      <c r="AG219" s="147"/>
      <c r="AH219" s="147"/>
      <c r="AI219" s="147"/>
    </row>
    <row r="220">
      <c r="A220" s="167"/>
      <c r="B220" s="169"/>
      <c r="C220" s="170"/>
      <c r="D220" s="170"/>
      <c r="E220" s="170"/>
      <c r="F220" s="170"/>
      <c r="G220" s="171"/>
      <c r="H220" s="171"/>
      <c r="I220" s="172"/>
      <c r="J220" s="172"/>
      <c r="K220" s="172"/>
      <c r="L220" s="172"/>
      <c r="M220" s="147"/>
      <c r="Q220" s="147"/>
      <c r="R220" s="147"/>
      <c r="S220" s="147"/>
      <c r="T220" s="147"/>
      <c r="U220" s="147"/>
      <c r="V220" s="147"/>
      <c r="W220" s="147"/>
      <c r="X220" s="147"/>
      <c r="Y220" s="147"/>
      <c r="Z220" s="147"/>
      <c r="AA220" s="147"/>
      <c r="AB220" s="147"/>
      <c r="AC220" s="147"/>
      <c r="AD220" s="147"/>
      <c r="AE220" s="147"/>
      <c r="AF220" s="147"/>
      <c r="AG220" s="147"/>
      <c r="AH220" s="147"/>
      <c r="AI220" s="147"/>
    </row>
    <row r="221">
      <c r="A221" s="167"/>
      <c r="B221" s="169"/>
      <c r="C221" s="170"/>
      <c r="D221" s="170"/>
      <c r="E221" s="170"/>
      <c r="F221" s="170"/>
      <c r="G221" s="171"/>
      <c r="H221" s="171"/>
      <c r="I221" s="172"/>
      <c r="J221" s="172"/>
      <c r="K221" s="172"/>
      <c r="L221" s="172"/>
      <c r="M221" s="147"/>
      <c r="Q221" s="147"/>
      <c r="R221" s="147"/>
      <c r="S221" s="147"/>
      <c r="T221" s="147"/>
      <c r="U221" s="147"/>
      <c r="V221" s="147"/>
      <c r="W221" s="147"/>
      <c r="X221" s="147"/>
      <c r="Y221" s="147"/>
      <c r="Z221" s="147"/>
      <c r="AA221" s="147"/>
      <c r="AB221" s="147"/>
      <c r="AC221" s="147"/>
      <c r="AD221" s="147"/>
      <c r="AE221" s="147"/>
      <c r="AF221" s="147"/>
      <c r="AG221" s="147"/>
      <c r="AH221" s="147"/>
      <c r="AI221" s="147"/>
    </row>
    <row r="222">
      <c r="A222" s="167"/>
      <c r="B222" s="169"/>
      <c r="C222" s="170"/>
      <c r="D222" s="170"/>
      <c r="E222" s="170"/>
      <c r="F222" s="170"/>
      <c r="G222" s="171"/>
      <c r="H222" s="171"/>
      <c r="I222" s="172"/>
      <c r="J222" s="172"/>
      <c r="K222" s="172"/>
      <c r="L222" s="172"/>
      <c r="M222" s="147"/>
      <c r="Q222" s="147"/>
      <c r="R222" s="147"/>
      <c r="S222" s="147"/>
      <c r="T222" s="147"/>
      <c r="U222" s="147"/>
      <c r="V222" s="147"/>
      <c r="W222" s="147"/>
      <c r="X222" s="147"/>
      <c r="Y222" s="147"/>
      <c r="Z222" s="147"/>
      <c r="AA222" s="147"/>
      <c r="AB222" s="147"/>
      <c r="AC222" s="147"/>
      <c r="AD222" s="147"/>
      <c r="AE222" s="147"/>
      <c r="AF222" s="147"/>
      <c r="AG222" s="147"/>
      <c r="AH222" s="147"/>
      <c r="AI222" s="147"/>
    </row>
    <row r="223">
      <c r="A223" s="167"/>
      <c r="B223" s="169"/>
      <c r="C223" s="170"/>
      <c r="D223" s="170"/>
      <c r="E223" s="170"/>
      <c r="F223" s="170"/>
      <c r="G223" s="171"/>
      <c r="H223" s="171"/>
      <c r="I223" s="172"/>
      <c r="J223" s="172"/>
      <c r="K223" s="172"/>
      <c r="L223" s="172"/>
      <c r="M223" s="147"/>
      <c r="Q223" s="147"/>
      <c r="R223" s="147"/>
      <c r="S223" s="147"/>
      <c r="T223" s="147"/>
      <c r="U223" s="147"/>
      <c r="V223" s="147"/>
      <c r="W223" s="147"/>
      <c r="X223" s="147"/>
      <c r="Y223" s="147"/>
      <c r="Z223" s="147"/>
      <c r="AA223" s="147"/>
      <c r="AB223" s="147"/>
      <c r="AC223" s="147"/>
      <c r="AD223" s="147"/>
      <c r="AE223" s="147"/>
      <c r="AF223" s="147"/>
      <c r="AG223" s="147"/>
      <c r="AH223" s="147"/>
      <c r="AI223" s="147"/>
    </row>
    <row r="224">
      <c r="A224" s="167"/>
      <c r="B224" s="169"/>
      <c r="C224" s="170"/>
      <c r="D224" s="170"/>
      <c r="E224" s="170"/>
      <c r="F224" s="170"/>
      <c r="G224" s="171"/>
      <c r="H224" s="171"/>
      <c r="I224" s="172"/>
      <c r="J224" s="172"/>
      <c r="K224" s="172"/>
      <c r="L224" s="172"/>
      <c r="M224" s="147"/>
      <c r="Q224" s="147"/>
      <c r="R224" s="147"/>
      <c r="S224" s="147"/>
      <c r="T224" s="147"/>
      <c r="U224" s="147"/>
      <c r="V224" s="147"/>
      <c r="W224" s="147"/>
      <c r="X224" s="147"/>
      <c r="Y224" s="147"/>
      <c r="Z224" s="147"/>
      <c r="AA224" s="147"/>
      <c r="AB224" s="147"/>
      <c r="AC224" s="147"/>
      <c r="AD224" s="147"/>
      <c r="AE224" s="147"/>
      <c r="AF224" s="147"/>
      <c r="AG224" s="147"/>
      <c r="AH224" s="147"/>
      <c r="AI224" s="147"/>
    </row>
    <row r="225">
      <c r="A225" s="167"/>
      <c r="B225" s="169"/>
      <c r="C225" s="170"/>
      <c r="D225" s="170"/>
      <c r="E225" s="170"/>
      <c r="F225" s="170"/>
      <c r="G225" s="171"/>
      <c r="H225" s="171"/>
      <c r="I225" s="172"/>
      <c r="J225" s="172"/>
      <c r="K225" s="172"/>
      <c r="L225" s="172"/>
      <c r="M225" s="147"/>
      <c r="Q225" s="147"/>
      <c r="R225" s="147"/>
      <c r="S225" s="147"/>
      <c r="T225" s="147"/>
      <c r="U225" s="147"/>
      <c r="V225" s="147"/>
      <c r="W225" s="147"/>
      <c r="X225" s="147"/>
      <c r="Y225" s="147"/>
      <c r="Z225" s="147"/>
      <c r="AA225" s="147"/>
      <c r="AB225" s="147"/>
      <c r="AC225" s="147"/>
      <c r="AD225" s="147"/>
      <c r="AE225" s="147"/>
      <c r="AF225" s="147"/>
      <c r="AG225" s="147"/>
      <c r="AH225" s="147"/>
      <c r="AI225" s="147"/>
    </row>
    <row r="226">
      <c r="A226" s="167"/>
      <c r="B226" s="169"/>
      <c r="C226" s="170"/>
      <c r="D226" s="170"/>
      <c r="E226" s="170"/>
      <c r="F226" s="170"/>
      <c r="G226" s="171"/>
      <c r="H226" s="171"/>
      <c r="I226" s="172"/>
      <c r="J226" s="172"/>
      <c r="K226" s="172"/>
      <c r="L226" s="172"/>
      <c r="M226" s="147"/>
      <c r="Q226" s="147"/>
      <c r="R226" s="147"/>
      <c r="S226" s="147"/>
      <c r="T226" s="147"/>
      <c r="U226" s="147"/>
      <c r="V226" s="147"/>
      <c r="W226" s="147"/>
      <c r="X226" s="147"/>
      <c r="Y226" s="147"/>
      <c r="Z226" s="147"/>
      <c r="AA226" s="147"/>
      <c r="AB226" s="147"/>
      <c r="AC226" s="147"/>
      <c r="AD226" s="147"/>
      <c r="AE226" s="147"/>
      <c r="AF226" s="147"/>
      <c r="AG226" s="147"/>
      <c r="AH226" s="147"/>
      <c r="AI226" s="147"/>
    </row>
    <row r="227">
      <c r="A227" s="167"/>
      <c r="B227" s="169"/>
      <c r="C227" s="170"/>
      <c r="D227" s="170"/>
      <c r="E227" s="170"/>
      <c r="F227" s="170"/>
      <c r="G227" s="171"/>
      <c r="H227" s="171"/>
      <c r="I227" s="172"/>
      <c r="J227" s="172"/>
      <c r="K227" s="172"/>
      <c r="L227" s="172"/>
      <c r="M227" s="147"/>
      <c r="Q227" s="147"/>
      <c r="R227" s="147"/>
      <c r="S227" s="147"/>
      <c r="T227" s="147"/>
      <c r="U227" s="147"/>
      <c r="V227" s="147"/>
      <c r="W227" s="147"/>
      <c r="X227" s="147"/>
      <c r="Y227" s="147"/>
      <c r="Z227" s="147"/>
      <c r="AA227" s="147"/>
      <c r="AB227" s="147"/>
      <c r="AC227" s="147"/>
      <c r="AD227" s="147"/>
      <c r="AE227" s="147"/>
      <c r="AF227" s="147"/>
      <c r="AG227" s="147"/>
      <c r="AH227" s="147"/>
      <c r="AI227" s="147"/>
    </row>
    <row r="228">
      <c r="A228" s="167"/>
      <c r="B228" s="169"/>
      <c r="C228" s="170"/>
      <c r="D228" s="170"/>
      <c r="E228" s="170"/>
      <c r="F228" s="170"/>
      <c r="G228" s="171"/>
      <c r="H228" s="171"/>
      <c r="I228" s="172"/>
      <c r="J228" s="172"/>
      <c r="K228" s="172"/>
      <c r="L228" s="172"/>
      <c r="M228" s="147"/>
      <c r="Q228" s="147"/>
      <c r="R228" s="147"/>
      <c r="S228" s="147"/>
      <c r="T228" s="147"/>
      <c r="U228" s="147"/>
      <c r="V228" s="147"/>
      <c r="W228" s="147"/>
      <c r="X228" s="147"/>
      <c r="Y228" s="147"/>
      <c r="Z228" s="147"/>
      <c r="AA228" s="147"/>
      <c r="AB228" s="147"/>
      <c r="AC228" s="147"/>
      <c r="AD228" s="147"/>
      <c r="AE228" s="147"/>
      <c r="AF228" s="147"/>
      <c r="AG228" s="147"/>
      <c r="AH228" s="147"/>
      <c r="AI228" s="147"/>
    </row>
    <row r="229">
      <c r="A229" s="167"/>
      <c r="B229" s="169"/>
      <c r="C229" s="170"/>
      <c r="D229" s="170"/>
      <c r="E229" s="170"/>
      <c r="F229" s="170"/>
      <c r="G229" s="171"/>
      <c r="H229" s="171"/>
      <c r="I229" s="172"/>
      <c r="J229" s="172"/>
      <c r="K229" s="172"/>
      <c r="L229" s="172"/>
      <c r="M229" s="147"/>
      <c r="Q229" s="147"/>
      <c r="R229" s="147"/>
      <c r="S229" s="147"/>
      <c r="T229" s="147"/>
      <c r="U229" s="147"/>
      <c r="V229" s="147"/>
      <c r="W229" s="147"/>
      <c r="X229" s="147"/>
      <c r="Y229" s="147"/>
      <c r="Z229" s="147"/>
      <c r="AA229" s="147"/>
      <c r="AB229" s="147"/>
      <c r="AC229" s="147"/>
      <c r="AD229" s="147"/>
      <c r="AE229" s="147"/>
      <c r="AF229" s="147"/>
      <c r="AG229" s="147"/>
      <c r="AH229" s="147"/>
      <c r="AI229" s="147"/>
    </row>
    <row r="230">
      <c r="A230" s="167"/>
      <c r="B230" s="169"/>
      <c r="C230" s="170"/>
      <c r="D230" s="170"/>
      <c r="E230" s="170"/>
      <c r="F230" s="170"/>
      <c r="G230" s="171"/>
      <c r="H230" s="171"/>
      <c r="I230" s="172"/>
      <c r="J230" s="172"/>
      <c r="K230" s="172"/>
      <c r="L230" s="172"/>
      <c r="M230" s="147"/>
      <c r="Q230" s="147"/>
      <c r="R230" s="147"/>
      <c r="S230" s="147"/>
      <c r="T230" s="147"/>
      <c r="U230" s="147"/>
      <c r="V230" s="147"/>
      <c r="W230" s="147"/>
      <c r="X230" s="147"/>
      <c r="Y230" s="147"/>
      <c r="Z230" s="147"/>
      <c r="AA230" s="147"/>
      <c r="AB230" s="147"/>
      <c r="AC230" s="147"/>
      <c r="AD230" s="147"/>
      <c r="AE230" s="147"/>
      <c r="AF230" s="147"/>
      <c r="AG230" s="147"/>
      <c r="AH230" s="147"/>
      <c r="AI230" s="147"/>
    </row>
    <row r="231">
      <c r="A231" s="167"/>
      <c r="B231" s="169"/>
      <c r="C231" s="170"/>
      <c r="D231" s="170"/>
      <c r="E231" s="170"/>
      <c r="F231" s="170"/>
      <c r="G231" s="171"/>
      <c r="H231" s="171"/>
      <c r="I231" s="172"/>
      <c r="J231" s="172"/>
      <c r="K231" s="172"/>
      <c r="L231" s="172"/>
      <c r="M231" s="147"/>
      <c r="Q231" s="147"/>
      <c r="R231" s="147"/>
      <c r="S231" s="147"/>
      <c r="T231" s="147"/>
      <c r="U231" s="147"/>
      <c r="V231" s="147"/>
      <c r="W231" s="147"/>
      <c r="X231" s="147"/>
      <c r="Y231" s="147"/>
      <c r="Z231" s="147"/>
      <c r="AA231" s="147"/>
      <c r="AB231" s="147"/>
      <c r="AC231" s="147"/>
      <c r="AD231" s="147"/>
      <c r="AE231" s="147"/>
      <c r="AF231" s="147"/>
      <c r="AG231" s="147"/>
      <c r="AH231" s="147"/>
      <c r="AI231" s="147"/>
    </row>
    <row r="232">
      <c r="A232" s="167"/>
      <c r="B232" s="169"/>
      <c r="C232" s="170"/>
      <c r="D232" s="170"/>
      <c r="E232" s="170"/>
      <c r="F232" s="170"/>
      <c r="G232" s="171"/>
      <c r="H232" s="171"/>
      <c r="I232" s="172"/>
      <c r="J232" s="172"/>
      <c r="K232" s="172"/>
      <c r="L232" s="172"/>
      <c r="M232" s="147"/>
      <c r="Q232" s="147"/>
      <c r="R232" s="147"/>
      <c r="S232" s="147"/>
      <c r="T232" s="147"/>
      <c r="U232" s="147"/>
      <c r="V232" s="147"/>
      <c r="W232" s="147"/>
      <c r="X232" s="147"/>
      <c r="Y232" s="147"/>
      <c r="Z232" s="147"/>
      <c r="AA232" s="147"/>
      <c r="AB232" s="147"/>
      <c r="AC232" s="147"/>
      <c r="AD232" s="147"/>
      <c r="AE232" s="147"/>
      <c r="AF232" s="147"/>
      <c r="AG232" s="147"/>
      <c r="AH232" s="147"/>
      <c r="AI232" s="147"/>
    </row>
    <row r="233">
      <c r="A233" s="167"/>
      <c r="B233" s="169"/>
      <c r="C233" s="170"/>
      <c r="D233" s="170"/>
      <c r="E233" s="170"/>
      <c r="F233" s="170"/>
      <c r="G233" s="171"/>
      <c r="H233" s="171"/>
      <c r="I233" s="172"/>
      <c r="J233" s="172"/>
      <c r="K233" s="172"/>
      <c r="L233" s="172"/>
      <c r="M233" s="147"/>
      <c r="Q233" s="147"/>
      <c r="R233" s="147"/>
      <c r="S233" s="147"/>
      <c r="T233" s="147"/>
      <c r="U233" s="147"/>
      <c r="V233" s="147"/>
      <c r="W233" s="147"/>
      <c r="X233" s="147"/>
      <c r="Y233" s="147"/>
      <c r="Z233" s="147"/>
      <c r="AA233" s="147"/>
      <c r="AB233" s="147"/>
      <c r="AC233" s="147"/>
      <c r="AD233" s="147"/>
      <c r="AE233" s="147"/>
      <c r="AF233" s="147"/>
      <c r="AG233" s="147"/>
      <c r="AH233" s="147"/>
      <c r="AI233" s="147"/>
    </row>
    <row r="234">
      <c r="A234" s="167"/>
      <c r="B234" s="169"/>
      <c r="C234" s="170"/>
      <c r="D234" s="170"/>
      <c r="E234" s="170"/>
      <c r="F234" s="170"/>
      <c r="G234" s="171"/>
      <c r="H234" s="171"/>
      <c r="I234" s="172"/>
      <c r="J234" s="172"/>
      <c r="K234" s="172"/>
      <c r="L234" s="172"/>
      <c r="M234" s="147"/>
      <c r="Q234" s="147"/>
      <c r="R234" s="147"/>
      <c r="S234" s="147"/>
      <c r="T234" s="147"/>
      <c r="U234" s="147"/>
      <c r="V234" s="147"/>
      <c r="W234" s="147"/>
      <c r="X234" s="147"/>
      <c r="Y234" s="147"/>
      <c r="Z234" s="147"/>
      <c r="AA234" s="147"/>
      <c r="AB234" s="147"/>
      <c r="AC234" s="147"/>
      <c r="AD234" s="147"/>
      <c r="AE234" s="147"/>
      <c r="AF234" s="147"/>
      <c r="AG234" s="147"/>
      <c r="AH234" s="147"/>
      <c r="AI234" s="147"/>
    </row>
    <row r="235">
      <c r="A235" s="167"/>
      <c r="B235" s="169"/>
      <c r="C235" s="170"/>
      <c r="D235" s="170"/>
      <c r="E235" s="170"/>
      <c r="F235" s="170"/>
      <c r="G235" s="171"/>
      <c r="H235" s="171"/>
      <c r="I235" s="172"/>
      <c r="J235" s="172"/>
      <c r="K235" s="172"/>
      <c r="L235" s="172"/>
      <c r="M235" s="147"/>
      <c r="Q235" s="147"/>
      <c r="R235" s="147"/>
      <c r="S235" s="147"/>
      <c r="T235" s="147"/>
      <c r="U235" s="147"/>
      <c r="V235" s="147"/>
      <c r="W235" s="147"/>
      <c r="X235" s="147"/>
      <c r="Y235" s="147"/>
      <c r="Z235" s="147"/>
      <c r="AA235" s="147"/>
      <c r="AB235" s="147"/>
      <c r="AC235" s="147"/>
      <c r="AD235" s="147"/>
      <c r="AE235" s="147"/>
      <c r="AF235" s="147"/>
      <c r="AG235" s="147"/>
      <c r="AH235" s="147"/>
      <c r="AI235" s="147"/>
    </row>
    <row r="236">
      <c r="A236" s="167"/>
      <c r="B236" s="169"/>
      <c r="C236" s="170"/>
      <c r="D236" s="170"/>
      <c r="E236" s="170"/>
      <c r="F236" s="170"/>
      <c r="G236" s="171"/>
      <c r="H236" s="171"/>
      <c r="I236" s="172"/>
      <c r="J236" s="172"/>
      <c r="K236" s="172"/>
      <c r="L236" s="172"/>
      <c r="M236" s="147"/>
      <c r="Q236" s="147"/>
      <c r="R236" s="147"/>
      <c r="S236" s="147"/>
      <c r="T236" s="147"/>
      <c r="U236" s="147"/>
      <c r="V236" s="147"/>
      <c r="W236" s="147"/>
      <c r="X236" s="147"/>
      <c r="Y236" s="147"/>
      <c r="Z236" s="147"/>
      <c r="AA236" s="147"/>
      <c r="AB236" s="147"/>
      <c r="AC236" s="147"/>
      <c r="AD236" s="147"/>
      <c r="AE236" s="147"/>
      <c r="AF236" s="147"/>
      <c r="AG236" s="147"/>
      <c r="AH236" s="147"/>
      <c r="AI236" s="147"/>
    </row>
    <row r="237">
      <c r="A237" s="167"/>
      <c r="B237" s="169"/>
      <c r="C237" s="170"/>
      <c r="D237" s="170"/>
      <c r="E237" s="170"/>
      <c r="F237" s="170"/>
      <c r="G237" s="171"/>
      <c r="H237" s="171"/>
      <c r="I237" s="172"/>
      <c r="J237" s="172"/>
      <c r="K237" s="172"/>
      <c r="L237" s="172"/>
      <c r="M237" s="147"/>
      <c r="Q237" s="147"/>
      <c r="R237" s="147"/>
      <c r="S237" s="147"/>
      <c r="T237" s="147"/>
      <c r="U237" s="147"/>
      <c r="V237" s="147"/>
      <c r="W237" s="147"/>
      <c r="X237" s="147"/>
      <c r="Y237" s="147"/>
      <c r="Z237" s="147"/>
      <c r="AA237" s="147"/>
      <c r="AB237" s="147"/>
      <c r="AC237" s="147"/>
      <c r="AD237" s="147"/>
      <c r="AE237" s="147"/>
      <c r="AF237" s="147"/>
      <c r="AG237" s="147"/>
      <c r="AH237" s="147"/>
      <c r="AI237" s="147"/>
    </row>
    <row r="238">
      <c r="A238" s="167"/>
      <c r="B238" s="169"/>
      <c r="C238" s="170"/>
      <c r="D238" s="170"/>
      <c r="E238" s="170"/>
      <c r="F238" s="170"/>
      <c r="G238" s="171"/>
      <c r="H238" s="171"/>
      <c r="I238" s="172"/>
      <c r="J238" s="172"/>
      <c r="K238" s="172"/>
      <c r="L238" s="172"/>
      <c r="M238" s="147"/>
      <c r="Q238" s="147"/>
      <c r="R238" s="147"/>
      <c r="S238" s="147"/>
      <c r="T238" s="147"/>
      <c r="U238" s="147"/>
      <c r="V238" s="147"/>
      <c r="W238" s="147"/>
      <c r="X238" s="147"/>
      <c r="Y238" s="147"/>
      <c r="Z238" s="147"/>
      <c r="AA238" s="147"/>
      <c r="AB238" s="147"/>
      <c r="AC238" s="147"/>
      <c r="AD238" s="147"/>
      <c r="AE238" s="147"/>
      <c r="AF238" s="147"/>
      <c r="AG238" s="147"/>
      <c r="AH238" s="147"/>
      <c r="AI238" s="147"/>
    </row>
    <row r="239">
      <c r="A239" s="167"/>
      <c r="B239" s="169"/>
      <c r="C239" s="170"/>
      <c r="D239" s="170"/>
      <c r="E239" s="170"/>
      <c r="F239" s="170"/>
      <c r="G239" s="171"/>
      <c r="H239" s="171"/>
      <c r="I239" s="172"/>
      <c r="J239" s="172"/>
      <c r="K239" s="172"/>
      <c r="L239" s="172"/>
      <c r="M239" s="147"/>
      <c r="Q239" s="147"/>
      <c r="R239" s="147"/>
      <c r="S239" s="147"/>
      <c r="T239" s="147"/>
      <c r="U239" s="147"/>
      <c r="V239" s="147"/>
      <c r="W239" s="147"/>
      <c r="X239" s="147"/>
      <c r="Y239" s="147"/>
      <c r="Z239" s="147"/>
      <c r="AA239" s="147"/>
      <c r="AB239" s="147"/>
      <c r="AC239" s="147"/>
      <c r="AD239" s="147"/>
      <c r="AE239" s="147"/>
      <c r="AF239" s="147"/>
      <c r="AG239" s="147"/>
      <c r="AH239" s="147"/>
      <c r="AI239" s="147"/>
    </row>
    <row r="240">
      <c r="A240" s="167"/>
      <c r="B240" s="169"/>
      <c r="C240" s="170"/>
      <c r="D240" s="170"/>
      <c r="E240" s="170"/>
      <c r="F240" s="170"/>
      <c r="G240" s="171"/>
      <c r="H240" s="171"/>
      <c r="I240" s="172"/>
      <c r="J240" s="172"/>
      <c r="K240" s="172"/>
      <c r="L240" s="172"/>
      <c r="M240" s="147"/>
      <c r="Q240" s="147"/>
      <c r="R240" s="147"/>
      <c r="S240" s="147"/>
      <c r="T240" s="147"/>
      <c r="U240" s="147"/>
      <c r="V240" s="147"/>
      <c r="W240" s="147"/>
      <c r="X240" s="147"/>
      <c r="Y240" s="147"/>
      <c r="Z240" s="147"/>
      <c r="AA240" s="147"/>
      <c r="AB240" s="147"/>
      <c r="AC240" s="147"/>
      <c r="AD240" s="147"/>
      <c r="AE240" s="147"/>
      <c r="AF240" s="147"/>
      <c r="AG240" s="147"/>
      <c r="AH240" s="147"/>
      <c r="AI240" s="147"/>
    </row>
    <row r="241">
      <c r="A241" s="167"/>
      <c r="B241" s="169"/>
      <c r="C241" s="170"/>
      <c r="D241" s="170"/>
      <c r="E241" s="170"/>
      <c r="F241" s="170"/>
      <c r="G241" s="171"/>
      <c r="H241" s="171"/>
      <c r="I241" s="172"/>
      <c r="J241" s="172"/>
      <c r="K241" s="172"/>
      <c r="L241" s="172"/>
      <c r="M241" s="147"/>
      <c r="Q241" s="147"/>
      <c r="R241" s="147"/>
      <c r="S241" s="147"/>
      <c r="T241" s="147"/>
      <c r="U241" s="147"/>
      <c r="V241" s="147"/>
      <c r="W241" s="147"/>
      <c r="X241" s="147"/>
      <c r="Y241" s="147"/>
      <c r="Z241" s="147"/>
      <c r="AA241" s="147"/>
      <c r="AB241" s="147"/>
      <c r="AC241" s="147"/>
      <c r="AD241" s="147"/>
      <c r="AE241" s="147"/>
      <c r="AF241" s="147"/>
      <c r="AG241" s="147"/>
      <c r="AH241" s="147"/>
      <c r="AI241" s="147"/>
    </row>
    <row r="242">
      <c r="A242" s="167"/>
      <c r="B242" s="169"/>
      <c r="C242" s="170"/>
      <c r="D242" s="170"/>
      <c r="E242" s="170"/>
      <c r="F242" s="170"/>
      <c r="G242" s="171"/>
      <c r="H242" s="171"/>
      <c r="I242" s="172"/>
      <c r="J242" s="172"/>
      <c r="K242" s="172"/>
      <c r="L242" s="172"/>
      <c r="M242" s="147"/>
      <c r="Q242" s="147"/>
      <c r="R242" s="147"/>
      <c r="S242" s="147"/>
      <c r="T242" s="147"/>
      <c r="U242" s="147"/>
      <c r="V242" s="147"/>
      <c r="W242" s="147"/>
      <c r="X242" s="147"/>
      <c r="Y242" s="147"/>
      <c r="Z242" s="147"/>
      <c r="AA242" s="147"/>
      <c r="AB242" s="147"/>
      <c r="AC242" s="147"/>
      <c r="AD242" s="147"/>
      <c r="AE242" s="147"/>
      <c r="AF242" s="147"/>
      <c r="AG242" s="147"/>
      <c r="AH242" s="147"/>
      <c r="AI242" s="147"/>
    </row>
    <row r="243">
      <c r="A243" s="167"/>
      <c r="B243" s="169"/>
      <c r="C243" s="170"/>
      <c r="D243" s="170"/>
      <c r="E243" s="170"/>
      <c r="F243" s="170"/>
      <c r="G243" s="171"/>
      <c r="H243" s="171"/>
      <c r="I243" s="172"/>
      <c r="J243" s="172"/>
      <c r="K243" s="172"/>
      <c r="L243" s="172"/>
      <c r="M243" s="147"/>
      <c r="Q243" s="147"/>
      <c r="R243" s="147"/>
      <c r="S243" s="147"/>
      <c r="T243" s="147"/>
      <c r="U243" s="147"/>
      <c r="V243" s="147"/>
      <c r="W243" s="147"/>
      <c r="X243" s="147"/>
      <c r="Y243" s="147"/>
      <c r="Z243" s="147"/>
      <c r="AA243" s="147"/>
      <c r="AB243" s="147"/>
      <c r="AC243" s="147"/>
      <c r="AD243" s="147"/>
      <c r="AE243" s="147"/>
      <c r="AF243" s="147"/>
      <c r="AG243" s="147"/>
      <c r="AH243" s="147"/>
      <c r="AI243" s="147"/>
    </row>
    <row r="244">
      <c r="A244" s="167"/>
      <c r="B244" s="169"/>
      <c r="C244" s="170"/>
      <c r="D244" s="170"/>
      <c r="E244" s="170"/>
      <c r="F244" s="170"/>
      <c r="G244" s="171"/>
      <c r="H244" s="171"/>
      <c r="I244" s="172"/>
      <c r="J244" s="172"/>
      <c r="K244" s="172"/>
      <c r="L244" s="172"/>
      <c r="M244" s="147"/>
      <c r="Q244" s="147"/>
      <c r="R244" s="147"/>
      <c r="S244" s="147"/>
      <c r="T244" s="147"/>
      <c r="U244" s="147"/>
      <c r="V244" s="147"/>
      <c r="W244" s="147"/>
      <c r="X244" s="147"/>
      <c r="Y244" s="147"/>
      <c r="Z244" s="147"/>
      <c r="AA244" s="147"/>
      <c r="AB244" s="147"/>
      <c r="AC244" s="147"/>
      <c r="AD244" s="147"/>
      <c r="AE244" s="147"/>
      <c r="AF244" s="147"/>
      <c r="AG244" s="147"/>
      <c r="AH244" s="147"/>
      <c r="AI244" s="147"/>
    </row>
    <row r="245">
      <c r="A245" s="167"/>
      <c r="B245" s="169"/>
      <c r="C245" s="170"/>
      <c r="D245" s="170"/>
      <c r="E245" s="170"/>
      <c r="F245" s="170"/>
      <c r="G245" s="171"/>
      <c r="H245" s="171"/>
      <c r="I245" s="172"/>
      <c r="J245" s="172"/>
      <c r="K245" s="172"/>
      <c r="L245" s="172"/>
      <c r="M245" s="147"/>
      <c r="Q245" s="147"/>
      <c r="R245" s="147"/>
      <c r="S245" s="147"/>
      <c r="T245" s="147"/>
      <c r="U245" s="147"/>
      <c r="V245" s="147"/>
      <c r="W245" s="147"/>
      <c r="X245" s="147"/>
      <c r="Y245" s="147"/>
      <c r="Z245" s="147"/>
      <c r="AA245" s="147"/>
      <c r="AB245" s="147"/>
      <c r="AC245" s="147"/>
      <c r="AD245" s="147"/>
      <c r="AE245" s="147"/>
      <c r="AF245" s="147"/>
      <c r="AG245" s="147"/>
      <c r="AH245" s="147"/>
      <c r="AI245" s="147"/>
    </row>
    <row r="246">
      <c r="A246" s="167"/>
      <c r="B246" s="169"/>
      <c r="C246" s="170"/>
      <c r="D246" s="170"/>
      <c r="E246" s="170"/>
      <c r="F246" s="170"/>
      <c r="G246" s="171"/>
      <c r="H246" s="171"/>
      <c r="I246" s="172"/>
      <c r="J246" s="172"/>
      <c r="K246" s="172"/>
      <c r="L246" s="172"/>
      <c r="M246" s="147"/>
      <c r="Q246" s="147"/>
      <c r="R246" s="147"/>
      <c r="S246" s="147"/>
      <c r="T246" s="147"/>
      <c r="U246" s="147"/>
      <c r="V246" s="147"/>
      <c r="W246" s="147"/>
      <c r="X246" s="147"/>
      <c r="Y246" s="147"/>
      <c r="Z246" s="147"/>
      <c r="AA246" s="147"/>
      <c r="AB246" s="147"/>
      <c r="AC246" s="147"/>
      <c r="AD246" s="147"/>
      <c r="AE246" s="147"/>
      <c r="AF246" s="147"/>
      <c r="AG246" s="147"/>
      <c r="AH246" s="147"/>
      <c r="AI246" s="147"/>
    </row>
    <row r="247">
      <c r="A247" s="167"/>
      <c r="B247" s="169"/>
      <c r="C247" s="170"/>
      <c r="D247" s="170"/>
      <c r="E247" s="170"/>
      <c r="F247" s="170"/>
      <c r="G247" s="171"/>
      <c r="H247" s="171"/>
      <c r="I247" s="172"/>
      <c r="J247" s="172"/>
      <c r="K247" s="172"/>
      <c r="L247" s="172"/>
      <c r="M247" s="147"/>
      <c r="Q247" s="147"/>
      <c r="R247" s="147"/>
      <c r="S247" s="147"/>
      <c r="T247" s="147"/>
      <c r="U247" s="147"/>
      <c r="V247" s="147"/>
      <c r="W247" s="147"/>
      <c r="X247" s="147"/>
      <c r="Y247" s="147"/>
      <c r="Z247" s="147"/>
      <c r="AA247" s="147"/>
      <c r="AB247" s="147"/>
      <c r="AC247" s="147"/>
      <c r="AD247" s="147"/>
      <c r="AE247" s="147"/>
      <c r="AF247" s="147"/>
      <c r="AG247" s="147"/>
      <c r="AH247" s="147"/>
      <c r="AI247" s="147"/>
    </row>
    <row r="248">
      <c r="A248" s="167"/>
      <c r="B248" s="169"/>
      <c r="C248" s="170"/>
      <c r="D248" s="170"/>
      <c r="E248" s="170"/>
      <c r="F248" s="170"/>
      <c r="G248" s="171"/>
      <c r="H248" s="171"/>
      <c r="I248" s="172"/>
      <c r="J248" s="172"/>
      <c r="K248" s="172"/>
      <c r="L248" s="172"/>
      <c r="M248" s="147"/>
      <c r="Q248" s="147"/>
      <c r="R248" s="147"/>
      <c r="S248" s="147"/>
      <c r="T248" s="147"/>
      <c r="U248" s="147"/>
      <c r="V248" s="147"/>
      <c r="W248" s="147"/>
      <c r="X248" s="147"/>
      <c r="Y248" s="147"/>
      <c r="Z248" s="147"/>
      <c r="AA248" s="147"/>
      <c r="AB248" s="147"/>
      <c r="AC248" s="147"/>
      <c r="AD248" s="147"/>
      <c r="AE248" s="147"/>
      <c r="AF248" s="147"/>
      <c r="AG248" s="147"/>
      <c r="AH248" s="147"/>
      <c r="AI248" s="147"/>
    </row>
    <row r="249">
      <c r="A249" s="167"/>
      <c r="B249" s="169"/>
      <c r="C249" s="170"/>
      <c r="D249" s="170"/>
      <c r="E249" s="170"/>
      <c r="F249" s="170"/>
      <c r="G249" s="171"/>
      <c r="H249" s="171"/>
      <c r="I249" s="172"/>
      <c r="J249" s="172"/>
      <c r="K249" s="172"/>
      <c r="L249" s="172"/>
      <c r="M249" s="147"/>
      <c r="Q249" s="147"/>
      <c r="R249" s="147"/>
      <c r="S249" s="147"/>
      <c r="T249" s="147"/>
      <c r="U249" s="147"/>
      <c r="V249" s="147"/>
      <c r="W249" s="147"/>
      <c r="X249" s="147"/>
      <c r="Y249" s="147"/>
      <c r="Z249" s="147"/>
      <c r="AA249" s="147"/>
      <c r="AB249" s="147"/>
      <c r="AC249" s="147"/>
      <c r="AD249" s="147"/>
      <c r="AE249" s="147"/>
      <c r="AF249" s="147"/>
      <c r="AG249" s="147"/>
      <c r="AH249" s="147"/>
      <c r="AI249" s="147"/>
    </row>
    <row r="250">
      <c r="A250" s="167"/>
      <c r="B250" s="169"/>
      <c r="C250" s="170"/>
      <c r="D250" s="170"/>
      <c r="E250" s="170"/>
      <c r="F250" s="170"/>
      <c r="G250" s="171"/>
      <c r="H250" s="171"/>
      <c r="I250" s="172"/>
      <c r="J250" s="172"/>
      <c r="K250" s="172"/>
      <c r="L250" s="172"/>
      <c r="M250" s="147"/>
      <c r="Q250" s="147"/>
      <c r="R250" s="147"/>
      <c r="S250" s="147"/>
      <c r="T250" s="147"/>
      <c r="U250" s="147"/>
      <c r="V250" s="147"/>
      <c r="W250" s="147"/>
      <c r="X250" s="147"/>
      <c r="Y250" s="147"/>
      <c r="Z250" s="147"/>
      <c r="AA250" s="147"/>
      <c r="AB250" s="147"/>
      <c r="AC250" s="147"/>
      <c r="AD250" s="147"/>
      <c r="AE250" s="147"/>
      <c r="AF250" s="147"/>
      <c r="AG250" s="147"/>
      <c r="AH250" s="147"/>
      <c r="AI250" s="147"/>
    </row>
    <row r="251">
      <c r="A251" s="167"/>
      <c r="B251" s="169"/>
      <c r="C251" s="170"/>
      <c r="D251" s="170"/>
      <c r="E251" s="170"/>
      <c r="F251" s="170"/>
      <c r="G251" s="171"/>
      <c r="H251" s="171"/>
      <c r="I251" s="172"/>
      <c r="J251" s="172"/>
      <c r="K251" s="172"/>
      <c r="L251" s="172"/>
      <c r="M251" s="147"/>
      <c r="Q251" s="147"/>
      <c r="R251" s="147"/>
      <c r="S251" s="147"/>
      <c r="T251" s="147"/>
      <c r="U251" s="147"/>
      <c r="V251" s="147"/>
      <c r="W251" s="147"/>
      <c r="X251" s="147"/>
      <c r="Y251" s="147"/>
      <c r="Z251" s="147"/>
      <c r="AA251" s="147"/>
      <c r="AB251" s="147"/>
      <c r="AC251" s="147"/>
      <c r="AD251" s="147"/>
      <c r="AE251" s="147"/>
      <c r="AF251" s="147"/>
      <c r="AG251" s="147"/>
      <c r="AH251" s="147"/>
      <c r="AI251" s="147"/>
    </row>
    <row r="252">
      <c r="A252" s="167"/>
      <c r="B252" s="169"/>
      <c r="C252" s="170"/>
      <c r="D252" s="170"/>
      <c r="E252" s="170"/>
      <c r="F252" s="170"/>
      <c r="G252" s="171"/>
      <c r="H252" s="171"/>
      <c r="I252" s="172"/>
      <c r="J252" s="172"/>
      <c r="K252" s="172"/>
      <c r="L252" s="172"/>
      <c r="M252" s="147"/>
      <c r="Q252" s="147"/>
      <c r="R252" s="147"/>
      <c r="S252" s="147"/>
      <c r="T252" s="147"/>
      <c r="U252" s="147"/>
      <c r="V252" s="147"/>
      <c r="W252" s="147"/>
      <c r="X252" s="147"/>
      <c r="Y252" s="147"/>
      <c r="Z252" s="147"/>
      <c r="AA252" s="147"/>
      <c r="AB252" s="147"/>
      <c r="AC252" s="147"/>
      <c r="AD252" s="147"/>
      <c r="AE252" s="147"/>
      <c r="AF252" s="147"/>
      <c r="AG252" s="147"/>
      <c r="AH252" s="147"/>
      <c r="AI252" s="147"/>
    </row>
    <row r="253">
      <c r="A253" s="167"/>
      <c r="B253" s="169"/>
      <c r="C253" s="170"/>
      <c r="D253" s="170"/>
      <c r="E253" s="170"/>
      <c r="F253" s="170"/>
      <c r="G253" s="171"/>
      <c r="H253" s="171"/>
      <c r="I253" s="172"/>
      <c r="J253" s="172"/>
      <c r="K253" s="172"/>
      <c r="L253" s="172"/>
      <c r="M253" s="147"/>
      <c r="Q253" s="147"/>
      <c r="R253" s="147"/>
      <c r="S253" s="147"/>
      <c r="T253" s="147"/>
      <c r="U253" s="147"/>
      <c r="V253" s="147"/>
      <c r="W253" s="147"/>
      <c r="X253" s="147"/>
      <c r="Y253" s="147"/>
      <c r="Z253" s="147"/>
      <c r="AA253" s="147"/>
      <c r="AB253" s="147"/>
      <c r="AC253" s="147"/>
      <c r="AD253" s="147"/>
      <c r="AE253" s="147"/>
      <c r="AF253" s="147"/>
      <c r="AG253" s="147"/>
      <c r="AH253" s="147"/>
      <c r="AI253" s="147"/>
    </row>
    <row r="254">
      <c r="A254" s="167"/>
      <c r="B254" s="169"/>
      <c r="C254" s="170"/>
      <c r="D254" s="170"/>
      <c r="E254" s="170"/>
      <c r="F254" s="170"/>
      <c r="G254" s="171"/>
      <c r="H254" s="171"/>
      <c r="I254" s="172"/>
      <c r="J254" s="172"/>
      <c r="K254" s="172"/>
      <c r="L254" s="172"/>
      <c r="M254" s="147"/>
      <c r="Q254" s="147"/>
      <c r="R254" s="147"/>
      <c r="S254" s="147"/>
      <c r="T254" s="147"/>
      <c r="U254" s="147"/>
      <c r="V254" s="147"/>
      <c r="W254" s="147"/>
      <c r="X254" s="147"/>
      <c r="Y254" s="147"/>
      <c r="Z254" s="147"/>
      <c r="AA254" s="147"/>
      <c r="AB254" s="147"/>
      <c r="AC254" s="147"/>
      <c r="AD254" s="147"/>
      <c r="AE254" s="147"/>
      <c r="AF254" s="147"/>
      <c r="AG254" s="147"/>
      <c r="AH254" s="147"/>
      <c r="AI254" s="147"/>
    </row>
    <row r="255">
      <c r="A255" s="167"/>
      <c r="B255" s="169"/>
      <c r="C255" s="170"/>
      <c r="D255" s="170"/>
      <c r="E255" s="170"/>
      <c r="F255" s="170"/>
      <c r="G255" s="171"/>
      <c r="H255" s="171"/>
      <c r="I255" s="172"/>
      <c r="J255" s="172"/>
      <c r="K255" s="172"/>
      <c r="L255" s="172"/>
      <c r="M255" s="147"/>
      <c r="Q255" s="147"/>
      <c r="R255" s="147"/>
      <c r="S255" s="147"/>
      <c r="T255" s="147"/>
      <c r="U255" s="147"/>
      <c r="V255" s="147"/>
      <c r="W255" s="147"/>
      <c r="X255" s="147"/>
      <c r="Y255" s="147"/>
      <c r="Z255" s="147"/>
      <c r="AA255" s="147"/>
      <c r="AB255" s="147"/>
      <c r="AC255" s="147"/>
      <c r="AD255" s="147"/>
      <c r="AE255" s="147"/>
      <c r="AF255" s="147"/>
      <c r="AG255" s="147"/>
      <c r="AH255" s="147"/>
      <c r="AI255" s="147"/>
    </row>
    <row r="256">
      <c r="A256" s="167"/>
      <c r="B256" s="169"/>
      <c r="C256" s="170"/>
      <c r="D256" s="170"/>
      <c r="E256" s="170"/>
      <c r="F256" s="170"/>
      <c r="G256" s="171"/>
      <c r="H256" s="171"/>
      <c r="I256" s="172"/>
      <c r="J256" s="172"/>
      <c r="K256" s="172"/>
      <c r="L256" s="172"/>
      <c r="M256" s="147"/>
      <c r="Q256" s="147"/>
      <c r="R256" s="147"/>
      <c r="S256" s="147"/>
      <c r="T256" s="147"/>
      <c r="U256" s="147"/>
      <c r="V256" s="147"/>
      <c r="W256" s="147"/>
      <c r="X256" s="147"/>
      <c r="Y256" s="147"/>
      <c r="Z256" s="147"/>
      <c r="AA256" s="147"/>
      <c r="AB256" s="147"/>
      <c r="AC256" s="147"/>
      <c r="AD256" s="147"/>
      <c r="AE256" s="147"/>
      <c r="AF256" s="147"/>
      <c r="AG256" s="147"/>
      <c r="AH256" s="147"/>
      <c r="AI256" s="147"/>
    </row>
    <row r="257">
      <c r="A257" s="167"/>
      <c r="B257" s="169"/>
      <c r="C257" s="170"/>
      <c r="D257" s="170"/>
      <c r="E257" s="170"/>
      <c r="F257" s="170"/>
      <c r="G257" s="171"/>
      <c r="H257" s="171"/>
      <c r="I257" s="172"/>
      <c r="J257" s="172"/>
      <c r="K257" s="172"/>
      <c r="L257" s="172"/>
      <c r="M257" s="147"/>
      <c r="Q257" s="147"/>
      <c r="R257" s="147"/>
      <c r="S257" s="147"/>
      <c r="T257" s="147"/>
      <c r="U257" s="147"/>
      <c r="V257" s="147"/>
      <c r="W257" s="147"/>
      <c r="X257" s="147"/>
      <c r="Y257" s="147"/>
      <c r="Z257" s="147"/>
      <c r="AA257" s="147"/>
      <c r="AB257" s="147"/>
      <c r="AC257" s="147"/>
      <c r="AD257" s="147"/>
      <c r="AE257" s="147"/>
      <c r="AF257" s="147"/>
      <c r="AG257" s="147"/>
      <c r="AH257" s="147"/>
      <c r="AI257" s="147"/>
    </row>
    <row r="258">
      <c r="A258" s="167"/>
      <c r="B258" s="169"/>
      <c r="C258" s="170"/>
      <c r="D258" s="170"/>
      <c r="E258" s="170"/>
      <c r="F258" s="170"/>
      <c r="G258" s="171"/>
      <c r="H258" s="171"/>
      <c r="I258" s="172"/>
      <c r="J258" s="172"/>
      <c r="K258" s="172"/>
      <c r="L258" s="172"/>
      <c r="M258" s="147"/>
      <c r="Q258" s="147"/>
      <c r="R258" s="147"/>
      <c r="S258" s="147"/>
      <c r="T258" s="147"/>
      <c r="U258" s="147"/>
      <c r="V258" s="147"/>
      <c r="W258" s="147"/>
      <c r="X258" s="147"/>
      <c r="Y258" s="147"/>
      <c r="Z258" s="147"/>
      <c r="AA258" s="147"/>
      <c r="AB258" s="147"/>
      <c r="AC258" s="147"/>
      <c r="AD258" s="147"/>
      <c r="AE258" s="147"/>
      <c r="AF258" s="147"/>
      <c r="AG258" s="147"/>
      <c r="AH258" s="147"/>
      <c r="AI258" s="147"/>
    </row>
    <row r="259">
      <c r="A259" s="167"/>
      <c r="B259" s="169"/>
      <c r="C259" s="170"/>
      <c r="D259" s="170"/>
      <c r="E259" s="170"/>
      <c r="F259" s="170"/>
      <c r="G259" s="171"/>
      <c r="H259" s="171"/>
      <c r="I259" s="172"/>
      <c r="J259" s="172"/>
      <c r="K259" s="172"/>
      <c r="L259" s="172"/>
      <c r="M259" s="147"/>
      <c r="Q259" s="147"/>
      <c r="R259" s="147"/>
      <c r="S259" s="147"/>
      <c r="T259" s="147"/>
      <c r="U259" s="147"/>
      <c r="V259" s="147"/>
      <c r="W259" s="147"/>
      <c r="X259" s="147"/>
      <c r="Y259" s="147"/>
      <c r="Z259" s="147"/>
      <c r="AA259" s="147"/>
      <c r="AB259" s="147"/>
      <c r="AC259" s="147"/>
      <c r="AD259" s="147"/>
      <c r="AE259" s="147"/>
      <c r="AF259" s="147"/>
      <c r="AG259" s="147"/>
      <c r="AH259" s="147"/>
      <c r="AI259" s="147"/>
    </row>
    <row r="260">
      <c r="A260" s="167"/>
      <c r="B260" s="169"/>
      <c r="C260" s="170"/>
      <c r="D260" s="170"/>
      <c r="E260" s="170"/>
      <c r="F260" s="170"/>
      <c r="G260" s="171"/>
      <c r="H260" s="171"/>
      <c r="I260" s="172"/>
      <c r="J260" s="172"/>
      <c r="K260" s="172"/>
      <c r="L260" s="172"/>
      <c r="M260" s="147"/>
      <c r="Q260" s="147"/>
      <c r="R260" s="147"/>
      <c r="S260" s="147"/>
      <c r="T260" s="147"/>
      <c r="U260" s="147"/>
      <c r="V260" s="147"/>
      <c r="W260" s="147"/>
      <c r="X260" s="147"/>
      <c r="Y260" s="147"/>
      <c r="Z260" s="147"/>
      <c r="AA260" s="147"/>
      <c r="AB260" s="147"/>
      <c r="AC260" s="147"/>
      <c r="AD260" s="147"/>
      <c r="AE260" s="147"/>
      <c r="AF260" s="147"/>
      <c r="AG260" s="147"/>
      <c r="AH260" s="147"/>
      <c r="AI260" s="147"/>
    </row>
    <row r="261">
      <c r="A261" s="167"/>
      <c r="B261" s="169"/>
      <c r="C261" s="170"/>
      <c r="D261" s="170"/>
      <c r="E261" s="170"/>
      <c r="F261" s="170"/>
      <c r="G261" s="171"/>
      <c r="H261" s="171"/>
      <c r="I261" s="172"/>
      <c r="J261" s="172"/>
      <c r="K261" s="172"/>
      <c r="L261" s="172"/>
      <c r="M261" s="147"/>
      <c r="Q261" s="147"/>
      <c r="R261" s="147"/>
      <c r="S261" s="147"/>
      <c r="T261" s="147"/>
      <c r="U261" s="147"/>
      <c r="V261" s="147"/>
      <c r="W261" s="147"/>
      <c r="X261" s="147"/>
      <c r="Y261" s="147"/>
      <c r="Z261" s="147"/>
      <c r="AA261" s="147"/>
      <c r="AB261" s="147"/>
      <c r="AC261" s="147"/>
      <c r="AD261" s="147"/>
      <c r="AE261" s="147"/>
      <c r="AF261" s="147"/>
      <c r="AG261" s="147"/>
      <c r="AH261" s="147"/>
      <c r="AI261" s="147"/>
    </row>
    <row r="262">
      <c r="A262" s="167"/>
      <c r="B262" s="169"/>
      <c r="C262" s="170"/>
      <c r="D262" s="170"/>
      <c r="E262" s="170"/>
      <c r="F262" s="170"/>
      <c r="G262" s="171"/>
      <c r="H262" s="171"/>
      <c r="I262" s="172"/>
      <c r="J262" s="172"/>
      <c r="K262" s="172"/>
      <c r="L262" s="172"/>
      <c r="M262" s="147"/>
      <c r="Q262" s="147"/>
      <c r="R262" s="147"/>
      <c r="S262" s="147"/>
      <c r="T262" s="147"/>
      <c r="U262" s="147"/>
      <c r="V262" s="147"/>
      <c r="W262" s="147"/>
      <c r="X262" s="147"/>
      <c r="Y262" s="147"/>
      <c r="Z262" s="147"/>
      <c r="AA262" s="147"/>
      <c r="AB262" s="147"/>
      <c r="AC262" s="147"/>
      <c r="AD262" s="147"/>
      <c r="AE262" s="147"/>
      <c r="AF262" s="147"/>
      <c r="AG262" s="147"/>
      <c r="AH262" s="147"/>
      <c r="AI262" s="147"/>
    </row>
    <row r="263">
      <c r="A263" s="167"/>
      <c r="B263" s="169"/>
      <c r="C263" s="170"/>
      <c r="D263" s="170"/>
      <c r="E263" s="170"/>
      <c r="F263" s="170"/>
      <c r="G263" s="171"/>
      <c r="H263" s="171"/>
      <c r="I263" s="172"/>
      <c r="J263" s="172"/>
      <c r="K263" s="172"/>
      <c r="L263" s="172"/>
      <c r="M263" s="147"/>
      <c r="Q263" s="147"/>
      <c r="R263" s="147"/>
      <c r="S263" s="147"/>
      <c r="T263" s="147"/>
      <c r="U263" s="147"/>
      <c r="V263" s="147"/>
      <c r="W263" s="147"/>
      <c r="X263" s="147"/>
      <c r="Y263" s="147"/>
      <c r="Z263" s="147"/>
      <c r="AA263" s="147"/>
      <c r="AB263" s="147"/>
      <c r="AC263" s="147"/>
      <c r="AD263" s="147"/>
      <c r="AE263" s="147"/>
      <c r="AF263" s="147"/>
      <c r="AG263" s="147"/>
      <c r="AH263" s="147"/>
      <c r="AI263" s="147"/>
    </row>
    <row r="264">
      <c r="A264" s="167"/>
      <c r="B264" s="169"/>
      <c r="C264" s="170"/>
      <c r="D264" s="170"/>
      <c r="E264" s="170"/>
      <c r="F264" s="170"/>
      <c r="G264" s="171"/>
      <c r="H264" s="171"/>
      <c r="I264" s="172"/>
      <c r="J264" s="172"/>
      <c r="K264" s="172"/>
      <c r="L264" s="172"/>
      <c r="M264" s="147"/>
      <c r="Q264" s="147"/>
      <c r="R264" s="147"/>
      <c r="S264" s="147"/>
      <c r="T264" s="147"/>
      <c r="U264" s="147"/>
      <c r="V264" s="147"/>
      <c r="W264" s="147"/>
      <c r="X264" s="147"/>
      <c r="Y264" s="147"/>
      <c r="Z264" s="147"/>
      <c r="AA264" s="147"/>
      <c r="AB264" s="147"/>
      <c r="AC264" s="147"/>
      <c r="AD264" s="147"/>
      <c r="AE264" s="147"/>
      <c r="AF264" s="147"/>
      <c r="AG264" s="147"/>
      <c r="AH264" s="147"/>
      <c r="AI264" s="147"/>
    </row>
    <row r="265">
      <c r="A265" s="167"/>
      <c r="B265" s="169"/>
      <c r="C265" s="170"/>
      <c r="D265" s="170"/>
      <c r="E265" s="170"/>
      <c r="F265" s="170"/>
      <c r="G265" s="171"/>
      <c r="H265" s="171"/>
      <c r="I265" s="172"/>
      <c r="J265" s="172"/>
      <c r="K265" s="172"/>
      <c r="L265" s="172"/>
      <c r="M265" s="147"/>
      <c r="Q265" s="147"/>
      <c r="R265" s="147"/>
      <c r="S265" s="147"/>
      <c r="T265" s="147"/>
      <c r="U265" s="147"/>
      <c r="V265" s="147"/>
      <c r="W265" s="147"/>
      <c r="X265" s="147"/>
      <c r="Y265" s="147"/>
      <c r="Z265" s="147"/>
      <c r="AA265" s="147"/>
      <c r="AB265" s="147"/>
      <c r="AC265" s="147"/>
      <c r="AD265" s="147"/>
      <c r="AE265" s="147"/>
      <c r="AF265" s="147"/>
      <c r="AG265" s="147"/>
      <c r="AH265" s="147"/>
      <c r="AI265" s="147"/>
    </row>
    <row r="266">
      <c r="A266" s="167"/>
      <c r="B266" s="169"/>
      <c r="C266" s="170"/>
      <c r="D266" s="170"/>
      <c r="E266" s="170"/>
      <c r="F266" s="170"/>
      <c r="G266" s="171"/>
      <c r="H266" s="171"/>
      <c r="I266" s="172"/>
      <c r="J266" s="172"/>
      <c r="K266" s="172"/>
      <c r="L266" s="172"/>
      <c r="M266" s="147"/>
      <c r="Q266" s="147"/>
      <c r="R266" s="147"/>
      <c r="S266" s="147"/>
      <c r="T266" s="147"/>
      <c r="U266" s="147"/>
      <c r="V266" s="147"/>
      <c r="W266" s="147"/>
      <c r="X266" s="147"/>
      <c r="Y266" s="147"/>
      <c r="Z266" s="147"/>
      <c r="AA266" s="147"/>
      <c r="AB266" s="147"/>
      <c r="AC266" s="147"/>
      <c r="AD266" s="147"/>
      <c r="AE266" s="147"/>
      <c r="AF266" s="147"/>
      <c r="AG266" s="147"/>
      <c r="AH266" s="147"/>
      <c r="AI266" s="147"/>
    </row>
    <row r="267">
      <c r="A267" s="167"/>
      <c r="B267" s="169"/>
      <c r="C267" s="170"/>
      <c r="D267" s="170"/>
      <c r="E267" s="170"/>
      <c r="F267" s="170"/>
      <c r="G267" s="171"/>
      <c r="H267" s="171"/>
      <c r="I267" s="172"/>
      <c r="J267" s="172"/>
      <c r="K267" s="172"/>
      <c r="L267" s="172"/>
      <c r="M267" s="147"/>
      <c r="Q267" s="147"/>
      <c r="R267" s="147"/>
      <c r="S267" s="147"/>
      <c r="T267" s="147"/>
      <c r="U267" s="147"/>
      <c r="V267" s="147"/>
      <c r="W267" s="147"/>
      <c r="X267" s="147"/>
      <c r="Y267" s="147"/>
      <c r="Z267" s="147"/>
      <c r="AA267" s="147"/>
      <c r="AB267" s="147"/>
      <c r="AC267" s="147"/>
      <c r="AD267" s="147"/>
      <c r="AE267" s="147"/>
      <c r="AF267" s="147"/>
      <c r="AG267" s="147"/>
      <c r="AH267" s="147"/>
      <c r="AI267" s="147"/>
    </row>
    <row r="268">
      <c r="A268" s="167"/>
      <c r="B268" s="169"/>
      <c r="C268" s="170"/>
      <c r="D268" s="170"/>
      <c r="E268" s="170"/>
      <c r="F268" s="170"/>
      <c r="G268" s="171"/>
      <c r="H268" s="171"/>
      <c r="I268" s="172"/>
      <c r="J268" s="172"/>
      <c r="K268" s="172"/>
      <c r="L268" s="172"/>
      <c r="M268" s="147"/>
      <c r="Q268" s="147"/>
      <c r="R268" s="147"/>
      <c r="S268" s="147"/>
      <c r="T268" s="147"/>
      <c r="U268" s="147"/>
      <c r="V268" s="147"/>
      <c r="W268" s="147"/>
      <c r="X268" s="147"/>
      <c r="Y268" s="147"/>
      <c r="Z268" s="147"/>
      <c r="AA268" s="147"/>
      <c r="AB268" s="147"/>
      <c r="AC268" s="147"/>
      <c r="AD268" s="147"/>
      <c r="AE268" s="147"/>
      <c r="AF268" s="147"/>
      <c r="AG268" s="147"/>
      <c r="AH268" s="147"/>
      <c r="AI268" s="147"/>
    </row>
    <row r="269">
      <c r="A269" s="167"/>
      <c r="B269" s="169"/>
      <c r="C269" s="170"/>
      <c r="D269" s="170"/>
      <c r="E269" s="170"/>
      <c r="F269" s="170"/>
      <c r="G269" s="171"/>
      <c r="H269" s="171"/>
      <c r="I269" s="172"/>
      <c r="J269" s="172"/>
      <c r="K269" s="172"/>
      <c r="L269" s="172"/>
      <c r="M269" s="147"/>
      <c r="Q269" s="147"/>
      <c r="R269" s="147"/>
      <c r="S269" s="147"/>
      <c r="T269" s="147"/>
      <c r="U269" s="147"/>
      <c r="V269" s="147"/>
      <c r="W269" s="147"/>
      <c r="X269" s="147"/>
      <c r="Y269" s="147"/>
      <c r="Z269" s="147"/>
      <c r="AA269" s="147"/>
      <c r="AB269" s="147"/>
      <c r="AC269" s="147"/>
      <c r="AD269" s="147"/>
      <c r="AE269" s="147"/>
      <c r="AF269" s="147"/>
      <c r="AG269" s="147"/>
      <c r="AH269" s="147"/>
      <c r="AI269" s="147"/>
    </row>
    <row r="270">
      <c r="A270" s="167"/>
      <c r="B270" s="169"/>
      <c r="C270" s="170"/>
      <c r="D270" s="170"/>
      <c r="E270" s="170"/>
      <c r="F270" s="170"/>
      <c r="G270" s="171"/>
      <c r="H270" s="171"/>
      <c r="I270" s="172"/>
      <c r="J270" s="172"/>
      <c r="K270" s="172"/>
      <c r="L270" s="172"/>
      <c r="M270" s="147"/>
      <c r="Q270" s="147"/>
      <c r="R270" s="147"/>
      <c r="S270" s="147"/>
      <c r="T270" s="147"/>
      <c r="U270" s="147"/>
      <c r="V270" s="147"/>
      <c r="W270" s="147"/>
      <c r="X270" s="147"/>
      <c r="Y270" s="147"/>
      <c r="Z270" s="147"/>
      <c r="AA270" s="147"/>
      <c r="AB270" s="147"/>
      <c r="AC270" s="147"/>
      <c r="AD270" s="147"/>
      <c r="AE270" s="147"/>
      <c r="AF270" s="147"/>
      <c r="AG270" s="147"/>
      <c r="AH270" s="147"/>
      <c r="AI270" s="147"/>
    </row>
    <row r="271">
      <c r="A271" s="167"/>
      <c r="B271" s="169"/>
      <c r="C271" s="170"/>
      <c r="D271" s="170"/>
      <c r="E271" s="170"/>
      <c r="F271" s="170"/>
      <c r="G271" s="171"/>
      <c r="H271" s="171"/>
      <c r="I271" s="172"/>
      <c r="J271" s="172"/>
      <c r="K271" s="172"/>
      <c r="L271" s="172"/>
      <c r="M271" s="147"/>
      <c r="Q271" s="147"/>
      <c r="R271" s="147"/>
      <c r="S271" s="147"/>
      <c r="T271" s="147"/>
      <c r="U271" s="147"/>
      <c r="V271" s="147"/>
      <c r="W271" s="147"/>
      <c r="X271" s="147"/>
      <c r="Y271" s="147"/>
      <c r="Z271" s="147"/>
      <c r="AA271" s="147"/>
      <c r="AB271" s="147"/>
      <c r="AC271" s="147"/>
      <c r="AD271" s="147"/>
      <c r="AE271" s="147"/>
      <c r="AF271" s="147"/>
      <c r="AG271" s="147"/>
      <c r="AH271" s="147"/>
      <c r="AI271" s="147"/>
    </row>
    <row r="272">
      <c r="A272" s="167"/>
      <c r="B272" s="169"/>
      <c r="C272" s="170"/>
      <c r="D272" s="170"/>
      <c r="E272" s="170"/>
      <c r="F272" s="170"/>
      <c r="G272" s="171"/>
      <c r="H272" s="171"/>
      <c r="I272" s="172"/>
      <c r="J272" s="172"/>
      <c r="K272" s="172"/>
      <c r="L272" s="172"/>
      <c r="M272" s="147"/>
      <c r="Q272" s="147"/>
      <c r="R272" s="147"/>
      <c r="S272" s="147"/>
      <c r="T272" s="147"/>
      <c r="U272" s="147"/>
      <c r="V272" s="147"/>
      <c r="W272" s="147"/>
      <c r="X272" s="147"/>
      <c r="Y272" s="147"/>
      <c r="Z272" s="147"/>
      <c r="AA272" s="147"/>
      <c r="AB272" s="147"/>
      <c r="AC272" s="147"/>
      <c r="AD272" s="147"/>
      <c r="AE272" s="147"/>
      <c r="AF272" s="147"/>
      <c r="AG272" s="147"/>
      <c r="AH272" s="147"/>
      <c r="AI272" s="147"/>
    </row>
    <row r="273">
      <c r="A273" s="167"/>
      <c r="B273" s="169"/>
      <c r="C273" s="170"/>
      <c r="D273" s="170"/>
      <c r="E273" s="170"/>
      <c r="F273" s="170"/>
      <c r="G273" s="171"/>
      <c r="H273" s="171"/>
      <c r="I273" s="172"/>
      <c r="J273" s="172"/>
      <c r="K273" s="172"/>
      <c r="L273" s="172"/>
      <c r="M273" s="147"/>
      <c r="Q273" s="147"/>
      <c r="R273" s="147"/>
      <c r="S273" s="147"/>
      <c r="T273" s="147"/>
      <c r="U273" s="147"/>
      <c r="V273" s="147"/>
      <c r="W273" s="147"/>
      <c r="X273" s="147"/>
      <c r="Y273" s="147"/>
      <c r="Z273" s="147"/>
      <c r="AA273" s="147"/>
      <c r="AB273" s="147"/>
      <c r="AC273" s="147"/>
      <c r="AD273" s="147"/>
      <c r="AE273" s="147"/>
      <c r="AF273" s="147"/>
      <c r="AG273" s="147"/>
      <c r="AH273" s="147"/>
      <c r="AI273" s="147"/>
    </row>
    <row r="274">
      <c r="A274" s="167"/>
      <c r="B274" s="169"/>
      <c r="C274" s="170"/>
      <c r="D274" s="170"/>
      <c r="E274" s="170"/>
      <c r="F274" s="170"/>
      <c r="G274" s="171"/>
      <c r="H274" s="171"/>
      <c r="I274" s="172"/>
      <c r="J274" s="172"/>
      <c r="K274" s="172"/>
      <c r="L274" s="172"/>
      <c r="M274" s="147"/>
      <c r="Q274" s="147"/>
      <c r="R274" s="147"/>
      <c r="S274" s="147"/>
      <c r="T274" s="147"/>
      <c r="U274" s="147"/>
      <c r="V274" s="147"/>
      <c r="W274" s="147"/>
      <c r="X274" s="147"/>
      <c r="Y274" s="147"/>
      <c r="Z274" s="147"/>
      <c r="AA274" s="147"/>
      <c r="AB274" s="147"/>
      <c r="AC274" s="147"/>
      <c r="AD274" s="147"/>
      <c r="AE274" s="147"/>
      <c r="AF274" s="147"/>
      <c r="AG274" s="147"/>
      <c r="AH274" s="147"/>
      <c r="AI274" s="147"/>
    </row>
    <row r="275">
      <c r="A275" s="167"/>
      <c r="B275" s="169"/>
      <c r="C275" s="170"/>
      <c r="D275" s="170"/>
      <c r="E275" s="170"/>
      <c r="F275" s="170"/>
      <c r="G275" s="171"/>
      <c r="H275" s="171"/>
      <c r="I275" s="172"/>
      <c r="J275" s="172"/>
      <c r="K275" s="172"/>
      <c r="L275" s="172"/>
      <c r="M275" s="147"/>
      <c r="Q275" s="147"/>
      <c r="R275" s="147"/>
      <c r="S275" s="147"/>
      <c r="T275" s="147"/>
      <c r="U275" s="147"/>
      <c r="V275" s="147"/>
      <c r="W275" s="147"/>
      <c r="X275" s="147"/>
      <c r="Y275" s="147"/>
      <c r="Z275" s="147"/>
      <c r="AA275" s="147"/>
      <c r="AB275" s="147"/>
      <c r="AC275" s="147"/>
      <c r="AD275" s="147"/>
      <c r="AE275" s="147"/>
      <c r="AF275" s="147"/>
      <c r="AG275" s="147"/>
      <c r="AH275" s="147"/>
      <c r="AI275" s="147"/>
    </row>
    <row r="276">
      <c r="A276" s="167"/>
      <c r="B276" s="169"/>
      <c r="C276" s="170"/>
      <c r="D276" s="170"/>
      <c r="E276" s="170"/>
      <c r="F276" s="170"/>
      <c r="G276" s="171"/>
      <c r="H276" s="171"/>
      <c r="I276" s="172"/>
      <c r="J276" s="172"/>
      <c r="K276" s="172"/>
      <c r="L276" s="172"/>
      <c r="M276" s="147"/>
      <c r="Q276" s="147"/>
      <c r="R276" s="147"/>
      <c r="S276" s="147"/>
      <c r="T276" s="147"/>
      <c r="U276" s="147"/>
      <c r="V276" s="147"/>
      <c r="W276" s="147"/>
      <c r="X276" s="147"/>
      <c r="Y276" s="147"/>
      <c r="Z276" s="147"/>
      <c r="AA276" s="147"/>
      <c r="AB276" s="147"/>
      <c r="AC276" s="147"/>
      <c r="AD276" s="147"/>
      <c r="AE276" s="147"/>
      <c r="AF276" s="147"/>
      <c r="AG276" s="147"/>
      <c r="AH276" s="147"/>
      <c r="AI276" s="147"/>
    </row>
    <row r="277">
      <c r="A277" s="167"/>
      <c r="B277" s="169"/>
      <c r="C277" s="170"/>
      <c r="D277" s="170"/>
      <c r="E277" s="170"/>
      <c r="F277" s="170"/>
      <c r="G277" s="171"/>
      <c r="H277" s="171"/>
      <c r="I277" s="172"/>
      <c r="J277" s="172"/>
      <c r="K277" s="172"/>
      <c r="L277" s="172"/>
      <c r="M277" s="147"/>
      <c r="Q277" s="147"/>
      <c r="R277" s="147"/>
      <c r="S277" s="147"/>
      <c r="T277" s="147"/>
      <c r="U277" s="147"/>
      <c r="V277" s="147"/>
      <c r="W277" s="147"/>
      <c r="X277" s="147"/>
      <c r="Y277" s="147"/>
      <c r="Z277" s="147"/>
      <c r="AA277" s="147"/>
      <c r="AB277" s="147"/>
      <c r="AC277" s="147"/>
      <c r="AD277" s="147"/>
      <c r="AE277" s="147"/>
      <c r="AF277" s="147"/>
      <c r="AG277" s="147"/>
      <c r="AH277" s="147"/>
      <c r="AI277" s="147"/>
    </row>
    <row r="278">
      <c r="A278" s="167"/>
      <c r="B278" s="169"/>
      <c r="C278" s="170"/>
      <c r="D278" s="170"/>
      <c r="E278" s="170"/>
      <c r="F278" s="170"/>
      <c r="G278" s="171"/>
      <c r="H278" s="171"/>
      <c r="I278" s="172"/>
      <c r="J278" s="172"/>
      <c r="K278" s="172"/>
      <c r="L278" s="172"/>
      <c r="M278" s="147"/>
      <c r="Q278" s="147"/>
      <c r="R278" s="147"/>
      <c r="S278" s="147"/>
      <c r="T278" s="147"/>
      <c r="U278" s="147"/>
      <c r="V278" s="147"/>
      <c r="W278" s="147"/>
      <c r="X278" s="147"/>
      <c r="Y278" s="147"/>
      <c r="Z278" s="147"/>
      <c r="AA278" s="147"/>
      <c r="AB278" s="147"/>
      <c r="AC278" s="147"/>
      <c r="AD278" s="147"/>
      <c r="AE278" s="147"/>
      <c r="AF278" s="147"/>
      <c r="AG278" s="147"/>
      <c r="AH278" s="147"/>
      <c r="AI278" s="147"/>
    </row>
    <row r="279">
      <c r="A279" s="167"/>
      <c r="B279" s="169"/>
      <c r="C279" s="170"/>
      <c r="D279" s="170"/>
      <c r="E279" s="170"/>
      <c r="F279" s="170"/>
      <c r="G279" s="171"/>
      <c r="H279" s="171"/>
      <c r="I279" s="172"/>
      <c r="J279" s="172"/>
      <c r="K279" s="172"/>
      <c r="L279" s="172"/>
      <c r="M279" s="147"/>
      <c r="Q279" s="147"/>
      <c r="R279" s="147"/>
      <c r="S279" s="147"/>
      <c r="T279" s="147"/>
      <c r="U279" s="147"/>
      <c r="V279" s="147"/>
      <c r="W279" s="147"/>
      <c r="X279" s="147"/>
      <c r="Y279" s="147"/>
      <c r="Z279" s="147"/>
      <c r="AA279" s="147"/>
      <c r="AB279" s="147"/>
      <c r="AC279" s="147"/>
      <c r="AD279" s="147"/>
      <c r="AE279" s="147"/>
      <c r="AF279" s="147"/>
      <c r="AG279" s="147"/>
      <c r="AH279" s="147"/>
      <c r="AI279" s="147"/>
    </row>
    <row r="280">
      <c r="A280" s="167"/>
      <c r="B280" s="169"/>
      <c r="C280" s="170"/>
      <c r="D280" s="170"/>
      <c r="E280" s="170"/>
      <c r="F280" s="170"/>
      <c r="G280" s="171"/>
      <c r="H280" s="171"/>
      <c r="I280" s="172"/>
      <c r="J280" s="172"/>
      <c r="K280" s="172"/>
      <c r="L280" s="172"/>
      <c r="M280" s="147"/>
      <c r="Q280" s="147"/>
      <c r="R280" s="147"/>
      <c r="S280" s="147"/>
      <c r="T280" s="147"/>
      <c r="U280" s="147"/>
      <c r="V280" s="147"/>
      <c r="W280" s="147"/>
      <c r="X280" s="147"/>
      <c r="Y280" s="147"/>
      <c r="Z280" s="147"/>
      <c r="AA280" s="147"/>
      <c r="AB280" s="147"/>
      <c r="AC280" s="147"/>
      <c r="AD280" s="147"/>
      <c r="AE280" s="147"/>
      <c r="AF280" s="147"/>
      <c r="AG280" s="147"/>
      <c r="AH280" s="147"/>
      <c r="AI280" s="147"/>
    </row>
    <row r="281">
      <c r="A281" s="167"/>
      <c r="B281" s="169"/>
      <c r="C281" s="170"/>
      <c r="D281" s="170"/>
      <c r="E281" s="170"/>
      <c r="F281" s="170"/>
      <c r="G281" s="171"/>
      <c r="H281" s="171"/>
      <c r="I281" s="172"/>
      <c r="J281" s="172"/>
      <c r="K281" s="172"/>
      <c r="L281" s="172"/>
      <c r="M281" s="147"/>
      <c r="Q281" s="147"/>
      <c r="R281" s="147"/>
      <c r="S281" s="147"/>
      <c r="T281" s="147"/>
      <c r="U281" s="147"/>
      <c r="V281" s="147"/>
      <c r="W281" s="147"/>
      <c r="X281" s="147"/>
      <c r="Y281" s="147"/>
      <c r="Z281" s="147"/>
      <c r="AA281" s="147"/>
      <c r="AB281" s="147"/>
      <c r="AC281" s="147"/>
      <c r="AD281" s="147"/>
      <c r="AE281" s="147"/>
      <c r="AF281" s="147"/>
      <c r="AG281" s="147"/>
      <c r="AH281" s="147"/>
      <c r="AI281" s="147"/>
    </row>
    <row r="282">
      <c r="A282" s="167"/>
      <c r="B282" s="169"/>
      <c r="C282" s="170"/>
      <c r="D282" s="170"/>
      <c r="E282" s="170"/>
      <c r="F282" s="170"/>
      <c r="G282" s="171"/>
      <c r="H282" s="171"/>
      <c r="I282" s="172"/>
      <c r="J282" s="172"/>
      <c r="K282" s="172"/>
      <c r="L282" s="172"/>
      <c r="M282" s="147"/>
      <c r="Q282" s="147"/>
      <c r="R282" s="147"/>
      <c r="S282" s="147"/>
      <c r="T282" s="147"/>
      <c r="U282" s="147"/>
      <c r="V282" s="147"/>
      <c r="W282" s="147"/>
      <c r="X282" s="147"/>
      <c r="Y282" s="147"/>
      <c r="Z282" s="147"/>
      <c r="AA282" s="147"/>
      <c r="AB282" s="147"/>
      <c r="AC282" s="147"/>
      <c r="AD282" s="147"/>
      <c r="AE282" s="147"/>
      <c r="AF282" s="147"/>
      <c r="AG282" s="147"/>
      <c r="AH282" s="147"/>
      <c r="AI282" s="147"/>
    </row>
    <row r="283">
      <c r="A283" s="167"/>
      <c r="B283" s="169"/>
      <c r="C283" s="170"/>
      <c r="D283" s="170"/>
      <c r="E283" s="170"/>
      <c r="F283" s="170"/>
      <c r="G283" s="171"/>
      <c r="H283" s="171"/>
      <c r="I283" s="172"/>
      <c r="J283" s="172"/>
      <c r="K283" s="172"/>
      <c r="L283" s="172"/>
      <c r="M283" s="147"/>
      <c r="Q283" s="147"/>
      <c r="R283" s="147"/>
      <c r="S283" s="147"/>
      <c r="T283" s="147"/>
      <c r="U283" s="147"/>
      <c r="V283" s="147"/>
      <c r="W283" s="147"/>
      <c r="X283" s="147"/>
      <c r="Y283" s="147"/>
      <c r="Z283" s="147"/>
      <c r="AA283" s="147"/>
      <c r="AB283" s="147"/>
      <c r="AC283" s="147"/>
      <c r="AD283" s="147"/>
      <c r="AE283" s="147"/>
      <c r="AF283" s="147"/>
      <c r="AG283" s="147"/>
      <c r="AH283" s="147"/>
      <c r="AI283" s="147"/>
    </row>
    <row r="284">
      <c r="A284" s="167"/>
      <c r="B284" s="169"/>
      <c r="C284" s="170"/>
      <c r="D284" s="170"/>
      <c r="E284" s="170"/>
      <c r="F284" s="170"/>
      <c r="G284" s="171"/>
      <c r="H284" s="171"/>
      <c r="I284" s="172"/>
      <c r="J284" s="172"/>
      <c r="K284" s="172"/>
      <c r="L284" s="172"/>
      <c r="M284" s="147"/>
      <c r="Q284" s="147"/>
      <c r="R284" s="147"/>
      <c r="S284" s="147"/>
      <c r="T284" s="147"/>
      <c r="U284" s="147"/>
      <c r="V284" s="147"/>
      <c r="W284" s="147"/>
      <c r="X284" s="147"/>
      <c r="Y284" s="147"/>
      <c r="Z284" s="147"/>
      <c r="AA284" s="147"/>
      <c r="AB284" s="147"/>
      <c r="AC284" s="147"/>
      <c r="AD284" s="147"/>
      <c r="AE284" s="147"/>
      <c r="AF284" s="147"/>
      <c r="AG284" s="147"/>
      <c r="AH284" s="147"/>
      <c r="AI284" s="147"/>
    </row>
    <row r="285">
      <c r="A285" s="167"/>
      <c r="B285" s="169"/>
      <c r="C285" s="170"/>
      <c r="D285" s="170"/>
      <c r="E285" s="170"/>
      <c r="F285" s="170"/>
      <c r="G285" s="171"/>
      <c r="H285" s="171"/>
      <c r="I285" s="172"/>
      <c r="J285" s="172"/>
      <c r="K285" s="172"/>
      <c r="L285" s="172"/>
      <c r="M285" s="147"/>
      <c r="Q285" s="147"/>
      <c r="R285" s="147"/>
      <c r="S285" s="147"/>
      <c r="T285" s="147"/>
      <c r="U285" s="147"/>
      <c r="V285" s="147"/>
      <c r="W285" s="147"/>
      <c r="X285" s="147"/>
      <c r="Y285" s="147"/>
      <c r="Z285" s="147"/>
      <c r="AA285" s="147"/>
      <c r="AB285" s="147"/>
      <c r="AC285" s="147"/>
      <c r="AD285" s="147"/>
      <c r="AE285" s="147"/>
      <c r="AF285" s="147"/>
      <c r="AG285" s="147"/>
      <c r="AH285" s="147"/>
      <c r="AI285" s="147"/>
    </row>
    <row r="286">
      <c r="A286" s="167"/>
      <c r="B286" s="169"/>
      <c r="C286" s="170"/>
      <c r="D286" s="170"/>
      <c r="E286" s="170"/>
      <c r="F286" s="170"/>
      <c r="G286" s="171"/>
      <c r="H286" s="171"/>
      <c r="I286" s="172"/>
      <c r="J286" s="172"/>
      <c r="K286" s="172"/>
      <c r="L286" s="172"/>
      <c r="M286" s="147"/>
      <c r="Q286" s="147"/>
      <c r="R286" s="147"/>
      <c r="S286" s="147"/>
      <c r="T286" s="147"/>
      <c r="U286" s="147"/>
      <c r="V286" s="147"/>
      <c r="W286" s="147"/>
      <c r="X286" s="147"/>
      <c r="Y286" s="147"/>
      <c r="Z286" s="147"/>
      <c r="AA286" s="147"/>
      <c r="AB286" s="147"/>
      <c r="AC286" s="147"/>
      <c r="AD286" s="147"/>
      <c r="AE286" s="147"/>
      <c r="AF286" s="147"/>
      <c r="AG286" s="147"/>
      <c r="AH286" s="147"/>
      <c r="AI286" s="147"/>
    </row>
    <row r="287">
      <c r="A287" s="167"/>
      <c r="B287" s="169"/>
      <c r="C287" s="170"/>
      <c r="D287" s="170"/>
      <c r="E287" s="170"/>
      <c r="F287" s="170"/>
      <c r="G287" s="171"/>
      <c r="H287" s="171"/>
      <c r="I287" s="172"/>
      <c r="J287" s="172"/>
      <c r="K287" s="172"/>
      <c r="L287" s="172"/>
      <c r="M287" s="147"/>
      <c r="Q287" s="147"/>
      <c r="R287" s="147"/>
      <c r="S287" s="147"/>
      <c r="T287" s="147"/>
      <c r="U287" s="147"/>
      <c r="V287" s="147"/>
      <c r="W287" s="147"/>
      <c r="X287" s="147"/>
      <c r="Y287" s="147"/>
      <c r="Z287" s="147"/>
      <c r="AA287" s="147"/>
      <c r="AB287" s="147"/>
      <c r="AC287" s="147"/>
      <c r="AD287" s="147"/>
      <c r="AE287" s="147"/>
      <c r="AF287" s="147"/>
      <c r="AG287" s="147"/>
      <c r="AH287" s="147"/>
      <c r="AI287" s="147"/>
    </row>
    <row r="288">
      <c r="A288" s="167"/>
      <c r="B288" s="169"/>
      <c r="C288" s="170"/>
      <c r="D288" s="170"/>
      <c r="E288" s="170"/>
      <c r="F288" s="170"/>
      <c r="G288" s="171"/>
      <c r="H288" s="171"/>
      <c r="I288" s="172"/>
      <c r="J288" s="172"/>
      <c r="K288" s="172"/>
      <c r="L288" s="172"/>
      <c r="M288" s="147"/>
      <c r="Q288" s="147"/>
      <c r="R288" s="147"/>
      <c r="S288" s="147"/>
      <c r="T288" s="147"/>
      <c r="U288" s="147"/>
      <c r="V288" s="147"/>
      <c r="W288" s="147"/>
      <c r="X288" s="147"/>
      <c r="Y288" s="147"/>
      <c r="Z288" s="147"/>
      <c r="AA288" s="147"/>
      <c r="AB288" s="147"/>
      <c r="AC288" s="147"/>
      <c r="AD288" s="147"/>
      <c r="AE288" s="147"/>
      <c r="AF288" s="147"/>
      <c r="AG288" s="147"/>
      <c r="AH288" s="147"/>
      <c r="AI288" s="147"/>
    </row>
    <row r="289">
      <c r="A289" s="167"/>
      <c r="B289" s="169"/>
      <c r="C289" s="170"/>
      <c r="D289" s="170"/>
      <c r="E289" s="170"/>
      <c r="F289" s="170"/>
      <c r="G289" s="171"/>
      <c r="H289" s="171"/>
      <c r="I289" s="172"/>
      <c r="J289" s="172"/>
      <c r="K289" s="172"/>
      <c r="L289" s="172"/>
      <c r="M289" s="147"/>
      <c r="Q289" s="147"/>
      <c r="R289" s="147"/>
      <c r="S289" s="147"/>
      <c r="T289" s="147"/>
      <c r="U289" s="147"/>
      <c r="V289" s="147"/>
      <c r="W289" s="147"/>
      <c r="X289" s="147"/>
      <c r="Y289" s="147"/>
      <c r="Z289" s="147"/>
      <c r="AA289" s="147"/>
      <c r="AB289" s="147"/>
      <c r="AC289" s="147"/>
      <c r="AD289" s="147"/>
      <c r="AE289" s="147"/>
      <c r="AF289" s="147"/>
      <c r="AG289" s="147"/>
      <c r="AH289" s="147"/>
      <c r="AI289" s="147"/>
    </row>
    <row r="290">
      <c r="A290" s="167"/>
      <c r="B290" s="169"/>
      <c r="C290" s="170"/>
      <c r="D290" s="170"/>
      <c r="E290" s="170"/>
      <c r="F290" s="170"/>
      <c r="G290" s="171"/>
      <c r="H290" s="171"/>
      <c r="I290" s="172"/>
      <c r="J290" s="172"/>
      <c r="K290" s="172"/>
      <c r="L290" s="172"/>
      <c r="M290" s="147"/>
      <c r="Q290" s="147"/>
      <c r="R290" s="147"/>
      <c r="S290" s="147"/>
      <c r="T290" s="147"/>
      <c r="U290" s="147"/>
      <c r="V290" s="147"/>
      <c r="W290" s="147"/>
      <c r="X290" s="147"/>
      <c r="Y290" s="147"/>
      <c r="Z290" s="147"/>
      <c r="AA290" s="147"/>
      <c r="AB290" s="147"/>
      <c r="AC290" s="147"/>
      <c r="AD290" s="147"/>
      <c r="AE290" s="147"/>
      <c r="AF290" s="147"/>
      <c r="AG290" s="147"/>
      <c r="AH290" s="147"/>
      <c r="AI290" s="147"/>
    </row>
    <row r="291">
      <c r="A291" s="167"/>
      <c r="B291" s="169"/>
      <c r="C291" s="170"/>
      <c r="D291" s="170"/>
      <c r="E291" s="170"/>
      <c r="F291" s="170"/>
      <c r="G291" s="171"/>
      <c r="H291" s="171"/>
      <c r="I291" s="172"/>
      <c r="J291" s="172"/>
      <c r="K291" s="172"/>
      <c r="L291" s="172"/>
      <c r="M291" s="147"/>
      <c r="Q291" s="147"/>
      <c r="R291" s="147"/>
      <c r="S291" s="147"/>
      <c r="T291" s="147"/>
      <c r="U291" s="147"/>
      <c r="V291" s="147"/>
      <c r="W291" s="147"/>
      <c r="X291" s="147"/>
      <c r="Y291" s="147"/>
      <c r="Z291" s="147"/>
      <c r="AA291" s="147"/>
      <c r="AB291" s="147"/>
      <c r="AC291" s="147"/>
      <c r="AD291" s="147"/>
      <c r="AE291" s="147"/>
      <c r="AF291" s="147"/>
      <c r="AG291" s="147"/>
      <c r="AH291" s="147"/>
      <c r="AI291" s="147"/>
    </row>
    <row r="292">
      <c r="A292" s="167"/>
      <c r="B292" s="169"/>
      <c r="C292" s="170"/>
      <c r="D292" s="170"/>
      <c r="E292" s="170"/>
      <c r="F292" s="170"/>
      <c r="G292" s="171"/>
      <c r="H292" s="171"/>
      <c r="I292" s="172"/>
      <c r="J292" s="172"/>
      <c r="K292" s="172"/>
      <c r="L292" s="172"/>
      <c r="M292" s="147"/>
      <c r="Q292" s="147"/>
      <c r="R292" s="147"/>
      <c r="S292" s="147"/>
      <c r="T292" s="147"/>
      <c r="U292" s="147"/>
      <c r="V292" s="147"/>
      <c r="W292" s="147"/>
      <c r="X292" s="147"/>
      <c r="Y292" s="147"/>
      <c r="Z292" s="147"/>
      <c r="AA292" s="147"/>
      <c r="AB292" s="147"/>
      <c r="AC292" s="147"/>
      <c r="AD292" s="147"/>
      <c r="AE292" s="147"/>
      <c r="AF292" s="147"/>
      <c r="AG292" s="147"/>
      <c r="AH292" s="147"/>
      <c r="AI292" s="147"/>
    </row>
    <row r="293">
      <c r="A293" s="167"/>
      <c r="B293" s="169"/>
      <c r="C293" s="170"/>
      <c r="D293" s="170"/>
      <c r="E293" s="170"/>
      <c r="F293" s="170"/>
      <c r="G293" s="171"/>
      <c r="H293" s="171"/>
      <c r="I293" s="172"/>
      <c r="J293" s="172"/>
      <c r="K293" s="172"/>
      <c r="L293" s="172"/>
      <c r="M293" s="147"/>
      <c r="Q293" s="147"/>
      <c r="R293" s="147"/>
      <c r="S293" s="147"/>
      <c r="T293" s="147"/>
      <c r="U293" s="147"/>
      <c r="V293" s="147"/>
      <c r="W293" s="147"/>
      <c r="X293" s="147"/>
      <c r="Y293" s="147"/>
      <c r="Z293" s="147"/>
      <c r="AA293" s="147"/>
      <c r="AB293" s="147"/>
      <c r="AC293" s="147"/>
      <c r="AD293" s="147"/>
      <c r="AE293" s="147"/>
      <c r="AF293" s="147"/>
      <c r="AG293" s="147"/>
      <c r="AH293" s="147"/>
      <c r="AI293" s="147"/>
    </row>
    <row r="294">
      <c r="A294" s="167"/>
      <c r="B294" s="169"/>
      <c r="C294" s="170"/>
      <c r="D294" s="170"/>
      <c r="E294" s="170"/>
      <c r="F294" s="170"/>
      <c r="G294" s="171"/>
      <c r="H294" s="171"/>
      <c r="I294" s="172"/>
      <c r="J294" s="172"/>
      <c r="K294" s="172"/>
      <c r="L294" s="172"/>
      <c r="M294" s="147"/>
      <c r="Q294" s="147"/>
      <c r="R294" s="147"/>
      <c r="S294" s="147"/>
      <c r="T294" s="147"/>
      <c r="U294" s="147"/>
      <c r="V294" s="147"/>
      <c r="W294" s="147"/>
      <c r="X294" s="147"/>
      <c r="Y294" s="147"/>
      <c r="Z294" s="147"/>
      <c r="AA294" s="147"/>
      <c r="AB294" s="147"/>
      <c r="AC294" s="147"/>
      <c r="AD294" s="147"/>
      <c r="AE294" s="147"/>
      <c r="AF294" s="147"/>
      <c r="AG294" s="147"/>
      <c r="AH294" s="147"/>
      <c r="AI294" s="147"/>
    </row>
    <row r="295">
      <c r="A295" s="167"/>
      <c r="B295" s="169"/>
      <c r="C295" s="170"/>
      <c r="D295" s="170"/>
      <c r="E295" s="170"/>
      <c r="F295" s="170"/>
      <c r="G295" s="171"/>
      <c r="H295" s="171"/>
      <c r="I295" s="172"/>
      <c r="J295" s="172"/>
      <c r="K295" s="172"/>
      <c r="L295" s="172"/>
      <c r="M295" s="147"/>
      <c r="Q295" s="147"/>
      <c r="R295" s="147"/>
      <c r="S295" s="147"/>
      <c r="T295" s="147"/>
      <c r="U295" s="147"/>
      <c r="V295" s="147"/>
      <c r="W295" s="147"/>
      <c r="X295" s="147"/>
      <c r="Y295" s="147"/>
      <c r="Z295" s="147"/>
      <c r="AA295" s="147"/>
      <c r="AB295" s="147"/>
      <c r="AC295" s="147"/>
      <c r="AD295" s="147"/>
      <c r="AE295" s="147"/>
      <c r="AF295" s="147"/>
      <c r="AG295" s="147"/>
      <c r="AH295" s="147"/>
      <c r="AI295" s="147"/>
    </row>
    <row r="296">
      <c r="A296" s="167"/>
      <c r="B296" s="169"/>
      <c r="C296" s="170"/>
      <c r="D296" s="170"/>
      <c r="E296" s="170"/>
      <c r="F296" s="170"/>
      <c r="G296" s="171"/>
      <c r="H296" s="171"/>
      <c r="I296" s="172"/>
      <c r="J296" s="172"/>
      <c r="K296" s="172"/>
      <c r="L296" s="172"/>
      <c r="M296" s="147"/>
      <c r="Q296" s="147"/>
      <c r="R296" s="147"/>
      <c r="S296" s="147"/>
      <c r="T296" s="147"/>
      <c r="U296" s="147"/>
      <c r="V296" s="147"/>
      <c r="W296" s="147"/>
      <c r="X296" s="147"/>
      <c r="Y296" s="147"/>
      <c r="Z296" s="147"/>
      <c r="AA296" s="147"/>
      <c r="AB296" s="147"/>
      <c r="AC296" s="147"/>
      <c r="AD296" s="147"/>
      <c r="AE296" s="147"/>
      <c r="AF296" s="147"/>
      <c r="AG296" s="147"/>
      <c r="AH296" s="147"/>
      <c r="AI296" s="147"/>
    </row>
    <row r="297">
      <c r="A297" s="167"/>
      <c r="B297" s="169"/>
      <c r="C297" s="170"/>
      <c r="D297" s="170"/>
      <c r="E297" s="170"/>
      <c r="F297" s="170"/>
      <c r="G297" s="171"/>
      <c r="H297" s="171"/>
      <c r="I297" s="172"/>
      <c r="J297" s="172"/>
      <c r="K297" s="172"/>
      <c r="L297" s="172"/>
      <c r="M297" s="147"/>
      <c r="Q297" s="147"/>
      <c r="R297" s="147"/>
      <c r="S297" s="147"/>
      <c r="T297" s="147"/>
      <c r="U297" s="147"/>
      <c r="V297" s="147"/>
      <c r="W297" s="147"/>
      <c r="X297" s="147"/>
      <c r="Y297" s="147"/>
      <c r="Z297" s="147"/>
      <c r="AA297" s="147"/>
      <c r="AB297" s="147"/>
      <c r="AC297" s="147"/>
      <c r="AD297" s="147"/>
      <c r="AE297" s="147"/>
      <c r="AF297" s="147"/>
      <c r="AG297" s="147"/>
      <c r="AH297" s="147"/>
      <c r="AI297" s="147"/>
    </row>
    <row r="298">
      <c r="A298" s="167"/>
      <c r="B298" s="169"/>
      <c r="C298" s="170"/>
      <c r="D298" s="170"/>
      <c r="E298" s="170"/>
      <c r="F298" s="170"/>
      <c r="G298" s="171"/>
      <c r="H298" s="171"/>
      <c r="I298" s="172"/>
      <c r="J298" s="172"/>
      <c r="K298" s="172"/>
      <c r="L298" s="172"/>
      <c r="M298" s="147"/>
      <c r="Q298" s="147"/>
      <c r="R298" s="147"/>
      <c r="S298" s="147"/>
      <c r="T298" s="147"/>
      <c r="U298" s="147"/>
      <c r="V298" s="147"/>
      <c r="W298" s="147"/>
      <c r="X298" s="147"/>
      <c r="Y298" s="147"/>
      <c r="Z298" s="147"/>
      <c r="AA298" s="147"/>
      <c r="AB298" s="147"/>
      <c r="AC298" s="147"/>
      <c r="AD298" s="147"/>
      <c r="AE298" s="147"/>
      <c r="AF298" s="147"/>
      <c r="AG298" s="147"/>
      <c r="AH298" s="147"/>
      <c r="AI298" s="147"/>
    </row>
    <row r="299">
      <c r="A299" s="167"/>
      <c r="B299" s="169"/>
      <c r="C299" s="170"/>
      <c r="D299" s="170"/>
      <c r="E299" s="170"/>
      <c r="F299" s="170"/>
      <c r="G299" s="171"/>
      <c r="H299" s="171"/>
      <c r="I299" s="172"/>
      <c r="J299" s="172"/>
      <c r="K299" s="172"/>
      <c r="L299" s="172"/>
      <c r="M299" s="147"/>
      <c r="Q299" s="147"/>
      <c r="R299" s="147"/>
      <c r="S299" s="147"/>
      <c r="T299" s="147"/>
      <c r="U299" s="147"/>
      <c r="V299" s="147"/>
      <c r="W299" s="147"/>
      <c r="X299" s="147"/>
      <c r="Y299" s="147"/>
      <c r="Z299" s="147"/>
      <c r="AA299" s="147"/>
      <c r="AB299" s="147"/>
      <c r="AC299" s="147"/>
      <c r="AD299" s="147"/>
      <c r="AE299" s="147"/>
      <c r="AF299" s="147"/>
      <c r="AG299" s="147"/>
      <c r="AH299" s="147"/>
      <c r="AI299" s="147"/>
    </row>
    <row r="300">
      <c r="A300" s="167"/>
      <c r="B300" s="169"/>
      <c r="C300" s="170"/>
      <c r="D300" s="170"/>
      <c r="E300" s="170"/>
      <c r="F300" s="170"/>
      <c r="G300" s="171"/>
      <c r="H300" s="171"/>
      <c r="I300" s="172"/>
      <c r="J300" s="172"/>
      <c r="K300" s="172"/>
      <c r="L300" s="172"/>
      <c r="M300" s="147"/>
      <c r="Q300" s="147"/>
      <c r="R300" s="147"/>
      <c r="S300" s="147"/>
      <c r="T300" s="147"/>
      <c r="U300" s="147"/>
      <c r="V300" s="147"/>
      <c r="W300" s="147"/>
      <c r="X300" s="147"/>
      <c r="Y300" s="147"/>
      <c r="Z300" s="147"/>
      <c r="AA300" s="147"/>
      <c r="AB300" s="147"/>
      <c r="AC300" s="147"/>
      <c r="AD300" s="147"/>
      <c r="AE300" s="147"/>
      <c r="AF300" s="147"/>
      <c r="AG300" s="147"/>
      <c r="AH300" s="147"/>
      <c r="AI300" s="147"/>
    </row>
    <row r="301">
      <c r="A301" s="167"/>
      <c r="B301" s="169"/>
      <c r="C301" s="170"/>
      <c r="D301" s="170"/>
      <c r="E301" s="170"/>
      <c r="F301" s="170"/>
      <c r="G301" s="171"/>
      <c r="H301" s="171"/>
      <c r="I301" s="172"/>
      <c r="J301" s="172"/>
      <c r="K301" s="172"/>
      <c r="L301" s="172"/>
      <c r="M301" s="147"/>
      <c r="Q301" s="147"/>
      <c r="R301" s="147"/>
      <c r="S301" s="147"/>
      <c r="T301" s="147"/>
      <c r="U301" s="147"/>
      <c r="V301" s="147"/>
      <c r="W301" s="147"/>
      <c r="X301" s="147"/>
      <c r="Y301" s="147"/>
      <c r="Z301" s="147"/>
      <c r="AA301" s="147"/>
      <c r="AB301" s="147"/>
      <c r="AC301" s="147"/>
      <c r="AD301" s="147"/>
      <c r="AE301" s="147"/>
      <c r="AF301" s="147"/>
      <c r="AG301" s="147"/>
      <c r="AH301" s="147"/>
      <c r="AI301" s="147"/>
    </row>
    <row r="302">
      <c r="A302" s="167"/>
      <c r="B302" s="169"/>
      <c r="C302" s="170"/>
      <c r="D302" s="170"/>
      <c r="E302" s="170"/>
      <c r="F302" s="170"/>
      <c r="G302" s="171"/>
      <c r="H302" s="171"/>
      <c r="I302" s="172"/>
      <c r="J302" s="172"/>
      <c r="K302" s="172"/>
      <c r="L302" s="172"/>
      <c r="M302" s="147"/>
      <c r="Q302" s="147"/>
      <c r="R302" s="147"/>
      <c r="S302" s="147"/>
      <c r="T302" s="147"/>
      <c r="U302" s="147"/>
      <c r="V302" s="147"/>
      <c r="W302" s="147"/>
      <c r="X302" s="147"/>
      <c r="Y302" s="147"/>
      <c r="Z302" s="147"/>
      <c r="AA302" s="147"/>
      <c r="AB302" s="147"/>
      <c r="AC302" s="147"/>
      <c r="AD302" s="147"/>
      <c r="AE302" s="147"/>
      <c r="AF302" s="147"/>
      <c r="AG302" s="147"/>
      <c r="AH302" s="147"/>
      <c r="AI302" s="147"/>
    </row>
    <row r="303">
      <c r="A303" s="167"/>
      <c r="B303" s="169"/>
      <c r="C303" s="170"/>
      <c r="D303" s="170"/>
      <c r="E303" s="170"/>
      <c r="F303" s="170"/>
      <c r="G303" s="171"/>
      <c r="H303" s="171"/>
      <c r="I303" s="172"/>
      <c r="J303" s="172"/>
      <c r="K303" s="172"/>
      <c r="L303" s="172"/>
      <c r="M303" s="147"/>
      <c r="Q303" s="147"/>
      <c r="R303" s="147"/>
      <c r="S303" s="147"/>
      <c r="T303" s="147"/>
      <c r="U303" s="147"/>
      <c r="V303" s="147"/>
      <c r="W303" s="147"/>
      <c r="X303" s="147"/>
      <c r="Y303" s="147"/>
      <c r="Z303" s="147"/>
      <c r="AA303" s="147"/>
      <c r="AB303" s="147"/>
      <c r="AC303" s="147"/>
      <c r="AD303" s="147"/>
      <c r="AE303" s="147"/>
      <c r="AF303" s="147"/>
      <c r="AG303" s="147"/>
      <c r="AH303" s="147"/>
      <c r="AI303" s="147"/>
    </row>
    <row r="304">
      <c r="A304" s="167"/>
      <c r="B304" s="169"/>
      <c r="C304" s="170"/>
      <c r="D304" s="170"/>
      <c r="E304" s="170"/>
      <c r="F304" s="170"/>
      <c r="G304" s="171"/>
      <c r="H304" s="171"/>
      <c r="I304" s="172"/>
      <c r="J304" s="172"/>
      <c r="K304" s="172"/>
      <c r="L304" s="172"/>
      <c r="M304" s="147"/>
      <c r="Q304" s="147"/>
      <c r="R304" s="147"/>
      <c r="S304" s="147"/>
      <c r="T304" s="147"/>
      <c r="U304" s="147"/>
      <c r="V304" s="147"/>
      <c r="W304" s="147"/>
      <c r="X304" s="147"/>
      <c r="Y304" s="147"/>
      <c r="Z304" s="147"/>
      <c r="AA304" s="147"/>
      <c r="AB304" s="147"/>
      <c r="AC304" s="147"/>
      <c r="AD304" s="147"/>
      <c r="AE304" s="147"/>
      <c r="AF304" s="147"/>
      <c r="AG304" s="147"/>
      <c r="AH304" s="147"/>
      <c r="AI304" s="147"/>
    </row>
    <row r="305">
      <c r="A305" s="167"/>
      <c r="B305" s="169"/>
      <c r="C305" s="170"/>
      <c r="D305" s="170"/>
      <c r="E305" s="170"/>
      <c r="F305" s="170"/>
      <c r="G305" s="171"/>
      <c r="H305" s="171"/>
      <c r="I305" s="172"/>
      <c r="J305" s="172"/>
      <c r="K305" s="172"/>
      <c r="L305" s="172"/>
      <c r="M305" s="147"/>
      <c r="Q305" s="147"/>
      <c r="R305" s="147"/>
      <c r="S305" s="147"/>
      <c r="T305" s="147"/>
      <c r="U305" s="147"/>
      <c r="V305" s="147"/>
      <c r="W305" s="147"/>
      <c r="X305" s="147"/>
      <c r="Y305" s="147"/>
      <c r="Z305" s="147"/>
      <c r="AA305" s="147"/>
      <c r="AB305" s="147"/>
      <c r="AC305" s="147"/>
      <c r="AD305" s="147"/>
      <c r="AE305" s="147"/>
      <c r="AF305" s="147"/>
      <c r="AG305" s="147"/>
      <c r="AH305" s="147"/>
      <c r="AI305" s="147"/>
    </row>
    <row r="306">
      <c r="A306" s="167"/>
      <c r="B306" s="169"/>
      <c r="C306" s="170"/>
      <c r="D306" s="170"/>
      <c r="E306" s="170"/>
      <c r="F306" s="170"/>
      <c r="G306" s="171"/>
      <c r="H306" s="171"/>
      <c r="I306" s="172"/>
      <c r="J306" s="172"/>
      <c r="K306" s="172"/>
      <c r="L306" s="172"/>
      <c r="M306" s="147"/>
      <c r="Q306" s="147"/>
      <c r="R306" s="147"/>
      <c r="S306" s="147"/>
      <c r="T306" s="147"/>
      <c r="U306" s="147"/>
      <c r="V306" s="147"/>
      <c r="W306" s="147"/>
      <c r="X306" s="147"/>
      <c r="Y306" s="147"/>
      <c r="Z306" s="147"/>
      <c r="AA306" s="147"/>
      <c r="AB306" s="147"/>
      <c r="AC306" s="147"/>
      <c r="AD306" s="147"/>
      <c r="AE306" s="147"/>
      <c r="AF306" s="147"/>
      <c r="AG306" s="147"/>
      <c r="AH306" s="147"/>
      <c r="AI306" s="147"/>
    </row>
    <row r="307">
      <c r="A307" s="167"/>
      <c r="B307" s="169"/>
      <c r="C307" s="170"/>
      <c r="D307" s="170"/>
      <c r="E307" s="170"/>
      <c r="F307" s="170"/>
      <c r="G307" s="171"/>
      <c r="H307" s="171"/>
      <c r="I307" s="172"/>
      <c r="J307" s="172"/>
      <c r="K307" s="172"/>
      <c r="L307" s="172"/>
      <c r="M307" s="147"/>
      <c r="Q307" s="147"/>
      <c r="R307" s="147"/>
      <c r="S307" s="147"/>
      <c r="T307" s="147"/>
      <c r="U307" s="147"/>
      <c r="V307" s="147"/>
      <c r="W307" s="147"/>
      <c r="X307" s="147"/>
      <c r="Y307" s="147"/>
      <c r="Z307" s="147"/>
      <c r="AA307" s="147"/>
      <c r="AB307" s="147"/>
      <c r="AC307" s="147"/>
      <c r="AD307" s="147"/>
      <c r="AE307" s="147"/>
      <c r="AF307" s="147"/>
      <c r="AG307" s="147"/>
      <c r="AH307" s="147"/>
      <c r="AI307" s="147"/>
    </row>
    <row r="308">
      <c r="A308" s="167"/>
      <c r="B308" s="169"/>
      <c r="C308" s="170"/>
      <c r="D308" s="170"/>
      <c r="E308" s="170"/>
      <c r="F308" s="170"/>
      <c r="G308" s="171"/>
      <c r="H308" s="171"/>
      <c r="I308" s="172"/>
      <c r="J308" s="172"/>
      <c r="K308" s="172"/>
      <c r="L308" s="172"/>
      <c r="M308" s="147"/>
      <c r="Q308" s="147"/>
      <c r="R308" s="147"/>
      <c r="S308" s="147"/>
      <c r="T308" s="147"/>
      <c r="U308" s="147"/>
      <c r="V308" s="147"/>
      <c r="W308" s="147"/>
      <c r="X308" s="147"/>
      <c r="Y308" s="147"/>
      <c r="Z308" s="147"/>
      <c r="AA308" s="147"/>
      <c r="AB308" s="147"/>
      <c r="AC308" s="147"/>
      <c r="AD308" s="147"/>
      <c r="AE308" s="147"/>
      <c r="AF308" s="147"/>
      <c r="AG308" s="147"/>
      <c r="AH308" s="147"/>
      <c r="AI308" s="147"/>
    </row>
    <row r="309">
      <c r="A309" s="167"/>
      <c r="B309" s="169"/>
      <c r="C309" s="170"/>
      <c r="D309" s="170"/>
      <c r="E309" s="170"/>
      <c r="F309" s="170"/>
      <c r="G309" s="171"/>
      <c r="H309" s="171"/>
      <c r="I309" s="172"/>
      <c r="J309" s="172"/>
      <c r="K309" s="172"/>
      <c r="L309" s="172"/>
      <c r="M309" s="147"/>
      <c r="Q309" s="147"/>
      <c r="R309" s="147"/>
      <c r="S309" s="147"/>
      <c r="T309" s="147"/>
      <c r="U309" s="147"/>
      <c r="V309" s="147"/>
      <c r="W309" s="147"/>
      <c r="X309" s="147"/>
      <c r="Y309" s="147"/>
      <c r="Z309" s="147"/>
      <c r="AA309" s="147"/>
      <c r="AB309" s="147"/>
      <c r="AC309" s="147"/>
      <c r="AD309" s="147"/>
      <c r="AE309" s="147"/>
      <c r="AF309" s="147"/>
      <c r="AG309" s="147"/>
      <c r="AH309" s="147"/>
      <c r="AI309" s="147"/>
    </row>
    <row r="310">
      <c r="A310" s="167"/>
      <c r="B310" s="169"/>
      <c r="C310" s="170"/>
      <c r="D310" s="170"/>
      <c r="E310" s="170"/>
      <c r="F310" s="170"/>
      <c r="G310" s="171"/>
      <c r="H310" s="171"/>
      <c r="I310" s="172"/>
      <c r="J310" s="172"/>
      <c r="K310" s="172"/>
      <c r="L310" s="172"/>
      <c r="M310" s="147"/>
      <c r="Q310" s="147"/>
      <c r="R310" s="147"/>
      <c r="S310" s="147"/>
      <c r="T310" s="147"/>
      <c r="U310" s="147"/>
      <c r="V310" s="147"/>
      <c r="W310" s="147"/>
      <c r="X310" s="147"/>
      <c r="Y310" s="147"/>
      <c r="Z310" s="147"/>
      <c r="AA310" s="147"/>
      <c r="AB310" s="147"/>
      <c r="AC310" s="147"/>
      <c r="AD310" s="147"/>
      <c r="AE310" s="147"/>
      <c r="AF310" s="147"/>
      <c r="AG310" s="147"/>
      <c r="AH310" s="147"/>
      <c r="AI310" s="147"/>
    </row>
    <row r="311">
      <c r="A311" s="167"/>
      <c r="B311" s="169"/>
      <c r="C311" s="170"/>
      <c r="D311" s="170"/>
      <c r="E311" s="170"/>
      <c r="F311" s="170"/>
      <c r="G311" s="171"/>
      <c r="H311" s="171"/>
      <c r="I311" s="172"/>
      <c r="J311" s="172"/>
      <c r="K311" s="172"/>
      <c r="L311" s="172"/>
      <c r="M311" s="147"/>
      <c r="Q311" s="147"/>
      <c r="R311" s="147"/>
      <c r="S311" s="147"/>
      <c r="T311" s="147"/>
      <c r="U311" s="147"/>
      <c r="V311" s="147"/>
      <c r="W311" s="147"/>
      <c r="X311" s="147"/>
      <c r="Y311" s="147"/>
      <c r="Z311" s="147"/>
      <c r="AA311" s="147"/>
      <c r="AB311" s="147"/>
      <c r="AC311" s="147"/>
      <c r="AD311" s="147"/>
      <c r="AE311" s="147"/>
      <c r="AF311" s="147"/>
      <c r="AG311" s="147"/>
      <c r="AH311" s="147"/>
      <c r="AI311" s="147"/>
    </row>
    <row r="312">
      <c r="A312" s="167"/>
      <c r="B312" s="169"/>
      <c r="C312" s="170"/>
      <c r="D312" s="170"/>
      <c r="E312" s="170"/>
      <c r="F312" s="170"/>
      <c r="G312" s="171"/>
      <c r="H312" s="171"/>
      <c r="I312" s="172"/>
      <c r="J312" s="172"/>
      <c r="K312" s="172"/>
      <c r="L312" s="172"/>
      <c r="M312" s="147"/>
      <c r="Q312" s="147"/>
      <c r="R312" s="147"/>
      <c r="S312" s="147"/>
      <c r="T312" s="147"/>
      <c r="U312" s="147"/>
      <c r="V312" s="147"/>
      <c r="W312" s="147"/>
      <c r="X312" s="147"/>
      <c r="Y312" s="147"/>
      <c r="Z312" s="147"/>
      <c r="AA312" s="147"/>
      <c r="AB312" s="147"/>
      <c r="AC312" s="147"/>
      <c r="AD312" s="147"/>
      <c r="AE312" s="147"/>
      <c r="AF312" s="147"/>
      <c r="AG312" s="147"/>
      <c r="AH312" s="147"/>
      <c r="AI312" s="147"/>
    </row>
    <row r="313">
      <c r="A313" s="167"/>
      <c r="B313" s="169"/>
      <c r="C313" s="170"/>
      <c r="D313" s="170"/>
      <c r="E313" s="170"/>
      <c r="F313" s="170"/>
      <c r="G313" s="171"/>
      <c r="H313" s="171"/>
      <c r="I313" s="172"/>
      <c r="J313" s="172"/>
      <c r="K313" s="172"/>
      <c r="L313" s="172"/>
      <c r="M313" s="147"/>
      <c r="Q313" s="147"/>
      <c r="R313" s="147"/>
      <c r="S313" s="147"/>
      <c r="T313" s="147"/>
      <c r="U313" s="147"/>
      <c r="V313" s="147"/>
      <c r="W313" s="147"/>
      <c r="X313" s="147"/>
      <c r="Y313" s="147"/>
      <c r="Z313" s="147"/>
      <c r="AA313" s="147"/>
      <c r="AB313" s="147"/>
      <c r="AC313" s="147"/>
      <c r="AD313" s="147"/>
      <c r="AE313" s="147"/>
      <c r="AF313" s="147"/>
      <c r="AG313" s="147"/>
      <c r="AH313" s="147"/>
      <c r="AI313" s="147"/>
    </row>
    <row r="314">
      <c r="A314" s="167"/>
      <c r="B314" s="169"/>
      <c r="C314" s="170"/>
      <c r="D314" s="170"/>
      <c r="E314" s="170"/>
      <c r="F314" s="170"/>
      <c r="G314" s="171"/>
      <c r="H314" s="171"/>
      <c r="I314" s="172"/>
      <c r="J314" s="172"/>
      <c r="K314" s="172"/>
      <c r="L314" s="172"/>
      <c r="M314" s="147"/>
      <c r="Q314" s="147"/>
      <c r="R314" s="147"/>
      <c r="S314" s="147"/>
      <c r="T314" s="147"/>
      <c r="U314" s="147"/>
      <c r="V314" s="147"/>
      <c r="W314" s="147"/>
      <c r="X314" s="147"/>
      <c r="Y314" s="147"/>
      <c r="Z314" s="147"/>
      <c r="AA314" s="147"/>
      <c r="AB314" s="147"/>
      <c r="AC314" s="147"/>
      <c r="AD314" s="147"/>
      <c r="AE314" s="147"/>
      <c r="AF314" s="147"/>
      <c r="AG314" s="147"/>
      <c r="AH314" s="147"/>
      <c r="AI314" s="147"/>
    </row>
    <row r="315">
      <c r="A315" s="167"/>
      <c r="B315" s="169"/>
      <c r="C315" s="170"/>
      <c r="D315" s="170"/>
      <c r="E315" s="170"/>
      <c r="F315" s="170"/>
      <c r="G315" s="171"/>
      <c r="H315" s="171"/>
      <c r="I315" s="172"/>
      <c r="J315" s="172"/>
      <c r="K315" s="172"/>
      <c r="L315" s="172"/>
      <c r="M315" s="147"/>
      <c r="Q315" s="147"/>
      <c r="R315" s="147"/>
      <c r="S315" s="147"/>
      <c r="T315" s="147"/>
      <c r="U315" s="147"/>
      <c r="V315" s="147"/>
      <c r="W315" s="147"/>
      <c r="X315" s="147"/>
      <c r="Y315" s="147"/>
      <c r="Z315" s="147"/>
      <c r="AA315" s="147"/>
      <c r="AB315" s="147"/>
      <c r="AC315" s="147"/>
      <c r="AD315" s="147"/>
      <c r="AE315" s="147"/>
      <c r="AF315" s="147"/>
      <c r="AG315" s="147"/>
      <c r="AH315" s="147"/>
      <c r="AI315" s="147"/>
    </row>
    <row r="316">
      <c r="A316" s="167"/>
      <c r="B316" s="169"/>
      <c r="C316" s="170"/>
      <c r="D316" s="170"/>
      <c r="E316" s="170"/>
      <c r="F316" s="170"/>
      <c r="G316" s="171"/>
      <c r="H316" s="171"/>
      <c r="I316" s="172"/>
      <c r="J316" s="172"/>
      <c r="K316" s="172"/>
      <c r="L316" s="172"/>
      <c r="M316" s="147"/>
      <c r="Q316" s="147"/>
      <c r="R316" s="147"/>
      <c r="S316" s="147"/>
      <c r="T316" s="147"/>
      <c r="U316" s="147"/>
      <c r="V316" s="147"/>
      <c r="W316" s="147"/>
      <c r="X316" s="147"/>
      <c r="Y316" s="147"/>
      <c r="Z316" s="147"/>
      <c r="AA316" s="147"/>
      <c r="AB316" s="147"/>
      <c r="AC316" s="147"/>
      <c r="AD316" s="147"/>
      <c r="AE316" s="147"/>
      <c r="AF316" s="147"/>
      <c r="AG316" s="147"/>
      <c r="AH316" s="147"/>
      <c r="AI316" s="147"/>
    </row>
    <row r="317">
      <c r="A317" s="167"/>
      <c r="B317" s="169"/>
      <c r="C317" s="170"/>
      <c r="D317" s="170"/>
      <c r="E317" s="170"/>
      <c r="F317" s="170"/>
      <c r="G317" s="171"/>
      <c r="H317" s="171"/>
      <c r="I317" s="172"/>
      <c r="J317" s="172"/>
      <c r="K317" s="172"/>
      <c r="L317" s="172"/>
      <c r="M317" s="147"/>
      <c r="Q317" s="147"/>
      <c r="R317" s="147"/>
      <c r="S317" s="147"/>
      <c r="T317" s="147"/>
      <c r="U317" s="147"/>
      <c r="V317" s="147"/>
      <c r="W317" s="147"/>
      <c r="X317" s="147"/>
      <c r="Y317" s="147"/>
      <c r="Z317" s="147"/>
      <c r="AA317" s="147"/>
      <c r="AB317" s="147"/>
      <c r="AC317" s="147"/>
      <c r="AD317" s="147"/>
      <c r="AE317" s="147"/>
      <c r="AF317" s="147"/>
      <c r="AG317" s="147"/>
      <c r="AH317" s="147"/>
      <c r="AI317" s="147"/>
    </row>
    <row r="318">
      <c r="A318" s="167"/>
      <c r="B318" s="169"/>
      <c r="C318" s="170"/>
      <c r="D318" s="170"/>
      <c r="E318" s="170"/>
      <c r="F318" s="170"/>
      <c r="G318" s="171"/>
      <c r="H318" s="171"/>
      <c r="I318" s="172"/>
      <c r="J318" s="172"/>
      <c r="K318" s="172"/>
      <c r="L318" s="172"/>
      <c r="M318" s="147"/>
      <c r="Q318" s="147"/>
      <c r="R318" s="147"/>
      <c r="S318" s="147"/>
      <c r="T318" s="147"/>
      <c r="U318" s="147"/>
      <c r="V318" s="147"/>
      <c r="W318" s="147"/>
      <c r="X318" s="147"/>
      <c r="Y318" s="147"/>
      <c r="Z318" s="147"/>
      <c r="AA318" s="147"/>
      <c r="AB318" s="147"/>
      <c r="AC318" s="147"/>
      <c r="AD318" s="147"/>
      <c r="AE318" s="147"/>
      <c r="AF318" s="147"/>
      <c r="AG318" s="147"/>
      <c r="AH318" s="147"/>
      <c r="AI318" s="147"/>
    </row>
    <row r="319">
      <c r="A319" s="167"/>
      <c r="B319" s="169"/>
      <c r="C319" s="170"/>
      <c r="D319" s="170"/>
      <c r="E319" s="170"/>
      <c r="F319" s="170"/>
      <c r="G319" s="171"/>
      <c r="H319" s="171"/>
      <c r="I319" s="172"/>
      <c r="J319" s="172"/>
      <c r="K319" s="172"/>
      <c r="L319" s="172"/>
      <c r="M319" s="147"/>
      <c r="Q319" s="147"/>
      <c r="R319" s="147"/>
      <c r="S319" s="147"/>
      <c r="T319" s="147"/>
      <c r="U319" s="147"/>
      <c r="V319" s="147"/>
      <c r="W319" s="147"/>
      <c r="X319" s="147"/>
      <c r="Y319" s="147"/>
      <c r="Z319" s="147"/>
      <c r="AA319" s="147"/>
      <c r="AB319" s="147"/>
      <c r="AC319" s="147"/>
      <c r="AD319" s="147"/>
      <c r="AE319" s="147"/>
      <c r="AF319" s="147"/>
      <c r="AG319" s="147"/>
      <c r="AH319" s="147"/>
      <c r="AI319" s="147"/>
    </row>
    <row r="320">
      <c r="A320" s="167"/>
      <c r="B320" s="169"/>
      <c r="C320" s="170"/>
      <c r="D320" s="170"/>
      <c r="E320" s="170"/>
      <c r="F320" s="170"/>
      <c r="G320" s="171"/>
      <c r="H320" s="171"/>
      <c r="I320" s="172"/>
      <c r="J320" s="172"/>
      <c r="K320" s="172"/>
      <c r="L320" s="172"/>
      <c r="M320" s="147"/>
      <c r="Q320" s="147"/>
      <c r="R320" s="147"/>
      <c r="S320" s="147"/>
      <c r="T320" s="147"/>
      <c r="U320" s="147"/>
      <c r="V320" s="147"/>
      <c r="W320" s="147"/>
      <c r="X320" s="147"/>
      <c r="Y320" s="147"/>
      <c r="Z320" s="147"/>
      <c r="AA320" s="147"/>
      <c r="AB320" s="147"/>
      <c r="AC320" s="147"/>
      <c r="AD320" s="147"/>
      <c r="AE320" s="147"/>
      <c r="AF320" s="147"/>
      <c r="AG320" s="147"/>
      <c r="AH320" s="147"/>
      <c r="AI320" s="147"/>
    </row>
    <row r="321">
      <c r="A321" s="167"/>
      <c r="B321" s="169"/>
      <c r="C321" s="170"/>
      <c r="D321" s="170"/>
      <c r="E321" s="170"/>
      <c r="F321" s="170"/>
      <c r="G321" s="171"/>
      <c r="H321" s="171"/>
      <c r="I321" s="172"/>
      <c r="J321" s="172"/>
      <c r="K321" s="172"/>
      <c r="L321" s="172"/>
      <c r="M321" s="147"/>
      <c r="Q321" s="147"/>
      <c r="R321" s="147"/>
      <c r="S321" s="147"/>
      <c r="T321" s="147"/>
      <c r="U321" s="147"/>
      <c r="V321" s="147"/>
      <c r="W321" s="147"/>
      <c r="X321" s="147"/>
      <c r="Y321" s="147"/>
      <c r="Z321" s="147"/>
      <c r="AA321" s="147"/>
      <c r="AB321" s="147"/>
      <c r="AC321" s="147"/>
      <c r="AD321" s="147"/>
      <c r="AE321" s="147"/>
      <c r="AF321" s="147"/>
      <c r="AG321" s="147"/>
      <c r="AH321" s="147"/>
      <c r="AI321" s="147"/>
    </row>
    <row r="322">
      <c r="A322" s="167"/>
      <c r="B322" s="169"/>
      <c r="C322" s="170"/>
      <c r="D322" s="170"/>
      <c r="E322" s="170"/>
      <c r="F322" s="170"/>
      <c r="G322" s="171"/>
      <c r="H322" s="171"/>
      <c r="I322" s="172"/>
      <c r="J322" s="172"/>
      <c r="K322" s="172"/>
      <c r="L322" s="172"/>
      <c r="M322" s="147"/>
      <c r="Q322" s="147"/>
      <c r="R322" s="147"/>
      <c r="S322" s="147"/>
      <c r="T322" s="147"/>
      <c r="U322" s="147"/>
      <c r="V322" s="147"/>
      <c r="W322" s="147"/>
      <c r="X322" s="147"/>
      <c r="Y322" s="147"/>
      <c r="Z322" s="147"/>
      <c r="AA322" s="147"/>
      <c r="AB322" s="147"/>
      <c r="AC322" s="147"/>
      <c r="AD322" s="147"/>
      <c r="AE322" s="147"/>
      <c r="AF322" s="147"/>
      <c r="AG322" s="147"/>
      <c r="AH322" s="147"/>
      <c r="AI322" s="147"/>
    </row>
    <row r="323">
      <c r="A323" s="167"/>
      <c r="B323" s="169"/>
      <c r="C323" s="170"/>
      <c r="D323" s="170"/>
      <c r="E323" s="170"/>
      <c r="F323" s="170"/>
      <c r="G323" s="171"/>
      <c r="H323" s="171"/>
      <c r="I323" s="172"/>
      <c r="J323" s="172"/>
      <c r="K323" s="172"/>
      <c r="L323" s="172"/>
      <c r="M323" s="147"/>
      <c r="Q323" s="147"/>
      <c r="R323" s="147"/>
      <c r="S323" s="147"/>
      <c r="T323" s="147"/>
      <c r="U323" s="147"/>
      <c r="V323" s="147"/>
      <c r="W323" s="147"/>
      <c r="X323" s="147"/>
      <c r="Y323" s="147"/>
      <c r="Z323" s="147"/>
      <c r="AA323" s="147"/>
      <c r="AB323" s="147"/>
      <c r="AC323" s="147"/>
      <c r="AD323" s="147"/>
      <c r="AE323" s="147"/>
      <c r="AF323" s="147"/>
      <c r="AG323" s="147"/>
      <c r="AH323" s="147"/>
      <c r="AI323" s="147"/>
    </row>
    <row r="324">
      <c r="A324" s="167"/>
      <c r="B324" s="169"/>
      <c r="C324" s="170"/>
      <c r="D324" s="170"/>
      <c r="E324" s="170"/>
      <c r="F324" s="170"/>
      <c r="G324" s="171"/>
      <c r="H324" s="171"/>
      <c r="I324" s="172"/>
      <c r="J324" s="172"/>
      <c r="K324" s="172"/>
      <c r="L324" s="172"/>
      <c r="M324" s="147"/>
      <c r="Q324" s="147"/>
      <c r="R324" s="147"/>
      <c r="S324" s="147"/>
      <c r="T324" s="147"/>
      <c r="U324" s="147"/>
      <c r="V324" s="147"/>
      <c r="W324" s="147"/>
      <c r="X324" s="147"/>
      <c r="Y324" s="147"/>
      <c r="Z324" s="147"/>
      <c r="AA324" s="147"/>
      <c r="AB324" s="147"/>
      <c r="AC324" s="147"/>
      <c r="AD324" s="147"/>
      <c r="AE324" s="147"/>
      <c r="AF324" s="147"/>
      <c r="AG324" s="147"/>
      <c r="AH324" s="147"/>
      <c r="AI324" s="147"/>
    </row>
    <row r="325">
      <c r="A325" s="167"/>
      <c r="B325" s="169"/>
      <c r="C325" s="170"/>
      <c r="D325" s="170"/>
      <c r="E325" s="170"/>
      <c r="F325" s="170"/>
      <c r="G325" s="171"/>
      <c r="H325" s="171"/>
      <c r="I325" s="172"/>
      <c r="J325" s="172"/>
      <c r="K325" s="172"/>
      <c r="L325" s="172"/>
      <c r="M325" s="147"/>
      <c r="Q325" s="147"/>
      <c r="R325" s="147"/>
      <c r="S325" s="147"/>
      <c r="T325" s="147"/>
      <c r="U325" s="147"/>
      <c r="V325" s="147"/>
      <c r="W325" s="147"/>
      <c r="X325" s="147"/>
      <c r="Y325" s="147"/>
      <c r="Z325" s="147"/>
      <c r="AA325" s="147"/>
      <c r="AB325" s="147"/>
      <c r="AC325" s="147"/>
      <c r="AD325" s="147"/>
      <c r="AE325" s="147"/>
      <c r="AF325" s="147"/>
      <c r="AG325" s="147"/>
      <c r="AH325" s="147"/>
      <c r="AI325" s="147"/>
    </row>
    <row r="326">
      <c r="A326" s="167"/>
      <c r="B326" s="169"/>
      <c r="C326" s="170"/>
      <c r="D326" s="170"/>
      <c r="E326" s="170"/>
      <c r="F326" s="170"/>
      <c r="G326" s="171"/>
      <c r="H326" s="171"/>
      <c r="I326" s="172"/>
      <c r="J326" s="172"/>
      <c r="K326" s="172"/>
      <c r="L326" s="172"/>
      <c r="M326" s="147"/>
      <c r="Q326" s="147"/>
      <c r="R326" s="147"/>
      <c r="S326" s="147"/>
      <c r="T326" s="147"/>
      <c r="U326" s="147"/>
      <c r="V326" s="147"/>
      <c r="W326" s="147"/>
      <c r="X326" s="147"/>
      <c r="Y326" s="147"/>
      <c r="Z326" s="147"/>
      <c r="AA326" s="147"/>
      <c r="AB326" s="147"/>
      <c r="AC326" s="147"/>
      <c r="AD326" s="147"/>
      <c r="AE326" s="147"/>
      <c r="AF326" s="147"/>
      <c r="AG326" s="147"/>
      <c r="AH326" s="147"/>
      <c r="AI326" s="147"/>
    </row>
    <row r="327">
      <c r="A327" s="167"/>
      <c r="B327" s="169"/>
      <c r="C327" s="170"/>
      <c r="D327" s="170"/>
      <c r="E327" s="170"/>
      <c r="F327" s="170"/>
      <c r="G327" s="171"/>
      <c r="H327" s="171"/>
      <c r="I327" s="172"/>
      <c r="J327" s="172"/>
      <c r="K327" s="172"/>
      <c r="L327" s="172"/>
      <c r="M327" s="147"/>
      <c r="Q327" s="147"/>
      <c r="R327" s="147"/>
      <c r="S327" s="147"/>
      <c r="T327" s="147"/>
      <c r="U327" s="147"/>
      <c r="V327" s="147"/>
      <c r="W327" s="147"/>
      <c r="X327" s="147"/>
      <c r="Y327" s="147"/>
      <c r="Z327" s="147"/>
      <c r="AA327" s="147"/>
      <c r="AB327" s="147"/>
      <c r="AC327" s="147"/>
      <c r="AD327" s="147"/>
      <c r="AE327" s="147"/>
      <c r="AF327" s="147"/>
      <c r="AG327" s="147"/>
      <c r="AH327" s="147"/>
      <c r="AI327" s="147"/>
    </row>
    <row r="328">
      <c r="A328" s="167"/>
      <c r="B328" s="169"/>
      <c r="C328" s="170"/>
      <c r="D328" s="170"/>
      <c r="E328" s="170"/>
      <c r="F328" s="170"/>
      <c r="G328" s="171"/>
      <c r="H328" s="171"/>
      <c r="I328" s="172"/>
      <c r="J328" s="172"/>
      <c r="K328" s="172"/>
      <c r="L328" s="172"/>
      <c r="M328" s="147"/>
      <c r="Q328" s="147"/>
      <c r="R328" s="147"/>
      <c r="S328" s="147"/>
      <c r="T328" s="147"/>
      <c r="U328" s="147"/>
      <c r="V328" s="147"/>
      <c r="W328" s="147"/>
      <c r="X328" s="147"/>
      <c r="Y328" s="147"/>
      <c r="Z328" s="147"/>
      <c r="AA328" s="147"/>
      <c r="AB328" s="147"/>
      <c r="AC328" s="147"/>
      <c r="AD328" s="147"/>
      <c r="AE328" s="147"/>
      <c r="AF328" s="147"/>
      <c r="AG328" s="147"/>
      <c r="AH328" s="147"/>
      <c r="AI328" s="147"/>
    </row>
    <row r="329">
      <c r="A329" s="167"/>
      <c r="B329" s="169"/>
      <c r="C329" s="170"/>
      <c r="D329" s="170"/>
      <c r="E329" s="170"/>
      <c r="F329" s="170"/>
      <c r="G329" s="171"/>
      <c r="H329" s="171"/>
      <c r="I329" s="172"/>
      <c r="J329" s="172"/>
      <c r="K329" s="172"/>
      <c r="L329" s="172"/>
      <c r="M329" s="147"/>
      <c r="Q329" s="147"/>
      <c r="R329" s="147"/>
      <c r="S329" s="147"/>
      <c r="T329" s="147"/>
      <c r="U329" s="147"/>
      <c r="V329" s="147"/>
      <c r="W329" s="147"/>
      <c r="X329" s="147"/>
      <c r="Y329" s="147"/>
      <c r="Z329" s="147"/>
      <c r="AA329" s="147"/>
      <c r="AB329" s="147"/>
      <c r="AC329" s="147"/>
      <c r="AD329" s="147"/>
      <c r="AE329" s="147"/>
      <c r="AF329" s="147"/>
      <c r="AG329" s="147"/>
      <c r="AH329" s="147"/>
      <c r="AI329" s="147"/>
    </row>
    <row r="330">
      <c r="A330" s="167"/>
      <c r="B330" s="169"/>
      <c r="C330" s="170"/>
      <c r="D330" s="170"/>
      <c r="E330" s="170"/>
      <c r="F330" s="170"/>
      <c r="G330" s="171"/>
      <c r="H330" s="171"/>
      <c r="I330" s="172"/>
      <c r="J330" s="172"/>
      <c r="K330" s="172"/>
      <c r="L330" s="172"/>
      <c r="M330" s="147"/>
      <c r="Q330" s="147"/>
      <c r="R330" s="147"/>
      <c r="S330" s="147"/>
      <c r="T330" s="147"/>
      <c r="U330" s="147"/>
      <c r="V330" s="147"/>
      <c r="W330" s="147"/>
      <c r="X330" s="147"/>
      <c r="Y330" s="147"/>
      <c r="Z330" s="147"/>
      <c r="AA330" s="147"/>
      <c r="AB330" s="147"/>
      <c r="AC330" s="147"/>
      <c r="AD330" s="147"/>
      <c r="AE330" s="147"/>
      <c r="AF330" s="147"/>
      <c r="AG330" s="147"/>
      <c r="AH330" s="147"/>
      <c r="AI330" s="147"/>
    </row>
    <row r="331">
      <c r="A331" s="167"/>
      <c r="B331" s="169"/>
      <c r="C331" s="170"/>
      <c r="D331" s="170"/>
      <c r="E331" s="170"/>
      <c r="F331" s="170"/>
      <c r="G331" s="171"/>
      <c r="H331" s="171"/>
      <c r="I331" s="172"/>
      <c r="J331" s="172"/>
      <c r="K331" s="172"/>
      <c r="L331" s="172"/>
      <c r="M331" s="147"/>
      <c r="Q331" s="147"/>
      <c r="R331" s="147"/>
      <c r="S331" s="147"/>
      <c r="T331" s="147"/>
      <c r="U331" s="147"/>
      <c r="V331" s="147"/>
      <c r="W331" s="147"/>
      <c r="X331" s="147"/>
      <c r="Y331" s="147"/>
      <c r="Z331" s="147"/>
      <c r="AA331" s="147"/>
      <c r="AB331" s="147"/>
      <c r="AC331" s="147"/>
      <c r="AD331" s="147"/>
      <c r="AE331" s="147"/>
      <c r="AF331" s="147"/>
      <c r="AG331" s="147"/>
      <c r="AH331" s="147"/>
      <c r="AI331" s="147"/>
    </row>
    <row r="332">
      <c r="A332" s="167"/>
      <c r="B332" s="169"/>
      <c r="C332" s="170"/>
      <c r="D332" s="170"/>
      <c r="E332" s="170"/>
      <c r="F332" s="170"/>
      <c r="G332" s="171"/>
      <c r="H332" s="171"/>
      <c r="I332" s="172"/>
      <c r="J332" s="172"/>
      <c r="K332" s="172"/>
      <c r="L332" s="172"/>
      <c r="M332" s="147"/>
      <c r="Q332" s="147"/>
      <c r="R332" s="147"/>
      <c r="S332" s="147"/>
      <c r="T332" s="147"/>
      <c r="U332" s="147"/>
      <c r="V332" s="147"/>
      <c r="W332" s="147"/>
      <c r="X332" s="147"/>
      <c r="Y332" s="147"/>
      <c r="Z332" s="147"/>
      <c r="AA332" s="147"/>
      <c r="AB332" s="147"/>
      <c r="AC332" s="147"/>
      <c r="AD332" s="147"/>
      <c r="AE332" s="147"/>
      <c r="AF332" s="147"/>
      <c r="AG332" s="147"/>
      <c r="AH332" s="147"/>
      <c r="AI332" s="147"/>
    </row>
    <row r="333">
      <c r="A333" s="167"/>
      <c r="B333" s="169"/>
      <c r="C333" s="170"/>
      <c r="D333" s="170"/>
      <c r="E333" s="170"/>
      <c r="F333" s="170"/>
      <c r="G333" s="171"/>
      <c r="H333" s="171"/>
      <c r="I333" s="172"/>
      <c r="J333" s="172"/>
      <c r="K333" s="172"/>
      <c r="L333" s="172"/>
      <c r="M333" s="147"/>
      <c r="Q333" s="147"/>
      <c r="R333" s="147"/>
      <c r="S333" s="147"/>
      <c r="T333" s="147"/>
      <c r="U333" s="147"/>
      <c r="V333" s="147"/>
      <c r="W333" s="147"/>
      <c r="X333" s="147"/>
      <c r="Y333" s="147"/>
      <c r="Z333" s="147"/>
      <c r="AA333" s="147"/>
      <c r="AB333" s="147"/>
      <c r="AC333" s="147"/>
      <c r="AD333" s="147"/>
      <c r="AE333" s="147"/>
      <c r="AF333" s="147"/>
      <c r="AG333" s="147"/>
      <c r="AH333" s="147"/>
      <c r="AI333" s="147"/>
    </row>
    <row r="334">
      <c r="A334" s="167"/>
      <c r="B334" s="169"/>
      <c r="C334" s="170"/>
      <c r="D334" s="170"/>
      <c r="E334" s="170"/>
      <c r="F334" s="170"/>
      <c r="G334" s="171"/>
      <c r="H334" s="171"/>
      <c r="I334" s="172"/>
      <c r="J334" s="172"/>
      <c r="K334" s="172"/>
      <c r="L334" s="172"/>
      <c r="M334" s="147"/>
      <c r="Q334" s="147"/>
      <c r="R334" s="147"/>
      <c r="S334" s="147"/>
      <c r="T334" s="147"/>
      <c r="U334" s="147"/>
      <c r="V334" s="147"/>
      <c r="W334" s="147"/>
      <c r="X334" s="147"/>
      <c r="Y334" s="147"/>
      <c r="Z334" s="147"/>
      <c r="AA334" s="147"/>
      <c r="AB334" s="147"/>
      <c r="AC334" s="147"/>
      <c r="AD334" s="147"/>
      <c r="AE334" s="147"/>
      <c r="AF334" s="147"/>
      <c r="AG334" s="147"/>
      <c r="AH334" s="147"/>
      <c r="AI334" s="147"/>
    </row>
    <row r="335">
      <c r="A335" s="167"/>
      <c r="B335" s="169"/>
      <c r="C335" s="170"/>
      <c r="D335" s="170"/>
      <c r="E335" s="170"/>
      <c r="F335" s="170"/>
      <c r="G335" s="171"/>
      <c r="H335" s="171"/>
      <c r="I335" s="172"/>
      <c r="J335" s="172"/>
      <c r="K335" s="172"/>
      <c r="L335" s="172"/>
      <c r="M335" s="147"/>
      <c r="Q335" s="147"/>
      <c r="R335" s="147"/>
      <c r="S335" s="147"/>
      <c r="T335" s="147"/>
      <c r="U335" s="147"/>
      <c r="V335" s="147"/>
      <c r="W335" s="147"/>
      <c r="X335" s="147"/>
      <c r="Y335" s="147"/>
      <c r="Z335" s="147"/>
      <c r="AA335" s="147"/>
      <c r="AB335" s="147"/>
      <c r="AC335" s="147"/>
      <c r="AD335" s="147"/>
      <c r="AE335" s="147"/>
      <c r="AF335" s="147"/>
      <c r="AG335" s="147"/>
      <c r="AH335" s="147"/>
      <c r="AI335" s="147"/>
    </row>
    <row r="336">
      <c r="A336" s="167"/>
      <c r="B336" s="169"/>
      <c r="C336" s="170"/>
      <c r="D336" s="170"/>
      <c r="E336" s="170"/>
      <c r="F336" s="170"/>
      <c r="G336" s="171"/>
      <c r="H336" s="171"/>
      <c r="I336" s="172"/>
      <c r="J336" s="172"/>
      <c r="K336" s="172"/>
      <c r="L336" s="172"/>
      <c r="M336" s="147"/>
      <c r="Q336" s="147"/>
      <c r="R336" s="147"/>
      <c r="S336" s="147"/>
      <c r="T336" s="147"/>
      <c r="U336" s="147"/>
      <c r="V336" s="147"/>
      <c r="W336" s="147"/>
      <c r="X336" s="147"/>
      <c r="Y336" s="147"/>
      <c r="Z336" s="147"/>
      <c r="AA336" s="147"/>
      <c r="AB336" s="147"/>
      <c r="AC336" s="147"/>
      <c r="AD336" s="147"/>
      <c r="AE336" s="147"/>
      <c r="AF336" s="147"/>
      <c r="AG336" s="147"/>
      <c r="AH336" s="147"/>
      <c r="AI336" s="147"/>
    </row>
    <row r="337">
      <c r="A337" s="167"/>
      <c r="B337" s="169"/>
      <c r="C337" s="170"/>
      <c r="D337" s="170"/>
      <c r="E337" s="170"/>
      <c r="F337" s="170"/>
      <c r="G337" s="171"/>
      <c r="H337" s="171"/>
      <c r="I337" s="172"/>
      <c r="J337" s="172"/>
      <c r="K337" s="172"/>
      <c r="L337" s="172"/>
      <c r="M337" s="147"/>
      <c r="Q337" s="147"/>
      <c r="R337" s="147"/>
      <c r="S337" s="147"/>
      <c r="T337" s="147"/>
      <c r="U337" s="147"/>
      <c r="V337" s="147"/>
      <c r="W337" s="147"/>
      <c r="X337" s="147"/>
      <c r="Y337" s="147"/>
      <c r="Z337" s="147"/>
      <c r="AA337" s="147"/>
      <c r="AB337" s="147"/>
      <c r="AC337" s="147"/>
      <c r="AD337" s="147"/>
      <c r="AE337" s="147"/>
      <c r="AF337" s="147"/>
      <c r="AG337" s="147"/>
      <c r="AH337" s="147"/>
      <c r="AI337" s="147"/>
    </row>
    <row r="338">
      <c r="A338" s="167"/>
      <c r="B338" s="169"/>
      <c r="C338" s="170"/>
      <c r="D338" s="170"/>
      <c r="E338" s="170"/>
      <c r="F338" s="170"/>
      <c r="G338" s="171"/>
      <c r="H338" s="171"/>
      <c r="I338" s="172"/>
      <c r="J338" s="172"/>
      <c r="K338" s="172"/>
      <c r="L338" s="172"/>
      <c r="M338" s="147"/>
      <c r="Q338" s="147"/>
      <c r="R338" s="147"/>
      <c r="S338" s="147"/>
      <c r="T338" s="147"/>
      <c r="U338" s="147"/>
      <c r="V338" s="147"/>
      <c r="W338" s="147"/>
      <c r="X338" s="147"/>
      <c r="Y338" s="147"/>
      <c r="Z338" s="147"/>
      <c r="AA338" s="147"/>
      <c r="AB338" s="147"/>
      <c r="AC338" s="147"/>
      <c r="AD338" s="147"/>
      <c r="AE338" s="147"/>
      <c r="AF338" s="147"/>
      <c r="AG338" s="147"/>
      <c r="AH338" s="147"/>
      <c r="AI338" s="147"/>
    </row>
    <row r="339">
      <c r="A339" s="167"/>
      <c r="B339" s="169"/>
      <c r="C339" s="170"/>
      <c r="D339" s="170"/>
      <c r="E339" s="170"/>
      <c r="F339" s="170"/>
      <c r="G339" s="171"/>
      <c r="H339" s="171"/>
      <c r="I339" s="172"/>
      <c r="J339" s="172"/>
      <c r="K339" s="172"/>
      <c r="L339" s="172"/>
      <c r="M339" s="147"/>
      <c r="Q339" s="147"/>
      <c r="R339" s="147"/>
      <c r="S339" s="147"/>
      <c r="T339" s="147"/>
      <c r="U339" s="147"/>
      <c r="V339" s="147"/>
      <c r="W339" s="147"/>
      <c r="X339" s="147"/>
      <c r="Y339" s="147"/>
      <c r="Z339" s="147"/>
      <c r="AA339" s="147"/>
      <c r="AB339" s="147"/>
      <c r="AC339" s="147"/>
      <c r="AD339" s="147"/>
      <c r="AE339" s="147"/>
      <c r="AF339" s="147"/>
      <c r="AG339" s="147"/>
      <c r="AH339" s="147"/>
      <c r="AI339" s="147"/>
    </row>
    <row r="340">
      <c r="A340" s="167"/>
      <c r="B340" s="169"/>
      <c r="C340" s="170"/>
      <c r="D340" s="170"/>
      <c r="E340" s="170"/>
      <c r="F340" s="170"/>
      <c r="G340" s="171"/>
      <c r="H340" s="171"/>
      <c r="I340" s="172"/>
      <c r="J340" s="172"/>
      <c r="K340" s="172"/>
      <c r="L340" s="172"/>
      <c r="M340" s="147"/>
      <c r="Q340" s="147"/>
      <c r="R340" s="147"/>
      <c r="S340" s="147"/>
      <c r="T340" s="147"/>
      <c r="U340" s="147"/>
      <c r="V340" s="147"/>
      <c r="W340" s="147"/>
      <c r="X340" s="147"/>
      <c r="Y340" s="147"/>
      <c r="Z340" s="147"/>
      <c r="AA340" s="147"/>
      <c r="AB340" s="147"/>
      <c r="AC340" s="147"/>
      <c r="AD340" s="147"/>
      <c r="AE340" s="147"/>
      <c r="AF340" s="147"/>
      <c r="AG340" s="147"/>
      <c r="AH340" s="147"/>
      <c r="AI340" s="147"/>
    </row>
    <row r="341">
      <c r="A341" s="167"/>
      <c r="B341" s="169"/>
      <c r="C341" s="170"/>
      <c r="D341" s="170"/>
      <c r="E341" s="170"/>
      <c r="F341" s="170"/>
      <c r="G341" s="171"/>
      <c r="H341" s="171"/>
      <c r="I341" s="172"/>
      <c r="J341" s="172"/>
      <c r="K341" s="172"/>
      <c r="L341" s="172"/>
      <c r="M341" s="147"/>
      <c r="Q341" s="147"/>
      <c r="R341" s="147"/>
      <c r="S341" s="147"/>
      <c r="T341" s="147"/>
      <c r="U341" s="147"/>
      <c r="V341" s="147"/>
      <c r="W341" s="147"/>
      <c r="X341" s="147"/>
      <c r="Y341" s="147"/>
      <c r="Z341" s="147"/>
      <c r="AA341" s="147"/>
      <c r="AB341" s="147"/>
      <c r="AC341" s="147"/>
      <c r="AD341" s="147"/>
      <c r="AE341" s="147"/>
      <c r="AF341" s="147"/>
      <c r="AG341" s="147"/>
      <c r="AH341" s="147"/>
      <c r="AI341" s="147"/>
    </row>
    <row r="342">
      <c r="A342" s="167"/>
      <c r="B342" s="169"/>
      <c r="C342" s="170"/>
      <c r="D342" s="170"/>
      <c r="E342" s="170"/>
      <c r="F342" s="170"/>
      <c r="G342" s="171"/>
      <c r="H342" s="171"/>
      <c r="I342" s="172"/>
      <c r="J342" s="172"/>
      <c r="K342" s="172"/>
      <c r="L342" s="172"/>
      <c r="M342" s="147"/>
      <c r="Q342" s="147"/>
      <c r="R342" s="147"/>
      <c r="S342" s="147"/>
      <c r="T342" s="147"/>
      <c r="U342" s="147"/>
      <c r="V342" s="147"/>
      <c r="W342" s="147"/>
      <c r="X342" s="147"/>
      <c r="Y342" s="147"/>
      <c r="Z342" s="147"/>
      <c r="AA342" s="147"/>
      <c r="AB342" s="147"/>
      <c r="AC342" s="147"/>
      <c r="AD342" s="147"/>
      <c r="AE342" s="147"/>
      <c r="AF342" s="147"/>
      <c r="AG342" s="147"/>
      <c r="AH342" s="147"/>
      <c r="AI342" s="147"/>
    </row>
    <row r="343">
      <c r="A343" s="167"/>
      <c r="B343" s="169"/>
      <c r="C343" s="170"/>
      <c r="D343" s="170"/>
      <c r="E343" s="170"/>
      <c r="F343" s="170"/>
      <c r="G343" s="171"/>
      <c r="H343" s="171"/>
      <c r="I343" s="172"/>
      <c r="J343" s="172"/>
      <c r="K343" s="172"/>
      <c r="L343" s="172"/>
      <c r="M343" s="147"/>
      <c r="Q343" s="147"/>
      <c r="R343" s="147"/>
      <c r="S343" s="147"/>
      <c r="T343" s="147"/>
      <c r="U343" s="147"/>
      <c r="V343" s="147"/>
      <c r="W343" s="147"/>
      <c r="X343" s="147"/>
      <c r="Y343" s="147"/>
      <c r="Z343" s="147"/>
      <c r="AA343" s="147"/>
      <c r="AB343" s="147"/>
      <c r="AC343" s="147"/>
      <c r="AD343" s="147"/>
      <c r="AE343" s="147"/>
      <c r="AF343" s="147"/>
      <c r="AG343" s="147"/>
      <c r="AH343" s="147"/>
      <c r="AI343" s="147"/>
    </row>
    <row r="344">
      <c r="A344" s="167"/>
      <c r="B344" s="169"/>
      <c r="C344" s="170"/>
      <c r="D344" s="170"/>
      <c r="E344" s="170"/>
      <c r="F344" s="170"/>
      <c r="G344" s="171"/>
      <c r="H344" s="171"/>
      <c r="I344" s="172"/>
      <c r="J344" s="172"/>
      <c r="K344" s="172"/>
      <c r="L344" s="172"/>
      <c r="M344" s="147"/>
      <c r="Q344" s="147"/>
      <c r="R344" s="147"/>
      <c r="S344" s="147"/>
      <c r="T344" s="147"/>
      <c r="U344" s="147"/>
      <c r="V344" s="147"/>
      <c r="W344" s="147"/>
      <c r="X344" s="147"/>
      <c r="Y344" s="147"/>
      <c r="Z344" s="147"/>
      <c r="AA344" s="147"/>
      <c r="AB344" s="147"/>
      <c r="AC344" s="147"/>
      <c r="AD344" s="147"/>
      <c r="AE344" s="147"/>
      <c r="AF344" s="147"/>
      <c r="AG344" s="147"/>
      <c r="AH344" s="147"/>
      <c r="AI344" s="147"/>
    </row>
    <row r="345">
      <c r="A345" s="167"/>
      <c r="B345" s="169"/>
      <c r="C345" s="170"/>
      <c r="D345" s="170"/>
      <c r="E345" s="170"/>
      <c r="F345" s="170"/>
      <c r="G345" s="171"/>
      <c r="H345" s="171"/>
      <c r="I345" s="172"/>
      <c r="J345" s="172"/>
      <c r="K345" s="172"/>
      <c r="L345" s="172"/>
      <c r="M345" s="147"/>
      <c r="Q345" s="147"/>
      <c r="R345" s="147"/>
      <c r="S345" s="147"/>
      <c r="T345" s="147"/>
      <c r="U345" s="147"/>
      <c r="V345" s="147"/>
      <c r="W345" s="147"/>
      <c r="X345" s="147"/>
      <c r="Y345" s="147"/>
      <c r="Z345" s="147"/>
      <c r="AA345" s="147"/>
      <c r="AB345" s="147"/>
      <c r="AC345" s="147"/>
      <c r="AD345" s="147"/>
      <c r="AE345" s="147"/>
      <c r="AF345" s="147"/>
      <c r="AG345" s="147"/>
      <c r="AH345" s="147"/>
      <c r="AI345" s="147"/>
    </row>
    <row r="346">
      <c r="A346" s="167"/>
      <c r="B346" s="169"/>
      <c r="C346" s="170"/>
      <c r="D346" s="170"/>
      <c r="E346" s="170"/>
      <c r="F346" s="170"/>
      <c r="G346" s="171"/>
      <c r="H346" s="171"/>
      <c r="I346" s="172"/>
      <c r="J346" s="172"/>
      <c r="K346" s="172"/>
      <c r="L346" s="172"/>
      <c r="M346" s="147"/>
      <c r="Q346" s="147"/>
      <c r="R346" s="147"/>
      <c r="S346" s="147"/>
      <c r="T346" s="147"/>
      <c r="U346" s="147"/>
      <c r="V346" s="147"/>
      <c r="W346" s="147"/>
      <c r="X346" s="147"/>
      <c r="Y346" s="147"/>
      <c r="Z346" s="147"/>
      <c r="AA346" s="147"/>
      <c r="AB346" s="147"/>
      <c r="AC346" s="147"/>
      <c r="AD346" s="147"/>
      <c r="AE346" s="147"/>
      <c r="AF346" s="147"/>
      <c r="AG346" s="147"/>
      <c r="AH346" s="147"/>
      <c r="AI346" s="147"/>
    </row>
    <row r="347">
      <c r="A347" s="167"/>
      <c r="B347" s="169"/>
      <c r="C347" s="170"/>
      <c r="D347" s="170"/>
      <c r="E347" s="170"/>
      <c r="F347" s="170"/>
      <c r="G347" s="171"/>
      <c r="H347" s="171"/>
      <c r="I347" s="172"/>
      <c r="J347" s="172"/>
      <c r="K347" s="172"/>
      <c r="L347" s="172"/>
      <c r="M347" s="147"/>
      <c r="Q347" s="147"/>
      <c r="R347" s="147"/>
      <c r="S347" s="147"/>
      <c r="T347" s="147"/>
      <c r="U347" s="147"/>
      <c r="V347" s="147"/>
      <c r="W347" s="147"/>
      <c r="X347" s="147"/>
      <c r="Y347" s="147"/>
      <c r="Z347" s="147"/>
      <c r="AA347" s="147"/>
      <c r="AB347" s="147"/>
      <c r="AC347" s="147"/>
      <c r="AD347" s="147"/>
      <c r="AE347" s="147"/>
      <c r="AF347" s="147"/>
      <c r="AG347" s="147"/>
      <c r="AH347" s="147"/>
      <c r="AI347" s="147"/>
    </row>
    <row r="348">
      <c r="A348" s="167"/>
      <c r="B348" s="169"/>
      <c r="C348" s="170"/>
      <c r="D348" s="170"/>
      <c r="E348" s="170"/>
      <c r="F348" s="170"/>
      <c r="G348" s="171"/>
      <c r="H348" s="171"/>
      <c r="I348" s="172"/>
      <c r="J348" s="172"/>
      <c r="K348" s="172"/>
      <c r="L348" s="172"/>
      <c r="M348" s="147"/>
      <c r="Q348" s="147"/>
      <c r="R348" s="147"/>
      <c r="S348" s="147"/>
      <c r="T348" s="147"/>
      <c r="U348" s="147"/>
      <c r="V348" s="147"/>
      <c r="W348" s="147"/>
      <c r="X348" s="147"/>
      <c r="Y348" s="147"/>
      <c r="Z348" s="147"/>
      <c r="AA348" s="147"/>
      <c r="AB348" s="147"/>
      <c r="AC348" s="147"/>
      <c r="AD348" s="147"/>
      <c r="AE348" s="147"/>
      <c r="AF348" s="147"/>
      <c r="AG348" s="147"/>
      <c r="AH348" s="147"/>
      <c r="AI348" s="147"/>
    </row>
    <row r="349">
      <c r="A349" s="167"/>
      <c r="B349" s="169"/>
      <c r="C349" s="170"/>
      <c r="D349" s="170"/>
      <c r="E349" s="170"/>
      <c r="F349" s="170"/>
      <c r="G349" s="171"/>
      <c r="H349" s="171"/>
      <c r="I349" s="172"/>
      <c r="J349" s="172"/>
      <c r="K349" s="172"/>
      <c r="L349" s="172"/>
      <c r="M349" s="147"/>
      <c r="Q349" s="147"/>
      <c r="R349" s="147"/>
      <c r="S349" s="147"/>
      <c r="T349" s="147"/>
      <c r="U349" s="147"/>
      <c r="V349" s="147"/>
      <c r="W349" s="147"/>
      <c r="X349" s="147"/>
      <c r="Y349" s="147"/>
      <c r="Z349" s="147"/>
      <c r="AA349" s="147"/>
      <c r="AB349" s="147"/>
      <c r="AC349" s="147"/>
      <c r="AD349" s="147"/>
      <c r="AE349" s="147"/>
      <c r="AF349" s="147"/>
      <c r="AG349" s="147"/>
      <c r="AH349" s="147"/>
      <c r="AI349" s="147"/>
    </row>
    <row r="350">
      <c r="A350" s="167"/>
      <c r="B350" s="169"/>
      <c r="C350" s="170"/>
      <c r="D350" s="170"/>
      <c r="E350" s="170"/>
      <c r="F350" s="170"/>
      <c r="G350" s="171"/>
      <c r="H350" s="171"/>
      <c r="I350" s="172"/>
      <c r="J350" s="172"/>
      <c r="K350" s="172"/>
      <c r="L350" s="172"/>
      <c r="M350" s="147"/>
      <c r="Q350" s="147"/>
      <c r="R350" s="147"/>
      <c r="S350" s="147"/>
      <c r="T350" s="147"/>
      <c r="U350" s="147"/>
      <c r="V350" s="147"/>
      <c r="W350" s="147"/>
      <c r="X350" s="147"/>
      <c r="Y350" s="147"/>
      <c r="Z350" s="147"/>
      <c r="AA350" s="147"/>
      <c r="AB350" s="147"/>
      <c r="AC350" s="147"/>
      <c r="AD350" s="147"/>
      <c r="AE350" s="147"/>
      <c r="AF350" s="147"/>
      <c r="AG350" s="147"/>
      <c r="AH350" s="147"/>
      <c r="AI350" s="147"/>
    </row>
    <row r="351">
      <c r="A351" s="167"/>
      <c r="B351" s="169"/>
      <c r="C351" s="170"/>
      <c r="D351" s="170"/>
      <c r="E351" s="170"/>
      <c r="F351" s="170"/>
      <c r="G351" s="171"/>
      <c r="H351" s="171"/>
      <c r="I351" s="172"/>
      <c r="J351" s="172"/>
      <c r="K351" s="172"/>
      <c r="L351" s="172"/>
      <c r="M351" s="147"/>
      <c r="Q351" s="147"/>
      <c r="R351" s="147"/>
      <c r="S351" s="147"/>
      <c r="T351" s="147"/>
      <c r="U351" s="147"/>
      <c r="V351" s="147"/>
      <c r="W351" s="147"/>
      <c r="X351" s="147"/>
      <c r="Y351" s="147"/>
      <c r="Z351" s="147"/>
      <c r="AA351" s="147"/>
      <c r="AB351" s="147"/>
      <c r="AC351" s="147"/>
      <c r="AD351" s="147"/>
      <c r="AE351" s="147"/>
      <c r="AF351" s="147"/>
      <c r="AG351" s="147"/>
      <c r="AH351" s="147"/>
      <c r="AI351" s="147"/>
    </row>
    <row r="352">
      <c r="A352" s="167"/>
      <c r="B352" s="169"/>
      <c r="C352" s="170"/>
      <c r="D352" s="170"/>
      <c r="E352" s="170"/>
      <c r="F352" s="170"/>
      <c r="G352" s="171"/>
      <c r="H352" s="171"/>
      <c r="I352" s="172"/>
      <c r="J352" s="172"/>
      <c r="K352" s="172"/>
      <c r="L352" s="172"/>
      <c r="M352" s="147"/>
      <c r="Q352" s="147"/>
      <c r="R352" s="147"/>
      <c r="S352" s="147"/>
      <c r="T352" s="147"/>
      <c r="U352" s="147"/>
      <c r="V352" s="147"/>
      <c r="W352" s="147"/>
      <c r="X352" s="147"/>
      <c r="Y352" s="147"/>
      <c r="Z352" s="147"/>
      <c r="AA352" s="147"/>
      <c r="AB352" s="147"/>
      <c r="AC352" s="147"/>
      <c r="AD352" s="147"/>
      <c r="AE352" s="147"/>
      <c r="AF352" s="147"/>
      <c r="AG352" s="147"/>
      <c r="AH352" s="147"/>
      <c r="AI352" s="147"/>
    </row>
    <row r="353">
      <c r="A353" s="167"/>
      <c r="B353" s="169"/>
      <c r="C353" s="170"/>
      <c r="D353" s="170"/>
      <c r="E353" s="170"/>
      <c r="F353" s="170"/>
      <c r="G353" s="171"/>
      <c r="H353" s="171"/>
      <c r="I353" s="172"/>
      <c r="J353" s="172"/>
      <c r="K353" s="172"/>
      <c r="L353" s="172"/>
      <c r="M353" s="147"/>
      <c r="Q353" s="147"/>
      <c r="R353" s="147"/>
      <c r="S353" s="147"/>
      <c r="T353" s="147"/>
      <c r="U353" s="147"/>
      <c r="V353" s="147"/>
      <c r="W353" s="147"/>
      <c r="X353" s="147"/>
      <c r="Y353" s="147"/>
      <c r="Z353" s="147"/>
      <c r="AA353" s="147"/>
      <c r="AB353" s="147"/>
      <c r="AC353" s="147"/>
      <c r="AD353" s="147"/>
      <c r="AE353" s="147"/>
      <c r="AF353" s="147"/>
      <c r="AG353" s="147"/>
      <c r="AH353" s="147"/>
      <c r="AI353" s="147"/>
    </row>
    <row r="354">
      <c r="A354" s="167"/>
      <c r="B354" s="169"/>
      <c r="C354" s="170"/>
      <c r="D354" s="170"/>
      <c r="E354" s="170"/>
      <c r="F354" s="170"/>
      <c r="G354" s="171"/>
      <c r="H354" s="171"/>
      <c r="I354" s="172"/>
      <c r="J354" s="172"/>
      <c r="K354" s="172"/>
      <c r="L354" s="172"/>
      <c r="M354" s="147"/>
      <c r="Q354" s="147"/>
      <c r="R354" s="147"/>
      <c r="S354" s="147"/>
      <c r="T354" s="147"/>
      <c r="U354" s="147"/>
      <c r="V354" s="147"/>
      <c r="W354" s="147"/>
      <c r="X354" s="147"/>
      <c r="Y354" s="147"/>
      <c r="Z354" s="147"/>
      <c r="AA354" s="147"/>
      <c r="AB354" s="147"/>
      <c r="AC354" s="147"/>
      <c r="AD354" s="147"/>
      <c r="AE354" s="147"/>
      <c r="AF354" s="147"/>
      <c r="AG354" s="147"/>
      <c r="AH354" s="147"/>
      <c r="AI354" s="147"/>
    </row>
    <row r="355">
      <c r="A355" s="167"/>
      <c r="B355" s="169"/>
      <c r="C355" s="170"/>
      <c r="D355" s="170"/>
      <c r="E355" s="170"/>
      <c r="F355" s="170"/>
      <c r="G355" s="171"/>
      <c r="H355" s="171"/>
      <c r="I355" s="172"/>
      <c r="J355" s="172"/>
      <c r="K355" s="172"/>
      <c r="L355" s="172"/>
      <c r="M355" s="147"/>
      <c r="Q355" s="147"/>
      <c r="R355" s="147"/>
      <c r="S355" s="147"/>
      <c r="T355" s="147"/>
      <c r="U355" s="147"/>
      <c r="V355" s="147"/>
      <c r="W355" s="147"/>
      <c r="X355" s="147"/>
      <c r="Y355" s="147"/>
      <c r="Z355" s="147"/>
      <c r="AA355" s="147"/>
      <c r="AB355" s="147"/>
      <c r="AC355" s="147"/>
      <c r="AD355" s="147"/>
      <c r="AE355" s="147"/>
      <c r="AF355" s="147"/>
      <c r="AG355" s="147"/>
      <c r="AH355" s="147"/>
      <c r="AI355" s="147"/>
    </row>
    <row r="356">
      <c r="A356" s="167"/>
      <c r="B356" s="169"/>
      <c r="C356" s="170"/>
      <c r="D356" s="170"/>
      <c r="E356" s="170"/>
      <c r="F356" s="170"/>
      <c r="G356" s="171"/>
      <c r="H356" s="171"/>
      <c r="I356" s="172"/>
      <c r="J356" s="172"/>
      <c r="K356" s="172"/>
      <c r="L356" s="172"/>
      <c r="M356" s="147"/>
      <c r="Q356" s="147"/>
      <c r="R356" s="147"/>
      <c r="S356" s="147"/>
      <c r="T356" s="147"/>
      <c r="U356" s="147"/>
      <c r="V356" s="147"/>
      <c r="W356" s="147"/>
      <c r="X356" s="147"/>
      <c r="Y356" s="147"/>
      <c r="Z356" s="147"/>
      <c r="AA356" s="147"/>
      <c r="AB356" s="147"/>
      <c r="AC356" s="147"/>
      <c r="AD356" s="147"/>
      <c r="AE356" s="147"/>
      <c r="AF356" s="147"/>
      <c r="AG356" s="147"/>
      <c r="AH356" s="147"/>
      <c r="AI356" s="147"/>
    </row>
    <row r="357">
      <c r="A357" s="167"/>
      <c r="B357" s="169"/>
      <c r="C357" s="170"/>
      <c r="D357" s="170"/>
      <c r="E357" s="170"/>
      <c r="F357" s="170"/>
      <c r="G357" s="171"/>
      <c r="H357" s="171"/>
      <c r="I357" s="172"/>
      <c r="J357" s="172"/>
      <c r="K357" s="172"/>
      <c r="L357" s="172"/>
      <c r="M357" s="147"/>
      <c r="Q357" s="147"/>
      <c r="R357" s="147"/>
      <c r="S357" s="147"/>
      <c r="T357" s="147"/>
      <c r="U357" s="147"/>
      <c r="V357" s="147"/>
      <c r="W357" s="147"/>
      <c r="X357" s="147"/>
      <c r="Y357" s="147"/>
      <c r="Z357" s="147"/>
      <c r="AA357" s="147"/>
      <c r="AB357" s="147"/>
      <c r="AC357" s="147"/>
      <c r="AD357" s="147"/>
      <c r="AE357" s="147"/>
      <c r="AF357" s="147"/>
      <c r="AG357" s="147"/>
      <c r="AH357" s="147"/>
      <c r="AI357" s="147"/>
    </row>
    <row r="358">
      <c r="A358" s="167"/>
      <c r="B358" s="169"/>
      <c r="C358" s="170"/>
      <c r="D358" s="170"/>
      <c r="E358" s="170"/>
      <c r="F358" s="170"/>
      <c r="G358" s="171"/>
      <c r="H358" s="171"/>
      <c r="I358" s="172"/>
      <c r="J358" s="172"/>
      <c r="K358" s="172"/>
      <c r="L358" s="172"/>
      <c r="M358" s="147"/>
      <c r="Q358" s="147"/>
      <c r="R358" s="147"/>
      <c r="S358" s="147"/>
      <c r="T358" s="147"/>
      <c r="U358" s="147"/>
      <c r="V358" s="147"/>
      <c r="W358" s="147"/>
      <c r="X358" s="147"/>
      <c r="Y358" s="147"/>
      <c r="Z358" s="147"/>
      <c r="AA358" s="147"/>
      <c r="AB358" s="147"/>
      <c r="AC358" s="147"/>
      <c r="AD358" s="147"/>
      <c r="AE358" s="147"/>
      <c r="AF358" s="147"/>
      <c r="AG358" s="147"/>
      <c r="AH358" s="147"/>
      <c r="AI358" s="147"/>
    </row>
    <row r="359">
      <c r="A359" s="167"/>
      <c r="B359" s="169"/>
      <c r="C359" s="170"/>
      <c r="D359" s="170"/>
      <c r="E359" s="170"/>
      <c r="F359" s="170"/>
      <c r="G359" s="171"/>
      <c r="H359" s="171"/>
      <c r="I359" s="172"/>
      <c r="J359" s="172"/>
      <c r="K359" s="172"/>
      <c r="L359" s="172"/>
      <c r="M359" s="147"/>
      <c r="Q359" s="147"/>
      <c r="R359" s="147"/>
      <c r="S359" s="147"/>
      <c r="T359" s="147"/>
      <c r="U359" s="147"/>
      <c r="V359" s="147"/>
      <c r="W359" s="147"/>
      <c r="X359" s="147"/>
      <c r="Y359" s="147"/>
      <c r="Z359" s="147"/>
      <c r="AA359" s="147"/>
      <c r="AB359" s="147"/>
      <c r="AC359" s="147"/>
      <c r="AD359" s="147"/>
      <c r="AE359" s="147"/>
      <c r="AF359" s="147"/>
      <c r="AG359" s="147"/>
      <c r="AH359" s="147"/>
      <c r="AI359" s="147"/>
    </row>
    <row r="360">
      <c r="A360" s="167"/>
      <c r="B360" s="169"/>
      <c r="C360" s="170"/>
      <c r="D360" s="170"/>
      <c r="E360" s="170"/>
      <c r="F360" s="170"/>
      <c r="G360" s="171"/>
      <c r="H360" s="171"/>
      <c r="I360" s="172"/>
      <c r="J360" s="172"/>
      <c r="K360" s="172"/>
      <c r="L360" s="172"/>
      <c r="M360" s="147"/>
      <c r="Q360" s="147"/>
      <c r="R360" s="147"/>
      <c r="S360" s="147"/>
      <c r="T360" s="147"/>
      <c r="U360" s="147"/>
      <c r="V360" s="147"/>
      <c r="W360" s="147"/>
      <c r="X360" s="147"/>
      <c r="Y360" s="147"/>
      <c r="Z360" s="147"/>
      <c r="AA360" s="147"/>
      <c r="AB360" s="147"/>
      <c r="AC360" s="147"/>
      <c r="AD360" s="147"/>
      <c r="AE360" s="147"/>
      <c r="AF360" s="147"/>
      <c r="AG360" s="147"/>
      <c r="AH360" s="147"/>
      <c r="AI360" s="147"/>
    </row>
    <row r="361">
      <c r="A361" s="167"/>
      <c r="B361" s="169"/>
      <c r="C361" s="170"/>
      <c r="D361" s="170"/>
      <c r="E361" s="170"/>
      <c r="F361" s="170"/>
      <c r="G361" s="171"/>
      <c r="H361" s="171"/>
      <c r="I361" s="172"/>
      <c r="J361" s="172"/>
      <c r="K361" s="172"/>
      <c r="L361" s="172"/>
      <c r="M361" s="147"/>
      <c r="Q361" s="147"/>
      <c r="R361" s="147"/>
      <c r="S361" s="147"/>
      <c r="T361" s="147"/>
      <c r="U361" s="147"/>
      <c r="V361" s="147"/>
      <c r="W361" s="147"/>
      <c r="X361" s="147"/>
      <c r="Y361" s="147"/>
      <c r="Z361" s="147"/>
      <c r="AA361" s="147"/>
      <c r="AB361" s="147"/>
      <c r="AC361" s="147"/>
      <c r="AD361" s="147"/>
      <c r="AE361" s="147"/>
      <c r="AF361" s="147"/>
      <c r="AG361" s="147"/>
      <c r="AH361" s="147"/>
      <c r="AI361" s="147"/>
    </row>
    <row r="362">
      <c r="A362" s="167"/>
      <c r="B362" s="169"/>
      <c r="C362" s="170"/>
      <c r="D362" s="170"/>
      <c r="E362" s="170"/>
      <c r="F362" s="170"/>
      <c r="G362" s="171"/>
      <c r="H362" s="171"/>
      <c r="I362" s="172"/>
      <c r="J362" s="172"/>
      <c r="K362" s="172"/>
      <c r="L362" s="172"/>
      <c r="M362" s="147"/>
      <c r="Q362" s="147"/>
      <c r="R362" s="147"/>
      <c r="S362" s="147"/>
      <c r="T362" s="147"/>
      <c r="U362" s="147"/>
      <c r="V362" s="147"/>
      <c r="W362" s="147"/>
      <c r="X362" s="147"/>
      <c r="Y362" s="147"/>
      <c r="Z362" s="147"/>
      <c r="AA362" s="147"/>
      <c r="AB362" s="147"/>
      <c r="AC362" s="147"/>
      <c r="AD362" s="147"/>
      <c r="AE362" s="147"/>
      <c r="AF362" s="147"/>
      <c r="AG362" s="147"/>
      <c r="AH362" s="147"/>
      <c r="AI362" s="147"/>
    </row>
    <row r="363">
      <c r="A363" s="167"/>
      <c r="B363" s="169"/>
      <c r="C363" s="170"/>
      <c r="D363" s="170"/>
      <c r="E363" s="170"/>
      <c r="F363" s="170"/>
      <c r="G363" s="171"/>
      <c r="H363" s="171"/>
      <c r="I363" s="172"/>
      <c r="J363" s="172"/>
      <c r="K363" s="172"/>
      <c r="L363" s="172"/>
      <c r="M363" s="147"/>
      <c r="Q363" s="147"/>
      <c r="R363" s="147"/>
      <c r="S363" s="147"/>
      <c r="T363" s="147"/>
      <c r="U363" s="147"/>
      <c r="V363" s="147"/>
      <c r="W363" s="147"/>
      <c r="X363" s="147"/>
      <c r="Y363" s="147"/>
      <c r="Z363" s="147"/>
      <c r="AA363" s="147"/>
      <c r="AB363" s="147"/>
      <c r="AC363" s="147"/>
      <c r="AD363" s="147"/>
      <c r="AE363" s="147"/>
      <c r="AF363" s="147"/>
      <c r="AG363" s="147"/>
      <c r="AH363" s="147"/>
      <c r="AI363" s="147"/>
    </row>
    <row r="364">
      <c r="A364" s="167"/>
      <c r="B364" s="169"/>
      <c r="C364" s="170"/>
      <c r="D364" s="170"/>
      <c r="E364" s="170"/>
      <c r="F364" s="170"/>
      <c r="G364" s="171"/>
      <c r="H364" s="171"/>
      <c r="I364" s="172"/>
      <c r="J364" s="172"/>
      <c r="K364" s="172"/>
      <c r="L364" s="172"/>
      <c r="M364" s="147"/>
      <c r="Q364" s="147"/>
      <c r="R364" s="147"/>
      <c r="S364" s="147"/>
      <c r="T364" s="147"/>
      <c r="U364" s="147"/>
      <c r="V364" s="147"/>
      <c r="W364" s="147"/>
      <c r="X364" s="147"/>
      <c r="Y364" s="147"/>
      <c r="Z364" s="147"/>
      <c r="AA364" s="147"/>
      <c r="AB364" s="147"/>
      <c r="AC364" s="147"/>
      <c r="AD364" s="147"/>
      <c r="AE364" s="147"/>
      <c r="AF364" s="147"/>
      <c r="AG364" s="147"/>
      <c r="AH364" s="147"/>
      <c r="AI364" s="147"/>
    </row>
    <row r="365">
      <c r="A365" s="167"/>
      <c r="B365" s="169"/>
      <c r="C365" s="170"/>
      <c r="D365" s="170"/>
      <c r="E365" s="170"/>
      <c r="F365" s="170"/>
      <c r="G365" s="171"/>
      <c r="H365" s="171"/>
      <c r="I365" s="172"/>
      <c r="J365" s="172"/>
      <c r="K365" s="172"/>
      <c r="L365" s="172"/>
      <c r="M365" s="147"/>
      <c r="Q365" s="147"/>
      <c r="R365" s="147"/>
      <c r="S365" s="147"/>
      <c r="T365" s="147"/>
      <c r="U365" s="147"/>
      <c r="V365" s="147"/>
      <c r="W365" s="147"/>
      <c r="X365" s="147"/>
      <c r="Y365" s="147"/>
      <c r="Z365" s="147"/>
      <c r="AA365" s="147"/>
      <c r="AB365" s="147"/>
      <c r="AC365" s="147"/>
      <c r="AD365" s="147"/>
      <c r="AE365" s="147"/>
      <c r="AF365" s="147"/>
      <c r="AG365" s="147"/>
      <c r="AH365" s="147"/>
      <c r="AI365" s="147"/>
    </row>
    <row r="366">
      <c r="A366" s="167"/>
      <c r="B366" s="169"/>
      <c r="C366" s="170"/>
      <c r="D366" s="170"/>
      <c r="E366" s="170"/>
      <c r="F366" s="170"/>
      <c r="G366" s="171"/>
      <c r="H366" s="171"/>
      <c r="I366" s="172"/>
      <c r="J366" s="172"/>
      <c r="K366" s="172"/>
      <c r="L366" s="172"/>
      <c r="M366" s="147"/>
      <c r="Q366" s="147"/>
      <c r="R366" s="147"/>
      <c r="S366" s="147"/>
      <c r="T366" s="147"/>
      <c r="U366" s="147"/>
      <c r="V366" s="147"/>
      <c r="W366" s="147"/>
      <c r="X366" s="147"/>
      <c r="Y366" s="147"/>
      <c r="Z366" s="147"/>
      <c r="AA366" s="147"/>
      <c r="AB366" s="147"/>
      <c r="AC366" s="147"/>
      <c r="AD366" s="147"/>
      <c r="AE366" s="147"/>
      <c r="AF366" s="147"/>
      <c r="AG366" s="147"/>
      <c r="AH366" s="147"/>
      <c r="AI366" s="147"/>
    </row>
    <row r="367">
      <c r="A367" s="167"/>
      <c r="B367" s="169"/>
      <c r="C367" s="170"/>
      <c r="D367" s="170"/>
      <c r="E367" s="170"/>
      <c r="F367" s="170"/>
      <c r="G367" s="171"/>
      <c r="H367" s="171"/>
      <c r="I367" s="172"/>
      <c r="J367" s="172"/>
      <c r="K367" s="172"/>
      <c r="L367" s="172"/>
      <c r="M367" s="147"/>
      <c r="Q367" s="147"/>
      <c r="R367" s="147"/>
      <c r="S367" s="147"/>
      <c r="T367" s="147"/>
      <c r="U367" s="147"/>
      <c r="V367" s="147"/>
      <c r="W367" s="147"/>
      <c r="X367" s="147"/>
      <c r="Y367" s="147"/>
      <c r="Z367" s="147"/>
      <c r="AA367" s="147"/>
      <c r="AB367" s="147"/>
      <c r="AC367" s="147"/>
      <c r="AD367" s="147"/>
      <c r="AE367" s="147"/>
      <c r="AF367" s="147"/>
      <c r="AG367" s="147"/>
      <c r="AH367" s="147"/>
      <c r="AI367" s="147"/>
    </row>
    <row r="368">
      <c r="A368" s="167"/>
      <c r="B368" s="169"/>
      <c r="C368" s="170"/>
      <c r="D368" s="170"/>
      <c r="E368" s="170"/>
      <c r="F368" s="170"/>
      <c r="G368" s="171"/>
      <c r="H368" s="171"/>
      <c r="I368" s="172"/>
      <c r="J368" s="172"/>
      <c r="K368" s="172"/>
      <c r="L368" s="172"/>
      <c r="M368" s="147"/>
      <c r="Q368" s="147"/>
      <c r="R368" s="147"/>
      <c r="S368" s="147"/>
      <c r="T368" s="147"/>
      <c r="U368" s="147"/>
      <c r="V368" s="147"/>
      <c r="W368" s="147"/>
      <c r="X368" s="147"/>
      <c r="Y368" s="147"/>
      <c r="Z368" s="147"/>
      <c r="AA368" s="147"/>
      <c r="AB368" s="147"/>
      <c r="AC368" s="147"/>
      <c r="AD368" s="147"/>
      <c r="AE368" s="147"/>
      <c r="AF368" s="147"/>
      <c r="AG368" s="147"/>
      <c r="AH368" s="147"/>
      <c r="AI368" s="147"/>
    </row>
    <row r="369">
      <c r="A369" s="167"/>
      <c r="B369" s="169"/>
      <c r="C369" s="170"/>
      <c r="D369" s="170"/>
      <c r="E369" s="170"/>
      <c r="F369" s="170"/>
      <c r="G369" s="171"/>
      <c r="H369" s="171"/>
      <c r="I369" s="172"/>
      <c r="J369" s="172"/>
      <c r="K369" s="172"/>
      <c r="L369" s="172"/>
      <c r="M369" s="147"/>
      <c r="Q369" s="147"/>
      <c r="R369" s="147"/>
      <c r="S369" s="147"/>
      <c r="T369" s="147"/>
      <c r="U369" s="147"/>
      <c r="V369" s="147"/>
      <c r="W369" s="147"/>
      <c r="X369" s="147"/>
      <c r="Y369" s="147"/>
      <c r="Z369" s="147"/>
      <c r="AA369" s="147"/>
      <c r="AB369" s="147"/>
      <c r="AC369" s="147"/>
      <c r="AD369" s="147"/>
      <c r="AE369" s="147"/>
      <c r="AF369" s="147"/>
      <c r="AG369" s="147"/>
      <c r="AH369" s="147"/>
      <c r="AI369" s="147"/>
    </row>
    <row r="370">
      <c r="A370" s="167"/>
      <c r="B370" s="169"/>
      <c r="C370" s="170"/>
      <c r="D370" s="170"/>
      <c r="E370" s="170"/>
      <c r="F370" s="170"/>
      <c r="G370" s="171"/>
      <c r="H370" s="171"/>
      <c r="I370" s="172"/>
      <c r="J370" s="172"/>
      <c r="K370" s="172"/>
      <c r="L370" s="172"/>
      <c r="M370" s="147"/>
      <c r="Q370" s="147"/>
      <c r="R370" s="147"/>
      <c r="S370" s="147"/>
      <c r="T370" s="147"/>
      <c r="U370" s="147"/>
      <c r="V370" s="147"/>
      <c r="W370" s="147"/>
      <c r="X370" s="147"/>
      <c r="Y370" s="147"/>
      <c r="Z370" s="147"/>
      <c r="AA370" s="147"/>
      <c r="AB370" s="147"/>
      <c r="AC370" s="147"/>
      <c r="AD370" s="147"/>
      <c r="AE370" s="147"/>
      <c r="AF370" s="147"/>
      <c r="AG370" s="147"/>
      <c r="AH370" s="147"/>
      <c r="AI370" s="147"/>
    </row>
    <row r="371">
      <c r="A371" s="167"/>
      <c r="B371" s="169"/>
      <c r="C371" s="170"/>
      <c r="D371" s="170"/>
      <c r="E371" s="170"/>
      <c r="F371" s="170"/>
      <c r="G371" s="171"/>
      <c r="H371" s="171"/>
      <c r="I371" s="172"/>
      <c r="J371" s="172"/>
      <c r="K371" s="172"/>
      <c r="L371" s="172"/>
      <c r="M371" s="147"/>
      <c r="Q371" s="147"/>
      <c r="R371" s="147"/>
      <c r="S371" s="147"/>
      <c r="T371" s="147"/>
      <c r="U371" s="147"/>
      <c r="V371" s="147"/>
      <c r="W371" s="147"/>
      <c r="X371" s="147"/>
      <c r="Y371" s="147"/>
      <c r="Z371" s="147"/>
      <c r="AA371" s="147"/>
      <c r="AB371" s="147"/>
      <c r="AC371" s="147"/>
      <c r="AD371" s="147"/>
      <c r="AE371" s="147"/>
      <c r="AF371" s="147"/>
      <c r="AG371" s="147"/>
      <c r="AH371" s="147"/>
      <c r="AI371" s="147"/>
    </row>
    <row r="372">
      <c r="A372" s="167"/>
      <c r="B372" s="169"/>
      <c r="C372" s="170"/>
      <c r="D372" s="170"/>
      <c r="E372" s="170"/>
      <c r="F372" s="170"/>
      <c r="G372" s="171"/>
      <c r="H372" s="171"/>
      <c r="I372" s="172"/>
      <c r="J372" s="172"/>
      <c r="K372" s="172"/>
      <c r="L372" s="172"/>
      <c r="M372" s="147"/>
      <c r="Q372" s="147"/>
      <c r="R372" s="147"/>
      <c r="S372" s="147"/>
      <c r="T372" s="147"/>
      <c r="U372" s="147"/>
      <c r="V372" s="147"/>
      <c r="W372" s="147"/>
      <c r="X372" s="147"/>
      <c r="Y372" s="147"/>
      <c r="Z372" s="147"/>
      <c r="AA372" s="147"/>
      <c r="AB372" s="147"/>
      <c r="AC372" s="147"/>
      <c r="AD372" s="147"/>
      <c r="AE372" s="147"/>
      <c r="AF372" s="147"/>
      <c r="AG372" s="147"/>
      <c r="AH372" s="147"/>
      <c r="AI372" s="147"/>
    </row>
    <row r="373">
      <c r="A373" s="167"/>
      <c r="B373" s="169"/>
      <c r="C373" s="170"/>
      <c r="D373" s="170"/>
      <c r="E373" s="170"/>
      <c r="F373" s="170"/>
      <c r="G373" s="171"/>
      <c r="H373" s="171"/>
      <c r="I373" s="172"/>
      <c r="J373" s="172"/>
      <c r="K373" s="172"/>
      <c r="L373" s="172"/>
      <c r="M373" s="147"/>
      <c r="Q373" s="147"/>
      <c r="R373" s="147"/>
      <c r="S373" s="147"/>
      <c r="T373" s="147"/>
      <c r="U373" s="147"/>
      <c r="V373" s="147"/>
      <c r="W373" s="147"/>
      <c r="X373" s="147"/>
      <c r="Y373" s="147"/>
      <c r="Z373" s="147"/>
      <c r="AA373" s="147"/>
      <c r="AB373" s="147"/>
      <c r="AC373" s="147"/>
      <c r="AD373" s="147"/>
      <c r="AE373" s="147"/>
      <c r="AF373" s="147"/>
      <c r="AG373" s="147"/>
      <c r="AH373" s="147"/>
      <c r="AI373" s="147"/>
    </row>
    <row r="374">
      <c r="A374" s="167"/>
      <c r="B374" s="169"/>
      <c r="C374" s="170"/>
      <c r="D374" s="170"/>
      <c r="E374" s="170"/>
      <c r="F374" s="170"/>
      <c r="G374" s="171"/>
      <c r="H374" s="171"/>
      <c r="I374" s="172"/>
      <c r="J374" s="172"/>
      <c r="K374" s="172"/>
      <c r="L374" s="172"/>
      <c r="M374" s="147"/>
      <c r="Q374" s="147"/>
      <c r="R374" s="147"/>
      <c r="S374" s="147"/>
      <c r="T374" s="147"/>
      <c r="U374" s="147"/>
      <c r="V374" s="147"/>
      <c r="W374" s="147"/>
      <c r="X374" s="147"/>
      <c r="Y374" s="147"/>
      <c r="Z374" s="147"/>
      <c r="AA374" s="147"/>
      <c r="AB374" s="147"/>
      <c r="AC374" s="147"/>
      <c r="AD374" s="147"/>
      <c r="AE374" s="147"/>
      <c r="AF374" s="147"/>
      <c r="AG374" s="147"/>
      <c r="AH374" s="147"/>
      <c r="AI374" s="147"/>
    </row>
    <row r="375">
      <c r="A375" s="167"/>
      <c r="B375" s="169"/>
      <c r="C375" s="170"/>
      <c r="D375" s="170"/>
      <c r="E375" s="170"/>
      <c r="F375" s="170"/>
      <c r="G375" s="171"/>
      <c r="H375" s="171"/>
      <c r="I375" s="172"/>
      <c r="J375" s="172"/>
      <c r="K375" s="172"/>
      <c r="L375" s="172"/>
      <c r="M375" s="147"/>
      <c r="Q375" s="147"/>
      <c r="R375" s="147"/>
      <c r="S375" s="147"/>
      <c r="T375" s="147"/>
      <c r="U375" s="147"/>
      <c r="V375" s="147"/>
      <c r="W375" s="147"/>
      <c r="X375" s="147"/>
      <c r="Y375" s="147"/>
      <c r="Z375" s="147"/>
      <c r="AA375" s="147"/>
      <c r="AB375" s="147"/>
      <c r="AC375" s="147"/>
      <c r="AD375" s="147"/>
      <c r="AE375" s="147"/>
      <c r="AF375" s="147"/>
      <c r="AG375" s="147"/>
      <c r="AH375" s="147"/>
      <c r="AI375" s="147"/>
    </row>
    <row r="376">
      <c r="A376" s="167"/>
      <c r="B376" s="169"/>
      <c r="C376" s="170"/>
      <c r="D376" s="170"/>
      <c r="E376" s="170"/>
      <c r="F376" s="170"/>
      <c r="G376" s="171"/>
      <c r="H376" s="171"/>
      <c r="I376" s="172"/>
      <c r="J376" s="172"/>
      <c r="K376" s="172"/>
      <c r="L376" s="172"/>
      <c r="M376" s="147"/>
      <c r="Q376" s="147"/>
      <c r="R376" s="147"/>
      <c r="S376" s="147"/>
      <c r="T376" s="147"/>
      <c r="U376" s="147"/>
      <c r="V376" s="147"/>
      <c r="W376" s="147"/>
      <c r="X376" s="147"/>
      <c r="Y376" s="147"/>
      <c r="Z376" s="147"/>
      <c r="AA376" s="147"/>
      <c r="AB376" s="147"/>
      <c r="AC376" s="147"/>
      <c r="AD376" s="147"/>
      <c r="AE376" s="147"/>
      <c r="AF376" s="147"/>
      <c r="AG376" s="147"/>
      <c r="AH376" s="147"/>
      <c r="AI376" s="147"/>
    </row>
    <row r="377">
      <c r="A377" s="167"/>
      <c r="B377" s="169"/>
      <c r="C377" s="170"/>
      <c r="D377" s="170"/>
      <c r="E377" s="170"/>
      <c r="F377" s="170"/>
      <c r="G377" s="171"/>
      <c r="H377" s="171"/>
      <c r="I377" s="172"/>
      <c r="J377" s="172"/>
      <c r="K377" s="172"/>
      <c r="L377" s="172"/>
      <c r="M377" s="147"/>
      <c r="Q377" s="147"/>
      <c r="R377" s="147"/>
      <c r="S377" s="147"/>
      <c r="T377" s="147"/>
      <c r="U377" s="147"/>
      <c r="V377" s="147"/>
      <c r="W377" s="147"/>
      <c r="X377" s="147"/>
      <c r="Y377" s="147"/>
      <c r="Z377" s="147"/>
      <c r="AA377" s="147"/>
      <c r="AB377" s="147"/>
      <c r="AC377" s="147"/>
      <c r="AD377" s="147"/>
      <c r="AE377" s="147"/>
      <c r="AF377" s="147"/>
      <c r="AG377" s="147"/>
      <c r="AH377" s="147"/>
      <c r="AI377" s="147"/>
    </row>
    <row r="378">
      <c r="A378" s="167"/>
      <c r="B378" s="169"/>
      <c r="C378" s="170"/>
      <c r="D378" s="170"/>
      <c r="E378" s="170"/>
      <c r="F378" s="170"/>
      <c r="G378" s="171"/>
      <c r="H378" s="171"/>
      <c r="I378" s="172"/>
      <c r="J378" s="172"/>
      <c r="K378" s="172"/>
      <c r="L378" s="172"/>
      <c r="M378" s="147"/>
      <c r="Q378" s="147"/>
      <c r="R378" s="147"/>
      <c r="S378" s="147"/>
      <c r="T378" s="147"/>
      <c r="U378" s="147"/>
      <c r="V378" s="147"/>
      <c r="W378" s="147"/>
      <c r="X378" s="147"/>
      <c r="Y378" s="147"/>
      <c r="Z378" s="147"/>
      <c r="AA378" s="147"/>
      <c r="AB378" s="147"/>
      <c r="AC378" s="147"/>
      <c r="AD378" s="147"/>
      <c r="AE378" s="147"/>
      <c r="AF378" s="147"/>
      <c r="AG378" s="147"/>
      <c r="AH378" s="147"/>
      <c r="AI378" s="147"/>
    </row>
    <row r="379">
      <c r="A379" s="167"/>
      <c r="B379" s="169"/>
      <c r="C379" s="170"/>
      <c r="D379" s="170"/>
      <c r="E379" s="170"/>
      <c r="F379" s="170"/>
      <c r="G379" s="171"/>
      <c r="H379" s="171"/>
      <c r="I379" s="172"/>
      <c r="J379" s="172"/>
      <c r="K379" s="172"/>
      <c r="L379" s="172"/>
      <c r="M379" s="147"/>
      <c r="Q379" s="147"/>
      <c r="R379" s="147"/>
      <c r="S379" s="147"/>
      <c r="T379" s="147"/>
      <c r="U379" s="147"/>
      <c r="V379" s="147"/>
      <c r="W379" s="147"/>
      <c r="X379" s="147"/>
      <c r="Y379" s="147"/>
      <c r="Z379" s="147"/>
      <c r="AA379" s="147"/>
      <c r="AB379" s="147"/>
      <c r="AC379" s="147"/>
      <c r="AD379" s="147"/>
      <c r="AE379" s="147"/>
      <c r="AF379" s="147"/>
      <c r="AG379" s="147"/>
      <c r="AH379" s="147"/>
      <c r="AI379" s="147"/>
    </row>
    <row r="380">
      <c r="A380" s="167"/>
      <c r="B380" s="169"/>
      <c r="C380" s="170"/>
      <c r="D380" s="170"/>
      <c r="E380" s="170"/>
      <c r="F380" s="170"/>
      <c r="G380" s="171"/>
      <c r="H380" s="171"/>
      <c r="I380" s="172"/>
      <c r="J380" s="172"/>
      <c r="K380" s="172"/>
      <c r="L380" s="172"/>
      <c r="M380" s="147"/>
      <c r="Q380" s="147"/>
      <c r="R380" s="147"/>
      <c r="S380" s="147"/>
      <c r="T380" s="147"/>
      <c r="U380" s="147"/>
      <c r="V380" s="147"/>
      <c r="W380" s="147"/>
      <c r="X380" s="147"/>
      <c r="Y380" s="147"/>
      <c r="Z380" s="147"/>
      <c r="AA380" s="147"/>
      <c r="AB380" s="147"/>
      <c r="AC380" s="147"/>
      <c r="AD380" s="147"/>
      <c r="AE380" s="147"/>
      <c r="AF380" s="147"/>
      <c r="AG380" s="147"/>
      <c r="AH380" s="147"/>
      <c r="AI380" s="147"/>
    </row>
    <row r="381">
      <c r="A381" s="167"/>
      <c r="B381" s="169"/>
      <c r="C381" s="170"/>
      <c r="D381" s="170"/>
      <c r="E381" s="170"/>
      <c r="F381" s="170"/>
      <c r="G381" s="171"/>
      <c r="H381" s="171"/>
      <c r="I381" s="172"/>
      <c r="J381" s="172"/>
      <c r="K381" s="172"/>
      <c r="L381" s="172"/>
      <c r="M381" s="147"/>
      <c r="Q381" s="147"/>
      <c r="R381" s="147"/>
      <c r="S381" s="147"/>
      <c r="T381" s="147"/>
      <c r="U381" s="147"/>
      <c r="V381" s="147"/>
      <c r="W381" s="147"/>
      <c r="X381" s="147"/>
      <c r="Y381" s="147"/>
      <c r="Z381" s="147"/>
      <c r="AA381" s="147"/>
      <c r="AB381" s="147"/>
      <c r="AC381" s="147"/>
      <c r="AD381" s="147"/>
      <c r="AE381" s="147"/>
      <c r="AF381" s="147"/>
      <c r="AG381" s="147"/>
      <c r="AH381" s="147"/>
      <c r="AI381" s="147"/>
    </row>
    <row r="382">
      <c r="A382" s="167"/>
      <c r="B382" s="169"/>
      <c r="C382" s="170"/>
      <c r="D382" s="170"/>
      <c r="E382" s="170"/>
      <c r="F382" s="170"/>
      <c r="G382" s="171"/>
      <c r="H382" s="171"/>
      <c r="I382" s="172"/>
      <c r="J382" s="172"/>
      <c r="K382" s="172"/>
      <c r="L382" s="172"/>
      <c r="M382" s="147"/>
      <c r="Q382" s="147"/>
      <c r="R382" s="147"/>
      <c r="S382" s="147"/>
      <c r="T382" s="147"/>
      <c r="U382" s="147"/>
      <c r="V382" s="147"/>
      <c r="W382" s="147"/>
      <c r="X382" s="147"/>
      <c r="Y382" s="147"/>
      <c r="Z382" s="147"/>
      <c r="AA382" s="147"/>
      <c r="AB382" s="147"/>
      <c r="AC382" s="147"/>
      <c r="AD382" s="147"/>
      <c r="AE382" s="147"/>
      <c r="AF382" s="147"/>
      <c r="AG382" s="147"/>
      <c r="AH382" s="147"/>
      <c r="AI382" s="147"/>
    </row>
    <row r="383">
      <c r="A383" s="167"/>
      <c r="B383" s="169"/>
      <c r="C383" s="170"/>
      <c r="D383" s="170"/>
      <c r="E383" s="170"/>
      <c r="F383" s="170"/>
      <c r="G383" s="171"/>
      <c r="H383" s="171"/>
      <c r="I383" s="172"/>
      <c r="J383" s="172"/>
      <c r="K383" s="172"/>
      <c r="L383" s="172"/>
      <c r="M383" s="147"/>
      <c r="Q383" s="147"/>
      <c r="R383" s="147"/>
      <c r="S383" s="147"/>
      <c r="T383" s="147"/>
      <c r="U383" s="147"/>
      <c r="V383" s="147"/>
      <c r="W383" s="147"/>
      <c r="X383" s="147"/>
      <c r="Y383" s="147"/>
      <c r="Z383" s="147"/>
      <c r="AA383" s="147"/>
      <c r="AB383" s="147"/>
      <c r="AC383" s="147"/>
      <c r="AD383" s="147"/>
      <c r="AE383" s="147"/>
      <c r="AF383" s="147"/>
      <c r="AG383" s="147"/>
      <c r="AH383" s="147"/>
      <c r="AI383" s="147"/>
    </row>
    <row r="384">
      <c r="A384" s="167"/>
      <c r="B384" s="169"/>
      <c r="C384" s="170"/>
      <c r="D384" s="170"/>
      <c r="E384" s="170"/>
      <c r="F384" s="170"/>
      <c r="G384" s="171"/>
      <c r="H384" s="171"/>
      <c r="I384" s="172"/>
      <c r="J384" s="172"/>
      <c r="K384" s="172"/>
      <c r="L384" s="172"/>
      <c r="M384" s="147"/>
      <c r="Q384" s="147"/>
      <c r="R384" s="147"/>
      <c r="S384" s="147"/>
      <c r="T384" s="147"/>
      <c r="U384" s="147"/>
      <c r="V384" s="147"/>
      <c r="W384" s="147"/>
      <c r="X384" s="147"/>
      <c r="Y384" s="147"/>
      <c r="Z384" s="147"/>
      <c r="AA384" s="147"/>
      <c r="AB384" s="147"/>
      <c r="AC384" s="147"/>
      <c r="AD384" s="147"/>
      <c r="AE384" s="147"/>
      <c r="AF384" s="147"/>
      <c r="AG384" s="147"/>
      <c r="AH384" s="147"/>
      <c r="AI384" s="147"/>
    </row>
    <row r="385">
      <c r="A385" s="167"/>
      <c r="B385" s="169"/>
      <c r="C385" s="170"/>
      <c r="D385" s="170"/>
      <c r="E385" s="170"/>
      <c r="F385" s="170"/>
      <c r="G385" s="171"/>
      <c r="H385" s="171"/>
      <c r="I385" s="172"/>
      <c r="J385" s="172"/>
      <c r="K385" s="172"/>
      <c r="L385" s="172"/>
      <c r="M385" s="147"/>
      <c r="Q385" s="147"/>
      <c r="R385" s="147"/>
      <c r="S385" s="147"/>
      <c r="T385" s="147"/>
      <c r="U385" s="147"/>
      <c r="V385" s="147"/>
      <c r="W385" s="147"/>
      <c r="X385" s="147"/>
      <c r="Y385" s="147"/>
      <c r="Z385" s="147"/>
      <c r="AA385" s="147"/>
      <c r="AB385" s="147"/>
      <c r="AC385" s="147"/>
      <c r="AD385" s="147"/>
      <c r="AE385" s="147"/>
      <c r="AF385" s="147"/>
      <c r="AG385" s="147"/>
      <c r="AH385" s="147"/>
      <c r="AI385" s="147"/>
    </row>
    <row r="386">
      <c r="A386" s="167"/>
      <c r="B386" s="169"/>
      <c r="C386" s="170"/>
      <c r="D386" s="170"/>
      <c r="E386" s="170"/>
      <c r="F386" s="170"/>
      <c r="G386" s="171"/>
      <c r="H386" s="171"/>
      <c r="I386" s="172"/>
      <c r="J386" s="172"/>
      <c r="K386" s="172"/>
      <c r="L386" s="172"/>
      <c r="M386" s="147"/>
      <c r="Q386" s="147"/>
      <c r="R386" s="147"/>
      <c r="S386" s="147"/>
      <c r="T386" s="147"/>
      <c r="U386" s="147"/>
      <c r="V386" s="147"/>
      <c r="W386" s="147"/>
      <c r="X386" s="147"/>
      <c r="Y386" s="147"/>
      <c r="Z386" s="147"/>
      <c r="AA386" s="147"/>
      <c r="AB386" s="147"/>
      <c r="AC386" s="147"/>
      <c r="AD386" s="147"/>
      <c r="AE386" s="147"/>
      <c r="AF386" s="147"/>
      <c r="AG386" s="147"/>
      <c r="AH386" s="147"/>
      <c r="AI386" s="147"/>
    </row>
    <row r="387">
      <c r="A387" s="167"/>
      <c r="B387" s="169"/>
      <c r="C387" s="170"/>
      <c r="D387" s="170"/>
      <c r="E387" s="170"/>
      <c r="F387" s="170"/>
      <c r="G387" s="171"/>
      <c r="H387" s="171"/>
      <c r="I387" s="172"/>
      <c r="J387" s="172"/>
      <c r="K387" s="172"/>
      <c r="L387" s="172"/>
      <c r="M387" s="147"/>
      <c r="Q387" s="147"/>
      <c r="R387" s="147"/>
      <c r="S387" s="147"/>
      <c r="T387" s="147"/>
      <c r="U387" s="147"/>
      <c r="V387" s="147"/>
      <c r="W387" s="147"/>
      <c r="X387" s="147"/>
      <c r="Y387" s="147"/>
      <c r="Z387" s="147"/>
      <c r="AA387" s="147"/>
      <c r="AB387" s="147"/>
      <c r="AC387" s="147"/>
      <c r="AD387" s="147"/>
      <c r="AE387" s="147"/>
      <c r="AF387" s="147"/>
      <c r="AG387" s="147"/>
      <c r="AH387" s="147"/>
      <c r="AI387" s="147"/>
    </row>
    <row r="388">
      <c r="A388" s="167"/>
      <c r="B388" s="169"/>
      <c r="C388" s="170"/>
      <c r="D388" s="170"/>
      <c r="E388" s="170"/>
      <c r="F388" s="170"/>
      <c r="G388" s="171"/>
      <c r="H388" s="171"/>
      <c r="I388" s="172"/>
      <c r="J388" s="172"/>
      <c r="K388" s="172"/>
      <c r="L388" s="172"/>
      <c r="M388" s="147"/>
      <c r="Q388" s="147"/>
      <c r="R388" s="147"/>
      <c r="S388" s="147"/>
      <c r="T388" s="147"/>
      <c r="U388" s="147"/>
      <c r="V388" s="147"/>
      <c r="W388" s="147"/>
      <c r="X388" s="147"/>
      <c r="Y388" s="147"/>
      <c r="Z388" s="147"/>
      <c r="AA388" s="147"/>
      <c r="AB388" s="147"/>
      <c r="AC388" s="147"/>
      <c r="AD388" s="147"/>
      <c r="AE388" s="147"/>
      <c r="AF388" s="147"/>
      <c r="AG388" s="147"/>
      <c r="AH388" s="147"/>
      <c r="AI388" s="147"/>
    </row>
    <row r="389">
      <c r="A389" s="167"/>
      <c r="B389" s="169"/>
      <c r="C389" s="170"/>
      <c r="D389" s="170"/>
      <c r="E389" s="170"/>
      <c r="F389" s="170"/>
      <c r="G389" s="171"/>
      <c r="H389" s="171"/>
      <c r="I389" s="172"/>
      <c r="J389" s="172"/>
      <c r="K389" s="172"/>
      <c r="L389" s="172"/>
      <c r="M389" s="147"/>
      <c r="Q389" s="147"/>
      <c r="R389" s="147"/>
      <c r="S389" s="147"/>
      <c r="T389" s="147"/>
      <c r="U389" s="147"/>
      <c r="V389" s="147"/>
      <c r="W389" s="147"/>
      <c r="X389" s="147"/>
      <c r="Y389" s="147"/>
      <c r="Z389" s="147"/>
      <c r="AA389" s="147"/>
      <c r="AB389" s="147"/>
      <c r="AC389" s="147"/>
      <c r="AD389" s="147"/>
      <c r="AE389" s="147"/>
      <c r="AF389" s="147"/>
      <c r="AG389" s="147"/>
      <c r="AH389" s="147"/>
      <c r="AI389" s="147"/>
    </row>
    <row r="390">
      <c r="A390" s="167"/>
      <c r="B390" s="169"/>
      <c r="C390" s="170"/>
      <c r="D390" s="170"/>
      <c r="E390" s="170"/>
      <c r="F390" s="170"/>
      <c r="G390" s="171"/>
      <c r="H390" s="171"/>
      <c r="I390" s="172"/>
      <c r="J390" s="172"/>
      <c r="K390" s="172"/>
      <c r="L390" s="172"/>
      <c r="M390" s="147"/>
      <c r="Q390" s="147"/>
      <c r="R390" s="147"/>
      <c r="S390" s="147"/>
      <c r="T390" s="147"/>
      <c r="U390" s="147"/>
      <c r="V390" s="147"/>
      <c r="W390" s="147"/>
      <c r="X390" s="147"/>
      <c r="Y390" s="147"/>
      <c r="Z390" s="147"/>
      <c r="AA390" s="147"/>
      <c r="AB390" s="147"/>
      <c r="AC390" s="147"/>
      <c r="AD390" s="147"/>
      <c r="AE390" s="147"/>
      <c r="AF390" s="147"/>
      <c r="AG390" s="147"/>
      <c r="AH390" s="147"/>
      <c r="AI390" s="147"/>
    </row>
    <row r="391">
      <c r="A391" s="167"/>
      <c r="B391" s="169"/>
      <c r="C391" s="170"/>
      <c r="D391" s="170"/>
      <c r="E391" s="170"/>
      <c r="F391" s="170"/>
      <c r="G391" s="171"/>
      <c r="H391" s="171"/>
      <c r="I391" s="172"/>
      <c r="J391" s="172"/>
      <c r="K391" s="172"/>
      <c r="L391" s="172"/>
      <c r="M391" s="147"/>
      <c r="Q391" s="147"/>
      <c r="R391" s="147"/>
      <c r="S391" s="147"/>
      <c r="T391" s="147"/>
      <c r="U391" s="147"/>
      <c r="V391" s="147"/>
      <c r="W391" s="147"/>
      <c r="X391" s="147"/>
      <c r="Y391" s="147"/>
      <c r="Z391" s="147"/>
      <c r="AA391" s="147"/>
      <c r="AB391" s="147"/>
      <c r="AC391" s="147"/>
      <c r="AD391" s="147"/>
      <c r="AE391" s="147"/>
      <c r="AF391" s="147"/>
      <c r="AG391" s="147"/>
      <c r="AH391" s="147"/>
      <c r="AI391" s="147"/>
    </row>
    <row r="392">
      <c r="A392" s="167"/>
      <c r="B392" s="169"/>
      <c r="C392" s="170"/>
      <c r="D392" s="170"/>
      <c r="E392" s="170"/>
      <c r="F392" s="170"/>
      <c r="G392" s="171"/>
      <c r="H392" s="171"/>
      <c r="I392" s="172"/>
      <c r="J392" s="172"/>
      <c r="K392" s="172"/>
      <c r="L392" s="172"/>
      <c r="M392" s="147"/>
      <c r="Q392" s="147"/>
      <c r="R392" s="147"/>
      <c r="S392" s="147"/>
      <c r="T392" s="147"/>
      <c r="U392" s="147"/>
      <c r="V392" s="147"/>
      <c r="W392" s="147"/>
      <c r="X392" s="147"/>
      <c r="Y392" s="147"/>
      <c r="Z392" s="147"/>
      <c r="AA392" s="147"/>
      <c r="AB392" s="147"/>
      <c r="AC392" s="147"/>
      <c r="AD392" s="147"/>
      <c r="AE392" s="147"/>
      <c r="AF392" s="147"/>
      <c r="AG392" s="147"/>
      <c r="AH392" s="147"/>
      <c r="AI392" s="147"/>
    </row>
    <row r="393">
      <c r="A393" s="167"/>
      <c r="B393" s="169"/>
      <c r="C393" s="170"/>
      <c r="D393" s="170"/>
      <c r="E393" s="170"/>
      <c r="F393" s="170"/>
      <c r="G393" s="171"/>
      <c r="H393" s="171"/>
      <c r="I393" s="172"/>
      <c r="J393" s="172"/>
      <c r="K393" s="172"/>
      <c r="L393" s="172"/>
      <c r="M393" s="147"/>
      <c r="Q393" s="147"/>
      <c r="R393" s="147"/>
      <c r="S393" s="147"/>
      <c r="T393" s="147"/>
      <c r="U393" s="147"/>
      <c r="V393" s="147"/>
      <c r="W393" s="147"/>
      <c r="X393" s="147"/>
      <c r="Y393" s="147"/>
      <c r="Z393" s="147"/>
      <c r="AA393" s="147"/>
      <c r="AB393" s="147"/>
      <c r="AC393" s="147"/>
      <c r="AD393" s="147"/>
      <c r="AE393" s="147"/>
      <c r="AF393" s="147"/>
      <c r="AG393" s="147"/>
      <c r="AH393" s="147"/>
      <c r="AI393" s="147"/>
    </row>
    <row r="394">
      <c r="A394" s="167"/>
      <c r="B394" s="169"/>
      <c r="C394" s="170"/>
      <c r="D394" s="170"/>
      <c r="E394" s="170"/>
      <c r="F394" s="170"/>
      <c r="G394" s="171"/>
      <c r="H394" s="171"/>
      <c r="I394" s="172"/>
      <c r="J394" s="172"/>
      <c r="K394" s="172"/>
      <c r="L394" s="172"/>
      <c r="M394" s="147"/>
      <c r="Q394" s="147"/>
      <c r="R394" s="147"/>
      <c r="S394" s="147"/>
      <c r="T394" s="147"/>
      <c r="U394" s="147"/>
      <c r="V394" s="147"/>
      <c r="W394" s="147"/>
      <c r="X394" s="147"/>
      <c r="Y394" s="147"/>
      <c r="Z394" s="147"/>
      <c r="AA394" s="147"/>
      <c r="AB394" s="147"/>
      <c r="AC394" s="147"/>
      <c r="AD394" s="147"/>
      <c r="AE394" s="147"/>
      <c r="AF394" s="147"/>
      <c r="AG394" s="147"/>
      <c r="AH394" s="147"/>
      <c r="AI394" s="147"/>
    </row>
    <row r="395">
      <c r="A395" s="167"/>
      <c r="B395" s="169"/>
      <c r="C395" s="170"/>
      <c r="D395" s="170"/>
      <c r="E395" s="170"/>
      <c r="F395" s="170"/>
      <c r="G395" s="171"/>
      <c r="H395" s="171"/>
      <c r="I395" s="172"/>
      <c r="J395" s="172"/>
      <c r="K395" s="172"/>
      <c r="L395" s="172"/>
      <c r="M395" s="147"/>
      <c r="Q395" s="147"/>
      <c r="R395" s="147"/>
      <c r="S395" s="147"/>
      <c r="T395" s="147"/>
      <c r="U395" s="147"/>
      <c r="V395" s="147"/>
      <c r="W395" s="147"/>
      <c r="X395" s="147"/>
      <c r="Y395" s="147"/>
      <c r="Z395" s="147"/>
      <c r="AA395" s="147"/>
      <c r="AB395" s="147"/>
      <c r="AC395" s="147"/>
      <c r="AD395" s="147"/>
      <c r="AE395" s="147"/>
      <c r="AF395" s="147"/>
      <c r="AG395" s="147"/>
      <c r="AH395" s="147"/>
      <c r="AI395" s="147"/>
    </row>
    <row r="396">
      <c r="A396" s="167"/>
      <c r="B396" s="169"/>
      <c r="C396" s="170"/>
      <c r="D396" s="170"/>
      <c r="E396" s="170"/>
      <c r="F396" s="170"/>
      <c r="G396" s="171"/>
      <c r="H396" s="171"/>
      <c r="I396" s="172"/>
      <c r="J396" s="172"/>
      <c r="K396" s="172"/>
      <c r="L396" s="172"/>
      <c r="M396" s="147"/>
      <c r="Q396" s="147"/>
      <c r="R396" s="147"/>
      <c r="S396" s="147"/>
      <c r="T396" s="147"/>
      <c r="U396" s="147"/>
      <c r="V396" s="147"/>
      <c r="W396" s="147"/>
      <c r="X396" s="147"/>
      <c r="Y396" s="147"/>
      <c r="Z396" s="147"/>
      <c r="AA396" s="147"/>
      <c r="AB396" s="147"/>
      <c r="AC396" s="147"/>
      <c r="AD396" s="147"/>
      <c r="AE396" s="147"/>
      <c r="AF396" s="147"/>
      <c r="AG396" s="147"/>
      <c r="AH396" s="147"/>
      <c r="AI396" s="147"/>
    </row>
    <row r="397">
      <c r="A397" s="167"/>
      <c r="B397" s="169"/>
      <c r="C397" s="170"/>
      <c r="D397" s="170"/>
      <c r="E397" s="170"/>
      <c r="F397" s="170"/>
      <c r="G397" s="171"/>
      <c r="H397" s="171"/>
      <c r="I397" s="172"/>
      <c r="J397" s="172"/>
      <c r="K397" s="172"/>
      <c r="L397" s="172"/>
      <c r="M397" s="147"/>
      <c r="Q397" s="147"/>
      <c r="R397" s="147"/>
      <c r="S397" s="147"/>
      <c r="T397" s="147"/>
      <c r="U397" s="147"/>
      <c r="V397" s="147"/>
      <c r="W397" s="147"/>
      <c r="X397" s="147"/>
      <c r="Y397" s="147"/>
      <c r="Z397" s="147"/>
      <c r="AA397" s="147"/>
      <c r="AB397" s="147"/>
      <c r="AC397" s="147"/>
      <c r="AD397" s="147"/>
      <c r="AE397" s="147"/>
      <c r="AF397" s="147"/>
      <c r="AG397" s="147"/>
      <c r="AH397" s="147"/>
      <c r="AI397" s="147"/>
    </row>
    <row r="398">
      <c r="A398" s="167"/>
      <c r="B398" s="169"/>
      <c r="C398" s="170"/>
      <c r="D398" s="170"/>
      <c r="E398" s="170"/>
      <c r="F398" s="170"/>
      <c r="G398" s="171"/>
      <c r="H398" s="171"/>
      <c r="I398" s="172"/>
      <c r="J398" s="172"/>
      <c r="K398" s="172"/>
      <c r="L398" s="172"/>
      <c r="M398" s="147"/>
      <c r="Q398" s="147"/>
      <c r="R398" s="147"/>
      <c r="S398" s="147"/>
      <c r="T398" s="147"/>
      <c r="U398" s="147"/>
      <c r="V398" s="147"/>
      <c r="W398" s="147"/>
      <c r="X398" s="147"/>
      <c r="Y398" s="147"/>
      <c r="Z398" s="147"/>
      <c r="AA398" s="147"/>
      <c r="AB398" s="147"/>
      <c r="AC398" s="147"/>
      <c r="AD398" s="147"/>
      <c r="AE398" s="147"/>
      <c r="AF398" s="147"/>
      <c r="AG398" s="147"/>
      <c r="AH398" s="147"/>
      <c r="AI398" s="147"/>
    </row>
    <row r="399">
      <c r="A399" s="167"/>
      <c r="B399" s="169"/>
      <c r="C399" s="170"/>
      <c r="D399" s="170"/>
      <c r="E399" s="170"/>
      <c r="F399" s="170"/>
      <c r="G399" s="171"/>
      <c r="H399" s="171"/>
      <c r="I399" s="172"/>
      <c r="J399" s="172"/>
      <c r="K399" s="172"/>
      <c r="L399" s="172"/>
      <c r="M399" s="147"/>
      <c r="Q399" s="147"/>
      <c r="R399" s="147"/>
      <c r="S399" s="147"/>
      <c r="T399" s="147"/>
      <c r="U399" s="147"/>
      <c r="V399" s="147"/>
      <c r="W399" s="147"/>
      <c r="X399" s="147"/>
      <c r="Y399" s="147"/>
      <c r="Z399" s="147"/>
      <c r="AA399" s="147"/>
      <c r="AB399" s="147"/>
      <c r="AC399" s="147"/>
      <c r="AD399" s="147"/>
      <c r="AE399" s="147"/>
      <c r="AF399" s="147"/>
      <c r="AG399" s="147"/>
      <c r="AH399" s="147"/>
      <c r="AI399" s="147"/>
    </row>
    <row r="400">
      <c r="A400" s="167"/>
      <c r="B400" s="169"/>
      <c r="C400" s="170"/>
      <c r="D400" s="170"/>
      <c r="E400" s="170"/>
      <c r="F400" s="170"/>
      <c r="G400" s="171"/>
      <c r="H400" s="171"/>
      <c r="I400" s="172"/>
      <c r="J400" s="172"/>
      <c r="K400" s="172"/>
      <c r="L400" s="172"/>
      <c r="M400" s="147"/>
      <c r="Q400" s="147"/>
      <c r="R400" s="147"/>
      <c r="S400" s="147"/>
      <c r="T400" s="147"/>
      <c r="U400" s="147"/>
      <c r="V400" s="147"/>
      <c r="W400" s="147"/>
      <c r="X400" s="147"/>
      <c r="Y400" s="147"/>
      <c r="Z400" s="147"/>
      <c r="AA400" s="147"/>
      <c r="AB400" s="147"/>
      <c r="AC400" s="147"/>
      <c r="AD400" s="147"/>
      <c r="AE400" s="147"/>
      <c r="AF400" s="147"/>
      <c r="AG400" s="147"/>
      <c r="AH400" s="147"/>
      <c r="AI400" s="147"/>
    </row>
    <row r="401">
      <c r="A401" s="167"/>
      <c r="B401" s="169"/>
      <c r="C401" s="170"/>
      <c r="D401" s="170"/>
      <c r="E401" s="170"/>
      <c r="F401" s="170"/>
      <c r="G401" s="171"/>
      <c r="H401" s="171"/>
      <c r="I401" s="172"/>
      <c r="J401" s="172"/>
      <c r="K401" s="172"/>
      <c r="L401" s="172"/>
      <c r="M401" s="147"/>
      <c r="Q401" s="147"/>
      <c r="R401" s="147"/>
      <c r="S401" s="147"/>
      <c r="T401" s="147"/>
      <c r="U401" s="147"/>
      <c r="V401" s="147"/>
      <c r="W401" s="147"/>
      <c r="X401" s="147"/>
      <c r="Y401" s="147"/>
      <c r="Z401" s="147"/>
      <c r="AA401" s="147"/>
      <c r="AB401" s="147"/>
      <c r="AC401" s="147"/>
      <c r="AD401" s="147"/>
      <c r="AE401" s="147"/>
      <c r="AF401" s="147"/>
      <c r="AG401" s="147"/>
      <c r="AH401" s="147"/>
      <c r="AI401" s="147"/>
    </row>
    <row r="402">
      <c r="A402" s="167"/>
      <c r="B402" s="169"/>
      <c r="C402" s="170"/>
      <c r="D402" s="170"/>
      <c r="E402" s="170"/>
      <c r="F402" s="170"/>
      <c r="G402" s="171"/>
      <c r="H402" s="171"/>
      <c r="I402" s="172"/>
      <c r="J402" s="172"/>
      <c r="K402" s="172"/>
      <c r="L402" s="172"/>
      <c r="M402" s="147"/>
      <c r="Q402" s="147"/>
      <c r="R402" s="147"/>
      <c r="S402" s="147"/>
      <c r="T402" s="147"/>
      <c r="U402" s="147"/>
      <c r="V402" s="147"/>
      <c r="W402" s="147"/>
      <c r="X402" s="147"/>
      <c r="Y402" s="147"/>
      <c r="Z402" s="147"/>
      <c r="AA402" s="147"/>
      <c r="AB402" s="147"/>
      <c r="AC402" s="147"/>
      <c r="AD402" s="147"/>
      <c r="AE402" s="147"/>
      <c r="AF402" s="147"/>
      <c r="AG402" s="147"/>
      <c r="AH402" s="147"/>
      <c r="AI402" s="147"/>
    </row>
    <row r="403">
      <c r="A403" s="167"/>
      <c r="B403" s="169"/>
      <c r="C403" s="170"/>
      <c r="D403" s="170"/>
      <c r="E403" s="170"/>
      <c r="F403" s="170"/>
      <c r="G403" s="171"/>
      <c r="H403" s="171"/>
      <c r="I403" s="172"/>
      <c r="J403" s="172"/>
      <c r="K403" s="172"/>
      <c r="L403" s="172"/>
      <c r="M403" s="147"/>
      <c r="Q403" s="147"/>
      <c r="R403" s="147"/>
      <c r="S403" s="147"/>
      <c r="T403" s="147"/>
      <c r="U403" s="147"/>
      <c r="V403" s="147"/>
      <c r="W403" s="147"/>
      <c r="X403" s="147"/>
      <c r="Y403" s="147"/>
      <c r="Z403" s="147"/>
      <c r="AA403" s="147"/>
      <c r="AB403" s="147"/>
      <c r="AC403" s="147"/>
      <c r="AD403" s="147"/>
      <c r="AE403" s="147"/>
      <c r="AF403" s="147"/>
      <c r="AG403" s="147"/>
      <c r="AH403" s="147"/>
      <c r="AI403" s="147"/>
    </row>
    <row r="404">
      <c r="A404" s="167"/>
      <c r="B404" s="169"/>
      <c r="C404" s="170"/>
      <c r="D404" s="170"/>
      <c r="E404" s="170"/>
      <c r="F404" s="170"/>
      <c r="G404" s="171"/>
      <c r="H404" s="171"/>
      <c r="I404" s="172"/>
      <c r="J404" s="172"/>
      <c r="K404" s="172"/>
      <c r="L404" s="172"/>
      <c r="M404" s="147"/>
      <c r="Q404" s="147"/>
      <c r="R404" s="147"/>
      <c r="S404" s="147"/>
      <c r="T404" s="147"/>
      <c r="U404" s="147"/>
      <c r="V404" s="147"/>
      <c r="W404" s="147"/>
      <c r="X404" s="147"/>
      <c r="Y404" s="147"/>
      <c r="Z404" s="147"/>
      <c r="AA404" s="147"/>
      <c r="AB404" s="147"/>
      <c r="AC404" s="147"/>
      <c r="AD404" s="147"/>
      <c r="AE404" s="147"/>
      <c r="AF404" s="147"/>
      <c r="AG404" s="147"/>
      <c r="AH404" s="147"/>
      <c r="AI404" s="147"/>
    </row>
    <row r="405">
      <c r="A405" s="167"/>
      <c r="B405" s="169"/>
      <c r="C405" s="170"/>
      <c r="D405" s="170"/>
      <c r="E405" s="170"/>
      <c r="F405" s="170"/>
      <c r="G405" s="171"/>
      <c r="H405" s="171"/>
      <c r="I405" s="172"/>
      <c r="J405" s="172"/>
      <c r="K405" s="172"/>
      <c r="L405" s="172"/>
      <c r="M405" s="147"/>
      <c r="Q405" s="147"/>
      <c r="R405" s="147"/>
      <c r="S405" s="147"/>
      <c r="T405" s="147"/>
      <c r="U405" s="147"/>
      <c r="V405" s="147"/>
      <c r="W405" s="147"/>
      <c r="X405" s="147"/>
      <c r="Y405" s="147"/>
      <c r="Z405" s="147"/>
      <c r="AA405" s="147"/>
      <c r="AB405" s="147"/>
      <c r="AC405" s="147"/>
      <c r="AD405" s="147"/>
      <c r="AE405" s="147"/>
      <c r="AF405" s="147"/>
      <c r="AG405" s="147"/>
      <c r="AH405" s="147"/>
      <c r="AI405" s="147"/>
    </row>
    <row r="406">
      <c r="A406" s="167"/>
      <c r="B406" s="169"/>
      <c r="C406" s="170"/>
      <c r="D406" s="170"/>
      <c r="E406" s="170"/>
      <c r="F406" s="170"/>
      <c r="G406" s="171"/>
      <c r="H406" s="171"/>
      <c r="I406" s="172"/>
      <c r="J406" s="172"/>
      <c r="K406" s="172"/>
      <c r="L406" s="172"/>
      <c r="M406" s="147"/>
      <c r="Q406" s="147"/>
      <c r="R406" s="147"/>
      <c r="S406" s="147"/>
      <c r="T406" s="147"/>
      <c r="U406" s="147"/>
      <c r="V406" s="147"/>
      <c r="W406" s="147"/>
      <c r="X406" s="147"/>
      <c r="Y406" s="147"/>
      <c r="Z406" s="147"/>
      <c r="AA406" s="147"/>
      <c r="AB406" s="147"/>
      <c r="AC406" s="147"/>
      <c r="AD406" s="147"/>
      <c r="AE406" s="147"/>
      <c r="AF406" s="147"/>
      <c r="AG406" s="147"/>
      <c r="AH406" s="147"/>
      <c r="AI406" s="147"/>
    </row>
    <row r="407">
      <c r="A407" s="167"/>
      <c r="B407" s="169"/>
      <c r="C407" s="170"/>
      <c r="D407" s="170"/>
      <c r="E407" s="170"/>
      <c r="F407" s="170"/>
      <c r="G407" s="171"/>
      <c r="H407" s="171"/>
      <c r="I407" s="172"/>
      <c r="J407" s="172"/>
      <c r="K407" s="172"/>
      <c r="L407" s="172"/>
      <c r="M407" s="147"/>
      <c r="Q407" s="147"/>
      <c r="R407" s="147"/>
      <c r="S407" s="147"/>
      <c r="T407" s="147"/>
      <c r="U407" s="147"/>
      <c r="V407" s="147"/>
      <c r="W407" s="147"/>
      <c r="X407" s="147"/>
      <c r="Y407" s="147"/>
      <c r="Z407" s="147"/>
      <c r="AA407" s="147"/>
      <c r="AB407" s="147"/>
      <c r="AC407" s="147"/>
      <c r="AD407" s="147"/>
      <c r="AE407" s="147"/>
      <c r="AF407" s="147"/>
      <c r="AG407" s="147"/>
      <c r="AH407" s="147"/>
      <c r="AI407" s="147"/>
    </row>
    <row r="408">
      <c r="A408" s="167"/>
      <c r="B408" s="169"/>
      <c r="C408" s="170"/>
      <c r="D408" s="170"/>
      <c r="E408" s="170"/>
      <c r="F408" s="170"/>
      <c r="G408" s="171"/>
      <c r="H408" s="171"/>
      <c r="I408" s="172"/>
      <c r="J408" s="172"/>
      <c r="K408" s="172"/>
      <c r="L408" s="172"/>
      <c r="M408" s="147"/>
      <c r="Q408" s="147"/>
      <c r="R408" s="147"/>
      <c r="S408" s="147"/>
      <c r="T408" s="147"/>
      <c r="U408" s="147"/>
      <c r="V408" s="147"/>
      <c r="W408" s="147"/>
      <c r="X408" s="147"/>
      <c r="Y408" s="147"/>
      <c r="Z408" s="147"/>
      <c r="AA408" s="147"/>
      <c r="AB408" s="147"/>
      <c r="AC408" s="147"/>
      <c r="AD408" s="147"/>
      <c r="AE408" s="147"/>
      <c r="AF408" s="147"/>
      <c r="AG408" s="147"/>
      <c r="AH408" s="147"/>
      <c r="AI408" s="147"/>
    </row>
    <row r="409">
      <c r="A409" s="167"/>
      <c r="B409" s="169"/>
      <c r="C409" s="170"/>
      <c r="D409" s="170"/>
      <c r="E409" s="170"/>
      <c r="F409" s="170"/>
      <c r="G409" s="171"/>
      <c r="H409" s="171"/>
      <c r="I409" s="172"/>
      <c r="J409" s="172"/>
      <c r="K409" s="172"/>
      <c r="L409" s="172"/>
      <c r="M409" s="147"/>
      <c r="Q409" s="147"/>
      <c r="R409" s="147"/>
      <c r="S409" s="147"/>
      <c r="T409" s="147"/>
      <c r="U409" s="147"/>
      <c r="V409" s="147"/>
      <c r="W409" s="147"/>
      <c r="X409" s="147"/>
      <c r="Y409" s="147"/>
      <c r="Z409" s="147"/>
      <c r="AA409" s="147"/>
      <c r="AB409" s="147"/>
      <c r="AC409" s="147"/>
      <c r="AD409" s="147"/>
      <c r="AE409" s="147"/>
      <c r="AF409" s="147"/>
      <c r="AG409" s="147"/>
      <c r="AH409" s="147"/>
      <c r="AI409" s="147"/>
    </row>
    <row r="410">
      <c r="A410" s="167"/>
      <c r="B410" s="169"/>
      <c r="C410" s="170"/>
      <c r="D410" s="170"/>
      <c r="E410" s="170"/>
      <c r="F410" s="170"/>
      <c r="G410" s="171"/>
      <c r="H410" s="171"/>
      <c r="I410" s="172"/>
      <c r="J410" s="172"/>
      <c r="K410" s="172"/>
      <c r="L410" s="172"/>
      <c r="M410" s="147"/>
      <c r="Q410" s="147"/>
      <c r="R410" s="147"/>
      <c r="S410" s="147"/>
      <c r="T410" s="147"/>
      <c r="U410" s="147"/>
      <c r="V410" s="147"/>
      <c r="W410" s="147"/>
      <c r="X410" s="147"/>
      <c r="Y410" s="147"/>
      <c r="Z410" s="147"/>
      <c r="AA410" s="147"/>
      <c r="AB410" s="147"/>
      <c r="AC410" s="147"/>
      <c r="AD410" s="147"/>
      <c r="AE410" s="147"/>
      <c r="AF410" s="147"/>
      <c r="AG410" s="147"/>
      <c r="AH410" s="147"/>
      <c r="AI410" s="147"/>
    </row>
    <row r="411">
      <c r="A411" s="167"/>
      <c r="B411" s="169"/>
      <c r="C411" s="170"/>
      <c r="D411" s="170"/>
      <c r="E411" s="170"/>
      <c r="F411" s="170"/>
      <c r="G411" s="171"/>
      <c r="H411" s="171"/>
      <c r="I411" s="172"/>
      <c r="J411" s="172"/>
      <c r="K411" s="172"/>
      <c r="L411" s="172"/>
      <c r="M411" s="147"/>
      <c r="Q411" s="147"/>
      <c r="R411" s="147"/>
      <c r="S411" s="147"/>
      <c r="T411" s="147"/>
      <c r="U411" s="147"/>
      <c r="V411" s="147"/>
      <c r="W411" s="147"/>
      <c r="X411" s="147"/>
      <c r="Y411" s="147"/>
      <c r="Z411" s="147"/>
      <c r="AA411" s="147"/>
      <c r="AB411" s="147"/>
      <c r="AC411" s="147"/>
      <c r="AD411" s="147"/>
      <c r="AE411" s="147"/>
      <c r="AF411" s="147"/>
      <c r="AG411" s="147"/>
      <c r="AH411" s="147"/>
      <c r="AI411" s="147"/>
    </row>
    <row r="412">
      <c r="A412" s="167"/>
      <c r="B412" s="169"/>
      <c r="C412" s="170"/>
      <c r="D412" s="170"/>
      <c r="E412" s="170"/>
      <c r="F412" s="170"/>
      <c r="G412" s="171"/>
      <c r="H412" s="171"/>
      <c r="I412" s="172"/>
      <c r="J412" s="172"/>
      <c r="K412" s="172"/>
      <c r="L412" s="172"/>
      <c r="M412" s="147"/>
      <c r="Q412" s="147"/>
      <c r="R412" s="147"/>
      <c r="S412" s="147"/>
      <c r="T412" s="147"/>
      <c r="U412" s="147"/>
      <c r="V412" s="147"/>
      <c r="W412" s="147"/>
      <c r="X412" s="147"/>
      <c r="Y412" s="147"/>
      <c r="Z412" s="147"/>
      <c r="AA412" s="147"/>
      <c r="AB412" s="147"/>
      <c r="AC412" s="147"/>
      <c r="AD412" s="147"/>
      <c r="AE412" s="147"/>
      <c r="AF412" s="147"/>
      <c r="AG412" s="147"/>
      <c r="AH412" s="147"/>
      <c r="AI412" s="147"/>
    </row>
    <row r="413">
      <c r="A413" s="167"/>
      <c r="B413" s="169"/>
      <c r="C413" s="170"/>
      <c r="D413" s="170"/>
      <c r="E413" s="170"/>
      <c r="F413" s="170"/>
      <c r="G413" s="171"/>
      <c r="H413" s="171"/>
      <c r="I413" s="172"/>
      <c r="J413" s="172"/>
      <c r="K413" s="172"/>
      <c r="L413" s="172"/>
      <c r="M413" s="147"/>
      <c r="Q413" s="147"/>
      <c r="R413" s="147"/>
      <c r="S413" s="147"/>
      <c r="T413" s="147"/>
      <c r="U413" s="147"/>
      <c r="V413" s="147"/>
      <c r="W413" s="147"/>
      <c r="X413" s="147"/>
      <c r="Y413" s="147"/>
      <c r="Z413" s="147"/>
      <c r="AA413" s="147"/>
      <c r="AB413" s="147"/>
      <c r="AC413" s="147"/>
      <c r="AD413" s="147"/>
      <c r="AE413" s="147"/>
      <c r="AF413" s="147"/>
      <c r="AG413" s="147"/>
      <c r="AH413" s="147"/>
      <c r="AI413" s="147"/>
    </row>
    <row r="414">
      <c r="A414" s="167"/>
      <c r="B414" s="169"/>
      <c r="C414" s="170"/>
      <c r="D414" s="170"/>
      <c r="E414" s="170"/>
      <c r="F414" s="170"/>
      <c r="G414" s="171"/>
      <c r="H414" s="171"/>
      <c r="I414" s="172"/>
      <c r="J414" s="172"/>
      <c r="K414" s="172"/>
      <c r="L414" s="172"/>
      <c r="M414" s="147"/>
      <c r="Q414" s="147"/>
      <c r="R414" s="147"/>
      <c r="S414" s="147"/>
      <c r="T414" s="147"/>
      <c r="U414" s="147"/>
      <c r="V414" s="147"/>
      <c r="W414" s="147"/>
      <c r="X414" s="147"/>
      <c r="Y414" s="147"/>
      <c r="Z414" s="147"/>
      <c r="AA414" s="147"/>
      <c r="AB414" s="147"/>
      <c r="AC414" s="147"/>
      <c r="AD414" s="147"/>
      <c r="AE414" s="147"/>
      <c r="AF414" s="147"/>
      <c r="AG414" s="147"/>
      <c r="AH414" s="147"/>
      <c r="AI414" s="147"/>
    </row>
    <row r="415">
      <c r="A415" s="167"/>
      <c r="B415" s="169"/>
      <c r="C415" s="170"/>
      <c r="D415" s="170"/>
      <c r="E415" s="170"/>
      <c r="F415" s="170"/>
      <c r="G415" s="171"/>
      <c r="H415" s="171"/>
      <c r="I415" s="172"/>
      <c r="J415" s="172"/>
      <c r="K415" s="172"/>
      <c r="L415" s="172"/>
      <c r="M415" s="147"/>
      <c r="Q415" s="147"/>
      <c r="R415" s="147"/>
      <c r="S415" s="147"/>
      <c r="T415" s="147"/>
      <c r="U415" s="147"/>
      <c r="V415" s="147"/>
      <c r="W415" s="147"/>
      <c r="X415" s="147"/>
      <c r="Y415" s="147"/>
      <c r="Z415" s="147"/>
      <c r="AA415" s="147"/>
      <c r="AB415" s="147"/>
      <c r="AC415" s="147"/>
      <c r="AD415" s="147"/>
      <c r="AE415" s="147"/>
      <c r="AF415" s="147"/>
      <c r="AG415" s="147"/>
      <c r="AH415" s="147"/>
      <c r="AI415" s="147"/>
    </row>
    <row r="416">
      <c r="A416" s="167"/>
      <c r="B416" s="169"/>
      <c r="C416" s="170"/>
      <c r="D416" s="170"/>
      <c r="E416" s="170"/>
      <c r="F416" s="170"/>
      <c r="G416" s="171"/>
      <c r="H416" s="171"/>
      <c r="I416" s="172"/>
      <c r="J416" s="172"/>
      <c r="K416" s="172"/>
      <c r="L416" s="172"/>
      <c r="M416" s="147"/>
      <c r="Q416" s="147"/>
      <c r="R416" s="147"/>
      <c r="S416" s="147"/>
      <c r="T416" s="147"/>
      <c r="U416" s="147"/>
      <c r="V416" s="147"/>
      <c r="W416" s="147"/>
      <c r="X416" s="147"/>
      <c r="Y416" s="147"/>
      <c r="Z416" s="147"/>
      <c r="AA416" s="147"/>
      <c r="AB416" s="147"/>
      <c r="AC416" s="147"/>
      <c r="AD416" s="147"/>
      <c r="AE416" s="147"/>
      <c r="AF416" s="147"/>
      <c r="AG416" s="147"/>
      <c r="AH416" s="147"/>
      <c r="AI416" s="147"/>
    </row>
    <row r="417">
      <c r="A417" s="167"/>
      <c r="B417" s="169"/>
      <c r="C417" s="170"/>
      <c r="D417" s="170"/>
      <c r="E417" s="170"/>
      <c r="F417" s="170"/>
      <c r="G417" s="171"/>
      <c r="H417" s="171"/>
      <c r="I417" s="172"/>
      <c r="J417" s="172"/>
      <c r="K417" s="172"/>
      <c r="L417" s="172"/>
      <c r="M417" s="147"/>
      <c r="Q417" s="147"/>
      <c r="R417" s="147"/>
      <c r="S417" s="147"/>
      <c r="T417" s="147"/>
      <c r="U417" s="147"/>
      <c r="V417" s="147"/>
      <c r="W417" s="147"/>
      <c r="X417" s="147"/>
      <c r="Y417" s="147"/>
      <c r="Z417" s="147"/>
      <c r="AA417" s="147"/>
      <c r="AB417" s="147"/>
      <c r="AC417" s="147"/>
      <c r="AD417" s="147"/>
      <c r="AE417" s="147"/>
      <c r="AF417" s="147"/>
      <c r="AG417" s="147"/>
      <c r="AH417" s="147"/>
      <c r="AI417" s="147"/>
    </row>
    <row r="418">
      <c r="A418" s="167"/>
      <c r="B418" s="169"/>
      <c r="C418" s="170"/>
      <c r="D418" s="170"/>
      <c r="E418" s="170"/>
      <c r="F418" s="170"/>
      <c r="G418" s="171"/>
      <c r="H418" s="171"/>
      <c r="I418" s="172"/>
      <c r="J418" s="172"/>
      <c r="K418" s="172"/>
      <c r="L418" s="172"/>
      <c r="M418" s="147"/>
      <c r="Q418" s="147"/>
      <c r="R418" s="147"/>
      <c r="S418" s="147"/>
      <c r="T418" s="147"/>
      <c r="U418" s="147"/>
      <c r="V418" s="147"/>
      <c r="W418" s="147"/>
      <c r="X418" s="147"/>
      <c r="Y418" s="147"/>
      <c r="Z418" s="147"/>
      <c r="AA418" s="147"/>
      <c r="AB418" s="147"/>
      <c r="AC418" s="147"/>
      <c r="AD418" s="147"/>
      <c r="AE418" s="147"/>
      <c r="AF418" s="147"/>
      <c r="AG418" s="147"/>
      <c r="AH418" s="147"/>
      <c r="AI418" s="147"/>
    </row>
    <row r="419">
      <c r="A419" s="167"/>
      <c r="B419" s="169"/>
      <c r="C419" s="170"/>
      <c r="D419" s="170"/>
      <c r="E419" s="170"/>
      <c r="F419" s="170"/>
      <c r="G419" s="171"/>
      <c r="H419" s="171"/>
      <c r="I419" s="172"/>
      <c r="J419" s="172"/>
      <c r="K419" s="172"/>
      <c r="L419" s="172"/>
      <c r="M419" s="147"/>
      <c r="Q419" s="147"/>
      <c r="R419" s="147"/>
      <c r="S419" s="147"/>
      <c r="T419" s="147"/>
      <c r="U419" s="147"/>
      <c r="V419" s="147"/>
      <c r="W419" s="147"/>
      <c r="X419" s="147"/>
      <c r="Y419" s="147"/>
      <c r="Z419" s="147"/>
      <c r="AA419" s="147"/>
      <c r="AB419" s="147"/>
      <c r="AC419" s="147"/>
      <c r="AD419" s="147"/>
      <c r="AE419" s="147"/>
      <c r="AF419" s="147"/>
      <c r="AG419" s="147"/>
      <c r="AH419" s="147"/>
      <c r="AI419" s="147"/>
    </row>
    <row r="420">
      <c r="A420" s="167"/>
      <c r="B420" s="169"/>
      <c r="C420" s="170"/>
      <c r="D420" s="170"/>
      <c r="E420" s="170"/>
      <c r="F420" s="170"/>
      <c r="G420" s="171"/>
      <c r="H420" s="171"/>
      <c r="I420" s="172"/>
      <c r="J420" s="172"/>
      <c r="K420" s="172"/>
      <c r="L420" s="172"/>
      <c r="M420" s="147"/>
      <c r="Q420" s="147"/>
      <c r="R420" s="147"/>
      <c r="S420" s="147"/>
      <c r="T420" s="147"/>
      <c r="U420" s="147"/>
      <c r="V420" s="147"/>
      <c r="W420" s="147"/>
      <c r="X420" s="147"/>
      <c r="Y420" s="147"/>
      <c r="Z420" s="147"/>
      <c r="AA420" s="147"/>
      <c r="AB420" s="147"/>
      <c r="AC420" s="147"/>
      <c r="AD420" s="147"/>
      <c r="AE420" s="147"/>
      <c r="AF420" s="147"/>
      <c r="AG420" s="147"/>
      <c r="AH420" s="147"/>
      <c r="AI420" s="147"/>
    </row>
    <row r="421">
      <c r="A421" s="167"/>
      <c r="B421" s="169"/>
      <c r="C421" s="170"/>
      <c r="D421" s="170"/>
      <c r="E421" s="170"/>
      <c r="F421" s="170"/>
      <c r="G421" s="171"/>
      <c r="H421" s="171"/>
      <c r="I421" s="172"/>
      <c r="J421" s="172"/>
      <c r="K421" s="172"/>
      <c r="L421" s="172"/>
      <c r="M421" s="147"/>
      <c r="Q421" s="147"/>
      <c r="R421" s="147"/>
      <c r="S421" s="147"/>
      <c r="T421" s="147"/>
      <c r="U421" s="147"/>
      <c r="V421" s="147"/>
      <c r="W421" s="147"/>
      <c r="X421" s="147"/>
      <c r="Y421" s="147"/>
      <c r="Z421" s="147"/>
      <c r="AA421" s="147"/>
      <c r="AB421" s="147"/>
      <c r="AC421" s="147"/>
      <c r="AD421" s="147"/>
      <c r="AE421" s="147"/>
      <c r="AF421" s="147"/>
      <c r="AG421" s="147"/>
      <c r="AH421" s="147"/>
      <c r="AI421" s="147"/>
    </row>
    <row r="422">
      <c r="A422" s="167"/>
      <c r="B422" s="169"/>
      <c r="C422" s="170"/>
      <c r="D422" s="170"/>
      <c r="E422" s="170"/>
      <c r="F422" s="170"/>
      <c r="G422" s="171"/>
      <c r="H422" s="171"/>
      <c r="I422" s="172"/>
      <c r="J422" s="172"/>
      <c r="K422" s="172"/>
      <c r="L422" s="172"/>
      <c r="M422" s="147"/>
      <c r="Q422" s="147"/>
      <c r="R422" s="147"/>
      <c r="S422" s="147"/>
      <c r="T422" s="147"/>
      <c r="U422" s="147"/>
      <c r="V422" s="147"/>
      <c r="W422" s="147"/>
      <c r="X422" s="147"/>
      <c r="Y422" s="147"/>
      <c r="Z422" s="147"/>
      <c r="AA422" s="147"/>
      <c r="AB422" s="147"/>
      <c r="AC422" s="147"/>
      <c r="AD422" s="147"/>
      <c r="AE422" s="147"/>
      <c r="AF422" s="147"/>
      <c r="AG422" s="147"/>
      <c r="AH422" s="147"/>
      <c r="AI422" s="147"/>
    </row>
    <row r="423">
      <c r="A423" s="167"/>
      <c r="B423" s="169"/>
      <c r="C423" s="170"/>
      <c r="D423" s="170"/>
      <c r="E423" s="170"/>
      <c r="F423" s="170"/>
      <c r="G423" s="171"/>
      <c r="H423" s="171"/>
      <c r="I423" s="172"/>
      <c r="J423" s="172"/>
      <c r="K423" s="172"/>
      <c r="L423" s="172"/>
      <c r="M423" s="147"/>
      <c r="Q423" s="147"/>
      <c r="R423" s="147"/>
      <c r="S423" s="147"/>
      <c r="T423" s="147"/>
      <c r="U423" s="147"/>
      <c r="V423" s="147"/>
      <c r="W423" s="147"/>
      <c r="X423" s="147"/>
      <c r="Y423" s="147"/>
      <c r="Z423" s="147"/>
      <c r="AA423" s="147"/>
      <c r="AB423" s="147"/>
      <c r="AC423" s="147"/>
      <c r="AD423" s="147"/>
      <c r="AE423" s="147"/>
      <c r="AF423" s="147"/>
      <c r="AG423" s="147"/>
      <c r="AH423" s="147"/>
      <c r="AI423" s="147"/>
    </row>
    <row r="424">
      <c r="A424" s="167"/>
      <c r="B424" s="169"/>
      <c r="C424" s="170"/>
      <c r="D424" s="170"/>
      <c r="E424" s="170"/>
      <c r="F424" s="170"/>
      <c r="G424" s="171"/>
      <c r="H424" s="171"/>
      <c r="I424" s="172"/>
      <c r="J424" s="172"/>
      <c r="K424" s="172"/>
      <c r="L424" s="172"/>
      <c r="M424" s="147"/>
      <c r="Q424" s="147"/>
      <c r="R424" s="147"/>
      <c r="S424" s="147"/>
      <c r="T424" s="147"/>
      <c r="U424" s="147"/>
      <c r="V424" s="147"/>
      <c r="W424" s="147"/>
      <c r="X424" s="147"/>
      <c r="Y424" s="147"/>
      <c r="Z424" s="147"/>
      <c r="AA424" s="147"/>
      <c r="AB424" s="147"/>
      <c r="AC424" s="147"/>
      <c r="AD424" s="147"/>
      <c r="AE424" s="147"/>
      <c r="AF424" s="147"/>
      <c r="AG424" s="147"/>
      <c r="AH424" s="147"/>
      <c r="AI424" s="147"/>
    </row>
    <row r="425">
      <c r="A425" s="167"/>
      <c r="B425" s="169"/>
      <c r="C425" s="170"/>
      <c r="D425" s="170"/>
      <c r="E425" s="170"/>
      <c r="F425" s="170"/>
      <c r="G425" s="171"/>
      <c r="H425" s="171"/>
      <c r="I425" s="172"/>
      <c r="J425" s="172"/>
      <c r="K425" s="172"/>
      <c r="L425" s="172"/>
      <c r="M425" s="147"/>
      <c r="Q425" s="147"/>
      <c r="R425" s="147"/>
      <c r="S425" s="147"/>
      <c r="T425" s="147"/>
      <c r="U425" s="147"/>
      <c r="V425" s="147"/>
      <c r="W425" s="147"/>
      <c r="X425" s="147"/>
      <c r="Y425" s="147"/>
      <c r="Z425" s="147"/>
      <c r="AA425" s="147"/>
      <c r="AB425" s="147"/>
      <c r="AC425" s="147"/>
      <c r="AD425" s="147"/>
      <c r="AE425" s="147"/>
      <c r="AF425" s="147"/>
      <c r="AG425" s="147"/>
      <c r="AH425" s="147"/>
      <c r="AI425" s="147"/>
    </row>
    <row r="426">
      <c r="A426" s="167"/>
      <c r="B426" s="169"/>
      <c r="C426" s="170"/>
      <c r="D426" s="170"/>
      <c r="E426" s="170"/>
      <c r="F426" s="170"/>
      <c r="G426" s="171"/>
      <c r="H426" s="171"/>
      <c r="I426" s="172"/>
      <c r="J426" s="172"/>
      <c r="K426" s="172"/>
      <c r="L426" s="172"/>
      <c r="M426" s="147"/>
      <c r="Q426" s="147"/>
      <c r="R426" s="147"/>
      <c r="S426" s="147"/>
      <c r="T426" s="147"/>
      <c r="U426" s="147"/>
      <c r="V426" s="147"/>
      <c r="W426" s="147"/>
      <c r="X426" s="147"/>
      <c r="Y426" s="147"/>
      <c r="Z426" s="147"/>
      <c r="AA426" s="147"/>
      <c r="AB426" s="147"/>
      <c r="AC426" s="147"/>
      <c r="AD426" s="147"/>
      <c r="AE426" s="147"/>
      <c r="AF426" s="147"/>
      <c r="AG426" s="147"/>
      <c r="AH426" s="147"/>
      <c r="AI426" s="147"/>
    </row>
    <row r="427">
      <c r="A427" s="167"/>
      <c r="B427" s="169"/>
      <c r="C427" s="170"/>
      <c r="D427" s="170"/>
      <c r="E427" s="170"/>
      <c r="F427" s="170"/>
      <c r="G427" s="171"/>
      <c r="H427" s="171"/>
      <c r="I427" s="172"/>
      <c r="J427" s="172"/>
      <c r="K427" s="172"/>
      <c r="L427" s="172"/>
      <c r="M427" s="147"/>
      <c r="Q427" s="147"/>
      <c r="R427" s="147"/>
      <c r="S427" s="147"/>
      <c r="T427" s="147"/>
      <c r="U427" s="147"/>
      <c r="V427" s="147"/>
      <c r="W427" s="147"/>
      <c r="X427" s="147"/>
      <c r="Y427" s="147"/>
      <c r="Z427" s="147"/>
      <c r="AA427" s="147"/>
      <c r="AB427" s="147"/>
      <c r="AC427" s="147"/>
      <c r="AD427" s="147"/>
      <c r="AE427" s="147"/>
      <c r="AF427" s="147"/>
      <c r="AG427" s="147"/>
      <c r="AH427" s="147"/>
      <c r="AI427" s="147"/>
    </row>
    <row r="428">
      <c r="A428" s="167"/>
      <c r="B428" s="169"/>
      <c r="C428" s="170"/>
      <c r="D428" s="170"/>
      <c r="E428" s="170"/>
      <c r="F428" s="170"/>
      <c r="G428" s="171"/>
      <c r="H428" s="171"/>
      <c r="I428" s="172"/>
      <c r="J428" s="172"/>
      <c r="K428" s="172"/>
      <c r="L428" s="172"/>
      <c r="M428" s="147"/>
      <c r="Q428" s="147"/>
      <c r="R428" s="147"/>
      <c r="S428" s="147"/>
      <c r="T428" s="147"/>
      <c r="U428" s="147"/>
      <c r="V428" s="147"/>
      <c r="W428" s="147"/>
      <c r="X428" s="147"/>
      <c r="Y428" s="147"/>
      <c r="Z428" s="147"/>
      <c r="AA428" s="147"/>
      <c r="AB428" s="147"/>
      <c r="AC428" s="147"/>
      <c r="AD428" s="147"/>
      <c r="AE428" s="147"/>
      <c r="AF428" s="147"/>
      <c r="AG428" s="147"/>
      <c r="AH428" s="147"/>
      <c r="AI428" s="147"/>
    </row>
    <row r="429">
      <c r="A429" s="167"/>
      <c r="B429" s="169"/>
      <c r="C429" s="170"/>
      <c r="D429" s="170"/>
      <c r="E429" s="170"/>
      <c r="F429" s="170"/>
      <c r="G429" s="171"/>
      <c r="H429" s="171"/>
      <c r="I429" s="172"/>
      <c r="J429" s="172"/>
      <c r="K429" s="172"/>
      <c r="L429" s="172"/>
      <c r="M429" s="147"/>
      <c r="Q429" s="147"/>
      <c r="R429" s="147"/>
      <c r="S429" s="147"/>
      <c r="T429" s="147"/>
      <c r="U429" s="147"/>
      <c r="V429" s="147"/>
      <c r="W429" s="147"/>
      <c r="X429" s="147"/>
      <c r="Y429" s="147"/>
      <c r="Z429" s="147"/>
      <c r="AA429" s="147"/>
      <c r="AB429" s="147"/>
      <c r="AC429" s="147"/>
      <c r="AD429" s="147"/>
      <c r="AE429" s="147"/>
      <c r="AF429" s="147"/>
      <c r="AG429" s="147"/>
      <c r="AH429" s="147"/>
      <c r="AI429" s="147"/>
    </row>
    <row r="430">
      <c r="A430" s="167"/>
      <c r="B430" s="169"/>
      <c r="C430" s="170"/>
      <c r="D430" s="170"/>
      <c r="E430" s="170"/>
      <c r="F430" s="170"/>
      <c r="G430" s="171"/>
      <c r="H430" s="171"/>
      <c r="I430" s="172"/>
      <c r="J430" s="172"/>
      <c r="K430" s="172"/>
      <c r="L430" s="172"/>
      <c r="M430" s="147"/>
      <c r="Q430" s="147"/>
      <c r="R430" s="147"/>
      <c r="S430" s="147"/>
      <c r="T430" s="147"/>
      <c r="U430" s="147"/>
      <c r="V430" s="147"/>
      <c r="W430" s="147"/>
      <c r="X430" s="147"/>
      <c r="Y430" s="147"/>
      <c r="Z430" s="147"/>
      <c r="AA430" s="147"/>
      <c r="AB430" s="147"/>
      <c r="AC430" s="147"/>
      <c r="AD430" s="147"/>
      <c r="AE430" s="147"/>
      <c r="AF430" s="147"/>
      <c r="AG430" s="147"/>
      <c r="AH430" s="147"/>
      <c r="AI430" s="147"/>
    </row>
    <row r="431">
      <c r="A431" s="167"/>
      <c r="B431" s="169"/>
      <c r="C431" s="170"/>
      <c r="D431" s="170"/>
      <c r="E431" s="170"/>
      <c r="F431" s="170"/>
      <c r="G431" s="171"/>
      <c r="H431" s="171"/>
      <c r="I431" s="172"/>
      <c r="J431" s="172"/>
      <c r="K431" s="172"/>
      <c r="L431" s="172"/>
      <c r="M431" s="147"/>
      <c r="Q431" s="147"/>
      <c r="R431" s="147"/>
      <c r="S431" s="147"/>
      <c r="T431" s="147"/>
      <c r="U431" s="147"/>
      <c r="V431" s="147"/>
      <c r="W431" s="147"/>
      <c r="X431" s="147"/>
      <c r="Y431" s="147"/>
      <c r="Z431" s="147"/>
      <c r="AA431" s="147"/>
      <c r="AB431" s="147"/>
      <c r="AC431" s="147"/>
      <c r="AD431" s="147"/>
      <c r="AE431" s="147"/>
      <c r="AF431" s="147"/>
      <c r="AG431" s="147"/>
      <c r="AH431" s="147"/>
      <c r="AI431" s="147"/>
    </row>
    <row r="432">
      <c r="A432" s="167"/>
      <c r="B432" s="169"/>
      <c r="C432" s="170"/>
      <c r="D432" s="170"/>
      <c r="E432" s="170"/>
      <c r="F432" s="170"/>
      <c r="G432" s="171"/>
      <c r="H432" s="171"/>
      <c r="I432" s="172"/>
      <c r="J432" s="172"/>
      <c r="K432" s="172"/>
      <c r="L432" s="172"/>
      <c r="M432" s="147"/>
      <c r="Q432" s="147"/>
      <c r="R432" s="147"/>
      <c r="S432" s="147"/>
      <c r="T432" s="147"/>
      <c r="U432" s="147"/>
      <c r="V432" s="147"/>
      <c r="W432" s="147"/>
      <c r="X432" s="147"/>
      <c r="Y432" s="147"/>
      <c r="Z432" s="147"/>
      <c r="AA432" s="147"/>
      <c r="AB432" s="147"/>
      <c r="AC432" s="147"/>
      <c r="AD432" s="147"/>
      <c r="AE432" s="147"/>
      <c r="AF432" s="147"/>
      <c r="AG432" s="147"/>
      <c r="AH432" s="147"/>
      <c r="AI432" s="147"/>
    </row>
    <row r="433">
      <c r="A433" s="167"/>
      <c r="B433" s="169"/>
      <c r="C433" s="170"/>
      <c r="D433" s="170"/>
      <c r="E433" s="170"/>
      <c r="F433" s="170"/>
      <c r="G433" s="171"/>
      <c r="H433" s="171"/>
      <c r="I433" s="172"/>
      <c r="J433" s="172"/>
      <c r="K433" s="172"/>
      <c r="L433" s="172"/>
      <c r="M433" s="147"/>
      <c r="Q433" s="147"/>
      <c r="R433" s="147"/>
      <c r="S433" s="147"/>
      <c r="T433" s="147"/>
      <c r="U433" s="147"/>
      <c r="V433" s="147"/>
      <c r="W433" s="147"/>
      <c r="X433" s="147"/>
      <c r="Y433" s="147"/>
      <c r="Z433" s="147"/>
      <c r="AA433" s="147"/>
      <c r="AB433" s="147"/>
      <c r="AC433" s="147"/>
      <c r="AD433" s="147"/>
      <c r="AE433" s="147"/>
      <c r="AF433" s="147"/>
      <c r="AG433" s="147"/>
      <c r="AH433" s="147"/>
      <c r="AI433" s="147"/>
    </row>
    <row r="434">
      <c r="A434" s="167"/>
      <c r="B434" s="169"/>
      <c r="C434" s="170"/>
      <c r="D434" s="170"/>
      <c r="E434" s="170"/>
      <c r="F434" s="170"/>
      <c r="G434" s="171"/>
      <c r="H434" s="171"/>
      <c r="I434" s="172"/>
      <c r="J434" s="172"/>
      <c r="K434" s="172"/>
      <c r="L434" s="172"/>
      <c r="M434" s="147"/>
      <c r="Q434" s="147"/>
      <c r="R434" s="147"/>
      <c r="S434" s="147"/>
      <c r="T434" s="147"/>
      <c r="U434" s="147"/>
      <c r="V434" s="147"/>
      <c r="W434" s="147"/>
      <c r="X434" s="147"/>
      <c r="Y434" s="147"/>
      <c r="Z434" s="147"/>
      <c r="AA434" s="147"/>
      <c r="AB434" s="147"/>
      <c r="AC434" s="147"/>
      <c r="AD434" s="147"/>
      <c r="AE434" s="147"/>
      <c r="AF434" s="147"/>
      <c r="AG434" s="147"/>
      <c r="AH434" s="147"/>
      <c r="AI434" s="147"/>
    </row>
    <row r="435">
      <c r="A435" s="167"/>
      <c r="B435" s="169"/>
      <c r="C435" s="170"/>
      <c r="D435" s="170"/>
      <c r="E435" s="170"/>
      <c r="F435" s="170"/>
      <c r="G435" s="171"/>
      <c r="H435" s="171"/>
      <c r="I435" s="172"/>
      <c r="J435" s="172"/>
      <c r="K435" s="172"/>
      <c r="L435" s="172"/>
      <c r="M435" s="147"/>
      <c r="Q435" s="147"/>
      <c r="R435" s="147"/>
      <c r="S435" s="147"/>
      <c r="T435" s="147"/>
      <c r="U435" s="147"/>
      <c r="V435" s="147"/>
      <c r="W435" s="147"/>
      <c r="X435" s="147"/>
      <c r="Y435" s="147"/>
      <c r="Z435" s="147"/>
      <c r="AA435" s="147"/>
      <c r="AB435" s="147"/>
      <c r="AC435" s="147"/>
      <c r="AD435" s="147"/>
      <c r="AE435" s="147"/>
      <c r="AF435" s="147"/>
      <c r="AG435" s="147"/>
      <c r="AH435" s="147"/>
      <c r="AI435" s="147"/>
    </row>
    <row r="436">
      <c r="A436" s="167"/>
      <c r="B436" s="169"/>
      <c r="C436" s="170"/>
      <c r="D436" s="170"/>
      <c r="E436" s="170"/>
      <c r="F436" s="170"/>
      <c r="G436" s="171"/>
      <c r="H436" s="171"/>
      <c r="I436" s="172"/>
      <c r="J436" s="172"/>
      <c r="K436" s="172"/>
      <c r="L436" s="172"/>
      <c r="M436" s="147"/>
      <c r="Q436" s="147"/>
      <c r="R436" s="147"/>
      <c r="S436" s="147"/>
      <c r="T436" s="147"/>
      <c r="U436" s="147"/>
      <c r="V436" s="147"/>
      <c r="W436" s="147"/>
      <c r="X436" s="147"/>
      <c r="Y436" s="147"/>
      <c r="Z436" s="147"/>
      <c r="AA436" s="147"/>
      <c r="AB436" s="147"/>
      <c r="AC436" s="147"/>
      <c r="AD436" s="147"/>
      <c r="AE436" s="147"/>
      <c r="AF436" s="147"/>
      <c r="AG436" s="147"/>
      <c r="AH436" s="147"/>
      <c r="AI436" s="147"/>
    </row>
    <row r="437">
      <c r="A437" s="167"/>
      <c r="B437" s="169"/>
      <c r="C437" s="170"/>
      <c r="D437" s="170"/>
      <c r="E437" s="170"/>
      <c r="F437" s="170"/>
      <c r="G437" s="171"/>
      <c r="H437" s="171"/>
      <c r="I437" s="172"/>
      <c r="J437" s="172"/>
      <c r="K437" s="172"/>
      <c r="L437" s="172"/>
      <c r="M437" s="147"/>
      <c r="Q437" s="147"/>
      <c r="R437" s="147"/>
      <c r="S437" s="147"/>
      <c r="T437" s="147"/>
      <c r="U437" s="147"/>
      <c r="V437" s="147"/>
      <c r="W437" s="147"/>
      <c r="X437" s="147"/>
      <c r="Y437" s="147"/>
      <c r="Z437" s="147"/>
      <c r="AA437" s="147"/>
      <c r="AB437" s="147"/>
      <c r="AC437" s="147"/>
      <c r="AD437" s="147"/>
      <c r="AE437" s="147"/>
      <c r="AF437" s="147"/>
      <c r="AG437" s="147"/>
      <c r="AH437" s="147"/>
      <c r="AI437" s="147"/>
    </row>
    <row r="438">
      <c r="A438" s="167"/>
      <c r="B438" s="169"/>
      <c r="C438" s="170"/>
      <c r="D438" s="170"/>
      <c r="E438" s="170"/>
      <c r="F438" s="170"/>
      <c r="G438" s="171"/>
      <c r="H438" s="171"/>
      <c r="I438" s="172"/>
      <c r="J438" s="172"/>
      <c r="K438" s="172"/>
      <c r="L438" s="172"/>
      <c r="M438" s="147"/>
      <c r="Q438" s="147"/>
      <c r="R438" s="147"/>
      <c r="S438" s="147"/>
      <c r="T438" s="147"/>
      <c r="U438" s="147"/>
      <c r="V438" s="147"/>
      <c r="W438" s="147"/>
      <c r="X438" s="147"/>
      <c r="Y438" s="147"/>
      <c r="Z438" s="147"/>
      <c r="AA438" s="147"/>
      <c r="AB438" s="147"/>
      <c r="AC438" s="147"/>
      <c r="AD438" s="147"/>
      <c r="AE438" s="147"/>
      <c r="AF438" s="147"/>
      <c r="AG438" s="147"/>
      <c r="AH438" s="147"/>
      <c r="AI438" s="147"/>
    </row>
    <row r="439">
      <c r="A439" s="167"/>
      <c r="B439" s="169"/>
      <c r="C439" s="170"/>
      <c r="D439" s="170"/>
      <c r="E439" s="170"/>
      <c r="F439" s="170"/>
      <c r="G439" s="171"/>
      <c r="H439" s="171"/>
      <c r="I439" s="172"/>
      <c r="J439" s="172"/>
      <c r="K439" s="172"/>
      <c r="L439" s="172"/>
      <c r="M439" s="147"/>
      <c r="Q439" s="147"/>
      <c r="R439" s="147"/>
      <c r="S439" s="147"/>
      <c r="T439" s="147"/>
      <c r="U439" s="147"/>
      <c r="V439" s="147"/>
      <c r="W439" s="147"/>
      <c r="X439" s="147"/>
      <c r="Y439" s="147"/>
      <c r="Z439" s="147"/>
      <c r="AA439" s="147"/>
      <c r="AB439" s="147"/>
      <c r="AC439" s="147"/>
      <c r="AD439" s="147"/>
      <c r="AE439" s="147"/>
      <c r="AF439" s="147"/>
      <c r="AG439" s="147"/>
      <c r="AH439" s="147"/>
      <c r="AI439" s="147"/>
    </row>
    <row r="440">
      <c r="A440" s="167"/>
      <c r="B440" s="169"/>
      <c r="C440" s="170"/>
      <c r="D440" s="170"/>
      <c r="E440" s="170"/>
      <c r="F440" s="170"/>
      <c r="G440" s="171"/>
      <c r="H440" s="171"/>
      <c r="I440" s="172"/>
      <c r="J440" s="172"/>
      <c r="K440" s="172"/>
      <c r="L440" s="172"/>
      <c r="M440" s="147"/>
      <c r="Q440" s="147"/>
      <c r="R440" s="147"/>
      <c r="S440" s="147"/>
      <c r="T440" s="147"/>
      <c r="U440" s="147"/>
      <c r="V440" s="147"/>
      <c r="W440" s="147"/>
      <c r="X440" s="147"/>
      <c r="Y440" s="147"/>
      <c r="Z440" s="147"/>
      <c r="AA440" s="147"/>
      <c r="AB440" s="147"/>
      <c r="AC440" s="147"/>
      <c r="AD440" s="147"/>
      <c r="AE440" s="147"/>
      <c r="AF440" s="147"/>
      <c r="AG440" s="147"/>
      <c r="AH440" s="147"/>
      <c r="AI440" s="147"/>
    </row>
    <row r="441">
      <c r="A441" s="167"/>
      <c r="B441" s="169"/>
      <c r="C441" s="170"/>
      <c r="D441" s="170"/>
      <c r="E441" s="170"/>
      <c r="F441" s="170"/>
      <c r="G441" s="171"/>
      <c r="H441" s="171"/>
      <c r="I441" s="172"/>
      <c r="J441" s="172"/>
      <c r="K441" s="172"/>
      <c r="L441" s="172"/>
      <c r="M441" s="147"/>
      <c r="Q441" s="147"/>
      <c r="R441" s="147"/>
      <c r="S441" s="147"/>
      <c r="T441" s="147"/>
      <c r="U441" s="147"/>
      <c r="V441" s="147"/>
      <c r="W441" s="147"/>
      <c r="X441" s="147"/>
      <c r="Y441" s="147"/>
      <c r="Z441" s="147"/>
      <c r="AA441" s="147"/>
      <c r="AB441" s="147"/>
      <c r="AC441" s="147"/>
      <c r="AD441" s="147"/>
      <c r="AE441" s="147"/>
      <c r="AF441" s="147"/>
      <c r="AG441" s="147"/>
      <c r="AH441" s="147"/>
      <c r="AI441" s="147"/>
    </row>
    <row r="442">
      <c r="A442" s="167"/>
      <c r="B442" s="169"/>
      <c r="C442" s="170"/>
      <c r="D442" s="170"/>
      <c r="E442" s="170"/>
      <c r="F442" s="170"/>
      <c r="G442" s="171"/>
      <c r="H442" s="171"/>
      <c r="I442" s="172"/>
      <c r="J442" s="172"/>
      <c r="K442" s="172"/>
      <c r="L442" s="172"/>
      <c r="M442" s="147"/>
      <c r="Q442" s="147"/>
      <c r="R442" s="147"/>
      <c r="S442" s="147"/>
      <c r="T442" s="147"/>
      <c r="U442" s="147"/>
      <c r="V442" s="147"/>
      <c r="W442" s="147"/>
      <c r="X442" s="147"/>
      <c r="Y442" s="147"/>
      <c r="Z442" s="147"/>
      <c r="AA442" s="147"/>
      <c r="AB442" s="147"/>
      <c r="AC442" s="147"/>
      <c r="AD442" s="147"/>
      <c r="AE442" s="147"/>
      <c r="AF442" s="147"/>
      <c r="AG442" s="147"/>
      <c r="AH442" s="147"/>
      <c r="AI442" s="147"/>
    </row>
    <row r="443">
      <c r="A443" s="167"/>
      <c r="B443" s="169"/>
      <c r="C443" s="170"/>
      <c r="D443" s="170"/>
      <c r="E443" s="170"/>
      <c r="F443" s="170"/>
      <c r="G443" s="171"/>
      <c r="H443" s="171"/>
      <c r="I443" s="172"/>
      <c r="J443" s="172"/>
      <c r="K443" s="172"/>
      <c r="L443" s="172"/>
      <c r="M443" s="147"/>
      <c r="Q443" s="147"/>
      <c r="R443" s="147"/>
      <c r="S443" s="147"/>
      <c r="T443" s="147"/>
      <c r="U443" s="147"/>
      <c r="V443" s="147"/>
      <c r="W443" s="147"/>
      <c r="X443" s="147"/>
      <c r="Y443" s="147"/>
      <c r="Z443" s="147"/>
      <c r="AA443" s="147"/>
      <c r="AB443" s="147"/>
      <c r="AC443" s="147"/>
      <c r="AD443" s="147"/>
      <c r="AE443" s="147"/>
      <c r="AF443" s="147"/>
      <c r="AG443" s="147"/>
      <c r="AH443" s="147"/>
      <c r="AI443" s="147"/>
    </row>
    <row r="444">
      <c r="A444" s="167"/>
      <c r="B444" s="169"/>
      <c r="C444" s="170"/>
      <c r="D444" s="170"/>
      <c r="E444" s="170"/>
      <c r="F444" s="170"/>
      <c r="G444" s="171"/>
      <c r="H444" s="171"/>
      <c r="I444" s="172"/>
      <c r="J444" s="172"/>
      <c r="K444" s="172"/>
      <c r="L444" s="172"/>
      <c r="M444" s="147"/>
      <c r="Q444" s="147"/>
      <c r="R444" s="147"/>
      <c r="S444" s="147"/>
      <c r="T444" s="147"/>
      <c r="U444" s="147"/>
      <c r="V444" s="147"/>
      <c r="W444" s="147"/>
      <c r="X444" s="147"/>
      <c r="Y444" s="147"/>
      <c r="Z444" s="147"/>
      <c r="AA444" s="147"/>
      <c r="AB444" s="147"/>
      <c r="AC444" s="147"/>
      <c r="AD444" s="147"/>
      <c r="AE444" s="147"/>
      <c r="AF444" s="147"/>
      <c r="AG444" s="147"/>
      <c r="AH444" s="147"/>
      <c r="AI444" s="147"/>
    </row>
    <row r="445">
      <c r="A445" s="167"/>
      <c r="B445" s="169"/>
      <c r="C445" s="170"/>
      <c r="D445" s="170"/>
      <c r="E445" s="170"/>
      <c r="F445" s="170"/>
      <c r="G445" s="171"/>
      <c r="H445" s="171"/>
      <c r="I445" s="172"/>
      <c r="J445" s="172"/>
      <c r="K445" s="172"/>
      <c r="L445" s="172"/>
      <c r="M445" s="147"/>
      <c r="Q445" s="147"/>
      <c r="R445" s="147"/>
      <c r="S445" s="147"/>
      <c r="T445" s="147"/>
      <c r="U445" s="147"/>
      <c r="V445" s="147"/>
      <c r="W445" s="147"/>
      <c r="X445" s="147"/>
      <c r="Y445" s="147"/>
      <c r="Z445" s="147"/>
      <c r="AA445" s="147"/>
      <c r="AB445" s="147"/>
      <c r="AC445" s="147"/>
      <c r="AD445" s="147"/>
      <c r="AE445" s="147"/>
      <c r="AF445" s="147"/>
      <c r="AG445" s="147"/>
      <c r="AH445" s="147"/>
      <c r="AI445" s="147"/>
    </row>
    <row r="446">
      <c r="A446" s="167"/>
      <c r="B446" s="169"/>
      <c r="C446" s="170"/>
      <c r="D446" s="170"/>
      <c r="E446" s="170"/>
      <c r="F446" s="170"/>
      <c r="G446" s="171"/>
      <c r="H446" s="171"/>
      <c r="I446" s="172"/>
      <c r="J446" s="172"/>
      <c r="K446" s="172"/>
      <c r="L446" s="172"/>
      <c r="M446" s="147"/>
      <c r="Q446" s="147"/>
      <c r="R446" s="147"/>
      <c r="S446" s="147"/>
      <c r="T446" s="147"/>
      <c r="U446" s="147"/>
      <c r="V446" s="147"/>
      <c r="W446" s="147"/>
      <c r="X446" s="147"/>
      <c r="Y446" s="147"/>
      <c r="Z446" s="147"/>
      <c r="AA446" s="147"/>
      <c r="AB446" s="147"/>
      <c r="AC446" s="147"/>
      <c r="AD446" s="147"/>
      <c r="AE446" s="147"/>
      <c r="AF446" s="147"/>
      <c r="AG446" s="147"/>
      <c r="AH446" s="147"/>
      <c r="AI446" s="147"/>
    </row>
    <row r="447">
      <c r="A447" s="167"/>
      <c r="B447" s="169"/>
      <c r="C447" s="170"/>
      <c r="D447" s="170"/>
      <c r="E447" s="170"/>
      <c r="F447" s="170"/>
      <c r="G447" s="171"/>
      <c r="H447" s="171"/>
      <c r="I447" s="172"/>
      <c r="J447" s="172"/>
      <c r="K447" s="172"/>
      <c r="L447" s="172"/>
      <c r="M447" s="147"/>
      <c r="Q447" s="147"/>
      <c r="R447" s="147"/>
      <c r="S447" s="147"/>
      <c r="T447" s="147"/>
      <c r="U447" s="147"/>
      <c r="V447" s="147"/>
      <c r="W447" s="147"/>
      <c r="X447" s="147"/>
      <c r="Y447" s="147"/>
      <c r="Z447" s="147"/>
      <c r="AA447" s="147"/>
      <c r="AB447" s="147"/>
      <c r="AC447" s="147"/>
      <c r="AD447" s="147"/>
      <c r="AE447" s="147"/>
      <c r="AF447" s="147"/>
      <c r="AG447" s="147"/>
      <c r="AH447" s="147"/>
      <c r="AI447" s="147"/>
    </row>
    <row r="448">
      <c r="A448" s="167"/>
      <c r="B448" s="169"/>
      <c r="C448" s="170"/>
      <c r="D448" s="170"/>
      <c r="E448" s="170"/>
      <c r="F448" s="170"/>
      <c r="G448" s="171"/>
      <c r="H448" s="171"/>
      <c r="I448" s="172"/>
      <c r="J448" s="172"/>
      <c r="K448" s="172"/>
      <c r="L448" s="172"/>
      <c r="M448" s="147"/>
      <c r="Q448" s="147"/>
      <c r="R448" s="147"/>
      <c r="S448" s="147"/>
      <c r="T448" s="147"/>
      <c r="U448" s="147"/>
      <c r="V448" s="147"/>
      <c r="W448" s="147"/>
      <c r="X448" s="147"/>
      <c r="Y448" s="147"/>
      <c r="Z448" s="147"/>
      <c r="AA448" s="147"/>
      <c r="AB448" s="147"/>
      <c r="AC448" s="147"/>
      <c r="AD448" s="147"/>
      <c r="AE448" s="147"/>
      <c r="AF448" s="147"/>
      <c r="AG448" s="147"/>
      <c r="AH448" s="147"/>
      <c r="AI448" s="147"/>
    </row>
    <row r="449">
      <c r="A449" s="167"/>
      <c r="B449" s="169"/>
      <c r="C449" s="170"/>
      <c r="D449" s="170"/>
      <c r="E449" s="170"/>
      <c r="F449" s="170"/>
      <c r="G449" s="171"/>
      <c r="H449" s="171"/>
      <c r="I449" s="172"/>
      <c r="J449" s="172"/>
      <c r="K449" s="172"/>
      <c r="L449" s="172"/>
      <c r="M449" s="147"/>
      <c r="Q449" s="147"/>
      <c r="R449" s="147"/>
      <c r="S449" s="147"/>
      <c r="T449" s="147"/>
      <c r="U449" s="147"/>
      <c r="V449" s="147"/>
      <c r="W449" s="147"/>
      <c r="X449" s="147"/>
      <c r="Y449" s="147"/>
      <c r="Z449" s="147"/>
      <c r="AA449" s="147"/>
      <c r="AB449" s="147"/>
      <c r="AC449" s="147"/>
      <c r="AD449" s="147"/>
      <c r="AE449" s="147"/>
      <c r="AF449" s="147"/>
      <c r="AG449" s="147"/>
      <c r="AH449" s="147"/>
      <c r="AI449" s="147"/>
    </row>
    <row r="450">
      <c r="A450" s="167"/>
      <c r="B450" s="169"/>
      <c r="C450" s="170"/>
      <c r="D450" s="170"/>
      <c r="E450" s="170"/>
      <c r="F450" s="170"/>
      <c r="G450" s="171"/>
      <c r="H450" s="171"/>
      <c r="I450" s="172"/>
      <c r="J450" s="172"/>
      <c r="K450" s="172"/>
      <c r="L450" s="172"/>
      <c r="M450" s="147"/>
      <c r="Q450" s="147"/>
      <c r="R450" s="147"/>
      <c r="S450" s="147"/>
      <c r="T450" s="147"/>
      <c r="U450" s="147"/>
      <c r="V450" s="147"/>
      <c r="W450" s="147"/>
      <c r="X450" s="147"/>
      <c r="Y450" s="147"/>
      <c r="Z450" s="147"/>
      <c r="AA450" s="147"/>
      <c r="AB450" s="147"/>
      <c r="AC450" s="147"/>
      <c r="AD450" s="147"/>
      <c r="AE450" s="147"/>
      <c r="AF450" s="147"/>
      <c r="AG450" s="147"/>
      <c r="AH450" s="147"/>
      <c r="AI450" s="147"/>
    </row>
    <row r="451">
      <c r="A451" s="167"/>
      <c r="B451" s="169"/>
      <c r="C451" s="170"/>
      <c r="D451" s="170"/>
      <c r="E451" s="170"/>
      <c r="F451" s="170"/>
      <c r="G451" s="171"/>
      <c r="H451" s="171"/>
      <c r="I451" s="172"/>
      <c r="J451" s="172"/>
      <c r="K451" s="172"/>
      <c r="L451" s="172"/>
      <c r="M451" s="147"/>
      <c r="Q451" s="147"/>
      <c r="R451" s="147"/>
      <c r="S451" s="147"/>
      <c r="T451" s="147"/>
      <c r="U451" s="147"/>
      <c r="V451" s="147"/>
      <c r="W451" s="147"/>
      <c r="X451" s="147"/>
      <c r="Y451" s="147"/>
      <c r="Z451" s="147"/>
      <c r="AA451" s="147"/>
      <c r="AB451" s="147"/>
      <c r="AC451" s="147"/>
      <c r="AD451" s="147"/>
      <c r="AE451" s="147"/>
      <c r="AF451" s="147"/>
      <c r="AG451" s="147"/>
      <c r="AH451" s="147"/>
      <c r="AI451" s="147"/>
    </row>
    <row r="452">
      <c r="A452" s="167"/>
      <c r="B452" s="169"/>
      <c r="C452" s="170"/>
      <c r="D452" s="170"/>
      <c r="E452" s="170"/>
      <c r="F452" s="170"/>
      <c r="G452" s="171"/>
      <c r="H452" s="171"/>
      <c r="I452" s="172"/>
      <c r="J452" s="172"/>
      <c r="K452" s="172"/>
      <c r="L452" s="172"/>
      <c r="M452" s="147"/>
      <c r="Q452" s="147"/>
      <c r="R452" s="147"/>
      <c r="S452" s="147"/>
      <c r="T452" s="147"/>
      <c r="U452" s="147"/>
      <c r="V452" s="147"/>
      <c r="W452" s="147"/>
      <c r="X452" s="147"/>
      <c r="Y452" s="147"/>
      <c r="Z452" s="147"/>
      <c r="AA452" s="147"/>
      <c r="AB452" s="147"/>
      <c r="AC452" s="147"/>
      <c r="AD452" s="147"/>
      <c r="AE452" s="147"/>
      <c r="AF452" s="147"/>
      <c r="AG452" s="147"/>
      <c r="AH452" s="147"/>
      <c r="AI452" s="147"/>
    </row>
    <row r="453">
      <c r="A453" s="167"/>
      <c r="B453" s="169"/>
      <c r="C453" s="170"/>
      <c r="D453" s="170"/>
      <c r="E453" s="170"/>
      <c r="F453" s="170"/>
      <c r="G453" s="171"/>
      <c r="H453" s="171"/>
      <c r="I453" s="172"/>
      <c r="J453" s="172"/>
      <c r="K453" s="172"/>
      <c r="L453" s="172"/>
      <c r="M453" s="147"/>
      <c r="Q453" s="147"/>
      <c r="R453" s="147"/>
      <c r="S453" s="147"/>
      <c r="T453" s="147"/>
      <c r="U453" s="147"/>
      <c r="V453" s="147"/>
      <c r="W453" s="147"/>
      <c r="X453" s="147"/>
      <c r="Y453" s="147"/>
      <c r="Z453" s="147"/>
      <c r="AA453" s="147"/>
      <c r="AB453" s="147"/>
      <c r="AC453" s="147"/>
      <c r="AD453" s="147"/>
      <c r="AE453" s="147"/>
      <c r="AF453" s="147"/>
      <c r="AG453" s="147"/>
      <c r="AH453" s="147"/>
      <c r="AI453" s="147"/>
    </row>
    <row r="454">
      <c r="A454" s="167"/>
      <c r="B454" s="169"/>
      <c r="C454" s="170"/>
      <c r="D454" s="170"/>
      <c r="E454" s="170"/>
      <c r="F454" s="170"/>
      <c r="G454" s="171"/>
      <c r="H454" s="171"/>
      <c r="I454" s="172"/>
      <c r="J454" s="172"/>
      <c r="K454" s="172"/>
      <c r="L454" s="172"/>
      <c r="M454" s="147"/>
      <c r="Q454" s="147"/>
      <c r="R454" s="147"/>
      <c r="S454" s="147"/>
      <c r="T454" s="147"/>
      <c r="U454" s="147"/>
      <c r="V454" s="147"/>
      <c r="W454" s="147"/>
      <c r="X454" s="147"/>
      <c r="Y454" s="147"/>
      <c r="Z454" s="147"/>
      <c r="AA454" s="147"/>
      <c r="AB454" s="147"/>
      <c r="AC454" s="147"/>
      <c r="AD454" s="147"/>
      <c r="AE454" s="147"/>
      <c r="AF454" s="147"/>
      <c r="AG454" s="147"/>
      <c r="AH454" s="147"/>
      <c r="AI454" s="147"/>
    </row>
    <row r="455">
      <c r="A455" s="167"/>
      <c r="B455" s="169"/>
      <c r="C455" s="170"/>
      <c r="D455" s="170"/>
      <c r="E455" s="170"/>
      <c r="F455" s="170"/>
      <c r="G455" s="171"/>
      <c r="H455" s="171"/>
      <c r="I455" s="172"/>
      <c r="J455" s="172"/>
      <c r="K455" s="172"/>
      <c r="L455" s="172"/>
      <c r="M455" s="147"/>
      <c r="Q455" s="147"/>
      <c r="R455" s="147"/>
      <c r="S455" s="147"/>
      <c r="T455" s="147"/>
      <c r="U455" s="147"/>
      <c r="V455" s="147"/>
      <c r="W455" s="147"/>
      <c r="X455" s="147"/>
      <c r="Y455" s="147"/>
      <c r="Z455" s="147"/>
      <c r="AA455" s="147"/>
      <c r="AB455" s="147"/>
      <c r="AC455" s="147"/>
      <c r="AD455" s="147"/>
      <c r="AE455" s="147"/>
      <c r="AF455" s="147"/>
      <c r="AG455" s="147"/>
      <c r="AH455" s="147"/>
      <c r="AI455" s="147"/>
    </row>
    <row r="456">
      <c r="A456" s="167"/>
      <c r="B456" s="169"/>
      <c r="C456" s="170"/>
      <c r="D456" s="170"/>
      <c r="E456" s="170"/>
      <c r="F456" s="170"/>
      <c r="G456" s="171"/>
      <c r="H456" s="171"/>
      <c r="I456" s="172"/>
      <c r="J456" s="172"/>
      <c r="K456" s="172"/>
      <c r="L456" s="172"/>
      <c r="M456" s="147"/>
      <c r="Q456" s="147"/>
      <c r="R456" s="147"/>
      <c r="S456" s="147"/>
      <c r="T456" s="147"/>
      <c r="U456" s="147"/>
      <c r="V456" s="147"/>
      <c r="W456" s="147"/>
      <c r="X456" s="147"/>
      <c r="Y456" s="147"/>
      <c r="Z456" s="147"/>
      <c r="AA456" s="147"/>
      <c r="AB456" s="147"/>
      <c r="AC456" s="147"/>
      <c r="AD456" s="147"/>
      <c r="AE456" s="147"/>
      <c r="AF456" s="147"/>
      <c r="AG456" s="147"/>
      <c r="AH456" s="147"/>
      <c r="AI456" s="147"/>
    </row>
    <row r="457">
      <c r="A457" s="167"/>
      <c r="B457" s="169"/>
      <c r="C457" s="170"/>
      <c r="D457" s="170"/>
      <c r="E457" s="170"/>
      <c r="F457" s="170"/>
      <c r="G457" s="171"/>
      <c r="H457" s="171"/>
      <c r="I457" s="172"/>
      <c r="J457" s="172"/>
      <c r="K457" s="172"/>
      <c r="L457" s="172"/>
      <c r="M457" s="147"/>
      <c r="Q457" s="147"/>
      <c r="R457" s="147"/>
      <c r="S457" s="147"/>
      <c r="T457" s="147"/>
      <c r="U457" s="147"/>
      <c r="V457" s="147"/>
      <c r="W457" s="147"/>
      <c r="X457" s="147"/>
      <c r="Y457" s="147"/>
      <c r="Z457" s="147"/>
      <c r="AA457" s="147"/>
      <c r="AB457" s="147"/>
      <c r="AC457" s="147"/>
      <c r="AD457" s="147"/>
      <c r="AE457" s="147"/>
      <c r="AF457" s="147"/>
      <c r="AG457" s="147"/>
      <c r="AH457" s="147"/>
      <c r="AI457" s="147"/>
    </row>
    <row r="458">
      <c r="A458" s="167"/>
      <c r="B458" s="169"/>
      <c r="C458" s="170"/>
      <c r="D458" s="170"/>
      <c r="E458" s="170"/>
      <c r="F458" s="170"/>
      <c r="G458" s="171"/>
      <c r="H458" s="171"/>
      <c r="I458" s="172"/>
      <c r="J458" s="172"/>
      <c r="K458" s="172"/>
      <c r="L458" s="172"/>
      <c r="M458" s="147"/>
      <c r="Q458" s="147"/>
      <c r="R458" s="147"/>
      <c r="S458" s="147"/>
      <c r="T458" s="147"/>
      <c r="U458" s="147"/>
      <c r="V458" s="147"/>
      <c r="W458" s="147"/>
      <c r="X458" s="147"/>
      <c r="Y458" s="147"/>
      <c r="Z458" s="147"/>
      <c r="AA458" s="147"/>
      <c r="AB458" s="147"/>
      <c r="AC458" s="147"/>
      <c r="AD458" s="147"/>
      <c r="AE458" s="147"/>
      <c r="AF458" s="147"/>
      <c r="AG458" s="147"/>
      <c r="AH458" s="147"/>
      <c r="AI458" s="147"/>
    </row>
    <row r="459">
      <c r="A459" s="167"/>
      <c r="B459" s="169"/>
      <c r="C459" s="170"/>
      <c r="D459" s="170"/>
      <c r="E459" s="170"/>
      <c r="F459" s="170"/>
      <c r="G459" s="171"/>
      <c r="H459" s="171"/>
      <c r="I459" s="172"/>
      <c r="J459" s="172"/>
      <c r="K459" s="172"/>
      <c r="L459" s="172"/>
      <c r="M459" s="147"/>
      <c r="Q459" s="147"/>
      <c r="R459" s="147"/>
      <c r="S459" s="147"/>
      <c r="T459" s="147"/>
      <c r="U459" s="147"/>
      <c r="V459" s="147"/>
      <c r="W459" s="147"/>
      <c r="X459" s="147"/>
      <c r="Y459" s="147"/>
      <c r="Z459" s="147"/>
      <c r="AA459" s="147"/>
      <c r="AB459" s="147"/>
      <c r="AC459" s="147"/>
      <c r="AD459" s="147"/>
      <c r="AE459" s="147"/>
      <c r="AF459" s="147"/>
      <c r="AG459" s="147"/>
      <c r="AH459" s="147"/>
      <c r="AI459" s="147"/>
    </row>
    <row r="460">
      <c r="A460" s="167"/>
      <c r="B460" s="169"/>
      <c r="C460" s="170"/>
      <c r="D460" s="170"/>
      <c r="E460" s="170"/>
      <c r="F460" s="170"/>
      <c r="G460" s="171"/>
      <c r="H460" s="171"/>
      <c r="I460" s="172"/>
      <c r="J460" s="172"/>
      <c r="K460" s="172"/>
      <c r="L460" s="172"/>
      <c r="M460" s="147"/>
      <c r="Q460" s="147"/>
      <c r="R460" s="147"/>
      <c r="S460" s="147"/>
      <c r="T460" s="147"/>
      <c r="U460" s="147"/>
      <c r="V460" s="147"/>
      <c r="W460" s="147"/>
      <c r="X460" s="147"/>
      <c r="Y460" s="147"/>
      <c r="Z460" s="147"/>
      <c r="AA460" s="147"/>
      <c r="AB460" s="147"/>
      <c r="AC460" s="147"/>
      <c r="AD460" s="147"/>
      <c r="AE460" s="147"/>
      <c r="AF460" s="147"/>
      <c r="AG460" s="147"/>
      <c r="AH460" s="147"/>
      <c r="AI460" s="147"/>
    </row>
    <row r="461">
      <c r="A461" s="167"/>
      <c r="B461" s="169"/>
      <c r="C461" s="170"/>
      <c r="D461" s="170"/>
      <c r="E461" s="170"/>
      <c r="F461" s="170"/>
      <c r="G461" s="171"/>
      <c r="H461" s="171"/>
      <c r="I461" s="172"/>
      <c r="J461" s="172"/>
      <c r="K461" s="172"/>
      <c r="L461" s="172"/>
      <c r="M461" s="147"/>
      <c r="Q461" s="147"/>
      <c r="R461" s="147"/>
      <c r="S461" s="147"/>
      <c r="T461" s="147"/>
      <c r="U461" s="147"/>
      <c r="V461" s="147"/>
      <c r="W461" s="147"/>
      <c r="X461" s="147"/>
      <c r="Y461" s="147"/>
      <c r="Z461" s="147"/>
      <c r="AA461" s="147"/>
      <c r="AB461" s="147"/>
      <c r="AC461" s="147"/>
      <c r="AD461" s="147"/>
      <c r="AE461" s="147"/>
      <c r="AF461" s="147"/>
      <c r="AG461" s="147"/>
      <c r="AH461" s="147"/>
      <c r="AI461" s="147"/>
    </row>
    <row r="462">
      <c r="A462" s="167"/>
      <c r="B462" s="169"/>
      <c r="C462" s="170"/>
      <c r="D462" s="170"/>
      <c r="E462" s="170"/>
      <c r="F462" s="170"/>
      <c r="G462" s="171"/>
      <c r="H462" s="171"/>
      <c r="I462" s="172"/>
      <c r="J462" s="172"/>
      <c r="K462" s="172"/>
      <c r="L462" s="172"/>
      <c r="M462" s="147"/>
      <c r="Q462" s="147"/>
      <c r="R462" s="147"/>
      <c r="S462" s="147"/>
      <c r="T462" s="147"/>
      <c r="U462" s="147"/>
      <c r="V462" s="147"/>
      <c r="W462" s="147"/>
      <c r="X462" s="147"/>
      <c r="Y462" s="147"/>
      <c r="Z462" s="147"/>
      <c r="AA462" s="147"/>
      <c r="AB462" s="147"/>
      <c r="AC462" s="147"/>
      <c r="AD462" s="147"/>
      <c r="AE462" s="147"/>
      <c r="AF462" s="147"/>
      <c r="AG462" s="147"/>
      <c r="AH462" s="147"/>
      <c r="AI462" s="147"/>
    </row>
    <row r="463">
      <c r="A463" s="167"/>
      <c r="B463" s="169"/>
      <c r="C463" s="170"/>
      <c r="D463" s="170"/>
      <c r="E463" s="170"/>
      <c r="F463" s="170"/>
      <c r="G463" s="171"/>
      <c r="H463" s="171"/>
      <c r="I463" s="172"/>
      <c r="J463" s="172"/>
      <c r="K463" s="172"/>
      <c r="L463" s="172"/>
      <c r="M463" s="147"/>
      <c r="Q463" s="147"/>
      <c r="R463" s="147"/>
      <c r="S463" s="147"/>
      <c r="T463" s="147"/>
      <c r="U463" s="147"/>
      <c r="V463" s="147"/>
      <c r="W463" s="147"/>
      <c r="X463" s="147"/>
      <c r="Y463" s="147"/>
      <c r="Z463" s="147"/>
      <c r="AA463" s="147"/>
      <c r="AB463" s="147"/>
      <c r="AC463" s="147"/>
      <c r="AD463" s="147"/>
      <c r="AE463" s="147"/>
      <c r="AF463" s="147"/>
      <c r="AG463" s="147"/>
      <c r="AH463" s="147"/>
      <c r="AI463" s="147"/>
    </row>
    <row r="464">
      <c r="A464" s="167"/>
      <c r="B464" s="169"/>
      <c r="C464" s="170"/>
      <c r="D464" s="170"/>
      <c r="E464" s="170"/>
      <c r="F464" s="170"/>
      <c r="G464" s="171"/>
      <c r="H464" s="171"/>
      <c r="I464" s="172"/>
      <c r="J464" s="172"/>
      <c r="K464" s="172"/>
      <c r="L464" s="172"/>
      <c r="M464" s="147"/>
      <c r="Q464" s="147"/>
      <c r="R464" s="147"/>
      <c r="S464" s="147"/>
      <c r="T464" s="147"/>
      <c r="U464" s="147"/>
      <c r="V464" s="147"/>
      <c r="W464" s="147"/>
      <c r="X464" s="147"/>
      <c r="Y464" s="147"/>
      <c r="Z464" s="147"/>
      <c r="AA464" s="147"/>
      <c r="AB464" s="147"/>
      <c r="AC464" s="147"/>
      <c r="AD464" s="147"/>
      <c r="AE464" s="147"/>
      <c r="AF464" s="147"/>
      <c r="AG464" s="147"/>
      <c r="AH464" s="147"/>
      <c r="AI464" s="147"/>
    </row>
    <row r="465">
      <c r="A465" s="167"/>
      <c r="B465" s="169"/>
      <c r="C465" s="170"/>
      <c r="D465" s="170"/>
      <c r="E465" s="170"/>
      <c r="F465" s="170"/>
      <c r="G465" s="171"/>
      <c r="H465" s="171"/>
      <c r="I465" s="172"/>
      <c r="J465" s="172"/>
      <c r="K465" s="172"/>
      <c r="L465" s="172"/>
      <c r="M465" s="147"/>
      <c r="Q465" s="147"/>
      <c r="R465" s="147"/>
      <c r="S465" s="147"/>
      <c r="T465" s="147"/>
      <c r="U465" s="147"/>
      <c r="V465" s="147"/>
      <c r="W465" s="147"/>
      <c r="X465" s="147"/>
      <c r="Y465" s="147"/>
      <c r="Z465" s="147"/>
      <c r="AA465" s="147"/>
      <c r="AB465" s="147"/>
      <c r="AC465" s="147"/>
      <c r="AD465" s="147"/>
      <c r="AE465" s="147"/>
      <c r="AF465" s="147"/>
      <c r="AG465" s="147"/>
      <c r="AH465" s="147"/>
      <c r="AI465" s="147"/>
    </row>
    <row r="466">
      <c r="A466" s="167"/>
      <c r="B466" s="169"/>
      <c r="C466" s="170"/>
      <c r="D466" s="170"/>
      <c r="E466" s="170"/>
      <c r="F466" s="170"/>
      <c r="G466" s="171"/>
      <c r="H466" s="171"/>
      <c r="I466" s="172"/>
      <c r="J466" s="172"/>
      <c r="K466" s="172"/>
      <c r="L466" s="172"/>
      <c r="M466" s="147"/>
      <c r="Q466" s="147"/>
      <c r="R466" s="147"/>
      <c r="S466" s="147"/>
      <c r="T466" s="147"/>
      <c r="U466" s="147"/>
      <c r="V466" s="147"/>
      <c r="W466" s="147"/>
      <c r="X466" s="147"/>
      <c r="Y466" s="147"/>
      <c r="Z466" s="147"/>
      <c r="AA466" s="147"/>
      <c r="AB466" s="147"/>
      <c r="AC466" s="147"/>
      <c r="AD466" s="147"/>
      <c r="AE466" s="147"/>
      <c r="AF466" s="147"/>
      <c r="AG466" s="147"/>
      <c r="AH466" s="147"/>
      <c r="AI466" s="147"/>
    </row>
    <row r="467">
      <c r="A467" s="167"/>
      <c r="B467" s="169"/>
      <c r="C467" s="170"/>
      <c r="D467" s="170"/>
      <c r="E467" s="170"/>
      <c r="F467" s="170"/>
      <c r="G467" s="171"/>
      <c r="H467" s="171"/>
      <c r="I467" s="172"/>
      <c r="J467" s="172"/>
      <c r="K467" s="172"/>
      <c r="L467" s="172"/>
      <c r="M467" s="147"/>
      <c r="Q467" s="147"/>
      <c r="R467" s="147"/>
      <c r="S467" s="147"/>
      <c r="T467" s="147"/>
      <c r="U467" s="147"/>
      <c r="V467" s="147"/>
      <c r="W467" s="147"/>
      <c r="X467" s="147"/>
      <c r="Y467" s="147"/>
      <c r="Z467" s="147"/>
      <c r="AA467" s="147"/>
      <c r="AB467" s="147"/>
      <c r="AC467" s="147"/>
      <c r="AD467" s="147"/>
      <c r="AE467" s="147"/>
      <c r="AF467" s="147"/>
      <c r="AG467" s="147"/>
      <c r="AH467" s="147"/>
      <c r="AI467" s="147"/>
    </row>
    <row r="468">
      <c r="A468" s="167"/>
      <c r="B468" s="169"/>
      <c r="C468" s="170"/>
      <c r="D468" s="170"/>
      <c r="E468" s="170"/>
      <c r="F468" s="170"/>
      <c r="G468" s="171"/>
      <c r="H468" s="171"/>
      <c r="I468" s="172"/>
      <c r="J468" s="172"/>
      <c r="K468" s="172"/>
      <c r="L468" s="172"/>
      <c r="M468" s="147"/>
      <c r="Q468" s="147"/>
      <c r="R468" s="147"/>
      <c r="S468" s="147"/>
      <c r="T468" s="147"/>
      <c r="U468" s="147"/>
      <c r="V468" s="147"/>
      <c r="W468" s="147"/>
      <c r="X468" s="147"/>
      <c r="Y468" s="147"/>
      <c r="Z468" s="147"/>
      <c r="AA468" s="147"/>
      <c r="AB468" s="147"/>
      <c r="AC468" s="147"/>
      <c r="AD468" s="147"/>
      <c r="AE468" s="147"/>
      <c r="AF468" s="147"/>
      <c r="AG468" s="147"/>
      <c r="AH468" s="147"/>
      <c r="AI468" s="147"/>
    </row>
    <row r="469">
      <c r="A469" s="167"/>
      <c r="B469" s="169"/>
      <c r="C469" s="170"/>
      <c r="D469" s="170"/>
      <c r="E469" s="170"/>
      <c r="F469" s="170"/>
      <c r="G469" s="171"/>
      <c r="H469" s="171"/>
      <c r="I469" s="172"/>
      <c r="J469" s="172"/>
      <c r="K469" s="172"/>
      <c r="L469" s="172"/>
      <c r="M469" s="147"/>
      <c r="Q469" s="147"/>
      <c r="R469" s="147"/>
      <c r="S469" s="147"/>
      <c r="T469" s="147"/>
      <c r="U469" s="147"/>
      <c r="V469" s="147"/>
      <c r="W469" s="147"/>
      <c r="X469" s="147"/>
      <c r="Y469" s="147"/>
      <c r="Z469" s="147"/>
      <c r="AA469" s="147"/>
      <c r="AB469" s="147"/>
      <c r="AC469" s="147"/>
      <c r="AD469" s="147"/>
      <c r="AE469" s="147"/>
      <c r="AF469" s="147"/>
      <c r="AG469" s="147"/>
      <c r="AH469" s="147"/>
      <c r="AI469" s="147"/>
    </row>
    <row r="470">
      <c r="A470" s="167"/>
      <c r="B470" s="169"/>
      <c r="C470" s="170"/>
      <c r="D470" s="170"/>
      <c r="E470" s="170"/>
      <c r="F470" s="170"/>
      <c r="G470" s="171"/>
      <c r="H470" s="171"/>
      <c r="I470" s="172"/>
      <c r="J470" s="172"/>
      <c r="K470" s="172"/>
      <c r="L470" s="172"/>
      <c r="M470" s="147"/>
      <c r="Q470" s="147"/>
      <c r="R470" s="147"/>
      <c r="S470" s="147"/>
      <c r="T470" s="147"/>
      <c r="U470" s="147"/>
      <c r="V470" s="147"/>
      <c r="W470" s="147"/>
      <c r="X470" s="147"/>
      <c r="Y470" s="147"/>
      <c r="Z470" s="147"/>
      <c r="AA470" s="147"/>
      <c r="AB470" s="147"/>
      <c r="AC470" s="147"/>
      <c r="AD470" s="147"/>
      <c r="AE470" s="147"/>
      <c r="AF470" s="147"/>
      <c r="AG470" s="147"/>
      <c r="AH470" s="147"/>
      <c r="AI470" s="147"/>
    </row>
    <row r="471">
      <c r="A471" s="167"/>
      <c r="B471" s="169"/>
      <c r="C471" s="170"/>
      <c r="D471" s="170"/>
      <c r="E471" s="170"/>
      <c r="F471" s="170"/>
      <c r="G471" s="171"/>
      <c r="H471" s="171"/>
      <c r="I471" s="172"/>
      <c r="J471" s="172"/>
      <c r="K471" s="172"/>
      <c r="L471" s="172"/>
      <c r="M471" s="147"/>
      <c r="Q471" s="147"/>
      <c r="R471" s="147"/>
      <c r="S471" s="147"/>
      <c r="T471" s="147"/>
      <c r="U471" s="147"/>
      <c r="V471" s="147"/>
      <c r="W471" s="147"/>
      <c r="X471" s="147"/>
      <c r="Y471" s="147"/>
      <c r="Z471" s="147"/>
      <c r="AA471" s="147"/>
      <c r="AB471" s="147"/>
      <c r="AC471" s="147"/>
      <c r="AD471" s="147"/>
      <c r="AE471" s="147"/>
      <c r="AF471" s="147"/>
      <c r="AG471" s="147"/>
      <c r="AH471" s="147"/>
      <c r="AI471" s="147"/>
    </row>
    <row r="472">
      <c r="A472" s="167"/>
      <c r="B472" s="169"/>
      <c r="C472" s="170"/>
      <c r="D472" s="170"/>
      <c r="E472" s="170"/>
      <c r="F472" s="170"/>
      <c r="G472" s="171"/>
      <c r="H472" s="171"/>
      <c r="I472" s="172"/>
      <c r="J472" s="172"/>
      <c r="K472" s="172"/>
      <c r="L472" s="172"/>
      <c r="M472" s="147"/>
      <c r="Q472" s="147"/>
      <c r="R472" s="147"/>
      <c r="S472" s="147"/>
      <c r="T472" s="147"/>
      <c r="U472" s="147"/>
      <c r="V472" s="147"/>
      <c r="W472" s="147"/>
      <c r="X472" s="147"/>
      <c r="Y472" s="147"/>
      <c r="Z472" s="147"/>
      <c r="AA472" s="147"/>
      <c r="AB472" s="147"/>
      <c r="AC472" s="147"/>
      <c r="AD472" s="147"/>
      <c r="AE472" s="147"/>
      <c r="AF472" s="147"/>
      <c r="AG472" s="147"/>
      <c r="AH472" s="147"/>
      <c r="AI472" s="147"/>
    </row>
    <row r="473">
      <c r="A473" s="167"/>
      <c r="B473" s="169"/>
      <c r="C473" s="170"/>
      <c r="D473" s="170"/>
      <c r="E473" s="170"/>
      <c r="F473" s="170"/>
      <c r="G473" s="171"/>
      <c r="H473" s="171"/>
      <c r="I473" s="172"/>
      <c r="J473" s="172"/>
      <c r="K473" s="172"/>
      <c r="L473" s="172"/>
      <c r="M473" s="147"/>
      <c r="Q473" s="147"/>
      <c r="R473" s="147"/>
      <c r="S473" s="147"/>
      <c r="T473" s="147"/>
      <c r="U473" s="147"/>
      <c r="V473" s="147"/>
      <c r="W473" s="147"/>
      <c r="X473" s="147"/>
      <c r="Y473" s="147"/>
      <c r="Z473" s="147"/>
      <c r="AA473" s="147"/>
      <c r="AB473" s="147"/>
      <c r="AC473" s="147"/>
      <c r="AD473" s="147"/>
      <c r="AE473" s="147"/>
      <c r="AF473" s="147"/>
      <c r="AG473" s="147"/>
      <c r="AH473" s="147"/>
      <c r="AI473" s="147"/>
    </row>
    <row r="474">
      <c r="A474" s="167"/>
      <c r="B474" s="169"/>
      <c r="C474" s="170"/>
      <c r="D474" s="170"/>
      <c r="E474" s="170"/>
      <c r="F474" s="170"/>
      <c r="G474" s="171"/>
      <c r="H474" s="171"/>
      <c r="I474" s="172"/>
      <c r="J474" s="172"/>
      <c r="K474" s="172"/>
      <c r="L474" s="172"/>
      <c r="M474" s="147"/>
      <c r="Q474" s="147"/>
      <c r="R474" s="147"/>
      <c r="S474" s="147"/>
      <c r="T474" s="147"/>
      <c r="U474" s="147"/>
      <c r="V474" s="147"/>
      <c r="W474" s="147"/>
      <c r="X474" s="147"/>
      <c r="Y474" s="147"/>
      <c r="Z474" s="147"/>
      <c r="AA474" s="147"/>
      <c r="AB474" s="147"/>
      <c r="AC474" s="147"/>
      <c r="AD474" s="147"/>
      <c r="AE474" s="147"/>
      <c r="AF474" s="147"/>
      <c r="AG474" s="147"/>
      <c r="AH474" s="147"/>
      <c r="AI474" s="147"/>
    </row>
    <row r="475">
      <c r="A475" s="167"/>
      <c r="B475" s="169"/>
      <c r="C475" s="170"/>
      <c r="D475" s="170"/>
      <c r="E475" s="170"/>
      <c r="F475" s="170"/>
      <c r="G475" s="171"/>
      <c r="H475" s="171"/>
      <c r="I475" s="172"/>
      <c r="J475" s="172"/>
      <c r="K475" s="172"/>
      <c r="L475" s="172"/>
      <c r="M475" s="147"/>
      <c r="Q475" s="147"/>
      <c r="R475" s="147"/>
      <c r="S475" s="147"/>
      <c r="T475" s="147"/>
      <c r="U475" s="147"/>
      <c r="V475" s="147"/>
      <c r="W475" s="147"/>
      <c r="X475" s="147"/>
      <c r="Y475" s="147"/>
      <c r="Z475" s="147"/>
      <c r="AA475" s="147"/>
      <c r="AB475" s="147"/>
      <c r="AC475" s="147"/>
      <c r="AD475" s="147"/>
      <c r="AE475" s="147"/>
      <c r="AF475" s="147"/>
      <c r="AG475" s="147"/>
      <c r="AH475" s="147"/>
      <c r="AI475" s="147"/>
    </row>
    <row r="476">
      <c r="A476" s="167"/>
      <c r="B476" s="169"/>
      <c r="C476" s="170"/>
      <c r="D476" s="170"/>
      <c r="E476" s="170"/>
      <c r="F476" s="170"/>
      <c r="G476" s="171"/>
      <c r="H476" s="171"/>
      <c r="I476" s="172"/>
      <c r="J476" s="172"/>
      <c r="K476" s="172"/>
      <c r="L476" s="172"/>
      <c r="M476" s="147"/>
      <c r="Q476" s="147"/>
      <c r="R476" s="147"/>
      <c r="S476" s="147"/>
      <c r="T476" s="147"/>
      <c r="U476" s="147"/>
      <c r="V476" s="147"/>
      <c r="W476" s="147"/>
      <c r="X476" s="147"/>
      <c r="Y476" s="147"/>
      <c r="Z476" s="147"/>
      <c r="AA476" s="147"/>
      <c r="AB476" s="147"/>
      <c r="AC476" s="147"/>
      <c r="AD476" s="147"/>
      <c r="AE476" s="147"/>
      <c r="AF476" s="147"/>
      <c r="AG476" s="147"/>
      <c r="AH476" s="147"/>
      <c r="AI476" s="147"/>
    </row>
    <row r="477">
      <c r="A477" s="167"/>
      <c r="B477" s="169"/>
      <c r="C477" s="170"/>
      <c r="D477" s="170"/>
      <c r="E477" s="170"/>
      <c r="F477" s="170"/>
      <c r="G477" s="171"/>
      <c r="H477" s="171"/>
      <c r="I477" s="172"/>
      <c r="J477" s="172"/>
      <c r="K477" s="172"/>
      <c r="L477" s="172"/>
      <c r="M477" s="147"/>
      <c r="Q477" s="147"/>
      <c r="R477" s="147"/>
      <c r="S477" s="147"/>
      <c r="T477" s="147"/>
      <c r="U477" s="147"/>
      <c r="V477" s="147"/>
      <c r="W477" s="147"/>
      <c r="X477" s="147"/>
      <c r="Y477" s="147"/>
      <c r="Z477" s="147"/>
      <c r="AA477" s="147"/>
      <c r="AB477" s="147"/>
      <c r="AC477" s="147"/>
      <c r="AD477" s="147"/>
      <c r="AE477" s="147"/>
      <c r="AF477" s="147"/>
      <c r="AG477" s="147"/>
      <c r="AH477" s="147"/>
      <c r="AI477" s="147"/>
    </row>
    <row r="478">
      <c r="A478" s="167"/>
      <c r="B478" s="169"/>
      <c r="C478" s="170"/>
      <c r="D478" s="170"/>
      <c r="E478" s="170"/>
      <c r="F478" s="170"/>
      <c r="G478" s="171"/>
      <c r="H478" s="171"/>
      <c r="I478" s="172"/>
      <c r="J478" s="172"/>
      <c r="K478" s="172"/>
      <c r="L478" s="172"/>
      <c r="M478" s="147"/>
      <c r="Q478" s="147"/>
      <c r="R478" s="147"/>
      <c r="S478" s="147"/>
      <c r="T478" s="147"/>
      <c r="U478" s="147"/>
      <c r="V478" s="147"/>
      <c r="W478" s="147"/>
      <c r="X478" s="147"/>
      <c r="Y478" s="147"/>
      <c r="Z478" s="147"/>
      <c r="AA478" s="147"/>
      <c r="AB478" s="147"/>
      <c r="AC478" s="147"/>
      <c r="AD478" s="147"/>
      <c r="AE478" s="147"/>
      <c r="AF478" s="147"/>
      <c r="AG478" s="147"/>
      <c r="AH478" s="147"/>
      <c r="AI478" s="147"/>
    </row>
    <row r="479">
      <c r="A479" s="167"/>
      <c r="B479" s="169"/>
      <c r="C479" s="170"/>
      <c r="D479" s="170"/>
      <c r="E479" s="170"/>
      <c r="F479" s="170"/>
      <c r="G479" s="171"/>
      <c r="H479" s="171"/>
      <c r="I479" s="172"/>
      <c r="J479" s="172"/>
      <c r="K479" s="172"/>
      <c r="L479" s="172"/>
      <c r="M479" s="147"/>
      <c r="Q479" s="147"/>
      <c r="R479" s="147"/>
      <c r="S479" s="147"/>
      <c r="T479" s="147"/>
      <c r="U479" s="147"/>
      <c r="V479" s="147"/>
      <c r="W479" s="147"/>
      <c r="X479" s="147"/>
      <c r="Y479" s="147"/>
      <c r="Z479" s="147"/>
      <c r="AA479" s="147"/>
      <c r="AB479" s="147"/>
      <c r="AC479" s="147"/>
      <c r="AD479" s="147"/>
      <c r="AE479" s="147"/>
      <c r="AF479" s="147"/>
      <c r="AG479" s="147"/>
      <c r="AH479" s="147"/>
      <c r="AI479" s="147"/>
    </row>
    <row r="480">
      <c r="A480" s="167"/>
      <c r="B480" s="169"/>
      <c r="C480" s="170"/>
      <c r="D480" s="170"/>
      <c r="E480" s="170"/>
      <c r="F480" s="170"/>
      <c r="G480" s="171"/>
      <c r="H480" s="171"/>
      <c r="I480" s="172"/>
      <c r="J480" s="172"/>
      <c r="K480" s="172"/>
      <c r="L480" s="172"/>
      <c r="M480" s="147"/>
      <c r="Q480" s="147"/>
      <c r="R480" s="147"/>
      <c r="S480" s="147"/>
      <c r="T480" s="147"/>
      <c r="U480" s="147"/>
      <c r="V480" s="147"/>
      <c r="W480" s="147"/>
      <c r="X480" s="147"/>
      <c r="Y480" s="147"/>
      <c r="Z480" s="147"/>
      <c r="AA480" s="147"/>
      <c r="AB480" s="147"/>
      <c r="AC480" s="147"/>
      <c r="AD480" s="147"/>
      <c r="AE480" s="147"/>
      <c r="AF480" s="147"/>
      <c r="AG480" s="147"/>
      <c r="AH480" s="147"/>
      <c r="AI480" s="147"/>
    </row>
    <row r="481">
      <c r="A481" s="167"/>
      <c r="B481" s="169"/>
      <c r="C481" s="170"/>
      <c r="D481" s="170"/>
      <c r="E481" s="170"/>
      <c r="F481" s="170"/>
      <c r="G481" s="171"/>
      <c r="H481" s="171"/>
      <c r="I481" s="172"/>
      <c r="J481" s="172"/>
      <c r="K481" s="172"/>
      <c r="L481" s="172"/>
      <c r="M481" s="147"/>
      <c r="Q481" s="147"/>
      <c r="R481" s="147"/>
      <c r="S481" s="147"/>
      <c r="T481" s="147"/>
      <c r="U481" s="147"/>
      <c r="V481" s="147"/>
      <c r="W481" s="147"/>
      <c r="X481" s="147"/>
      <c r="Y481" s="147"/>
      <c r="Z481" s="147"/>
      <c r="AA481" s="147"/>
      <c r="AB481" s="147"/>
      <c r="AC481" s="147"/>
      <c r="AD481" s="147"/>
      <c r="AE481" s="147"/>
      <c r="AF481" s="147"/>
      <c r="AG481" s="147"/>
      <c r="AH481" s="147"/>
      <c r="AI481" s="147"/>
    </row>
    <row r="482">
      <c r="A482" s="167"/>
      <c r="B482" s="169"/>
      <c r="C482" s="170"/>
      <c r="D482" s="170"/>
      <c r="E482" s="170"/>
      <c r="F482" s="170"/>
      <c r="G482" s="171"/>
      <c r="H482" s="171"/>
      <c r="I482" s="172"/>
      <c r="J482" s="172"/>
      <c r="K482" s="172"/>
      <c r="L482" s="172"/>
      <c r="M482" s="147"/>
      <c r="Q482" s="147"/>
      <c r="R482" s="147"/>
      <c r="S482" s="147"/>
      <c r="T482" s="147"/>
      <c r="U482" s="147"/>
      <c r="V482" s="147"/>
      <c r="W482" s="147"/>
      <c r="X482" s="147"/>
      <c r="Y482" s="147"/>
      <c r="Z482" s="147"/>
      <c r="AA482" s="147"/>
      <c r="AB482" s="147"/>
      <c r="AC482" s="147"/>
      <c r="AD482" s="147"/>
      <c r="AE482" s="147"/>
      <c r="AF482" s="147"/>
      <c r="AG482" s="147"/>
      <c r="AH482" s="147"/>
      <c r="AI482" s="147"/>
    </row>
    <row r="483">
      <c r="A483" s="167"/>
      <c r="B483" s="169"/>
      <c r="C483" s="170"/>
      <c r="D483" s="170"/>
      <c r="E483" s="170"/>
      <c r="F483" s="170"/>
      <c r="G483" s="171"/>
      <c r="H483" s="171"/>
      <c r="I483" s="172"/>
      <c r="J483" s="172"/>
      <c r="K483" s="172"/>
      <c r="L483" s="172"/>
      <c r="M483" s="147"/>
      <c r="Q483" s="147"/>
      <c r="R483" s="147"/>
      <c r="S483" s="147"/>
      <c r="T483" s="147"/>
      <c r="U483" s="147"/>
      <c r="V483" s="147"/>
      <c r="W483" s="147"/>
      <c r="X483" s="147"/>
      <c r="Y483" s="147"/>
      <c r="Z483" s="147"/>
      <c r="AA483" s="147"/>
      <c r="AB483" s="147"/>
      <c r="AC483" s="147"/>
      <c r="AD483" s="147"/>
      <c r="AE483" s="147"/>
      <c r="AF483" s="147"/>
      <c r="AG483" s="147"/>
      <c r="AH483" s="147"/>
      <c r="AI483" s="147"/>
    </row>
    <row r="484">
      <c r="A484" s="167"/>
      <c r="B484" s="169"/>
      <c r="C484" s="170"/>
      <c r="D484" s="170"/>
      <c r="E484" s="170"/>
      <c r="F484" s="170"/>
      <c r="G484" s="171"/>
      <c r="H484" s="171"/>
      <c r="I484" s="172"/>
      <c r="J484" s="172"/>
      <c r="K484" s="172"/>
      <c r="L484" s="172"/>
      <c r="M484" s="147"/>
      <c r="Q484" s="147"/>
      <c r="R484" s="147"/>
      <c r="S484" s="147"/>
      <c r="T484" s="147"/>
      <c r="U484" s="147"/>
      <c r="V484" s="147"/>
      <c r="W484" s="147"/>
      <c r="X484" s="147"/>
      <c r="Y484" s="147"/>
      <c r="Z484" s="147"/>
      <c r="AA484" s="147"/>
      <c r="AB484" s="147"/>
      <c r="AC484" s="147"/>
      <c r="AD484" s="147"/>
      <c r="AE484" s="147"/>
      <c r="AF484" s="147"/>
      <c r="AG484" s="147"/>
      <c r="AH484" s="147"/>
      <c r="AI484" s="147"/>
    </row>
    <row r="485">
      <c r="A485" s="167"/>
      <c r="B485" s="169"/>
      <c r="C485" s="170"/>
      <c r="D485" s="170"/>
      <c r="E485" s="170"/>
      <c r="F485" s="170"/>
      <c r="G485" s="171"/>
      <c r="H485" s="171"/>
      <c r="I485" s="172"/>
      <c r="J485" s="172"/>
      <c r="K485" s="172"/>
      <c r="L485" s="172"/>
      <c r="M485" s="147"/>
      <c r="Q485" s="147"/>
      <c r="R485" s="147"/>
      <c r="S485" s="147"/>
      <c r="T485" s="147"/>
      <c r="U485" s="147"/>
      <c r="V485" s="147"/>
      <c r="W485" s="147"/>
      <c r="X485" s="147"/>
      <c r="Y485" s="147"/>
      <c r="Z485" s="147"/>
      <c r="AA485" s="147"/>
      <c r="AB485" s="147"/>
      <c r="AC485" s="147"/>
      <c r="AD485" s="147"/>
      <c r="AE485" s="147"/>
      <c r="AF485" s="147"/>
      <c r="AG485" s="147"/>
      <c r="AH485" s="147"/>
      <c r="AI485" s="147"/>
    </row>
    <row r="486">
      <c r="A486" s="167"/>
      <c r="B486" s="169"/>
      <c r="C486" s="170"/>
      <c r="D486" s="170"/>
      <c r="E486" s="170"/>
      <c r="F486" s="170"/>
      <c r="G486" s="171"/>
      <c r="H486" s="171"/>
      <c r="I486" s="172"/>
      <c r="J486" s="172"/>
      <c r="K486" s="172"/>
      <c r="L486" s="172"/>
      <c r="M486" s="147"/>
      <c r="Q486" s="147"/>
      <c r="R486" s="147"/>
      <c r="S486" s="147"/>
      <c r="T486" s="147"/>
      <c r="U486" s="147"/>
      <c r="V486" s="147"/>
      <c r="W486" s="147"/>
      <c r="X486" s="147"/>
      <c r="Y486" s="147"/>
      <c r="Z486" s="147"/>
      <c r="AA486" s="147"/>
      <c r="AB486" s="147"/>
      <c r="AC486" s="147"/>
      <c r="AD486" s="147"/>
      <c r="AE486" s="147"/>
      <c r="AF486" s="147"/>
      <c r="AG486" s="147"/>
      <c r="AH486" s="147"/>
      <c r="AI486" s="147"/>
    </row>
    <row r="487">
      <c r="A487" s="167"/>
      <c r="B487" s="169"/>
      <c r="C487" s="170"/>
      <c r="D487" s="170"/>
      <c r="E487" s="170"/>
      <c r="F487" s="170"/>
      <c r="G487" s="171"/>
      <c r="H487" s="171"/>
      <c r="I487" s="172"/>
      <c r="J487" s="172"/>
      <c r="K487" s="172"/>
      <c r="L487" s="172"/>
      <c r="M487" s="147"/>
      <c r="Q487" s="147"/>
      <c r="R487" s="147"/>
      <c r="S487" s="147"/>
      <c r="T487" s="147"/>
      <c r="U487" s="147"/>
      <c r="V487" s="147"/>
      <c r="W487" s="147"/>
      <c r="X487" s="147"/>
      <c r="Y487" s="147"/>
      <c r="Z487" s="147"/>
      <c r="AA487" s="147"/>
      <c r="AB487" s="147"/>
      <c r="AC487" s="147"/>
      <c r="AD487" s="147"/>
      <c r="AE487" s="147"/>
      <c r="AF487" s="147"/>
      <c r="AG487" s="147"/>
      <c r="AH487" s="147"/>
      <c r="AI487" s="147"/>
    </row>
    <row r="488">
      <c r="A488" s="167"/>
      <c r="B488" s="169"/>
      <c r="C488" s="170"/>
      <c r="D488" s="170"/>
      <c r="E488" s="170"/>
      <c r="F488" s="170"/>
      <c r="G488" s="171"/>
      <c r="H488" s="171"/>
      <c r="I488" s="172"/>
      <c r="J488" s="172"/>
      <c r="K488" s="172"/>
      <c r="L488" s="172"/>
      <c r="M488" s="147"/>
      <c r="Q488" s="147"/>
      <c r="R488" s="147"/>
      <c r="S488" s="147"/>
      <c r="T488" s="147"/>
      <c r="U488" s="147"/>
      <c r="V488" s="147"/>
      <c r="W488" s="147"/>
      <c r="X488" s="147"/>
      <c r="Y488" s="147"/>
      <c r="Z488" s="147"/>
      <c r="AA488" s="147"/>
      <c r="AB488" s="147"/>
      <c r="AC488" s="147"/>
      <c r="AD488" s="147"/>
      <c r="AE488" s="147"/>
      <c r="AF488" s="147"/>
      <c r="AG488" s="147"/>
      <c r="AH488" s="147"/>
      <c r="AI488" s="147"/>
    </row>
    <row r="489">
      <c r="A489" s="167"/>
      <c r="B489" s="169"/>
      <c r="C489" s="170"/>
      <c r="D489" s="170"/>
      <c r="E489" s="170"/>
      <c r="F489" s="170"/>
      <c r="G489" s="171"/>
      <c r="H489" s="171"/>
      <c r="I489" s="172"/>
      <c r="J489" s="172"/>
      <c r="K489" s="172"/>
      <c r="L489" s="172"/>
      <c r="M489" s="147"/>
      <c r="Q489" s="147"/>
      <c r="R489" s="147"/>
      <c r="S489" s="147"/>
      <c r="T489" s="147"/>
      <c r="U489" s="147"/>
      <c r="V489" s="147"/>
      <c r="W489" s="147"/>
      <c r="X489" s="147"/>
      <c r="Y489" s="147"/>
      <c r="Z489" s="147"/>
      <c r="AA489" s="147"/>
      <c r="AB489" s="147"/>
      <c r="AC489" s="147"/>
      <c r="AD489" s="147"/>
      <c r="AE489" s="147"/>
      <c r="AF489" s="147"/>
      <c r="AG489" s="147"/>
      <c r="AH489" s="147"/>
      <c r="AI489" s="147"/>
    </row>
    <row r="490">
      <c r="A490" s="167"/>
      <c r="B490" s="169"/>
      <c r="C490" s="170"/>
      <c r="D490" s="170"/>
      <c r="E490" s="170"/>
      <c r="F490" s="170"/>
      <c r="G490" s="171"/>
      <c r="H490" s="171"/>
      <c r="I490" s="172"/>
      <c r="J490" s="172"/>
      <c r="K490" s="172"/>
      <c r="L490" s="172"/>
      <c r="M490" s="147"/>
      <c r="Q490" s="147"/>
      <c r="R490" s="147"/>
      <c r="S490" s="147"/>
      <c r="T490" s="147"/>
      <c r="U490" s="147"/>
      <c r="V490" s="147"/>
      <c r="W490" s="147"/>
      <c r="X490" s="147"/>
      <c r="Y490" s="147"/>
      <c r="Z490" s="147"/>
      <c r="AA490" s="147"/>
      <c r="AB490" s="147"/>
      <c r="AC490" s="147"/>
      <c r="AD490" s="147"/>
      <c r="AE490" s="147"/>
      <c r="AF490" s="147"/>
      <c r="AG490" s="147"/>
      <c r="AH490" s="147"/>
      <c r="AI490" s="147"/>
    </row>
    <row r="491">
      <c r="A491" s="167"/>
      <c r="B491" s="169"/>
      <c r="C491" s="170"/>
      <c r="D491" s="170"/>
      <c r="E491" s="170"/>
      <c r="F491" s="170"/>
      <c r="G491" s="171"/>
      <c r="H491" s="171"/>
      <c r="I491" s="172"/>
      <c r="J491" s="172"/>
      <c r="K491" s="172"/>
      <c r="L491" s="172"/>
      <c r="M491" s="147"/>
      <c r="Q491" s="147"/>
      <c r="R491" s="147"/>
      <c r="S491" s="147"/>
      <c r="T491" s="147"/>
      <c r="U491" s="147"/>
      <c r="V491" s="147"/>
      <c r="W491" s="147"/>
      <c r="X491" s="147"/>
      <c r="Y491" s="147"/>
      <c r="Z491" s="147"/>
      <c r="AA491" s="147"/>
      <c r="AB491" s="147"/>
      <c r="AC491" s="147"/>
      <c r="AD491" s="147"/>
      <c r="AE491" s="147"/>
      <c r="AF491" s="147"/>
      <c r="AG491" s="147"/>
      <c r="AH491" s="147"/>
      <c r="AI491" s="147"/>
    </row>
    <row r="492">
      <c r="A492" s="167"/>
      <c r="B492" s="169"/>
      <c r="C492" s="170"/>
      <c r="D492" s="170"/>
      <c r="E492" s="170"/>
      <c r="F492" s="170"/>
      <c r="G492" s="171"/>
      <c r="H492" s="171"/>
      <c r="I492" s="172"/>
      <c r="J492" s="172"/>
      <c r="K492" s="172"/>
      <c r="L492" s="172"/>
      <c r="M492" s="147"/>
      <c r="Q492" s="147"/>
      <c r="R492" s="147"/>
      <c r="S492" s="147"/>
      <c r="T492" s="147"/>
      <c r="U492" s="147"/>
      <c r="V492" s="147"/>
      <c r="W492" s="147"/>
      <c r="X492" s="147"/>
      <c r="Y492" s="147"/>
      <c r="Z492" s="147"/>
      <c r="AA492" s="147"/>
      <c r="AB492" s="147"/>
      <c r="AC492" s="147"/>
      <c r="AD492" s="147"/>
      <c r="AE492" s="147"/>
      <c r="AF492" s="147"/>
      <c r="AG492" s="147"/>
      <c r="AH492" s="147"/>
      <c r="AI492" s="147"/>
    </row>
    <row r="493">
      <c r="A493" s="167"/>
      <c r="B493" s="169"/>
      <c r="C493" s="170"/>
      <c r="D493" s="170"/>
      <c r="E493" s="170"/>
      <c r="F493" s="170"/>
      <c r="G493" s="171"/>
      <c r="H493" s="171"/>
      <c r="I493" s="172"/>
      <c r="J493" s="172"/>
      <c r="K493" s="172"/>
      <c r="L493" s="172"/>
      <c r="M493" s="147"/>
      <c r="Q493" s="147"/>
      <c r="R493" s="147"/>
      <c r="S493" s="147"/>
      <c r="T493" s="147"/>
      <c r="U493" s="147"/>
      <c r="V493" s="147"/>
      <c r="W493" s="147"/>
      <c r="X493" s="147"/>
      <c r="Y493" s="147"/>
      <c r="Z493" s="147"/>
      <c r="AA493" s="147"/>
      <c r="AB493" s="147"/>
      <c r="AC493" s="147"/>
      <c r="AD493" s="147"/>
      <c r="AE493" s="147"/>
      <c r="AF493" s="147"/>
      <c r="AG493" s="147"/>
      <c r="AH493" s="147"/>
      <c r="AI493" s="147"/>
    </row>
    <row r="494">
      <c r="A494" s="167"/>
      <c r="B494" s="169"/>
      <c r="C494" s="170"/>
      <c r="D494" s="170"/>
      <c r="E494" s="170"/>
      <c r="F494" s="170"/>
      <c r="G494" s="171"/>
      <c r="H494" s="171"/>
      <c r="I494" s="172"/>
      <c r="J494" s="172"/>
      <c r="K494" s="172"/>
      <c r="L494" s="172"/>
      <c r="M494" s="147"/>
      <c r="Q494" s="147"/>
      <c r="R494" s="147"/>
      <c r="S494" s="147"/>
      <c r="T494" s="147"/>
      <c r="U494" s="147"/>
      <c r="V494" s="147"/>
      <c r="W494" s="147"/>
      <c r="X494" s="147"/>
      <c r="Y494" s="147"/>
      <c r="Z494" s="147"/>
      <c r="AA494" s="147"/>
      <c r="AB494" s="147"/>
      <c r="AC494" s="147"/>
      <c r="AD494" s="147"/>
      <c r="AE494" s="147"/>
      <c r="AF494" s="147"/>
      <c r="AG494" s="147"/>
      <c r="AH494" s="147"/>
      <c r="AI494" s="147"/>
    </row>
    <row r="495">
      <c r="A495" s="167"/>
      <c r="B495" s="169"/>
      <c r="C495" s="170"/>
      <c r="D495" s="170"/>
      <c r="E495" s="170"/>
      <c r="F495" s="170"/>
      <c r="G495" s="171"/>
      <c r="H495" s="171"/>
      <c r="I495" s="172"/>
      <c r="J495" s="172"/>
      <c r="K495" s="172"/>
      <c r="L495" s="172"/>
      <c r="M495" s="147"/>
      <c r="Q495" s="147"/>
      <c r="R495" s="147"/>
      <c r="S495" s="147"/>
      <c r="T495" s="147"/>
      <c r="U495" s="147"/>
      <c r="V495" s="147"/>
      <c r="W495" s="147"/>
      <c r="X495" s="147"/>
      <c r="Y495" s="147"/>
      <c r="Z495" s="147"/>
      <c r="AA495" s="147"/>
      <c r="AB495" s="147"/>
      <c r="AC495" s="147"/>
      <c r="AD495" s="147"/>
      <c r="AE495" s="147"/>
      <c r="AF495" s="147"/>
      <c r="AG495" s="147"/>
      <c r="AH495" s="147"/>
      <c r="AI495" s="147"/>
    </row>
    <row r="496">
      <c r="A496" s="167"/>
      <c r="B496" s="169"/>
      <c r="C496" s="170"/>
      <c r="D496" s="170"/>
      <c r="E496" s="170"/>
      <c r="F496" s="170"/>
      <c r="G496" s="171"/>
      <c r="H496" s="171"/>
      <c r="I496" s="172"/>
      <c r="J496" s="172"/>
      <c r="K496" s="172"/>
      <c r="L496" s="172"/>
      <c r="M496" s="147"/>
      <c r="Q496" s="147"/>
      <c r="R496" s="147"/>
      <c r="S496" s="147"/>
      <c r="T496" s="147"/>
      <c r="U496" s="147"/>
      <c r="V496" s="147"/>
      <c r="W496" s="147"/>
      <c r="X496" s="147"/>
      <c r="Y496" s="147"/>
      <c r="Z496" s="147"/>
      <c r="AA496" s="147"/>
      <c r="AB496" s="147"/>
      <c r="AC496" s="147"/>
      <c r="AD496" s="147"/>
      <c r="AE496" s="147"/>
      <c r="AF496" s="147"/>
      <c r="AG496" s="147"/>
      <c r="AH496" s="147"/>
      <c r="AI496" s="147"/>
    </row>
    <row r="497">
      <c r="A497" s="167"/>
      <c r="B497" s="169"/>
      <c r="C497" s="170"/>
      <c r="D497" s="170"/>
      <c r="E497" s="170"/>
      <c r="F497" s="170"/>
      <c r="G497" s="171"/>
      <c r="H497" s="171"/>
      <c r="I497" s="172"/>
      <c r="J497" s="172"/>
      <c r="K497" s="172"/>
      <c r="L497" s="172"/>
      <c r="M497" s="147"/>
      <c r="Q497" s="147"/>
      <c r="R497" s="147"/>
      <c r="S497" s="147"/>
      <c r="T497" s="147"/>
      <c r="U497" s="147"/>
      <c r="V497" s="147"/>
      <c r="W497" s="147"/>
      <c r="X497" s="147"/>
      <c r="Y497" s="147"/>
      <c r="Z497" s="147"/>
      <c r="AA497" s="147"/>
      <c r="AB497" s="147"/>
      <c r="AC497" s="147"/>
      <c r="AD497" s="147"/>
      <c r="AE497" s="147"/>
      <c r="AF497" s="147"/>
      <c r="AG497" s="147"/>
      <c r="AH497" s="147"/>
      <c r="AI497" s="147"/>
    </row>
    <row r="498">
      <c r="A498" s="167"/>
      <c r="B498" s="169"/>
      <c r="C498" s="170"/>
      <c r="D498" s="170"/>
      <c r="E498" s="170"/>
      <c r="F498" s="170"/>
      <c r="G498" s="171"/>
      <c r="H498" s="171"/>
      <c r="I498" s="172"/>
      <c r="J498" s="172"/>
      <c r="K498" s="172"/>
      <c r="L498" s="172"/>
      <c r="M498" s="147"/>
      <c r="Q498" s="147"/>
      <c r="R498" s="147"/>
      <c r="S498" s="147"/>
      <c r="T498" s="147"/>
      <c r="U498" s="147"/>
      <c r="V498" s="147"/>
      <c r="W498" s="147"/>
      <c r="X498" s="147"/>
      <c r="Y498" s="147"/>
      <c r="Z498" s="147"/>
      <c r="AA498" s="147"/>
      <c r="AB498" s="147"/>
      <c r="AC498" s="147"/>
      <c r="AD498" s="147"/>
      <c r="AE498" s="147"/>
      <c r="AF498" s="147"/>
      <c r="AG498" s="147"/>
      <c r="AH498" s="147"/>
      <c r="AI498" s="147"/>
    </row>
    <row r="499">
      <c r="A499" s="167"/>
      <c r="B499" s="169"/>
      <c r="C499" s="170"/>
      <c r="D499" s="170"/>
      <c r="E499" s="170"/>
      <c r="F499" s="170"/>
      <c r="G499" s="171"/>
      <c r="H499" s="171"/>
      <c r="I499" s="172"/>
      <c r="J499" s="172"/>
      <c r="K499" s="172"/>
      <c r="L499" s="172"/>
      <c r="M499" s="147"/>
      <c r="Q499" s="147"/>
      <c r="R499" s="147"/>
      <c r="S499" s="147"/>
      <c r="T499" s="147"/>
      <c r="U499" s="147"/>
      <c r="V499" s="147"/>
      <c r="W499" s="147"/>
      <c r="X499" s="147"/>
      <c r="Y499" s="147"/>
      <c r="Z499" s="147"/>
      <c r="AA499" s="147"/>
      <c r="AB499" s="147"/>
      <c r="AC499" s="147"/>
      <c r="AD499" s="147"/>
      <c r="AE499" s="147"/>
      <c r="AF499" s="147"/>
      <c r="AG499" s="147"/>
      <c r="AH499" s="147"/>
      <c r="AI499" s="147"/>
    </row>
    <row r="500">
      <c r="A500" s="167"/>
      <c r="B500" s="169"/>
      <c r="C500" s="170"/>
      <c r="D500" s="170"/>
      <c r="E500" s="170"/>
      <c r="F500" s="170"/>
      <c r="G500" s="171"/>
      <c r="H500" s="171"/>
      <c r="I500" s="172"/>
      <c r="J500" s="172"/>
      <c r="K500" s="172"/>
      <c r="L500" s="172"/>
      <c r="M500" s="147"/>
      <c r="Q500" s="147"/>
      <c r="R500" s="147"/>
      <c r="S500" s="147"/>
      <c r="T500" s="147"/>
      <c r="U500" s="147"/>
      <c r="V500" s="147"/>
      <c r="W500" s="147"/>
      <c r="X500" s="147"/>
      <c r="Y500" s="147"/>
      <c r="Z500" s="147"/>
      <c r="AA500" s="147"/>
      <c r="AB500" s="147"/>
      <c r="AC500" s="147"/>
      <c r="AD500" s="147"/>
      <c r="AE500" s="147"/>
      <c r="AF500" s="147"/>
      <c r="AG500" s="147"/>
      <c r="AH500" s="147"/>
      <c r="AI500" s="147"/>
    </row>
    <row r="501">
      <c r="A501" s="167"/>
      <c r="B501" s="169"/>
      <c r="C501" s="170"/>
      <c r="D501" s="170"/>
      <c r="E501" s="170"/>
      <c r="F501" s="170"/>
      <c r="G501" s="171"/>
      <c r="H501" s="171"/>
      <c r="I501" s="172"/>
      <c r="J501" s="172"/>
      <c r="K501" s="172"/>
      <c r="L501" s="172"/>
      <c r="M501" s="147"/>
      <c r="Q501" s="147"/>
      <c r="R501" s="147"/>
      <c r="S501" s="147"/>
      <c r="T501" s="147"/>
      <c r="U501" s="147"/>
      <c r="V501" s="147"/>
      <c r="W501" s="147"/>
      <c r="X501" s="147"/>
      <c r="Y501" s="147"/>
      <c r="Z501" s="147"/>
      <c r="AA501" s="147"/>
      <c r="AB501" s="147"/>
      <c r="AC501" s="147"/>
      <c r="AD501" s="147"/>
      <c r="AE501" s="147"/>
      <c r="AF501" s="147"/>
      <c r="AG501" s="147"/>
      <c r="AH501" s="147"/>
      <c r="AI501" s="147"/>
    </row>
    <row r="502">
      <c r="A502" s="167"/>
      <c r="B502" s="169"/>
      <c r="C502" s="170"/>
      <c r="D502" s="170"/>
      <c r="E502" s="170"/>
      <c r="F502" s="170"/>
      <c r="G502" s="171"/>
      <c r="H502" s="171"/>
      <c r="I502" s="172"/>
      <c r="J502" s="172"/>
      <c r="K502" s="172"/>
      <c r="L502" s="172"/>
      <c r="M502" s="147"/>
      <c r="Q502" s="147"/>
      <c r="R502" s="147"/>
      <c r="S502" s="147"/>
      <c r="T502" s="147"/>
      <c r="U502" s="147"/>
      <c r="V502" s="147"/>
      <c r="W502" s="147"/>
      <c r="X502" s="147"/>
      <c r="Y502" s="147"/>
      <c r="Z502" s="147"/>
      <c r="AA502" s="147"/>
      <c r="AB502" s="147"/>
      <c r="AC502" s="147"/>
      <c r="AD502" s="147"/>
      <c r="AE502" s="147"/>
      <c r="AF502" s="147"/>
      <c r="AG502" s="147"/>
      <c r="AH502" s="147"/>
      <c r="AI502" s="147"/>
    </row>
    <row r="503">
      <c r="A503" s="167"/>
      <c r="B503" s="169"/>
      <c r="C503" s="170"/>
      <c r="D503" s="170"/>
      <c r="E503" s="170"/>
      <c r="F503" s="170"/>
      <c r="G503" s="171"/>
      <c r="H503" s="171"/>
      <c r="I503" s="172"/>
      <c r="J503" s="172"/>
      <c r="K503" s="172"/>
      <c r="L503" s="172"/>
      <c r="M503" s="147"/>
      <c r="Q503" s="147"/>
      <c r="R503" s="147"/>
      <c r="S503" s="147"/>
      <c r="T503" s="147"/>
      <c r="U503" s="147"/>
      <c r="V503" s="147"/>
      <c r="W503" s="147"/>
      <c r="X503" s="147"/>
      <c r="Y503" s="147"/>
      <c r="Z503" s="147"/>
      <c r="AA503" s="147"/>
      <c r="AB503" s="147"/>
      <c r="AC503" s="147"/>
      <c r="AD503" s="147"/>
      <c r="AE503" s="147"/>
      <c r="AF503" s="147"/>
      <c r="AG503" s="147"/>
      <c r="AH503" s="147"/>
      <c r="AI503" s="147"/>
    </row>
    <row r="504">
      <c r="A504" s="167"/>
      <c r="B504" s="169"/>
      <c r="C504" s="170"/>
      <c r="D504" s="170"/>
      <c r="E504" s="170"/>
      <c r="F504" s="170"/>
      <c r="G504" s="171"/>
      <c r="H504" s="171"/>
      <c r="I504" s="172"/>
      <c r="J504" s="172"/>
      <c r="K504" s="172"/>
      <c r="L504" s="172"/>
      <c r="M504" s="147"/>
      <c r="Q504" s="147"/>
      <c r="R504" s="147"/>
      <c r="S504" s="147"/>
      <c r="T504" s="147"/>
      <c r="U504" s="147"/>
      <c r="V504" s="147"/>
      <c r="W504" s="147"/>
      <c r="X504" s="147"/>
      <c r="Y504" s="147"/>
      <c r="Z504" s="147"/>
      <c r="AA504" s="147"/>
      <c r="AB504" s="147"/>
      <c r="AC504" s="147"/>
      <c r="AD504" s="147"/>
      <c r="AE504" s="147"/>
      <c r="AF504" s="147"/>
      <c r="AG504" s="147"/>
      <c r="AH504" s="147"/>
      <c r="AI504" s="147"/>
    </row>
    <row r="505">
      <c r="A505" s="167"/>
      <c r="B505" s="169"/>
      <c r="C505" s="170"/>
      <c r="D505" s="170"/>
      <c r="E505" s="170"/>
      <c r="F505" s="170"/>
      <c r="G505" s="171"/>
      <c r="H505" s="171"/>
      <c r="I505" s="172"/>
      <c r="J505" s="172"/>
      <c r="K505" s="172"/>
      <c r="L505" s="172"/>
      <c r="M505" s="147"/>
      <c r="Q505" s="147"/>
      <c r="R505" s="147"/>
      <c r="S505" s="147"/>
      <c r="T505" s="147"/>
      <c r="U505" s="147"/>
      <c r="V505" s="147"/>
      <c r="W505" s="147"/>
      <c r="X505" s="147"/>
      <c r="Y505" s="147"/>
      <c r="Z505" s="147"/>
      <c r="AA505" s="147"/>
      <c r="AB505" s="147"/>
      <c r="AC505" s="147"/>
      <c r="AD505" s="147"/>
      <c r="AE505" s="147"/>
      <c r="AF505" s="147"/>
      <c r="AG505" s="147"/>
      <c r="AH505" s="147"/>
      <c r="AI505" s="147"/>
    </row>
    <row r="506">
      <c r="A506" s="167"/>
      <c r="B506" s="169"/>
      <c r="C506" s="170"/>
      <c r="D506" s="170"/>
      <c r="E506" s="170"/>
      <c r="F506" s="170"/>
      <c r="G506" s="171"/>
      <c r="H506" s="171"/>
      <c r="I506" s="172"/>
      <c r="J506" s="172"/>
      <c r="K506" s="172"/>
      <c r="L506" s="172"/>
      <c r="M506" s="147"/>
      <c r="Q506" s="147"/>
      <c r="R506" s="147"/>
      <c r="S506" s="147"/>
      <c r="T506" s="147"/>
      <c r="U506" s="147"/>
      <c r="V506" s="147"/>
      <c r="W506" s="147"/>
      <c r="X506" s="147"/>
      <c r="Y506" s="147"/>
      <c r="Z506" s="147"/>
      <c r="AA506" s="147"/>
      <c r="AB506" s="147"/>
      <c r="AC506" s="147"/>
      <c r="AD506" s="147"/>
      <c r="AE506" s="147"/>
      <c r="AF506" s="147"/>
      <c r="AG506" s="147"/>
      <c r="AH506" s="147"/>
      <c r="AI506" s="147"/>
    </row>
    <row r="507">
      <c r="A507" s="167"/>
      <c r="B507" s="169"/>
      <c r="C507" s="170"/>
      <c r="D507" s="170"/>
      <c r="E507" s="170"/>
      <c r="F507" s="170"/>
      <c r="G507" s="171"/>
      <c r="H507" s="171"/>
      <c r="I507" s="172"/>
      <c r="J507" s="172"/>
      <c r="K507" s="172"/>
      <c r="L507" s="172"/>
      <c r="M507" s="147"/>
      <c r="Q507" s="147"/>
      <c r="R507" s="147"/>
      <c r="S507" s="147"/>
      <c r="T507" s="147"/>
      <c r="U507" s="147"/>
      <c r="V507" s="147"/>
      <c r="W507" s="147"/>
      <c r="X507" s="147"/>
      <c r="Y507" s="147"/>
      <c r="Z507" s="147"/>
      <c r="AA507" s="147"/>
      <c r="AB507" s="147"/>
      <c r="AC507" s="147"/>
      <c r="AD507" s="147"/>
      <c r="AE507" s="147"/>
      <c r="AF507" s="147"/>
      <c r="AG507" s="147"/>
      <c r="AH507" s="147"/>
      <c r="AI507" s="147"/>
    </row>
    <row r="508">
      <c r="A508" s="167"/>
      <c r="B508" s="169"/>
      <c r="C508" s="170"/>
      <c r="D508" s="170"/>
      <c r="E508" s="170"/>
      <c r="F508" s="170"/>
      <c r="G508" s="171"/>
      <c r="H508" s="171"/>
      <c r="I508" s="172"/>
      <c r="J508" s="172"/>
      <c r="K508" s="172"/>
      <c r="L508" s="172"/>
      <c r="M508" s="147"/>
      <c r="Q508" s="147"/>
      <c r="R508" s="147"/>
      <c r="S508" s="147"/>
      <c r="T508" s="147"/>
      <c r="U508" s="147"/>
      <c r="V508" s="147"/>
      <c r="W508" s="147"/>
      <c r="X508" s="147"/>
      <c r="Y508" s="147"/>
      <c r="Z508" s="147"/>
      <c r="AA508" s="147"/>
      <c r="AB508" s="147"/>
      <c r="AC508" s="147"/>
      <c r="AD508" s="147"/>
      <c r="AE508" s="147"/>
      <c r="AF508" s="147"/>
      <c r="AG508" s="147"/>
      <c r="AH508" s="147"/>
      <c r="AI508" s="147"/>
    </row>
    <row r="509">
      <c r="A509" s="167"/>
      <c r="B509" s="169"/>
      <c r="C509" s="170"/>
      <c r="D509" s="170"/>
      <c r="E509" s="170"/>
      <c r="F509" s="170"/>
      <c r="G509" s="171"/>
      <c r="H509" s="171"/>
      <c r="I509" s="172"/>
      <c r="J509" s="172"/>
      <c r="K509" s="172"/>
      <c r="L509" s="172"/>
      <c r="M509" s="147"/>
      <c r="Q509" s="147"/>
      <c r="R509" s="147"/>
      <c r="S509" s="147"/>
      <c r="T509" s="147"/>
      <c r="U509" s="147"/>
      <c r="V509" s="147"/>
      <c r="W509" s="147"/>
      <c r="X509" s="147"/>
      <c r="Y509" s="147"/>
      <c r="Z509" s="147"/>
      <c r="AA509" s="147"/>
      <c r="AB509" s="147"/>
      <c r="AC509" s="147"/>
      <c r="AD509" s="147"/>
      <c r="AE509" s="147"/>
      <c r="AF509" s="147"/>
      <c r="AG509" s="147"/>
      <c r="AH509" s="147"/>
      <c r="AI509" s="147"/>
    </row>
    <row r="510">
      <c r="A510" s="167"/>
      <c r="B510" s="169"/>
      <c r="C510" s="170"/>
      <c r="D510" s="170"/>
      <c r="E510" s="170"/>
      <c r="F510" s="170"/>
      <c r="G510" s="171"/>
      <c r="H510" s="171"/>
      <c r="I510" s="172"/>
      <c r="J510" s="172"/>
      <c r="K510" s="172"/>
      <c r="L510" s="172"/>
      <c r="M510" s="147"/>
      <c r="Q510" s="147"/>
      <c r="R510" s="147"/>
      <c r="S510" s="147"/>
      <c r="T510" s="147"/>
      <c r="U510" s="147"/>
      <c r="V510" s="147"/>
      <c r="W510" s="147"/>
      <c r="X510" s="147"/>
      <c r="Y510" s="147"/>
      <c r="Z510" s="147"/>
      <c r="AA510" s="147"/>
      <c r="AB510" s="147"/>
      <c r="AC510" s="147"/>
      <c r="AD510" s="147"/>
      <c r="AE510" s="147"/>
      <c r="AF510" s="147"/>
      <c r="AG510" s="147"/>
      <c r="AH510" s="147"/>
      <c r="AI510" s="147"/>
    </row>
    <row r="511">
      <c r="A511" s="167"/>
      <c r="B511" s="169"/>
      <c r="C511" s="170"/>
      <c r="D511" s="170"/>
      <c r="E511" s="170"/>
      <c r="F511" s="170"/>
      <c r="G511" s="171"/>
      <c r="H511" s="171"/>
      <c r="I511" s="172"/>
      <c r="J511" s="172"/>
      <c r="K511" s="172"/>
      <c r="L511" s="172"/>
      <c r="M511" s="147"/>
      <c r="Q511" s="147"/>
      <c r="R511" s="147"/>
      <c r="S511" s="147"/>
      <c r="T511" s="147"/>
      <c r="U511" s="147"/>
      <c r="V511" s="147"/>
      <c r="W511" s="147"/>
      <c r="X511" s="147"/>
      <c r="Y511" s="147"/>
      <c r="Z511" s="147"/>
      <c r="AA511" s="147"/>
      <c r="AB511" s="147"/>
      <c r="AC511" s="147"/>
      <c r="AD511" s="147"/>
      <c r="AE511" s="147"/>
      <c r="AF511" s="147"/>
      <c r="AG511" s="147"/>
      <c r="AH511" s="147"/>
      <c r="AI511" s="147"/>
    </row>
    <row r="512">
      <c r="A512" s="167"/>
      <c r="B512" s="169"/>
      <c r="C512" s="170"/>
      <c r="D512" s="170"/>
      <c r="E512" s="170"/>
      <c r="F512" s="170"/>
      <c r="G512" s="171"/>
      <c r="H512" s="171"/>
      <c r="I512" s="172"/>
      <c r="J512" s="172"/>
      <c r="K512" s="172"/>
      <c r="L512" s="172"/>
      <c r="M512" s="147"/>
      <c r="Q512" s="147"/>
      <c r="R512" s="147"/>
      <c r="S512" s="147"/>
      <c r="T512" s="147"/>
      <c r="U512" s="147"/>
      <c r="V512" s="147"/>
      <c r="W512" s="147"/>
      <c r="X512" s="147"/>
      <c r="Y512" s="147"/>
      <c r="Z512" s="147"/>
      <c r="AA512" s="147"/>
      <c r="AB512" s="147"/>
      <c r="AC512" s="147"/>
      <c r="AD512" s="147"/>
      <c r="AE512" s="147"/>
      <c r="AF512" s="147"/>
      <c r="AG512" s="147"/>
      <c r="AH512" s="147"/>
      <c r="AI512" s="147"/>
    </row>
    <row r="513">
      <c r="A513" s="167"/>
      <c r="B513" s="169"/>
      <c r="C513" s="170"/>
      <c r="D513" s="170"/>
      <c r="E513" s="170"/>
      <c r="F513" s="170"/>
      <c r="G513" s="171"/>
      <c r="H513" s="171"/>
      <c r="I513" s="172"/>
      <c r="J513" s="172"/>
      <c r="K513" s="172"/>
      <c r="L513" s="172"/>
      <c r="M513" s="147"/>
      <c r="Q513" s="147"/>
      <c r="R513" s="147"/>
      <c r="S513" s="147"/>
      <c r="T513" s="147"/>
      <c r="U513" s="147"/>
      <c r="V513" s="147"/>
      <c r="W513" s="147"/>
      <c r="X513" s="147"/>
      <c r="Y513" s="147"/>
      <c r="Z513" s="147"/>
      <c r="AA513" s="147"/>
      <c r="AB513" s="147"/>
      <c r="AC513" s="147"/>
      <c r="AD513" s="147"/>
      <c r="AE513" s="147"/>
      <c r="AF513" s="147"/>
      <c r="AG513" s="147"/>
      <c r="AH513" s="147"/>
      <c r="AI513" s="147"/>
    </row>
    <row r="514">
      <c r="A514" s="167"/>
      <c r="B514" s="169"/>
      <c r="C514" s="170"/>
      <c r="D514" s="170"/>
      <c r="E514" s="170"/>
      <c r="F514" s="170"/>
      <c r="G514" s="171"/>
      <c r="H514" s="171"/>
      <c r="I514" s="172"/>
      <c r="J514" s="172"/>
      <c r="K514" s="172"/>
      <c r="L514" s="172"/>
      <c r="M514" s="147"/>
      <c r="Q514" s="147"/>
      <c r="R514" s="147"/>
      <c r="S514" s="147"/>
      <c r="T514" s="147"/>
      <c r="U514" s="147"/>
      <c r="V514" s="147"/>
      <c r="W514" s="147"/>
      <c r="X514" s="147"/>
      <c r="Y514" s="147"/>
      <c r="Z514" s="147"/>
      <c r="AA514" s="147"/>
      <c r="AB514" s="147"/>
      <c r="AC514" s="147"/>
      <c r="AD514" s="147"/>
      <c r="AE514" s="147"/>
      <c r="AF514" s="147"/>
      <c r="AG514" s="147"/>
      <c r="AH514" s="147"/>
      <c r="AI514" s="147"/>
    </row>
    <row r="515">
      <c r="A515" s="167"/>
      <c r="B515" s="169"/>
      <c r="C515" s="170"/>
      <c r="D515" s="170"/>
      <c r="E515" s="170"/>
      <c r="F515" s="170"/>
      <c r="G515" s="171"/>
      <c r="H515" s="171"/>
      <c r="I515" s="172"/>
      <c r="J515" s="172"/>
      <c r="K515" s="172"/>
      <c r="L515" s="172"/>
      <c r="M515" s="147"/>
      <c r="Q515" s="147"/>
      <c r="R515" s="147"/>
      <c r="S515" s="147"/>
      <c r="T515" s="147"/>
      <c r="U515" s="147"/>
      <c r="V515" s="147"/>
      <c r="W515" s="147"/>
      <c r="X515" s="147"/>
      <c r="Y515" s="147"/>
      <c r="Z515" s="147"/>
      <c r="AA515" s="147"/>
      <c r="AB515" s="147"/>
      <c r="AC515" s="147"/>
      <c r="AD515" s="147"/>
      <c r="AE515" s="147"/>
      <c r="AF515" s="147"/>
      <c r="AG515" s="147"/>
      <c r="AH515" s="147"/>
      <c r="AI515" s="147"/>
    </row>
    <row r="516">
      <c r="A516" s="167"/>
      <c r="B516" s="169"/>
      <c r="C516" s="170"/>
      <c r="D516" s="170"/>
      <c r="E516" s="170"/>
      <c r="F516" s="170"/>
      <c r="G516" s="171"/>
      <c r="H516" s="171"/>
      <c r="I516" s="172"/>
      <c r="J516" s="172"/>
      <c r="K516" s="172"/>
      <c r="L516" s="172"/>
      <c r="M516" s="147"/>
      <c r="Q516" s="147"/>
      <c r="R516" s="147"/>
      <c r="S516" s="147"/>
      <c r="T516" s="147"/>
      <c r="U516" s="147"/>
      <c r="V516" s="147"/>
      <c r="W516" s="147"/>
      <c r="X516" s="147"/>
      <c r="Y516" s="147"/>
      <c r="Z516" s="147"/>
      <c r="AA516" s="147"/>
      <c r="AB516" s="147"/>
      <c r="AC516" s="147"/>
      <c r="AD516" s="147"/>
      <c r="AE516" s="147"/>
      <c r="AF516" s="147"/>
      <c r="AG516" s="147"/>
      <c r="AH516" s="147"/>
      <c r="AI516" s="147"/>
    </row>
    <row r="517">
      <c r="A517" s="167"/>
      <c r="B517" s="169"/>
      <c r="C517" s="170"/>
      <c r="D517" s="170"/>
      <c r="E517" s="170"/>
      <c r="F517" s="170"/>
      <c r="G517" s="171"/>
      <c r="H517" s="171"/>
      <c r="I517" s="172"/>
      <c r="J517" s="172"/>
      <c r="K517" s="172"/>
      <c r="L517" s="172"/>
      <c r="M517" s="147"/>
      <c r="Q517" s="147"/>
      <c r="R517" s="147"/>
      <c r="S517" s="147"/>
      <c r="T517" s="147"/>
      <c r="U517" s="147"/>
      <c r="V517" s="147"/>
      <c r="W517" s="147"/>
      <c r="X517" s="147"/>
      <c r="Y517" s="147"/>
      <c r="Z517" s="147"/>
      <c r="AA517" s="147"/>
      <c r="AB517" s="147"/>
      <c r="AC517" s="147"/>
      <c r="AD517" s="147"/>
      <c r="AE517" s="147"/>
      <c r="AF517" s="147"/>
      <c r="AG517" s="147"/>
      <c r="AH517" s="147"/>
      <c r="AI517" s="147"/>
    </row>
    <row r="518">
      <c r="A518" s="167"/>
      <c r="B518" s="169"/>
      <c r="C518" s="170"/>
      <c r="D518" s="170"/>
      <c r="E518" s="170"/>
      <c r="F518" s="170"/>
      <c r="G518" s="171"/>
      <c r="H518" s="171"/>
      <c r="I518" s="172"/>
      <c r="J518" s="172"/>
      <c r="K518" s="172"/>
      <c r="L518" s="172"/>
      <c r="M518" s="147"/>
      <c r="Q518" s="147"/>
      <c r="R518" s="147"/>
      <c r="S518" s="147"/>
      <c r="T518" s="147"/>
      <c r="U518" s="147"/>
      <c r="V518" s="147"/>
      <c r="W518" s="147"/>
      <c r="X518" s="147"/>
      <c r="Y518" s="147"/>
      <c r="Z518" s="147"/>
      <c r="AA518" s="147"/>
      <c r="AB518" s="147"/>
      <c r="AC518" s="147"/>
      <c r="AD518" s="147"/>
      <c r="AE518" s="147"/>
      <c r="AF518" s="147"/>
      <c r="AG518" s="147"/>
      <c r="AH518" s="147"/>
      <c r="AI518" s="147"/>
    </row>
    <row r="519">
      <c r="A519" s="167"/>
      <c r="B519" s="169"/>
      <c r="C519" s="170"/>
      <c r="D519" s="170"/>
      <c r="E519" s="170"/>
      <c r="F519" s="170"/>
      <c r="G519" s="171"/>
      <c r="H519" s="171"/>
      <c r="I519" s="172"/>
      <c r="J519" s="172"/>
      <c r="K519" s="172"/>
      <c r="L519" s="172"/>
      <c r="M519" s="147"/>
      <c r="Q519" s="147"/>
      <c r="R519" s="147"/>
      <c r="S519" s="147"/>
      <c r="T519" s="147"/>
      <c r="U519" s="147"/>
      <c r="V519" s="147"/>
      <c r="W519" s="147"/>
      <c r="X519" s="147"/>
      <c r="Y519" s="147"/>
      <c r="Z519" s="147"/>
      <c r="AA519" s="147"/>
      <c r="AB519" s="147"/>
      <c r="AC519" s="147"/>
      <c r="AD519" s="147"/>
      <c r="AE519" s="147"/>
      <c r="AF519" s="147"/>
      <c r="AG519" s="147"/>
      <c r="AH519" s="147"/>
      <c r="AI519" s="147"/>
    </row>
    <row r="520">
      <c r="A520" s="167"/>
      <c r="B520" s="169"/>
      <c r="C520" s="170"/>
      <c r="D520" s="170"/>
      <c r="E520" s="170"/>
      <c r="F520" s="170"/>
      <c r="G520" s="171"/>
      <c r="H520" s="171"/>
      <c r="I520" s="172"/>
      <c r="J520" s="172"/>
      <c r="K520" s="172"/>
      <c r="L520" s="172"/>
      <c r="M520" s="147"/>
      <c r="Q520" s="147"/>
      <c r="R520" s="147"/>
      <c r="S520" s="147"/>
      <c r="T520" s="147"/>
      <c r="U520" s="147"/>
      <c r="V520" s="147"/>
      <c r="W520" s="147"/>
      <c r="X520" s="147"/>
      <c r="Y520" s="147"/>
      <c r="Z520" s="147"/>
      <c r="AA520" s="147"/>
      <c r="AB520" s="147"/>
      <c r="AC520" s="147"/>
      <c r="AD520" s="147"/>
      <c r="AE520" s="147"/>
      <c r="AF520" s="147"/>
      <c r="AG520" s="147"/>
      <c r="AH520" s="147"/>
      <c r="AI520" s="147"/>
    </row>
    <row r="521">
      <c r="A521" s="167"/>
      <c r="B521" s="169"/>
      <c r="C521" s="170"/>
      <c r="D521" s="170"/>
      <c r="E521" s="170"/>
      <c r="F521" s="170"/>
      <c r="G521" s="171"/>
      <c r="H521" s="171"/>
      <c r="I521" s="172"/>
      <c r="J521" s="172"/>
      <c r="K521" s="172"/>
      <c r="L521" s="172"/>
      <c r="M521" s="147"/>
      <c r="Q521" s="147"/>
      <c r="R521" s="147"/>
      <c r="S521" s="147"/>
      <c r="T521" s="147"/>
      <c r="U521" s="147"/>
      <c r="V521" s="147"/>
      <c r="W521" s="147"/>
      <c r="X521" s="147"/>
      <c r="Y521" s="147"/>
      <c r="Z521" s="147"/>
      <c r="AA521" s="147"/>
      <c r="AB521" s="147"/>
      <c r="AC521" s="147"/>
      <c r="AD521" s="147"/>
      <c r="AE521" s="147"/>
      <c r="AF521" s="147"/>
      <c r="AG521" s="147"/>
      <c r="AH521" s="147"/>
      <c r="AI521" s="147"/>
    </row>
    <row r="522">
      <c r="A522" s="167"/>
      <c r="B522" s="169"/>
      <c r="C522" s="170"/>
      <c r="D522" s="170"/>
      <c r="E522" s="170"/>
      <c r="F522" s="170"/>
      <c r="G522" s="171"/>
      <c r="H522" s="171"/>
      <c r="I522" s="172"/>
      <c r="J522" s="172"/>
      <c r="K522" s="172"/>
      <c r="L522" s="172"/>
      <c r="M522" s="147"/>
      <c r="Q522" s="147"/>
      <c r="R522" s="147"/>
      <c r="S522" s="147"/>
      <c r="T522" s="147"/>
      <c r="U522" s="147"/>
      <c r="V522" s="147"/>
      <c r="W522" s="147"/>
      <c r="X522" s="147"/>
      <c r="Y522" s="147"/>
      <c r="Z522" s="147"/>
      <c r="AA522" s="147"/>
      <c r="AB522" s="147"/>
      <c r="AC522" s="147"/>
      <c r="AD522" s="147"/>
      <c r="AE522" s="147"/>
      <c r="AF522" s="147"/>
      <c r="AG522" s="147"/>
      <c r="AH522" s="147"/>
      <c r="AI522" s="147"/>
    </row>
    <row r="523">
      <c r="A523" s="167"/>
      <c r="B523" s="169"/>
      <c r="C523" s="170"/>
      <c r="D523" s="170"/>
      <c r="E523" s="170"/>
      <c r="F523" s="170"/>
      <c r="G523" s="171"/>
      <c r="H523" s="171"/>
      <c r="I523" s="172"/>
      <c r="J523" s="172"/>
      <c r="K523" s="172"/>
      <c r="L523" s="172"/>
      <c r="M523" s="147"/>
      <c r="Q523" s="147"/>
      <c r="R523" s="147"/>
      <c r="S523" s="147"/>
      <c r="T523" s="147"/>
      <c r="U523" s="147"/>
      <c r="V523" s="147"/>
      <c r="W523" s="147"/>
      <c r="X523" s="147"/>
      <c r="Y523" s="147"/>
      <c r="Z523" s="147"/>
      <c r="AA523" s="147"/>
      <c r="AB523" s="147"/>
      <c r="AC523" s="147"/>
      <c r="AD523" s="147"/>
      <c r="AE523" s="147"/>
      <c r="AF523" s="147"/>
      <c r="AG523" s="147"/>
      <c r="AH523" s="147"/>
      <c r="AI523" s="147"/>
    </row>
    <row r="524">
      <c r="A524" s="167"/>
      <c r="B524" s="169"/>
      <c r="C524" s="170"/>
      <c r="D524" s="170"/>
      <c r="E524" s="170"/>
      <c r="F524" s="170"/>
      <c r="G524" s="171"/>
      <c r="H524" s="171"/>
      <c r="I524" s="172"/>
      <c r="J524" s="172"/>
      <c r="K524" s="172"/>
      <c r="L524" s="172"/>
      <c r="M524" s="147"/>
      <c r="Q524" s="147"/>
      <c r="R524" s="147"/>
      <c r="S524" s="147"/>
      <c r="T524" s="147"/>
      <c r="U524" s="147"/>
      <c r="V524" s="147"/>
      <c r="W524" s="147"/>
      <c r="X524" s="147"/>
      <c r="Y524" s="147"/>
      <c r="Z524" s="147"/>
      <c r="AA524" s="147"/>
      <c r="AB524" s="147"/>
      <c r="AC524" s="147"/>
      <c r="AD524" s="147"/>
      <c r="AE524" s="147"/>
      <c r="AF524" s="147"/>
      <c r="AG524" s="147"/>
      <c r="AH524" s="147"/>
      <c r="AI524" s="147"/>
    </row>
    <row r="525">
      <c r="A525" s="167"/>
      <c r="B525" s="169"/>
      <c r="C525" s="170"/>
      <c r="D525" s="170"/>
      <c r="E525" s="170"/>
      <c r="F525" s="170"/>
      <c r="G525" s="171"/>
      <c r="H525" s="171"/>
      <c r="I525" s="172"/>
      <c r="J525" s="172"/>
      <c r="K525" s="172"/>
      <c r="L525" s="172"/>
      <c r="M525" s="147"/>
      <c r="Q525" s="147"/>
      <c r="R525" s="147"/>
      <c r="S525" s="147"/>
      <c r="T525" s="147"/>
      <c r="U525" s="147"/>
      <c r="V525" s="147"/>
      <c r="W525" s="147"/>
      <c r="X525" s="147"/>
      <c r="Y525" s="147"/>
      <c r="Z525" s="147"/>
      <c r="AA525" s="147"/>
      <c r="AB525" s="147"/>
      <c r="AC525" s="147"/>
      <c r="AD525" s="147"/>
      <c r="AE525" s="147"/>
      <c r="AF525" s="147"/>
      <c r="AG525" s="147"/>
      <c r="AH525" s="147"/>
      <c r="AI525" s="147"/>
    </row>
    <row r="526">
      <c r="A526" s="167"/>
      <c r="B526" s="169"/>
      <c r="C526" s="170"/>
      <c r="D526" s="170"/>
      <c r="E526" s="170"/>
      <c r="F526" s="170"/>
      <c r="G526" s="171"/>
      <c r="H526" s="171"/>
      <c r="I526" s="172"/>
      <c r="J526" s="172"/>
      <c r="K526" s="172"/>
      <c r="L526" s="172"/>
      <c r="M526" s="147"/>
      <c r="Q526" s="147"/>
      <c r="R526" s="147"/>
      <c r="S526" s="147"/>
      <c r="T526" s="147"/>
      <c r="U526" s="147"/>
      <c r="V526" s="147"/>
      <c r="W526" s="147"/>
      <c r="X526" s="147"/>
      <c r="Y526" s="147"/>
      <c r="Z526" s="147"/>
      <c r="AA526" s="147"/>
      <c r="AB526" s="147"/>
      <c r="AC526" s="147"/>
      <c r="AD526" s="147"/>
      <c r="AE526" s="147"/>
      <c r="AF526" s="147"/>
      <c r="AG526" s="147"/>
      <c r="AH526" s="147"/>
      <c r="AI526" s="147"/>
    </row>
    <row r="527">
      <c r="A527" s="167"/>
      <c r="B527" s="169"/>
      <c r="C527" s="170"/>
      <c r="D527" s="170"/>
      <c r="E527" s="170"/>
      <c r="F527" s="170"/>
      <c r="G527" s="171"/>
      <c r="H527" s="171"/>
      <c r="I527" s="172"/>
      <c r="J527" s="172"/>
      <c r="K527" s="172"/>
      <c r="L527" s="172"/>
      <c r="M527" s="147"/>
      <c r="Q527" s="147"/>
      <c r="R527" s="147"/>
      <c r="S527" s="147"/>
      <c r="T527" s="147"/>
      <c r="U527" s="147"/>
      <c r="V527" s="147"/>
      <c r="W527" s="147"/>
      <c r="X527" s="147"/>
      <c r="Y527" s="147"/>
      <c r="Z527" s="147"/>
      <c r="AA527" s="147"/>
      <c r="AB527" s="147"/>
      <c r="AC527" s="147"/>
      <c r="AD527" s="147"/>
      <c r="AE527" s="147"/>
      <c r="AF527" s="147"/>
      <c r="AG527" s="147"/>
      <c r="AH527" s="147"/>
      <c r="AI527" s="147"/>
    </row>
    <row r="528">
      <c r="A528" s="167"/>
      <c r="B528" s="169"/>
      <c r="C528" s="170"/>
      <c r="D528" s="170"/>
      <c r="E528" s="170"/>
      <c r="F528" s="170"/>
      <c r="G528" s="171"/>
      <c r="H528" s="171"/>
      <c r="I528" s="172"/>
      <c r="J528" s="172"/>
      <c r="K528" s="172"/>
      <c r="L528" s="172"/>
      <c r="M528" s="147"/>
      <c r="Q528" s="147"/>
      <c r="R528" s="147"/>
      <c r="S528" s="147"/>
      <c r="T528" s="147"/>
      <c r="U528" s="147"/>
      <c r="V528" s="147"/>
      <c r="W528" s="147"/>
      <c r="X528" s="147"/>
      <c r="Y528" s="147"/>
      <c r="Z528" s="147"/>
      <c r="AA528" s="147"/>
      <c r="AB528" s="147"/>
      <c r="AC528" s="147"/>
      <c r="AD528" s="147"/>
      <c r="AE528" s="147"/>
      <c r="AF528" s="147"/>
      <c r="AG528" s="147"/>
      <c r="AH528" s="147"/>
      <c r="AI528" s="147"/>
    </row>
    <row r="529">
      <c r="A529" s="167"/>
      <c r="B529" s="169"/>
      <c r="C529" s="170"/>
      <c r="D529" s="170"/>
      <c r="E529" s="170"/>
      <c r="F529" s="170"/>
      <c r="G529" s="171"/>
      <c r="H529" s="171"/>
      <c r="I529" s="172"/>
      <c r="J529" s="172"/>
      <c r="K529" s="172"/>
      <c r="L529" s="172"/>
      <c r="M529" s="147"/>
      <c r="Q529" s="147"/>
      <c r="R529" s="147"/>
      <c r="S529" s="147"/>
      <c r="T529" s="147"/>
      <c r="U529" s="147"/>
      <c r="V529" s="147"/>
      <c r="W529" s="147"/>
      <c r="X529" s="147"/>
      <c r="Y529" s="147"/>
      <c r="Z529" s="147"/>
      <c r="AA529" s="147"/>
      <c r="AB529" s="147"/>
      <c r="AC529" s="147"/>
      <c r="AD529" s="147"/>
      <c r="AE529" s="147"/>
      <c r="AF529" s="147"/>
      <c r="AG529" s="147"/>
      <c r="AH529" s="147"/>
      <c r="AI529" s="147"/>
    </row>
    <row r="530">
      <c r="A530" s="167"/>
      <c r="B530" s="169"/>
      <c r="C530" s="170"/>
      <c r="D530" s="170"/>
      <c r="E530" s="170"/>
      <c r="F530" s="170"/>
      <c r="G530" s="171"/>
      <c r="H530" s="171"/>
      <c r="I530" s="172"/>
      <c r="J530" s="172"/>
      <c r="K530" s="172"/>
      <c r="L530" s="172"/>
      <c r="M530" s="147"/>
      <c r="Q530" s="147"/>
      <c r="R530" s="147"/>
      <c r="S530" s="147"/>
      <c r="T530" s="147"/>
      <c r="U530" s="147"/>
      <c r="V530" s="147"/>
      <c r="W530" s="147"/>
      <c r="X530" s="147"/>
      <c r="Y530" s="147"/>
      <c r="Z530" s="147"/>
      <c r="AA530" s="147"/>
      <c r="AB530" s="147"/>
      <c r="AC530" s="147"/>
      <c r="AD530" s="147"/>
      <c r="AE530" s="147"/>
      <c r="AF530" s="147"/>
      <c r="AG530" s="147"/>
      <c r="AH530" s="147"/>
      <c r="AI530" s="147"/>
    </row>
    <row r="531">
      <c r="A531" s="167"/>
      <c r="B531" s="169"/>
      <c r="C531" s="170"/>
      <c r="D531" s="170"/>
      <c r="E531" s="170"/>
      <c r="F531" s="170"/>
      <c r="G531" s="171"/>
      <c r="H531" s="171"/>
      <c r="I531" s="172"/>
      <c r="J531" s="172"/>
      <c r="K531" s="172"/>
      <c r="L531" s="172"/>
      <c r="M531" s="147"/>
      <c r="Q531" s="147"/>
      <c r="R531" s="147"/>
      <c r="S531" s="147"/>
      <c r="T531" s="147"/>
      <c r="U531" s="147"/>
      <c r="V531" s="147"/>
      <c r="W531" s="147"/>
      <c r="X531" s="147"/>
      <c r="Y531" s="147"/>
      <c r="Z531" s="147"/>
      <c r="AA531" s="147"/>
      <c r="AB531" s="147"/>
      <c r="AC531" s="147"/>
      <c r="AD531" s="147"/>
      <c r="AE531" s="147"/>
      <c r="AF531" s="147"/>
      <c r="AG531" s="147"/>
      <c r="AH531" s="147"/>
      <c r="AI531" s="147"/>
    </row>
    <row r="532">
      <c r="A532" s="167"/>
      <c r="B532" s="169"/>
      <c r="C532" s="170"/>
      <c r="D532" s="170"/>
      <c r="E532" s="170"/>
      <c r="F532" s="170"/>
      <c r="G532" s="171"/>
      <c r="H532" s="171"/>
      <c r="I532" s="172"/>
      <c r="J532" s="172"/>
      <c r="K532" s="172"/>
      <c r="L532" s="172"/>
      <c r="M532" s="147"/>
      <c r="Q532" s="147"/>
      <c r="R532" s="147"/>
      <c r="S532" s="147"/>
      <c r="T532" s="147"/>
      <c r="U532" s="147"/>
      <c r="V532" s="147"/>
      <c r="W532" s="147"/>
      <c r="X532" s="147"/>
      <c r="Y532" s="147"/>
      <c r="Z532" s="147"/>
      <c r="AA532" s="147"/>
      <c r="AB532" s="147"/>
      <c r="AC532" s="147"/>
      <c r="AD532" s="147"/>
      <c r="AE532" s="147"/>
      <c r="AF532" s="147"/>
      <c r="AG532" s="147"/>
      <c r="AH532" s="147"/>
      <c r="AI532" s="147"/>
    </row>
    <row r="533">
      <c r="A533" s="167"/>
      <c r="B533" s="169"/>
      <c r="C533" s="170"/>
      <c r="D533" s="170"/>
      <c r="E533" s="170"/>
      <c r="F533" s="170"/>
      <c r="G533" s="171"/>
      <c r="H533" s="171"/>
      <c r="I533" s="172"/>
      <c r="J533" s="172"/>
      <c r="K533" s="172"/>
      <c r="L533" s="172"/>
      <c r="M533" s="147"/>
      <c r="Q533" s="147"/>
      <c r="R533" s="147"/>
      <c r="S533" s="147"/>
      <c r="T533" s="147"/>
      <c r="U533" s="147"/>
      <c r="V533" s="147"/>
      <c r="W533" s="147"/>
      <c r="X533" s="147"/>
      <c r="Y533" s="147"/>
      <c r="Z533" s="147"/>
      <c r="AA533" s="147"/>
      <c r="AB533" s="147"/>
      <c r="AC533" s="147"/>
      <c r="AD533" s="147"/>
      <c r="AE533" s="147"/>
      <c r="AF533" s="147"/>
      <c r="AG533" s="147"/>
      <c r="AH533" s="147"/>
      <c r="AI533" s="147"/>
    </row>
    <row r="534">
      <c r="A534" s="167"/>
      <c r="B534" s="169"/>
      <c r="C534" s="170"/>
      <c r="D534" s="170"/>
      <c r="E534" s="170"/>
      <c r="F534" s="170"/>
      <c r="G534" s="171"/>
      <c r="H534" s="171"/>
      <c r="I534" s="172"/>
      <c r="J534" s="172"/>
      <c r="K534" s="172"/>
      <c r="L534" s="172"/>
      <c r="M534" s="147"/>
      <c r="Q534" s="147"/>
      <c r="R534" s="147"/>
      <c r="S534" s="147"/>
      <c r="T534" s="147"/>
      <c r="U534" s="147"/>
      <c r="V534" s="147"/>
      <c r="W534" s="147"/>
      <c r="X534" s="147"/>
      <c r="Y534" s="147"/>
      <c r="Z534" s="147"/>
      <c r="AA534" s="147"/>
      <c r="AB534" s="147"/>
      <c r="AC534" s="147"/>
      <c r="AD534" s="147"/>
      <c r="AE534" s="147"/>
      <c r="AF534" s="147"/>
      <c r="AG534" s="147"/>
      <c r="AH534" s="147"/>
      <c r="AI534" s="147"/>
    </row>
    <row r="535">
      <c r="A535" s="167"/>
      <c r="B535" s="169"/>
      <c r="C535" s="170"/>
      <c r="D535" s="170"/>
      <c r="E535" s="170"/>
      <c r="F535" s="170"/>
      <c r="G535" s="171"/>
      <c r="H535" s="171"/>
      <c r="I535" s="172"/>
      <c r="J535" s="172"/>
      <c r="K535" s="172"/>
      <c r="L535" s="172"/>
      <c r="M535" s="147"/>
      <c r="Q535" s="147"/>
      <c r="R535" s="147"/>
      <c r="S535" s="147"/>
      <c r="T535" s="147"/>
      <c r="U535" s="147"/>
      <c r="V535" s="147"/>
      <c r="W535" s="147"/>
      <c r="X535" s="147"/>
      <c r="Y535" s="147"/>
      <c r="Z535" s="147"/>
      <c r="AA535" s="147"/>
      <c r="AB535" s="147"/>
      <c r="AC535" s="147"/>
      <c r="AD535" s="147"/>
      <c r="AE535" s="147"/>
      <c r="AF535" s="147"/>
      <c r="AG535" s="147"/>
      <c r="AH535" s="147"/>
      <c r="AI535" s="147"/>
    </row>
    <row r="536">
      <c r="A536" s="167"/>
      <c r="B536" s="169"/>
      <c r="C536" s="170"/>
      <c r="D536" s="170"/>
      <c r="E536" s="170"/>
      <c r="F536" s="170"/>
      <c r="G536" s="171"/>
      <c r="H536" s="171"/>
      <c r="I536" s="172"/>
      <c r="J536" s="172"/>
      <c r="K536" s="172"/>
      <c r="L536" s="172"/>
      <c r="M536" s="147"/>
      <c r="Q536" s="147"/>
      <c r="R536" s="147"/>
      <c r="S536" s="147"/>
      <c r="T536" s="147"/>
      <c r="U536" s="147"/>
      <c r="V536" s="147"/>
      <c r="W536" s="147"/>
      <c r="X536" s="147"/>
      <c r="Y536" s="147"/>
      <c r="Z536" s="147"/>
      <c r="AA536" s="147"/>
      <c r="AB536" s="147"/>
      <c r="AC536" s="147"/>
      <c r="AD536" s="147"/>
      <c r="AE536" s="147"/>
      <c r="AF536" s="147"/>
      <c r="AG536" s="147"/>
      <c r="AH536" s="147"/>
      <c r="AI536" s="147"/>
    </row>
    <row r="537">
      <c r="A537" s="167"/>
      <c r="B537" s="169"/>
      <c r="C537" s="170"/>
      <c r="D537" s="170"/>
      <c r="E537" s="170"/>
      <c r="F537" s="170"/>
      <c r="G537" s="171"/>
      <c r="H537" s="171"/>
      <c r="I537" s="172"/>
      <c r="J537" s="172"/>
      <c r="K537" s="172"/>
      <c r="L537" s="172"/>
      <c r="M537" s="147"/>
      <c r="Q537" s="147"/>
      <c r="R537" s="147"/>
      <c r="S537" s="147"/>
      <c r="T537" s="147"/>
      <c r="U537" s="147"/>
      <c r="V537" s="147"/>
      <c r="W537" s="147"/>
      <c r="X537" s="147"/>
      <c r="Y537" s="147"/>
      <c r="Z537" s="147"/>
      <c r="AA537" s="147"/>
      <c r="AB537" s="147"/>
      <c r="AC537" s="147"/>
      <c r="AD537" s="147"/>
      <c r="AE537" s="147"/>
      <c r="AF537" s="147"/>
      <c r="AG537" s="147"/>
      <c r="AH537" s="147"/>
      <c r="AI537" s="147"/>
    </row>
    <row r="538">
      <c r="A538" s="167"/>
      <c r="B538" s="169"/>
      <c r="C538" s="170"/>
      <c r="D538" s="170"/>
      <c r="E538" s="170"/>
      <c r="F538" s="170"/>
      <c r="G538" s="171"/>
      <c r="H538" s="171"/>
      <c r="I538" s="172"/>
      <c r="J538" s="172"/>
      <c r="K538" s="172"/>
      <c r="L538" s="172"/>
      <c r="M538" s="147"/>
      <c r="Q538" s="147"/>
      <c r="R538" s="147"/>
      <c r="S538" s="147"/>
      <c r="T538" s="147"/>
      <c r="U538" s="147"/>
      <c r="V538" s="147"/>
      <c r="W538" s="147"/>
      <c r="X538" s="147"/>
      <c r="Y538" s="147"/>
      <c r="Z538" s="147"/>
      <c r="AA538" s="147"/>
      <c r="AB538" s="147"/>
      <c r="AC538" s="147"/>
      <c r="AD538" s="147"/>
      <c r="AE538" s="147"/>
      <c r="AF538" s="147"/>
      <c r="AG538" s="147"/>
      <c r="AH538" s="147"/>
      <c r="AI538" s="147"/>
    </row>
    <row r="539">
      <c r="A539" s="167"/>
      <c r="B539" s="169"/>
      <c r="C539" s="170"/>
      <c r="D539" s="170"/>
      <c r="E539" s="170"/>
      <c r="F539" s="170"/>
      <c r="G539" s="171"/>
      <c r="H539" s="171"/>
      <c r="I539" s="172"/>
      <c r="J539" s="172"/>
      <c r="K539" s="172"/>
      <c r="L539" s="172"/>
      <c r="M539" s="147"/>
      <c r="Q539" s="147"/>
      <c r="R539" s="147"/>
      <c r="S539" s="147"/>
      <c r="T539" s="147"/>
      <c r="U539" s="147"/>
      <c r="V539" s="147"/>
      <c r="W539" s="147"/>
      <c r="X539" s="147"/>
      <c r="Y539" s="147"/>
      <c r="Z539" s="147"/>
      <c r="AA539" s="147"/>
      <c r="AB539" s="147"/>
      <c r="AC539" s="147"/>
      <c r="AD539" s="147"/>
      <c r="AE539" s="147"/>
      <c r="AF539" s="147"/>
      <c r="AG539" s="147"/>
      <c r="AH539" s="147"/>
      <c r="AI539" s="147"/>
    </row>
    <row r="540">
      <c r="A540" s="167"/>
      <c r="B540" s="169"/>
      <c r="C540" s="170"/>
      <c r="D540" s="170"/>
      <c r="E540" s="170"/>
      <c r="F540" s="170"/>
      <c r="G540" s="171"/>
      <c r="H540" s="171"/>
      <c r="I540" s="172"/>
      <c r="J540" s="172"/>
      <c r="K540" s="172"/>
      <c r="L540" s="172"/>
      <c r="M540" s="147"/>
      <c r="Q540" s="147"/>
      <c r="R540" s="147"/>
      <c r="S540" s="147"/>
      <c r="T540" s="147"/>
      <c r="U540" s="147"/>
      <c r="V540" s="147"/>
      <c r="W540" s="147"/>
      <c r="X540" s="147"/>
      <c r="Y540" s="147"/>
      <c r="Z540" s="147"/>
      <c r="AA540" s="147"/>
      <c r="AB540" s="147"/>
      <c r="AC540" s="147"/>
      <c r="AD540" s="147"/>
      <c r="AE540" s="147"/>
      <c r="AF540" s="147"/>
      <c r="AG540" s="147"/>
      <c r="AH540" s="147"/>
      <c r="AI540" s="147"/>
    </row>
    <row r="541">
      <c r="A541" s="167"/>
      <c r="B541" s="169"/>
      <c r="C541" s="170"/>
      <c r="D541" s="170"/>
      <c r="E541" s="170"/>
      <c r="F541" s="170"/>
      <c r="G541" s="171"/>
      <c r="H541" s="171"/>
      <c r="I541" s="172"/>
      <c r="J541" s="172"/>
      <c r="K541" s="172"/>
      <c r="L541" s="172"/>
      <c r="M541" s="147"/>
      <c r="Q541" s="147"/>
      <c r="R541" s="147"/>
      <c r="S541" s="147"/>
      <c r="T541" s="147"/>
      <c r="U541" s="147"/>
      <c r="V541" s="147"/>
      <c r="W541" s="147"/>
      <c r="X541" s="147"/>
      <c r="Y541" s="147"/>
      <c r="Z541" s="147"/>
      <c r="AA541" s="147"/>
      <c r="AB541" s="147"/>
      <c r="AC541" s="147"/>
      <c r="AD541" s="147"/>
      <c r="AE541" s="147"/>
      <c r="AF541" s="147"/>
      <c r="AG541" s="147"/>
      <c r="AH541" s="147"/>
      <c r="AI541" s="147"/>
    </row>
    <row r="542">
      <c r="A542" s="167"/>
      <c r="B542" s="169"/>
      <c r="C542" s="170"/>
      <c r="D542" s="170"/>
      <c r="E542" s="170"/>
      <c r="F542" s="170"/>
      <c r="G542" s="171"/>
      <c r="H542" s="171"/>
      <c r="I542" s="172"/>
      <c r="J542" s="172"/>
      <c r="K542" s="172"/>
      <c r="L542" s="172"/>
      <c r="M542" s="147"/>
      <c r="Q542" s="147"/>
      <c r="R542" s="147"/>
      <c r="S542" s="147"/>
      <c r="T542" s="147"/>
      <c r="U542" s="147"/>
      <c r="V542" s="147"/>
      <c r="W542" s="147"/>
      <c r="X542" s="147"/>
      <c r="Y542" s="147"/>
      <c r="Z542" s="147"/>
      <c r="AA542" s="147"/>
      <c r="AB542" s="147"/>
      <c r="AC542" s="147"/>
      <c r="AD542" s="147"/>
      <c r="AE542" s="147"/>
      <c r="AF542" s="147"/>
      <c r="AG542" s="147"/>
      <c r="AH542" s="147"/>
      <c r="AI542" s="147"/>
    </row>
    <row r="543">
      <c r="A543" s="167"/>
      <c r="B543" s="169"/>
      <c r="C543" s="170"/>
      <c r="D543" s="170"/>
      <c r="E543" s="170"/>
      <c r="F543" s="170"/>
      <c r="G543" s="171"/>
      <c r="H543" s="171"/>
      <c r="I543" s="172"/>
      <c r="J543" s="172"/>
      <c r="K543" s="172"/>
      <c r="L543" s="172"/>
      <c r="M543" s="147"/>
      <c r="Q543" s="147"/>
      <c r="R543" s="147"/>
      <c r="S543" s="147"/>
      <c r="T543" s="147"/>
      <c r="U543" s="147"/>
      <c r="V543" s="147"/>
      <c r="W543" s="147"/>
      <c r="X543" s="147"/>
      <c r="Y543" s="147"/>
      <c r="Z543" s="147"/>
      <c r="AA543" s="147"/>
      <c r="AB543" s="147"/>
      <c r="AC543" s="147"/>
      <c r="AD543" s="147"/>
      <c r="AE543" s="147"/>
      <c r="AF543" s="147"/>
      <c r="AG543" s="147"/>
      <c r="AH543" s="147"/>
      <c r="AI543" s="147"/>
    </row>
    <row r="544">
      <c r="A544" s="167"/>
      <c r="B544" s="169"/>
      <c r="C544" s="170"/>
      <c r="D544" s="170"/>
      <c r="E544" s="170"/>
      <c r="F544" s="170"/>
      <c r="G544" s="171"/>
      <c r="H544" s="171"/>
      <c r="I544" s="172"/>
      <c r="J544" s="172"/>
      <c r="K544" s="172"/>
      <c r="L544" s="172"/>
      <c r="M544" s="147"/>
      <c r="Q544" s="147"/>
      <c r="R544" s="147"/>
      <c r="S544" s="147"/>
      <c r="T544" s="147"/>
      <c r="U544" s="147"/>
      <c r="V544" s="147"/>
      <c r="W544" s="147"/>
      <c r="X544" s="147"/>
      <c r="Y544" s="147"/>
      <c r="Z544" s="147"/>
      <c r="AA544" s="147"/>
      <c r="AB544" s="147"/>
      <c r="AC544" s="147"/>
      <c r="AD544" s="147"/>
      <c r="AE544" s="147"/>
      <c r="AF544" s="147"/>
      <c r="AG544" s="147"/>
      <c r="AH544" s="147"/>
      <c r="AI544" s="147"/>
    </row>
    <row r="545">
      <c r="A545" s="167"/>
      <c r="B545" s="169"/>
      <c r="C545" s="170"/>
      <c r="D545" s="170"/>
      <c r="E545" s="170"/>
      <c r="F545" s="170"/>
      <c r="G545" s="171"/>
      <c r="H545" s="171"/>
      <c r="I545" s="172"/>
      <c r="J545" s="172"/>
      <c r="K545" s="172"/>
      <c r="L545" s="172"/>
      <c r="M545" s="147"/>
      <c r="Q545" s="147"/>
      <c r="R545" s="147"/>
      <c r="S545" s="147"/>
      <c r="T545" s="147"/>
      <c r="U545" s="147"/>
      <c r="V545" s="147"/>
      <c r="W545" s="147"/>
      <c r="X545" s="147"/>
      <c r="Y545" s="147"/>
      <c r="Z545" s="147"/>
      <c r="AA545" s="147"/>
      <c r="AB545" s="147"/>
      <c r="AC545" s="147"/>
      <c r="AD545" s="147"/>
      <c r="AE545" s="147"/>
      <c r="AF545" s="147"/>
      <c r="AG545" s="147"/>
      <c r="AH545" s="147"/>
      <c r="AI545" s="147"/>
    </row>
    <row r="546">
      <c r="A546" s="167"/>
      <c r="B546" s="169"/>
      <c r="C546" s="170"/>
      <c r="D546" s="170"/>
      <c r="E546" s="170"/>
      <c r="F546" s="170"/>
      <c r="G546" s="171"/>
      <c r="H546" s="171"/>
      <c r="I546" s="172"/>
      <c r="J546" s="172"/>
      <c r="K546" s="172"/>
      <c r="L546" s="172"/>
      <c r="M546" s="147"/>
      <c r="Q546" s="147"/>
      <c r="R546" s="147"/>
      <c r="S546" s="147"/>
      <c r="T546" s="147"/>
      <c r="U546" s="147"/>
      <c r="V546" s="147"/>
      <c r="W546" s="147"/>
      <c r="X546" s="147"/>
      <c r="Y546" s="147"/>
      <c r="Z546" s="147"/>
      <c r="AA546" s="147"/>
      <c r="AB546" s="147"/>
      <c r="AC546" s="147"/>
      <c r="AD546" s="147"/>
      <c r="AE546" s="147"/>
      <c r="AF546" s="147"/>
      <c r="AG546" s="147"/>
      <c r="AH546" s="147"/>
      <c r="AI546" s="147"/>
    </row>
    <row r="547">
      <c r="A547" s="167"/>
      <c r="B547" s="169"/>
      <c r="C547" s="170"/>
      <c r="D547" s="170"/>
      <c r="E547" s="170"/>
      <c r="F547" s="170"/>
      <c r="G547" s="171"/>
      <c r="H547" s="171"/>
      <c r="I547" s="172"/>
      <c r="J547" s="172"/>
      <c r="K547" s="172"/>
      <c r="L547" s="172"/>
      <c r="M547" s="147"/>
      <c r="Q547" s="147"/>
      <c r="R547" s="147"/>
      <c r="S547" s="147"/>
      <c r="T547" s="147"/>
      <c r="U547" s="147"/>
      <c r="V547" s="147"/>
      <c r="W547" s="147"/>
      <c r="X547" s="147"/>
      <c r="Y547" s="147"/>
      <c r="Z547" s="147"/>
      <c r="AA547" s="147"/>
      <c r="AB547" s="147"/>
      <c r="AC547" s="147"/>
      <c r="AD547" s="147"/>
      <c r="AE547" s="147"/>
      <c r="AF547" s="147"/>
      <c r="AG547" s="147"/>
      <c r="AH547" s="147"/>
      <c r="AI547" s="147"/>
    </row>
    <row r="548">
      <c r="A548" s="167"/>
      <c r="B548" s="169"/>
      <c r="C548" s="170"/>
      <c r="D548" s="170"/>
      <c r="E548" s="170"/>
      <c r="F548" s="170"/>
      <c r="G548" s="171"/>
      <c r="H548" s="171"/>
      <c r="I548" s="172"/>
      <c r="J548" s="172"/>
      <c r="K548" s="172"/>
      <c r="L548" s="172"/>
      <c r="M548" s="147"/>
      <c r="Q548" s="147"/>
      <c r="R548" s="147"/>
      <c r="S548" s="147"/>
      <c r="T548" s="147"/>
      <c r="U548" s="147"/>
      <c r="V548" s="147"/>
      <c r="W548" s="147"/>
      <c r="X548" s="147"/>
      <c r="Y548" s="147"/>
      <c r="Z548" s="147"/>
      <c r="AA548" s="147"/>
      <c r="AB548" s="147"/>
      <c r="AC548" s="147"/>
      <c r="AD548" s="147"/>
      <c r="AE548" s="147"/>
      <c r="AF548" s="147"/>
      <c r="AG548" s="147"/>
      <c r="AH548" s="147"/>
      <c r="AI548" s="147"/>
    </row>
    <row r="549">
      <c r="A549" s="167"/>
      <c r="B549" s="169"/>
      <c r="C549" s="170"/>
      <c r="D549" s="170"/>
      <c r="E549" s="170"/>
      <c r="F549" s="170"/>
      <c r="G549" s="171"/>
      <c r="H549" s="171"/>
      <c r="I549" s="172"/>
      <c r="J549" s="172"/>
      <c r="K549" s="172"/>
      <c r="L549" s="172"/>
      <c r="M549" s="147"/>
      <c r="Q549" s="147"/>
      <c r="R549" s="147"/>
      <c r="S549" s="147"/>
      <c r="T549" s="147"/>
      <c r="U549" s="147"/>
      <c r="V549" s="147"/>
      <c r="W549" s="147"/>
      <c r="X549" s="147"/>
      <c r="Y549" s="147"/>
      <c r="Z549" s="147"/>
      <c r="AA549" s="147"/>
      <c r="AB549" s="147"/>
      <c r="AC549" s="147"/>
      <c r="AD549" s="147"/>
      <c r="AE549" s="147"/>
      <c r="AF549" s="147"/>
      <c r="AG549" s="147"/>
      <c r="AH549" s="147"/>
      <c r="AI549" s="147"/>
    </row>
    <row r="550">
      <c r="A550" s="167"/>
      <c r="B550" s="169"/>
      <c r="C550" s="170"/>
      <c r="D550" s="170"/>
      <c r="E550" s="170"/>
      <c r="F550" s="170"/>
      <c r="G550" s="171"/>
      <c r="H550" s="171"/>
      <c r="I550" s="172"/>
      <c r="J550" s="172"/>
      <c r="K550" s="172"/>
      <c r="L550" s="172"/>
      <c r="M550" s="147"/>
      <c r="Q550" s="147"/>
      <c r="R550" s="147"/>
      <c r="S550" s="147"/>
      <c r="T550" s="147"/>
      <c r="U550" s="147"/>
      <c r="V550" s="147"/>
      <c r="W550" s="147"/>
      <c r="X550" s="147"/>
      <c r="Y550" s="147"/>
      <c r="Z550" s="147"/>
      <c r="AA550" s="147"/>
      <c r="AB550" s="147"/>
      <c r="AC550" s="147"/>
      <c r="AD550" s="147"/>
      <c r="AE550" s="147"/>
      <c r="AF550" s="147"/>
      <c r="AG550" s="147"/>
      <c r="AH550" s="147"/>
      <c r="AI550" s="147"/>
    </row>
    <row r="551">
      <c r="A551" s="167"/>
      <c r="B551" s="169"/>
      <c r="C551" s="170"/>
      <c r="D551" s="170"/>
      <c r="E551" s="170"/>
      <c r="F551" s="170"/>
      <c r="G551" s="171"/>
      <c r="H551" s="171"/>
      <c r="I551" s="172"/>
      <c r="J551" s="172"/>
      <c r="K551" s="172"/>
      <c r="L551" s="172"/>
      <c r="M551" s="147"/>
      <c r="Q551" s="147"/>
      <c r="R551" s="147"/>
      <c r="S551" s="147"/>
      <c r="T551" s="147"/>
      <c r="U551" s="147"/>
      <c r="V551" s="147"/>
      <c r="W551" s="147"/>
      <c r="X551" s="147"/>
      <c r="Y551" s="147"/>
      <c r="Z551" s="147"/>
      <c r="AA551" s="147"/>
      <c r="AB551" s="147"/>
      <c r="AC551" s="147"/>
      <c r="AD551" s="147"/>
      <c r="AE551" s="147"/>
      <c r="AF551" s="147"/>
      <c r="AG551" s="147"/>
      <c r="AH551" s="147"/>
      <c r="AI551" s="147"/>
    </row>
    <row r="552">
      <c r="A552" s="167"/>
      <c r="B552" s="169"/>
      <c r="C552" s="170"/>
      <c r="D552" s="170"/>
      <c r="E552" s="170"/>
      <c r="F552" s="170"/>
      <c r="G552" s="171"/>
      <c r="H552" s="171"/>
      <c r="I552" s="172"/>
      <c r="J552" s="172"/>
      <c r="K552" s="172"/>
      <c r="L552" s="172"/>
      <c r="M552" s="147"/>
      <c r="Q552" s="147"/>
      <c r="R552" s="147"/>
      <c r="S552" s="147"/>
      <c r="T552" s="147"/>
      <c r="U552" s="147"/>
      <c r="V552" s="147"/>
      <c r="W552" s="147"/>
      <c r="X552" s="147"/>
      <c r="Y552" s="147"/>
      <c r="Z552" s="147"/>
      <c r="AA552" s="147"/>
      <c r="AB552" s="147"/>
      <c r="AC552" s="147"/>
      <c r="AD552" s="147"/>
      <c r="AE552" s="147"/>
      <c r="AF552" s="147"/>
      <c r="AG552" s="147"/>
      <c r="AH552" s="147"/>
      <c r="AI552" s="147"/>
    </row>
    <row r="553">
      <c r="A553" s="167"/>
      <c r="B553" s="169"/>
      <c r="C553" s="170"/>
      <c r="D553" s="170"/>
      <c r="E553" s="170"/>
      <c r="F553" s="170"/>
      <c r="G553" s="171"/>
      <c r="H553" s="171"/>
      <c r="I553" s="172"/>
      <c r="J553" s="172"/>
      <c r="K553" s="172"/>
      <c r="L553" s="172"/>
      <c r="M553" s="147"/>
      <c r="Q553" s="147"/>
      <c r="R553" s="147"/>
      <c r="S553" s="147"/>
      <c r="T553" s="147"/>
      <c r="U553" s="147"/>
      <c r="V553" s="147"/>
      <c r="W553" s="147"/>
      <c r="X553" s="147"/>
      <c r="Y553" s="147"/>
      <c r="Z553" s="147"/>
      <c r="AA553" s="147"/>
      <c r="AB553" s="147"/>
      <c r="AC553" s="147"/>
      <c r="AD553" s="147"/>
      <c r="AE553" s="147"/>
      <c r="AF553" s="147"/>
      <c r="AG553" s="147"/>
      <c r="AH553" s="147"/>
      <c r="AI553" s="147"/>
    </row>
    <row r="554">
      <c r="A554" s="167"/>
      <c r="B554" s="169"/>
      <c r="C554" s="170"/>
      <c r="D554" s="170"/>
      <c r="E554" s="170"/>
      <c r="F554" s="170"/>
      <c r="G554" s="171"/>
      <c r="H554" s="171"/>
      <c r="I554" s="172"/>
      <c r="J554" s="172"/>
      <c r="K554" s="172"/>
      <c r="L554" s="172"/>
      <c r="M554" s="147"/>
      <c r="Q554" s="147"/>
      <c r="R554" s="147"/>
      <c r="S554" s="147"/>
      <c r="T554" s="147"/>
      <c r="U554" s="147"/>
      <c r="V554" s="147"/>
      <c r="W554" s="147"/>
      <c r="X554" s="147"/>
      <c r="Y554" s="147"/>
      <c r="Z554" s="147"/>
      <c r="AA554" s="147"/>
      <c r="AB554" s="147"/>
      <c r="AC554" s="147"/>
      <c r="AD554" s="147"/>
      <c r="AE554" s="147"/>
      <c r="AF554" s="147"/>
      <c r="AG554" s="147"/>
      <c r="AH554" s="147"/>
      <c r="AI554" s="147"/>
    </row>
    <row r="555">
      <c r="A555" s="167"/>
      <c r="B555" s="169"/>
      <c r="C555" s="170"/>
      <c r="D555" s="170"/>
      <c r="E555" s="170"/>
      <c r="F555" s="170"/>
      <c r="G555" s="171"/>
      <c r="H555" s="171"/>
      <c r="I555" s="172"/>
      <c r="J555" s="172"/>
      <c r="K555" s="172"/>
      <c r="L555" s="172"/>
      <c r="M555" s="147"/>
      <c r="Q555" s="147"/>
      <c r="R555" s="147"/>
      <c r="S555" s="147"/>
      <c r="T555" s="147"/>
      <c r="U555" s="147"/>
      <c r="V555" s="147"/>
      <c r="W555" s="147"/>
      <c r="X555" s="147"/>
      <c r="Y555" s="147"/>
      <c r="Z555" s="147"/>
      <c r="AA555" s="147"/>
      <c r="AB555" s="147"/>
      <c r="AC555" s="147"/>
      <c r="AD555" s="147"/>
      <c r="AE555" s="147"/>
      <c r="AF555" s="147"/>
      <c r="AG555" s="147"/>
      <c r="AH555" s="147"/>
      <c r="AI555" s="147"/>
    </row>
    <row r="556">
      <c r="A556" s="167"/>
      <c r="B556" s="169"/>
      <c r="C556" s="170"/>
      <c r="D556" s="170"/>
      <c r="E556" s="170"/>
      <c r="F556" s="170"/>
      <c r="G556" s="171"/>
      <c r="H556" s="171"/>
      <c r="I556" s="172"/>
      <c r="J556" s="172"/>
      <c r="K556" s="172"/>
      <c r="L556" s="172"/>
      <c r="M556" s="147"/>
      <c r="Q556" s="147"/>
      <c r="R556" s="147"/>
      <c r="S556" s="147"/>
      <c r="T556" s="147"/>
      <c r="U556" s="147"/>
      <c r="V556" s="147"/>
      <c r="W556" s="147"/>
      <c r="X556" s="147"/>
      <c r="Y556" s="147"/>
      <c r="Z556" s="147"/>
      <c r="AA556" s="147"/>
      <c r="AB556" s="147"/>
      <c r="AC556" s="147"/>
      <c r="AD556" s="147"/>
      <c r="AE556" s="147"/>
      <c r="AF556" s="147"/>
      <c r="AG556" s="147"/>
      <c r="AH556" s="147"/>
      <c r="AI556" s="147"/>
    </row>
    <row r="557">
      <c r="A557" s="167"/>
      <c r="B557" s="169"/>
      <c r="C557" s="170"/>
      <c r="D557" s="170"/>
      <c r="E557" s="170"/>
      <c r="F557" s="170"/>
      <c r="G557" s="171"/>
      <c r="H557" s="171"/>
      <c r="I557" s="172"/>
      <c r="J557" s="172"/>
      <c r="K557" s="172"/>
      <c r="L557" s="172"/>
      <c r="M557" s="147"/>
      <c r="Q557" s="147"/>
      <c r="R557" s="147"/>
      <c r="S557" s="147"/>
      <c r="T557" s="147"/>
      <c r="U557" s="147"/>
      <c r="V557" s="147"/>
      <c r="W557" s="147"/>
      <c r="X557" s="147"/>
      <c r="Y557" s="147"/>
      <c r="Z557" s="147"/>
      <c r="AA557" s="147"/>
      <c r="AB557" s="147"/>
      <c r="AC557" s="147"/>
      <c r="AD557" s="147"/>
      <c r="AE557" s="147"/>
      <c r="AF557" s="147"/>
      <c r="AG557" s="147"/>
      <c r="AH557" s="147"/>
      <c r="AI557" s="147"/>
    </row>
    <row r="558">
      <c r="A558" s="167"/>
      <c r="B558" s="169"/>
      <c r="C558" s="170"/>
      <c r="D558" s="170"/>
      <c r="E558" s="170"/>
      <c r="F558" s="170"/>
      <c r="G558" s="171"/>
      <c r="H558" s="171"/>
      <c r="I558" s="172"/>
      <c r="J558" s="172"/>
      <c r="K558" s="172"/>
      <c r="L558" s="172"/>
      <c r="M558" s="147"/>
      <c r="Q558" s="147"/>
      <c r="R558" s="147"/>
      <c r="S558" s="147"/>
      <c r="T558" s="147"/>
      <c r="U558" s="147"/>
      <c r="V558" s="147"/>
      <c r="W558" s="147"/>
      <c r="X558" s="147"/>
      <c r="Y558" s="147"/>
      <c r="Z558" s="147"/>
      <c r="AA558" s="147"/>
      <c r="AB558" s="147"/>
      <c r="AC558" s="147"/>
      <c r="AD558" s="147"/>
      <c r="AE558" s="147"/>
      <c r="AF558" s="147"/>
      <c r="AG558" s="147"/>
      <c r="AH558" s="147"/>
      <c r="AI558" s="147"/>
    </row>
    <row r="559">
      <c r="A559" s="167"/>
      <c r="B559" s="169"/>
      <c r="C559" s="170"/>
      <c r="D559" s="170"/>
      <c r="E559" s="170"/>
      <c r="F559" s="170"/>
      <c r="G559" s="171"/>
      <c r="H559" s="171"/>
      <c r="I559" s="172"/>
      <c r="J559" s="172"/>
      <c r="K559" s="172"/>
      <c r="L559" s="172"/>
      <c r="M559" s="147"/>
      <c r="Q559" s="147"/>
      <c r="R559" s="147"/>
      <c r="S559" s="147"/>
      <c r="T559" s="147"/>
      <c r="U559" s="147"/>
      <c r="V559" s="147"/>
      <c r="W559" s="147"/>
      <c r="X559" s="147"/>
      <c r="Y559" s="147"/>
      <c r="Z559" s="147"/>
      <c r="AA559" s="147"/>
      <c r="AB559" s="147"/>
      <c r="AC559" s="147"/>
      <c r="AD559" s="147"/>
      <c r="AE559" s="147"/>
      <c r="AF559" s="147"/>
      <c r="AG559" s="147"/>
      <c r="AH559" s="147"/>
      <c r="AI559" s="147"/>
    </row>
    <row r="560">
      <c r="A560" s="167"/>
      <c r="B560" s="169"/>
      <c r="C560" s="170"/>
      <c r="D560" s="170"/>
      <c r="E560" s="170"/>
      <c r="F560" s="170"/>
      <c r="G560" s="171"/>
      <c r="H560" s="171"/>
      <c r="I560" s="172"/>
      <c r="J560" s="172"/>
      <c r="K560" s="172"/>
      <c r="L560" s="172"/>
      <c r="M560" s="147"/>
      <c r="Q560" s="147"/>
      <c r="R560" s="147"/>
      <c r="S560" s="147"/>
      <c r="T560" s="147"/>
      <c r="U560" s="147"/>
      <c r="V560" s="147"/>
      <c r="W560" s="147"/>
      <c r="X560" s="147"/>
      <c r="Y560" s="147"/>
      <c r="Z560" s="147"/>
      <c r="AA560" s="147"/>
      <c r="AB560" s="147"/>
      <c r="AC560" s="147"/>
      <c r="AD560" s="147"/>
      <c r="AE560" s="147"/>
      <c r="AF560" s="147"/>
      <c r="AG560" s="147"/>
      <c r="AH560" s="147"/>
      <c r="AI560" s="147"/>
    </row>
    <row r="561">
      <c r="A561" s="167"/>
      <c r="B561" s="169"/>
      <c r="C561" s="170"/>
      <c r="D561" s="170"/>
      <c r="E561" s="170"/>
      <c r="F561" s="170"/>
      <c r="G561" s="171"/>
      <c r="H561" s="171"/>
      <c r="I561" s="172"/>
      <c r="J561" s="172"/>
      <c r="K561" s="172"/>
      <c r="L561" s="172"/>
      <c r="M561" s="147"/>
      <c r="Q561" s="147"/>
      <c r="R561" s="147"/>
      <c r="S561" s="147"/>
      <c r="T561" s="147"/>
      <c r="U561" s="147"/>
      <c r="V561" s="147"/>
      <c r="W561" s="147"/>
      <c r="X561" s="147"/>
      <c r="Y561" s="147"/>
      <c r="Z561" s="147"/>
      <c r="AA561" s="147"/>
      <c r="AB561" s="147"/>
      <c r="AC561" s="147"/>
      <c r="AD561" s="147"/>
      <c r="AE561" s="147"/>
      <c r="AF561" s="147"/>
      <c r="AG561" s="147"/>
      <c r="AH561" s="147"/>
      <c r="AI561" s="147"/>
    </row>
    <row r="562">
      <c r="A562" s="167"/>
      <c r="B562" s="169"/>
      <c r="C562" s="170"/>
      <c r="D562" s="170"/>
      <c r="E562" s="170"/>
      <c r="F562" s="170"/>
      <c r="G562" s="171"/>
      <c r="H562" s="171"/>
      <c r="I562" s="172"/>
      <c r="J562" s="172"/>
      <c r="K562" s="172"/>
      <c r="L562" s="172"/>
      <c r="M562" s="147"/>
      <c r="Q562" s="147"/>
      <c r="R562" s="147"/>
      <c r="S562" s="147"/>
      <c r="T562" s="147"/>
      <c r="U562" s="147"/>
      <c r="V562" s="147"/>
      <c r="W562" s="147"/>
      <c r="X562" s="147"/>
      <c r="Y562" s="147"/>
      <c r="Z562" s="147"/>
      <c r="AA562" s="147"/>
      <c r="AB562" s="147"/>
      <c r="AC562" s="147"/>
      <c r="AD562" s="147"/>
      <c r="AE562" s="147"/>
      <c r="AF562" s="147"/>
      <c r="AG562" s="147"/>
      <c r="AH562" s="147"/>
      <c r="AI562" s="147"/>
    </row>
    <row r="563">
      <c r="A563" s="167"/>
      <c r="B563" s="169"/>
      <c r="C563" s="170"/>
      <c r="D563" s="170"/>
      <c r="E563" s="170"/>
      <c r="F563" s="170"/>
      <c r="G563" s="171"/>
      <c r="H563" s="171"/>
      <c r="I563" s="172"/>
      <c r="J563" s="172"/>
      <c r="K563" s="172"/>
      <c r="L563" s="172"/>
      <c r="M563" s="147"/>
      <c r="Q563" s="147"/>
      <c r="R563" s="147"/>
      <c r="S563" s="147"/>
      <c r="T563" s="147"/>
      <c r="U563" s="147"/>
      <c r="V563" s="147"/>
      <c r="W563" s="147"/>
      <c r="X563" s="147"/>
      <c r="Y563" s="147"/>
      <c r="Z563" s="147"/>
      <c r="AA563" s="147"/>
      <c r="AB563" s="147"/>
      <c r="AC563" s="147"/>
      <c r="AD563" s="147"/>
      <c r="AE563" s="147"/>
      <c r="AF563" s="147"/>
      <c r="AG563" s="147"/>
      <c r="AH563" s="147"/>
      <c r="AI563" s="147"/>
    </row>
    <row r="564">
      <c r="A564" s="167"/>
      <c r="B564" s="169"/>
      <c r="C564" s="170"/>
      <c r="D564" s="170"/>
      <c r="E564" s="170"/>
      <c r="F564" s="170"/>
      <c r="G564" s="171"/>
      <c r="H564" s="171"/>
      <c r="I564" s="172"/>
      <c r="J564" s="172"/>
      <c r="K564" s="172"/>
      <c r="L564" s="172"/>
      <c r="M564" s="147"/>
      <c r="Q564" s="147"/>
      <c r="R564" s="147"/>
      <c r="S564" s="147"/>
      <c r="T564" s="147"/>
      <c r="U564" s="147"/>
      <c r="V564" s="147"/>
      <c r="W564" s="147"/>
      <c r="X564" s="147"/>
      <c r="Y564" s="147"/>
      <c r="Z564" s="147"/>
      <c r="AA564" s="147"/>
      <c r="AB564" s="147"/>
      <c r="AC564" s="147"/>
      <c r="AD564" s="147"/>
      <c r="AE564" s="147"/>
      <c r="AF564" s="147"/>
      <c r="AG564" s="147"/>
      <c r="AH564" s="147"/>
      <c r="AI564" s="147"/>
    </row>
    <row r="565">
      <c r="A565" s="167"/>
      <c r="B565" s="169"/>
      <c r="C565" s="170"/>
      <c r="D565" s="170"/>
      <c r="E565" s="170"/>
      <c r="F565" s="170"/>
      <c r="G565" s="171"/>
      <c r="H565" s="171"/>
      <c r="I565" s="172"/>
      <c r="J565" s="172"/>
      <c r="K565" s="172"/>
      <c r="L565" s="172"/>
      <c r="M565" s="147"/>
      <c r="Q565" s="147"/>
      <c r="R565" s="147"/>
      <c r="S565" s="147"/>
      <c r="T565" s="147"/>
      <c r="U565" s="147"/>
      <c r="V565" s="147"/>
      <c r="W565" s="147"/>
      <c r="X565" s="147"/>
      <c r="Y565" s="147"/>
      <c r="Z565" s="147"/>
      <c r="AA565" s="147"/>
      <c r="AB565" s="147"/>
      <c r="AC565" s="147"/>
      <c r="AD565" s="147"/>
      <c r="AE565" s="147"/>
      <c r="AF565" s="147"/>
      <c r="AG565" s="147"/>
      <c r="AH565" s="147"/>
      <c r="AI565" s="147"/>
    </row>
    <row r="566">
      <c r="A566" s="167"/>
      <c r="B566" s="169"/>
      <c r="C566" s="170"/>
      <c r="D566" s="170"/>
      <c r="E566" s="170"/>
      <c r="F566" s="170"/>
      <c r="G566" s="171"/>
      <c r="H566" s="171"/>
      <c r="I566" s="172"/>
      <c r="J566" s="172"/>
      <c r="K566" s="172"/>
      <c r="L566" s="172"/>
      <c r="M566" s="147"/>
      <c r="Q566" s="147"/>
      <c r="R566" s="147"/>
      <c r="S566" s="147"/>
      <c r="T566" s="147"/>
      <c r="U566" s="147"/>
      <c r="V566" s="147"/>
      <c r="W566" s="147"/>
      <c r="X566" s="147"/>
      <c r="Y566" s="147"/>
      <c r="Z566" s="147"/>
      <c r="AA566" s="147"/>
      <c r="AB566" s="147"/>
      <c r="AC566" s="147"/>
      <c r="AD566" s="147"/>
      <c r="AE566" s="147"/>
      <c r="AF566" s="147"/>
      <c r="AG566" s="147"/>
      <c r="AH566" s="147"/>
      <c r="AI566" s="147"/>
    </row>
    <row r="567">
      <c r="A567" s="167"/>
      <c r="B567" s="169"/>
      <c r="C567" s="170"/>
      <c r="D567" s="170"/>
      <c r="E567" s="170"/>
      <c r="F567" s="170"/>
      <c r="G567" s="171"/>
      <c r="H567" s="171"/>
      <c r="I567" s="172"/>
      <c r="J567" s="172"/>
      <c r="K567" s="172"/>
      <c r="L567" s="172"/>
      <c r="M567" s="147"/>
      <c r="Q567" s="147"/>
      <c r="R567" s="147"/>
      <c r="S567" s="147"/>
      <c r="T567" s="147"/>
      <c r="U567" s="147"/>
      <c r="V567" s="147"/>
      <c r="W567" s="147"/>
      <c r="X567" s="147"/>
      <c r="Y567" s="147"/>
      <c r="Z567" s="147"/>
      <c r="AA567" s="147"/>
      <c r="AB567" s="147"/>
      <c r="AC567" s="147"/>
      <c r="AD567" s="147"/>
      <c r="AE567" s="147"/>
      <c r="AF567" s="147"/>
      <c r="AG567" s="147"/>
      <c r="AH567" s="147"/>
      <c r="AI567" s="147"/>
    </row>
    <row r="568">
      <c r="A568" s="167"/>
      <c r="B568" s="169"/>
      <c r="C568" s="170"/>
      <c r="D568" s="170"/>
      <c r="E568" s="170"/>
      <c r="F568" s="170"/>
      <c r="G568" s="171"/>
      <c r="H568" s="171"/>
      <c r="I568" s="172"/>
      <c r="J568" s="172"/>
      <c r="K568" s="172"/>
      <c r="L568" s="172"/>
      <c r="M568" s="147"/>
      <c r="Q568" s="147"/>
      <c r="R568" s="147"/>
      <c r="S568" s="147"/>
      <c r="T568" s="147"/>
      <c r="U568" s="147"/>
      <c r="V568" s="147"/>
      <c r="W568" s="147"/>
      <c r="X568" s="147"/>
      <c r="Y568" s="147"/>
      <c r="Z568" s="147"/>
      <c r="AA568" s="147"/>
      <c r="AB568" s="147"/>
      <c r="AC568" s="147"/>
      <c r="AD568" s="147"/>
      <c r="AE568" s="147"/>
      <c r="AF568" s="147"/>
      <c r="AG568" s="147"/>
      <c r="AH568" s="147"/>
      <c r="AI568" s="147"/>
    </row>
    <row r="569">
      <c r="A569" s="167"/>
      <c r="B569" s="169"/>
      <c r="C569" s="170"/>
      <c r="D569" s="170"/>
      <c r="E569" s="170"/>
      <c r="F569" s="170"/>
      <c r="G569" s="171"/>
      <c r="H569" s="171"/>
      <c r="I569" s="172"/>
      <c r="J569" s="172"/>
      <c r="K569" s="172"/>
      <c r="L569" s="172"/>
      <c r="M569" s="147"/>
      <c r="Q569" s="147"/>
      <c r="R569" s="147"/>
      <c r="S569" s="147"/>
      <c r="T569" s="147"/>
      <c r="U569" s="147"/>
      <c r="V569" s="147"/>
      <c r="W569" s="147"/>
      <c r="X569" s="147"/>
      <c r="Y569" s="147"/>
      <c r="Z569" s="147"/>
      <c r="AA569" s="147"/>
      <c r="AB569" s="147"/>
      <c r="AC569" s="147"/>
      <c r="AD569" s="147"/>
      <c r="AE569" s="147"/>
      <c r="AF569" s="147"/>
      <c r="AG569" s="147"/>
      <c r="AH569" s="147"/>
      <c r="AI569" s="147"/>
    </row>
    <row r="570">
      <c r="A570" s="167"/>
      <c r="B570" s="169"/>
      <c r="C570" s="170"/>
      <c r="D570" s="170"/>
      <c r="E570" s="170"/>
      <c r="F570" s="170"/>
      <c r="G570" s="171"/>
      <c r="H570" s="171"/>
      <c r="I570" s="172"/>
      <c r="J570" s="172"/>
      <c r="K570" s="172"/>
      <c r="L570" s="172"/>
      <c r="M570" s="147"/>
      <c r="Q570" s="147"/>
      <c r="R570" s="147"/>
      <c r="S570" s="147"/>
      <c r="T570" s="147"/>
      <c r="U570" s="147"/>
      <c r="V570" s="147"/>
      <c r="W570" s="147"/>
      <c r="X570" s="147"/>
      <c r="Y570" s="147"/>
      <c r="Z570" s="147"/>
      <c r="AA570" s="147"/>
      <c r="AB570" s="147"/>
      <c r="AC570" s="147"/>
      <c r="AD570" s="147"/>
      <c r="AE570" s="147"/>
      <c r="AF570" s="147"/>
      <c r="AG570" s="147"/>
      <c r="AH570" s="147"/>
      <c r="AI570" s="147"/>
    </row>
    <row r="571">
      <c r="A571" s="167"/>
      <c r="B571" s="169"/>
      <c r="C571" s="170"/>
      <c r="D571" s="170"/>
      <c r="E571" s="170"/>
      <c r="F571" s="170"/>
      <c r="G571" s="171"/>
      <c r="H571" s="171"/>
      <c r="I571" s="172"/>
      <c r="J571" s="172"/>
      <c r="K571" s="172"/>
      <c r="L571" s="172"/>
      <c r="M571" s="147"/>
      <c r="Q571" s="147"/>
      <c r="R571" s="147"/>
      <c r="S571" s="147"/>
      <c r="T571" s="147"/>
      <c r="U571" s="147"/>
      <c r="V571" s="147"/>
      <c r="W571" s="147"/>
      <c r="X571" s="147"/>
      <c r="Y571" s="147"/>
      <c r="Z571" s="147"/>
      <c r="AA571" s="147"/>
      <c r="AB571" s="147"/>
      <c r="AC571" s="147"/>
      <c r="AD571" s="147"/>
      <c r="AE571" s="147"/>
      <c r="AF571" s="147"/>
      <c r="AG571" s="147"/>
      <c r="AH571" s="147"/>
      <c r="AI571" s="147"/>
    </row>
    <row r="572">
      <c r="A572" s="167"/>
      <c r="B572" s="169"/>
      <c r="C572" s="170"/>
      <c r="D572" s="170"/>
      <c r="E572" s="170"/>
      <c r="F572" s="170"/>
      <c r="G572" s="171"/>
      <c r="H572" s="171"/>
      <c r="I572" s="172"/>
      <c r="J572" s="172"/>
      <c r="K572" s="172"/>
      <c r="L572" s="172"/>
      <c r="M572" s="147"/>
      <c r="Q572" s="147"/>
      <c r="R572" s="147"/>
      <c r="S572" s="147"/>
      <c r="T572" s="147"/>
      <c r="U572" s="147"/>
      <c r="V572" s="147"/>
      <c r="W572" s="147"/>
      <c r="X572" s="147"/>
      <c r="Y572" s="147"/>
      <c r="Z572" s="147"/>
      <c r="AA572" s="147"/>
      <c r="AB572" s="147"/>
      <c r="AC572" s="147"/>
      <c r="AD572" s="147"/>
      <c r="AE572" s="147"/>
      <c r="AF572" s="147"/>
      <c r="AG572" s="147"/>
      <c r="AH572" s="147"/>
      <c r="AI572" s="147"/>
    </row>
    <row r="573">
      <c r="A573" s="167"/>
      <c r="B573" s="169"/>
      <c r="C573" s="170"/>
      <c r="D573" s="170"/>
      <c r="E573" s="170"/>
      <c r="F573" s="170"/>
      <c r="G573" s="171"/>
      <c r="H573" s="171"/>
      <c r="I573" s="172"/>
      <c r="J573" s="172"/>
      <c r="K573" s="172"/>
      <c r="L573" s="172"/>
      <c r="M573" s="147"/>
      <c r="Q573" s="147"/>
      <c r="R573" s="147"/>
      <c r="S573" s="147"/>
      <c r="T573" s="147"/>
      <c r="U573" s="147"/>
      <c r="V573" s="147"/>
      <c r="W573" s="147"/>
      <c r="X573" s="147"/>
      <c r="Y573" s="147"/>
      <c r="Z573" s="147"/>
      <c r="AA573" s="147"/>
      <c r="AB573" s="147"/>
      <c r="AC573" s="147"/>
      <c r="AD573" s="147"/>
      <c r="AE573" s="147"/>
      <c r="AF573" s="147"/>
      <c r="AG573" s="147"/>
      <c r="AH573" s="147"/>
      <c r="AI573" s="147"/>
    </row>
    <row r="574">
      <c r="A574" s="167"/>
      <c r="B574" s="169"/>
      <c r="C574" s="170"/>
      <c r="D574" s="170"/>
      <c r="E574" s="170"/>
      <c r="F574" s="170"/>
      <c r="G574" s="171"/>
      <c r="H574" s="171"/>
      <c r="I574" s="172"/>
      <c r="J574" s="172"/>
      <c r="K574" s="172"/>
      <c r="L574" s="172"/>
      <c r="M574" s="147"/>
      <c r="Q574" s="147"/>
      <c r="R574" s="147"/>
      <c r="S574" s="147"/>
      <c r="T574" s="147"/>
      <c r="U574" s="147"/>
      <c r="V574" s="147"/>
      <c r="W574" s="147"/>
      <c r="X574" s="147"/>
      <c r="Y574" s="147"/>
      <c r="Z574" s="147"/>
      <c r="AA574" s="147"/>
      <c r="AB574" s="147"/>
      <c r="AC574" s="147"/>
      <c r="AD574" s="147"/>
      <c r="AE574" s="147"/>
      <c r="AF574" s="147"/>
      <c r="AG574" s="147"/>
      <c r="AH574" s="147"/>
      <c r="AI574" s="147"/>
    </row>
    <row r="575">
      <c r="A575" s="167"/>
      <c r="B575" s="169"/>
      <c r="C575" s="170"/>
      <c r="D575" s="170"/>
      <c r="E575" s="170"/>
      <c r="F575" s="170"/>
      <c r="G575" s="171"/>
      <c r="H575" s="171"/>
      <c r="I575" s="172"/>
      <c r="J575" s="172"/>
      <c r="K575" s="172"/>
      <c r="L575" s="172"/>
      <c r="M575" s="147"/>
      <c r="Q575" s="147"/>
      <c r="R575" s="147"/>
      <c r="S575" s="147"/>
      <c r="T575" s="147"/>
      <c r="U575" s="147"/>
      <c r="V575" s="147"/>
      <c r="W575" s="147"/>
      <c r="X575" s="147"/>
      <c r="Y575" s="147"/>
      <c r="Z575" s="147"/>
      <c r="AA575" s="147"/>
      <c r="AB575" s="147"/>
      <c r="AC575" s="147"/>
      <c r="AD575" s="147"/>
      <c r="AE575" s="147"/>
      <c r="AF575" s="147"/>
      <c r="AG575" s="147"/>
      <c r="AH575" s="147"/>
      <c r="AI575" s="147"/>
    </row>
    <row r="576">
      <c r="A576" s="167"/>
      <c r="B576" s="169"/>
      <c r="C576" s="170"/>
      <c r="D576" s="170"/>
      <c r="E576" s="170"/>
      <c r="F576" s="170"/>
      <c r="G576" s="171"/>
      <c r="H576" s="171"/>
      <c r="I576" s="172"/>
      <c r="J576" s="172"/>
      <c r="K576" s="172"/>
      <c r="L576" s="172"/>
      <c r="M576" s="147"/>
      <c r="Q576" s="147"/>
      <c r="R576" s="147"/>
      <c r="S576" s="147"/>
      <c r="T576" s="147"/>
      <c r="U576" s="147"/>
      <c r="V576" s="147"/>
      <c r="W576" s="147"/>
      <c r="X576" s="147"/>
      <c r="Y576" s="147"/>
      <c r="Z576" s="147"/>
      <c r="AA576" s="147"/>
      <c r="AB576" s="147"/>
      <c r="AC576" s="147"/>
      <c r="AD576" s="147"/>
      <c r="AE576" s="147"/>
      <c r="AF576" s="147"/>
      <c r="AG576" s="147"/>
      <c r="AH576" s="147"/>
      <c r="AI576" s="147"/>
    </row>
    <row r="577">
      <c r="A577" s="167"/>
      <c r="B577" s="169"/>
      <c r="C577" s="170"/>
      <c r="D577" s="170"/>
      <c r="E577" s="170"/>
      <c r="F577" s="170"/>
      <c r="G577" s="171"/>
      <c r="H577" s="171"/>
      <c r="I577" s="172"/>
      <c r="J577" s="172"/>
      <c r="K577" s="172"/>
      <c r="L577" s="172"/>
      <c r="M577" s="147"/>
      <c r="Q577" s="147"/>
      <c r="R577" s="147"/>
      <c r="S577" s="147"/>
      <c r="T577" s="147"/>
      <c r="U577" s="147"/>
      <c r="V577" s="147"/>
      <c r="W577" s="147"/>
      <c r="X577" s="147"/>
      <c r="Y577" s="147"/>
      <c r="Z577" s="147"/>
      <c r="AA577" s="147"/>
      <c r="AB577" s="147"/>
      <c r="AC577" s="147"/>
      <c r="AD577" s="147"/>
      <c r="AE577" s="147"/>
      <c r="AF577" s="147"/>
      <c r="AG577" s="147"/>
      <c r="AH577" s="147"/>
      <c r="AI577" s="147"/>
    </row>
    <row r="578">
      <c r="A578" s="167"/>
      <c r="B578" s="169"/>
      <c r="C578" s="170"/>
      <c r="D578" s="170"/>
      <c r="E578" s="170"/>
      <c r="F578" s="170"/>
      <c r="G578" s="171"/>
      <c r="H578" s="171"/>
      <c r="I578" s="172"/>
      <c r="J578" s="172"/>
      <c r="K578" s="172"/>
      <c r="L578" s="172"/>
      <c r="M578" s="147"/>
      <c r="Q578" s="147"/>
      <c r="R578" s="147"/>
      <c r="S578" s="147"/>
      <c r="T578" s="147"/>
      <c r="U578" s="147"/>
      <c r="V578" s="147"/>
      <c r="W578" s="147"/>
      <c r="X578" s="147"/>
      <c r="Y578" s="147"/>
      <c r="Z578" s="147"/>
      <c r="AA578" s="147"/>
      <c r="AB578" s="147"/>
      <c r="AC578" s="147"/>
      <c r="AD578" s="147"/>
      <c r="AE578" s="147"/>
      <c r="AF578" s="147"/>
      <c r="AG578" s="147"/>
      <c r="AH578" s="147"/>
      <c r="AI578" s="147"/>
    </row>
    <row r="579">
      <c r="A579" s="167"/>
      <c r="B579" s="169"/>
      <c r="C579" s="170"/>
      <c r="D579" s="170"/>
      <c r="E579" s="170"/>
      <c r="F579" s="170"/>
      <c r="G579" s="171"/>
      <c r="H579" s="171"/>
      <c r="I579" s="172"/>
      <c r="J579" s="172"/>
      <c r="K579" s="172"/>
      <c r="L579" s="172"/>
      <c r="M579" s="147"/>
      <c r="Q579" s="147"/>
      <c r="R579" s="147"/>
      <c r="S579" s="147"/>
      <c r="T579" s="147"/>
      <c r="U579" s="147"/>
      <c r="V579" s="147"/>
      <c r="W579" s="147"/>
      <c r="X579" s="147"/>
      <c r="Y579" s="147"/>
      <c r="Z579" s="147"/>
      <c r="AA579" s="147"/>
      <c r="AB579" s="147"/>
      <c r="AC579" s="147"/>
      <c r="AD579" s="147"/>
      <c r="AE579" s="147"/>
      <c r="AF579" s="147"/>
      <c r="AG579" s="147"/>
      <c r="AH579" s="147"/>
      <c r="AI579" s="147"/>
    </row>
    <row r="580">
      <c r="A580" s="167"/>
      <c r="B580" s="169"/>
      <c r="C580" s="170"/>
      <c r="D580" s="170"/>
      <c r="E580" s="170"/>
      <c r="F580" s="170"/>
      <c r="G580" s="171"/>
      <c r="H580" s="171"/>
      <c r="I580" s="172"/>
      <c r="J580" s="172"/>
      <c r="K580" s="172"/>
      <c r="L580" s="172"/>
      <c r="M580" s="147"/>
      <c r="Q580" s="147"/>
      <c r="R580" s="147"/>
      <c r="S580" s="147"/>
      <c r="T580" s="147"/>
      <c r="U580" s="147"/>
      <c r="V580" s="147"/>
      <c r="W580" s="147"/>
      <c r="X580" s="147"/>
      <c r="Y580" s="147"/>
      <c r="Z580" s="147"/>
      <c r="AA580" s="147"/>
      <c r="AB580" s="147"/>
      <c r="AC580" s="147"/>
      <c r="AD580" s="147"/>
      <c r="AE580" s="147"/>
      <c r="AF580" s="147"/>
      <c r="AG580" s="147"/>
      <c r="AH580" s="147"/>
      <c r="AI580" s="147"/>
    </row>
    <row r="581">
      <c r="A581" s="167"/>
      <c r="B581" s="169"/>
      <c r="C581" s="170"/>
      <c r="D581" s="170"/>
      <c r="E581" s="170"/>
      <c r="F581" s="170"/>
      <c r="G581" s="171"/>
      <c r="H581" s="171"/>
      <c r="I581" s="172"/>
      <c r="J581" s="172"/>
      <c r="K581" s="172"/>
      <c r="L581" s="172"/>
      <c r="M581" s="147"/>
      <c r="Q581" s="147"/>
      <c r="R581" s="147"/>
      <c r="S581" s="147"/>
      <c r="T581" s="147"/>
      <c r="U581" s="147"/>
      <c r="V581" s="147"/>
      <c r="W581" s="147"/>
      <c r="X581" s="147"/>
      <c r="Y581" s="147"/>
      <c r="Z581" s="147"/>
      <c r="AA581" s="147"/>
      <c r="AB581" s="147"/>
      <c r="AC581" s="147"/>
      <c r="AD581" s="147"/>
      <c r="AE581" s="147"/>
      <c r="AF581" s="147"/>
      <c r="AG581" s="147"/>
      <c r="AH581" s="147"/>
      <c r="AI581" s="147"/>
    </row>
    <row r="582">
      <c r="A582" s="167"/>
      <c r="B582" s="169"/>
      <c r="C582" s="170"/>
      <c r="D582" s="170"/>
      <c r="E582" s="170"/>
      <c r="F582" s="170"/>
      <c r="G582" s="171"/>
      <c r="H582" s="171"/>
      <c r="I582" s="172"/>
      <c r="J582" s="172"/>
      <c r="K582" s="172"/>
      <c r="L582" s="172"/>
      <c r="M582" s="147"/>
      <c r="Q582" s="147"/>
      <c r="R582" s="147"/>
      <c r="S582" s="147"/>
      <c r="T582" s="147"/>
      <c r="U582" s="147"/>
      <c r="V582" s="147"/>
      <c r="W582" s="147"/>
      <c r="X582" s="147"/>
      <c r="Y582" s="147"/>
      <c r="Z582" s="147"/>
      <c r="AA582" s="147"/>
      <c r="AB582" s="147"/>
      <c r="AC582" s="147"/>
      <c r="AD582" s="147"/>
      <c r="AE582" s="147"/>
      <c r="AF582" s="147"/>
      <c r="AG582" s="147"/>
      <c r="AH582" s="147"/>
      <c r="AI582" s="147"/>
    </row>
    <row r="583">
      <c r="A583" s="167"/>
      <c r="B583" s="169"/>
      <c r="C583" s="170"/>
      <c r="D583" s="170"/>
      <c r="E583" s="170"/>
      <c r="F583" s="170"/>
      <c r="G583" s="171"/>
      <c r="H583" s="171"/>
      <c r="I583" s="172"/>
      <c r="J583" s="172"/>
      <c r="K583" s="172"/>
      <c r="L583" s="172"/>
      <c r="M583" s="147"/>
      <c r="Q583" s="147"/>
      <c r="R583" s="147"/>
      <c r="S583" s="147"/>
      <c r="T583" s="147"/>
      <c r="U583" s="147"/>
      <c r="V583" s="147"/>
      <c r="W583" s="147"/>
      <c r="X583" s="147"/>
      <c r="Y583" s="147"/>
      <c r="Z583" s="147"/>
      <c r="AA583" s="147"/>
      <c r="AB583" s="147"/>
      <c r="AC583" s="147"/>
      <c r="AD583" s="147"/>
      <c r="AE583" s="147"/>
      <c r="AF583" s="147"/>
      <c r="AG583" s="147"/>
      <c r="AH583" s="147"/>
      <c r="AI583" s="147"/>
    </row>
    <row r="584">
      <c r="A584" s="167"/>
      <c r="B584" s="169"/>
      <c r="C584" s="170"/>
      <c r="D584" s="170"/>
      <c r="E584" s="170"/>
      <c r="F584" s="170"/>
      <c r="G584" s="171"/>
      <c r="H584" s="171"/>
      <c r="I584" s="172"/>
      <c r="J584" s="172"/>
      <c r="K584" s="172"/>
      <c r="L584" s="172"/>
      <c r="M584" s="147"/>
      <c r="Q584" s="147"/>
      <c r="R584" s="147"/>
      <c r="S584" s="147"/>
      <c r="T584" s="147"/>
      <c r="U584" s="147"/>
      <c r="V584" s="147"/>
      <c r="W584" s="147"/>
      <c r="X584" s="147"/>
      <c r="Y584" s="147"/>
      <c r="Z584" s="147"/>
      <c r="AA584" s="147"/>
      <c r="AB584" s="147"/>
      <c r="AC584" s="147"/>
      <c r="AD584" s="147"/>
      <c r="AE584" s="147"/>
      <c r="AF584" s="147"/>
      <c r="AG584" s="147"/>
      <c r="AH584" s="147"/>
      <c r="AI584" s="147"/>
    </row>
    <row r="585">
      <c r="A585" s="167"/>
      <c r="B585" s="169"/>
      <c r="C585" s="170"/>
      <c r="D585" s="170"/>
      <c r="E585" s="170"/>
      <c r="F585" s="170"/>
      <c r="G585" s="171"/>
      <c r="H585" s="171"/>
      <c r="I585" s="172"/>
      <c r="J585" s="172"/>
      <c r="K585" s="172"/>
      <c r="L585" s="172"/>
      <c r="M585" s="147"/>
      <c r="Q585" s="147"/>
      <c r="R585" s="147"/>
      <c r="S585" s="147"/>
      <c r="T585" s="147"/>
      <c r="U585" s="147"/>
      <c r="V585" s="147"/>
      <c r="W585" s="147"/>
      <c r="X585" s="147"/>
      <c r="Y585" s="147"/>
      <c r="Z585" s="147"/>
      <c r="AA585" s="147"/>
      <c r="AB585" s="147"/>
      <c r="AC585" s="147"/>
      <c r="AD585" s="147"/>
      <c r="AE585" s="147"/>
      <c r="AF585" s="147"/>
      <c r="AG585" s="147"/>
      <c r="AH585" s="147"/>
      <c r="AI585" s="147"/>
    </row>
    <row r="586">
      <c r="A586" s="167"/>
      <c r="B586" s="169"/>
      <c r="C586" s="170"/>
      <c r="D586" s="170"/>
      <c r="E586" s="170"/>
      <c r="F586" s="170"/>
      <c r="G586" s="171"/>
      <c r="H586" s="171"/>
      <c r="I586" s="172"/>
      <c r="J586" s="172"/>
      <c r="K586" s="172"/>
      <c r="L586" s="172"/>
      <c r="M586" s="147"/>
      <c r="Q586" s="147"/>
      <c r="R586" s="147"/>
      <c r="S586" s="147"/>
      <c r="T586" s="147"/>
      <c r="U586" s="147"/>
      <c r="V586" s="147"/>
      <c r="W586" s="147"/>
      <c r="X586" s="147"/>
      <c r="Y586" s="147"/>
      <c r="Z586" s="147"/>
      <c r="AA586" s="147"/>
      <c r="AB586" s="147"/>
      <c r="AC586" s="147"/>
      <c r="AD586" s="147"/>
      <c r="AE586" s="147"/>
      <c r="AF586" s="147"/>
      <c r="AG586" s="147"/>
      <c r="AH586" s="147"/>
      <c r="AI586" s="147"/>
    </row>
    <row r="587">
      <c r="A587" s="167"/>
      <c r="B587" s="169"/>
      <c r="C587" s="170"/>
      <c r="D587" s="170"/>
      <c r="E587" s="170"/>
      <c r="F587" s="170"/>
      <c r="G587" s="171"/>
      <c r="H587" s="171"/>
      <c r="I587" s="172"/>
      <c r="J587" s="172"/>
      <c r="K587" s="172"/>
      <c r="L587" s="172"/>
      <c r="M587" s="147"/>
      <c r="Q587" s="147"/>
      <c r="R587" s="147"/>
      <c r="S587" s="147"/>
      <c r="T587" s="147"/>
      <c r="U587" s="147"/>
      <c r="V587" s="147"/>
      <c r="W587" s="147"/>
      <c r="X587" s="147"/>
      <c r="Y587" s="147"/>
      <c r="Z587" s="147"/>
      <c r="AA587" s="147"/>
      <c r="AB587" s="147"/>
      <c r="AC587" s="147"/>
      <c r="AD587" s="147"/>
      <c r="AE587" s="147"/>
      <c r="AF587" s="147"/>
      <c r="AG587" s="147"/>
      <c r="AH587" s="147"/>
      <c r="AI587" s="147"/>
    </row>
    <row r="588">
      <c r="A588" s="167"/>
      <c r="B588" s="169"/>
      <c r="C588" s="170"/>
      <c r="D588" s="170"/>
      <c r="E588" s="170"/>
      <c r="F588" s="170"/>
      <c r="G588" s="171"/>
      <c r="H588" s="171"/>
      <c r="I588" s="172"/>
      <c r="J588" s="172"/>
      <c r="K588" s="172"/>
      <c r="L588" s="172"/>
      <c r="M588" s="147"/>
      <c r="Q588" s="147"/>
      <c r="R588" s="147"/>
      <c r="S588" s="147"/>
      <c r="T588" s="147"/>
      <c r="U588" s="147"/>
      <c r="V588" s="147"/>
      <c r="W588" s="147"/>
      <c r="X588" s="147"/>
      <c r="Y588" s="147"/>
      <c r="Z588" s="147"/>
      <c r="AA588" s="147"/>
      <c r="AB588" s="147"/>
      <c r="AC588" s="147"/>
      <c r="AD588" s="147"/>
      <c r="AE588" s="147"/>
      <c r="AF588" s="147"/>
      <c r="AG588" s="147"/>
      <c r="AH588" s="147"/>
      <c r="AI588" s="147"/>
    </row>
    <row r="589">
      <c r="A589" s="167"/>
      <c r="B589" s="169"/>
      <c r="C589" s="170"/>
      <c r="D589" s="170"/>
      <c r="E589" s="170"/>
      <c r="F589" s="170"/>
      <c r="G589" s="171"/>
      <c r="H589" s="171"/>
      <c r="I589" s="172"/>
      <c r="J589" s="172"/>
      <c r="K589" s="172"/>
      <c r="L589" s="172"/>
      <c r="M589" s="147"/>
      <c r="Q589" s="147"/>
      <c r="R589" s="147"/>
      <c r="S589" s="147"/>
      <c r="T589" s="147"/>
      <c r="U589" s="147"/>
      <c r="V589" s="147"/>
      <c r="W589" s="147"/>
      <c r="X589" s="147"/>
      <c r="Y589" s="147"/>
      <c r="Z589" s="147"/>
      <c r="AA589" s="147"/>
      <c r="AB589" s="147"/>
      <c r="AC589" s="147"/>
      <c r="AD589" s="147"/>
      <c r="AE589" s="147"/>
      <c r="AF589" s="147"/>
      <c r="AG589" s="147"/>
      <c r="AH589" s="147"/>
      <c r="AI589" s="147"/>
    </row>
    <row r="590">
      <c r="A590" s="167"/>
      <c r="B590" s="169"/>
      <c r="C590" s="170"/>
      <c r="D590" s="170"/>
      <c r="E590" s="170"/>
      <c r="F590" s="170"/>
      <c r="G590" s="171"/>
      <c r="H590" s="171"/>
      <c r="I590" s="172"/>
      <c r="J590" s="172"/>
      <c r="K590" s="172"/>
      <c r="L590" s="172"/>
      <c r="M590" s="147"/>
      <c r="Q590" s="147"/>
      <c r="R590" s="147"/>
      <c r="S590" s="147"/>
      <c r="T590" s="147"/>
      <c r="U590" s="147"/>
      <c r="V590" s="147"/>
      <c r="W590" s="147"/>
      <c r="X590" s="147"/>
      <c r="Y590" s="147"/>
      <c r="Z590" s="147"/>
      <c r="AA590" s="147"/>
      <c r="AB590" s="147"/>
      <c r="AC590" s="147"/>
      <c r="AD590" s="147"/>
      <c r="AE590" s="147"/>
      <c r="AF590" s="147"/>
      <c r="AG590" s="147"/>
      <c r="AH590" s="147"/>
      <c r="AI590" s="147"/>
    </row>
    <row r="591">
      <c r="A591" s="167"/>
      <c r="B591" s="169"/>
      <c r="C591" s="170"/>
      <c r="D591" s="170"/>
      <c r="E591" s="170"/>
      <c r="F591" s="170"/>
      <c r="G591" s="171"/>
      <c r="H591" s="171"/>
      <c r="I591" s="172"/>
      <c r="J591" s="172"/>
      <c r="K591" s="172"/>
      <c r="L591" s="172"/>
      <c r="M591" s="147"/>
      <c r="Q591" s="147"/>
      <c r="R591" s="147"/>
      <c r="S591" s="147"/>
      <c r="T591" s="147"/>
      <c r="U591" s="147"/>
      <c r="V591" s="147"/>
      <c r="W591" s="147"/>
      <c r="X591" s="147"/>
      <c r="Y591" s="147"/>
      <c r="Z591" s="147"/>
      <c r="AA591" s="147"/>
      <c r="AB591" s="147"/>
      <c r="AC591" s="147"/>
      <c r="AD591" s="147"/>
      <c r="AE591" s="147"/>
      <c r="AF591" s="147"/>
      <c r="AG591" s="147"/>
      <c r="AH591" s="147"/>
      <c r="AI591" s="147"/>
    </row>
    <row r="592">
      <c r="A592" s="167"/>
      <c r="B592" s="169"/>
      <c r="C592" s="170"/>
      <c r="D592" s="170"/>
      <c r="E592" s="170"/>
      <c r="F592" s="170"/>
      <c r="G592" s="171"/>
      <c r="H592" s="171"/>
      <c r="I592" s="172"/>
      <c r="J592" s="172"/>
      <c r="K592" s="172"/>
      <c r="L592" s="172"/>
      <c r="M592" s="147"/>
      <c r="Q592" s="147"/>
      <c r="R592" s="147"/>
      <c r="S592" s="147"/>
      <c r="T592" s="147"/>
      <c r="U592" s="147"/>
      <c r="V592" s="147"/>
      <c r="W592" s="147"/>
      <c r="X592" s="147"/>
      <c r="Y592" s="147"/>
      <c r="Z592" s="147"/>
      <c r="AA592" s="147"/>
      <c r="AB592" s="147"/>
      <c r="AC592" s="147"/>
      <c r="AD592" s="147"/>
      <c r="AE592" s="147"/>
      <c r="AF592" s="147"/>
      <c r="AG592" s="147"/>
      <c r="AH592" s="147"/>
      <c r="AI592" s="147"/>
    </row>
    <row r="593">
      <c r="A593" s="167"/>
      <c r="B593" s="169"/>
      <c r="C593" s="170"/>
      <c r="D593" s="170"/>
      <c r="E593" s="170"/>
      <c r="F593" s="170"/>
      <c r="G593" s="171"/>
      <c r="H593" s="171"/>
      <c r="I593" s="172"/>
      <c r="J593" s="172"/>
      <c r="K593" s="172"/>
      <c r="L593" s="172"/>
      <c r="M593" s="147"/>
      <c r="Q593" s="147"/>
      <c r="R593" s="147"/>
      <c r="S593" s="147"/>
      <c r="T593" s="147"/>
      <c r="U593" s="147"/>
      <c r="V593" s="147"/>
      <c r="W593" s="147"/>
      <c r="X593" s="147"/>
      <c r="Y593" s="147"/>
      <c r="Z593" s="147"/>
      <c r="AA593" s="147"/>
      <c r="AB593" s="147"/>
      <c r="AC593" s="147"/>
      <c r="AD593" s="147"/>
      <c r="AE593" s="147"/>
      <c r="AF593" s="147"/>
      <c r="AG593" s="147"/>
      <c r="AH593" s="147"/>
      <c r="AI593" s="147"/>
    </row>
    <row r="594">
      <c r="A594" s="167"/>
      <c r="B594" s="169"/>
      <c r="C594" s="170"/>
      <c r="D594" s="170"/>
      <c r="E594" s="170"/>
      <c r="F594" s="170"/>
      <c r="G594" s="171"/>
      <c r="H594" s="171"/>
      <c r="I594" s="172"/>
      <c r="J594" s="172"/>
      <c r="K594" s="172"/>
      <c r="L594" s="172"/>
      <c r="M594" s="147"/>
      <c r="Q594" s="147"/>
      <c r="R594" s="147"/>
      <c r="S594" s="147"/>
      <c r="T594" s="147"/>
      <c r="U594" s="147"/>
      <c r="V594" s="147"/>
      <c r="W594" s="147"/>
      <c r="X594" s="147"/>
      <c r="Y594" s="147"/>
      <c r="Z594" s="147"/>
      <c r="AA594" s="147"/>
      <c r="AB594" s="147"/>
      <c r="AC594" s="147"/>
      <c r="AD594" s="147"/>
      <c r="AE594" s="147"/>
      <c r="AF594" s="147"/>
      <c r="AG594" s="147"/>
      <c r="AH594" s="147"/>
      <c r="AI594" s="147"/>
    </row>
    <row r="595">
      <c r="A595" s="167"/>
      <c r="B595" s="169"/>
      <c r="C595" s="170"/>
      <c r="D595" s="170"/>
      <c r="E595" s="170"/>
      <c r="F595" s="170"/>
      <c r="G595" s="171"/>
      <c r="H595" s="171"/>
      <c r="I595" s="172"/>
      <c r="J595" s="172"/>
      <c r="K595" s="172"/>
      <c r="L595" s="172"/>
      <c r="M595" s="147"/>
      <c r="Q595" s="147"/>
      <c r="R595" s="147"/>
      <c r="S595" s="147"/>
      <c r="T595" s="147"/>
      <c r="U595" s="147"/>
      <c r="V595" s="147"/>
      <c r="W595" s="147"/>
      <c r="X595" s="147"/>
      <c r="Y595" s="147"/>
      <c r="Z595" s="147"/>
      <c r="AA595" s="147"/>
      <c r="AB595" s="147"/>
      <c r="AC595" s="147"/>
      <c r="AD595" s="147"/>
      <c r="AE595" s="147"/>
      <c r="AF595" s="147"/>
      <c r="AG595" s="147"/>
      <c r="AH595" s="147"/>
      <c r="AI595" s="147"/>
    </row>
    <row r="596">
      <c r="A596" s="167"/>
      <c r="B596" s="169"/>
      <c r="C596" s="170"/>
      <c r="D596" s="170"/>
      <c r="E596" s="170"/>
      <c r="F596" s="170"/>
      <c r="G596" s="171"/>
      <c r="H596" s="171"/>
      <c r="I596" s="172"/>
      <c r="J596" s="172"/>
      <c r="K596" s="172"/>
      <c r="L596" s="172"/>
      <c r="M596" s="147"/>
      <c r="Q596" s="147"/>
      <c r="R596" s="147"/>
      <c r="S596" s="147"/>
      <c r="T596" s="147"/>
      <c r="U596" s="147"/>
      <c r="V596" s="147"/>
      <c r="W596" s="147"/>
      <c r="X596" s="147"/>
      <c r="Y596" s="147"/>
      <c r="Z596" s="147"/>
      <c r="AA596" s="147"/>
      <c r="AB596" s="147"/>
      <c r="AC596" s="147"/>
      <c r="AD596" s="147"/>
      <c r="AE596" s="147"/>
      <c r="AF596" s="147"/>
      <c r="AG596" s="147"/>
      <c r="AH596" s="147"/>
      <c r="AI596" s="147"/>
    </row>
    <row r="597">
      <c r="A597" s="167"/>
      <c r="B597" s="169"/>
      <c r="C597" s="170"/>
      <c r="D597" s="170"/>
      <c r="E597" s="170"/>
      <c r="F597" s="170"/>
      <c r="G597" s="171"/>
      <c r="H597" s="171"/>
      <c r="I597" s="172"/>
      <c r="J597" s="172"/>
      <c r="K597" s="172"/>
      <c r="L597" s="172"/>
      <c r="M597" s="147"/>
      <c r="Q597" s="147"/>
      <c r="R597" s="147"/>
      <c r="S597" s="147"/>
      <c r="T597" s="147"/>
      <c r="U597" s="147"/>
      <c r="V597" s="147"/>
      <c r="W597" s="147"/>
      <c r="X597" s="147"/>
      <c r="Y597" s="147"/>
      <c r="Z597" s="147"/>
      <c r="AA597" s="147"/>
      <c r="AB597" s="147"/>
      <c r="AC597" s="147"/>
      <c r="AD597" s="147"/>
      <c r="AE597" s="147"/>
      <c r="AF597" s="147"/>
      <c r="AG597" s="147"/>
      <c r="AH597" s="147"/>
      <c r="AI597" s="147"/>
    </row>
    <row r="598">
      <c r="A598" s="167"/>
      <c r="B598" s="169"/>
      <c r="C598" s="170"/>
      <c r="D598" s="170"/>
      <c r="E598" s="170"/>
      <c r="F598" s="170"/>
      <c r="G598" s="171"/>
      <c r="H598" s="171"/>
      <c r="I598" s="172"/>
      <c r="J598" s="172"/>
      <c r="K598" s="172"/>
      <c r="L598" s="172"/>
      <c r="M598" s="147"/>
      <c r="Q598" s="147"/>
      <c r="R598" s="147"/>
      <c r="S598" s="147"/>
      <c r="T598" s="147"/>
      <c r="U598" s="147"/>
      <c r="V598" s="147"/>
      <c r="W598" s="147"/>
      <c r="X598" s="147"/>
      <c r="Y598" s="147"/>
      <c r="Z598" s="147"/>
      <c r="AA598" s="147"/>
      <c r="AB598" s="147"/>
      <c r="AC598" s="147"/>
      <c r="AD598" s="147"/>
      <c r="AE598" s="147"/>
      <c r="AF598" s="147"/>
      <c r="AG598" s="147"/>
      <c r="AH598" s="147"/>
      <c r="AI598" s="147"/>
    </row>
    <row r="599">
      <c r="A599" s="167"/>
      <c r="B599" s="169"/>
      <c r="C599" s="170"/>
      <c r="D599" s="170"/>
      <c r="E599" s="170"/>
      <c r="F599" s="170"/>
      <c r="G599" s="171"/>
      <c r="H599" s="171"/>
      <c r="I599" s="172"/>
      <c r="J599" s="172"/>
      <c r="K599" s="172"/>
      <c r="L599" s="172"/>
      <c r="M599" s="147"/>
      <c r="Q599" s="147"/>
      <c r="R599" s="147"/>
      <c r="S599" s="147"/>
      <c r="T599" s="147"/>
      <c r="U599" s="147"/>
      <c r="V599" s="147"/>
      <c r="W599" s="147"/>
      <c r="X599" s="147"/>
      <c r="Y599" s="147"/>
      <c r="Z599" s="147"/>
      <c r="AA599" s="147"/>
      <c r="AB599" s="147"/>
      <c r="AC599" s="147"/>
      <c r="AD599" s="147"/>
      <c r="AE599" s="147"/>
      <c r="AF599" s="147"/>
      <c r="AG599" s="147"/>
      <c r="AH599" s="147"/>
      <c r="AI599" s="147"/>
    </row>
    <row r="600">
      <c r="A600" s="167"/>
      <c r="B600" s="169"/>
      <c r="C600" s="170"/>
      <c r="D600" s="170"/>
      <c r="E600" s="170"/>
      <c r="F600" s="170"/>
      <c r="G600" s="171"/>
      <c r="H600" s="171"/>
      <c r="I600" s="172"/>
      <c r="J600" s="172"/>
      <c r="K600" s="172"/>
      <c r="L600" s="172"/>
      <c r="M600" s="147"/>
      <c r="Q600" s="147"/>
      <c r="R600" s="147"/>
      <c r="S600" s="147"/>
      <c r="T600" s="147"/>
      <c r="U600" s="147"/>
      <c r="V600" s="147"/>
      <c r="W600" s="147"/>
      <c r="X600" s="147"/>
      <c r="Y600" s="147"/>
      <c r="Z600" s="147"/>
      <c r="AA600" s="147"/>
      <c r="AB600" s="147"/>
      <c r="AC600" s="147"/>
      <c r="AD600" s="147"/>
      <c r="AE600" s="147"/>
      <c r="AF600" s="147"/>
      <c r="AG600" s="147"/>
      <c r="AH600" s="147"/>
      <c r="AI600" s="147"/>
    </row>
    <row r="601">
      <c r="A601" s="167"/>
      <c r="B601" s="169"/>
      <c r="C601" s="170"/>
      <c r="D601" s="170"/>
      <c r="E601" s="170"/>
      <c r="F601" s="170"/>
      <c r="G601" s="171"/>
      <c r="H601" s="171"/>
      <c r="I601" s="172"/>
      <c r="J601" s="172"/>
      <c r="K601" s="172"/>
      <c r="L601" s="172"/>
      <c r="M601" s="147"/>
      <c r="Q601" s="147"/>
      <c r="R601" s="147"/>
      <c r="S601" s="147"/>
      <c r="T601" s="147"/>
      <c r="U601" s="147"/>
      <c r="V601" s="147"/>
      <c r="W601" s="147"/>
      <c r="X601" s="147"/>
      <c r="Y601" s="147"/>
      <c r="Z601" s="147"/>
      <c r="AA601" s="147"/>
      <c r="AB601" s="147"/>
      <c r="AC601" s="147"/>
      <c r="AD601" s="147"/>
      <c r="AE601" s="147"/>
      <c r="AF601" s="147"/>
      <c r="AG601" s="147"/>
      <c r="AH601" s="147"/>
      <c r="AI601" s="147"/>
    </row>
    <row r="602">
      <c r="A602" s="167"/>
      <c r="B602" s="169"/>
      <c r="C602" s="170"/>
      <c r="D602" s="170"/>
      <c r="E602" s="170"/>
      <c r="F602" s="170"/>
      <c r="G602" s="171"/>
      <c r="H602" s="171"/>
      <c r="I602" s="172"/>
      <c r="J602" s="172"/>
      <c r="K602" s="172"/>
      <c r="L602" s="172"/>
      <c r="M602" s="147"/>
      <c r="Q602" s="147"/>
      <c r="R602" s="147"/>
      <c r="S602" s="147"/>
      <c r="T602" s="147"/>
      <c r="U602" s="147"/>
      <c r="V602" s="147"/>
      <c r="W602" s="147"/>
      <c r="X602" s="147"/>
      <c r="Y602" s="147"/>
      <c r="Z602" s="147"/>
      <c r="AA602" s="147"/>
      <c r="AB602" s="147"/>
      <c r="AC602" s="147"/>
      <c r="AD602" s="147"/>
      <c r="AE602" s="147"/>
      <c r="AF602" s="147"/>
      <c r="AG602" s="147"/>
      <c r="AH602" s="147"/>
      <c r="AI602" s="147"/>
    </row>
    <row r="603">
      <c r="A603" s="167"/>
      <c r="B603" s="169"/>
      <c r="C603" s="170"/>
      <c r="D603" s="170"/>
      <c r="E603" s="170"/>
      <c r="F603" s="170"/>
      <c r="G603" s="171"/>
      <c r="H603" s="171"/>
      <c r="I603" s="172"/>
      <c r="J603" s="172"/>
      <c r="K603" s="172"/>
      <c r="L603" s="172"/>
      <c r="M603" s="147"/>
      <c r="Q603" s="147"/>
      <c r="R603" s="147"/>
      <c r="S603" s="147"/>
      <c r="T603" s="147"/>
      <c r="U603" s="147"/>
      <c r="V603" s="147"/>
      <c r="W603" s="147"/>
      <c r="X603" s="147"/>
      <c r="Y603" s="147"/>
      <c r="Z603" s="147"/>
      <c r="AA603" s="147"/>
      <c r="AB603" s="147"/>
      <c r="AC603" s="147"/>
      <c r="AD603" s="147"/>
      <c r="AE603" s="147"/>
      <c r="AF603" s="147"/>
      <c r="AG603" s="147"/>
      <c r="AH603" s="147"/>
      <c r="AI603" s="147"/>
    </row>
    <row r="604">
      <c r="A604" s="167"/>
      <c r="B604" s="169"/>
      <c r="C604" s="170"/>
      <c r="D604" s="170"/>
      <c r="E604" s="170"/>
      <c r="F604" s="170"/>
      <c r="G604" s="171"/>
      <c r="H604" s="171"/>
      <c r="I604" s="172"/>
      <c r="J604" s="172"/>
      <c r="K604" s="172"/>
      <c r="L604" s="172"/>
      <c r="M604" s="147"/>
      <c r="Q604" s="147"/>
      <c r="R604" s="147"/>
      <c r="S604" s="147"/>
      <c r="T604" s="147"/>
      <c r="U604" s="147"/>
      <c r="V604" s="147"/>
      <c r="W604" s="147"/>
      <c r="X604" s="147"/>
      <c r="Y604" s="147"/>
      <c r="Z604" s="147"/>
      <c r="AA604" s="147"/>
      <c r="AB604" s="147"/>
      <c r="AC604" s="147"/>
      <c r="AD604" s="147"/>
      <c r="AE604" s="147"/>
      <c r="AF604" s="147"/>
      <c r="AG604" s="147"/>
      <c r="AH604" s="147"/>
      <c r="AI604" s="147"/>
    </row>
    <row r="605">
      <c r="A605" s="167"/>
      <c r="B605" s="169"/>
      <c r="C605" s="170"/>
      <c r="D605" s="170"/>
      <c r="E605" s="170"/>
      <c r="F605" s="170"/>
      <c r="G605" s="171"/>
      <c r="H605" s="171"/>
      <c r="I605" s="172"/>
      <c r="J605" s="172"/>
      <c r="K605" s="172"/>
      <c r="L605" s="172"/>
      <c r="M605" s="147"/>
      <c r="Q605" s="147"/>
      <c r="R605" s="147"/>
      <c r="S605" s="147"/>
      <c r="T605" s="147"/>
      <c r="U605" s="147"/>
      <c r="V605" s="147"/>
      <c r="W605" s="147"/>
      <c r="X605" s="147"/>
      <c r="Y605" s="147"/>
      <c r="Z605" s="147"/>
      <c r="AA605" s="147"/>
      <c r="AB605" s="147"/>
      <c r="AC605" s="147"/>
      <c r="AD605" s="147"/>
      <c r="AE605" s="147"/>
      <c r="AF605" s="147"/>
      <c r="AG605" s="147"/>
      <c r="AH605" s="147"/>
      <c r="AI605" s="147"/>
    </row>
    <row r="606">
      <c r="A606" s="167"/>
      <c r="B606" s="169"/>
      <c r="C606" s="170"/>
      <c r="D606" s="170"/>
      <c r="E606" s="170"/>
      <c r="F606" s="170"/>
      <c r="G606" s="171"/>
      <c r="H606" s="171"/>
      <c r="I606" s="172"/>
      <c r="J606" s="172"/>
      <c r="K606" s="172"/>
      <c r="L606" s="172"/>
      <c r="M606" s="147"/>
      <c r="Q606" s="147"/>
      <c r="R606" s="147"/>
      <c r="S606" s="147"/>
      <c r="T606" s="147"/>
      <c r="U606" s="147"/>
      <c r="V606" s="147"/>
      <c r="W606" s="147"/>
      <c r="X606" s="147"/>
      <c r="Y606" s="147"/>
      <c r="Z606" s="147"/>
      <c r="AA606" s="147"/>
      <c r="AB606" s="147"/>
      <c r="AC606" s="147"/>
      <c r="AD606" s="147"/>
      <c r="AE606" s="147"/>
      <c r="AF606" s="147"/>
      <c r="AG606" s="147"/>
      <c r="AH606" s="147"/>
      <c r="AI606" s="147"/>
    </row>
    <row r="607">
      <c r="A607" s="167"/>
      <c r="B607" s="169"/>
      <c r="C607" s="170"/>
      <c r="D607" s="170"/>
      <c r="E607" s="170"/>
      <c r="F607" s="170"/>
      <c r="G607" s="171"/>
      <c r="H607" s="171"/>
      <c r="I607" s="172"/>
      <c r="J607" s="172"/>
      <c r="K607" s="172"/>
      <c r="L607" s="172"/>
      <c r="M607" s="147"/>
      <c r="Q607" s="147"/>
      <c r="R607" s="147"/>
      <c r="S607" s="147"/>
      <c r="T607" s="147"/>
      <c r="U607" s="147"/>
      <c r="V607" s="147"/>
      <c r="W607" s="147"/>
      <c r="X607" s="147"/>
      <c r="Y607" s="147"/>
      <c r="Z607" s="147"/>
      <c r="AA607" s="147"/>
      <c r="AB607" s="147"/>
      <c r="AC607" s="147"/>
      <c r="AD607" s="147"/>
      <c r="AE607" s="147"/>
      <c r="AF607" s="147"/>
      <c r="AG607" s="147"/>
      <c r="AH607" s="147"/>
      <c r="AI607" s="147"/>
    </row>
    <row r="608">
      <c r="A608" s="167"/>
      <c r="B608" s="169"/>
      <c r="C608" s="170"/>
      <c r="D608" s="170"/>
      <c r="E608" s="170"/>
      <c r="F608" s="170"/>
      <c r="G608" s="171"/>
      <c r="H608" s="171"/>
      <c r="I608" s="172"/>
      <c r="J608" s="172"/>
      <c r="K608" s="172"/>
      <c r="L608" s="172"/>
      <c r="M608" s="147"/>
      <c r="Q608" s="147"/>
      <c r="R608" s="147"/>
      <c r="S608" s="147"/>
      <c r="T608" s="147"/>
      <c r="U608" s="147"/>
      <c r="V608" s="147"/>
      <c r="W608" s="147"/>
      <c r="X608" s="147"/>
      <c r="Y608" s="147"/>
      <c r="Z608" s="147"/>
      <c r="AA608" s="147"/>
      <c r="AB608" s="147"/>
      <c r="AC608" s="147"/>
      <c r="AD608" s="147"/>
      <c r="AE608" s="147"/>
      <c r="AF608" s="147"/>
      <c r="AG608" s="147"/>
      <c r="AH608" s="147"/>
      <c r="AI608" s="147"/>
    </row>
    <row r="609">
      <c r="A609" s="167"/>
      <c r="B609" s="169"/>
      <c r="C609" s="170"/>
      <c r="D609" s="170"/>
      <c r="E609" s="170"/>
      <c r="F609" s="170"/>
      <c r="G609" s="171"/>
      <c r="H609" s="171"/>
      <c r="I609" s="172"/>
      <c r="J609" s="172"/>
      <c r="K609" s="172"/>
      <c r="L609" s="172"/>
      <c r="M609" s="147"/>
      <c r="Q609" s="147"/>
      <c r="R609" s="147"/>
      <c r="S609" s="147"/>
      <c r="T609" s="147"/>
      <c r="U609" s="147"/>
      <c r="V609" s="147"/>
      <c r="W609" s="147"/>
      <c r="X609" s="147"/>
      <c r="Y609" s="147"/>
      <c r="Z609" s="147"/>
      <c r="AA609" s="147"/>
      <c r="AB609" s="147"/>
      <c r="AC609" s="147"/>
      <c r="AD609" s="147"/>
      <c r="AE609" s="147"/>
      <c r="AF609" s="147"/>
      <c r="AG609" s="147"/>
      <c r="AH609" s="147"/>
      <c r="AI609" s="147"/>
    </row>
    <row r="610">
      <c r="A610" s="167"/>
      <c r="B610" s="169"/>
      <c r="C610" s="170"/>
      <c r="D610" s="170"/>
      <c r="E610" s="170"/>
      <c r="F610" s="170"/>
      <c r="G610" s="171"/>
      <c r="H610" s="171"/>
      <c r="I610" s="172"/>
      <c r="J610" s="172"/>
      <c r="K610" s="172"/>
      <c r="L610" s="172"/>
      <c r="M610" s="147"/>
      <c r="Q610" s="147"/>
      <c r="R610" s="147"/>
      <c r="S610" s="147"/>
      <c r="T610" s="147"/>
      <c r="U610" s="147"/>
      <c r="V610" s="147"/>
      <c r="W610" s="147"/>
      <c r="X610" s="147"/>
      <c r="Y610" s="147"/>
      <c r="Z610" s="147"/>
      <c r="AA610" s="147"/>
      <c r="AB610" s="147"/>
      <c r="AC610" s="147"/>
      <c r="AD610" s="147"/>
      <c r="AE610" s="147"/>
      <c r="AF610" s="147"/>
      <c r="AG610" s="147"/>
      <c r="AH610" s="147"/>
      <c r="AI610" s="147"/>
    </row>
    <row r="611">
      <c r="A611" s="167"/>
      <c r="B611" s="169"/>
      <c r="C611" s="170"/>
      <c r="D611" s="170"/>
      <c r="E611" s="170"/>
      <c r="F611" s="170"/>
      <c r="G611" s="171"/>
      <c r="H611" s="171"/>
      <c r="I611" s="172"/>
      <c r="J611" s="172"/>
      <c r="K611" s="172"/>
      <c r="L611" s="172"/>
      <c r="M611" s="147"/>
      <c r="Q611" s="147"/>
      <c r="R611" s="147"/>
      <c r="S611" s="147"/>
      <c r="T611" s="147"/>
      <c r="U611" s="147"/>
      <c r="V611" s="147"/>
      <c r="W611" s="147"/>
      <c r="X611" s="147"/>
      <c r="Y611" s="147"/>
      <c r="Z611" s="147"/>
      <c r="AA611" s="147"/>
      <c r="AB611" s="147"/>
      <c r="AC611" s="147"/>
      <c r="AD611" s="147"/>
      <c r="AE611" s="147"/>
      <c r="AF611" s="147"/>
      <c r="AG611" s="147"/>
      <c r="AH611" s="147"/>
      <c r="AI611" s="147"/>
    </row>
    <row r="612">
      <c r="A612" s="167"/>
      <c r="B612" s="169"/>
      <c r="C612" s="170"/>
      <c r="D612" s="170"/>
      <c r="E612" s="170"/>
      <c r="F612" s="170"/>
      <c r="G612" s="171"/>
      <c r="H612" s="171"/>
      <c r="I612" s="172"/>
      <c r="J612" s="172"/>
      <c r="K612" s="172"/>
      <c r="L612" s="172"/>
      <c r="M612" s="147"/>
      <c r="Q612" s="147"/>
      <c r="R612" s="147"/>
      <c r="S612" s="147"/>
      <c r="T612" s="147"/>
      <c r="U612" s="147"/>
      <c r="V612" s="147"/>
      <c r="W612" s="147"/>
      <c r="X612" s="147"/>
      <c r="Y612" s="147"/>
      <c r="Z612" s="147"/>
      <c r="AA612" s="147"/>
      <c r="AB612" s="147"/>
      <c r="AC612" s="147"/>
      <c r="AD612" s="147"/>
      <c r="AE612" s="147"/>
      <c r="AF612" s="147"/>
      <c r="AG612" s="147"/>
      <c r="AH612" s="147"/>
      <c r="AI612" s="147"/>
    </row>
    <row r="613">
      <c r="A613" s="167"/>
      <c r="B613" s="169"/>
      <c r="C613" s="170"/>
      <c r="D613" s="170"/>
      <c r="E613" s="170"/>
      <c r="F613" s="170"/>
      <c r="G613" s="171"/>
      <c r="H613" s="171"/>
      <c r="I613" s="172"/>
      <c r="J613" s="172"/>
      <c r="K613" s="172"/>
      <c r="L613" s="172"/>
      <c r="M613" s="147"/>
      <c r="Q613" s="147"/>
      <c r="R613" s="147"/>
      <c r="S613" s="147"/>
      <c r="T613" s="147"/>
      <c r="U613" s="147"/>
      <c r="V613" s="147"/>
      <c r="W613" s="147"/>
      <c r="X613" s="147"/>
      <c r="Y613" s="147"/>
      <c r="Z613" s="147"/>
      <c r="AA613" s="147"/>
      <c r="AB613" s="147"/>
      <c r="AC613" s="147"/>
      <c r="AD613" s="147"/>
      <c r="AE613" s="147"/>
      <c r="AF613" s="147"/>
      <c r="AG613" s="147"/>
      <c r="AH613" s="147"/>
      <c r="AI613" s="147"/>
    </row>
    <row r="614">
      <c r="A614" s="167"/>
      <c r="B614" s="169"/>
      <c r="C614" s="170"/>
      <c r="D614" s="170"/>
      <c r="E614" s="170"/>
      <c r="F614" s="170"/>
      <c r="G614" s="171"/>
      <c r="H614" s="171"/>
      <c r="I614" s="172"/>
      <c r="J614" s="172"/>
      <c r="K614" s="172"/>
      <c r="L614" s="172"/>
      <c r="M614" s="147"/>
      <c r="Q614" s="147"/>
      <c r="R614" s="147"/>
      <c r="S614" s="147"/>
      <c r="T614" s="147"/>
      <c r="U614" s="147"/>
      <c r="V614" s="147"/>
      <c r="W614" s="147"/>
      <c r="X614" s="147"/>
      <c r="Y614" s="147"/>
      <c r="Z614" s="147"/>
      <c r="AA614" s="147"/>
      <c r="AB614" s="147"/>
      <c r="AC614" s="147"/>
      <c r="AD614" s="147"/>
      <c r="AE614" s="147"/>
      <c r="AF614" s="147"/>
      <c r="AG614" s="147"/>
      <c r="AH614" s="147"/>
      <c r="AI614" s="147"/>
    </row>
    <row r="615">
      <c r="A615" s="167"/>
      <c r="B615" s="169"/>
      <c r="C615" s="170"/>
      <c r="D615" s="170"/>
      <c r="E615" s="170"/>
      <c r="F615" s="170"/>
      <c r="G615" s="171"/>
      <c r="H615" s="171"/>
      <c r="I615" s="172"/>
      <c r="J615" s="172"/>
      <c r="K615" s="172"/>
      <c r="L615" s="172"/>
      <c r="M615" s="147"/>
      <c r="Q615" s="147"/>
      <c r="R615" s="147"/>
      <c r="S615" s="147"/>
      <c r="T615" s="147"/>
      <c r="U615" s="147"/>
      <c r="V615" s="147"/>
      <c r="W615" s="147"/>
      <c r="X615" s="147"/>
      <c r="Y615" s="147"/>
      <c r="Z615" s="147"/>
      <c r="AA615" s="147"/>
      <c r="AB615" s="147"/>
      <c r="AC615" s="147"/>
      <c r="AD615" s="147"/>
      <c r="AE615" s="147"/>
      <c r="AF615" s="147"/>
      <c r="AG615" s="147"/>
      <c r="AH615" s="147"/>
      <c r="AI615" s="147"/>
    </row>
    <row r="616">
      <c r="A616" s="167"/>
      <c r="B616" s="169"/>
      <c r="C616" s="170"/>
      <c r="D616" s="170"/>
      <c r="E616" s="170"/>
      <c r="F616" s="170"/>
      <c r="G616" s="171"/>
      <c r="H616" s="171"/>
      <c r="I616" s="172"/>
      <c r="J616" s="172"/>
      <c r="K616" s="172"/>
      <c r="L616" s="172"/>
      <c r="M616" s="147"/>
      <c r="Q616" s="147"/>
      <c r="R616" s="147"/>
      <c r="S616" s="147"/>
      <c r="T616" s="147"/>
      <c r="U616" s="147"/>
      <c r="V616" s="147"/>
      <c r="W616" s="147"/>
      <c r="X616" s="147"/>
      <c r="Y616" s="147"/>
      <c r="Z616" s="147"/>
      <c r="AA616" s="147"/>
      <c r="AB616" s="147"/>
      <c r="AC616" s="147"/>
      <c r="AD616" s="147"/>
      <c r="AE616" s="147"/>
      <c r="AF616" s="147"/>
      <c r="AG616" s="147"/>
      <c r="AH616" s="147"/>
      <c r="AI616" s="147"/>
    </row>
    <row r="617">
      <c r="A617" s="167"/>
      <c r="B617" s="169"/>
      <c r="C617" s="170"/>
      <c r="D617" s="170"/>
      <c r="E617" s="170"/>
      <c r="F617" s="170"/>
      <c r="G617" s="171"/>
      <c r="H617" s="171"/>
      <c r="I617" s="172"/>
      <c r="J617" s="172"/>
      <c r="K617" s="172"/>
      <c r="L617" s="172"/>
      <c r="M617" s="147"/>
      <c r="Q617" s="147"/>
      <c r="R617" s="147"/>
      <c r="S617" s="147"/>
      <c r="T617" s="147"/>
      <c r="U617" s="147"/>
      <c r="V617" s="147"/>
      <c r="W617" s="147"/>
      <c r="X617" s="147"/>
      <c r="Y617" s="147"/>
      <c r="Z617" s="147"/>
      <c r="AA617" s="147"/>
      <c r="AB617" s="147"/>
      <c r="AC617" s="147"/>
      <c r="AD617" s="147"/>
      <c r="AE617" s="147"/>
      <c r="AF617" s="147"/>
      <c r="AG617" s="147"/>
      <c r="AH617" s="147"/>
      <c r="AI617" s="147"/>
    </row>
    <row r="618">
      <c r="A618" s="167"/>
      <c r="B618" s="169"/>
      <c r="C618" s="170"/>
      <c r="D618" s="170"/>
      <c r="E618" s="170"/>
      <c r="F618" s="170"/>
      <c r="G618" s="171"/>
      <c r="H618" s="171"/>
      <c r="I618" s="172"/>
      <c r="J618" s="172"/>
      <c r="K618" s="172"/>
      <c r="L618" s="172"/>
      <c r="M618" s="147"/>
      <c r="Q618" s="147"/>
      <c r="R618" s="147"/>
      <c r="S618" s="147"/>
      <c r="T618" s="147"/>
      <c r="U618" s="147"/>
      <c r="V618" s="147"/>
      <c r="W618" s="147"/>
      <c r="X618" s="147"/>
      <c r="Y618" s="147"/>
      <c r="Z618" s="147"/>
      <c r="AA618" s="147"/>
      <c r="AB618" s="147"/>
      <c r="AC618" s="147"/>
      <c r="AD618" s="147"/>
      <c r="AE618" s="147"/>
      <c r="AF618" s="147"/>
      <c r="AG618" s="147"/>
      <c r="AH618" s="147"/>
      <c r="AI618" s="147"/>
    </row>
    <row r="619">
      <c r="A619" s="167"/>
      <c r="B619" s="169"/>
      <c r="C619" s="170"/>
      <c r="D619" s="170"/>
      <c r="E619" s="170"/>
      <c r="F619" s="170"/>
      <c r="G619" s="171"/>
      <c r="H619" s="171"/>
      <c r="I619" s="172"/>
      <c r="J619" s="172"/>
      <c r="K619" s="172"/>
      <c r="L619" s="172"/>
      <c r="M619" s="147"/>
      <c r="Q619" s="147"/>
      <c r="R619" s="147"/>
      <c r="S619" s="147"/>
      <c r="T619" s="147"/>
      <c r="U619" s="147"/>
      <c r="V619" s="147"/>
      <c r="W619" s="147"/>
      <c r="X619" s="147"/>
      <c r="Y619" s="147"/>
      <c r="Z619" s="147"/>
      <c r="AA619" s="147"/>
      <c r="AB619" s="147"/>
      <c r="AC619" s="147"/>
      <c r="AD619" s="147"/>
      <c r="AE619" s="147"/>
      <c r="AF619" s="147"/>
      <c r="AG619" s="147"/>
      <c r="AH619" s="147"/>
      <c r="AI619" s="147"/>
    </row>
    <row r="620">
      <c r="A620" s="167"/>
      <c r="B620" s="169"/>
      <c r="C620" s="170"/>
      <c r="D620" s="170"/>
      <c r="E620" s="170"/>
      <c r="F620" s="170"/>
      <c r="G620" s="171"/>
      <c r="H620" s="171"/>
      <c r="I620" s="172"/>
      <c r="J620" s="172"/>
      <c r="K620" s="172"/>
      <c r="L620" s="172"/>
      <c r="M620" s="147"/>
      <c r="Q620" s="147"/>
      <c r="R620" s="147"/>
      <c r="S620" s="147"/>
      <c r="T620" s="147"/>
      <c r="U620" s="147"/>
      <c r="V620" s="147"/>
      <c r="W620" s="147"/>
      <c r="X620" s="147"/>
      <c r="Y620" s="147"/>
      <c r="Z620" s="147"/>
      <c r="AA620" s="147"/>
      <c r="AB620" s="147"/>
      <c r="AC620" s="147"/>
      <c r="AD620" s="147"/>
      <c r="AE620" s="147"/>
      <c r="AF620" s="147"/>
      <c r="AG620" s="147"/>
      <c r="AH620" s="147"/>
      <c r="AI620" s="147"/>
    </row>
    <row r="621">
      <c r="A621" s="167"/>
      <c r="B621" s="169"/>
      <c r="C621" s="170"/>
      <c r="D621" s="170"/>
      <c r="E621" s="170"/>
      <c r="F621" s="170"/>
      <c r="G621" s="171"/>
      <c r="H621" s="171"/>
      <c r="I621" s="172"/>
      <c r="J621" s="172"/>
      <c r="K621" s="172"/>
      <c r="L621" s="172"/>
      <c r="M621" s="147"/>
      <c r="Q621" s="147"/>
      <c r="R621" s="147"/>
      <c r="S621" s="147"/>
      <c r="T621" s="147"/>
      <c r="U621" s="147"/>
      <c r="V621" s="147"/>
      <c r="W621" s="147"/>
      <c r="X621" s="147"/>
      <c r="Y621" s="147"/>
      <c r="Z621" s="147"/>
      <c r="AA621" s="147"/>
      <c r="AB621" s="147"/>
      <c r="AC621" s="147"/>
      <c r="AD621" s="147"/>
      <c r="AE621" s="147"/>
      <c r="AF621" s="147"/>
      <c r="AG621" s="147"/>
      <c r="AH621" s="147"/>
      <c r="AI621" s="147"/>
    </row>
    <row r="622">
      <c r="A622" s="167"/>
      <c r="B622" s="169"/>
      <c r="C622" s="170"/>
      <c r="D622" s="170"/>
      <c r="E622" s="170"/>
      <c r="F622" s="170"/>
      <c r="G622" s="171"/>
      <c r="H622" s="171"/>
      <c r="I622" s="172"/>
      <c r="J622" s="172"/>
      <c r="K622" s="172"/>
      <c r="L622" s="172"/>
      <c r="M622" s="147"/>
      <c r="Q622" s="147"/>
      <c r="R622" s="147"/>
      <c r="S622" s="147"/>
      <c r="T622" s="147"/>
      <c r="U622" s="147"/>
      <c r="V622" s="147"/>
      <c r="W622" s="147"/>
      <c r="X622" s="147"/>
      <c r="Y622" s="147"/>
      <c r="Z622" s="147"/>
      <c r="AA622" s="147"/>
      <c r="AB622" s="147"/>
      <c r="AC622" s="147"/>
      <c r="AD622" s="147"/>
      <c r="AE622" s="147"/>
      <c r="AF622" s="147"/>
      <c r="AG622" s="147"/>
      <c r="AH622" s="147"/>
      <c r="AI622" s="147"/>
    </row>
    <row r="623">
      <c r="A623" s="167"/>
      <c r="B623" s="169"/>
      <c r="C623" s="170"/>
      <c r="D623" s="170"/>
      <c r="E623" s="170"/>
      <c r="F623" s="170"/>
      <c r="G623" s="171"/>
      <c r="H623" s="171"/>
      <c r="I623" s="172"/>
      <c r="J623" s="172"/>
      <c r="K623" s="172"/>
      <c r="L623" s="172"/>
      <c r="M623" s="147"/>
      <c r="Q623" s="147"/>
      <c r="R623" s="147"/>
      <c r="S623" s="147"/>
      <c r="T623" s="147"/>
      <c r="U623" s="147"/>
      <c r="V623" s="147"/>
      <c r="W623" s="147"/>
      <c r="X623" s="147"/>
      <c r="Y623" s="147"/>
      <c r="Z623" s="147"/>
      <c r="AA623" s="147"/>
      <c r="AB623" s="147"/>
      <c r="AC623" s="147"/>
      <c r="AD623" s="147"/>
      <c r="AE623" s="147"/>
      <c r="AF623" s="147"/>
      <c r="AG623" s="147"/>
      <c r="AH623" s="147"/>
      <c r="AI623" s="147"/>
    </row>
    <row r="624">
      <c r="A624" s="167"/>
      <c r="B624" s="169"/>
      <c r="C624" s="170"/>
      <c r="D624" s="170"/>
      <c r="E624" s="170"/>
      <c r="F624" s="170"/>
      <c r="G624" s="171"/>
      <c r="H624" s="171"/>
      <c r="I624" s="172"/>
      <c r="J624" s="172"/>
      <c r="K624" s="172"/>
      <c r="L624" s="172"/>
      <c r="M624" s="147"/>
      <c r="Q624" s="147"/>
      <c r="R624" s="147"/>
      <c r="S624" s="147"/>
      <c r="T624" s="147"/>
      <c r="U624" s="147"/>
      <c r="V624" s="147"/>
      <c r="W624" s="147"/>
      <c r="X624" s="147"/>
      <c r="Y624" s="147"/>
      <c r="Z624" s="147"/>
      <c r="AA624" s="147"/>
      <c r="AB624" s="147"/>
      <c r="AC624" s="147"/>
      <c r="AD624" s="147"/>
      <c r="AE624" s="147"/>
      <c r="AF624" s="147"/>
      <c r="AG624" s="147"/>
      <c r="AH624" s="147"/>
      <c r="AI624" s="147"/>
    </row>
    <row r="625">
      <c r="A625" s="167"/>
      <c r="B625" s="169"/>
      <c r="C625" s="170"/>
      <c r="D625" s="170"/>
      <c r="E625" s="170"/>
      <c r="F625" s="170"/>
      <c r="G625" s="171"/>
      <c r="H625" s="171"/>
      <c r="I625" s="172"/>
      <c r="J625" s="172"/>
      <c r="K625" s="172"/>
      <c r="L625" s="172"/>
      <c r="M625" s="147"/>
      <c r="Q625" s="147"/>
      <c r="R625" s="147"/>
      <c r="S625" s="147"/>
      <c r="T625" s="147"/>
      <c r="U625" s="147"/>
      <c r="V625" s="147"/>
      <c r="W625" s="147"/>
      <c r="X625" s="147"/>
      <c r="Y625" s="147"/>
      <c r="Z625" s="147"/>
      <c r="AA625" s="147"/>
      <c r="AB625" s="147"/>
      <c r="AC625" s="147"/>
      <c r="AD625" s="147"/>
      <c r="AE625" s="147"/>
      <c r="AF625" s="147"/>
      <c r="AG625" s="147"/>
      <c r="AH625" s="147"/>
      <c r="AI625" s="147"/>
    </row>
    <row r="626">
      <c r="A626" s="167"/>
      <c r="B626" s="169"/>
      <c r="C626" s="170"/>
      <c r="D626" s="170"/>
      <c r="E626" s="170"/>
      <c r="F626" s="170"/>
      <c r="G626" s="171"/>
      <c r="H626" s="171"/>
      <c r="I626" s="172"/>
      <c r="J626" s="172"/>
      <c r="K626" s="172"/>
      <c r="L626" s="172"/>
      <c r="M626" s="147"/>
      <c r="Q626" s="147"/>
      <c r="R626" s="147"/>
      <c r="S626" s="147"/>
      <c r="T626" s="147"/>
      <c r="U626" s="147"/>
      <c r="V626" s="147"/>
      <c r="W626" s="147"/>
      <c r="X626" s="147"/>
      <c r="Y626" s="147"/>
      <c r="Z626" s="147"/>
      <c r="AA626" s="147"/>
      <c r="AB626" s="147"/>
      <c r="AC626" s="147"/>
      <c r="AD626" s="147"/>
      <c r="AE626" s="147"/>
      <c r="AF626" s="147"/>
      <c r="AG626" s="147"/>
      <c r="AH626" s="147"/>
      <c r="AI626" s="147"/>
    </row>
    <row r="627">
      <c r="A627" s="167"/>
      <c r="B627" s="169"/>
      <c r="C627" s="170"/>
      <c r="D627" s="170"/>
      <c r="E627" s="170"/>
      <c r="F627" s="170"/>
      <c r="G627" s="171"/>
      <c r="H627" s="171"/>
      <c r="I627" s="172"/>
      <c r="J627" s="172"/>
      <c r="K627" s="172"/>
      <c r="L627" s="172"/>
      <c r="M627" s="147"/>
      <c r="Q627" s="147"/>
      <c r="R627" s="147"/>
      <c r="S627" s="147"/>
      <c r="T627" s="147"/>
      <c r="U627" s="147"/>
      <c r="V627" s="147"/>
      <c r="W627" s="147"/>
      <c r="X627" s="147"/>
      <c r="Y627" s="147"/>
      <c r="Z627" s="147"/>
      <c r="AA627" s="147"/>
      <c r="AB627" s="147"/>
      <c r="AC627" s="147"/>
      <c r="AD627" s="147"/>
      <c r="AE627" s="147"/>
      <c r="AF627" s="147"/>
      <c r="AG627" s="147"/>
      <c r="AH627" s="147"/>
      <c r="AI627" s="147"/>
    </row>
    <row r="628">
      <c r="A628" s="167"/>
      <c r="B628" s="169"/>
      <c r="C628" s="170"/>
      <c r="D628" s="170"/>
      <c r="E628" s="170"/>
      <c r="F628" s="170"/>
      <c r="G628" s="171"/>
      <c r="H628" s="171"/>
      <c r="I628" s="172"/>
      <c r="J628" s="172"/>
      <c r="K628" s="172"/>
      <c r="L628" s="172"/>
      <c r="M628" s="147"/>
      <c r="Q628" s="147"/>
      <c r="R628" s="147"/>
      <c r="S628" s="147"/>
      <c r="T628" s="147"/>
      <c r="U628" s="147"/>
      <c r="V628" s="147"/>
      <c r="W628" s="147"/>
      <c r="X628" s="147"/>
      <c r="Y628" s="147"/>
      <c r="Z628" s="147"/>
      <c r="AA628" s="147"/>
      <c r="AB628" s="147"/>
      <c r="AC628" s="147"/>
      <c r="AD628" s="147"/>
      <c r="AE628" s="147"/>
      <c r="AF628" s="147"/>
      <c r="AG628" s="147"/>
      <c r="AH628" s="147"/>
      <c r="AI628" s="147"/>
    </row>
    <row r="629">
      <c r="A629" s="167"/>
      <c r="B629" s="169"/>
      <c r="C629" s="170"/>
      <c r="D629" s="170"/>
      <c r="E629" s="170"/>
      <c r="F629" s="170"/>
      <c r="G629" s="171"/>
      <c r="H629" s="171"/>
      <c r="I629" s="172"/>
      <c r="J629" s="172"/>
      <c r="K629" s="172"/>
      <c r="L629" s="172"/>
      <c r="M629" s="147"/>
      <c r="Q629" s="147"/>
      <c r="R629" s="147"/>
      <c r="S629" s="147"/>
      <c r="T629" s="147"/>
      <c r="U629" s="147"/>
      <c r="V629" s="147"/>
      <c r="W629" s="147"/>
      <c r="X629" s="147"/>
      <c r="Y629" s="147"/>
      <c r="Z629" s="147"/>
      <c r="AA629" s="147"/>
      <c r="AB629" s="147"/>
      <c r="AC629" s="147"/>
      <c r="AD629" s="147"/>
      <c r="AE629" s="147"/>
      <c r="AF629" s="147"/>
      <c r="AG629" s="147"/>
      <c r="AH629" s="147"/>
      <c r="AI629" s="147"/>
    </row>
    <row r="630">
      <c r="A630" s="167"/>
      <c r="B630" s="169"/>
      <c r="C630" s="170"/>
      <c r="D630" s="170"/>
      <c r="E630" s="170"/>
      <c r="F630" s="170"/>
      <c r="G630" s="171"/>
      <c r="H630" s="171"/>
      <c r="I630" s="172"/>
      <c r="J630" s="172"/>
      <c r="K630" s="172"/>
      <c r="L630" s="172"/>
      <c r="M630" s="147"/>
      <c r="Q630" s="147"/>
      <c r="R630" s="147"/>
      <c r="S630" s="147"/>
      <c r="T630" s="147"/>
      <c r="U630" s="147"/>
      <c r="V630" s="147"/>
      <c r="W630" s="147"/>
      <c r="X630" s="147"/>
      <c r="Y630" s="147"/>
      <c r="Z630" s="147"/>
      <c r="AA630" s="147"/>
      <c r="AB630" s="147"/>
      <c r="AC630" s="147"/>
      <c r="AD630" s="147"/>
      <c r="AE630" s="147"/>
      <c r="AF630" s="147"/>
      <c r="AG630" s="147"/>
      <c r="AH630" s="147"/>
      <c r="AI630" s="147"/>
    </row>
    <row r="631">
      <c r="A631" s="167"/>
      <c r="B631" s="169"/>
      <c r="C631" s="170"/>
      <c r="D631" s="170"/>
      <c r="E631" s="170"/>
      <c r="F631" s="170"/>
      <c r="G631" s="171"/>
      <c r="H631" s="171"/>
      <c r="I631" s="172"/>
      <c r="J631" s="172"/>
      <c r="K631" s="172"/>
      <c r="L631" s="172"/>
      <c r="M631" s="147"/>
      <c r="Q631" s="147"/>
      <c r="R631" s="147"/>
      <c r="S631" s="147"/>
      <c r="T631" s="147"/>
      <c r="U631" s="147"/>
      <c r="V631" s="147"/>
      <c r="W631" s="147"/>
      <c r="X631" s="147"/>
      <c r="Y631" s="147"/>
      <c r="Z631" s="147"/>
      <c r="AA631" s="147"/>
      <c r="AB631" s="147"/>
      <c r="AC631" s="147"/>
      <c r="AD631" s="147"/>
      <c r="AE631" s="147"/>
      <c r="AF631" s="147"/>
      <c r="AG631" s="147"/>
      <c r="AH631" s="147"/>
      <c r="AI631" s="147"/>
    </row>
    <row r="632">
      <c r="A632" s="167"/>
      <c r="B632" s="169"/>
      <c r="C632" s="170"/>
      <c r="D632" s="170"/>
      <c r="E632" s="170"/>
      <c r="F632" s="170"/>
      <c r="G632" s="171"/>
      <c r="H632" s="171"/>
      <c r="I632" s="172"/>
      <c r="J632" s="172"/>
      <c r="K632" s="172"/>
      <c r="L632" s="172"/>
      <c r="M632" s="147"/>
      <c r="Q632" s="147"/>
      <c r="R632" s="147"/>
      <c r="S632" s="147"/>
      <c r="T632" s="147"/>
      <c r="U632" s="147"/>
      <c r="V632" s="147"/>
      <c r="W632" s="147"/>
      <c r="X632" s="147"/>
      <c r="Y632" s="147"/>
      <c r="Z632" s="147"/>
      <c r="AA632" s="147"/>
      <c r="AB632" s="147"/>
      <c r="AC632" s="147"/>
      <c r="AD632" s="147"/>
      <c r="AE632" s="147"/>
      <c r="AF632" s="147"/>
      <c r="AG632" s="147"/>
      <c r="AH632" s="147"/>
      <c r="AI632" s="147"/>
    </row>
    <row r="633">
      <c r="A633" s="167"/>
      <c r="B633" s="169"/>
      <c r="C633" s="170"/>
      <c r="D633" s="170"/>
      <c r="E633" s="170"/>
      <c r="F633" s="170"/>
      <c r="G633" s="171"/>
      <c r="H633" s="171"/>
      <c r="I633" s="172"/>
      <c r="J633" s="172"/>
      <c r="K633" s="172"/>
      <c r="L633" s="172"/>
      <c r="M633" s="147"/>
      <c r="Q633" s="147"/>
      <c r="R633" s="147"/>
      <c r="S633" s="147"/>
      <c r="T633" s="147"/>
      <c r="U633" s="147"/>
      <c r="V633" s="147"/>
      <c r="W633" s="147"/>
      <c r="X633" s="147"/>
      <c r="Y633" s="147"/>
      <c r="Z633" s="147"/>
      <c r="AA633" s="147"/>
      <c r="AB633" s="147"/>
      <c r="AC633" s="147"/>
      <c r="AD633" s="147"/>
      <c r="AE633" s="147"/>
      <c r="AF633" s="147"/>
      <c r="AG633" s="147"/>
      <c r="AH633" s="147"/>
      <c r="AI633" s="147"/>
    </row>
    <row r="634">
      <c r="A634" s="167"/>
      <c r="B634" s="169"/>
      <c r="C634" s="170"/>
      <c r="D634" s="170"/>
      <c r="E634" s="170"/>
      <c r="F634" s="170"/>
      <c r="G634" s="171"/>
      <c r="H634" s="171"/>
      <c r="I634" s="172"/>
      <c r="J634" s="172"/>
      <c r="K634" s="172"/>
      <c r="L634" s="172"/>
      <c r="M634" s="147"/>
      <c r="Q634" s="147"/>
      <c r="R634" s="147"/>
      <c r="S634" s="147"/>
      <c r="T634" s="147"/>
      <c r="U634" s="147"/>
      <c r="V634" s="147"/>
      <c r="W634" s="147"/>
      <c r="X634" s="147"/>
      <c r="Y634" s="147"/>
      <c r="Z634" s="147"/>
      <c r="AA634" s="147"/>
      <c r="AB634" s="147"/>
      <c r="AC634" s="147"/>
      <c r="AD634" s="147"/>
      <c r="AE634" s="147"/>
      <c r="AF634" s="147"/>
      <c r="AG634" s="147"/>
      <c r="AH634" s="147"/>
      <c r="AI634" s="147"/>
    </row>
    <row r="635">
      <c r="A635" s="167"/>
      <c r="B635" s="169"/>
      <c r="C635" s="170"/>
      <c r="D635" s="170"/>
      <c r="E635" s="170"/>
      <c r="F635" s="170"/>
      <c r="G635" s="171"/>
      <c r="H635" s="171"/>
      <c r="I635" s="172"/>
      <c r="J635" s="172"/>
      <c r="K635" s="172"/>
      <c r="L635" s="172"/>
      <c r="M635" s="147"/>
      <c r="Q635" s="147"/>
      <c r="R635" s="147"/>
      <c r="S635" s="147"/>
      <c r="T635" s="147"/>
      <c r="U635" s="147"/>
      <c r="V635" s="147"/>
      <c r="W635" s="147"/>
      <c r="X635" s="147"/>
      <c r="Y635" s="147"/>
      <c r="Z635" s="147"/>
      <c r="AA635" s="147"/>
      <c r="AB635" s="147"/>
      <c r="AC635" s="147"/>
      <c r="AD635" s="147"/>
      <c r="AE635" s="147"/>
      <c r="AF635" s="147"/>
      <c r="AG635" s="147"/>
      <c r="AH635" s="147"/>
      <c r="AI635" s="147"/>
    </row>
    <row r="636">
      <c r="A636" s="167"/>
      <c r="B636" s="169"/>
      <c r="C636" s="170"/>
      <c r="D636" s="170"/>
      <c r="E636" s="170"/>
      <c r="F636" s="170"/>
      <c r="G636" s="171"/>
      <c r="H636" s="171"/>
      <c r="I636" s="172"/>
      <c r="J636" s="172"/>
      <c r="K636" s="172"/>
      <c r="L636" s="172"/>
      <c r="M636" s="147"/>
      <c r="Q636" s="147"/>
      <c r="R636" s="147"/>
      <c r="S636" s="147"/>
      <c r="T636" s="147"/>
      <c r="U636" s="147"/>
      <c r="V636" s="147"/>
      <c r="W636" s="147"/>
      <c r="X636" s="147"/>
      <c r="Y636" s="147"/>
      <c r="Z636" s="147"/>
      <c r="AA636" s="147"/>
      <c r="AB636" s="147"/>
      <c r="AC636" s="147"/>
      <c r="AD636" s="147"/>
      <c r="AE636" s="147"/>
      <c r="AF636" s="147"/>
      <c r="AG636" s="147"/>
      <c r="AH636" s="147"/>
      <c r="AI636" s="147"/>
    </row>
    <row r="637">
      <c r="A637" s="167"/>
      <c r="B637" s="169"/>
      <c r="C637" s="170"/>
      <c r="D637" s="170"/>
      <c r="E637" s="170"/>
      <c r="F637" s="170"/>
      <c r="G637" s="171"/>
      <c r="H637" s="171"/>
      <c r="I637" s="172"/>
      <c r="J637" s="172"/>
      <c r="K637" s="172"/>
      <c r="L637" s="172"/>
      <c r="M637" s="147"/>
      <c r="Q637" s="147"/>
      <c r="R637" s="147"/>
      <c r="S637" s="147"/>
      <c r="T637" s="147"/>
      <c r="U637" s="147"/>
      <c r="V637" s="147"/>
      <c r="W637" s="147"/>
      <c r="X637" s="147"/>
      <c r="Y637" s="147"/>
      <c r="Z637" s="147"/>
      <c r="AA637" s="147"/>
      <c r="AB637" s="147"/>
      <c r="AC637" s="147"/>
      <c r="AD637" s="147"/>
      <c r="AE637" s="147"/>
      <c r="AF637" s="147"/>
      <c r="AG637" s="147"/>
      <c r="AH637" s="147"/>
      <c r="AI637" s="147"/>
    </row>
    <row r="638">
      <c r="A638" s="167"/>
      <c r="B638" s="169"/>
      <c r="C638" s="170"/>
      <c r="D638" s="170"/>
      <c r="E638" s="170"/>
      <c r="F638" s="170"/>
      <c r="G638" s="171"/>
      <c r="H638" s="171"/>
      <c r="I638" s="172"/>
      <c r="J638" s="172"/>
      <c r="K638" s="172"/>
      <c r="L638" s="172"/>
      <c r="M638" s="147"/>
      <c r="Q638" s="147"/>
      <c r="R638" s="147"/>
      <c r="S638" s="147"/>
      <c r="T638" s="147"/>
      <c r="U638" s="147"/>
      <c r="V638" s="147"/>
      <c r="W638" s="147"/>
      <c r="X638" s="147"/>
      <c r="Y638" s="147"/>
      <c r="Z638" s="147"/>
      <c r="AA638" s="147"/>
      <c r="AB638" s="147"/>
      <c r="AC638" s="147"/>
      <c r="AD638" s="147"/>
      <c r="AE638" s="147"/>
      <c r="AF638" s="147"/>
      <c r="AG638" s="147"/>
      <c r="AH638" s="147"/>
      <c r="AI638" s="147"/>
    </row>
    <row r="639">
      <c r="A639" s="167"/>
      <c r="B639" s="169"/>
      <c r="C639" s="170"/>
      <c r="D639" s="170"/>
      <c r="E639" s="170"/>
      <c r="F639" s="170"/>
      <c r="G639" s="171"/>
      <c r="H639" s="171"/>
      <c r="I639" s="172"/>
      <c r="J639" s="172"/>
      <c r="K639" s="172"/>
      <c r="L639" s="172"/>
      <c r="M639" s="147"/>
      <c r="Q639" s="147"/>
      <c r="R639" s="147"/>
      <c r="S639" s="147"/>
      <c r="T639" s="147"/>
      <c r="U639" s="147"/>
      <c r="V639" s="147"/>
      <c r="W639" s="147"/>
      <c r="X639" s="147"/>
      <c r="Y639" s="147"/>
      <c r="Z639" s="147"/>
      <c r="AA639" s="147"/>
      <c r="AB639" s="147"/>
      <c r="AC639" s="147"/>
      <c r="AD639" s="147"/>
      <c r="AE639" s="147"/>
      <c r="AF639" s="147"/>
      <c r="AG639" s="147"/>
      <c r="AH639" s="147"/>
      <c r="AI639" s="147"/>
    </row>
    <row r="640">
      <c r="A640" s="167"/>
      <c r="B640" s="169"/>
      <c r="C640" s="170"/>
      <c r="D640" s="170"/>
      <c r="E640" s="170"/>
      <c r="F640" s="170"/>
      <c r="G640" s="171"/>
      <c r="H640" s="171"/>
      <c r="I640" s="172"/>
      <c r="J640" s="172"/>
      <c r="K640" s="172"/>
      <c r="L640" s="172"/>
      <c r="M640" s="147"/>
      <c r="Q640" s="147"/>
      <c r="R640" s="147"/>
      <c r="S640" s="147"/>
      <c r="T640" s="147"/>
      <c r="U640" s="147"/>
      <c r="V640" s="147"/>
      <c r="W640" s="147"/>
      <c r="X640" s="147"/>
      <c r="Y640" s="147"/>
      <c r="Z640" s="147"/>
      <c r="AA640" s="147"/>
      <c r="AB640" s="147"/>
      <c r="AC640" s="147"/>
      <c r="AD640" s="147"/>
      <c r="AE640" s="147"/>
      <c r="AF640" s="147"/>
      <c r="AG640" s="147"/>
      <c r="AH640" s="147"/>
      <c r="AI640" s="147"/>
    </row>
    <row r="641">
      <c r="A641" s="167"/>
      <c r="B641" s="169"/>
      <c r="C641" s="170"/>
      <c r="D641" s="170"/>
      <c r="E641" s="170"/>
      <c r="F641" s="170"/>
      <c r="G641" s="171"/>
      <c r="H641" s="171"/>
      <c r="I641" s="172"/>
      <c r="J641" s="172"/>
      <c r="K641" s="172"/>
      <c r="L641" s="172"/>
      <c r="M641" s="147"/>
      <c r="Q641" s="147"/>
      <c r="R641" s="147"/>
      <c r="S641" s="147"/>
      <c r="T641" s="147"/>
      <c r="U641" s="147"/>
      <c r="V641" s="147"/>
      <c r="W641" s="147"/>
      <c r="X641" s="147"/>
      <c r="Y641" s="147"/>
      <c r="Z641" s="147"/>
      <c r="AA641" s="147"/>
      <c r="AB641" s="147"/>
      <c r="AC641" s="147"/>
      <c r="AD641" s="147"/>
      <c r="AE641" s="147"/>
      <c r="AF641" s="147"/>
      <c r="AG641" s="147"/>
      <c r="AH641" s="147"/>
      <c r="AI641" s="147"/>
    </row>
    <row r="642">
      <c r="A642" s="167"/>
      <c r="B642" s="169"/>
      <c r="C642" s="170"/>
      <c r="D642" s="170"/>
      <c r="E642" s="170"/>
      <c r="F642" s="170"/>
      <c r="G642" s="171"/>
      <c r="H642" s="171"/>
      <c r="I642" s="172"/>
      <c r="J642" s="172"/>
      <c r="K642" s="172"/>
      <c r="L642" s="172"/>
      <c r="M642" s="147"/>
      <c r="Q642" s="147"/>
      <c r="R642" s="147"/>
      <c r="S642" s="147"/>
      <c r="T642" s="147"/>
      <c r="U642" s="147"/>
      <c r="V642" s="147"/>
      <c r="W642" s="147"/>
      <c r="X642" s="147"/>
      <c r="Y642" s="147"/>
      <c r="Z642" s="147"/>
      <c r="AA642" s="147"/>
      <c r="AB642" s="147"/>
      <c r="AC642" s="147"/>
      <c r="AD642" s="147"/>
      <c r="AE642" s="147"/>
      <c r="AF642" s="147"/>
      <c r="AG642" s="147"/>
      <c r="AH642" s="147"/>
      <c r="AI642" s="147"/>
    </row>
    <row r="643">
      <c r="A643" s="167"/>
      <c r="B643" s="169"/>
      <c r="C643" s="170"/>
      <c r="D643" s="170"/>
      <c r="E643" s="170"/>
      <c r="F643" s="170"/>
      <c r="G643" s="171"/>
      <c r="H643" s="171"/>
      <c r="I643" s="172"/>
      <c r="J643" s="172"/>
      <c r="K643" s="172"/>
      <c r="L643" s="172"/>
      <c r="M643" s="147"/>
      <c r="Q643" s="147"/>
      <c r="R643" s="147"/>
      <c r="S643" s="147"/>
      <c r="T643" s="147"/>
      <c r="U643" s="147"/>
      <c r="V643" s="147"/>
      <c r="W643" s="147"/>
      <c r="X643" s="147"/>
      <c r="Y643" s="147"/>
      <c r="Z643" s="147"/>
      <c r="AA643" s="147"/>
      <c r="AB643" s="147"/>
      <c r="AC643" s="147"/>
      <c r="AD643" s="147"/>
      <c r="AE643" s="147"/>
      <c r="AF643" s="147"/>
      <c r="AG643" s="147"/>
      <c r="AH643" s="147"/>
      <c r="AI643" s="147"/>
    </row>
    <row r="644">
      <c r="A644" s="167"/>
      <c r="B644" s="169"/>
      <c r="C644" s="170"/>
      <c r="D644" s="170"/>
      <c r="E644" s="170"/>
      <c r="F644" s="170"/>
      <c r="G644" s="171"/>
      <c r="H644" s="171"/>
      <c r="I644" s="172"/>
      <c r="J644" s="172"/>
      <c r="K644" s="172"/>
      <c r="L644" s="172"/>
      <c r="M644" s="147"/>
      <c r="Q644" s="147"/>
      <c r="R644" s="147"/>
      <c r="S644" s="147"/>
      <c r="T644" s="147"/>
      <c r="U644" s="147"/>
      <c r="V644" s="147"/>
      <c r="W644" s="147"/>
      <c r="X644" s="147"/>
      <c r="Y644" s="147"/>
      <c r="Z644" s="147"/>
      <c r="AA644" s="147"/>
      <c r="AB644" s="147"/>
      <c r="AC644" s="147"/>
      <c r="AD644" s="147"/>
      <c r="AE644" s="147"/>
      <c r="AF644" s="147"/>
      <c r="AG644" s="147"/>
      <c r="AH644" s="147"/>
      <c r="AI644" s="147"/>
    </row>
    <row r="645">
      <c r="A645" s="167"/>
      <c r="B645" s="169"/>
      <c r="C645" s="170"/>
      <c r="D645" s="170"/>
      <c r="E645" s="170"/>
      <c r="F645" s="170"/>
      <c r="G645" s="171"/>
      <c r="H645" s="171"/>
      <c r="I645" s="172"/>
      <c r="J645" s="172"/>
      <c r="K645" s="172"/>
      <c r="L645" s="172"/>
      <c r="M645" s="147"/>
      <c r="Q645" s="147"/>
      <c r="R645" s="147"/>
      <c r="S645" s="147"/>
      <c r="T645" s="147"/>
      <c r="U645" s="147"/>
      <c r="V645" s="147"/>
      <c r="W645" s="147"/>
      <c r="X645" s="147"/>
      <c r="Y645" s="147"/>
      <c r="Z645" s="147"/>
      <c r="AA645" s="147"/>
      <c r="AB645" s="147"/>
      <c r="AC645" s="147"/>
      <c r="AD645" s="147"/>
      <c r="AE645" s="147"/>
      <c r="AF645" s="147"/>
      <c r="AG645" s="147"/>
      <c r="AH645" s="147"/>
      <c r="AI645" s="147"/>
    </row>
    <row r="646">
      <c r="A646" s="167"/>
      <c r="B646" s="169"/>
      <c r="C646" s="170"/>
      <c r="D646" s="170"/>
      <c r="E646" s="170"/>
      <c r="F646" s="170"/>
      <c r="G646" s="171"/>
      <c r="H646" s="171"/>
      <c r="I646" s="172"/>
      <c r="J646" s="172"/>
      <c r="K646" s="172"/>
      <c r="L646" s="172"/>
      <c r="M646" s="147"/>
      <c r="Q646" s="147"/>
      <c r="R646" s="147"/>
      <c r="S646" s="147"/>
      <c r="T646" s="147"/>
      <c r="U646" s="147"/>
      <c r="V646" s="147"/>
      <c r="W646" s="147"/>
      <c r="X646" s="147"/>
      <c r="Y646" s="147"/>
      <c r="Z646" s="147"/>
      <c r="AA646" s="147"/>
      <c r="AB646" s="147"/>
      <c r="AC646" s="147"/>
      <c r="AD646" s="147"/>
      <c r="AE646" s="147"/>
      <c r="AF646" s="147"/>
      <c r="AG646" s="147"/>
      <c r="AH646" s="147"/>
      <c r="AI646" s="147"/>
    </row>
    <row r="647">
      <c r="A647" s="167"/>
      <c r="B647" s="169"/>
      <c r="C647" s="170"/>
      <c r="D647" s="170"/>
      <c r="E647" s="170"/>
      <c r="F647" s="170"/>
      <c r="G647" s="171"/>
      <c r="H647" s="171"/>
      <c r="I647" s="172"/>
      <c r="J647" s="172"/>
      <c r="K647" s="172"/>
      <c r="L647" s="172"/>
      <c r="M647" s="147"/>
      <c r="Q647" s="147"/>
      <c r="R647" s="147"/>
      <c r="S647" s="147"/>
      <c r="T647" s="147"/>
      <c r="U647" s="147"/>
      <c r="V647" s="147"/>
      <c r="W647" s="147"/>
      <c r="X647" s="147"/>
      <c r="Y647" s="147"/>
      <c r="Z647" s="147"/>
      <c r="AA647" s="147"/>
      <c r="AB647" s="147"/>
      <c r="AC647" s="147"/>
      <c r="AD647" s="147"/>
      <c r="AE647" s="147"/>
      <c r="AF647" s="147"/>
      <c r="AG647" s="147"/>
      <c r="AH647" s="147"/>
      <c r="AI647" s="147"/>
    </row>
    <row r="648">
      <c r="A648" s="167"/>
      <c r="B648" s="169"/>
      <c r="C648" s="170"/>
      <c r="D648" s="170"/>
      <c r="E648" s="170"/>
      <c r="F648" s="170"/>
      <c r="G648" s="171"/>
      <c r="H648" s="171"/>
      <c r="I648" s="172"/>
      <c r="J648" s="172"/>
      <c r="K648" s="172"/>
      <c r="L648" s="172"/>
      <c r="M648" s="147"/>
      <c r="Q648" s="147"/>
      <c r="R648" s="147"/>
      <c r="S648" s="147"/>
      <c r="T648" s="147"/>
      <c r="U648" s="147"/>
      <c r="V648" s="147"/>
      <c r="W648" s="147"/>
      <c r="X648" s="147"/>
      <c r="Y648" s="147"/>
      <c r="Z648" s="147"/>
      <c r="AA648" s="147"/>
      <c r="AB648" s="147"/>
      <c r="AC648" s="147"/>
      <c r="AD648" s="147"/>
      <c r="AE648" s="147"/>
      <c r="AF648" s="147"/>
      <c r="AG648" s="147"/>
      <c r="AH648" s="147"/>
      <c r="AI648" s="147"/>
    </row>
    <row r="649">
      <c r="A649" s="167"/>
      <c r="B649" s="169"/>
      <c r="C649" s="170"/>
      <c r="D649" s="170"/>
      <c r="E649" s="170"/>
      <c r="F649" s="170"/>
      <c r="G649" s="171"/>
      <c r="H649" s="171"/>
      <c r="I649" s="172"/>
      <c r="J649" s="172"/>
      <c r="K649" s="172"/>
      <c r="L649" s="172"/>
      <c r="M649" s="147"/>
      <c r="Q649" s="147"/>
      <c r="R649" s="147"/>
      <c r="S649" s="147"/>
      <c r="T649" s="147"/>
      <c r="U649" s="147"/>
      <c r="V649" s="147"/>
      <c r="W649" s="147"/>
      <c r="X649" s="147"/>
      <c r="Y649" s="147"/>
      <c r="Z649" s="147"/>
      <c r="AA649" s="147"/>
      <c r="AB649" s="147"/>
      <c r="AC649" s="147"/>
      <c r="AD649" s="147"/>
      <c r="AE649" s="147"/>
      <c r="AF649" s="147"/>
      <c r="AG649" s="147"/>
      <c r="AH649" s="147"/>
      <c r="AI649" s="147"/>
    </row>
    <row r="650">
      <c r="A650" s="167"/>
      <c r="B650" s="169"/>
      <c r="C650" s="170"/>
      <c r="D650" s="170"/>
      <c r="E650" s="170"/>
      <c r="F650" s="170"/>
      <c r="G650" s="171"/>
      <c r="H650" s="171"/>
      <c r="I650" s="172"/>
      <c r="J650" s="172"/>
      <c r="K650" s="172"/>
      <c r="L650" s="172"/>
      <c r="M650" s="147"/>
      <c r="Q650" s="147"/>
      <c r="R650" s="147"/>
      <c r="S650" s="147"/>
      <c r="T650" s="147"/>
      <c r="U650" s="147"/>
      <c r="V650" s="147"/>
      <c r="W650" s="147"/>
      <c r="X650" s="147"/>
      <c r="Y650" s="147"/>
      <c r="Z650" s="147"/>
      <c r="AA650" s="147"/>
      <c r="AB650" s="147"/>
      <c r="AC650" s="147"/>
      <c r="AD650" s="147"/>
      <c r="AE650" s="147"/>
      <c r="AF650" s="147"/>
      <c r="AG650" s="147"/>
      <c r="AH650" s="147"/>
      <c r="AI650" s="147"/>
    </row>
    <row r="651">
      <c r="A651" s="167"/>
      <c r="B651" s="169"/>
      <c r="C651" s="170"/>
      <c r="D651" s="170"/>
      <c r="E651" s="170"/>
      <c r="F651" s="170"/>
      <c r="G651" s="171"/>
      <c r="H651" s="171"/>
      <c r="I651" s="172"/>
      <c r="J651" s="172"/>
      <c r="K651" s="172"/>
      <c r="L651" s="172"/>
      <c r="M651" s="147"/>
      <c r="Q651" s="147"/>
      <c r="R651" s="147"/>
      <c r="S651" s="147"/>
      <c r="T651" s="147"/>
      <c r="U651" s="147"/>
      <c r="V651" s="147"/>
      <c r="W651" s="147"/>
      <c r="X651" s="147"/>
      <c r="Y651" s="147"/>
      <c r="Z651" s="147"/>
      <c r="AA651" s="147"/>
      <c r="AB651" s="147"/>
      <c r="AC651" s="147"/>
      <c r="AD651" s="147"/>
      <c r="AE651" s="147"/>
      <c r="AF651" s="147"/>
      <c r="AG651" s="147"/>
      <c r="AH651" s="147"/>
      <c r="AI651" s="147"/>
    </row>
    <row r="652">
      <c r="A652" s="167"/>
      <c r="B652" s="169"/>
      <c r="C652" s="170"/>
      <c r="D652" s="170"/>
      <c r="E652" s="170"/>
      <c r="F652" s="170"/>
      <c r="G652" s="171"/>
      <c r="H652" s="171"/>
      <c r="I652" s="172"/>
      <c r="J652" s="172"/>
      <c r="K652" s="172"/>
      <c r="L652" s="172"/>
      <c r="M652" s="147"/>
      <c r="Q652" s="147"/>
      <c r="R652" s="147"/>
      <c r="S652" s="147"/>
      <c r="T652" s="147"/>
      <c r="U652" s="147"/>
      <c r="V652" s="147"/>
      <c r="W652" s="147"/>
      <c r="X652" s="147"/>
      <c r="Y652" s="147"/>
      <c r="Z652" s="147"/>
      <c r="AA652" s="147"/>
      <c r="AB652" s="147"/>
      <c r="AC652" s="147"/>
      <c r="AD652" s="147"/>
      <c r="AE652" s="147"/>
      <c r="AF652" s="147"/>
      <c r="AG652" s="147"/>
      <c r="AH652" s="147"/>
      <c r="AI652" s="147"/>
    </row>
    <row r="653">
      <c r="A653" s="167"/>
      <c r="B653" s="169"/>
      <c r="C653" s="170"/>
      <c r="D653" s="170"/>
      <c r="E653" s="170"/>
      <c r="F653" s="170"/>
      <c r="G653" s="171"/>
      <c r="H653" s="171"/>
      <c r="I653" s="172"/>
      <c r="J653" s="172"/>
      <c r="K653" s="172"/>
      <c r="L653" s="172"/>
      <c r="M653" s="147"/>
      <c r="Q653" s="147"/>
      <c r="R653" s="147"/>
      <c r="S653" s="147"/>
      <c r="T653" s="147"/>
      <c r="U653" s="147"/>
      <c r="V653" s="147"/>
      <c r="W653" s="147"/>
      <c r="X653" s="147"/>
      <c r="Y653" s="147"/>
      <c r="Z653" s="147"/>
      <c r="AA653" s="147"/>
      <c r="AB653" s="147"/>
      <c r="AC653" s="147"/>
      <c r="AD653" s="147"/>
      <c r="AE653" s="147"/>
      <c r="AF653" s="147"/>
      <c r="AG653" s="147"/>
      <c r="AH653" s="147"/>
      <c r="AI653" s="147"/>
    </row>
    <row r="654">
      <c r="A654" s="167"/>
      <c r="B654" s="169"/>
      <c r="C654" s="170"/>
      <c r="D654" s="170"/>
      <c r="E654" s="170"/>
      <c r="F654" s="170"/>
      <c r="G654" s="171"/>
      <c r="H654" s="171"/>
      <c r="I654" s="172"/>
      <c r="J654" s="172"/>
      <c r="K654" s="172"/>
      <c r="L654" s="172"/>
      <c r="M654" s="147"/>
      <c r="Q654" s="147"/>
      <c r="R654" s="147"/>
      <c r="S654" s="147"/>
      <c r="T654" s="147"/>
      <c r="U654" s="147"/>
      <c r="V654" s="147"/>
      <c r="W654" s="147"/>
      <c r="X654" s="147"/>
      <c r="Y654" s="147"/>
      <c r="Z654" s="147"/>
      <c r="AA654" s="147"/>
      <c r="AB654" s="147"/>
      <c r="AC654" s="147"/>
      <c r="AD654" s="147"/>
      <c r="AE654" s="147"/>
      <c r="AF654" s="147"/>
      <c r="AG654" s="147"/>
      <c r="AH654" s="147"/>
      <c r="AI654" s="147"/>
    </row>
    <row r="655">
      <c r="A655" s="167"/>
      <c r="B655" s="169"/>
      <c r="C655" s="170"/>
      <c r="D655" s="170"/>
      <c r="E655" s="170"/>
      <c r="F655" s="170"/>
      <c r="G655" s="171"/>
      <c r="H655" s="171"/>
      <c r="I655" s="172"/>
      <c r="J655" s="172"/>
      <c r="K655" s="172"/>
      <c r="L655" s="172"/>
      <c r="M655" s="147"/>
      <c r="Q655" s="147"/>
      <c r="R655" s="147"/>
      <c r="S655" s="147"/>
      <c r="T655" s="147"/>
      <c r="U655" s="147"/>
      <c r="V655" s="147"/>
      <c r="W655" s="147"/>
      <c r="X655" s="147"/>
      <c r="Y655" s="147"/>
      <c r="Z655" s="147"/>
      <c r="AA655" s="147"/>
      <c r="AB655" s="147"/>
      <c r="AC655" s="147"/>
      <c r="AD655" s="147"/>
      <c r="AE655" s="147"/>
      <c r="AF655" s="147"/>
      <c r="AG655" s="147"/>
      <c r="AH655" s="147"/>
      <c r="AI655" s="147"/>
    </row>
    <row r="656">
      <c r="A656" s="167"/>
      <c r="B656" s="169"/>
      <c r="C656" s="170"/>
      <c r="D656" s="170"/>
      <c r="E656" s="170"/>
      <c r="F656" s="170"/>
      <c r="G656" s="171"/>
      <c r="H656" s="171"/>
      <c r="I656" s="172"/>
      <c r="J656" s="172"/>
      <c r="K656" s="172"/>
      <c r="L656" s="172"/>
      <c r="M656" s="147"/>
      <c r="Q656" s="147"/>
      <c r="R656" s="147"/>
      <c r="S656" s="147"/>
      <c r="T656" s="147"/>
      <c r="U656" s="147"/>
      <c r="V656" s="147"/>
      <c r="W656" s="147"/>
      <c r="X656" s="147"/>
      <c r="Y656" s="147"/>
      <c r="Z656" s="147"/>
      <c r="AA656" s="147"/>
      <c r="AB656" s="147"/>
      <c r="AC656" s="147"/>
      <c r="AD656" s="147"/>
      <c r="AE656" s="147"/>
      <c r="AF656" s="147"/>
      <c r="AG656" s="147"/>
      <c r="AH656" s="147"/>
      <c r="AI656" s="147"/>
    </row>
    <row r="657">
      <c r="A657" s="167"/>
      <c r="B657" s="169"/>
      <c r="C657" s="170"/>
      <c r="D657" s="170"/>
      <c r="E657" s="170"/>
      <c r="F657" s="170"/>
      <c r="G657" s="171"/>
      <c r="H657" s="171"/>
      <c r="I657" s="172"/>
      <c r="J657" s="172"/>
      <c r="K657" s="172"/>
      <c r="L657" s="172"/>
      <c r="M657" s="147"/>
      <c r="Q657" s="147"/>
      <c r="R657" s="147"/>
      <c r="S657" s="147"/>
      <c r="T657" s="147"/>
      <c r="U657" s="147"/>
      <c r="V657" s="147"/>
      <c r="W657" s="147"/>
      <c r="X657" s="147"/>
      <c r="Y657" s="147"/>
      <c r="Z657" s="147"/>
      <c r="AA657" s="147"/>
      <c r="AB657" s="147"/>
      <c r="AC657" s="147"/>
      <c r="AD657" s="147"/>
      <c r="AE657" s="147"/>
      <c r="AF657" s="147"/>
      <c r="AG657" s="147"/>
      <c r="AH657" s="147"/>
      <c r="AI657" s="147"/>
    </row>
    <row r="658">
      <c r="A658" s="167"/>
      <c r="B658" s="169"/>
      <c r="C658" s="170"/>
      <c r="D658" s="170"/>
      <c r="E658" s="170"/>
      <c r="F658" s="170"/>
      <c r="G658" s="171"/>
      <c r="H658" s="171"/>
      <c r="I658" s="172"/>
      <c r="J658" s="172"/>
      <c r="K658" s="172"/>
      <c r="L658" s="172"/>
      <c r="M658" s="147"/>
      <c r="Q658" s="147"/>
      <c r="R658" s="147"/>
      <c r="S658" s="147"/>
      <c r="T658" s="147"/>
      <c r="U658" s="147"/>
      <c r="V658" s="147"/>
      <c r="W658" s="147"/>
      <c r="X658" s="147"/>
      <c r="Y658" s="147"/>
      <c r="Z658" s="147"/>
      <c r="AA658" s="147"/>
      <c r="AB658" s="147"/>
      <c r="AC658" s="147"/>
      <c r="AD658" s="147"/>
      <c r="AE658" s="147"/>
      <c r="AF658" s="147"/>
      <c r="AG658" s="147"/>
      <c r="AH658" s="147"/>
      <c r="AI658" s="147"/>
    </row>
    <row r="659">
      <c r="A659" s="167"/>
      <c r="B659" s="169"/>
      <c r="C659" s="170"/>
      <c r="D659" s="170"/>
      <c r="E659" s="170"/>
      <c r="F659" s="170"/>
      <c r="G659" s="171"/>
      <c r="H659" s="171"/>
      <c r="I659" s="172"/>
      <c r="J659" s="172"/>
      <c r="K659" s="172"/>
      <c r="L659" s="172"/>
      <c r="M659" s="147"/>
      <c r="Q659" s="147"/>
      <c r="R659" s="147"/>
      <c r="S659" s="147"/>
      <c r="T659" s="147"/>
      <c r="U659" s="147"/>
      <c r="V659" s="147"/>
      <c r="W659" s="147"/>
      <c r="X659" s="147"/>
      <c r="Y659" s="147"/>
      <c r="Z659" s="147"/>
      <c r="AA659" s="147"/>
      <c r="AB659" s="147"/>
      <c r="AC659" s="147"/>
      <c r="AD659" s="147"/>
      <c r="AE659" s="147"/>
      <c r="AF659" s="147"/>
      <c r="AG659" s="147"/>
      <c r="AH659" s="147"/>
      <c r="AI659" s="147"/>
    </row>
    <row r="660">
      <c r="A660" s="167"/>
      <c r="B660" s="169"/>
      <c r="C660" s="170"/>
      <c r="D660" s="170"/>
      <c r="E660" s="170"/>
      <c r="F660" s="170"/>
      <c r="G660" s="171"/>
      <c r="H660" s="171"/>
      <c r="I660" s="172"/>
      <c r="J660" s="172"/>
      <c r="K660" s="172"/>
      <c r="L660" s="172"/>
      <c r="M660" s="147"/>
      <c r="Q660" s="147"/>
      <c r="R660" s="147"/>
      <c r="S660" s="147"/>
      <c r="T660" s="147"/>
      <c r="U660" s="147"/>
      <c r="V660" s="147"/>
      <c r="W660" s="147"/>
      <c r="X660" s="147"/>
      <c r="Y660" s="147"/>
      <c r="Z660" s="147"/>
      <c r="AA660" s="147"/>
      <c r="AB660" s="147"/>
      <c r="AC660" s="147"/>
      <c r="AD660" s="147"/>
      <c r="AE660" s="147"/>
      <c r="AF660" s="147"/>
      <c r="AG660" s="147"/>
      <c r="AH660" s="147"/>
      <c r="AI660" s="147"/>
    </row>
    <row r="661">
      <c r="A661" s="167"/>
      <c r="B661" s="169"/>
      <c r="C661" s="170"/>
      <c r="D661" s="170"/>
      <c r="E661" s="170"/>
      <c r="F661" s="170"/>
      <c r="G661" s="171"/>
      <c r="H661" s="171"/>
      <c r="I661" s="172"/>
      <c r="J661" s="172"/>
      <c r="K661" s="172"/>
      <c r="L661" s="172"/>
      <c r="M661" s="147"/>
      <c r="Q661" s="147"/>
      <c r="R661" s="147"/>
      <c r="S661" s="147"/>
      <c r="T661" s="147"/>
      <c r="U661" s="147"/>
      <c r="V661" s="147"/>
      <c r="W661" s="147"/>
      <c r="X661" s="147"/>
      <c r="Y661" s="147"/>
      <c r="Z661" s="147"/>
      <c r="AA661" s="147"/>
      <c r="AB661" s="147"/>
      <c r="AC661" s="147"/>
      <c r="AD661" s="147"/>
      <c r="AE661" s="147"/>
      <c r="AF661" s="147"/>
      <c r="AG661" s="147"/>
      <c r="AH661" s="147"/>
      <c r="AI661" s="147"/>
    </row>
    <row r="662">
      <c r="A662" s="167"/>
      <c r="B662" s="169"/>
      <c r="C662" s="170"/>
      <c r="D662" s="170"/>
      <c r="E662" s="170"/>
      <c r="F662" s="170"/>
      <c r="G662" s="171"/>
      <c r="H662" s="171"/>
      <c r="I662" s="172"/>
      <c r="J662" s="172"/>
      <c r="K662" s="172"/>
      <c r="L662" s="172"/>
      <c r="M662" s="147"/>
      <c r="Q662" s="147"/>
      <c r="R662" s="147"/>
      <c r="S662" s="147"/>
      <c r="T662" s="147"/>
      <c r="U662" s="147"/>
      <c r="V662" s="147"/>
      <c r="W662" s="147"/>
      <c r="X662" s="147"/>
      <c r="Y662" s="147"/>
      <c r="Z662" s="147"/>
      <c r="AA662" s="147"/>
      <c r="AB662" s="147"/>
      <c r="AC662" s="147"/>
      <c r="AD662" s="147"/>
      <c r="AE662" s="147"/>
      <c r="AF662" s="147"/>
      <c r="AG662" s="147"/>
      <c r="AH662" s="147"/>
      <c r="AI662" s="147"/>
    </row>
    <row r="663">
      <c r="A663" s="167"/>
      <c r="B663" s="169"/>
      <c r="C663" s="170"/>
      <c r="D663" s="170"/>
      <c r="E663" s="170"/>
      <c r="F663" s="170"/>
      <c r="G663" s="171"/>
      <c r="H663" s="171"/>
      <c r="I663" s="172"/>
      <c r="J663" s="172"/>
      <c r="K663" s="172"/>
      <c r="L663" s="172"/>
      <c r="M663" s="147"/>
      <c r="Q663" s="147"/>
      <c r="R663" s="147"/>
      <c r="S663" s="147"/>
      <c r="T663" s="147"/>
      <c r="U663" s="147"/>
      <c r="V663" s="147"/>
      <c r="W663" s="147"/>
      <c r="X663" s="147"/>
      <c r="Y663" s="147"/>
      <c r="Z663" s="147"/>
      <c r="AA663" s="147"/>
      <c r="AB663" s="147"/>
      <c r="AC663" s="147"/>
      <c r="AD663" s="147"/>
      <c r="AE663" s="147"/>
      <c r="AF663" s="147"/>
      <c r="AG663" s="147"/>
      <c r="AH663" s="147"/>
      <c r="AI663" s="147"/>
    </row>
    <row r="664">
      <c r="A664" s="167"/>
      <c r="B664" s="169"/>
      <c r="C664" s="170"/>
      <c r="D664" s="170"/>
      <c r="E664" s="170"/>
      <c r="F664" s="170"/>
      <c r="G664" s="171"/>
      <c r="H664" s="171"/>
      <c r="I664" s="172"/>
      <c r="J664" s="172"/>
      <c r="K664" s="172"/>
      <c r="L664" s="172"/>
      <c r="M664" s="147"/>
      <c r="Q664" s="147"/>
      <c r="R664" s="147"/>
      <c r="S664" s="147"/>
      <c r="T664" s="147"/>
      <c r="U664" s="147"/>
      <c r="V664" s="147"/>
      <c r="W664" s="147"/>
      <c r="X664" s="147"/>
      <c r="Y664" s="147"/>
      <c r="Z664" s="147"/>
      <c r="AA664" s="147"/>
      <c r="AB664" s="147"/>
      <c r="AC664" s="147"/>
      <c r="AD664" s="147"/>
      <c r="AE664" s="147"/>
      <c r="AF664" s="147"/>
      <c r="AG664" s="147"/>
      <c r="AH664" s="147"/>
      <c r="AI664" s="147"/>
    </row>
    <row r="665">
      <c r="A665" s="167"/>
      <c r="B665" s="169"/>
      <c r="C665" s="170"/>
      <c r="D665" s="170"/>
      <c r="E665" s="170"/>
      <c r="F665" s="170"/>
      <c r="G665" s="171"/>
      <c r="H665" s="171"/>
      <c r="I665" s="172"/>
      <c r="J665" s="172"/>
      <c r="K665" s="172"/>
      <c r="L665" s="172"/>
      <c r="M665" s="147"/>
      <c r="Q665" s="147"/>
      <c r="R665" s="147"/>
      <c r="S665" s="147"/>
      <c r="T665" s="147"/>
      <c r="U665" s="147"/>
      <c r="V665" s="147"/>
      <c r="W665" s="147"/>
      <c r="X665" s="147"/>
      <c r="Y665" s="147"/>
      <c r="Z665" s="147"/>
      <c r="AA665" s="147"/>
      <c r="AB665" s="147"/>
      <c r="AC665" s="147"/>
      <c r="AD665" s="147"/>
      <c r="AE665" s="147"/>
      <c r="AF665" s="147"/>
      <c r="AG665" s="147"/>
      <c r="AH665" s="147"/>
      <c r="AI665" s="147"/>
    </row>
    <row r="666">
      <c r="A666" s="167"/>
      <c r="B666" s="169"/>
      <c r="C666" s="170"/>
      <c r="D666" s="170"/>
      <c r="E666" s="170"/>
      <c r="F666" s="170"/>
      <c r="G666" s="171"/>
      <c r="H666" s="171"/>
      <c r="I666" s="172"/>
      <c r="J666" s="172"/>
      <c r="K666" s="172"/>
      <c r="L666" s="172"/>
      <c r="M666" s="147"/>
      <c r="Q666" s="147"/>
      <c r="R666" s="147"/>
      <c r="S666" s="147"/>
      <c r="T666" s="147"/>
      <c r="U666" s="147"/>
      <c r="V666" s="147"/>
      <c r="W666" s="147"/>
      <c r="X666" s="147"/>
      <c r="Y666" s="147"/>
      <c r="Z666" s="147"/>
      <c r="AA666" s="147"/>
      <c r="AB666" s="147"/>
      <c r="AC666" s="147"/>
      <c r="AD666" s="147"/>
      <c r="AE666" s="147"/>
      <c r="AF666" s="147"/>
      <c r="AG666" s="147"/>
      <c r="AH666" s="147"/>
      <c r="AI666" s="147"/>
    </row>
    <row r="667">
      <c r="A667" s="167"/>
      <c r="B667" s="169"/>
      <c r="C667" s="170"/>
      <c r="D667" s="170"/>
      <c r="E667" s="170"/>
      <c r="F667" s="170"/>
      <c r="G667" s="171"/>
      <c r="H667" s="171"/>
      <c r="I667" s="172"/>
      <c r="J667" s="172"/>
      <c r="K667" s="172"/>
      <c r="L667" s="172"/>
      <c r="M667" s="147"/>
      <c r="Q667" s="147"/>
      <c r="R667" s="147"/>
      <c r="S667" s="147"/>
      <c r="T667" s="147"/>
      <c r="U667" s="147"/>
      <c r="V667" s="147"/>
      <c r="W667" s="147"/>
      <c r="X667" s="147"/>
      <c r="Y667" s="147"/>
      <c r="Z667" s="147"/>
      <c r="AA667" s="147"/>
      <c r="AB667" s="147"/>
      <c r="AC667" s="147"/>
      <c r="AD667" s="147"/>
      <c r="AE667" s="147"/>
      <c r="AF667" s="147"/>
      <c r="AG667" s="147"/>
      <c r="AH667" s="147"/>
      <c r="AI667" s="147"/>
    </row>
    <row r="668">
      <c r="A668" s="167"/>
      <c r="B668" s="169"/>
      <c r="C668" s="170"/>
      <c r="D668" s="170"/>
      <c r="E668" s="170"/>
      <c r="F668" s="170"/>
      <c r="G668" s="171"/>
      <c r="H668" s="171"/>
      <c r="I668" s="172"/>
      <c r="J668" s="172"/>
      <c r="K668" s="172"/>
      <c r="L668" s="172"/>
      <c r="M668" s="147"/>
      <c r="Q668" s="147"/>
      <c r="R668" s="147"/>
      <c r="S668" s="147"/>
      <c r="T668" s="147"/>
      <c r="U668" s="147"/>
      <c r="V668" s="147"/>
      <c r="W668" s="147"/>
      <c r="X668" s="147"/>
      <c r="Y668" s="147"/>
      <c r="Z668" s="147"/>
      <c r="AA668" s="147"/>
      <c r="AB668" s="147"/>
      <c r="AC668" s="147"/>
      <c r="AD668" s="147"/>
      <c r="AE668" s="147"/>
      <c r="AF668" s="147"/>
      <c r="AG668" s="147"/>
      <c r="AH668" s="147"/>
      <c r="AI668" s="147"/>
    </row>
    <row r="669">
      <c r="A669" s="167"/>
      <c r="B669" s="169"/>
      <c r="C669" s="170"/>
      <c r="D669" s="170"/>
      <c r="E669" s="170"/>
      <c r="F669" s="170"/>
      <c r="G669" s="171"/>
      <c r="H669" s="171"/>
      <c r="I669" s="172"/>
      <c r="J669" s="172"/>
      <c r="K669" s="172"/>
      <c r="L669" s="172"/>
      <c r="M669" s="147"/>
      <c r="Q669" s="147"/>
      <c r="R669" s="147"/>
      <c r="S669" s="147"/>
      <c r="T669" s="147"/>
      <c r="U669" s="147"/>
      <c r="V669" s="147"/>
      <c r="W669" s="147"/>
      <c r="X669" s="147"/>
      <c r="Y669" s="147"/>
      <c r="Z669" s="147"/>
      <c r="AA669" s="147"/>
      <c r="AB669" s="147"/>
      <c r="AC669" s="147"/>
      <c r="AD669" s="147"/>
      <c r="AE669" s="147"/>
      <c r="AF669" s="147"/>
      <c r="AG669" s="147"/>
      <c r="AH669" s="147"/>
      <c r="AI669" s="147"/>
    </row>
    <row r="670">
      <c r="A670" s="167"/>
      <c r="B670" s="169"/>
      <c r="C670" s="170"/>
      <c r="D670" s="170"/>
      <c r="E670" s="170"/>
      <c r="F670" s="170"/>
      <c r="G670" s="171"/>
      <c r="H670" s="171"/>
      <c r="I670" s="172"/>
      <c r="J670" s="172"/>
      <c r="K670" s="172"/>
      <c r="L670" s="172"/>
      <c r="M670" s="147"/>
      <c r="Q670" s="147"/>
      <c r="R670" s="147"/>
      <c r="S670" s="147"/>
      <c r="T670" s="147"/>
      <c r="U670" s="147"/>
      <c r="V670" s="147"/>
      <c r="W670" s="147"/>
      <c r="X670" s="147"/>
      <c r="Y670" s="147"/>
      <c r="Z670" s="147"/>
      <c r="AA670" s="147"/>
      <c r="AB670" s="147"/>
      <c r="AC670" s="147"/>
      <c r="AD670" s="147"/>
      <c r="AE670" s="147"/>
      <c r="AF670" s="147"/>
      <c r="AG670" s="147"/>
      <c r="AH670" s="147"/>
      <c r="AI670" s="147"/>
    </row>
    <row r="671">
      <c r="A671" s="167"/>
      <c r="B671" s="169"/>
      <c r="C671" s="170"/>
      <c r="D671" s="170"/>
      <c r="E671" s="170"/>
      <c r="F671" s="170"/>
      <c r="G671" s="171"/>
      <c r="H671" s="171"/>
      <c r="I671" s="172"/>
      <c r="J671" s="172"/>
      <c r="K671" s="172"/>
      <c r="L671" s="172"/>
      <c r="M671" s="147"/>
      <c r="Q671" s="147"/>
      <c r="R671" s="147"/>
      <c r="S671" s="147"/>
      <c r="T671" s="147"/>
      <c r="U671" s="147"/>
      <c r="V671" s="147"/>
      <c r="W671" s="147"/>
      <c r="X671" s="147"/>
      <c r="Y671" s="147"/>
      <c r="Z671" s="147"/>
      <c r="AA671" s="147"/>
      <c r="AB671" s="147"/>
      <c r="AC671" s="147"/>
      <c r="AD671" s="147"/>
      <c r="AE671" s="147"/>
      <c r="AF671" s="147"/>
      <c r="AG671" s="147"/>
      <c r="AH671" s="147"/>
      <c r="AI671" s="147"/>
    </row>
    <row r="672">
      <c r="A672" s="167"/>
      <c r="B672" s="169"/>
      <c r="C672" s="170"/>
      <c r="D672" s="170"/>
      <c r="E672" s="170"/>
      <c r="F672" s="170"/>
      <c r="G672" s="171"/>
      <c r="H672" s="171"/>
      <c r="I672" s="172"/>
      <c r="J672" s="172"/>
      <c r="K672" s="172"/>
      <c r="L672" s="172"/>
      <c r="M672" s="147"/>
      <c r="Q672" s="147"/>
      <c r="R672" s="147"/>
      <c r="S672" s="147"/>
      <c r="T672" s="147"/>
      <c r="U672" s="147"/>
      <c r="V672" s="147"/>
      <c r="W672" s="147"/>
      <c r="X672" s="147"/>
      <c r="Y672" s="147"/>
      <c r="Z672" s="147"/>
      <c r="AA672" s="147"/>
      <c r="AB672" s="147"/>
      <c r="AC672" s="147"/>
      <c r="AD672" s="147"/>
      <c r="AE672" s="147"/>
      <c r="AF672" s="147"/>
      <c r="AG672" s="147"/>
      <c r="AH672" s="147"/>
      <c r="AI672" s="147"/>
    </row>
    <row r="673">
      <c r="A673" s="167"/>
      <c r="B673" s="169"/>
      <c r="C673" s="170"/>
      <c r="D673" s="170"/>
      <c r="E673" s="170"/>
      <c r="F673" s="170"/>
      <c r="G673" s="171"/>
      <c r="H673" s="171"/>
      <c r="I673" s="172"/>
      <c r="J673" s="172"/>
      <c r="K673" s="172"/>
      <c r="L673" s="172"/>
      <c r="M673" s="147"/>
      <c r="Q673" s="147"/>
      <c r="R673" s="147"/>
      <c r="S673" s="147"/>
      <c r="T673" s="147"/>
      <c r="U673" s="147"/>
      <c r="V673" s="147"/>
      <c r="W673" s="147"/>
      <c r="X673" s="147"/>
      <c r="Y673" s="147"/>
      <c r="Z673" s="147"/>
      <c r="AA673" s="147"/>
      <c r="AB673" s="147"/>
      <c r="AC673" s="147"/>
      <c r="AD673" s="147"/>
      <c r="AE673" s="147"/>
      <c r="AF673" s="147"/>
      <c r="AG673" s="147"/>
      <c r="AH673" s="147"/>
      <c r="AI673" s="147"/>
    </row>
    <row r="674">
      <c r="A674" s="167"/>
      <c r="B674" s="169"/>
      <c r="C674" s="170"/>
      <c r="D674" s="170"/>
      <c r="E674" s="170"/>
      <c r="F674" s="170"/>
      <c r="G674" s="171"/>
      <c r="H674" s="171"/>
      <c r="I674" s="172"/>
      <c r="J674" s="172"/>
      <c r="K674" s="172"/>
      <c r="L674" s="172"/>
      <c r="M674" s="147"/>
      <c r="Q674" s="147"/>
      <c r="R674" s="147"/>
      <c r="S674" s="147"/>
      <c r="T674" s="147"/>
      <c r="U674" s="147"/>
      <c r="V674" s="147"/>
      <c r="W674" s="147"/>
      <c r="X674" s="147"/>
      <c r="Y674" s="147"/>
      <c r="Z674" s="147"/>
      <c r="AA674" s="147"/>
      <c r="AB674" s="147"/>
      <c r="AC674" s="147"/>
      <c r="AD674" s="147"/>
      <c r="AE674" s="147"/>
      <c r="AF674" s="147"/>
      <c r="AG674" s="147"/>
      <c r="AH674" s="147"/>
      <c r="AI674" s="147"/>
    </row>
    <row r="675">
      <c r="A675" s="167"/>
      <c r="B675" s="169"/>
      <c r="C675" s="170"/>
      <c r="D675" s="170"/>
      <c r="E675" s="170"/>
      <c r="F675" s="170"/>
      <c r="G675" s="171"/>
      <c r="H675" s="171"/>
      <c r="I675" s="172"/>
      <c r="J675" s="172"/>
      <c r="K675" s="172"/>
      <c r="L675" s="172"/>
      <c r="M675" s="147"/>
      <c r="Q675" s="147"/>
      <c r="R675" s="147"/>
      <c r="S675" s="147"/>
      <c r="T675" s="147"/>
      <c r="U675" s="147"/>
      <c r="V675" s="147"/>
      <c r="W675" s="147"/>
      <c r="X675" s="147"/>
      <c r="Y675" s="147"/>
      <c r="Z675" s="147"/>
      <c r="AA675" s="147"/>
      <c r="AB675" s="147"/>
      <c r="AC675" s="147"/>
      <c r="AD675" s="147"/>
      <c r="AE675" s="147"/>
      <c r="AF675" s="147"/>
      <c r="AG675" s="147"/>
      <c r="AH675" s="147"/>
      <c r="AI675" s="147"/>
    </row>
    <row r="676">
      <c r="A676" s="167"/>
      <c r="B676" s="169"/>
      <c r="C676" s="170"/>
      <c r="D676" s="170"/>
      <c r="E676" s="170"/>
      <c r="F676" s="170"/>
      <c r="G676" s="171"/>
      <c r="H676" s="171"/>
      <c r="I676" s="172"/>
      <c r="J676" s="172"/>
      <c r="K676" s="172"/>
      <c r="L676" s="172"/>
      <c r="M676" s="147"/>
      <c r="Q676" s="147"/>
      <c r="R676" s="147"/>
      <c r="S676" s="147"/>
      <c r="T676" s="147"/>
      <c r="U676" s="147"/>
      <c r="V676" s="147"/>
      <c r="W676" s="147"/>
      <c r="X676" s="147"/>
      <c r="Y676" s="147"/>
      <c r="Z676" s="147"/>
      <c r="AA676" s="147"/>
      <c r="AB676" s="147"/>
      <c r="AC676" s="147"/>
      <c r="AD676" s="147"/>
      <c r="AE676" s="147"/>
      <c r="AF676" s="147"/>
      <c r="AG676" s="147"/>
      <c r="AH676" s="147"/>
      <c r="AI676" s="147"/>
    </row>
    <row r="677">
      <c r="A677" s="167"/>
      <c r="B677" s="169"/>
      <c r="C677" s="170"/>
      <c r="D677" s="170"/>
      <c r="E677" s="170"/>
      <c r="F677" s="170"/>
      <c r="G677" s="171"/>
      <c r="H677" s="171"/>
      <c r="I677" s="172"/>
      <c r="J677" s="172"/>
      <c r="K677" s="172"/>
      <c r="L677" s="172"/>
      <c r="M677" s="147"/>
      <c r="Q677" s="147"/>
      <c r="R677" s="147"/>
      <c r="S677" s="147"/>
      <c r="T677" s="147"/>
      <c r="U677" s="147"/>
      <c r="V677" s="147"/>
      <c r="W677" s="147"/>
      <c r="X677" s="147"/>
      <c r="Y677" s="147"/>
      <c r="Z677" s="147"/>
      <c r="AA677" s="147"/>
      <c r="AB677" s="147"/>
      <c r="AC677" s="147"/>
      <c r="AD677" s="147"/>
      <c r="AE677" s="147"/>
      <c r="AF677" s="147"/>
      <c r="AG677" s="147"/>
      <c r="AH677" s="147"/>
      <c r="AI677" s="147"/>
    </row>
    <row r="678">
      <c r="A678" s="167"/>
      <c r="B678" s="169"/>
      <c r="C678" s="170"/>
      <c r="D678" s="170"/>
      <c r="E678" s="170"/>
      <c r="F678" s="170"/>
      <c r="G678" s="171"/>
      <c r="H678" s="171"/>
      <c r="I678" s="172"/>
      <c r="J678" s="172"/>
      <c r="K678" s="172"/>
      <c r="L678" s="172"/>
      <c r="M678" s="147"/>
      <c r="Q678" s="147"/>
      <c r="R678" s="147"/>
      <c r="S678" s="147"/>
      <c r="T678" s="147"/>
      <c r="U678" s="147"/>
      <c r="V678" s="147"/>
      <c r="W678" s="147"/>
      <c r="X678" s="147"/>
      <c r="Y678" s="147"/>
      <c r="Z678" s="147"/>
      <c r="AA678" s="147"/>
      <c r="AB678" s="147"/>
      <c r="AC678" s="147"/>
      <c r="AD678" s="147"/>
      <c r="AE678" s="147"/>
      <c r="AF678" s="147"/>
      <c r="AG678" s="147"/>
      <c r="AH678" s="147"/>
      <c r="AI678" s="147"/>
    </row>
    <row r="679">
      <c r="A679" s="167"/>
      <c r="B679" s="169"/>
      <c r="C679" s="170"/>
      <c r="D679" s="170"/>
      <c r="E679" s="170"/>
      <c r="F679" s="170"/>
      <c r="G679" s="171"/>
      <c r="H679" s="171"/>
      <c r="I679" s="172"/>
      <c r="J679" s="172"/>
      <c r="K679" s="172"/>
      <c r="L679" s="172"/>
      <c r="M679" s="147"/>
      <c r="Q679" s="147"/>
      <c r="R679" s="147"/>
      <c r="S679" s="147"/>
      <c r="T679" s="147"/>
      <c r="U679" s="147"/>
      <c r="V679" s="147"/>
      <c r="W679" s="147"/>
      <c r="X679" s="147"/>
      <c r="Y679" s="147"/>
      <c r="Z679" s="147"/>
      <c r="AA679" s="147"/>
      <c r="AB679" s="147"/>
      <c r="AC679" s="147"/>
      <c r="AD679" s="147"/>
      <c r="AE679" s="147"/>
      <c r="AF679" s="147"/>
      <c r="AG679" s="147"/>
      <c r="AH679" s="147"/>
      <c r="AI679" s="147"/>
    </row>
    <row r="680">
      <c r="A680" s="167"/>
      <c r="B680" s="169"/>
      <c r="C680" s="170"/>
      <c r="D680" s="170"/>
      <c r="E680" s="170"/>
      <c r="F680" s="170"/>
      <c r="G680" s="171"/>
      <c r="H680" s="171"/>
      <c r="I680" s="172"/>
      <c r="J680" s="172"/>
      <c r="K680" s="172"/>
      <c r="L680" s="172"/>
      <c r="M680" s="147"/>
      <c r="Q680" s="147"/>
      <c r="R680" s="147"/>
      <c r="S680" s="147"/>
      <c r="T680" s="147"/>
      <c r="U680" s="147"/>
      <c r="V680" s="147"/>
      <c r="W680" s="147"/>
      <c r="X680" s="147"/>
      <c r="Y680" s="147"/>
      <c r="Z680" s="147"/>
      <c r="AA680" s="147"/>
      <c r="AB680" s="147"/>
      <c r="AC680" s="147"/>
      <c r="AD680" s="147"/>
      <c r="AE680" s="147"/>
      <c r="AF680" s="147"/>
      <c r="AG680" s="147"/>
      <c r="AH680" s="147"/>
      <c r="AI680" s="147"/>
    </row>
    <row r="681">
      <c r="A681" s="167"/>
      <c r="B681" s="169"/>
      <c r="C681" s="170"/>
      <c r="D681" s="170"/>
      <c r="E681" s="170"/>
      <c r="F681" s="170"/>
      <c r="G681" s="171"/>
      <c r="H681" s="171"/>
      <c r="I681" s="172"/>
      <c r="J681" s="172"/>
      <c r="K681" s="172"/>
      <c r="L681" s="172"/>
      <c r="M681" s="147"/>
      <c r="Q681" s="147"/>
      <c r="R681" s="147"/>
      <c r="S681" s="147"/>
      <c r="T681" s="147"/>
      <c r="U681" s="147"/>
      <c r="V681" s="147"/>
      <c r="W681" s="147"/>
      <c r="X681" s="147"/>
      <c r="Y681" s="147"/>
      <c r="Z681" s="147"/>
      <c r="AA681" s="147"/>
      <c r="AB681" s="147"/>
      <c r="AC681" s="147"/>
      <c r="AD681" s="147"/>
      <c r="AE681" s="147"/>
      <c r="AF681" s="147"/>
      <c r="AG681" s="147"/>
      <c r="AH681" s="147"/>
      <c r="AI681" s="147"/>
    </row>
    <row r="682">
      <c r="A682" s="167"/>
      <c r="B682" s="169"/>
      <c r="C682" s="170"/>
      <c r="D682" s="170"/>
      <c r="E682" s="170"/>
      <c r="F682" s="170"/>
      <c r="G682" s="171"/>
      <c r="H682" s="171"/>
      <c r="I682" s="172"/>
      <c r="J682" s="172"/>
      <c r="K682" s="172"/>
      <c r="L682" s="172"/>
      <c r="M682" s="147"/>
      <c r="Q682" s="147"/>
      <c r="R682" s="147"/>
      <c r="S682" s="147"/>
      <c r="T682" s="147"/>
      <c r="U682" s="147"/>
      <c r="V682" s="147"/>
      <c r="W682" s="147"/>
      <c r="X682" s="147"/>
      <c r="Y682" s="147"/>
      <c r="Z682" s="147"/>
      <c r="AA682" s="147"/>
      <c r="AB682" s="147"/>
      <c r="AC682" s="147"/>
      <c r="AD682" s="147"/>
      <c r="AE682" s="147"/>
      <c r="AF682" s="147"/>
      <c r="AG682" s="147"/>
      <c r="AH682" s="147"/>
      <c r="AI682" s="147"/>
    </row>
    <row r="683">
      <c r="A683" s="167"/>
      <c r="B683" s="169"/>
      <c r="C683" s="170"/>
      <c r="D683" s="170"/>
      <c r="E683" s="170"/>
      <c r="F683" s="170"/>
      <c r="G683" s="171"/>
      <c r="H683" s="171"/>
      <c r="I683" s="172"/>
      <c r="J683" s="172"/>
      <c r="K683" s="172"/>
      <c r="L683" s="172"/>
      <c r="M683" s="147"/>
      <c r="Q683" s="147"/>
      <c r="R683" s="147"/>
      <c r="S683" s="147"/>
      <c r="T683" s="147"/>
      <c r="U683" s="147"/>
      <c r="V683" s="147"/>
      <c r="W683" s="147"/>
      <c r="X683" s="147"/>
      <c r="Y683" s="147"/>
      <c r="Z683" s="147"/>
      <c r="AA683" s="147"/>
      <c r="AB683" s="147"/>
      <c r="AC683" s="147"/>
      <c r="AD683" s="147"/>
      <c r="AE683" s="147"/>
      <c r="AF683" s="147"/>
      <c r="AG683" s="147"/>
      <c r="AH683" s="147"/>
      <c r="AI683" s="147"/>
    </row>
    <row r="684">
      <c r="A684" s="167"/>
      <c r="B684" s="169"/>
      <c r="C684" s="170"/>
      <c r="D684" s="170"/>
      <c r="E684" s="170"/>
      <c r="F684" s="170"/>
      <c r="G684" s="171"/>
      <c r="H684" s="171"/>
      <c r="I684" s="172"/>
      <c r="J684" s="172"/>
      <c r="K684" s="172"/>
      <c r="L684" s="172"/>
      <c r="M684" s="147"/>
      <c r="Q684" s="147"/>
      <c r="R684" s="147"/>
      <c r="S684" s="147"/>
      <c r="T684" s="147"/>
      <c r="U684" s="147"/>
      <c r="V684" s="147"/>
      <c r="W684" s="147"/>
      <c r="X684" s="147"/>
      <c r="Y684" s="147"/>
      <c r="Z684" s="147"/>
      <c r="AA684" s="147"/>
      <c r="AB684" s="147"/>
      <c r="AC684" s="147"/>
      <c r="AD684" s="147"/>
      <c r="AE684" s="147"/>
      <c r="AF684" s="147"/>
      <c r="AG684" s="147"/>
      <c r="AH684" s="147"/>
      <c r="AI684" s="147"/>
    </row>
    <row r="685">
      <c r="A685" s="167"/>
      <c r="B685" s="169"/>
      <c r="C685" s="170"/>
      <c r="D685" s="170"/>
      <c r="E685" s="170"/>
      <c r="F685" s="170"/>
      <c r="G685" s="171"/>
      <c r="H685" s="171"/>
      <c r="I685" s="172"/>
      <c r="J685" s="172"/>
      <c r="K685" s="172"/>
      <c r="L685" s="172"/>
      <c r="M685" s="147"/>
      <c r="Q685" s="147"/>
      <c r="R685" s="147"/>
      <c r="S685" s="147"/>
      <c r="T685" s="147"/>
      <c r="U685" s="147"/>
      <c r="V685" s="147"/>
      <c r="W685" s="147"/>
      <c r="X685" s="147"/>
      <c r="Y685" s="147"/>
      <c r="Z685" s="147"/>
      <c r="AA685" s="147"/>
      <c r="AB685" s="147"/>
      <c r="AC685" s="147"/>
      <c r="AD685" s="147"/>
      <c r="AE685" s="147"/>
      <c r="AF685" s="147"/>
      <c r="AG685" s="147"/>
      <c r="AH685" s="147"/>
      <c r="AI685" s="147"/>
    </row>
    <row r="686">
      <c r="A686" s="167"/>
      <c r="B686" s="169"/>
      <c r="C686" s="170"/>
      <c r="D686" s="170"/>
      <c r="E686" s="170"/>
      <c r="F686" s="170"/>
      <c r="G686" s="171"/>
      <c r="H686" s="171"/>
      <c r="I686" s="172"/>
      <c r="J686" s="172"/>
      <c r="K686" s="172"/>
      <c r="L686" s="172"/>
      <c r="M686" s="147"/>
      <c r="Q686" s="147"/>
      <c r="R686" s="147"/>
      <c r="S686" s="147"/>
      <c r="T686" s="147"/>
      <c r="U686" s="147"/>
      <c r="V686" s="147"/>
      <c r="W686" s="147"/>
      <c r="X686" s="147"/>
      <c r="Y686" s="147"/>
      <c r="Z686" s="147"/>
      <c r="AA686" s="147"/>
      <c r="AB686" s="147"/>
      <c r="AC686" s="147"/>
      <c r="AD686" s="147"/>
      <c r="AE686" s="147"/>
      <c r="AF686" s="147"/>
      <c r="AG686" s="147"/>
      <c r="AH686" s="147"/>
      <c r="AI686" s="147"/>
    </row>
    <row r="687">
      <c r="A687" s="167"/>
      <c r="B687" s="169"/>
      <c r="C687" s="170"/>
      <c r="D687" s="170"/>
      <c r="E687" s="170"/>
      <c r="F687" s="170"/>
      <c r="G687" s="171"/>
      <c r="H687" s="171"/>
      <c r="I687" s="172"/>
      <c r="J687" s="172"/>
      <c r="K687" s="172"/>
      <c r="L687" s="172"/>
      <c r="M687" s="147"/>
      <c r="Q687" s="147"/>
      <c r="R687" s="147"/>
      <c r="S687" s="147"/>
      <c r="T687" s="147"/>
      <c r="U687" s="147"/>
      <c r="V687" s="147"/>
      <c r="W687" s="147"/>
      <c r="X687" s="147"/>
      <c r="Y687" s="147"/>
      <c r="Z687" s="147"/>
      <c r="AA687" s="147"/>
      <c r="AB687" s="147"/>
      <c r="AC687" s="147"/>
      <c r="AD687" s="147"/>
      <c r="AE687" s="147"/>
      <c r="AF687" s="147"/>
      <c r="AG687" s="147"/>
      <c r="AH687" s="147"/>
      <c r="AI687" s="147"/>
    </row>
    <row r="688">
      <c r="A688" s="167"/>
      <c r="B688" s="169"/>
      <c r="C688" s="170"/>
      <c r="D688" s="170"/>
      <c r="E688" s="170"/>
      <c r="F688" s="170"/>
      <c r="G688" s="171"/>
      <c r="H688" s="171"/>
      <c r="I688" s="172"/>
      <c r="J688" s="172"/>
      <c r="K688" s="172"/>
      <c r="L688" s="172"/>
      <c r="M688" s="147"/>
      <c r="Q688" s="147"/>
      <c r="R688" s="147"/>
      <c r="S688" s="147"/>
      <c r="T688" s="147"/>
      <c r="U688" s="147"/>
      <c r="V688" s="147"/>
      <c r="W688" s="147"/>
      <c r="X688" s="147"/>
      <c r="Y688" s="147"/>
      <c r="Z688" s="147"/>
      <c r="AA688" s="147"/>
      <c r="AB688" s="147"/>
      <c r="AC688" s="147"/>
      <c r="AD688" s="147"/>
      <c r="AE688" s="147"/>
      <c r="AF688" s="147"/>
      <c r="AG688" s="147"/>
      <c r="AH688" s="147"/>
      <c r="AI688" s="147"/>
    </row>
    <row r="689">
      <c r="A689" s="167"/>
      <c r="B689" s="169"/>
      <c r="C689" s="170"/>
      <c r="D689" s="170"/>
      <c r="E689" s="170"/>
      <c r="F689" s="170"/>
      <c r="G689" s="171"/>
      <c r="H689" s="171"/>
      <c r="I689" s="172"/>
      <c r="J689" s="172"/>
      <c r="K689" s="172"/>
      <c r="L689" s="172"/>
      <c r="M689" s="147"/>
      <c r="Q689" s="147"/>
      <c r="R689" s="147"/>
      <c r="S689" s="147"/>
      <c r="T689" s="147"/>
      <c r="U689" s="147"/>
      <c r="V689" s="147"/>
      <c r="W689" s="147"/>
      <c r="X689" s="147"/>
      <c r="Y689" s="147"/>
      <c r="Z689" s="147"/>
      <c r="AA689" s="147"/>
      <c r="AB689" s="147"/>
      <c r="AC689" s="147"/>
      <c r="AD689" s="147"/>
      <c r="AE689" s="147"/>
      <c r="AF689" s="147"/>
      <c r="AG689" s="147"/>
      <c r="AH689" s="147"/>
      <c r="AI689" s="147"/>
    </row>
    <row r="690">
      <c r="A690" s="167"/>
      <c r="B690" s="169"/>
      <c r="C690" s="170"/>
      <c r="D690" s="170"/>
      <c r="E690" s="170"/>
      <c r="F690" s="170"/>
      <c r="G690" s="171"/>
      <c r="H690" s="171"/>
      <c r="I690" s="172"/>
      <c r="J690" s="172"/>
      <c r="K690" s="172"/>
      <c r="L690" s="172"/>
      <c r="M690" s="147"/>
      <c r="Q690" s="147"/>
      <c r="R690" s="147"/>
      <c r="S690" s="147"/>
      <c r="T690" s="147"/>
      <c r="U690" s="147"/>
      <c r="V690" s="147"/>
      <c r="W690" s="147"/>
      <c r="X690" s="147"/>
      <c r="Y690" s="147"/>
      <c r="Z690" s="147"/>
      <c r="AA690" s="147"/>
      <c r="AB690" s="147"/>
      <c r="AC690" s="147"/>
      <c r="AD690" s="147"/>
      <c r="AE690" s="147"/>
      <c r="AF690" s="147"/>
      <c r="AG690" s="147"/>
      <c r="AH690" s="147"/>
      <c r="AI690" s="147"/>
    </row>
    <row r="691">
      <c r="A691" s="167"/>
      <c r="B691" s="169"/>
      <c r="C691" s="170"/>
      <c r="D691" s="170"/>
      <c r="E691" s="170"/>
      <c r="F691" s="170"/>
      <c r="G691" s="171"/>
      <c r="H691" s="171"/>
      <c r="I691" s="172"/>
      <c r="J691" s="172"/>
      <c r="K691" s="172"/>
      <c r="L691" s="172"/>
      <c r="M691" s="147"/>
      <c r="Q691" s="147"/>
      <c r="R691" s="147"/>
      <c r="S691" s="147"/>
      <c r="T691" s="147"/>
      <c r="U691" s="147"/>
      <c r="V691" s="147"/>
      <c r="W691" s="147"/>
      <c r="X691" s="147"/>
      <c r="Y691" s="147"/>
      <c r="Z691" s="147"/>
      <c r="AA691" s="147"/>
      <c r="AB691" s="147"/>
      <c r="AC691" s="147"/>
      <c r="AD691" s="147"/>
      <c r="AE691" s="147"/>
      <c r="AF691" s="147"/>
      <c r="AG691" s="147"/>
      <c r="AH691" s="147"/>
      <c r="AI691" s="147"/>
    </row>
    <row r="692">
      <c r="A692" s="167"/>
      <c r="B692" s="169"/>
      <c r="C692" s="170"/>
      <c r="D692" s="170"/>
      <c r="E692" s="170"/>
      <c r="F692" s="170"/>
      <c r="G692" s="171"/>
      <c r="H692" s="171"/>
      <c r="I692" s="172"/>
      <c r="J692" s="172"/>
      <c r="K692" s="172"/>
      <c r="L692" s="172"/>
      <c r="M692" s="147"/>
      <c r="Q692" s="147"/>
      <c r="R692" s="147"/>
      <c r="S692" s="147"/>
      <c r="T692" s="147"/>
      <c r="U692" s="147"/>
      <c r="V692" s="147"/>
      <c r="W692" s="147"/>
      <c r="X692" s="147"/>
      <c r="Y692" s="147"/>
      <c r="Z692" s="147"/>
      <c r="AA692" s="147"/>
      <c r="AB692" s="147"/>
      <c r="AC692" s="147"/>
      <c r="AD692" s="147"/>
      <c r="AE692" s="147"/>
      <c r="AF692" s="147"/>
      <c r="AG692" s="147"/>
      <c r="AH692" s="147"/>
      <c r="AI692" s="147"/>
    </row>
    <row r="693">
      <c r="A693" s="167"/>
      <c r="B693" s="169"/>
      <c r="C693" s="170"/>
      <c r="D693" s="170"/>
      <c r="E693" s="170"/>
      <c r="F693" s="170"/>
      <c r="G693" s="171"/>
      <c r="H693" s="171"/>
      <c r="I693" s="172"/>
      <c r="J693" s="172"/>
      <c r="K693" s="172"/>
      <c r="L693" s="172"/>
      <c r="M693" s="147"/>
      <c r="Q693" s="147"/>
      <c r="R693" s="147"/>
      <c r="S693" s="147"/>
      <c r="T693" s="147"/>
      <c r="U693" s="147"/>
      <c r="V693" s="147"/>
      <c r="W693" s="147"/>
      <c r="X693" s="147"/>
      <c r="Y693" s="147"/>
      <c r="Z693" s="147"/>
      <c r="AA693" s="147"/>
      <c r="AB693" s="147"/>
      <c r="AC693" s="147"/>
      <c r="AD693" s="147"/>
      <c r="AE693" s="147"/>
      <c r="AF693" s="147"/>
      <c r="AG693" s="147"/>
      <c r="AH693" s="147"/>
      <c r="AI693" s="147"/>
    </row>
    <row r="694">
      <c r="A694" s="167"/>
      <c r="B694" s="169"/>
      <c r="C694" s="170"/>
      <c r="D694" s="170"/>
      <c r="E694" s="170"/>
      <c r="F694" s="170"/>
      <c r="G694" s="171"/>
      <c r="H694" s="171"/>
      <c r="I694" s="172"/>
      <c r="J694" s="172"/>
      <c r="K694" s="172"/>
      <c r="L694" s="172"/>
      <c r="M694" s="147"/>
      <c r="Q694" s="147"/>
      <c r="R694" s="147"/>
      <c r="S694" s="147"/>
      <c r="T694" s="147"/>
      <c r="U694" s="147"/>
      <c r="V694" s="147"/>
      <c r="W694" s="147"/>
      <c r="X694" s="147"/>
      <c r="Y694" s="147"/>
      <c r="Z694" s="147"/>
      <c r="AA694" s="147"/>
      <c r="AB694" s="147"/>
      <c r="AC694" s="147"/>
      <c r="AD694" s="147"/>
      <c r="AE694" s="147"/>
      <c r="AF694" s="147"/>
      <c r="AG694" s="147"/>
      <c r="AH694" s="147"/>
      <c r="AI694" s="147"/>
    </row>
    <row r="695">
      <c r="A695" s="167"/>
      <c r="B695" s="169"/>
      <c r="C695" s="170"/>
      <c r="D695" s="170"/>
      <c r="E695" s="170"/>
      <c r="F695" s="170"/>
      <c r="G695" s="171"/>
      <c r="H695" s="171"/>
      <c r="I695" s="172"/>
      <c r="J695" s="172"/>
      <c r="K695" s="172"/>
      <c r="L695" s="172"/>
      <c r="M695" s="147"/>
      <c r="Q695" s="147"/>
      <c r="R695" s="147"/>
      <c r="S695" s="147"/>
      <c r="T695" s="147"/>
      <c r="U695" s="147"/>
      <c r="V695" s="147"/>
      <c r="W695" s="147"/>
      <c r="X695" s="147"/>
      <c r="Y695" s="147"/>
      <c r="Z695" s="147"/>
      <c r="AA695" s="147"/>
      <c r="AB695" s="147"/>
      <c r="AC695" s="147"/>
      <c r="AD695" s="147"/>
      <c r="AE695" s="147"/>
      <c r="AF695" s="147"/>
      <c r="AG695" s="147"/>
      <c r="AH695" s="147"/>
      <c r="AI695" s="147"/>
    </row>
    <row r="696">
      <c r="A696" s="167"/>
      <c r="B696" s="169"/>
      <c r="C696" s="170"/>
      <c r="D696" s="170"/>
      <c r="E696" s="170"/>
      <c r="F696" s="170"/>
      <c r="G696" s="171"/>
      <c r="H696" s="171"/>
      <c r="I696" s="172"/>
      <c r="J696" s="172"/>
      <c r="K696" s="172"/>
      <c r="L696" s="172"/>
      <c r="M696" s="147"/>
      <c r="Q696" s="147"/>
      <c r="R696" s="147"/>
      <c r="S696" s="147"/>
      <c r="T696" s="147"/>
      <c r="U696" s="147"/>
      <c r="V696" s="147"/>
      <c r="W696" s="147"/>
      <c r="X696" s="147"/>
      <c r="Y696" s="147"/>
      <c r="Z696" s="147"/>
      <c r="AA696" s="147"/>
      <c r="AB696" s="147"/>
      <c r="AC696" s="147"/>
      <c r="AD696" s="147"/>
      <c r="AE696" s="147"/>
      <c r="AF696" s="147"/>
      <c r="AG696" s="147"/>
      <c r="AH696" s="147"/>
      <c r="AI696" s="147"/>
    </row>
    <row r="697">
      <c r="A697" s="167"/>
      <c r="B697" s="169"/>
      <c r="C697" s="170"/>
      <c r="D697" s="170"/>
      <c r="E697" s="170"/>
      <c r="F697" s="170"/>
      <c r="G697" s="171"/>
      <c r="H697" s="171"/>
      <c r="I697" s="172"/>
      <c r="J697" s="172"/>
      <c r="K697" s="172"/>
      <c r="L697" s="172"/>
      <c r="M697" s="147"/>
      <c r="Q697" s="147"/>
      <c r="R697" s="147"/>
      <c r="S697" s="147"/>
      <c r="T697" s="147"/>
      <c r="U697" s="147"/>
      <c r="V697" s="147"/>
      <c r="W697" s="147"/>
      <c r="X697" s="147"/>
      <c r="Y697" s="147"/>
      <c r="Z697" s="147"/>
      <c r="AA697" s="147"/>
      <c r="AB697" s="147"/>
      <c r="AC697" s="147"/>
      <c r="AD697" s="147"/>
      <c r="AE697" s="147"/>
      <c r="AF697" s="147"/>
      <c r="AG697" s="147"/>
      <c r="AH697" s="147"/>
      <c r="AI697" s="147"/>
    </row>
    <row r="698">
      <c r="A698" s="167"/>
      <c r="B698" s="169"/>
      <c r="C698" s="170"/>
      <c r="D698" s="170"/>
      <c r="E698" s="170"/>
      <c r="F698" s="170"/>
      <c r="G698" s="171"/>
      <c r="H698" s="171"/>
      <c r="I698" s="172"/>
      <c r="J698" s="172"/>
      <c r="K698" s="172"/>
      <c r="L698" s="172"/>
      <c r="M698" s="147"/>
      <c r="Q698" s="147"/>
      <c r="R698" s="147"/>
      <c r="S698" s="147"/>
      <c r="T698" s="147"/>
      <c r="U698" s="147"/>
      <c r="V698" s="147"/>
      <c r="W698" s="147"/>
      <c r="X698" s="147"/>
      <c r="Y698" s="147"/>
      <c r="Z698" s="147"/>
      <c r="AA698" s="147"/>
      <c r="AB698" s="147"/>
      <c r="AC698" s="147"/>
      <c r="AD698" s="147"/>
      <c r="AE698" s="147"/>
      <c r="AF698" s="147"/>
      <c r="AG698" s="147"/>
      <c r="AH698" s="147"/>
      <c r="AI698" s="147"/>
    </row>
    <row r="699">
      <c r="A699" s="167"/>
      <c r="B699" s="169"/>
      <c r="C699" s="170"/>
      <c r="D699" s="170"/>
      <c r="E699" s="170"/>
      <c r="F699" s="170"/>
      <c r="G699" s="171"/>
      <c r="H699" s="171"/>
      <c r="I699" s="172"/>
      <c r="J699" s="172"/>
      <c r="K699" s="172"/>
      <c r="L699" s="172"/>
      <c r="M699" s="147"/>
      <c r="Q699" s="147"/>
      <c r="R699" s="147"/>
      <c r="S699" s="147"/>
      <c r="T699" s="147"/>
      <c r="U699" s="147"/>
      <c r="V699" s="147"/>
      <c r="W699" s="147"/>
      <c r="X699" s="147"/>
      <c r="Y699" s="147"/>
      <c r="Z699" s="147"/>
      <c r="AA699" s="147"/>
      <c r="AB699" s="147"/>
      <c r="AC699" s="147"/>
      <c r="AD699" s="147"/>
      <c r="AE699" s="147"/>
      <c r="AF699" s="147"/>
      <c r="AG699" s="147"/>
      <c r="AH699" s="147"/>
      <c r="AI699" s="147"/>
    </row>
    <row r="700">
      <c r="A700" s="167"/>
      <c r="B700" s="169"/>
      <c r="C700" s="170"/>
      <c r="D700" s="170"/>
      <c r="E700" s="170"/>
      <c r="F700" s="170"/>
      <c r="G700" s="171"/>
      <c r="H700" s="171"/>
      <c r="I700" s="172"/>
      <c r="J700" s="172"/>
      <c r="K700" s="172"/>
      <c r="L700" s="172"/>
      <c r="M700" s="147"/>
      <c r="Q700" s="147"/>
      <c r="R700" s="147"/>
      <c r="S700" s="147"/>
      <c r="T700" s="147"/>
      <c r="U700" s="147"/>
      <c r="V700" s="147"/>
      <c r="W700" s="147"/>
      <c r="X700" s="147"/>
      <c r="Y700" s="147"/>
      <c r="Z700" s="147"/>
      <c r="AA700" s="147"/>
      <c r="AB700" s="147"/>
      <c r="AC700" s="147"/>
      <c r="AD700" s="147"/>
      <c r="AE700" s="147"/>
      <c r="AF700" s="147"/>
      <c r="AG700" s="147"/>
      <c r="AH700" s="147"/>
      <c r="AI700" s="147"/>
    </row>
    <row r="701">
      <c r="A701" s="167"/>
      <c r="B701" s="169"/>
      <c r="C701" s="170"/>
      <c r="D701" s="170"/>
      <c r="E701" s="170"/>
      <c r="F701" s="170"/>
      <c r="G701" s="171"/>
      <c r="H701" s="171"/>
      <c r="I701" s="172"/>
      <c r="J701" s="172"/>
      <c r="K701" s="172"/>
      <c r="L701" s="172"/>
      <c r="M701" s="147"/>
      <c r="Q701" s="147"/>
      <c r="R701" s="147"/>
      <c r="S701" s="147"/>
      <c r="T701" s="147"/>
      <c r="U701" s="147"/>
      <c r="V701" s="147"/>
      <c r="W701" s="147"/>
      <c r="X701" s="147"/>
      <c r="Y701" s="147"/>
      <c r="Z701" s="147"/>
      <c r="AA701" s="147"/>
      <c r="AB701" s="147"/>
      <c r="AC701" s="147"/>
      <c r="AD701" s="147"/>
      <c r="AE701" s="147"/>
      <c r="AF701" s="147"/>
      <c r="AG701" s="147"/>
      <c r="AH701" s="147"/>
      <c r="AI701" s="147"/>
    </row>
    <row r="702">
      <c r="A702" s="167"/>
      <c r="B702" s="169"/>
      <c r="C702" s="170"/>
      <c r="D702" s="170"/>
      <c r="E702" s="170"/>
      <c r="F702" s="170"/>
      <c r="G702" s="171"/>
      <c r="H702" s="171"/>
      <c r="I702" s="172"/>
      <c r="J702" s="172"/>
      <c r="K702" s="172"/>
      <c r="L702" s="172"/>
      <c r="M702" s="147"/>
      <c r="Q702" s="147"/>
      <c r="R702" s="147"/>
      <c r="S702" s="147"/>
      <c r="T702" s="147"/>
      <c r="U702" s="147"/>
      <c r="V702" s="147"/>
      <c r="W702" s="147"/>
      <c r="X702" s="147"/>
      <c r="Y702" s="147"/>
      <c r="Z702" s="147"/>
      <c r="AA702" s="147"/>
      <c r="AB702" s="147"/>
      <c r="AC702" s="147"/>
      <c r="AD702" s="147"/>
      <c r="AE702" s="147"/>
      <c r="AF702" s="147"/>
      <c r="AG702" s="147"/>
      <c r="AH702" s="147"/>
      <c r="AI702" s="147"/>
    </row>
    <row r="703">
      <c r="A703" s="167"/>
      <c r="B703" s="169"/>
      <c r="C703" s="170"/>
      <c r="D703" s="170"/>
      <c r="E703" s="170"/>
      <c r="F703" s="170"/>
      <c r="G703" s="171"/>
      <c r="H703" s="171"/>
      <c r="I703" s="172"/>
      <c r="J703" s="172"/>
      <c r="K703" s="172"/>
      <c r="L703" s="172"/>
      <c r="M703" s="147"/>
      <c r="Q703" s="147"/>
      <c r="R703" s="147"/>
      <c r="S703" s="147"/>
      <c r="T703" s="147"/>
      <c r="U703" s="147"/>
      <c r="V703" s="147"/>
      <c r="W703" s="147"/>
      <c r="X703" s="147"/>
      <c r="Y703" s="147"/>
      <c r="Z703" s="147"/>
      <c r="AA703" s="147"/>
      <c r="AB703" s="147"/>
      <c r="AC703" s="147"/>
      <c r="AD703" s="147"/>
      <c r="AE703" s="147"/>
      <c r="AF703" s="147"/>
      <c r="AG703" s="147"/>
      <c r="AH703" s="147"/>
      <c r="AI703" s="147"/>
    </row>
    <row r="704">
      <c r="A704" s="167"/>
      <c r="B704" s="169"/>
      <c r="C704" s="170"/>
      <c r="D704" s="170"/>
      <c r="E704" s="170"/>
      <c r="F704" s="170"/>
      <c r="G704" s="171"/>
      <c r="H704" s="171"/>
      <c r="I704" s="172"/>
      <c r="J704" s="172"/>
      <c r="K704" s="172"/>
      <c r="L704" s="172"/>
      <c r="M704" s="147"/>
      <c r="Q704" s="147"/>
      <c r="R704" s="147"/>
      <c r="S704" s="147"/>
      <c r="T704" s="147"/>
      <c r="U704" s="147"/>
      <c r="V704" s="147"/>
      <c r="W704" s="147"/>
      <c r="X704" s="147"/>
      <c r="Y704" s="147"/>
      <c r="Z704" s="147"/>
      <c r="AA704" s="147"/>
      <c r="AB704" s="147"/>
      <c r="AC704" s="147"/>
      <c r="AD704" s="147"/>
      <c r="AE704" s="147"/>
      <c r="AF704" s="147"/>
      <c r="AG704" s="147"/>
      <c r="AH704" s="147"/>
      <c r="AI704" s="147"/>
    </row>
    <row r="705">
      <c r="A705" s="167"/>
      <c r="B705" s="169"/>
      <c r="C705" s="170"/>
      <c r="D705" s="170"/>
      <c r="E705" s="170"/>
      <c r="F705" s="170"/>
      <c r="G705" s="171"/>
      <c r="H705" s="171"/>
      <c r="I705" s="172"/>
      <c r="J705" s="172"/>
      <c r="K705" s="172"/>
      <c r="L705" s="172"/>
      <c r="M705" s="147"/>
      <c r="Q705" s="147"/>
      <c r="R705" s="147"/>
      <c r="S705" s="147"/>
      <c r="T705" s="147"/>
      <c r="U705" s="147"/>
      <c r="V705" s="147"/>
      <c r="W705" s="147"/>
      <c r="X705" s="147"/>
      <c r="Y705" s="147"/>
      <c r="Z705" s="147"/>
      <c r="AA705" s="147"/>
      <c r="AB705" s="147"/>
      <c r="AC705" s="147"/>
      <c r="AD705" s="147"/>
      <c r="AE705" s="147"/>
      <c r="AF705" s="147"/>
      <c r="AG705" s="147"/>
      <c r="AH705" s="147"/>
      <c r="AI705" s="147"/>
    </row>
    <row r="706">
      <c r="A706" s="167"/>
      <c r="B706" s="169"/>
      <c r="C706" s="170"/>
      <c r="D706" s="170"/>
      <c r="E706" s="170"/>
      <c r="F706" s="170"/>
      <c r="G706" s="171"/>
      <c r="H706" s="171"/>
      <c r="I706" s="172"/>
      <c r="J706" s="172"/>
      <c r="K706" s="172"/>
      <c r="L706" s="172"/>
      <c r="M706" s="147"/>
      <c r="Q706" s="147"/>
      <c r="R706" s="147"/>
      <c r="S706" s="147"/>
      <c r="T706" s="147"/>
      <c r="U706" s="147"/>
      <c r="V706" s="147"/>
      <c r="W706" s="147"/>
      <c r="X706" s="147"/>
      <c r="Y706" s="147"/>
      <c r="Z706" s="147"/>
      <c r="AA706" s="147"/>
      <c r="AB706" s="147"/>
      <c r="AC706" s="147"/>
      <c r="AD706" s="147"/>
      <c r="AE706" s="147"/>
      <c r="AF706" s="147"/>
      <c r="AG706" s="147"/>
      <c r="AH706" s="147"/>
      <c r="AI706" s="147"/>
    </row>
    <row r="707">
      <c r="A707" s="167"/>
      <c r="B707" s="169"/>
      <c r="C707" s="170"/>
      <c r="D707" s="170"/>
      <c r="E707" s="170"/>
      <c r="F707" s="170"/>
      <c r="G707" s="171"/>
      <c r="H707" s="171"/>
      <c r="I707" s="172"/>
      <c r="J707" s="172"/>
      <c r="K707" s="172"/>
      <c r="L707" s="172"/>
      <c r="M707" s="147"/>
      <c r="Q707" s="147"/>
      <c r="R707" s="147"/>
      <c r="S707" s="147"/>
      <c r="T707" s="147"/>
      <c r="U707" s="147"/>
      <c r="V707" s="147"/>
      <c r="W707" s="147"/>
      <c r="X707" s="147"/>
      <c r="Y707" s="147"/>
      <c r="Z707" s="147"/>
      <c r="AA707" s="147"/>
      <c r="AB707" s="147"/>
      <c r="AC707" s="147"/>
      <c r="AD707" s="147"/>
      <c r="AE707" s="147"/>
      <c r="AF707" s="147"/>
      <c r="AG707" s="147"/>
      <c r="AH707" s="147"/>
      <c r="AI707" s="147"/>
    </row>
    <row r="708">
      <c r="A708" s="167"/>
      <c r="B708" s="169"/>
      <c r="C708" s="170"/>
      <c r="D708" s="170"/>
      <c r="E708" s="170"/>
      <c r="F708" s="170"/>
      <c r="G708" s="171"/>
      <c r="H708" s="171"/>
      <c r="I708" s="172"/>
      <c r="J708" s="172"/>
      <c r="K708" s="172"/>
      <c r="L708" s="172"/>
      <c r="M708" s="147"/>
      <c r="Q708" s="147"/>
      <c r="R708" s="147"/>
      <c r="S708" s="147"/>
      <c r="T708" s="147"/>
      <c r="U708" s="147"/>
      <c r="V708" s="147"/>
      <c r="W708" s="147"/>
      <c r="X708" s="147"/>
      <c r="Y708" s="147"/>
      <c r="Z708" s="147"/>
      <c r="AA708" s="147"/>
      <c r="AB708" s="147"/>
      <c r="AC708" s="147"/>
      <c r="AD708" s="147"/>
      <c r="AE708" s="147"/>
      <c r="AF708" s="147"/>
      <c r="AG708" s="147"/>
      <c r="AH708" s="147"/>
      <c r="AI708" s="147"/>
    </row>
    <row r="709">
      <c r="A709" s="167"/>
      <c r="B709" s="169"/>
      <c r="C709" s="170"/>
      <c r="D709" s="170"/>
      <c r="E709" s="170"/>
      <c r="F709" s="170"/>
      <c r="G709" s="171"/>
      <c r="H709" s="171"/>
      <c r="I709" s="172"/>
      <c r="J709" s="172"/>
      <c r="K709" s="172"/>
      <c r="L709" s="172"/>
      <c r="M709" s="147"/>
      <c r="Q709" s="147"/>
      <c r="R709" s="147"/>
      <c r="S709" s="147"/>
      <c r="T709" s="147"/>
      <c r="U709" s="147"/>
      <c r="V709" s="147"/>
      <c r="W709" s="147"/>
      <c r="X709" s="147"/>
      <c r="Y709" s="147"/>
      <c r="Z709" s="147"/>
      <c r="AA709" s="147"/>
      <c r="AB709" s="147"/>
      <c r="AC709" s="147"/>
      <c r="AD709" s="147"/>
      <c r="AE709" s="147"/>
      <c r="AF709" s="147"/>
      <c r="AG709" s="147"/>
      <c r="AH709" s="147"/>
      <c r="AI709" s="147"/>
    </row>
    <row r="710">
      <c r="A710" s="167"/>
      <c r="B710" s="169"/>
      <c r="C710" s="170"/>
      <c r="D710" s="170"/>
      <c r="E710" s="170"/>
      <c r="F710" s="170"/>
      <c r="G710" s="171"/>
      <c r="H710" s="171"/>
      <c r="I710" s="172"/>
      <c r="J710" s="172"/>
      <c r="K710" s="172"/>
      <c r="L710" s="172"/>
      <c r="M710" s="147"/>
      <c r="Q710" s="147"/>
      <c r="R710" s="147"/>
      <c r="S710" s="147"/>
      <c r="T710" s="147"/>
      <c r="U710" s="147"/>
      <c r="V710" s="147"/>
      <c r="W710" s="147"/>
      <c r="X710" s="147"/>
      <c r="Y710" s="147"/>
      <c r="Z710" s="147"/>
      <c r="AA710" s="147"/>
      <c r="AB710" s="147"/>
      <c r="AC710" s="147"/>
      <c r="AD710" s="147"/>
      <c r="AE710" s="147"/>
      <c r="AF710" s="147"/>
      <c r="AG710" s="147"/>
      <c r="AH710" s="147"/>
      <c r="AI710" s="147"/>
    </row>
    <row r="711">
      <c r="A711" s="167"/>
      <c r="B711" s="169"/>
      <c r="C711" s="170"/>
      <c r="D711" s="170"/>
      <c r="E711" s="170"/>
      <c r="F711" s="170"/>
      <c r="G711" s="171"/>
      <c r="H711" s="171"/>
      <c r="I711" s="172"/>
      <c r="J711" s="172"/>
      <c r="K711" s="172"/>
      <c r="L711" s="172"/>
      <c r="M711" s="147"/>
      <c r="Q711" s="147"/>
      <c r="R711" s="147"/>
      <c r="S711" s="147"/>
      <c r="T711" s="147"/>
      <c r="U711" s="147"/>
      <c r="V711" s="147"/>
      <c r="W711" s="147"/>
      <c r="X711" s="147"/>
      <c r="Y711" s="147"/>
      <c r="Z711" s="147"/>
      <c r="AA711" s="147"/>
      <c r="AB711" s="147"/>
      <c r="AC711" s="147"/>
      <c r="AD711" s="147"/>
      <c r="AE711" s="147"/>
      <c r="AF711" s="147"/>
      <c r="AG711" s="147"/>
      <c r="AH711" s="147"/>
      <c r="AI711" s="147"/>
    </row>
    <row r="712">
      <c r="A712" s="167"/>
      <c r="B712" s="169"/>
      <c r="C712" s="170"/>
      <c r="D712" s="170"/>
      <c r="E712" s="170"/>
      <c r="F712" s="170"/>
      <c r="G712" s="171"/>
      <c r="H712" s="171"/>
      <c r="I712" s="172"/>
      <c r="J712" s="172"/>
      <c r="K712" s="172"/>
      <c r="L712" s="172"/>
      <c r="M712" s="147"/>
      <c r="Q712" s="147"/>
      <c r="R712" s="147"/>
      <c r="S712" s="147"/>
      <c r="T712" s="147"/>
      <c r="U712" s="147"/>
      <c r="V712" s="147"/>
      <c r="W712" s="147"/>
      <c r="X712" s="147"/>
      <c r="Y712" s="147"/>
      <c r="Z712" s="147"/>
      <c r="AA712" s="147"/>
      <c r="AB712" s="147"/>
      <c r="AC712" s="147"/>
      <c r="AD712" s="147"/>
      <c r="AE712" s="147"/>
      <c r="AF712" s="147"/>
      <c r="AG712" s="147"/>
      <c r="AH712" s="147"/>
      <c r="AI712" s="147"/>
    </row>
    <row r="713">
      <c r="A713" s="167"/>
      <c r="B713" s="169"/>
      <c r="C713" s="170"/>
      <c r="D713" s="170"/>
      <c r="E713" s="170"/>
      <c r="F713" s="170"/>
      <c r="G713" s="171"/>
      <c r="H713" s="171"/>
      <c r="I713" s="172"/>
      <c r="J713" s="172"/>
      <c r="K713" s="172"/>
      <c r="L713" s="172"/>
      <c r="M713" s="147"/>
      <c r="Q713" s="147"/>
      <c r="R713" s="147"/>
      <c r="S713" s="147"/>
      <c r="T713" s="147"/>
      <c r="U713" s="147"/>
      <c r="V713" s="147"/>
      <c r="W713" s="147"/>
      <c r="X713" s="147"/>
      <c r="Y713" s="147"/>
      <c r="Z713" s="147"/>
      <c r="AA713" s="147"/>
      <c r="AB713" s="147"/>
      <c r="AC713" s="147"/>
      <c r="AD713" s="147"/>
      <c r="AE713" s="147"/>
      <c r="AF713" s="147"/>
      <c r="AG713" s="147"/>
      <c r="AH713" s="147"/>
      <c r="AI713" s="147"/>
    </row>
    <row r="714">
      <c r="A714" s="167"/>
      <c r="B714" s="169"/>
      <c r="C714" s="170"/>
      <c r="D714" s="170"/>
      <c r="E714" s="170"/>
      <c r="F714" s="170"/>
      <c r="G714" s="171"/>
      <c r="H714" s="171"/>
      <c r="I714" s="172"/>
      <c r="J714" s="172"/>
      <c r="K714" s="172"/>
      <c r="L714" s="172"/>
      <c r="M714" s="147"/>
      <c r="Q714" s="147"/>
      <c r="R714" s="147"/>
      <c r="S714" s="147"/>
      <c r="T714" s="147"/>
      <c r="U714" s="147"/>
      <c r="V714" s="147"/>
      <c r="W714" s="147"/>
      <c r="X714" s="147"/>
      <c r="Y714" s="147"/>
      <c r="Z714" s="147"/>
      <c r="AA714" s="147"/>
      <c r="AB714" s="147"/>
      <c r="AC714" s="147"/>
      <c r="AD714" s="147"/>
      <c r="AE714" s="147"/>
      <c r="AF714" s="147"/>
      <c r="AG714" s="147"/>
      <c r="AH714" s="147"/>
      <c r="AI714" s="147"/>
    </row>
    <row r="715">
      <c r="A715" s="167"/>
      <c r="B715" s="169"/>
      <c r="C715" s="170"/>
      <c r="D715" s="170"/>
      <c r="E715" s="170"/>
      <c r="F715" s="170"/>
      <c r="G715" s="171"/>
      <c r="H715" s="171"/>
      <c r="I715" s="172"/>
      <c r="J715" s="172"/>
      <c r="K715" s="172"/>
      <c r="L715" s="172"/>
      <c r="M715" s="147"/>
      <c r="Q715" s="147"/>
      <c r="R715" s="147"/>
      <c r="S715" s="147"/>
      <c r="T715" s="147"/>
      <c r="U715" s="147"/>
      <c r="V715" s="147"/>
      <c r="W715" s="147"/>
      <c r="X715" s="147"/>
      <c r="Y715" s="147"/>
      <c r="Z715" s="147"/>
      <c r="AA715" s="147"/>
      <c r="AB715" s="147"/>
      <c r="AC715" s="147"/>
      <c r="AD715" s="147"/>
      <c r="AE715" s="147"/>
      <c r="AF715" s="147"/>
      <c r="AG715" s="147"/>
      <c r="AH715" s="147"/>
      <c r="AI715" s="147"/>
    </row>
    <row r="716">
      <c r="A716" s="167"/>
      <c r="B716" s="169"/>
      <c r="C716" s="170"/>
      <c r="D716" s="170"/>
      <c r="E716" s="170"/>
      <c r="F716" s="170"/>
      <c r="G716" s="171"/>
      <c r="H716" s="171"/>
      <c r="I716" s="172"/>
      <c r="J716" s="172"/>
      <c r="K716" s="172"/>
      <c r="L716" s="172"/>
      <c r="M716" s="147"/>
      <c r="Q716" s="147"/>
      <c r="R716" s="147"/>
      <c r="S716" s="147"/>
      <c r="T716" s="147"/>
      <c r="U716" s="147"/>
      <c r="V716" s="147"/>
      <c r="W716" s="147"/>
      <c r="X716" s="147"/>
      <c r="Y716" s="147"/>
      <c r="Z716" s="147"/>
      <c r="AA716" s="147"/>
      <c r="AB716" s="147"/>
      <c r="AC716" s="147"/>
      <c r="AD716" s="147"/>
      <c r="AE716" s="147"/>
      <c r="AF716" s="147"/>
      <c r="AG716" s="147"/>
      <c r="AH716" s="147"/>
      <c r="AI716" s="147"/>
    </row>
    <row r="717">
      <c r="A717" s="167"/>
      <c r="B717" s="169"/>
      <c r="C717" s="170"/>
      <c r="D717" s="170"/>
      <c r="E717" s="170"/>
      <c r="F717" s="170"/>
      <c r="G717" s="171"/>
      <c r="H717" s="171"/>
      <c r="I717" s="172"/>
      <c r="J717" s="172"/>
      <c r="K717" s="172"/>
      <c r="L717" s="172"/>
      <c r="M717" s="147"/>
      <c r="Q717" s="147"/>
      <c r="R717" s="147"/>
      <c r="S717" s="147"/>
      <c r="T717" s="147"/>
      <c r="U717" s="147"/>
      <c r="V717" s="147"/>
      <c r="W717" s="147"/>
      <c r="X717" s="147"/>
      <c r="Y717" s="147"/>
      <c r="Z717" s="147"/>
      <c r="AA717" s="147"/>
      <c r="AB717" s="147"/>
      <c r="AC717" s="147"/>
      <c r="AD717" s="147"/>
      <c r="AE717" s="147"/>
      <c r="AF717" s="147"/>
      <c r="AG717" s="147"/>
      <c r="AH717" s="147"/>
      <c r="AI717" s="147"/>
    </row>
    <row r="718">
      <c r="A718" s="167"/>
      <c r="B718" s="169"/>
      <c r="C718" s="170"/>
      <c r="D718" s="170"/>
      <c r="E718" s="170"/>
      <c r="F718" s="170"/>
      <c r="G718" s="171"/>
      <c r="H718" s="171"/>
      <c r="I718" s="172"/>
      <c r="J718" s="172"/>
      <c r="K718" s="172"/>
      <c r="L718" s="172"/>
      <c r="M718" s="147"/>
      <c r="Q718" s="147"/>
      <c r="R718" s="147"/>
      <c r="S718" s="147"/>
      <c r="T718" s="147"/>
      <c r="U718" s="147"/>
      <c r="V718" s="147"/>
      <c r="W718" s="147"/>
      <c r="X718" s="147"/>
      <c r="Y718" s="147"/>
      <c r="Z718" s="147"/>
      <c r="AA718" s="147"/>
      <c r="AB718" s="147"/>
      <c r="AC718" s="147"/>
      <c r="AD718" s="147"/>
      <c r="AE718" s="147"/>
      <c r="AF718" s="147"/>
      <c r="AG718" s="147"/>
      <c r="AH718" s="147"/>
      <c r="AI718" s="147"/>
    </row>
    <row r="719">
      <c r="A719" s="167"/>
      <c r="B719" s="169"/>
      <c r="C719" s="170"/>
      <c r="D719" s="170"/>
      <c r="E719" s="170"/>
      <c r="F719" s="170"/>
      <c r="G719" s="171"/>
      <c r="H719" s="171"/>
      <c r="I719" s="172"/>
      <c r="J719" s="172"/>
      <c r="K719" s="172"/>
      <c r="L719" s="172"/>
      <c r="M719" s="147"/>
      <c r="Q719" s="147"/>
      <c r="R719" s="147"/>
      <c r="S719" s="147"/>
      <c r="T719" s="147"/>
      <c r="U719" s="147"/>
      <c r="V719" s="147"/>
      <c r="W719" s="147"/>
      <c r="X719" s="147"/>
      <c r="Y719" s="147"/>
      <c r="Z719" s="147"/>
      <c r="AA719" s="147"/>
      <c r="AB719" s="147"/>
      <c r="AC719" s="147"/>
      <c r="AD719" s="147"/>
      <c r="AE719" s="147"/>
      <c r="AF719" s="147"/>
      <c r="AG719" s="147"/>
      <c r="AH719" s="147"/>
      <c r="AI719" s="147"/>
    </row>
    <row r="720">
      <c r="A720" s="167"/>
      <c r="B720" s="169"/>
      <c r="C720" s="170"/>
      <c r="D720" s="170"/>
      <c r="E720" s="170"/>
      <c r="F720" s="170"/>
      <c r="G720" s="171"/>
      <c r="H720" s="171"/>
      <c r="I720" s="172"/>
      <c r="J720" s="172"/>
      <c r="K720" s="172"/>
      <c r="L720" s="172"/>
      <c r="M720" s="147"/>
      <c r="Q720" s="147"/>
      <c r="R720" s="147"/>
      <c r="S720" s="147"/>
      <c r="T720" s="147"/>
      <c r="U720" s="147"/>
      <c r="V720" s="147"/>
      <c r="W720" s="147"/>
      <c r="X720" s="147"/>
      <c r="Y720" s="147"/>
      <c r="Z720" s="147"/>
      <c r="AA720" s="147"/>
      <c r="AB720" s="147"/>
      <c r="AC720" s="147"/>
      <c r="AD720" s="147"/>
      <c r="AE720" s="147"/>
      <c r="AF720" s="147"/>
      <c r="AG720" s="147"/>
      <c r="AH720" s="147"/>
      <c r="AI720" s="147"/>
    </row>
    <row r="721">
      <c r="A721" s="167"/>
      <c r="B721" s="169"/>
      <c r="C721" s="170"/>
      <c r="D721" s="170"/>
      <c r="E721" s="170"/>
      <c r="F721" s="170"/>
      <c r="G721" s="171"/>
      <c r="H721" s="171"/>
      <c r="I721" s="172"/>
      <c r="J721" s="172"/>
      <c r="K721" s="172"/>
      <c r="L721" s="172"/>
      <c r="M721" s="147"/>
      <c r="Q721" s="147"/>
      <c r="R721" s="147"/>
      <c r="S721" s="147"/>
      <c r="T721" s="147"/>
      <c r="U721" s="147"/>
      <c r="V721" s="147"/>
      <c r="W721" s="147"/>
      <c r="X721" s="147"/>
      <c r="Y721" s="147"/>
      <c r="Z721" s="147"/>
      <c r="AA721" s="147"/>
      <c r="AB721" s="147"/>
      <c r="AC721" s="147"/>
      <c r="AD721" s="147"/>
      <c r="AE721" s="147"/>
      <c r="AF721" s="147"/>
      <c r="AG721" s="147"/>
      <c r="AH721" s="147"/>
      <c r="AI721" s="147"/>
    </row>
    <row r="722">
      <c r="A722" s="167"/>
      <c r="B722" s="169"/>
      <c r="C722" s="170"/>
      <c r="D722" s="170"/>
      <c r="E722" s="170"/>
      <c r="F722" s="170"/>
      <c r="G722" s="171"/>
      <c r="H722" s="171"/>
      <c r="I722" s="172"/>
      <c r="J722" s="172"/>
      <c r="K722" s="172"/>
      <c r="L722" s="172"/>
      <c r="M722" s="147"/>
      <c r="Q722" s="147"/>
      <c r="R722" s="147"/>
      <c r="S722" s="147"/>
      <c r="T722" s="147"/>
      <c r="U722" s="147"/>
      <c r="V722" s="147"/>
      <c r="W722" s="147"/>
      <c r="X722" s="147"/>
      <c r="Y722" s="147"/>
      <c r="Z722" s="147"/>
      <c r="AA722" s="147"/>
      <c r="AB722" s="147"/>
      <c r="AC722" s="147"/>
      <c r="AD722" s="147"/>
      <c r="AE722" s="147"/>
      <c r="AF722" s="147"/>
      <c r="AG722" s="147"/>
      <c r="AH722" s="147"/>
      <c r="AI722" s="147"/>
    </row>
    <row r="723">
      <c r="A723" s="167"/>
      <c r="B723" s="169"/>
      <c r="C723" s="170"/>
      <c r="D723" s="170"/>
      <c r="E723" s="170"/>
      <c r="F723" s="170"/>
      <c r="G723" s="171"/>
      <c r="H723" s="171"/>
      <c r="I723" s="172"/>
      <c r="J723" s="172"/>
      <c r="K723" s="172"/>
      <c r="L723" s="172"/>
      <c r="M723" s="147"/>
      <c r="Q723" s="147"/>
      <c r="R723" s="147"/>
      <c r="S723" s="147"/>
      <c r="T723" s="147"/>
      <c r="U723" s="147"/>
      <c r="V723" s="147"/>
      <c r="W723" s="147"/>
      <c r="X723" s="147"/>
      <c r="Y723" s="147"/>
      <c r="Z723" s="147"/>
      <c r="AA723" s="147"/>
      <c r="AB723" s="147"/>
      <c r="AC723" s="147"/>
      <c r="AD723" s="147"/>
      <c r="AE723" s="147"/>
      <c r="AF723" s="147"/>
      <c r="AG723" s="147"/>
      <c r="AH723" s="147"/>
      <c r="AI723" s="147"/>
    </row>
    <row r="724">
      <c r="A724" s="167"/>
      <c r="B724" s="169"/>
      <c r="C724" s="170"/>
      <c r="D724" s="170"/>
      <c r="E724" s="170"/>
      <c r="F724" s="170"/>
      <c r="G724" s="171"/>
      <c r="H724" s="171"/>
      <c r="I724" s="172"/>
      <c r="J724" s="172"/>
      <c r="K724" s="172"/>
      <c r="L724" s="172"/>
      <c r="M724" s="147"/>
      <c r="Q724" s="147"/>
      <c r="R724" s="147"/>
      <c r="S724" s="147"/>
      <c r="T724" s="147"/>
      <c r="U724" s="147"/>
      <c r="V724" s="147"/>
      <c r="W724" s="147"/>
      <c r="X724" s="147"/>
      <c r="Y724" s="147"/>
      <c r="Z724" s="147"/>
      <c r="AA724" s="147"/>
      <c r="AB724" s="147"/>
      <c r="AC724" s="147"/>
      <c r="AD724" s="147"/>
      <c r="AE724" s="147"/>
      <c r="AF724" s="147"/>
      <c r="AG724" s="147"/>
      <c r="AH724" s="147"/>
      <c r="AI724" s="147"/>
    </row>
    <row r="725">
      <c r="A725" s="167"/>
      <c r="B725" s="169"/>
      <c r="C725" s="170"/>
      <c r="D725" s="170"/>
      <c r="E725" s="170"/>
      <c r="F725" s="170"/>
      <c r="G725" s="171"/>
      <c r="H725" s="171"/>
      <c r="I725" s="172"/>
      <c r="J725" s="172"/>
      <c r="K725" s="172"/>
      <c r="L725" s="172"/>
      <c r="M725" s="147"/>
      <c r="Q725" s="147"/>
      <c r="R725" s="147"/>
      <c r="S725" s="147"/>
      <c r="T725" s="147"/>
      <c r="U725" s="147"/>
      <c r="V725" s="147"/>
      <c r="W725" s="147"/>
      <c r="X725" s="147"/>
      <c r="Y725" s="147"/>
      <c r="Z725" s="147"/>
      <c r="AA725" s="147"/>
      <c r="AB725" s="147"/>
      <c r="AC725" s="147"/>
      <c r="AD725" s="147"/>
      <c r="AE725" s="147"/>
      <c r="AF725" s="147"/>
      <c r="AG725" s="147"/>
      <c r="AH725" s="147"/>
      <c r="AI725" s="147"/>
    </row>
    <row r="726">
      <c r="A726" s="167"/>
      <c r="B726" s="169"/>
      <c r="C726" s="170"/>
      <c r="D726" s="170"/>
      <c r="E726" s="170"/>
      <c r="F726" s="170"/>
      <c r="G726" s="171"/>
      <c r="H726" s="171"/>
      <c r="I726" s="172"/>
      <c r="J726" s="172"/>
      <c r="K726" s="172"/>
      <c r="L726" s="172"/>
      <c r="M726" s="147"/>
      <c r="Q726" s="147"/>
      <c r="R726" s="147"/>
      <c r="S726" s="147"/>
      <c r="T726" s="147"/>
      <c r="U726" s="147"/>
      <c r="V726" s="147"/>
      <c r="W726" s="147"/>
      <c r="X726" s="147"/>
      <c r="Y726" s="147"/>
      <c r="Z726" s="147"/>
      <c r="AA726" s="147"/>
      <c r="AB726" s="147"/>
      <c r="AC726" s="147"/>
      <c r="AD726" s="147"/>
      <c r="AE726" s="147"/>
      <c r="AF726" s="147"/>
      <c r="AG726" s="147"/>
      <c r="AH726" s="147"/>
      <c r="AI726" s="147"/>
    </row>
    <row r="727">
      <c r="A727" s="167"/>
      <c r="B727" s="169"/>
      <c r="C727" s="170"/>
      <c r="D727" s="170"/>
      <c r="E727" s="170"/>
      <c r="F727" s="170"/>
      <c r="G727" s="171"/>
      <c r="H727" s="171"/>
      <c r="I727" s="172"/>
      <c r="J727" s="172"/>
      <c r="K727" s="172"/>
      <c r="L727" s="172"/>
      <c r="M727" s="147"/>
      <c r="Q727" s="147"/>
      <c r="R727" s="147"/>
      <c r="S727" s="147"/>
      <c r="T727" s="147"/>
      <c r="U727" s="147"/>
      <c r="V727" s="147"/>
      <c r="W727" s="147"/>
      <c r="X727" s="147"/>
      <c r="Y727" s="147"/>
      <c r="Z727" s="147"/>
      <c r="AA727" s="147"/>
      <c r="AB727" s="147"/>
      <c r="AC727" s="147"/>
      <c r="AD727" s="147"/>
      <c r="AE727" s="147"/>
      <c r="AF727" s="147"/>
      <c r="AG727" s="147"/>
      <c r="AH727" s="147"/>
      <c r="AI727" s="147"/>
    </row>
    <row r="728">
      <c r="A728" s="167"/>
      <c r="B728" s="169"/>
      <c r="C728" s="170"/>
      <c r="D728" s="170"/>
      <c r="E728" s="170"/>
      <c r="F728" s="170"/>
      <c r="G728" s="171"/>
      <c r="H728" s="171"/>
      <c r="I728" s="172"/>
      <c r="J728" s="172"/>
      <c r="K728" s="172"/>
      <c r="L728" s="172"/>
      <c r="M728" s="147"/>
      <c r="Q728" s="147"/>
      <c r="R728" s="147"/>
      <c r="S728" s="147"/>
      <c r="T728" s="147"/>
      <c r="U728" s="147"/>
      <c r="V728" s="147"/>
      <c r="W728" s="147"/>
      <c r="X728" s="147"/>
      <c r="Y728" s="147"/>
      <c r="Z728" s="147"/>
      <c r="AA728" s="147"/>
      <c r="AB728" s="147"/>
      <c r="AC728" s="147"/>
      <c r="AD728" s="147"/>
      <c r="AE728" s="147"/>
      <c r="AF728" s="147"/>
      <c r="AG728" s="147"/>
      <c r="AH728" s="147"/>
      <c r="AI728" s="147"/>
    </row>
    <row r="729">
      <c r="A729" s="167"/>
      <c r="B729" s="169"/>
      <c r="C729" s="170"/>
      <c r="D729" s="170"/>
      <c r="E729" s="170"/>
      <c r="F729" s="170"/>
      <c r="G729" s="171"/>
      <c r="H729" s="171"/>
      <c r="I729" s="172"/>
      <c r="J729" s="172"/>
      <c r="K729" s="172"/>
      <c r="L729" s="172"/>
      <c r="M729" s="147"/>
      <c r="Q729" s="147"/>
      <c r="R729" s="147"/>
      <c r="S729" s="147"/>
      <c r="T729" s="147"/>
      <c r="U729" s="147"/>
      <c r="V729" s="147"/>
      <c r="W729" s="147"/>
      <c r="X729" s="147"/>
      <c r="Y729" s="147"/>
      <c r="Z729" s="147"/>
      <c r="AA729" s="147"/>
      <c r="AB729" s="147"/>
      <c r="AC729" s="147"/>
      <c r="AD729" s="147"/>
      <c r="AE729" s="147"/>
      <c r="AF729" s="147"/>
      <c r="AG729" s="147"/>
      <c r="AH729" s="147"/>
      <c r="AI729" s="147"/>
    </row>
    <row r="730">
      <c r="A730" s="167"/>
      <c r="B730" s="169"/>
      <c r="C730" s="170"/>
      <c r="D730" s="170"/>
      <c r="E730" s="170"/>
      <c r="F730" s="170"/>
      <c r="G730" s="171"/>
      <c r="H730" s="171"/>
      <c r="I730" s="172"/>
      <c r="J730" s="172"/>
      <c r="K730" s="172"/>
      <c r="L730" s="172"/>
      <c r="M730" s="147"/>
      <c r="Q730" s="147"/>
      <c r="R730" s="147"/>
      <c r="S730" s="147"/>
      <c r="T730" s="147"/>
      <c r="U730" s="147"/>
      <c r="V730" s="147"/>
      <c r="W730" s="147"/>
      <c r="X730" s="147"/>
      <c r="Y730" s="147"/>
      <c r="Z730" s="147"/>
      <c r="AA730" s="147"/>
      <c r="AB730" s="147"/>
      <c r="AC730" s="147"/>
      <c r="AD730" s="147"/>
      <c r="AE730" s="147"/>
      <c r="AF730" s="147"/>
      <c r="AG730" s="147"/>
      <c r="AH730" s="147"/>
      <c r="AI730" s="147"/>
    </row>
    <row r="731">
      <c r="A731" s="167"/>
      <c r="B731" s="169"/>
      <c r="C731" s="170"/>
      <c r="D731" s="170"/>
      <c r="E731" s="170"/>
      <c r="F731" s="170"/>
      <c r="G731" s="171"/>
      <c r="H731" s="171"/>
      <c r="I731" s="172"/>
      <c r="J731" s="172"/>
      <c r="K731" s="172"/>
      <c r="L731" s="172"/>
      <c r="M731" s="147"/>
      <c r="Q731" s="147"/>
      <c r="R731" s="147"/>
      <c r="S731" s="147"/>
      <c r="T731" s="147"/>
      <c r="U731" s="147"/>
      <c r="V731" s="147"/>
      <c r="W731" s="147"/>
      <c r="X731" s="147"/>
      <c r="Y731" s="147"/>
      <c r="Z731" s="147"/>
      <c r="AA731" s="147"/>
      <c r="AB731" s="147"/>
      <c r="AC731" s="147"/>
      <c r="AD731" s="147"/>
      <c r="AE731" s="147"/>
      <c r="AF731" s="147"/>
      <c r="AG731" s="147"/>
      <c r="AH731" s="147"/>
      <c r="AI731" s="147"/>
    </row>
    <row r="732">
      <c r="A732" s="167"/>
      <c r="B732" s="169"/>
      <c r="C732" s="170"/>
      <c r="D732" s="170"/>
      <c r="E732" s="170"/>
      <c r="F732" s="170"/>
      <c r="G732" s="171"/>
      <c r="H732" s="171"/>
      <c r="I732" s="172"/>
      <c r="J732" s="172"/>
      <c r="K732" s="172"/>
      <c r="L732" s="172"/>
      <c r="M732" s="147"/>
      <c r="Q732" s="147"/>
      <c r="R732" s="147"/>
      <c r="S732" s="147"/>
      <c r="T732" s="147"/>
      <c r="U732" s="147"/>
      <c r="V732" s="147"/>
      <c r="W732" s="147"/>
      <c r="X732" s="147"/>
      <c r="Y732" s="147"/>
      <c r="Z732" s="147"/>
      <c r="AA732" s="147"/>
      <c r="AB732" s="147"/>
      <c r="AC732" s="147"/>
      <c r="AD732" s="147"/>
      <c r="AE732" s="147"/>
      <c r="AF732" s="147"/>
      <c r="AG732" s="147"/>
      <c r="AH732" s="147"/>
      <c r="AI732" s="147"/>
    </row>
    <row r="733">
      <c r="A733" s="167"/>
      <c r="B733" s="169"/>
      <c r="C733" s="170"/>
      <c r="D733" s="170"/>
      <c r="E733" s="170"/>
      <c r="F733" s="170"/>
      <c r="G733" s="171"/>
      <c r="H733" s="171"/>
      <c r="I733" s="172"/>
      <c r="J733" s="172"/>
      <c r="K733" s="172"/>
      <c r="L733" s="172"/>
      <c r="M733" s="147"/>
      <c r="Q733" s="147"/>
      <c r="R733" s="147"/>
      <c r="S733" s="147"/>
      <c r="T733" s="147"/>
      <c r="U733" s="147"/>
      <c r="V733" s="147"/>
      <c r="W733" s="147"/>
      <c r="X733" s="147"/>
      <c r="Y733" s="147"/>
      <c r="Z733" s="147"/>
      <c r="AA733" s="147"/>
      <c r="AB733" s="147"/>
      <c r="AC733" s="147"/>
      <c r="AD733" s="147"/>
      <c r="AE733" s="147"/>
      <c r="AF733" s="147"/>
      <c r="AG733" s="147"/>
      <c r="AH733" s="147"/>
      <c r="AI733" s="147"/>
    </row>
    <row r="734">
      <c r="A734" s="167"/>
      <c r="B734" s="169"/>
      <c r="C734" s="170"/>
      <c r="D734" s="170"/>
      <c r="E734" s="170"/>
      <c r="F734" s="170"/>
      <c r="G734" s="171"/>
      <c r="H734" s="171"/>
      <c r="I734" s="172"/>
      <c r="J734" s="172"/>
      <c r="K734" s="172"/>
      <c r="L734" s="172"/>
      <c r="M734" s="147"/>
      <c r="Q734" s="147"/>
      <c r="R734" s="147"/>
      <c r="S734" s="147"/>
      <c r="T734" s="147"/>
      <c r="U734" s="147"/>
      <c r="V734" s="147"/>
      <c r="W734" s="147"/>
      <c r="X734" s="147"/>
      <c r="Y734" s="147"/>
      <c r="Z734" s="147"/>
      <c r="AA734" s="147"/>
      <c r="AB734" s="147"/>
      <c r="AC734" s="147"/>
      <c r="AD734" s="147"/>
      <c r="AE734" s="147"/>
      <c r="AF734" s="147"/>
      <c r="AG734" s="147"/>
      <c r="AH734" s="147"/>
      <c r="AI734" s="147"/>
    </row>
    <row r="735">
      <c r="A735" s="167"/>
      <c r="B735" s="169"/>
      <c r="C735" s="170"/>
      <c r="D735" s="170"/>
      <c r="E735" s="170"/>
      <c r="F735" s="170"/>
      <c r="G735" s="171"/>
      <c r="H735" s="171"/>
      <c r="I735" s="172"/>
      <c r="J735" s="172"/>
      <c r="K735" s="172"/>
      <c r="L735" s="172"/>
      <c r="M735" s="147"/>
      <c r="Q735" s="147"/>
      <c r="R735" s="147"/>
      <c r="S735" s="147"/>
      <c r="T735" s="147"/>
      <c r="U735" s="147"/>
      <c r="V735" s="147"/>
      <c r="W735" s="147"/>
      <c r="X735" s="147"/>
      <c r="Y735" s="147"/>
      <c r="Z735" s="147"/>
      <c r="AA735" s="147"/>
      <c r="AB735" s="147"/>
      <c r="AC735" s="147"/>
      <c r="AD735" s="147"/>
      <c r="AE735" s="147"/>
      <c r="AF735" s="147"/>
      <c r="AG735" s="147"/>
      <c r="AH735" s="147"/>
      <c r="AI735" s="147"/>
    </row>
    <row r="736">
      <c r="A736" s="167"/>
      <c r="B736" s="169"/>
      <c r="C736" s="170"/>
      <c r="D736" s="170"/>
      <c r="E736" s="170"/>
      <c r="F736" s="170"/>
      <c r="G736" s="171"/>
      <c r="H736" s="171"/>
      <c r="I736" s="172"/>
      <c r="J736" s="172"/>
      <c r="K736" s="172"/>
      <c r="L736" s="172"/>
      <c r="M736" s="147"/>
      <c r="Q736" s="147"/>
      <c r="R736" s="147"/>
      <c r="S736" s="147"/>
      <c r="T736" s="147"/>
      <c r="U736" s="147"/>
      <c r="V736" s="147"/>
      <c r="W736" s="147"/>
      <c r="X736" s="147"/>
      <c r="Y736" s="147"/>
      <c r="Z736" s="147"/>
      <c r="AA736" s="147"/>
      <c r="AB736" s="147"/>
      <c r="AC736" s="147"/>
      <c r="AD736" s="147"/>
      <c r="AE736" s="147"/>
      <c r="AF736" s="147"/>
      <c r="AG736" s="147"/>
      <c r="AH736" s="147"/>
      <c r="AI736" s="147"/>
    </row>
    <row r="737">
      <c r="A737" s="167"/>
      <c r="B737" s="169"/>
      <c r="C737" s="170"/>
      <c r="D737" s="170"/>
      <c r="E737" s="170"/>
      <c r="F737" s="170"/>
      <c r="G737" s="171"/>
      <c r="H737" s="171"/>
      <c r="I737" s="172"/>
      <c r="J737" s="172"/>
      <c r="K737" s="172"/>
      <c r="L737" s="172"/>
      <c r="M737" s="147"/>
      <c r="Q737" s="147"/>
      <c r="R737" s="147"/>
      <c r="S737" s="147"/>
      <c r="T737" s="147"/>
      <c r="U737" s="147"/>
      <c r="V737" s="147"/>
      <c r="W737" s="147"/>
      <c r="X737" s="147"/>
      <c r="Y737" s="147"/>
      <c r="Z737" s="147"/>
      <c r="AA737" s="147"/>
      <c r="AB737" s="147"/>
      <c r="AC737" s="147"/>
      <c r="AD737" s="147"/>
      <c r="AE737" s="147"/>
      <c r="AF737" s="147"/>
      <c r="AG737" s="147"/>
      <c r="AH737" s="147"/>
      <c r="AI737" s="147"/>
    </row>
    <row r="738">
      <c r="A738" s="167"/>
      <c r="B738" s="169"/>
      <c r="C738" s="170"/>
      <c r="D738" s="170"/>
      <c r="E738" s="170"/>
      <c r="F738" s="170"/>
      <c r="G738" s="171"/>
      <c r="H738" s="171"/>
      <c r="I738" s="172"/>
      <c r="J738" s="172"/>
      <c r="K738" s="172"/>
      <c r="L738" s="172"/>
      <c r="M738" s="147"/>
      <c r="Q738" s="147"/>
      <c r="R738" s="147"/>
      <c r="S738" s="147"/>
      <c r="T738" s="147"/>
      <c r="U738" s="147"/>
      <c r="V738" s="147"/>
      <c r="W738" s="147"/>
      <c r="X738" s="147"/>
      <c r="Y738" s="147"/>
      <c r="Z738" s="147"/>
      <c r="AA738" s="147"/>
      <c r="AB738" s="147"/>
      <c r="AC738" s="147"/>
      <c r="AD738" s="147"/>
      <c r="AE738" s="147"/>
      <c r="AF738" s="147"/>
      <c r="AG738" s="147"/>
      <c r="AH738" s="147"/>
      <c r="AI738" s="147"/>
    </row>
    <row r="739">
      <c r="A739" s="167"/>
      <c r="B739" s="169"/>
      <c r="C739" s="170"/>
      <c r="D739" s="170"/>
      <c r="E739" s="170"/>
      <c r="F739" s="170"/>
      <c r="G739" s="171"/>
      <c r="H739" s="171"/>
      <c r="I739" s="172"/>
      <c r="J739" s="172"/>
      <c r="K739" s="172"/>
      <c r="L739" s="172"/>
      <c r="M739" s="147"/>
      <c r="Q739" s="147"/>
      <c r="R739" s="147"/>
      <c r="S739" s="147"/>
      <c r="T739" s="147"/>
      <c r="U739" s="147"/>
      <c r="V739" s="147"/>
      <c r="W739" s="147"/>
      <c r="X739" s="147"/>
      <c r="Y739" s="147"/>
      <c r="Z739" s="147"/>
      <c r="AA739" s="147"/>
      <c r="AB739" s="147"/>
      <c r="AC739" s="147"/>
      <c r="AD739" s="147"/>
      <c r="AE739" s="147"/>
      <c r="AF739" s="147"/>
      <c r="AG739" s="147"/>
      <c r="AH739" s="147"/>
      <c r="AI739" s="147"/>
    </row>
    <row r="740">
      <c r="A740" s="167"/>
      <c r="B740" s="169"/>
      <c r="C740" s="170"/>
      <c r="D740" s="170"/>
      <c r="E740" s="170"/>
      <c r="F740" s="170"/>
      <c r="G740" s="171"/>
      <c r="H740" s="171"/>
      <c r="I740" s="172"/>
      <c r="J740" s="172"/>
      <c r="K740" s="172"/>
      <c r="L740" s="172"/>
      <c r="M740" s="147"/>
      <c r="Q740" s="147"/>
      <c r="R740" s="147"/>
      <c r="S740" s="147"/>
      <c r="T740" s="147"/>
      <c r="U740" s="147"/>
      <c r="V740" s="147"/>
      <c r="W740" s="147"/>
      <c r="X740" s="147"/>
      <c r="Y740" s="147"/>
      <c r="Z740" s="147"/>
      <c r="AA740" s="147"/>
      <c r="AB740" s="147"/>
      <c r="AC740" s="147"/>
      <c r="AD740" s="147"/>
      <c r="AE740" s="147"/>
      <c r="AF740" s="147"/>
      <c r="AG740" s="147"/>
      <c r="AH740" s="147"/>
      <c r="AI740" s="147"/>
    </row>
    <row r="741">
      <c r="A741" s="167"/>
      <c r="B741" s="169"/>
      <c r="C741" s="170"/>
      <c r="D741" s="170"/>
      <c r="E741" s="170"/>
      <c r="F741" s="170"/>
      <c r="G741" s="171"/>
      <c r="H741" s="171"/>
      <c r="I741" s="172"/>
      <c r="J741" s="172"/>
      <c r="K741" s="172"/>
      <c r="L741" s="172"/>
      <c r="M741" s="147"/>
      <c r="Q741" s="147"/>
      <c r="R741" s="147"/>
      <c r="S741" s="147"/>
      <c r="T741" s="147"/>
      <c r="U741" s="147"/>
      <c r="V741" s="147"/>
      <c r="W741" s="147"/>
      <c r="X741" s="147"/>
      <c r="Y741" s="147"/>
      <c r="Z741" s="147"/>
      <c r="AA741" s="147"/>
      <c r="AB741" s="147"/>
      <c r="AC741" s="147"/>
      <c r="AD741" s="147"/>
      <c r="AE741" s="147"/>
      <c r="AF741" s="147"/>
      <c r="AG741" s="147"/>
      <c r="AH741" s="147"/>
      <c r="AI741" s="147"/>
    </row>
    <row r="742">
      <c r="A742" s="167"/>
      <c r="B742" s="169"/>
      <c r="C742" s="170"/>
      <c r="D742" s="170"/>
      <c r="E742" s="170"/>
      <c r="F742" s="170"/>
      <c r="G742" s="171"/>
      <c r="H742" s="171"/>
      <c r="I742" s="172"/>
      <c r="J742" s="172"/>
      <c r="K742" s="172"/>
      <c r="L742" s="172"/>
      <c r="M742" s="147"/>
      <c r="Q742" s="147"/>
      <c r="R742" s="147"/>
      <c r="S742" s="147"/>
      <c r="T742" s="147"/>
      <c r="U742" s="147"/>
      <c r="V742" s="147"/>
      <c r="W742" s="147"/>
      <c r="X742" s="147"/>
      <c r="Y742" s="147"/>
      <c r="Z742" s="147"/>
      <c r="AA742" s="147"/>
      <c r="AB742" s="147"/>
      <c r="AC742" s="147"/>
      <c r="AD742" s="147"/>
      <c r="AE742" s="147"/>
      <c r="AF742" s="147"/>
      <c r="AG742" s="147"/>
      <c r="AH742" s="147"/>
      <c r="AI742" s="147"/>
    </row>
    <row r="743">
      <c r="A743" s="167"/>
      <c r="B743" s="169"/>
      <c r="C743" s="170"/>
      <c r="D743" s="170"/>
      <c r="E743" s="170"/>
      <c r="F743" s="170"/>
      <c r="G743" s="171"/>
      <c r="H743" s="171"/>
      <c r="I743" s="172"/>
      <c r="J743" s="172"/>
      <c r="K743" s="172"/>
      <c r="L743" s="172"/>
      <c r="M743" s="147"/>
      <c r="Q743" s="147"/>
      <c r="R743" s="147"/>
      <c r="S743" s="147"/>
      <c r="T743" s="147"/>
      <c r="U743" s="147"/>
      <c r="V743" s="147"/>
      <c r="W743" s="147"/>
      <c r="X743" s="147"/>
      <c r="Y743" s="147"/>
      <c r="Z743" s="147"/>
      <c r="AA743" s="147"/>
      <c r="AB743" s="147"/>
      <c r="AC743" s="147"/>
      <c r="AD743" s="147"/>
      <c r="AE743" s="147"/>
      <c r="AF743" s="147"/>
      <c r="AG743" s="147"/>
      <c r="AH743" s="147"/>
      <c r="AI743" s="147"/>
    </row>
    <row r="744">
      <c r="A744" s="167"/>
      <c r="B744" s="169"/>
      <c r="C744" s="170"/>
      <c r="D744" s="170"/>
      <c r="E744" s="170"/>
      <c r="F744" s="170"/>
      <c r="G744" s="171"/>
      <c r="H744" s="171"/>
      <c r="I744" s="172"/>
      <c r="J744" s="172"/>
      <c r="K744" s="172"/>
      <c r="L744" s="172"/>
      <c r="M744" s="147"/>
      <c r="Q744" s="147"/>
      <c r="R744" s="147"/>
      <c r="S744" s="147"/>
      <c r="T744" s="147"/>
      <c r="U744" s="147"/>
      <c r="V744" s="147"/>
      <c r="W744" s="147"/>
      <c r="X744" s="147"/>
      <c r="Y744" s="147"/>
      <c r="Z744" s="147"/>
      <c r="AA744" s="147"/>
      <c r="AB744" s="147"/>
      <c r="AC744" s="147"/>
      <c r="AD744" s="147"/>
      <c r="AE744" s="147"/>
      <c r="AF744" s="147"/>
      <c r="AG744" s="147"/>
      <c r="AH744" s="147"/>
      <c r="AI744" s="147"/>
    </row>
    <row r="745">
      <c r="A745" s="167"/>
      <c r="B745" s="169"/>
      <c r="C745" s="170"/>
      <c r="D745" s="170"/>
      <c r="E745" s="170"/>
      <c r="F745" s="170"/>
      <c r="G745" s="171"/>
      <c r="H745" s="171"/>
      <c r="I745" s="172"/>
      <c r="J745" s="172"/>
      <c r="K745" s="172"/>
      <c r="L745" s="172"/>
      <c r="M745" s="147"/>
      <c r="Q745" s="147"/>
      <c r="R745" s="147"/>
      <c r="S745" s="147"/>
      <c r="T745" s="147"/>
      <c r="U745" s="147"/>
      <c r="V745" s="147"/>
      <c r="W745" s="147"/>
      <c r="X745" s="147"/>
      <c r="Y745" s="147"/>
      <c r="Z745" s="147"/>
      <c r="AA745" s="147"/>
      <c r="AB745" s="147"/>
      <c r="AC745" s="147"/>
      <c r="AD745" s="147"/>
      <c r="AE745" s="147"/>
      <c r="AF745" s="147"/>
      <c r="AG745" s="147"/>
      <c r="AH745" s="147"/>
      <c r="AI745" s="147"/>
    </row>
    <row r="746">
      <c r="A746" s="167"/>
      <c r="B746" s="169"/>
      <c r="C746" s="170"/>
      <c r="D746" s="170"/>
      <c r="E746" s="170"/>
      <c r="F746" s="170"/>
      <c r="G746" s="171"/>
      <c r="H746" s="171"/>
      <c r="I746" s="172"/>
      <c r="J746" s="172"/>
      <c r="K746" s="172"/>
      <c r="L746" s="172"/>
      <c r="M746" s="147"/>
      <c r="Q746" s="147"/>
      <c r="R746" s="147"/>
      <c r="S746" s="147"/>
      <c r="T746" s="147"/>
      <c r="U746" s="147"/>
      <c r="V746" s="147"/>
      <c r="W746" s="147"/>
      <c r="X746" s="147"/>
      <c r="Y746" s="147"/>
      <c r="Z746" s="147"/>
      <c r="AA746" s="147"/>
      <c r="AB746" s="147"/>
      <c r="AC746" s="147"/>
      <c r="AD746" s="147"/>
      <c r="AE746" s="147"/>
      <c r="AF746" s="147"/>
      <c r="AG746" s="147"/>
      <c r="AH746" s="147"/>
      <c r="AI746" s="147"/>
    </row>
    <row r="747">
      <c r="A747" s="167"/>
      <c r="B747" s="169"/>
      <c r="C747" s="170"/>
      <c r="D747" s="170"/>
      <c r="E747" s="170"/>
      <c r="F747" s="170"/>
      <c r="G747" s="171"/>
      <c r="H747" s="171"/>
      <c r="I747" s="172"/>
      <c r="J747" s="172"/>
      <c r="K747" s="172"/>
      <c r="L747" s="172"/>
      <c r="M747" s="147"/>
      <c r="Q747" s="147"/>
      <c r="R747" s="147"/>
      <c r="S747" s="147"/>
      <c r="T747" s="147"/>
      <c r="U747" s="147"/>
      <c r="V747" s="147"/>
      <c r="W747" s="147"/>
      <c r="X747" s="147"/>
      <c r="Y747" s="147"/>
      <c r="Z747" s="147"/>
      <c r="AA747" s="147"/>
      <c r="AB747" s="147"/>
      <c r="AC747" s="147"/>
      <c r="AD747" s="147"/>
      <c r="AE747" s="147"/>
      <c r="AF747" s="147"/>
      <c r="AG747" s="147"/>
      <c r="AH747" s="147"/>
      <c r="AI747" s="147"/>
    </row>
    <row r="748">
      <c r="A748" s="167"/>
      <c r="B748" s="169"/>
      <c r="C748" s="170"/>
      <c r="D748" s="170"/>
      <c r="E748" s="170"/>
      <c r="F748" s="170"/>
      <c r="G748" s="171"/>
      <c r="H748" s="171"/>
      <c r="I748" s="172"/>
      <c r="J748" s="172"/>
      <c r="K748" s="172"/>
      <c r="L748" s="172"/>
      <c r="M748" s="147"/>
      <c r="Q748" s="147"/>
      <c r="R748" s="147"/>
      <c r="S748" s="147"/>
      <c r="T748" s="147"/>
      <c r="U748" s="147"/>
      <c r="V748" s="147"/>
      <c r="W748" s="147"/>
      <c r="X748" s="147"/>
      <c r="Y748" s="147"/>
      <c r="Z748" s="147"/>
      <c r="AA748" s="147"/>
      <c r="AB748" s="147"/>
      <c r="AC748" s="147"/>
      <c r="AD748" s="147"/>
      <c r="AE748" s="147"/>
      <c r="AF748" s="147"/>
      <c r="AG748" s="147"/>
      <c r="AH748" s="147"/>
      <c r="AI748" s="147"/>
    </row>
    <row r="749">
      <c r="A749" s="167"/>
      <c r="B749" s="169"/>
      <c r="C749" s="170"/>
      <c r="D749" s="170"/>
      <c r="E749" s="170"/>
      <c r="F749" s="170"/>
      <c r="G749" s="171"/>
      <c r="H749" s="171"/>
      <c r="I749" s="172"/>
      <c r="J749" s="172"/>
      <c r="K749" s="172"/>
      <c r="L749" s="172"/>
      <c r="M749" s="147"/>
      <c r="Q749" s="147"/>
      <c r="R749" s="147"/>
      <c r="S749" s="147"/>
      <c r="T749" s="147"/>
      <c r="U749" s="147"/>
      <c r="V749" s="147"/>
      <c r="W749" s="147"/>
      <c r="X749" s="147"/>
      <c r="Y749" s="147"/>
      <c r="Z749" s="147"/>
      <c r="AA749" s="147"/>
      <c r="AB749" s="147"/>
      <c r="AC749" s="147"/>
      <c r="AD749" s="147"/>
      <c r="AE749" s="147"/>
      <c r="AF749" s="147"/>
      <c r="AG749" s="147"/>
      <c r="AH749" s="147"/>
      <c r="AI749" s="147"/>
    </row>
    <row r="750">
      <c r="A750" s="167"/>
      <c r="B750" s="169"/>
      <c r="C750" s="170"/>
      <c r="D750" s="170"/>
      <c r="E750" s="170"/>
      <c r="F750" s="170"/>
      <c r="G750" s="171"/>
      <c r="H750" s="171"/>
      <c r="I750" s="172"/>
      <c r="J750" s="172"/>
      <c r="K750" s="172"/>
      <c r="L750" s="172"/>
      <c r="M750" s="147"/>
      <c r="Q750" s="147"/>
      <c r="R750" s="147"/>
      <c r="S750" s="147"/>
      <c r="T750" s="147"/>
      <c r="U750" s="147"/>
      <c r="V750" s="147"/>
      <c r="W750" s="147"/>
      <c r="X750" s="147"/>
      <c r="Y750" s="147"/>
      <c r="Z750" s="147"/>
      <c r="AA750" s="147"/>
      <c r="AB750" s="147"/>
      <c r="AC750" s="147"/>
      <c r="AD750" s="147"/>
      <c r="AE750" s="147"/>
      <c r="AF750" s="147"/>
      <c r="AG750" s="147"/>
      <c r="AH750" s="147"/>
      <c r="AI750" s="147"/>
    </row>
    <row r="751">
      <c r="A751" s="167"/>
      <c r="B751" s="169"/>
      <c r="C751" s="170"/>
      <c r="D751" s="170"/>
      <c r="E751" s="170"/>
      <c r="F751" s="170"/>
      <c r="G751" s="171"/>
      <c r="H751" s="171"/>
      <c r="I751" s="172"/>
      <c r="J751" s="172"/>
      <c r="K751" s="172"/>
      <c r="L751" s="172"/>
      <c r="M751" s="147"/>
      <c r="Q751" s="147"/>
      <c r="R751" s="147"/>
      <c r="S751" s="147"/>
      <c r="T751" s="147"/>
      <c r="U751" s="147"/>
      <c r="V751" s="147"/>
      <c r="W751" s="147"/>
      <c r="X751" s="147"/>
      <c r="Y751" s="147"/>
      <c r="Z751" s="147"/>
      <c r="AA751" s="147"/>
      <c r="AB751" s="147"/>
      <c r="AC751" s="147"/>
      <c r="AD751" s="147"/>
      <c r="AE751" s="147"/>
      <c r="AF751" s="147"/>
      <c r="AG751" s="147"/>
      <c r="AH751" s="147"/>
      <c r="AI751" s="147"/>
    </row>
    <row r="752">
      <c r="A752" s="167"/>
      <c r="B752" s="169"/>
      <c r="C752" s="170"/>
      <c r="D752" s="170"/>
      <c r="E752" s="170"/>
      <c r="F752" s="170"/>
      <c r="G752" s="171"/>
      <c r="H752" s="171"/>
      <c r="I752" s="172"/>
      <c r="J752" s="172"/>
      <c r="K752" s="172"/>
      <c r="L752" s="172"/>
      <c r="M752" s="147"/>
      <c r="Q752" s="147"/>
      <c r="R752" s="147"/>
      <c r="S752" s="147"/>
      <c r="T752" s="147"/>
      <c r="U752" s="147"/>
      <c r="V752" s="147"/>
      <c r="W752" s="147"/>
      <c r="X752" s="147"/>
      <c r="Y752" s="147"/>
      <c r="Z752" s="147"/>
      <c r="AA752" s="147"/>
      <c r="AB752" s="147"/>
      <c r="AC752" s="147"/>
      <c r="AD752" s="147"/>
      <c r="AE752" s="147"/>
      <c r="AF752" s="147"/>
      <c r="AG752" s="147"/>
      <c r="AH752" s="147"/>
      <c r="AI752" s="147"/>
    </row>
    <row r="753">
      <c r="A753" s="167"/>
      <c r="B753" s="169"/>
      <c r="C753" s="170"/>
      <c r="D753" s="170"/>
      <c r="E753" s="170"/>
      <c r="F753" s="170"/>
      <c r="G753" s="171"/>
      <c r="H753" s="171"/>
      <c r="I753" s="172"/>
      <c r="J753" s="172"/>
      <c r="K753" s="172"/>
      <c r="L753" s="172"/>
      <c r="M753" s="147"/>
      <c r="Q753" s="147"/>
      <c r="R753" s="147"/>
      <c r="S753" s="147"/>
      <c r="T753" s="147"/>
      <c r="U753" s="147"/>
      <c r="V753" s="147"/>
      <c r="W753" s="147"/>
      <c r="X753" s="147"/>
      <c r="Y753" s="147"/>
      <c r="Z753" s="147"/>
      <c r="AA753" s="147"/>
      <c r="AB753" s="147"/>
      <c r="AC753" s="147"/>
      <c r="AD753" s="147"/>
      <c r="AE753" s="147"/>
      <c r="AF753" s="147"/>
      <c r="AG753" s="147"/>
      <c r="AH753" s="147"/>
      <c r="AI753" s="147"/>
    </row>
    <row r="754">
      <c r="A754" s="167"/>
      <c r="B754" s="169"/>
      <c r="C754" s="170"/>
      <c r="D754" s="170"/>
      <c r="E754" s="170"/>
      <c r="F754" s="170"/>
      <c r="G754" s="171"/>
      <c r="H754" s="171"/>
      <c r="I754" s="172"/>
      <c r="J754" s="172"/>
      <c r="K754" s="172"/>
      <c r="L754" s="172"/>
      <c r="M754" s="147"/>
      <c r="Q754" s="147"/>
      <c r="R754" s="147"/>
      <c r="S754" s="147"/>
      <c r="T754" s="147"/>
      <c r="U754" s="147"/>
      <c r="V754" s="147"/>
      <c r="W754" s="147"/>
      <c r="X754" s="147"/>
      <c r="Y754" s="147"/>
      <c r="Z754" s="147"/>
      <c r="AA754" s="147"/>
      <c r="AB754" s="147"/>
      <c r="AC754" s="147"/>
      <c r="AD754" s="147"/>
      <c r="AE754" s="147"/>
      <c r="AF754" s="147"/>
      <c r="AG754" s="147"/>
      <c r="AH754" s="147"/>
      <c r="AI754" s="147"/>
    </row>
    <row r="755">
      <c r="A755" s="167"/>
      <c r="B755" s="169"/>
      <c r="C755" s="170"/>
      <c r="D755" s="170"/>
      <c r="E755" s="170"/>
      <c r="F755" s="170"/>
      <c r="G755" s="171"/>
      <c r="H755" s="171"/>
      <c r="I755" s="172"/>
      <c r="J755" s="172"/>
      <c r="K755" s="172"/>
      <c r="L755" s="172"/>
      <c r="M755" s="147"/>
      <c r="Q755" s="147"/>
      <c r="R755" s="147"/>
      <c r="S755" s="147"/>
      <c r="T755" s="147"/>
      <c r="U755" s="147"/>
      <c r="V755" s="147"/>
      <c r="W755" s="147"/>
      <c r="X755" s="147"/>
      <c r="Y755" s="147"/>
      <c r="Z755" s="147"/>
      <c r="AA755" s="147"/>
      <c r="AB755" s="147"/>
      <c r="AC755" s="147"/>
      <c r="AD755" s="147"/>
      <c r="AE755" s="147"/>
      <c r="AF755" s="147"/>
      <c r="AG755" s="147"/>
      <c r="AH755" s="147"/>
      <c r="AI755" s="147"/>
    </row>
    <row r="756">
      <c r="A756" s="167"/>
      <c r="B756" s="169"/>
      <c r="C756" s="170"/>
      <c r="D756" s="170"/>
      <c r="E756" s="170"/>
      <c r="F756" s="170"/>
      <c r="G756" s="171"/>
      <c r="H756" s="171"/>
      <c r="I756" s="172"/>
      <c r="J756" s="172"/>
      <c r="K756" s="172"/>
      <c r="L756" s="172"/>
      <c r="M756" s="147"/>
      <c r="Q756" s="147"/>
      <c r="R756" s="147"/>
      <c r="S756" s="147"/>
      <c r="T756" s="147"/>
      <c r="U756" s="147"/>
      <c r="V756" s="147"/>
      <c r="W756" s="147"/>
      <c r="X756" s="147"/>
      <c r="Y756" s="147"/>
      <c r="Z756" s="147"/>
      <c r="AA756" s="147"/>
      <c r="AB756" s="147"/>
      <c r="AC756" s="147"/>
      <c r="AD756" s="147"/>
      <c r="AE756" s="147"/>
      <c r="AF756" s="147"/>
      <c r="AG756" s="147"/>
      <c r="AH756" s="147"/>
      <c r="AI756" s="147"/>
    </row>
    <row r="757">
      <c r="A757" s="167"/>
      <c r="B757" s="169"/>
      <c r="C757" s="170"/>
      <c r="D757" s="170"/>
      <c r="E757" s="170"/>
      <c r="F757" s="170"/>
      <c r="G757" s="171"/>
      <c r="H757" s="171"/>
      <c r="I757" s="172"/>
      <c r="J757" s="172"/>
      <c r="K757" s="172"/>
      <c r="L757" s="172"/>
      <c r="M757" s="147"/>
      <c r="Q757" s="147"/>
      <c r="R757" s="147"/>
      <c r="S757" s="147"/>
      <c r="T757" s="147"/>
      <c r="U757" s="147"/>
      <c r="V757" s="147"/>
      <c r="W757" s="147"/>
      <c r="X757" s="147"/>
      <c r="Y757" s="147"/>
      <c r="Z757" s="147"/>
      <c r="AA757" s="147"/>
      <c r="AB757" s="147"/>
      <c r="AC757" s="147"/>
      <c r="AD757" s="147"/>
      <c r="AE757" s="147"/>
      <c r="AF757" s="147"/>
      <c r="AG757" s="147"/>
      <c r="AH757" s="147"/>
      <c r="AI757" s="147"/>
    </row>
    <row r="758">
      <c r="A758" s="167"/>
      <c r="B758" s="169"/>
      <c r="C758" s="170"/>
      <c r="D758" s="170"/>
      <c r="E758" s="170"/>
      <c r="F758" s="170"/>
      <c r="G758" s="171"/>
      <c r="H758" s="171"/>
      <c r="I758" s="172"/>
      <c r="J758" s="172"/>
      <c r="K758" s="172"/>
      <c r="L758" s="172"/>
      <c r="M758" s="147"/>
      <c r="Q758" s="147"/>
      <c r="R758" s="147"/>
      <c r="S758" s="147"/>
      <c r="T758" s="147"/>
      <c r="U758" s="147"/>
      <c r="V758" s="147"/>
      <c r="W758" s="147"/>
      <c r="X758" s="147"/>
      <c r="Y758" s="147"/>
      <c r="Z758" s="147"/>
      <c r="AA758" s="147"/>
      <c r="AB758" s="147"/>
      <c r="AC758" s="147"/>
      <c r="AD758" s="147"/>
      <c r="AE758" s="147"/>
      <c r="AF758" s="147"/>
      <c r="AG758" s="147"/>
      <c r="AH758" s="147"/>
      <c r="AI758" s="147"/>
    </row>
    <row r="759">
      <c r="A759" s="167"/>
      <c r="B759" s="169"/>
      <c r="C759" s="170"/>
      <c r="D759" s="170"/>
      <c r="E759" s="170"/>
      <c r="F759" s="170"/>
      <c r="G759" s="171"/>
      <c r="H759" s="171"/>
      <c r="I759" s="172"/>
      <c r="J759" s="172"/>
      <c r="K759" s="172"/>
      <c r="L759" s="172"/>
      <c r="M759" s="147"/>
      <c r="Q759" s="147"/>
      <c r="R759" s="147"/>
      <c r="S759" s="147"/>
      <c r="T759" s="147"/>
      <c r="U759" s="147"/>
      <c r="V759" s="147"/>
      <c r="W759" s="147"/>
      <c r="X759" s="147"/>
      <c r="Y759" s="147"/>
      <c r="Z759" s="147"/>
      <c r="AA759" s="147"/>
      <c r="AB759" s="147"/>
      <c r="AC759" s="147"/>
      <c r="AD759" s="147"/>
      <c r="AE759" s="147"/>
      <c r="AF759" s="147"/>
      <c r="AG759" s="147"/>
      <c r="AH759" s="147"/>
      <c r="AI759" s="147"/>
    </row>
    <row r="760">
      <c r="A760" s="167"/>
      <c r="B760" s="169"/>
      <c r="C760" s="170"/>
      <c r="D760" s="170"/>
      <c r="E760" s="170"/>
      <c r="F760" s="170"/>
      <c r="G760" s="171"/>
      <c r="H760" s="171"/>
      <c r="I760" s="172"/>
      <c r="J760" s="172"/>
      <c r="K760" s="172"/>
      <c r="L760" s="172"/>
      <c r="M760" s="147"/>
      <c r="Q760" s="147"/>
      <c r="R760" s="147"/>
      <c r="S760" s="147"/>
      <c r="T760" s="147"/>
      <c r="U760" s="147"/>
      <c r="V760" s="147"/>
      <c r="W760" s="147"/>
      <c r="X760" s="147"/>
      <c r="Y760" s="147"/>
      <c r="Z760" s="147"/>
      <c r="AA760" s="147"/>
      <c r="AB760" s="147"/>
      <c r="AC760" s="147"/>
      <c r="AD760" s="147"/>
      <c r="AE760" s="147"/>
      <c r="AF760" s="147"/>
      <c r="AG760" s="147"/>
      <c r="AH760" s="147"/>
      <c r="AI760" s="147"/>
    </row>
    <row r="761">
      <c r="A761" s="167"/>
      <c r="B761" s="169"/>
      <c r="C761" s="170"/>
      <c r="D761" s="170"/>
      <c r="E761" s="170"/>
      <c r="F761" s="170"/>
      <c r="G761" s="171"/>
      <c r="H761" s="171"/>
      <c r="I761" s="172"/>
      <c r="J761" s="172"/>
      <c r="K761" s="172"/>
      <c r="L761" s="172"/>
      <c r="M761" s="147"/>
      <c r="Q761" s="147"/>
      <c r="R761" s="147"/>
      <c r="S761" s="147"/>
      <c r="T761" s="147"/>
      <c r="U761" s="147"/>
      <c r="V761" s="147"/>
      <c r="W761" s="147"/>
      <c r="X761" s="147"/>
      <c r="Y761" s="147"/>
      <c r="Z761" s="147"/>
      <c r="AA761" s="147"/>
      <c r="AB761" s="147"/>
      <c r="AC761" s="147"/>
      <c r="AD761" s="147"/>
      <c r="AE761" s="147"/>
      <c r="AF761" s="147"/>
      <c r="AG761" s="147"/>
      <c r="AH761" s="147"/>
      <c r="AI761" s="147"/>
    </row>
    <row r="762">
      <c r="A762" s="167"/>
      <c r="B762" s="169"/>
      <c r="C762" s="170"/>
      <c r="D762" s="170"/>
      <c r="E762" s="170"/>
      <c r="F762" s="170"/>
      <c r="G762" s="171"/>
      <c r="H762" s="171"/>
      <c r="I762" s="172"/>
      <c r="J762" s="172"/>
      <c r="K762" s="172"/>
      <c r="L762" s="172"/>
      <c r="M762" s="147"/>
      <c r="Q762" s="147"/>
      <c r="R762" s="147"/>
      <c r="S762" s="147"/>
      <c r="T762" s="147"/>
      <c r="U762" s="147"/>
      <c r="V762" s="147"/>
      <c r="W762" s="147"/>
      <c r="X762" s="147"/>
      <c r="Y762" s="147"/>
      <c r="Z762" s="147"/>
      <c r="AA762" s="147"/>
      <c r="AB762" s="147"/>
      <c r="AC762" s="147"/>
      <c r="AD762" s="147"/>
      <c r="AE762" s="147"/>
      <c r="AF762" s="147"/>
      <c r="AG762" s="147"/>
      <c r="AH762" s="147"/>
      <c r="AI762" s="147"/>
    </row>
    <row r="763">
      <c r="A763" s="167"/>
      <c r="B763" s="169"/>
      <c r="C763" s="170"/>
      <c r="D763" s="170"/>
      <c r="E763" s="170"/>
      <c r="F763" s="170"/>
      <c r="G763" s="171"/>
      <c r="H763" s="171"/>
      <c r="I763" s="172"/>
      <c r="J763" s="172"/>
      <c r="K763" s="172"/>
      <c r="L763" s="172"/>
      <c r="M763" s="147"/>
      <c r="Q763" s="147"/>
      <c r="R763" s="147"/>
      <c r="S763" s="147"/>
      <c r="T763" s="147"/>
      <c r="U763" s="147"/>
      <c r="V763" s="147"/>
      <c r="W763" s="147"/>
      <c r="X763" s="147"/>
      <c r="Y763" s="147"/>
      <c r="Z763" s="147"/>
      <c r="AA763" s="147"/>
      <c r="AB763" s="147"/>
      <c r="AC763" s="147"/>
      <c r="AD763" s="147"/>
      <c r="AE763" s="147"/>
      <c r="AF763" s="147"/>
      <c r="AG763" s="147"/>
      <c r="AH763" s="147"/>
      <c r="AI763" s="147"/>
    </row>
    <row r="764">
      <c r="A764" s="167"/>
      <c r="B764" s="169"/>
      <c r="C764" s="170"/>
      <c r="D764" s="170"/>
      <c r="E764" s="170"/>
      <c r="F764" s="170"/>
      <c r="G764" s="171"/>
      <c r="H764" s="171"/>
      <c r="I764" s="172"/>
      <c r="J764" s="172"/>
      <c r="K764" s="172"/>
      <c r="L764" s="172"/>
      <c r="M764" s="147"/>
      <c r="Q764" s="147"/>
      <c r="R764" s="147"/>
      <c r="S764" s="147"/>
      <c r="T764" s="147"/>
      <c r="U764" s="147"/>
      <c r="V764" s="147"/>
      <c r="W764" s="147"/>
      <c r="X764" s="147"/>
      <c r="Y764" s="147"/>
      <c r="Z764" s="147"/>
      <c r="AA764" s="147"/>
      <c r="AB764" s="147"/>
      <c r="AC764" s="147"/>
      <c r="AD764" s="147"/>
      <c r="AE764" s="147"/>
      <c r="AF764" s="147"/>
      <c r="AG764" s="147"/>
      <c r="AH764" s="147"/>
      <c r="AI764" s="147"/>
    </row>
    <row r="765">
      <c r="A765" s="167"/>
      <c r="B765" s="169"/>
      <c r="C765" s="170"/>
      <c r="D765" s="170"/>
      <c r="E765" s="170"/>
      <c r="F765" s="170"/>
      <c r="G765" s="171"/>
      <c r="H765" s="171"/>
      <c r="I765" s="172"/>
      <c r="J765" s="172"/>
      <c r="K765" s="172"/>
      <c r="L765" s="172"/>
      <c r="M765" s="147"/>
      <c r="Q765" s="147"/>
      <c r="R765" s="147"/>
      <c r="S765" s="147"/>
      <c r="T765" s="147"/>
      <c r="U765" s="147"/>
      <c r="V765" s="147"/>
      <c r="W765" s="147"/>
      <c r="X765" s="147"/>
      <c r="Y765" s="147"/>
      <c r="Z765" s="147"/>
      <c r="AA765" s="147"/>
      <c r="AB765" s="147"/>
      <c r="AC765" s="147"/>
      <c r="AD765" s="147"/>
      <c r="AE765" s="147"/>
      <c r="AF765" s="147"/>
      <c r="AG765" s="147"/>
      <c r="AH765" s="147"/>
      <c r="AI765" s="147"/>
    </row>
    <row r="766">
      <c r="A766" s="167"/>
      <c r="B766" s="169"/>
      <c r="C766" s="170"/>
      <c r="D766" s="170"/>
      <c r="E766" s="170"/>
      <c r="F766" s="170"/>
      <c r="G766" s="171"/>
      <c r="H766" s="171"/>
      <c r="I766" s="172"/>
      <c r="J766" s="172"/>
      <c r="K766" s="172"/>
      <c r="L766" s="172"/>
      <c r="M766" s="147"/>
      <c r="Q766" s="147"/>
      <c r="R766" s="147"/>
      <c r="S766" s="147"/>
      <c r="T766" s="147"/>
      <c r="U766" s="147"/>
      <c r="V766" s="147"/>
      <c r="W766" s="147"/>
      <c r="X766" s="147"/>
      <c r="Y766" s="147"/>
      <c r="Z766" s="147"/>
      <c r="AA766" s="147"/>
      <c r="AB766" s="147"/>
      <c r="AC766" s="147"/>
      <c r="AD766" s="147"/>
      <c r="AE766" s="147"/>
      <c r="AF766" s="147"/>
      <c r="AG766" s="147"/>
      <c r="AH766" s="147"/>
      <c r="AI766" s="147"/>
    </row>
    <row r="767">
      <c r="A767" s="167"/>
      <c r="B767" s="169"/>
      <c r="C767" s="170"/>
      <c r="D767" s="170"/>
      <c r="E767" s="170"/>
      <c r="F767" s="170"/>
      <c r="G767" s="171"/>
      <c r="H767" s="171"/>
      <c r="I767" s="172"/>
      <c r="J767" s="172"/>
      <c r="K767" s="172"/>
      <c r="L767" s="172"/>
      <c r="M767" s="147"/>
      <c r="Q767" s="147"/>
      <c r="R767" s="147"/>
      <c r="S767" s="147"/>
      <c r="T767" s="147"/>
      <c r="U767" s="147"/>
      <c r="V767" s="147"/>
      <c r="W767" s="147"/>
      <c r="X767" s="147"/>
      <c r="Y767" s="147"/>
      <c r="Z767" s="147"/>
      <c r="AA767" s="147"/>
      <c r="AB767" s="147"/>
      <c r="AC767" s="147"/>
      <c r="AD767" s="147"/>
      <c r="AE767" s="147"/>
      <c r="AF767" s="147"/>
      <c r="AG767" s="147"/>
      <c r="AH767" s="147"/>
      <c r="AI767" s="147"/>
    </row>
    <row r="768">
      <c r="A768" s="167"/>
      <c r="B768" s="169"/>
      <c r="C768" s="170"/>
      <c r="D768" s="170"/>
      <c r="E768" s="170"/>
      <c r="F768" s="170"/>
      <c r="G768" s="171"/>
      <c r="H768" s="171"/>
      <c r="I768" s="172"/>
      <c r="J768" s="172"/>
      <c r="K768" s="172"/>
      <c r="L768" s="172"/>
      <c r="M768" s="147"/>
      <c r="Q768" s="147"/>
      <c r="R768" s="147"/>
      <c r="S768" s="147"/>
      <c r="T768" s="147"/>
      <c r="U768" s="147"/>
      <c r="V768" s="147"/>
      <c r="W768" s="147"/>
      <c r="X768" s="147"/>
      <c r="Y768" s="147"/>
      <c r="Z768" s="147"/>
      <c r="AA768" s="147"/>
      <c r="AB768" s="147"/>
      <c r="AC768" s="147"/>
      <c r="AD768" s="147"/>
      <c r="AE768" s="147"/>
      <c r="AF768" s="147"/>
      <c r="AG768" s="147"/>
      <c r="AH768" s="147"/>
      <c r="AI768" s="147"/>
    </row>
    <row r="769">
      <c r="A769" s="167"/>
      <c r="B769" s="169"/>
      <c r="C769" s="170"/>
      <c r="D769" s="170"/>
      <c r="E769" s="170"/>
      <c r="F769" s="170"/>
      <c r="G769" s="171"/>
      <c r="H769" s="171"/>
      <c r="I769" s="172"/>
      <c r="J769" s="172"/>
      <c r="K769" s="172"/>
      <c r="L769" s="172"/>
      <c r="M769" s="147"/>
      <c r="Q769" s="147"/>
      <c r="R769" s="147"/>
      <c r="S769" s="147"/>
      <c r="T769" s="147"/>
      <c r="U769" s="147"/>
      <c r="V769" s="147"/>
      <c r="W769" s="147"/>
      <c r="X769" s="147"/>
      <c r="Y769" s="147"/>
      <c r="Z769" s="147"/>
      <c r="AA769" s="147"/>
      <c r="AB769" s="147"/>
      <c r="AC769" s="147"/>
      <c r="AD769" s="147"/>
      <c r="AE769" s="147"/>
      <c r="AF769" s="147"/>
      <c r="AG769" s="147"/>
      <c r="AH769" s="147"/>
      <c r="AI769" s="147"/>
    </row>
    <row r="770">
      <c r="A770" s="167"/>
      <c r="B770" s="169"/>
      <c r="C770" s="170"/>
      <c r="D770" s="170"/>
      <c r="E770" s="170"/>
      <c r="F770" s="170"/>
      <c r="G770" s="171"/>
      <c r="H770" s="171"/>
      <c r="I770" s="172"/>
      <c r="J770" s="172"/>
      <c r="K770" s="172"/>
      <c r="L770" s="172"/>
      <c r="M770" s="147"/>
      <c r="Q770" s="147"/>
      <c r="R770" s="147"/>
      <c r="S770" s="147"/>
      <c r="T770" s="147"/>
      <c r="U770" s="147"/>
      <c r="V770" s="147"/>
      <c r="W770" s="147"/>
      <c r="X770" s="147"/>
      <c r="Y770" s="147"/>
      <c r="Z770" s="147"/>
      <c r="AA770" s="147"/>
      <c r="AB770" s="147"/>
      <c r="AC770" s="147"/>
      <c r="AD770" s="147"/>
      <c r="AE770" s="147"/>
      <c r="AF770" s="147"/>
      <c r="AG770" s="147"/>
      <c r="AH770" s="147"/>
      <c r="AI770" s="147"/>
    </row>
    <row r="771">
      <c r="A771" s="167"/>
      <c r="B771" s="169"/>
      <c r="C771" s="170"/>
      <c r="D771" s="170"/>
      <c r="E771" s="170"/>
      <c r="F771" s="170"/>
      <c r="G771" s="171"/>
      <c r="H771" s="171"/>
      <c r="I771" s="172"/>
      <c r="J771" s="172"/>
      <c r="K771" s="172"/>
      <c r="L771" s="172"/>
      <c r="M771" s="147"/>
      <c r="Q771" s="147"/>
      <c r="R771" s="147"/>
      <c r="S771" s="147"/>
      <c r="T771" s="147"/>
      <c r="U771" s="147"/>
      <c r="V771" s="147"/>
      <c r="W771" s="147"/>
      <c r="X771" s="147"/>
      <c r="Y771" s="147"/>
      <c r="Z771" s="147"/>
      <c r="AA771" s="147"/>
      <c r="AB771" s="147"/>
      <c r="AC771" s="147"/>
      <c r="AD771" s="147"/>
      <c r="AE771" s="147"/>
      <c r="AF771" s="147"/>
      <c r="AG771" s="147"/>
      <c r="AH771" s="147"/>
      <c r="AI771" s="147"/>
    </row>
    <row r="772">
      <c r="A772" s="167"/>
      <c r="B772" s="169"/>
      <c r="C772" s="170"/>
      <c r="D772" s="170"/>
      <c r="E772" s="170"/>
      <c r="F772" s="170"/>
      <c r="G772" s="171"/>
      <c r="H772" s="171"/>
      <c r="I772" s="172"/>
      <c r="J772" s="172"/>
      <c r="K772" s="172"/>
      <c r="L772" s="172"/>
      <c r="M772" s="147"/>
      <c r="Q772" s="147"/>
      <c r="R772" s="147"/>
      <c r="S772" s="147"/>
      <c r="T772" s="147"/>
      <c r="U772" s="147"/>
      <c r="V772" s="147"/>
      <c r="W772" s="147"/>
      <c r="X772" s="147"/>
      <c r="Y772" s="147"/>
      <c r="Z772" s="147"/>
      <c r="AA772" s="147"/>
      <c r="AB772" s="147"/>
      <c r="AC772" s="147"/>
      <c r="AD772" s="147"/>
      <c r="AE772" s="147"/>
      <c r="AF772" s="147"/>
      <c r="AG772" s="147"/>
      <c r="AH772" s="147"/>
      <c r="AI772" s="147"/>
    </row>
    <row r="773">
      <c r="A773" s="167"/>
      <c r="B773" s="169"/>
      <c r="C773" s="170"/>
      <c r="D773" s="170"/>
      <c r="E773" s="170"/>
      <c r="F773" s="170"/>
      <c r="G773" s="171"/>
      <c r="H773" s="171"/>
      <c r="I773" s="172"/>
      <c r="J773" s="172"/>
      <c r="K773" s="172"/>
      <c r="L773" s="172"/>
      <c r="M773" s="147"/>
      <c r="Q773" s="147"/>
      <c r="R773" s="147"/>
      <c r="S773" s="147"/>
      <c r="T773" s="147"/>
      <c r="U773" s="147"/>
      <c r="V773" s="147"/>
      <c r="W773" s="147"/>
      <c r="X773" s="147"/>
      <c r="Y773" s="147"/>
      <c r="Z773" s="147"/>
      <c r="AA773" s="147"/>
      <c r="AB773" s="147"/>
      <c r="AC773" s="147"/>
      <c r="AD773" s="147"/>
      <c r="AE773" s="147"/>
      <c r="AF773" s="147"/>
      <c r="AG773" s="147"/>
      <c r="AH773" s="147"/>
      <c r="AI773" s="147"/>
    </row>
    <row r="774">
      <c r="A774" s="167"/>
      <c r="B774" s="169"/>
      <c r="C774" s="170"/>
      <c r="D774" s="170"/>
      <c r="E774" s="170"/>
      <c r="F774" s="170"/>
      <c r="G774" s="171"/>
      <c r="H774" s="171"/>
      <c r="I774" s="172"/>
      <c r="J774" s="172"/>
      <c r="K774" s="172"/>
      <c r="L774" s="172"/>
      <c r="M774" s="147"/>
      <c r="Q774" s="147"/>
      <c r="R774" s="147"/>
      <c r="S774" s="147"/>
      <c r="T774" s="147"/>
      <c r="U774" s="147"/>
      <c r="V774" s="147"/>
      <c r="W774" s="147"/>
      <c r="X774" s="147"/>
      <c r="Y774" s="147"/>
      <c r="Z774" s="147"/>
      <c r="AA774" s="147"/>
      <c r="AB774" s="147"/>
      <c r="AC774" s="147"/>
      <c r="AD774" s="147"/>
      <c r="AE774" s="147"/>
      <c r="AF774" s="147"/>
      <c r="AG774" s="147"/>
      <c r="AH774" s="147"/>
      <c r="AI774" s="147"/>
    </row>
    <row r="775">
      <c r="A775" s="167"/>
      <c r="B775" s="169"/>
      <c r="C775" s="170"/>
      <c r="D775" s="170"/>
      <c r="E775" s="170"/>
      <c r="F775" s="170"/>
      <c r="G775" s="171"/>
      <c r="H775" s="171"/>
      <c r="I775" s="172"/>
      <c r="J775" s="172"/>
      <c r="K775" s="172"/>
      <c r="L775" s="172"/>
      <c r="M775" s="147"/>
      <c r="Q775" s="147"/>
      <c r="R775" s="147"/>
      <c r="S775" s="147"/>
      <c r="T775" s="147"/>
      <c r="U775" s="147"/>
      <c r="V775" s="147"/>
      <c r="W775" s="147"/>
      <c r="X775" s="147"/>
      <c r="Y775" s="147"/>
      <c r="Z775" s="147"/>
      <c r="AA775" s="147"/>
      <c r="AB775" s="147"/>
      <c r="AC775" s="147"/>
      <c r="AD775" s="147"/>
      <c r="AE775" s="147"/>
      <c r="AF775" s="147"/>
      <c r="AG775" s="147"/>
      <c r="AH775" s="147"/>
      <c r="AI775" s="147"/>
    </row>
    <row r="776">
      <c r="A776" s="167"/>
      <c r="B776" s="169"/>
      <c r="C776" s="170"/>
      <c r="D776" s="170"/>
      <c r="E776" s="170"/>
      <c r="F776" s="170"/>
      <c r="G776" s="171"/>
      <c r="H776" s="171"/>
      <c r="I776" s="172"/>
      <c r="J776" s="172"/>
      <c r="K776" s="172"/>
      <c r="L776" s="172"/>
      <c r="M776" s="147"/>
      <c r="Q776" s="147"/>
      <c r="R776" s="147"/>
      <c r="S776" s="147"/>
      <c r="T776" s="147"/>
      <c r="U776" s="147"/>
      <c r="V776" s="147"/>
      <c r="W776" s="147"/>
      <c r="X776" s="147"/>
      <c r="Y776" s="147"/>
      <c r="Z776" s="147"/>
      <c r="AA776" s="147"/>
      <c r="AB776" s="147"/>
      <c r="AC776" s="147"/>
      <c r="AD776" s="147"/>
      <c r="AE776" s="147"/>
      <c r="AF776" s="147"/>
      <c r="AG776" s="147"/>
      <c r="AH776" s="147"/>
      <c r="AI776" s="147"/>
    </row>
    <row r="777">
      <c r="A777" s="167"/>
      <c r="B777" s="169"/>
      <c r="C777" s="170"/>
      <c r="D777" s="170"/>
      <c r="E777" s="170"/>
      <c r="F777" s="170"/>
      <c r="G777" s="171"/>
      <c r="H777" s="171"/>
      <c r="I777" s="172"/>
      <c r="J777" s="172"/>
      <c r="K777" s="172"/>
      <c r="L777" s="172"/>
      <c r="M777" s="147"/>
      <c r="Q777" s="147"/>
      <c r="R777" s="147"/>
      <c r="S777" s="147"/>
      <c r="T777" s="147"/>
      <c r="U777" s="147"/>
      <c r="V777" s="147"/>
      <c r="W777" s="147"/>
      <c r="X777" s="147"/>
      <c r="Y777" s="147"/>
      <c r="Z777" s="147"/>
      <c r="AA777" s="147"/>
      <c r="AB777" s="147"/>
      <c r="AC777" s="147"/>
      <c r="AD777" s="147"/>
      <c r="AE777" s="147"/>
      <c r="AF777" s="147"/>
      <c r="AG777" s="147"/>
      <c r="AH777" s="147"/>
      <c r="AI777" s="147"/>
    </row>
    <row r="778">
      <c r="A778" s="167"/>
      <c r="B778" s="169"/>
      <c r="C778" s="170"/>
      <c r="D778" s="170"/>
      <c r="E778" s="170"/>
      <c r="F778" s="170"/>
      <c r="G778" s="171"/>
      <c r="H778" s="171"/>
      <c r="I778" s="172"/>
      <c r="J778" s="172"/>
      <c r="K778" s="172"/>
      <c r="L778" s="172"/>
      <c r="M778" s="147"/>
      <c r="Q778" s="147"/>
      <c r="R778" s="147"/>
      <c r="S778" s="147"/>
      <c r="T778" s="147"/>
      <c r="U778" s="147"/>
      <c r="V778" s="147"/>
      <c r="W778" s="147"/>
      <c r="X778" s="147"/>
      <c r="Y778" s="147"/>
      <c r="Z778" s="147"/>
      <c r="AA778" s="147"/>
      <c r="AB778" s="147"/>
      <c r="AC778" s="147"/>
      <c r="AD778" s="147"/>
      <c r="AE778" s="147"/>
      <c r="AF778" s="147"/>
      <c r="AG778" s="147"/>
      <c r="AH778" s="147"/>
      <c r="AI778" s="147"/>
    </row>
    <row r="779">
      <c r="A779" s="167"/>
      <c r="B779" s="169"/>
      <c r="C779" s="170"/>
      <c r="D779" s="170"/>
      <c r="E779" s="170"/>
      <c r="F779" s="170"/>
      <c r="G779" s="171"/>
      <c r="H779" s="171"/>
      <c r="I779" s="172"/>
      <c r="J779" s="172"/>
      <c r="K779" s="172"/>
      <c r="L779" s="172"/>
      <c r="M779" s="147"/>
      <c r="Q779" s="147"/>
      <c r="R779" s="147"/>
      <c r="S779" s="147"/>
      <c r="T779" s="147"/>
      <c r="U779" s="147"/>
      <c r="V779" s="147"/>
      <c r="W779" s="147"/>
      <c r="X779" s="147"/>
      <c r="Y779" s="147"/>
      <c r="Z779" s="147"/>
      <c r="AA779" s="147"/>
      <c r="AB779" s="147"/>
      <c r="AC779" s="147"/>
      <c r="AD779" s="147"/>
      <c r="AE779" s="147"/>
      <c r="AF779" s="147"/>
      <c r="AG779" s="147"/>
      <c r="AH779" s="147"/>
      <c r="AI779" s="147"/>
    </row>
    <row r="780">
      <c r="A780" s="167"/>
      <c r="B780" s="169"/>
      <c r="C780" s="170"/>
      <c r="D780" s="170"/>
      <c r="E780" s="170"/>
      <c r="F780" s="170"/>
      <c r="G780" s="171"/>
      <c r="H780" s="171"/>
      <c r="I780" s="172"/>
      <c r="J780" s="172"/>
      <c r="K780" s="172"/>
      <c r="L780" s="172"/>
      <c r="M780" s="147"/>
      <c r="Q780" s="147"/>
      <c r="R780" s="147"/>
      <c r="S780" s="147"/>
      <c r="T780" s="147"/>
      <c r="U780" s="147"/>
      <c r="V780" s="147"/>
      <c r="W780" s="147"/>
      <c r="X780" s="147"/>
      <c r="Y780" s="147"/>
      <c r="Z780" s="147"/>
      <c r="AA780" s="147"/>
      <c r="AB780" s="147"/>
      <c r="AC780" s="147"/>
      <c r="AD780" s="147"/>
      <c r="AE780" s="147"/>
      <c r="AF780" s="147"/>
      <c r="AG780" s="147"/>
      <c r="AH780" s="147"/>
      <c r="AI780" s="147"/>
    </row>
    <row r="781">
      <c r="A781" s="167"/>
      <c r="B781" s="169"/>
      <c r="C781" s="170"/>
      <c r="D781" s="170"/>
      <c r="E781" s="170"/>
      <c r="F781" s="170"/>
      <c r="G781" s="171"/>
      <c r="H781" s="171"/>
      <c r="I781" s="172"/>
      <c r="J781" s="172"/>
      <c r="K781" s="172"/>
      <c r="L781" s="172"/>
      <c r="M781" s="147"/>
      <c r="Q781" s="147"/>
      <c r="R781" s="147"/>
      <c r="S781" s="147"/>
      <c r="T781" s="147"/>
      <c r="U781" s="147"/>
      <c r="V781" s="147"/>
      <c r="W781" s="147"/>
      <c r="X781" s="147"/>
      <c r="Y781" s="147"/>
      <c r="Z781" s="147"/>
      <c r="AA781" s="147"/>
      <c r="AB781" s="147"/>
      <c r="AC781" s="147"/>
      <c r="AD781" s="147"/>
      <c r="AE781" s="147"/>
      <c r="AF781" s="147"/>
      <c r="AG781" s="147"/>
      <c r="AH781" s="147"/>
      <c r="AI781" s="147"/>
    </row>
    <row r="782">
      <c r="A782" s="167"/>
      <c r="B782" s="169"/>
      <c r="C782" s="170"/>
      <c r="D782" s="170"/>
      <c r="E782" s="170"/>
      <c r="F782" s="170"/>
      <c r="G782" s="171"/>
      <c r="H782" s="171"/>
      <c r="I782" s="172"/>
      <c r="J782" s="172"/>
      <c r="K782" s="172"/>
      <c r="L782" s="172"/>
      <c r="M782" s="147"/>
      <c r="Q782" s="147"/>
      <c r="R782" s="147"/>
      <c r="S782" s="147"/>
      <c r="T782" s="147"/>
      <c r="U782" s="147"/>
      <c r="V782" s="147"/>
      <c r="W782" s="147"/>
      <c r="X782" s="147"/>
      <c r="Y782" s="147"/>
      <c r="Z782" s="147"/>
      <c r="AA782" s="147"/>
      <c r="AB782" s="147"/>
      <c r="AC782" s="147"/>
      <c r="AD782" s="147"/>
      <c r="AE782" s="147"/>
      <c r="AF782" s="147"/>
      <c r="AG782" s="147"/>
      <c r="AH782" s="147"/>
      <c r="AI782" s="147"/>
    </row>
    <row r="783">
      <c r="A783" s="167"/>
      <c r="B783" s="169"/>
      <c r="C783" s="170"/>
      <c r="D783" s="170"/>
      <c r="E783" s="170"/>
      <c r="F783" s="170"/>
      <c r="G783" s="171"/>
      <c r="H783" s="171"/>
      <c r="I783" s="172"/>
      <c r="J783" s="172"/>
      <c r="K783" s="172"/>
      <c r="L783" s="172"/>
      <c r="M783" s="147"/>
      <c r="Q783" s="147"/>
      <c r="R783" s="147"/>
      <c r="S783" s="147"/>
      <c r="T783" s="147"/>
      <c r="U783" s="147"/>
      <c r="V783" s="147"/>
      <c r="W783" s="147"/>
      <c r="X783" s="147"/>
      <c r="Y783" s="147"/>
      <c r="Z783" s="147"/>
      <c r="AA783" s="147"/>
      <c r="AB783" s="147"/>
      <c r="AC783" s="147"/>
      <c r="AD783" s="147"/>
      <c r="AE783" s="147"/>
      <c r="AF783" s="147"/>
      <c r="AG783" s="147"/>
      <c r="AH783" s="147"/>
      <c r="AI783" s="147"/>
    </row>
    <row r="784">
      <c r="A784" s="167"/>
      <c r="B784" s="169"/>
      <c r="C784" s="170"/>
      <c r="D784" s="170"/>
      <c r="E784" s="170"/>
      <c r="F784" s="170"/>
      <c r="G784" s="171"/>
      <c r="H784" s="171"/>
      <c r="I784" s="172"/>
      <c r="J784" s="172"/>
      <c r="K784" s="172"/>
      <c r="L784" s="172"/>
      <c r="M784" s="147"/>
      <c r="Q784" s="147"/>
      <c r="R784" s="147"/>
      <c r="S784" s="147"/>
      <c r="T784" s="147"/>
      <c r="U784" s="147"/>
      <c r="V784" s="147"/>
      <c r="W784" s="147"/>
      <c r="X784" s="147"/>
      <c r="Y784" s="147"/>
      <c r="Z784" s="147"/>
      <c r="AA784" s="147"/>
      <c r="AB784" s="147"/>
      <c r="AC784" s="147"/>
      <c r="AD784" s="147"/>
      <c r="AE784" s="147"/>
      <c r="AF784" s="147"/>
      <c r="AG784" s="147"/>
      <c r="AH784" s="147"/>
      <c r="AI784" s="147"/>
    </row>
    <row r="785">
      <c r="A785" s="167"/>
      <c r="B785" s="169"/>
      <c r="C785" s="170"/>
      <c r="D785" s="170"/>
      <c r="E785" s="170"/>
      <c r="F785" s="170"/>
      <c r="G785" s="171"/>
      <c r="H785" s="171"/>
      <c r="I785" s="172"/>
      <c r="J785" s="172"/>
      <c r="K785" s="172"/>
      <c r="L785" s="172"/>
      <c r="M785" s="147"/>
      <c r="Q785" s="147"/>
      <c r="R785" s="147"/>
      <c r="S785" s="147"/>
      <c r="T785" s="147"/>
      <c r="U785" s="147"/>
      <c r="V785" s="147"/>
      <c r="W785" s="147"/>
      <c r="X785" s="147"/>
      <c r="Y785" s="147"/>
      <c r="Z785" s="147"/>
      <c r="AA785" s="147"/>
      <c r="AB785" s="147"/>
      <c r="AC785" s="147"/>
      <c r="AD785" s="147"/>
      <c r="AE785" s="147"/>
      <c r="AF785" s="147"/>
      <c r="AG785" s="147"/>
      <c r="AH785" s="147"/>
      <c r="AI785" s="147"/>
    </row>
    <row r="786">
      <c r="A786" s="167"/>
      <c r="B786" s="169"/>
      <c r="C786" s="170"/>
      <c r="D786" s="170"/>
      <c r="E786" s="170"/>
      <c r="F786" s="170"/>
      <c r="G786" s="171"/>
      <c r="H786" s="171"/>
      <c r="I786" s="172"/>
      <c r="J786" s="172"/>
      <c r="K786" s="172"/>
      <c r="L786" s="172"/>
      <c r="M786" s="147"/>
      <c r="Q786" s="147"/>
      <c r="R786" s="147"/>
      <c r="S786" s="147"/>
      <c r="T786" s="147"/>
      <c r="U786" s="147"/>
      <c r="V786" s="147"/>
      <c r="W786" s="147"/>
      <c r="X786" s="147"/>
      <c r="Y786" s="147"/>
      <c r="Z786" s="147"/>
      <c r="AA786" s="147"/>
      <c r="AB786" s="147"/>
      <c r="AC786" s="147"/>
      <c r="AD786" s="147"/>
      <c r="AE786" s="147"/>
      <c r="AF786" s="147"/>
      <c r="AG786" s="147"/>
      <c r="AH786" s="147"/>
      <c r="AI786" s="147"/>
    </row>
    <row r="787">
      <c r="A787" s="167"/>
      <c r="B787" s="169"/>
      <c r="C787" s="170"/>
      <c r="D787" s="170"/>
      <c r="E787" s="170"/>
      <c r="F787" s="170"/>
      <c r="G787" s="171"/>
      <c r="H787" s="171"/>
      <c r="I787" s="172"/>
      <c r="J787" s="172"/>
      <c r="K787" s="172"/>
      <c r="L787" s="172"/>
      <c r="M787" s="147"/>
      <c r="Q787" s="147"/>
      <c r="R787" s="147"/>
      <c r="S787" s="147"/>
      <c r="T787" s="147"/>
      <c r="U787" s="147"/>
      <c r="V787" s="147"/>
      <c r="W787" s="147"/>
      <c r="X787" s="147"/>
      <c r="Y787" s="147"/>
      <c r="Z787" s="147"/>
      <c r="AA787" s="147"/>
      <c r="AB787" s="147"/>
      <c r="AC787" s="147"/>
      <c r="AD787" s="147"/>
      <c r="AE787" s="147"/>
      <c r="AF787" s="147"/>
      <c r="AG787" s="147"/>
      <c r="AH787" s="147"/>
      <c r="AI787" s="147"/>
    </row>
    <row r="788">
      <c r="A788" s="167"/>
      <c r="B788" s="169"/>
      <c r="C788" s="170"/>
      <c r="D788" s="170"/>
      <c r="E788" s="170"/>
      <c r="F788" s="170"/>
      <c r="G788" s="171"/>
      <c r="H788" s="171"/>
      <c r="I788" s="172"/>
      <c r="J788" s="172"/>
      <c r="K788" s="172"/>
      <c r="L788" s="172"/>
      <c r="M788" s="147"/>
      <c r="Q788" s="147"/>
      <c r="R788" s="147"/>
      <c r="S788" s="147"/>
      <c r="T788" s="147"/>
      <c r="U788" s="147"/>
      <c r="V788" s="147"/>
      <c r="W788" s="147"/>
      <c r="X788" s="147"/>
      <c r="Y788" s="147"/>
      <c r="Z788" s="147"/>
      <c r="AA788" s="147"/>
      <c r="AB788" s="147"/>
      <c r="AC788" s="147"/>
      <c r="AD788" s="147"/>
      <c r="AE788" s="147"/>
      <c r="AF788" s="147"/>
      <c r="AG788" s="147"/>
      <c r="AH788" s="147"/>
      <c r="AI788" s="147"/>
    </row>
    <row r="789">
      <c r="A789" s="167"/>
      <c r="B789" s="169"/>
      <c r="C789" s="170"/>
      <c r="D789" s="170"/>
      <c r="E789" s="170"/>
      <c r="F789" s="170"/>
      <c r="G789" s="171"/>
      <c r="H789" s="171"/>
      <c r="I789" s="172"/>
      <c r="J789" s="172"/>
      <c r="K789" s="172"/>
      <c r="L789" s="172"/>
      <c r="M789" s="147"/>
      <c r="Q789" s="147"/>
      <c r="R789" s="147"/>
      <c r="S789" s="147"/>
      <c r="T789" s="147"/>
      <c r="U789" s="147"/>
      <c r="V789" s="147"/>
      <c r="W789" s="147"/>
      <c r="X789" s="147"/>
      <c r="Y789" s="147"/>
      <c r="Z789" s="147"/>
      <c r="AA789" s="147"/>
      <c r="AB789" s="147"/>
      <c r="AC789" s="147"/>
      <c r="AD789" s="147"/>
      <c r="AE789" s="147"/>
      <c r="AF789" s="147"/>
      <c r="AG789" s="147"/>
      <c r="AH789" s="147"/>
      <c r="AI789" s="147"/>
    </row>
    <row r="790">
      <c r="A790" s="167"/>
      <c r="B790" s="169"/>
      <c r="C790" s="170"/>
      <c r="D790" s="170"/>
      <c r="E790" s="170"/>
      <c r="F790" s="170"/>
      <c r="G790" s="171"/>
      <c r="H790" s="171"/>
      <c r="I790" s="172"/>
      <c r="J790" s="172"/>
      <c r="K790" s="172"/>
      <c r="L790" s="172"/>
      <c r="M790" s="147"/>
      <c r="Q790" s="147"/>
      <c r="R790" s="147"/>
      <c r="S790" s="147"/>
      <c r="T790" s="147"/>
      <c r="U790" s="147"/>
      <c r="V790" s="147"/>
      <c r="W790" s="147"/>
      <c r="X790" s="147"/>
      <c r="Y790" s="147"/>
      <c r="Z790" s="147"/>
      <c r="AA790" s="147"/>
      <c r="AB790" s="147"/>
      <c r="AC790" s="147"/>
      <c r="AD790" s="147"/>
      <c r="AE790" s="147"/>
      <c r="AF790" s="147"/>
      <c r="AG790" s="147"/>
      <c r="AH790" s="147"/>
      <c r="AI790" s="147"/>
    </row>
    <row r="791">
      <c r="A791" s="167"/>
      <c r="B791" s="169"/>
      <c r="C791" s="170"/>
      <c r="D791" s="170"/>
      <c r="E791" s="170"/>
      <c r="F791" s="170"/>
      <c r="G791" s="171"/>
      <c r="H791" s="171"/>
      <c r="I791" s="172"/>
      <c r="J791" s="172"/>
      <c r="K791" s="172"/>
      <c r="L791" s="172"/>
      <c r="M791" s="147"/>
      <c r="Q791" s="147"/>
      <c r="R791" s="147"/>
      <c r="S791" s="147"/>
      <c r="T791" s="147"/>
      <c r="U791" s="147"/>
      <c r="V791" s="147"/>
      <c r="W791" s="147"/>
      <c r="X791" s="147"/>
      <c r="Y791" s="147"/>
      <c r="Z791" s="147"/>
      <c r="AA791" s="147"/>
      <c r="AB791" s="147"/>
      <c r="AC791" s="147"/>
      <c r="AD791" s="147"/>
      <c r="AE791" s="147"/>
      <c r="AF791" s="147"/>
      <c r="AG791" s="147"/>
      <c r="AH791" s="147"/>
      <c r="AI791" s="147"/>
    </row>
    <row r="792">
      <c r="A792" s="167"/>
      <c r="B792" s="169"/>
      <c r="C792" s="170"/>
      <c r="D792" s="170"/>
      <c r="E792" s="170"/>
      <c r="F792" s="170"/>
      <c r="G792" s="171"/>
      <c r="H792" s="171"/>
      <c r="I792" s="172"/>
      <c r="J792" s="172"/>
      <c r="K792" s="172"/>
      <c r="L792" s="172"/>
      <c r="M792" s="147"/>
      <c r="Q792" s="147"/>
      <c r="R792" s="147"/>
      <c r="S792" s="147"/>
      <c r="T792" s="147"/>
      <c r="U792" s="147"/>
      <c r="V792" s="147"/>
      <c r="W792" s="147"/>
      <c r="X792" s="147"/>
      <c r="Y792" s="147"/>
      <c r="Z792" s="147"/>
      <c r="AA792" s="147"/>
      <c r="AB792" s="147"/>
      <c r="AC792" s="147"/>
      <c r="AD792" s="147"/>
      <c r="AE792" s="147"/>
      <c r="AF792" s="147"/>
      <c r="AG792" s="147"/>
      <c r="AH792" s="147"/>
      <c r="AI792" s="147"/>
    </row>
    <row r="793">
      <c r="A793" s="167"/>
      <c r="B793" s="169"/>
      <c r="C793" s="170"/>
      <c r="D793" s="170"/>
      <c r="E793" s="170"/>
      <c r="F793" s="170"/>
      <c r="G793" s="171"/>
      <c r="H793" s="171"/>
      <c r="I793" s="172"/>
      <c r="J793" s="172"/>
      <c r="K793" s="172"/>
      <c r="L793" s="172"/>
      <c r="M793" s="147"/>
      <c r="Q793" s="147"/>
      <c r="R793" s="147"/>
      <c r="S793" s="147"/>
      <c r="T793" s="147"/>
      <c r="U793" s="147"/>
      <c r="V793" s="147"/>
      <c r="W793" s="147"/>
      <c r="X793" s="147"/>
      <c r="Y793" s="147"/>
      <c r="Z793" s="147"/>
      <c r="AA793" s="147"/>
      <c r="AB793" s="147"/>
      <c r="AC793" s="147"/>
      <c r="AD793" s="147"/>
      <c r="AE793" s="147"/>
      <c r="AF793" s="147"/>
      <c r="AG793" s="147"/>
      <c r="AH793" s="147"/>
      <c r="AI793" s="147"/>
    </row>
    <row r="794">
      <c r="A794" s="167"/>
      <c r="B794" s="169"/>
      <c r="C794" s="170"/>
      <c r="D794" s="170"/>
      <c r="E794" s="170"/>
      <c r="F794" s="170"/>
      <c r="G794" s="171"/>
      <c r="H794" s="171"/>
      <c r="I794" s="172"/>
      <c r="J794" s="172"/>
      <c r="K794" s="172"/>
      <c r="L794" s="172"/>
      <c r="M794" s="147"/>
      <c r="Q794" s="147"/>
      <c r="R794" s="147"/>
      <c r="S794" s="147"/>
      <c r="T794" s="147"/>
      <c r="U794" s="147"/>
      <c r="V794" s="147"/>
      <c r="W794" s="147"/>
      <c r="X794" s="147"/>
      <c r="Y794" s="147"/>
      <c r="Z794" s="147"/>
      <c r="AA794" s="147"/>
      <c r="AB794" s="147"/>
      <c r="AC794" s="147"/>
      <c r="AD794" s="147"/>
      <c r="AE794" s="147"/>
      <c r="AF794" s="147"/>
      <c r="AG794" s="147"/>
      <c r="AH794" s="147"/>
      <c r="AI794" s="147"/>
    </row>
    <row r="795">
      <c r="A795" s="167"/>
      <c r="B795" s="169"/>
      <c r="C795" s="170"/>
      <c r="D795" s="170"/>
      <c r="E795" s="170"/>
      <c r="F795" s="170"/>
      <c r="G795" s="171"/>
      <c r="H795" s="171"/>
      <c r="I795" s="172"/>
      <c r="J795" s="172"/>
      <c r="K795" s="172"/>
      <c r="L795" s="172"/>
      <c r="M795" s="147"/>
      <c r="Q795" s="147"/>
      <c r="R795" s="147"/>
      <c r="S795" s="147"/>
      <c r="T795" s="147"/>
      <c r="U795" s="147"/>
      <c r="V795" s="147"/>
      <c r="W795" s="147"/>
      <c r="X795" s="147"/>
      <c r="Y795" s="147"/>
      <c r="Z795" s="147"/>
      <c r="AA795" s="147"/>
      <c r="AB795" s="147"/>
      <c r="AC795" s="147"/>
      <c r="AD795" s="147"/>
      <c r="AE795" s="147"/>
      <c r="AF795" s="147"/>
      <c r="AG795" s="147"/>
      <c r="AH795" s="147"/>
      <c r="AI795" s="147"/>
    </row>
    <row r="796">
      <c r="A796" s="167"/>
      <c r="B796" s="169"/>
      <c r="C796" s="170"/>
      <c r="D796" s="170"/>
      <c r="E796" s="170"/>
      <c r="F796" s="170"/>
      <c r="G796" s="171"/>
      <c r="H796" s="171"/>
      <c r="I796" s="172"/>
      <c r="J796" s="172"/>
      <c r="K796" s="172"/>
      <c r="L796" s="172"/>
      <c r="M796" s="147"/>
      <c r="Q796" s="147"/>
      <c r="R796" s="147"/>
      <c r="S796" s="147"/>
      <c r="T796" s="147"/>
      <c r="U796" s="147"/>
      <c r="V796" s="147"/>
      <c r="W796" s="147"/>
      <c r="X796" s="147"/>
      <c r="Y796" s="147"/>
      <c r="Z796" s="147"/>
      <c r="AA796" s="147"/>
      <c r="AB796" s="147"/>
      <c r="AC796" s="147"/>
      <c r="AD796" s="147"/>
      <c r="AE796" s="147"/>
      <c r="AF796" s="147"/>
      <c r="AG796" s="147"/>
      <c r="AH796" s="147"/>
      <c r="AI796" s="147"/>
    </row>
    <row r="797">
      <c r="A797" s="167"/>
      <c r="B797" s="169"/>
      <c r="C797" s="170"/>
      <c r="D797" s="170"/>
      <c r="E797" s="170"/>
      <c r="F797" s="170"/>
      <c r="G797" s="171"/>
      <c r="H797" s="171"/>
      <c r="I797" s="172"/>
      <c r="J797" s="172"/>
      <c r="K797" s="172"/>
      <c r="L797" s="172"/>
      <c r="M797" s="147"/>
      <c r="Q797" s="147"/>
      <c r="R797" s="147"/>
      <c r="S797" s="147"/>
      <c r="T797" s="147"/>
      <c r="U797" s="147"/>
      <c r="V797" s="147"/>
      <c r="W797" s="147"/>
      <c r="X797" s="147"/>
      <c r="Y797" s="147"/>
      <c r="Z797" s="147"/>
      <c r="AA797" s="147"/>
      <c r="AB797" s="147"/>
      <c r="AC797" s="147"/>
      <c r="AD797" s="147"/>
      <c r="AE797" s="147"/>
      <c r="AF797" s="147"/>
      <c r="AG797" s="147"/>
      <c r="AH797" s="147"/>
      <c r="AI797" s="147"/>
    </row>
    <row r="798">
      <c r="A798" s="167"/>
      <c r="B798" s="169"/>
      <c r="C798" s="170"/>
      <c r="D798" s="170"/>
      <c r="E798" s="170"/>
      <c r="F798" s="170"/>
      <c r="G798" s="171"/>
      <c r="H798" s="171"/>
      <c r="I798" s="172"/>
      <c r="J798" s="172"/>
      <c r="K798" s="172"/>
      <c r="L798" s="172"/>
      <c r="M798" s="147"/>
      <c r="Q798" s="147"/>
      <c r="R798" s="147"/>
      <c r="S798" s="147"/>
      <c r="T798" s="147"/>
      <c r="U798" s="147"/>
      <c r="V798" s="147"/>
      <c r="W798" s="147"/>
      <c r="X798" s="147"/>
      <c r="Y798" s="147"/>
      <c r="Z798" s="147"/>
      <c r="AA798" s="147"/>
      <c r="AB798" s="147"/>
      <c r="AC798" s="147"/>
      <c r="AD798" s="147"/>
      <c r="AE798" s="147"/>
      <c r="AF798" s="147"/>
      <c r="AG798" s="147"/>
      <c r="AH798" s="147"/>
      <c r="AI798" s="147"/>
    </row>
    <row r="799">
      <c r="A799" s="167"/>
      <c r="B799" s="169"/>
      <c r="C799" s="170"/>
      <c r="D799" s="170"/>
      <c r="E799" s="170"/>
      <c r="F799" s="170"/>
      <c r="G799" s="171"/>
      <c r="H799" s="171"/>
      <c r="I799" s="172"/>
      <c r="J799" s="172"/>
      <c r="K799" s="172"/>
      <c r="L799" s="172"/>
      <c r="M799" s="147"/>
      <c r="Q799" s="147"/>
      <c r="R799" s="147"/>
      <c r="S799" s="147"/>
      <c r="T799" s="147"/>
      <c r="U799" s="147"/>
      <c r="V799" s="147"/>
      <c r="W799" s="147"/>
      <c r="X799" s="147"/>
      <c r="Y799" s="147"/>
      <c r="Z799" s="147"/>
      <c r="AA799" s="147"/>
      <c r="AB799" s="147"/>
      <c r="AC799" s="147"/>
      <c r="AD799" s="147"/>
      <c r="AE799" s="147"/>
      <c r="AF799" s="147"/>
      <c r="AG799" s="147"/>
      <c r="AH799" s="147"/>
      <c r="AI799" s="147"/>
    </row>
    <row r="800">
      <c r="A800" s="167"/>
      <c r="B800" s="169"/>
      <c r="C800" s="170"/>
      <c r="D800" s="170"/>
      <c r="E800" s="170"/>
      <c r="F800" s="170"/>
      <c r="G800" s="171"/>
      <c r="H800" s="171"/>
      <c r="I800" s="172"/>
      <c r="J800" s="172"/>
      <c r="K800" s="172"/>
      <c r="L800" s="172"/>
      <c r="M800" s="147"/>
      <c r="Q800" s="147"/>
      <c r="R800" s="147"/>
      <c r="S800" s="147"/>
      <c r="T800" s="147"/>
      <c r="U800" s="147"/>
      <c r="V800" s="147"/>
      <c r="W800" s="147"/>
      <c r="X800" s="147"/>
      <c r="Y800" s="147"/>
      <c r="Z800" s="147"/>
      <c r="AA800" s="147"/>
      <c r="AB800" s="147"/>
      <c r="AC800" s="147"/>
      <c r="AD800" s="147"/>
      <c r="AE800" s="147"/>
      <c r="AF800" s="147"/>
      <c r="AG800" s="147"/>
      <c r="AH800" s="147"/>
      <c r="AI800" s="147"/>
    </row>
    <row r="801">
      <c r="A801" s="167"/>
      <c r="B801" s="169"/>
      <c r="C801" s="170"/>
      <c r="D801" s="170"/>
      <c r="E801" s="170"/>
      <c r="F801" s="170"/>
      <c r="G801" s="171"/>
      <c r="H801" s="171"/>
      <c r="I801" s="172"/>
      <c r="J801" s="172"/>
      <c r="K801" s="172"/>
      <c r="L801" s="172"/>
      <c r="M801" s="147"/>
      <c r="Q801" s="147"/>
      <c r="R801" s="147"/>
      <c r="S801" s="147"/>
      <c r="T801" s="147"/>
      <c r="U801" s="147"/>
      <c r="V801" s="147"/>
      <c r="W801" s="147"/>
      <c r="X801" s="147"/>
      <c r="Y801" s="147"/>
      <c r="Z801" s="147"/>
      <c r="AA801" s="147"/>
      <c r="AB801" s="147"/>
      <c r="AC801" s="147"/>
      <c r="AD801" s="147"/>
      <c r="AE801" s="147"/>
      <c r="AF801" s="147"/>
      <c r="AG801" s="147"/>
      <c r="AH801" s="147"/>
      <c r="AI801" s="147"/>
    </row>
    <row r="802">
      <c r="A802" s="167"/>
      <c r="B802" s="169"/>
      <c r="C802" s="170"/>
      <c r="D802" s="170"/>
      <c r="E802" s="170"/>
      <c r="F802" s="170"/>
      <c r="G802" s="171"/>
      <c r="H802" s="171"/>
      <c r="I802" s="172"/>
      <c r="J802" s="172"/>
      <c r="K802" s="172"/>
      <c r="L802" s="172"/>
      <c r="M802" s="147"/>
      <c r="Q802" s="147"/>
      <c r="R802" s="147"/>
      <c r="S802" s="147"/>
      <c r="T802" s="147"/>
      <c r="U802" s="147"/>
      <c r="V802" s="147"/>
      <c r="W802" s="147"/>
      <c r="X802" s="147"/>
      <c r="Y802" s="147"/>
      <c r="Z802" s="147"/>
      <c r="AA802" s="147"/>
      <c r="AB802" s="147"/>
      <c r="AC802" s="147"/>
      <c r="AD802" s="147"/>
      <c r="AE802" s="147"/>
      <c r="AF802" s="147"/>
      <c r="AG802" s="147"/>
      <c r="AH802" s="147"/>
      <c r="AI802" s="147"/>
    </row>
    <row r="803">
      <c r="A803" s="167"/>
      <c r="B803" s="169"/>
      <c r="C803" s="170"/>
      <c r="D803" s="170"/>
      <c r="E803" s="170"/>
      <c r="F803" s="170"/>
      <c r="G803" s="171"/>
      <c r="H803" s="171"/>
      <c r="I803" s="172"/>
      <c r="J803" s="172"/>
      <c r="K803" s="172"/>
      <c r="L803" s="172"/>
      <c r="M803" s="147"/>
      <c r="Q803" s="147"/>
      <c r="R803" s="147"/>
      <c r="S803" s="147"/>
      <c r="T803" s="147"/>
      <c r="U803" s="147"/>
      <c r="V803" s="147"/>
      <c r="W803" s="147"/>
      <c r="X803" s="147"/>
      <c r="Y803" s="147"/>
      <c r="Z803" s="147"/>
      <c r="AA803" s="147"/>
      <c r="AB803" s="147"/>
      <c r="AC803" s="147"/>
      <c r="AD803" s="147"/>
      <c r="AE803" s="147"/>
      <c r="AF803" s="147"/>
      <c r="AG803" s="147"/>
      <c r="AH803" s="147"/>
      <c r="AI803" s="147"/>
    </row>
    <row r="804">
      <c r="A804" s="167"/>
      <c r="B804" s="169"/>
      <c r="C804" s="170"/>
      <c r="D804" s="170"/>
      <c r="E804" s="170"/>
      <c r="F804" s="170"/>
      <c r="G804" s="171"/>
      <c r="H804" s="171"/>
      <c r="I804" s="172"/>
      <c r="J804" s="172"/>
      <c r="K804" s="172"/>
      <c r="L804" s="172"/>
      <c r="M804" s="147"/>
      <c r="Q804" s="147"/>
      <c r="R804" s="147"/>
      <c r="S804" s="147"/>
      <c r="T804" s="147"/>
      <c r="U804" s="147"/>
      <c r="V804" s="147"/>
      <c r="W804" s="147"/>
      <c r="X804" s="147"/>
      <c r="Y804" s="147"/>
      <c r="Z804" s="147"/>
      <c r="AA804" s="147"/>
      <c r="AB804" s="147"/>
      <c r="AC804" s="147"/>
      <c r="AD804" s="147"/>
      <c r="AE804" s="147"/>
      <c r="AF804" s="147"/>
      <c r="AG804" s="147"/>
      <c r="AH804" s="147"/>
      <c r="AI804" s="147"/>
    </row>
    <row r="805">
      <c r="A805" s="167"/>
      <c r="B805" s="169"/>
      <c r="C805" s="170"/>
      <c r="D805" s="170"/>
      <c r="E805" s="170"/>
      <c r="F805" s="170"/>
      <c r="G805" s="171"/>
      <c r="H805" s="171"/>
      <c r="I805" s="172"/>
      <c r="J805" s="172"/>
      <c r="K805" s="172"/>
      <c r="L805" s="172"/>
      <c r="M805" s="147"/>
      <c r="Q805" s="147"/>
      <c r="R805" s="147"/>
      <c r="S805" s="147"/>
      <c r="T805" s="147"/>
      <c r="U805" s="147"/>
      <c r="V805" s="147"/>
      <c r="W805" s="147"/>
      <c r="X805" s="147"/>
      <c r="Y805" s="147"/>
      <c r="Z805" s="147"/>
      <c r="AA805" s="147"/>
      <c r="AB805" s="147"/>
      <c r="AC805" s="147"/>
      <c r="AD805" s="147"/>
      <c r="AE805" s="147"/>
      <c r="AF805" s="147"/>
      <c r="AG805" s="147"/>
      <c r="AH805" s="147"/>
      <c r="AI805" s="147"/>
    </row>
    <row r="806">
      <c r="A806" s="167"/>
      <c r="B806" s="169"/>
      <c r="C806" s="170"/>
      <c r="D806" s="170"/>
      <c r="E806" s="170"/>
      <c r="F806" s="170"/>
      <c r="G806" s="171"/>
      <c r="H806" s="171"/>
      <c r="I806" s="172"/>
      <c r="J806" s="172"/>
      <c r="K806" s="172"/>
      <c r="L806" s="172"/>
      <c r="M806" s="147"/>
      <c r="Q806" s="147"/>
      <c r="R806" s="147"/>
      <c r="S806" s="147"/>
      <c r="T806" s="147"/>
      <c r="U806" s="147"/>
      <c r="V806" s="147"/>
      <c r="W806" s="147"/>
      <c r="X806" s="147"/>
      <c r="Y806" s="147"/>
      <c r="Z806" s="147"/>
      <c r="AA806" s="147"/>
      <c r="AB806" s="147"/>
      <c r="AC806" s="147"/>
      <c r="AD806" s="147"/>
      <c r="AE806" s="147"/>
      <c r="AF806" s="147"/>
      <c r="AG806" s="147"/>
      <c r="AH806" s="147"/>
      <c r="AI806" s="147"/>
    </row>
    <row r="807">
      <c r="A807" s="167"/>
      <c r="B807" s="169"/>
      <c r="C807" s="170"/>
      <c r="D807" s="170"/>
      <c r="E807" s="170"/>
      <c r="F807" s="170"/>
      <c r="G807" s="171"/>
      <c r="H807" s="171"/>
      <c r="I807" s="172"/>
      <c r="J807" s="172"/>
      <c r="K807" s="172"/>
      <c r="L807" s="172"/>
      <c r="M807" s="147"/>
      <c r="Q807" s="147"/>
      <c r="R807" s="147"/>
      <c r="S807" s="147"/>
      <c r="T807" s="147"/>
      <c r="U807" s="147"/>
      <c r="V807" s="147"/>
      <c r="W807" s="147"/>
      <c r="X807" s="147"/>
      <c r="Y807" s="147"/>
      <c r="Z807" s="147"/>
      <c r="AA807" s="147"/>
      <c r="AB807" s="147"/>
      <c r="AC807" s="147"/>
      <c r="AD807" s="147"/>
      <c r="AE807" s="147"/>
      <c r="AF807" s="147"/>
      <c r="AG807" s="147"/>
      <c r="AH807" s="147"/>
      <c r="AI807" s="147"/>
    </row>
    <row r="808">
      <c r="A808" s="167"/>
      <c r="B808" s="169"/>
      <c r="C808" s="170"/>
      <c r="D808" s="170"/>
      <c r="E808" s="170"/>
      <c r="F808" s="170"/>
      <c r="G808" s="171"/>
      <c r="H808" s="171"/>
      <c r="I808" s="172"/>
      <c r="J808" s="172"/>
      <c r="K808" s="172"/>
      <c r="L808" s="172"/>
      <c r="M808" s="147"/>
      <c r="Q808" s="147"/>
      <c r="R808" s="147"/>
      <c r="S808" s="147"/>
      <c r="T808" s="147"/>
      <c r="U808" s="147"/>
      <c r="V808" s="147"/>
      <c r="W808" s="147"/>
      <c r="X808" s="147"/>
      <c r="Y808" s="147"/>
      <c r="Z808" s="147"/>
      <c r="AA808" s="147"/>
      <c r="AB808" s="147"/>
      <c r="AC808" s="147"/>
      <c r="AD808" s="147"/>
      <c r="AE808" s="147"/>
      <c r="AF808" s="147"/>
      <c r="AG808" s="147"/>
      <c r="AH808" s="147"/>
      <c r="AI808" s="147"/>
    </row>
    <row r="809">
      <c r="A809" s="167"/>
      <c r="B809" s="169"/>
      <c r="C809" s="170"/>
      <c r="D809" s="170"/>
      <c r="E809" s="170"/>
      <c r="F809" s="170"/>
      <c r="G809" s="171"/>
      <c r="H809" s="171"/>
      <c r="I809" s="172"/>
      <c r="J809" s="172"/>
      <c r="K809" s="172"/>
      <c r="L809" s="172"/>
      <c r="M809" s="147"/>
      <c r="Q809" s="147"/>
      <c r="R809" s="147"/>
      <c r="S809" s="147"/>
      <c r="T809" s="147"/>
      <c r="U809" s="147"/>
      <c r="V809" s="147"/>
      <c r="W809" s="147"/>
      <c r="X809" s="147"/>
      <c r="Y809" s="147"/>
      <c r="Z809" s="147"/>
      <c r="AA809" s="147"/>
      <c r="AB809" s="147"/>
      <c r="AC809" s="147"/>
      <c r="AD809" s="147"/>
      <c r="AE809" s="147"/>
      <c r="AF809" s="147"/>
      <c r="AG809" s="147"/>
      <c r="AH809" s="147"/>
      <c r="AI809" s="147"/>
    </row>
    <row r="810">
      <c r="A810" s="167"/>
      <c r="B810" s="169"/>
      <c r="C810" s="170"/>
      <c r="D810" s="170"/>
      <c r="E810" s="170"/>
      <c r="F810" s="170"/>
      <c r="G810" s="171"/>
      <c r="H810" s="171"/>
      <c r="I810" s="172"/>
      <c r="J810" s="172"/>
      <c r="K810" s="172"/>
      <c r="L810" s="172"/>
      <c r="M810" s="147"/>
      <c r="Q810" s="147"/>
      <c r="R810" s="147"/>
      <c r="S810" s="147"/>
      <c r="T810" s="147"/>
      <c r="U810" s="147"/>
      <c r="V810" s="147"/>
      <c r="W810" s="147"/>
      <c r="X810" s="147"/>
      <c r="Y810" s="147"/>
      <c r="Z810" s="147"/>
      <c r="AA810" s="147"/>
      <c r="AB810" s="147"/>
      <c r="AC810" s="147"/>
      <c r="AD810" s="147"/>
      <c r="AE810" s="147"/>
      <c r="AF810" s="147"/>
      <c r="AG810" s="147"/>
      <c r="AH810" s="147"/>
      <c r="AI810" s="147"/>
    </row>
    <row r="811">
      <c r="A811" s="167"/>
      <c r="B811" s="169"/>
      <c r="C811" s="170"/>
      <c r="D811" s="170"/>
      <c r="E811" s="170"/>
      <c r="F811" s="170"/>
      <c r="G811" s="171"/>
      <c r="H811" s="171"/>
      <c r="I811" s="172"/>
      <c r="J811" s="172"/>
      <c r="K811" s="172"/>
      <c r="L811" s="172"/>
      <c r="M811" s="147"/>
      <c r="Q811" s="147"/>
      <c r="R811" s="147"/>
      <c r="S811" s="147"/>
      <c r="T811" s="147"/>
      <c r="U811" s="147"/>
      <c r="V811" s="147"/>
      <c r="W811" s="147"/>
      <c r="X811" s="147"/>
      <c r="Y811" s="147"/>
      <c r="Z811" s="147"/>
      <c r="AA811" s="147"/>
      <c r="AB811" s="147"/>
      <c r="AC811" s="147"/>
      <c r="AD811" s="147"/>
      <c r="AE811" s="147"/>
      <c r="AF811" s="147"/>
      <c r="AG811" s="147"/>
      <c r="AH811" s="147"/>
      <c r="AI811" s="147"/>
    </row>
    <row r="812">
      <c r="A812" s="167"/>
      <c r="B812" s="169"/>
      <c r="C812" s="170"/>
      <c r="D812" s="170"/>
      <c r="E812" s="170"/>
      <c r="F812" s="170"/>
      <c r="G812" s="171"/>
      <c r="H812" s="171"/>
      <c r="I812" s="172"/>
      <c r="J812" s="172"/>
      <c r="K812" s="172"/>
      <c r="L812" s="172"/>
      <c r="M812" s="147"/>
      <c r="Q812" s="147"/>
      <c r="R812" s="147"/>
      <c r="S812" s="147"/>
      <c r="T812" s="147"/>
      <c r="U812" s="147"/>
      <c r="V812" s="147"/>
      <c r="W812" s="147"/>
      <c r="X812" s="147"/>
      <c r="Y812" s="147"/>
      <c r="Z812" s="147"/>
      <c r="AA812" s="147"/>
      <c r="AB812" s="147"/>
      <c r="AC812" s="147"/>
      <c r="AD812" s="147"/>
      <c r="AE812" s="147"/>
      <c r="AF812" s="147"/>
      <c r="AG812" s="147"/>
      <c r="AH812" s="147"/>
      <c r="AI812" s="147"/>
    </row>
    <row r="813">
      <c r="A813" s="167"/>
      <c r="B813" s="169"/>
      <c r="C813" s="170"/>
      <c r="D813" s="170"/>
      <c r="E813" s="170"/>
      <c r="F813" s="170"/>
      <c r="G813" s="171"/>
      <c r="H813" s="171"/>
      <c r="I813" s="172"/>
      <c r="J813" s="172"/>
      <c r="K813" s="172"/>
      <c r="L813" s="172"/>
      <c r="M813" s="147"/>
      <c r="Q813" s="147"/>
      <c r="R813" s="147"/>
      <c r="S813" s="147"/>
      <c r="T813" s="147"/>
      <c r="U813" s="147"/>
      <c r="V813" s="147"/>
      <c r="W813" s="147"/>
      <c r="X813" s="147"/>
      <c r="Y813" s="147"/>
      <c r="Z813" s="147"/>
      <c r="AA813" s="147"/>
      <c r="AB813" s="147"/>
      <c r="AC813" s="147"/>
      <c r="AD813" s="147"/>
      <c r="AE813" s="147"/>
      <c r="AF813" s="147"/>
      <c r="AG813" s="147"/>
      <c r="AH813" s="147"/>
      <c r="AI813" s="147"/>
    </row>
    <row r="814">
      <c r="A814" s="167"/>
      <c r="B814" s="169"/>
      <c r="C814" s="170"/>
      <c r="D814" s="170"/>
      <c r="E814" s="170"/>
      <c r="F814" s="170"/>
      <c r="G814" s="171"/>
      <c r="H814" s="171"/>
      <c r="I814" s="172"/>
      <c r="J814" s="172"/>
      <c r="K814" s="172"/>
      <c r="L814" s="172"/>
      <c r="M814" s="147"/>
      <c r="Q814" s="147"/>
      <c r="R814" s="147"/>
      <c r="S814" s="147"/>
      <c r="T814" s="147"/>
      <c r="U814" s="147"/>
      <c r="V814" s="147"/>
      <c r="W814" s="147"/>
      <c r="X814" s="147"/>
      <c r="Y814" s="147"/>
      <c r="Z814" s="147"/>
      <c r="AA814" s="147"/>
      <c r="AB814" s="147"/>
      <c r="AC814" s="147"/>
      <c r="AD814" s="147"/>
      <c r="AE814" s="147"/>
      <c r="AF814" s="147"/>
      <c r="AG814" s="147"/>
      <c r="AH814" s="147"/>
      <c r="AI814" s="147"/>
    </row>
    <row r="815">
      <c r="A815" s="167"/>
      <c r="B815" s="169"/>
      <c r="C815" s="170"/>
      <c r="D815" s="170"/>
      <c r="E815" s="170"/>
      <c r="F815" s="170"/>
      <c r="G815" s="171"/>
      <c r="H815" s="171"/>
      <c r="I815" s="172"/>
      <c r="J815" s="172"/>
      <c r="K815" s="172"/>
      <c r="L815" s="172"/>
      <c r="M815" s="147"/>
      <c r="Q815" s="147"/>
      <c r="R815" s="147"/>
      <c r="S815" s="147"/>
      <c r="T815" s="147"/>
      <c r="U815" s="147"/>
      <c r="V815" s="147"/>
      <c r="W815" s="147"/>
      <c r="X815" s="147"/>
      <c r="Y815" s="147"/>
      <c r="Z815" s="147"/>
      <c r="AA815" s="147"/>
      <c r="AB815" s="147"/>
      <c r="AC815" s="147"/>
      <c r="AD815" s="147"/>
      <c r="AE815" s="147"/>
      <c r="AF815" s="147"/>
      <c r="AG815" s="147"/>
      <c r="AH815" s="147"/>
      <c r="AI815" s="147"/>
    </row>
    <row r="816">
      <c r="A816" s="167"/>
      <c r="B816" s="169"/>
      <c r="C816" s="170"/>
      <c r="D816" s="170"/>
      <c r="E816" s="170"/>
      <c r="F816" s="170"/>
      <c r="G816" s="171"/>
      <c r="H816" s="171"/>
      <c r="I816" s="172"/>
      <c r="J816" s="172"/>
      <c r="K816" s="172"/>
      <c r="L816" s="172"/>
      <c r="M816" s="147"/>
      <c r="Q816" s="147"/>
      <c r="R816" s="147"/>
      <c r="S816" s="147"/>
      <c r="T816" s="147"/>
      <c r="U816" s="147"/>
      <c r="V816" s="147"/>
      <c r="W816" s="147"/>
      <c r="X816" s="147"/>
      <c r="Y816" s="147"/>
      <c r="Z816" s="147"/>
      <c r="AA816" s="147"/>
      <c r="AB816" s="147"/>
      <c r="AC816" s="147"/>
      <c r="AD816" s="147"/>
      <c r="AE816" s="147"/>
      <c r="AF816" s="147"/>
      <c r="AG816" s="147"/>
      <c r="AH816" s="147"/>
      <c r="AI816" s="147"/>
    </row>
    <row r="817">
      <c r="A817" s="167"/>
      <c r="B817" s="169"/>
      <c r="C817" s="170"/>
      <c r="D817" s="170"/>
      <c r="E817" s="170"/>
      <c r="F817" s="170"/>
      <c r="G817" s="171"/>
      <c r="H817" s="171"/>
      <c r="I817" s="172"/>
      <c r="J817" s="172"/>
      <c r="K817" s="172"/>
      <c r="L817" s="172"/>
      <c r="M817" s="147"/>
      <c r="Q817" s="147"/>
      <c r="R817" s="147"/>
      <c r="S817" s="147"/>
      <c r="T817" s="147"/>
      <c r="U817" s="147"/>
      <c r="V817" s="147"/>
      <c r="W817" s="147"/>
      <c r="X817" s="147"/>
      <c r="Y817" s="147"/>
      <c r="Z817" s="147"/>
      <c r="AA817" s="147"/>
      <c r="AB817" s="147"/>
      <c r="AC817" s="147"/>
      <c r="AD817" s="147"/>
      <c r="AE817" s="147"/>
      <c r="AF817" s="147"/>
      <c r="AG817" s="147"/>
      <c r="AH817" s="147"/>
      <c r="AI817" s="147"/>
    </row>
    <row r="818">
      <c r="A818" s="167"/>
      <c r="B818" s="169"/>
      <c r="C818" s="170"/>
      <c r="D818" s="170"/>
      <c r="E818" s="170"/>
      <c r="F818" s="170"/>
      <c r="G818" s="171"/>
      <c r="H818" s="171"/>
      <c r="I818" s="172"/>
      <c r="J818" s="172"/>
      <c r="K818" s="172"/>
      <c r="L818" s="172"/>
      <c r="M818" s="147"/>
      <c r="Q818" s="147"/>
      <c r="R818" s="147"/>
      <c r="S818" s="147"/>
      <c r="T818" s="147"/>
      <c r="U818" s="147"/>
      <c r="V818" s="147"/>
      <c r="W818" s="147"/>
      <c r="X818" s="147"/>
      <c r="Y818" s="147"/>
      <c r="Z818" s="147"/>
      <c r="AA818" s="147"/>
      <c r="AB818" s="147"/>
      <c r="AC818" s="147"/>
      <c r="AD818" s="147"/>
      <c r="AE818" s="147"/>
      <c r="AF818" s="147"/>
      <c r="AG818" s="147"/>
      <c r="AH818" s="147"/>
      <c r="AI818" s="147"/>
    </row>
    <row r="819">
      <c r="A819" s="167"/>
      <c r="B819" s="169"/>
      <c r="C819" s="170"/>
      <c r="D819" s="170"/>
      <c r="E819" s="170"/>
      <c r="F819" s="170"/>
      <c r="G819" s="171"/>
      <c r="H819" s="171"/>
      <c r="I819" s="172"/>
      <c r="J819" s="172"/>
      <c r="K819" s="172"/>
      <c r="L819" s="172"/>
      <c r="M819" s="147"/>
      <c r="Q819" s="147"/>
      <c r="R819" s="147"/>
      <c r="S819" s="147"/>
      <c r="T819" s="147"/>
      <c r="U819" s="147"/>
      <c r="V819" s="147"/>
      <c r="W819" s="147"/>
      <c r="X819" s="147"/>
      <c r="Y819" s="147"/>
      <c r="Z819" s="147"/>
      <c r="AA819" s="147"/>
      <c r="AB819" s="147"/>
      <c r="AC819" s="147"/>
      <c r="AD819" s="147"/>
      <c r="AE819" s="147"/>
      <c r="AF819" s="147"/>
      <c r="AG819" s="147"/>
      <c r="AH819" s="147"/>
      <c r="AI819" s="147"/>
    </row>
    <row r="820">
      <c r="A820" s="167"/>
      <c r="B820" s="169"/>
      <c r="C820" s="170"/>
      <c r="D820" s="170"/>
      <c r="E820" s="170"/>
      <c r="F820" s="170"/>
      <c r="G820" s="171"/>
      <c r="H820" s="171"/>
      <c r="I820" s="172"/>
      <c r="J820" s="172"/>
      <c r="K820" s="172"/>
      <c r="L820" s="172"/>
      <c r="M820" s="147"/>
      <c r="Q820" s="147"/>
      <c r="R820" s="147"/>
      <c r="S820" s="147"/>
      <c r="T820" s="147"/>
      <c r="U820" s="147"/>
      <c r="V820" s="147"/>
      <c r="W820" s="147"/>
      <c r="X820" s="147"/>
      <c r="Y820" s="147"/>
      <c r="Z820" s="147"/>
      <c r="AA820" s="147"/>
      <c r="AB820" s="147"/>
      <c r="AC820" s="147"/>
      <c r="AD820" s="147"/>
      <c r="AE820" s="147"/>
      <c r="AF820" s="147"/>
      <c r="AG820" s="147"/>
      <c r="AH820" s="147"/>
      <c r="AI820" s="147"/>
    </row>
    <row r="821">
      <c r="A821" s="167"/>
      <c r="B821" s="169"/>
      <c r="C821" s="170"/>
      <c r="D821" s="170"/>
      <c r="E821" s="170"/>
      <c r="F821" s="170"/>
      <c r="G821" s="171"/>
      <c r="H821" s="171"/>
      <c r="I821" s="172"/>
      <c r="J821" s="172"/>
      <c r="K821" s="172"/>
      <c r="L821" s="172"/>
      <c r="M821" s="147"/>
      <c r="Q821" s="147"/>
      <c r="R821" s="147"/>
      <c r="S821" s="147"/>
      <c r="T821" s="147"/>
      <c r="U821" s="147"/>
      <c r="V821" s="147"/>
      <c r="W821" s="147"/>
      <c r="X821" s="147"/>
      <c r="Y821" s="147"/>
      <c r="Z821" s="147"/>
      <c r="AA821" s="147"/>
      <c r="AB821" s="147"/>
      <c r="AC821" s="147"/>
      <c r="AD821" s="147"/>
      <c r="AE821" s="147"/>
      <c r="AF821" s="147"/>
      <c r="AG821" s="147"/>
      <c r="AH821" s="147"/>
      <c r="AI821" s="147"/>
    </row>
    <row r="822">
      <c r="A822" s="167"/>
      <c r="B822" s="169"/>
      <c r="C822" s="170"/>
      <c r="D822" s="170"/>
      <c r="E822" s="170"/>
      <c r="F822" s="170"/>
      <c r="G822" s="171"/>
      <c r="H822" s="171"/>
      <c r="I822" s="172"/>
      <c r="J822" s="172"/>
      <c r="K822" s="172"/>
      <c r="L822" s="172"/>
      <c r="M822" s="147"/>
      <c r="Q822" s="147"/>
      <c r="R822" s="147"/>
      <c r="S822" s="147"/>
      <c r="T822" s="147"/>
      <c r="U822" s="147"/>
      <c r="V822" s="147"/>
      <c r="W822" s="147"/>
      <c r="X822" s="147"/>
      <c r="Y822" s="147"/>
      <c r="Z822" s="147"/>
      <c r="AA822" s="147"/>
      <c r="AB822" s="147"/>
      <c r="AC822" s="147"/>
      <c r="AD822" s="147"/>
      <c r="AE822" s="147"/>
      <c r="AF822" s="147"/>
      <c r="AG822" s="147"/>
      <c r="AH822" s="147"/>
      <c r="AI822" s="147"/>
    </row>
    <row r="823">
      <c r="A823" s="167"/>
      <c r="B823" s="169"/>
      <c r="C823" s="170"/>
      <c r="D823" s="170"/>
      <c r="E823" s="170"/>
      <c r="F823" s="170"/>
      <c r="G823" s="171"/>
      <c r="H823" s="171"/>
      <c r="I823" s="172"/>
      <c r="J823" s="172"/>
      <c r="K823" s="172"/>
      <c r="L823" s="172"/>
      <c r="M823" s="147"/>
      <c r="Q823" s="147"/>
      <c r="R823" s="147"/>
      <c r="S823" s="147"/>
      <c r="T823" s="147"/>
      <c r="U823" s="147"/>
      <c r="V823" s="147"/>
      <c r="W823" s="147"/>
      <c r="X823" s="147"/>
      <c r="Y823" s="147"/>
      <c r="Z823" s="147"/>
      <c r="AA823" s="147"/>
      <c r="AB823" s="147"/>
      <c r="AC823" s="147"/>
      <c r="AD823" s="147"/>
      <c r="AE823" s="147"/>
      <c r="AF823" s="147"/>
      <c r="AG823" s="147"/>
      <c r="AH823" s="147"/>
      <c r="AI823" s="147"/>
    </row>
    <row r="824">
      <c r="A824" s="167"/>
      <c r="B824" s="169"/>
      <c r="C824" s="170"/>
      <c r="D824" s="170"/>
      <c r="E824" s="170"/>
      <c r="F824" s="170"/>
      <c r="G824" s="171"/>
      <c r="H824" s="171"/>
      <c r="I824" s="172"/>
      <c r="J824" s="172"/>
      <c r="K824" s="172"/>
      <c r="L824" s="172"/>
      <c r="M824" s="147"/>
      <c r="Q824" s="147"/>
      <c r="R824" s="147"/>
      <c r="S824" s="147"/>
      <c r="T824" s="147"/>
      <c r="U824" s="147"/>
      <c r="V824" s="147"/>
      <c r="W824" s="147"/>
      <c r="X824" s="147"/>
      <c r="Y824" s="147"/>
      <c r="Z824" s="147"/>
      <c r="AA824" s="147"/>
      <c r="AB824" s="147"/>
      <c r="AC824" s="147"/>
      <c r="AD824" s="147"/>
      <c r="AE824" s="147"/>
      <c r="AF824" s="147"/>
      <c r="AG824" s="147"/>
      <c r="AH824" s="147"/>
      <c r="AI824" s="147"/>
    </row>
    <row r="825">
      <c r="A825" s="167"/>
      <c r="B825" s="169"/>
      <c r="C825" s="170"/>
      <c r="D825" s="170"/>
      <c r="E825" s="170"/>
      <c r="F825" s="170"/>
      <c r="G825" s="171"/>
      <c r="H825" s="171"/>
      <c r="I825" s="172"/>
      <c r="J825" s="172"/>
      <c r="K825" s="172"/>
      <c r="L825" s="172"/>
      <c r="M825" s="147"/>
      <c r="Q825" s="147"/>
      <c r="R825" s="147"/>
      <c r="S825" s="147"/>
      <c r="T825" s="147"/>
      <c r="U825" s="147"/>
      <c r="V825" s="147"/>
      <c r="W825" s="147"/>
      <c r="X825" s="147"/>
      <c r="Y825" s="147"/>
      <c r="Z825" s="147"/>
      <c r="AA825" s="147"/>
      <c r="AB825" s="147"/>
      <c r="AC825" s="147"/>
      <c r="AD825" s="147"/>
      <c r="AE825" s="147"/>
      <c r="AF825" s="147"/>
      <c r="AG825" s="147"/>
      <c r="AH825" s="147"/>
      <c r="AI825" s="147"/>
    </row>
    <row r="826">
      <c r="A826" s="167"/>
      <c r="B826" s="169"/>
      <c r="C826" s="170"/>
      <c r="D826" s="170"/>
      <c r="E826" s="170"/>
      <c r="F826" s="170"/>
      <c r="G826" s="171"/>
      <c r="H826" s="171"/>
      <c r="I826" s="172"/>
      <c r="J826" s="172"/>
      <c r="K826" s="172"/>
      <c r="L826" s="172"/>
      <c r="M826" s="147"/>
      <c r="Q826" s="147"/>
      <c r="R826" s="147"/>
      <c r="S826" s="147"/>
      <c r="T826" s="147"/>
      <c r="U826" s="147"/>
      <c r="V826" s="147"/>
      <c r="W826" s="147"/>
      <c r="X826" s="147"/>
      <c r="Y826" s="147"/>
      <c r="Z826" s="147"/>
      <c r="AA826" s="147"/>
      <c r="AB826" s="147"/>
      <c r="AC826" s="147"/>
      <c r="AD826" s="147"/>
      <c r="AE826" s="147"/>
      <c r="AF826" s="147"/>
      <c r="AG826" s="147"/>
      <c r="AH826" s="147"/>
      <c r="AI826" s="147"/>
    </row>
    <row r="827">
      <c r="A827" s="167"/>
      <c r="B827" s="169"/>
      <c r="C827" s="170"/>
      <c r="D827" s="170"/>
      <c r="E827" s="170"/>
      <c r="F827" s="170"/>
      <c r="G827" s="171"/>
      <c r="H827" s="171"/>
      <c r="I827" s="172"/>
      <c r="J827" s="172"/>
      <c r="K827" s="172"/>
      <c r="L827" s="172"/>
      <c r="M827" s="147"/>
      <c r="Q827" s="147"/>
      <c r="R827" s="147"/>
      <c r="S827" s="147"/>
      <c r="T827" s="147"/>
      <c r="U827" s="147"/>
      <c r="V827" s="147"/>
      <c r="W827" s="147"/>
      <c r="X827" s="147"/>
      <c r="Y827" s="147"/>
      <c r="Z827" s="147"/>
      <c r="AA827" s="147"/>
      <c r="AB827" s="147"/>
      <c r="AC827" s="147"/>
      <c r="AD827" s="147"/>
      <c r="AE827" s="147"/>
      <c r="AF827" s="147"/>
      <c r="AG827" s="147"/>
      <c r="AH827" s="147"/>
      <c r="AI827" s="147"/>
    </row>
    <row r="828">
      <c r="A828" s="167"/>
      <c r="B828" s="169"/>
      <c r="C828" s="170"/>
      <c r="D828" s="170"/>
      <c r="E828" s="170"/>
      <c r="F828" s="170"/>
      <c r="G828" s="171"/>
      <c r="H828" s="171"/>
      <c r="I828" s="172"/>
      <c r="J828" s="172"/>
      <c r="K828" s="172"/>
      <c r="L828" s="172"/>
      <c r="M828" s="147"/>
      <c r="Q828" s="147"/>
      <c r="R828" s="147"/>
      <c r="S828" s="147"/>
      <c r="T828" s="147"/>
      <c r="U828" s="147"/>
      <c r="V828" s="147"/>
      <c r="W828" s="147"/>
      <c r="X828" s="147"/>
      <c r="Y828" s="147"/>
      <c r="Z828" s="147"/>
      <c r="AA828" s="147"/>
      <c r="AB828" s="147"/>
      <c r="AC828" s="147"/>
      <c r="AD828" s="147"/>
      <c r="AE828" s="147"/>
      <c r="AF828" s="147"/>
      <c r="AG828" s="147"/>
      <c r="AH828" s="147"/>
      <c r="AI828" s="147"/>
    </row>
    <row r="829">
      <c r="A829" s="167"/>
      <c r="B829" s="169"/>
      <c r="C829" s="170"/>
      <c r="D829" s="170"/>
      <c r="E829" s="170"/>
      <c r="F829" s="170"/>
      <c r="G829" s="171"/>
      <c r="H829" s="171"/>
      <c r="I829" s="172"/>
      <c r="J829" s="172"/>
      <c r="K829" s="172"/>
      <c r="L829" s="172"/>
      <c r="M829" s="147"/>
      <c r="Q829" s="147"/>
      <c r="R829" s="147"/>
      <c r="S829" s="147"/>
      <c r="T829" s="147"/>
      <c r="U829" s="147"/>
      <c r="V829" s="147"/>
      <c r="W829" s="147"/>
      <c r="X829" s="147"/>
      <c r="Y829" s="147"/>
      <c r="Z829" s="147"/>
      <c r="AA829" s="147"/>
      <c r="AB829" s="147"/>
      <c r="AC829" s="147"/>
      <c r="AD829" s="147"/>
      <c r="AE829" s="147"/>
      <c r="AF829" s="147"/>
      <c r="AG829" s="147"/>
      <c r="AH829" s="147"/>
      <c r="AI829" s="147"/>
    </row>
    <row r="830">
      <c r="A830" s="167"/>
      <c r="B830" s="169"/>
      <c r="C830" s="170"/>
      <c r="D830" s="170"/>
      <c r="E830" s="170"/>
      <c r="F830" s="170"/>
      <c r="G830" s="171"/>
      <c r="H830" s="171"/>
      <c r="I830" s="172"/>
      <c r="J830" s="172"/>
      <c r="K830" s="172"/>
      <c r="L830" s="172"/>
      <c r="M830" s="147"/>
      <c r="Q830" s="147"/>
      <c r="R830" s="147"/>
      <c r="S830" s="147"/>
      <c r="T830" s="147"/>
      <c r="U830" s="147"/>
      <c r="V830" s="147"/>
      <c r="W830" s="147"/>
      <c r="X830" s="147"/>
      <c r="Y830" s="147"/>
      <c r="Z830" s="147"/>
      <c r="AA830" s="147"/>
      <c r="AB830" s="147"/>
      <c r="AC830" s="147"/>
      <c r="AD830" s="147"/>
      <c r="AE830" s="147"/>
      <c r="AF830" s="147"/>
      <c r="AG830" s="147"/>
      <c r="AH830" s="147"/>
      <c r="AI830" s="147"/>
    </row>
    <row r="831">
      <c r="A831" s="167"/>
      <c r="B831" s="169"/>
      <c r="C831" s="170"/>
      <c r="D831" s="170"/>
      <c r="E831" s="170"/>
      <c r="F831" s="170"/>
      <c r="G831" s="171"/>
      <c r="H831" s="171"/>
      <c r="I831" s="172"/>
      <c r="J831" s="172"/>
      <c r="K831" s="172"/>
      <c r="L831" s="172"/>
      <c r="M831" s="147"/>
      <c r="Q831" s="147"/>
      <c r="R831" s="147"/>
      <c r="S831" s="147"/>
      <c r="T831" s="147"/>
      <c r="U831" s="147"/>
      <c r="V831" s="147"/>
      <c r="W831" s="147"/>
      <c r="X831" s="147"/>
      <c r="Y831" s="147"/>
      <c r="Z831" s="147"/>
      <c r="AA831" s="147"/>
      <c r="AB831" s="147"/>
      <c r="AC831" s="147"/>
      <c r="AD831" s="147"/>
      <c r="AE831" s="147"/>
      <c r="AF831" s="147"/>
      <c r="AG831" s="147"/>
      <c r="AH831" s="147"/>
      <c r="AI831" s="147"/>
    </row>
    <row r="832">
      <c r="A832" s="167"/>
      <c r="B832" s="169"/>
      <c r="C832" s="170"/>
      <c r="D832" s="170"/>
      <c r="E832" s="170"/>
      <c r="F832" s="170"/>
      <c r="G832" s="171"/>
      <c r="H832" s="171"/>
      <c r="I832" s="172"/>
      <c r="J832" s="172"/>
      <c r="K832" s="172"/>
      <c r="L832" s="172"/>
      <c r="M832" s="147"/>
      <c r="Q832" s="147"/>
      <c r="R832" s="147"/>
      <c r="S832" s="147"/>
      <c r="T832" s="147"/>
      <c r="U832" s="147"/>
      <c r="V832" s="147"/>
      <c r="W832" s="147"/>
      <c r="X832" s="147"/>
      <c r="Y832" s="147"/>
      <c r="Z832" s="147"/>
      <c r="AA832" s="147"/>
      <c r="AB832" s="147"/>
      <c r="AC832" s="147"/>
      <c r="AD832" s="147"/>
      <c r="AE832" s="147"/>
      <c r="AF832" s="147"/>
      <c r="AG832" s="147"/>
      <c r="AH832" s="147"/>
      <c r="AI832" s="147"/>
    </row>
    <row r="833">
      <c r="A833" s="167"/>
      <c r="B833" s="169"/>
      <c r="C833" s="170"/>
      <c r="D833" s="170"/>
      <c r="E833" s="170"/>
      <c r="F833" s="170"/>
      <c r="G833" s="171"/>
      <c r="H833" s="171"/>
      <c r="I833" s="172"/>
      <c r="J833" s="172"/>
      <c r="K833" s="172"/>
      <c r="L833" s="172"/>
      <c r="M833" s="147"/>
      <c r="Q833" s="147"/>
      <c r="R833" s="147"/>
      <c r="S833" s="147"/>
      <c r="T833" s="147"/>
      <c r="U833" s="147"/>
      <c r="V833" s="147"/>
      <c r="W833" s="147"/>
      <c r="X833" s="147"/>
      <c r="Y833" s="147"/>
      <c r="Z833" s="147"/>
      <c r="AA833" s="147"/>
      <c r="AB833" s="147"/>
      <c r="AC833" s="147"/>
      <c r="AD833" s="147"/>
      <c r="AE833" s="147"/>
      <c r="AF833" s="147"/>
      <c r="AG833" s="147"/>
      <c r="AH833" s="147"/>
      <c r="AI833" s="147"/>
    </row>
    <row r="834">
      <c r="A834" s="167"/>
      <c r="B834" s="169"/>
      <c r="C834" s="170"/>
      <c r="D834" s="170"/>
      <c r="E834" s="170"/>
      <c r="F834" s="170"/>
      <c r="G834" s="171"/>
      <c r="H834" s="171"/>
      <c r="I834" s="172"/>
      <c r="J834" s="172"/>
      <c r="K834" s="172"/>
      <c r="L834" s="172"/>
      <c r="M834" s="147"/>
      <c r="Q834" s="147"/>
      <c r="R834" s="147"/>
      <c r="S834" s="147"/>
      <c r="T834" s="147"/>
      <c r="U834" s="147"/>
      <c r="V834" s="147"/>
      <c r="W834" s="147"/>
      <c r="X834" s="147"/>
      <c r="Y834" s="147"/>
      <c r="Z834" s="147"/>
      <c r="AA834" s="147"/>
      <c r="AB834" s="147"/>
      <c r="AC834" s="147"/>
      <c r="AD834" s="147"/>
      <c r="AE834" s="147"/>
      <c r="AF834" s="147"/>
      <c r="AG834" s="147"/>
      <c r="AH834" s="147"/>
      <c r="AI834" s="147"/>
    </row>
    <row r="835">
      <c r="A835" s="167"/>
      <c r="B835" s="169"/>
      <c r="C835" s="170"/>
      <c r="D835" s="170"/>
      <c r="E835" s="170"/>
      <c r="F835" s="170"/>
      <c r="G835" s="171"/>
      <c r="H835" s="171"/>
      <c r="I835" s="172"/>
      <c r="J835" s="172"/>
      <c r="K835" s="172"/>
      <c r="L835" s="172"/>
      <c r="M835" s="147"/>
      <c r="Q835" s="147"/>
      <c r="R835" s="147"/>
      <c r="S835" s="147"/>
      <c r="T835" s="147"/>
      <c r="U835" s="147"/>
      <c r="V835" s="147"/>
      <c r="W835" s="147"/>
      <c r="X835" s="147"/>
      <c r="Y835" s="147"/>
      <c r="Z835" s="147"/>
      <c r="AA835" s="147"/>
      <c r="AB835" s="147"/>
      <c r="AC835" s="147"/>
      <c r="AD835" s="147"/>
      <c r="AE835" s="147"/>
      <c r="AF835" s="147"/>
      <c r="AG835" s="147"/>
      <c r="AH835" s="147"/>
      <c r="AI835" s="147"/>
    </row>
    <row r="836">
      <c r="A836" s="167"/>
      <c r="B836" s="169"/>
      <c r="C836" s="170"/>
      <c r="D836" s="170"/>
      <c r="E836" s="170"/>
      <c r="F836" s="170"/>
      <c r="G836" s="171"/>
      <c r="H836" s="171"/>
      <c r="I836" s="172"/>
      <c r="J836" s="172"/>
      <c r="K836" s="172"/>
      <c r="L836" s="172"/>
      <c r="M836" s="147"/>
      <c r="Q836" s="147"/>
      <c r="R836" s="147"/>
      <c r="S836" s="147"/>
      <c r="T836" s="147"/>
      <c r="U836" s="147"/>
      <c r="V836" s="147"/>
      <c r="W836" s="147"/>
      <c r="X836" s="147"/>
      <c r="Y836" s="147"/>
      <c r="Z836" s="147"/>
      <c r="AA836" s="147"/>
      <c r="AB836" s="147"/>
      <c r="AC836" s="147"/>
      <c r="AD836" s="147"/>
      <c r="AE836" s="147"/>
      <c r="AF836" s="147"/>
      <c r="AG836" s="147"/>
      <c r="AH836" s="147"/>
      <c r="AI836" s="147"/>
    </row>
    <row r="837">
      <c r="A837" s="167"/>
      <c r="B837" s="169"/>
      <c r="C837" s="170"/>
      <c r="D837" s="170"/>
      <c r="E837" s="170"/>
      <c r="F837" s="170"/>
      <c r="G837" s="171"/>
      <c r="H837" s="171"/>
      <c r="I837" s="172"/>
      <c r="J837" s="172"/>
      <c r="K837" s="172"/>
      <c r="L837" s="172"/>
      <c r="M837" s="147"/>
      <c r="Q837" s="147"/>
      <c r="R837" s="147"/>
      <c r="S837" s="147"/>
      <c r="T837" s="147"/>
      <c r="U837" s="147"/>
      <c r="V837" s="147"/>
      <c r="W837" s="147"/>
      <c r="X837" s="147"/>
      <c r="Y837" s="147"/>
      <c r="Z837" s="147"/>
      <c r="AA837" s="147"/>
      <c r="AB837" s="147"/>
      <c r="AC837" s="147"/>
      <c r="AD837" s="147"/>
      <c r="AE837" s="147"/>
      <c r="AF837" s="147"/>
      <c r="AG837" s="147"/>
      <c r="AH837" s="147"/>
      <c r="AI837" s="147"/>
    </row>
    <row r="838">
      <c r="A838" s="167"/>
      <c r="B838" s="169"/>
      <c r="C838" s="170"/>
      <c r="D838" s="170"/>
      <c r="E838" s="170"/>
      <c r="F838" s="170"/>
      <c r="G838" s="171"/>
      <c r="H838" s="171"/>
      <c r="I838" s="172"/>
      <c r="J838" s="172"/>
      <c r="K838" s="172"/>
      <c r="L838" s="172"/>
      <c r="M838" s="147"/>
      <c r="Q838" s="147"/>
      <c r="R838" s="147"/>
      <c r="S838" s="147"/>
      <c r="T838" s="147"/>
      <c r="U838" s="147"/>
      <c r="V838" s="147"/>
      <c r="W838" s="147"/>
      <c r="X838" s="147"/>
      <c r="Y838" s="147"/>
      <c r="Z838" s="147"/>
      <c r="AA838" s="147"/>
      <c r="AB838" s="147"/>
      <c r="AC838" s="147"/>
      <c r="AD838" s="147"/>
      <c r="AE838" s="147"/>
      <c r="AF838" s="147"/>
      <c r="AG838" s="147"/>
      <c r="AH838" s="147"/>
      <c r="AI838" s="147"/>
    </row>
    <row r="839">
      <c r="A839" s="167"/>
      <c r="B839" s="169"/>
      <c r="C839" s="170"/>
      <c r="D839" s="170"/>
      <c r="E839" s="170"/>
      <c r="F839" s="170"/>
      <c r="G839" s="171"/>
      <c r="H839" s="171"/>
      <c r="I839" s="172"/>
      <c r="J839" s="172"/>
      <c r="K839" s="172"/>
      <c r="L839" s="172"/>
      <c r="M839" s="147"/>
      <c r="Q839" s="147"/>
      <c r="R839" s="147"/>
      <c r="S839" s="147"/>
      <c r="T839" s="147"/>
      <c r="U839" s="147"/>
      <c r="V839" s="147"/>
      <c r="W839" s="147"/>
      <c r="X839" s="147"/>
      <c r="Y839" s="147"/>
      <c r="Z839" s="147"/>
      <c r="AA839" s="147"/>
      <c r="AB839" s="147"/>
      <c r="AC839" s="147"/>
      <c r="AD839" s="147"/>
      <c r="AE839" s="147"/>
      <c r="AF839" s="147"/>
      <c r="AG839" s="147"/>
      <c r="AH839" s="147"/>
      <c r="AI839" s="147"/>
    </row>
    <row r="840">
      <c r="A840" s="167"/>
      <c r="B840" s="169"/>
      <c r="C840" s="170"/>
      <c r="D840" s="170"/>
      <c r="E840" s="170"/>
      <c r="F840" s="170"/>
      <c r="G840" s="171"/>
      <c r="H840" s="171"/>
      <c r="I840" s="172"/>
      <c r="J840" s="172"/>
      <c r="K840" s="172"/>
      <c r="L840" s="172"/>
      <c r="M840" s="147"/>
      <c r="Q840" s="147"/>
      <c r="R840" s="147"/>
      <c r="S840" s="147"/>
      <c r="T840" s="147"/>
      <c r="U840" s="147"/>
      <c r="V840" s="147"/>
      <c r="W840" s="147"/>
      <c r="X840" s="147"/>
      <c r="Y840" s="147"/>
      <c r="Z840" s="147"/>
      <c r="AA840" s="147"/>
      <c r="AB840" s="147"/>
      <c r="AC840" s="147"/>
      <c r="AD840" s="147"/>
      <c r="AE840" s="147"/>
      <c r="AF840" s="147"/>
      <c r="AG840" s="147"/>
      <c r="AH840" s="147"/>
      <c r="AI840" s="147"/>
    </row>
    <row r="841">
      <c r="A841" s="167"/>
      <c r="B841" s="169"/>
      <c r="C841" s="170"/>
      <c r="D841" s="170"/>
      <c r="E841" s="170"/>
      <c r="F841" s="170"/>
      <c r="G841" s="171"/>
      <c r="H841" s="171"/>
      <c r="I841" s="172"/>
      <c r="J841" s="172"/>
      <c r="K841" s="172"/>
      <c r="L841" s="172"/>
      <c r="M841" s="147"/>
      <c r="Q841" s="147"/>
      <c r="R841" s="147"/>
      <c r="S841" s="147"/>
      <c r="T841" s="147"/>
      <c r="U841" s="147"/>
      <c r="V841" s="147"/>
      <c r="W841" s="147"/>
      <c r="X841" s="147"/>
      <c r="Y841" s="147"/>
      <c r="Z841" s="147"/>
      <c r="AA841" s="147"/>
      <c r="AB841" s="147"/>
      <c r="AC841" s="147"/>
      <c r="AD841" s="147"/>
      <c r="AE841" s="147"/>
      <c r="AF841" s="147"/>
      <c r="AG841" s="147"/>
      <c r="AH841" s="147"/>
      <c r="AI841" s="147"/>
    </row>
    <row r="842">
      <c r="A842" s="167"/>
      <c r="B842" s="169"/>
      <c r="C842" s="170"/>
      <c r="D842" s="170"/>
      <c r="E842" s="170"/>
      <c r="F842" s="170"/>
      <c r="G842" s="171"/>
      <c r="H842" s="171"/>
      <c r="I842" s="172"/>
      <c r="J842" s="172"/>
      <c r="K842" s="172"/>
      <c r="L842" s="172"/>
      <c r="M842" s="147"/>
      <c r="Q842" s="147"/>
      <c r="R842" s="147"/>
      <c r="S842" s="147"/>
      <c r="T842" s="147"/>
      <c r="U842" s="147"/>
      <c r="V842" s="147"/>
      <c r="W842" s="147"/>
      <c r="X842" s="147"/>
      <c r="Y842" s="147"/>
      <c r="Z842" s="147"/>
      <c r="AA842" s="147"/>
      <c r="AB842" s="147"/>
      <c r="AC842" s="147"/>
      <c r="AD842" s="147"/>
      <c r="AE842" s="147"/>
      <c r="AF842" s="147"/>
      <c r="AG842" s="147"/>
      <c r="AH842" s="147"/>
      <c r="AI842" s="147"/>
    </row>
    <row r="843">
      <c r="A843" s="167"/>
      <c r="B843" s="169"/>
      <c r="C843" s="170"/>
      <c r="D843" s="170"/>
      <c r="E843" s="170"/>
      <c r="F843" s="170"/>
      <c r="G843" s="171"/>
      <c r="H843" s="171"/>
      <c r="I843" s="172"/>
      <c r="J843" s="172"/>
      <c r="K843" s="172"/>
      <c r="L843" s="172"/>
      <c r="M843" s="147"/>
      <c r="Q843" s="147"/>
      <c r="R843" s="147"/>
      <c r="S843" s="147"/>
      <c r="T843" s="147"/>
      <c r="U843" s="147"/>
      <c r="V843" s="147"/>
      <c r="W843" s="147"/>
      <c r="X843" s="147"/>
      <c r="Y843" s="147"/>
      <c r="Z843" s="147"/>
      <c r="AA843" s="147"/>
      <c r="AB843" s="147"/>
      <c r="AC843" s="147"/>
      <c r="AD843" s="147"/>
      <c r="AE843" s="147"/>
      <c r="AF843" s="147"/>
      <c r="AG843" s="147"/>
      <c r="AH843" s="147"/>
      <c r="AI843" s="147"/>
    </row>
    <row r="844">
      <c r="A844" s="167"/>
      <c r="B844" s="169"/>
      <c r="C844" s="170"/>
      <c r="D844" s="170"/>
      <c r="E844" s="170"/>
      <c r="F844" s="170"/>
      <c r="G844" s="171"/>
      <c r="H844" s="171"/>
      <c r="I844" s="172"/>
      <c r="J844" s="172"/>
      <c r="K844" s="172"/>
      <c r="L844" s="172"/>
      <c r="M844" s="147"/>
      <c r="Q844" s="147"/>
      <c r="R844" s="147"/>
      <c r="S844" s="147"/>
      <c r="T844" s="147"/>
      <c r="U844" s="147"/>
      <c r="V844" s="147"/>
      <c r="W844" s="147"/>
      <c r="X844" s="147"/>
      <c r="Y844" s="147"/>
      <c r="Z844" s="147"/>
      <c r="AA844" s="147"/>
      <c r="AB844" s="147"/>
      <c r="AC844" s="147"/>
      <c r="AD844" s="147"/>
      <c r="AE844" s="147"/>
      <c r="AF844" s="147"/>
      <c r="AG844" s="147"/>
      <c r="AH844" s="147"/>
      <c r="AI844" s="147"/>
    </row>
    <row r="845">
      <c r="A845" s="167"/>
      <c r="B845" s="169"/>
      <c r="C845" s="170"/>
      <c r="D845" s="170"/>
      <c r="E845" s="170"/>
      <c r="F845" s="170"/>
      <c r="G845" s="171"/>
      <c r="H845" s="171"/>
      <c r="I845" s="172"/>
      <c r="J845" s="172"/>
      <c r="K845" s="172"/>
      <c r="L845" s="172"/>
      <c r="M845" s="147"/>
      <c r="Q845" s="147"/>
      <c r="R845" s="147"/>
      <c r="S845" s="147"/>
      <c r="T845" s="147"/>
      <c r="U845" s="147"/>
      <c r="V845" s="147"/>
      <c r="W845" s="147"/>
      <c r="X845" s="147"/>
      <c r="Y845" s="147"/>
      <c r="Z845" s="147"/>
      <c r="AA845" s="147"/>
      <c r="AB845" s="147"/>
      <c r="AC845" s="147"/>
      <c r="AD845" s="147"/>
      <c r="AE845" s="147"/>
      <c r="AF845" s="147"/>
      <c r="AG845" s="147"/>
      <c r="AH845" s="147"/>
      <c r="AI845" s="147"/>
    </row>
    <row r="846">
      <c r="A846" s="167"/>
      <c r="B846" s="169"/>
      <c r="C846" s="170"/>
      <c r="D846" s="170"/>
      <c r="E846" s="170"/>
      <c r="F846" s="170"/>
      <c r="G846" s="171"/>
      <c r="H846" s="171"/>
      <c r="I846" s="172"/>
      <c r="J846" s="172"/>
      <c r="K846" s="172"/>
      <c r="L846" s="172"/>
      <c r="M846" s="147"/>
      <c r="Q846" s="147"/>
      <c r="R846" s="147"/>
      <c r="S846" s="147"/>
      <c r="T846" s="147"/>
      <c r="U846" s="147"/>
      <c r="V846" s="147"/>
      <c r="W846" s="147"/>
      <c r="X846" s="147"/>
      <c r="Y846" s="147"/>
      <c r="Z846" s="147"/>
      <c r="AA846" s="147"/>
      <c r="AB846" s="147"/>
      <c r="AC846" s="147"/>
      <c r="AD846" s="147"/>
      <c r="AE846" s="147"/>
      <c r="AF846" s="147"/>
      <c r="AG846" s="147"/>
      <c r="AH846" s="147"/>
      <c r="AI846" s="147"/>
    </row>
    <row r="847">
      <c r="A847" s="167"/>
      <c r="B847" s="169"/>
      <c r="C847" s="170"/>
      <c r="D847" s="170"/>
      <c r="E847" s="170"/>
      <c r="F847" s="170"/>
      <c r="G847" s="171"/>
      <c r="H847" s="171"/>
      <c r="I847" s="172"/>
      <c r="J847" s="172"/>
      <c r="K847" s="172"/>
      <c r="L847" s="172"/>
      <c r="M847" s="147"/>
      <c r="Q847" s="147"/>
      <c r="R847" s="147"/>
      <c r="S847" s="147"/>
      <c r="T847" s="147"/>
      <c r="U847" s="147"/>
      <c r="V847" s="147"/>
      <c r="W847" s="147"/>
      <c r="X847" s="147"/>
      <c r="Y847" s="147"/>
      <c r="Z847" s="147"/>
      <c r="AA847" s="147"/>
      <c r="AB847" s="147"/>
      <c r="AC847" s="147"/>
      <c r="AD847" s="147"/>
      <c r="AE847" s="147"/>
      <c r="AF847" s="147"/>
      <c r="AG847" s="147"/>
      <c r="AH847" s="147"/>
      <c r="AI847" s="147"/>
    </row>
    <row r="848">
      <c r="A848" s="167"/>
      <c r="B848" s="169"/>
      <c r="C848" s="170"/>
      <c r="D848" s="170"/>
      <c r="E848" s="170"/>
      <c r="F848" s="170"/>
      <c r="G848" s="171"/>
      <c r="H848" s="171"/>
      <c r="I848" s="172"/>
      <c r="J848" s="172"/>
      <c r="K848" s="172"/>
      <c r="L848" s="172"/>
      <c r="M848" s="147"/>
      <c r="Q848" s="147"/>
      <c r="R848" s="147"/>
      <c r="S848" s="147"/>
      <c r="T848" s="147"/>
      <c r="U848" s="147"/>
      <c r="V848" s="147"/>
      <c r="W848" s="147"/>
      <c r="X848" s="147"/>
      <c r="Y848" s="147"/>
      <c r="Z848" s="147"/>
      <c r="AA848" s="147"/>
      <c r="AB848" s="147"/>
      <c r="AC848" s="147"/>
      <c r="AD848" s="147"/>
      <c r="AE848" s="147"/>
      <c r="AF848" s="147"/>
      <c r="AG848" s="147"/>
      <c r="AH848" s="147"/>
      <c r="AI848" s="147"/>
    </row>
    <row r="849">
      <c r="A849" s="167"/>
      <c r="B849" s="169"/>
      <c r="C849" s="170"/>
      <c r="D849" s="170"/>
      <c r="E849" s="170"/>
      <c r="F849" s="170"/>
      <c r="G849" s="171"/>
      <c r="H849" s="171"/>
      <c r="I849" s="172"/>
      <c r="J849" s="172"/>
      <c r="K849" s="172"/>
      <c r="L849" s="172"/>
      <c r="M849" s="147"/>
      <c r="Q849" s="147"/>
      <c r="R849" s="147"/>
      <c r="S849" s="147"/>
      <c r="T849" s="147"/>
      <c r="U849" s="147"/>
      <c r="V849" s="147"/>
      <c r="W849" s="147"/>
      <c r="X849" s="147"/>
      <c r="Y849" s="147"/>
      <c r="Z849" s="147"/>
      <c r="AA849" s="147"/>
      <c r="AB849" s="147"/>
      <c r="AC849" s="147"/>
      <c r="AD849" s="147"/>
      <c r="AE849" s="147"/>
      <c r="AF849" s="147"/>
      <c r="AG849" s="147"/>
      <c r="AH849" s="147"/>
      <c r="AI849" s="147"/>
    </row>
    <row r="850">
      <c r="A850" s="167"/>
      <c r="B850" s="169"/>
      <c r="C850" s="170"/>
      <c r="D850" s="170"/>
      <c r="E850" s="170"/>
      <c r="F850" s="170"/>
      <c r="G850" s="171"/>
      <c r="H850" s="171"/>
      <c r="I850" s="172"/>
      <c r="J850" s="172"/>
      <c r="K850" s="172"/>
      <c r="L850" s="172"/>
      <c r="M850" s="147"/>
      <c r="Q850" s="147"/>
      <c r="R850" s="147"/>
      <c r="S850" s="147"/>
      <c r="T850" s="147"/>
      <c r="U850" s="147"/>
      <c r="V850" s="147"/>
      <c r="W850" s="147"/>
      <c r="X850" s="147"/>
      <c r="Y850" s="147"/>
      <c r="Z850" s="147"/>
      <c r="AA850" s="147"/>
      <c r="AB850" s="147"/>
      <c r="AC850" s="147"/>
      <c r="AD850" s="147"/>
      <c r="AE850" s="147"/>
      <c r="AF850" s="147"/>
      <c r="AG850" s="147"/>
      <c r="AH850" s="147"/>
      <c r="AI850" s="147"/>
    </row>
    <row r="851">
      <c r="A851" s="167"/>
      <c r="B851" s="169"/>
      <c r="C851" s="170"/>
      <c r="D851" s="170"/>
      <c r="E851" s="170"/>
      <c r="F851" s="170"/>
      <c r="G851" s="171"/>
      <c r="H851" s="171"/>
      <c r="I851" s="172"/>
      <c r="J851" s="172"/>
      <c r="K851" s="172"/>
      <c r="L851" s="172"/>
      <c r="M851" s="147"/>
      <c r="Q851" s="147"/>
      <c r="R851" s="147"/>
      <c r="S851" s="147"/>
      <c r="T851" s="147"/>
      <c r="U851" s="147"/>
      <c r="V851" s="147"/>
      <c r="W851" s="147"/>
      <c r="X851" s="147"/>
      <c r="Y851" s="147"/>
      <c r="Z851" s="147"/>
      <c r="AA851" s="147"/>
      <c r="AB851" s="147"/>
      <c r="AC851" s="147"/>
      <c r="AD851" s="147"/>
      <c r="AE851" s="147"/>
      <c r="AF851" s="147"/>
      <c r="AG851" s="147"/>
      <c r="AH851" s="147"/>
      <c r="AI851" s="147"/>
    </row>
    <row r="852">
      <c r="A852" s="167"/>
      <c r="B852" s="169"/>
      <c r="C852" s="170"/>
      <c r="D852" s="170"/>
      <c r="E852" s="170"/>
      <c r="F852" s="170"/>
      <c r="G852" s="171"/>
      <c r="H852" s="171"/>
      <c r="I852" s="172"/>
      <c r="J852" s="172"/>
      <c r="K852" s="172"/>
      <c r="L852" s="172"/>
      <c r="M852" s="147"/>
      <c r="Q852" s="147"/>
      <c r="R852" s="147"/>
      <c r="S852" s="147"/>
      <c r="T852" s="147"/>
      <c r="U852" s="147"/>
      <c r="V852" s="147"/>
      <c r="W852" s="147"/>
      <c r="X852" s="147"/>
      <c r="Y852" s="147"/>
      <c r="Z852" s="147"/>
      <c r="AA852" s="147"/>
      <c r="AB852" s="147"/>
      <c r="AC852" s="147"/>
      <c r="AD852" s="147"/>
      <c r="AE852" s="147"/>
      <c r="AF852" s="147"/>
      <c r="AG852" s="147"/>
      <c r="AH852" s="147"/>
      <c r="AI852" s="147"/>
    </row>
    <row r="853">
      <c r="A853" s="167"/>
      <c r="B853" s="169"/>
      <c r="C853" s="170"/>
      <c r="D853" s="170"/>
      <c r="E853" s="170"/>
      <c r="F853" s="170"/>
      <c r="G853" s="171"/>
      <c r="H853" s="171"/>
      <c r="I853" s="172"/>
      <c r="J853" s="172"/>
      <c r="K853" s="172"/>
      <c r="L853" s="172"/>
      <c r="M853" s="147"/>
      <c r="Q853" s="147"/>
      <c r="R853" s="147"/>
      <c r="S853" s="147"/>
      <c r="T853" s="147"/>
      <c r="U853" s="147"/>
      <c r="V853" s="147"/>
      <c r="W853" s="147"/>
      <c r="X853" s="147"/>
      <c r="Y853" s="147"/>
      <c r="Z853" s="147"/>
      <c r="AA853" s="147"/>
      <c r="AB853" s="147"/>
      <c r="AC853" s="147"/>
      <c r="AD853" s="147"/>
      <c r="AE853" s="147"/>
      <c r="AF853" s="147"/>
      <c r="AG853" s="147"/>
      <c r="AH853" s="147"/>
      <c r="AI853" s="147"/>
    </row>
    <row r="854">
      <c r="A854" s="167"/>
      <c r="B854" s="169"/>
      <c r="C854" s="170"/>
      <c r="D854" s="170"/>
      <c r="E854" s="170"/>
      <c r="F854" s="170"/>
      <c r="G854" s="171"/>
      <c r="H854" s="171"/>
      <c r="I854" s="172"/>
      <c r="J854" s="172"/>
      <c r="K854" s="172"/>
      <c r="L854" s="172"/>
      <c r="M854" s="147"/>
      <c r="Q854" s="147"/>
      <c r="R854" s="147"/>
      <c r="S854" s="147"/>
      <c r="T854" s="147"/>
      <c r="U854" s="147"/>
      <c r="V854" s="147"/>
      <c r="W854" s="147"/>
      <c r="X854" s="147"/>
      <c r="Y854" s="147"/>
      <c r="Z854" s="147"/>
      <c r="AA854" s="147"/>
      <c r="AB854" s="147"/>
      <c r="AC854" s="147"/>
      <c r="AD854" s="147"/>
      <c r="AE854" s="147"/>
      <c r="AF854" s="147"/>
      <c r="AG854" s="147"/>
      <c r="AH854" s="147"/>
      <c r="AI854" s="147"/>
    </row>
    <row r="855">
      <c r="A855" s="167"/>
      <c r="B855" s="169"/>
      <c r="C855" s="170"/>
      <c r="D855" s="170"/>
      <c r="E855" s="170"/>
      <c r="F855" s="170"/>
      <c r="G855" s="171"/>
      <c r="H855" s="171"/>
      <c r="I855" s="172"/>
      <c r="J855" s="172"/>
      <c r="K855" s="172"/>
      <c r="L855" s="172"/>
      <c r="M855" s="147"/>
      <c r="Q855" s="147"/>
      <c r="R855" s="147"/>
      <c r="S855" s="147"/>
      <c r="T855" s="147"/>
      <c r="U855" s="147"/>
      <c r="V855" s="147"/>
      <c r="W855" s="147"/>
      <c r="X855" s="147"/>
      <c r="Y855" s="147"/>
      <c r="Z855" s="147"/>
      <c r="AA855" s="147"/>
      <c r="AB855" s="147"/>
      <c r="AC855" s="147"/>
      <c r="AD855" s="147"/>
      <c r="AE855" s="147"/>
      <c r="AF855" s="147"/>
      <c r="AG855" s="147"/>
      <c r="AH855" s="147"/>
      <c r="AI855" s="147"/>
    </row>
    <row r="856">
      <c r="A856" s="167"/>
      <c r="B856" s="169"/>
      <c r="C856" s="170"/>
      <c r="D856" s="170"/>
      <c r="E856" s="170"/>
      <c r="F856" s="170"/>
      <c r="G856" s="171"/>
      <c r="H856" s="171"/>
      <c r="I856" s="172"/>
      <c r="J856" s="172"/>
      <c r="K856" s="172"/>
      <c r="L856" s="172"/>
      <c r="M856" s="147"/>
      <c r="Q856" s="147"/>
      <c r="R856" s="147"/>
      <c r="S856" s="147"/>
      <c r="T856" s="147"/>
      <c r="U856" s="147"/>
      <c r="V856" s="147"/>
      <c r="W856" s="147"/>
      <c r="X856" s="147"/>
      <c r="Y856" s="147"/>
      <c r="Z856" s="147"/>
      <c r="AA856" s="147"/>
      <c r="AB856" s="147"/>
      <c r="AC856" s="147"/>
      <c r="AD856" s="147"/>
      <c r="AE856" s="147"/>
      <c r="AF856" s="147"/>
      <c r="AG856" s="147"/>
      <c r="AH856" s="147"/>
      <c r="AI856" s="147"/>
    </row>
    <row r="857">
      <c r="A857" s="167"/>
      <c r="B857" s="169"/>
      <c r="C857" s="170"/>
      <c r="D857" s="170"/>
      <c r="E857" s="170"/>
      <c r="F857" s="170"/>
      <c r="G857" s="171"/>
      <c r="H857" s="171"/>
      <c r="I857" s="172"/>
      <c r="J857" s="172"/>
      <c r="K857" s="172"/>
      <c r="L857" s="172"/>
      <c r="M857" s="147"/>
      <c r="Q857" s="147"/>
      <c r="R857" s="147"/>
      <c r="S857" s="147"/>
      <c r="T857" s="147"/>
      <c r="U857" s="147"/>
      <c r="V857" s="147"/>
      <c r="W857" s="147"/>
      <c r="X857" s="147"/>
      <c r="Y857" s="147"/>
      <c r="Z857" s="147"/>
      <c r="AA857" s="147"/>
      <c r="AB857" s="147"/>
      <c r="AC857" s="147"/>
      <c r="AD857" s="147"/>
      <c r="AE857" s="147"/>
      <c r="AF857" s="147"/>
      <c r="AG857" s="147"/>
      <c r="AH857" s="147"/>
      <c r="AI857" s="147"/>
    </row>
    <row r="858">
      <c r="A858" s="167"/>
      <c r="B858" s="169"/>
      <c r="C858" s="170"/>
      <c r="D858" s="170"/>
      <c r="E858" s="170"/>
      <c r="F858" s="170"/>
      <c r="G858" s="171"/>
      <c r="H858" s="171"/>
      <c r="I858" s="172"/>
      <c r="J858" s="172"/>
      <c r="K858" s="172"/>
      <c r="L858" s="172"/>
      <c r="M858" s="147"/>
      <c r="Q858" s="147"/>
      <c r="R858" s="147"/>
      <c r="S858" s="147"/>
      <c r="T858" s="147"/>
      <c r="U858" s="147"/>
      <c r="V858" s="147"/>
      <c r="W858" s="147"/>
      <c r="X858" s="147"/>
      <c r="Y858" s="147"/>
      <c r="Z858" s="147"/>
      <c r="AA858" s="147"/>
      <c r="AB858" s="147"/>
      <c r="AC858" s="147"/>
      <c r="AD858" s="147"/>
      <c r="AE858" s="147"/>
      <c r="AF858" s="147"/>
      <c r="AG858" s="147"/>
      <c r="AH858" s="147"/>
      <c r="AI858" s="147"/>
    </row>
    <row r="859">
      <c r="A859" s="167"/>
      <c r="B859" s="169"/>
      <c r="C859" s="170"/>
      <c r="D859" s="170"/>
      <c r="E859" s="170"/>
      <c r="F859" s="170"/>
      <c r="G859" s="171"/>
      <c r="H859" s="171"/>
      <c r="I859" s="172"/>
      <c r="J859" s="172"/>
      <c r="K859" s="172"/>
      <c r="L859" s="172"/>
      <c r="M859" s="147"/>
      <c r="Q859" s="147"/>
      <c r="R859" s="147"/>
      <c r="S859" s="147"/>
      <c r="T859" s="147"/>
      <c r="U859" s="147"/>
      <c r="V859" s="147"/>
      <c r="W859" s="147"/>
      <c r="X859" s="147"/>
      <c r="Y859" s="147"/>
      <c r="Z859" s="147"/>
      <c r="AA859" s="147"/>
      <c r="AB859" s="147"/>
      <c r="AC859" s="147"/>
      <c r="AD859" s="147"/>
      <c r="AE859" s="147"/>
      <c r="AF859" s="147"/>
      <c r="AG859" s="147"/>
      <c r="AH859" s="147"/>
      <c r="AI859" s="147"/>
    </row>
    <row r="860">
      <c r="A860" s="167"/>
      <c r="B860" s="169"/>
      <c r="C860" s="170"/>
      <c r="D860" s="170"/>
      <c r="E860" s="170"/>
      <c r="F860" s="170"/>
      <c r="G860" s="171"/>
      <c r="H860" s="171"/>
      <c r="I860" s="172"/>
      <c r="J860" s="172"/>
      <c r="K860" s="172"/>
      <c r="L860" s="172"/>
      <c r="M860" s="147"/>
      <c r="Q860" s="147"/>
      <c r="R860" s="147"/>
      <c r="S860" s="147"/>
      <c r="T860" s="147"/>
      <c r="U860" s="147"/>
      <c r="V860" s="147"/>
      <c r="W860" s="147"/>
      <c r="X860" s="147"/>
      <c r="Y860" s="147"/>
      <c r="Z860" s="147"/>
      <c r="AA860" s="147"/>
      <c r="AB860" s="147"/>
      <c r="AC860" s="147"/>
      <c r="AD860" s="147"/>
      <c r="AE860" s="147"/>
      <c r="AF860" s="147"/>
      <c r="AG860" s="147"/>
      <c r="AH860" s="147"/>
      <c r="AI860" s="147"/>
    </row>
    <row r="861">
      <c r="A861" s="167"/>
      <c r="B861" s="169"/>
      <c r="C861" s="170"/>
      <c r="D861" s="170"/>
      <c r="E861" s="170"/>
      <c r="F861" s="170"/>
      <c r="G861" s="171"/>
      <c r="H861" s="171"/>
      <c r="I861" s="172"/>
      <c r="J861" s="172"/>
      <c r="K861" s="172"/>
      <c r="L861" s="172"/>
      <c r="M861" s="147"/>
      <c r="Q861" s="147"/>
      <c r="R861" s="147"/>
      <c r="S861" s="147"/>
      <c r="T861" s="147"/>
      <c r="U861" s="147"/>
      <c r="V861" s="147"/>
      <c r="W861" s="147"/>
      <c r="X861" s="147"/>
      <c r="Y861" s="147"/>
      <c r="Z861" s="147"/>
      <c r="AA861" s="147"/>
      <c r="AB861" s="147"/>
      <c r="AC861" s="147"/>
      <c r="AD861" s="147"/>
      <c r="AE861" s="147"/>
      <c r="AF861" s="147"/>
      <c r="AG861" s="147"/>
      <c r="AH861" s="147"/>
      <c r="AI861" s="147"/>
    </row>
    <row r="862">
      <c r="A862" s="167"/>
      <c r="B862" s="169"/>
      <c r="C862" s="170"/>
      <c r="D862" s="170"/>
      <c r="E862" s="170"/>
      <c r="F862" s="170"/>
      <c r="G862" s="171"/>
      <c r="H862" s="171"/>
      <c r="I862" s="172"/>
      <c r="J862" s="172"/>
      <c r="K862" s="172"/>
      <c r="L862" s="172"/>
      <c r="M862" s="147"/>
      <c r="Q862" s="147"/>
      <c r="R862" s="147"/>
      <c r="S862" s="147"/>
      <c r="T862" s="147"/>
      <c r="U862" s="147"/>
      <c r="V862" s="147"/>
      <c r="W862" s="147"/>
      <c r="X862" s="147"/>
      <c r="Y862" s="147"/>
      <c r="Z862" s="147"/>
      <c r="AA862" s="147"/>
      <c r="AB862" s="147"/>
      <c r="AC862" s="147"/>
      <c r="AD862" s="147"/>
      <c r="AE862" s="147"/>
      <c r="AF862" s="147"/>
      <c r="AG862" s="147"/>
      <c r="AH862" s="147"/>
      <c r="AI862" s="147"/>
    </row>
    <row r="863">
      <c r="A863" s="167"/>
      <c r="B863" s="169"/>
      <c r="C863" s="170"/>
      <c r="D863" s="170"/>
      <c r="E863" s="170"/>
      <c r="F863" s="170"/>
      <c r="G863" s="171"/>
      <c r="H863" s="171"/>
      <c r="I863" s="172"/>
      <c r="J863" s="172"/>
      <c r="K863" s="172"/>
      <c r="L863" s="172"/>
      <c r="M863" s="147"/>
      <c r="Q863" s="147"/>
      <c r="R863" s="147"/>
      <c r="S863" s="147"/>
      <c r="T863" s="147"/>
      <c r="U863" s="147"/>
      <c r="V863" s="147"/>
      <c r="W863" s="147"/>
      <c r="X863" s="147"/>
      <c r="Y863" s="147"/>
      <c r="Z863" s="147"/>
      <c r="AA863" s="147"/>
      <c r="AB863" s="147"/>
      <c r="AC863" s="147"/>
      <c r="AD863" s="147"/>
      <c r="AE863" s="147"/>
      <c r="AF863" s="147"/>
      <c r="AG863" s="147"/>
      <c r="AH863" s="147"/>
      <c r="AI863" s="147"/>
    </row>
    <row r="864">
      <c r="A864" s="167"/>
      <c r="B864" s="169"/>
      <c r="C864" s="170"/>
      <c r="D864" s="170"/>
      <c r="E864" s="170"/>
      <c r="F864" s="170"/>
      <c r="G864" s="171"/>
      <c r="H864" s="171"/>
      <c r="I864" s="172"/>
      <c r="J864" s="172"/>
      <c r="K864" s="172"/>
      <c r="L864" s="172"/>
      <c r="M864" s="147"/>
      <c r="Q864" s="147"/>
      <c r="R864" s="147"/>
      <c r="S864" s="147"/>
      <c r="T864" s="147"/>
      <c r="U864" s="147"/>
      <c r="V864" s="147"/>
      <c r="W864" s="147"/>
      <c r="X864" s="147"/>
      <c r="Y864" s="147"/>
      <c r="Z864" s="147"/>
      <c r="AA864" s="147"/>
      <c r="AB864" s="147"/>
      <c r="AC864" s="147"/>
      <c r="AD864" s="147"/>
      <c r="AE864" s="147"/>
      <c r="AF864" s="147"/>
      <c r="AG864" s="147"/>
      <c r="AH864" s="147"/>
      <c r="AI864" s="147"/>
    </row>
    <row r="865">
      <c r="A865" s="167"/>
      <c r="B865" s="169"/>
      <c r="C865" s="170"/>
      <c r="D865" s="170"/>
      <c r="E865" s="170"/>
      <c r="F865" s="170"/>
      <c r="G865" s="171"/>
      <c r="H865" s="171"/>
      <c r="I865" s="172"/>
      <c r="J865" s="172"/>
      <c r="K865" s="172"/>
      <c r="L865" s="172"/>
      <c r="M865" s="147"/>
      <c r="Q865" s="147"/>
      <c r="R865" s="147"/>
      <c r="S865" s="147"/>
      <c r="T865" s="147"/>
      <c r="U865" s="147"/>
      <c r="V865" s="147"/>
      <c r="W865" s="147"/>
      <c r="X865" s="147"/>
      <c r="Y865" s="147"/>
      <c r="Z865" s="147"/>
      <c r="AA865" s="147"/>
      <c r="AB865" s="147"/>
      <c r="AC865" s="147"/>
      <c r="AD865" s="147"/>
      <c r="AE865" s="147"/>
      <c r="AF865" s="147"/>
      <c r="AG865" s="147"/>
      <c r="AH865" s="147"/>
      <c r="AI865" s="147"/>
    </row>
    <row r="866">
      <c r="A866" s="167"/>
      <c r="B866" s="169"/>
      <c r="C866" s="170"/>
      <c r="D866" s="170"/>
      <c r="E866" s="170"/>
      <c r="F866" s="170"/>
      <c r="G866" s="171"/>
      <c r="H866" s="171"/>
      <c r="I866" s="172"/>
      <c r="J866" s="172"/>
      <c r="K866" s="172"/>
      <c r="L866" s="172"/>
      <c r="M866" s="147"/>
      <c r="Q866" s="147"/>
      <c r="R866" s="147"/>
      <c r="S866" s="147"/>
      <c r="T866" s="147"/>
      <c r="U866" s="147"/>
      <c r="V866" s="147"/>
      <c r="W866" s="147"/>
      <c r="X866" s="147"/>
      <c r="Y866" s="147"/>
      <c r="Z866" s="147"/>
      <c r="AA866" s="147"/>
      <c r="AB866" s="147"/>
      <c r="AC866" s="147"/>
      <c r="AD866" s="147"/>
      <c r="AE866" s="147"/>
      <c r="AF866" s="147"/>
      <c r="AG866" s="147"/>
      <c r="AH866" s="147"/>
      <c r="AI866" s="147"/>
    </row>
    <row r="867">
      <c r="A867" s="167"/>
      <c r="B867" s="169"/>
      <c r="C867" s="170"/>
      <c r="D867" s="170"/>
      <c r="E867" s="170"/>
      <c r="F867" s="170"/>
      <c r="G867" s="171"/>
      <c r="H867" s="171"/>
      <c r="I867" s="172"/>
      <c r="J867" s="172"/>
      <c r="K867" s="172"/>
      <c r="L867" s="172"/>
      <c r="M867" s="147"/>
      <c r="Q867" s="147"/>
      <c r="R867" s="147"/>
      <c r="S867" s="147"/>
      <c r="T867" s="147"/>
      <c r="U867" s="147"/>
      <c r="V867" s="147"/>
      <c r="W867" s="147"/>
      <c r="X867" s="147"/>
      <c r="Y867" s="147"/>
      <c r="Z867" s="147"/>
      <c r="AA867" s="147"/>
      <c r="AB867" s="147"/>
      <c r="AC867" s="147"/>
      <c r="AD867" s="147"/>
      <c r="AE867" s="147"/>
      <c r="AF867" s="147"/>
      <c r="AG867" s="147"/>
      <c r="AH867" s="147"/>
      <c r="AI867" s="147"/>
    </row>
    <row r="868">
      <c r="A868" s="167"/>
      <c r="B868" s="169"/>
      <c r="C868" s="170"/>
      <c r="D868" s="170"/>
      <c r="E868" s="170"/>
      <c r="F868" s="170"/>
      <c r="G868" s="171"/>
      <c r="H868" s="171"/>
      <c r="I868" s="172"/>
      <c r="J868" s="172"/>
      <c r="K868" s="172"/>
      <c r="L868" s="172"/>
      <c r="M868" s="147"/>
      <c r="Q868" s="147"/>
      <c r="R868" s="147"/>
      <c r="S868" s="147"/>
      <c r="T868" s="147"/>
      <c r="U868" s="147"/>
      <c r="V868" s="147"/>
      <c r="W868" s="147"/>
      <c r="X868" s="147"/>
      <c r="Y868" s="147"/>
      <c r="Z868" s="147"/>
      <c r="AA868" s="147"/>
      <c r="AB868" s="147"/>
      <c r="AC868" s="147"/>
      <c r="AD868" s="147"/>
      <c r="AE868" s="147"/>
      <c r="AF868" s="147"/>
      <c r="AG868" s="147"/>
      <c r="AH868" s="147"/>
      <c r="AI868" s="147"/>
    </row>
    <row r="869">
      <c r="A869" s="167"/>
      <c r="B869" s="169"/>
      <c r="C869" s="170"/>
      <c r="D869" s="170"/>
      <c r="E869" s="170"/>
      <c r="F869" s="170"/>
      <c r="G869" s="171"/>
      <c r="H869" s="171"/>
      <c r="I869" s="172"/>
      <c r="J869" s="172"/>
      <c r="K869" s="172"/>
      <c r="L869" s="172"/>
      <c r="M869" s="147"/>
      <c r="Q869" s="147"/>
      <c r="R869" s="147"/>
      <c r="S869" s="147"/>
      <c r="T869" s="147"/>
      <c r="U869" s="147"/>
      <c r="V869" s="147"/>
      <c r="W869" s="147"/>
      <c r="X869" s="147"/>
      <c r="Y869" s="147"/>
      <c r="Z869" s="147"/>
      <c r="AA869" s="147"/>
      <c r="AB869" s="147"/>
      <c r="AC869" s="147"/>
      <c r="AD869" s="147"/>
      <c r="AE869" s="147"/>
      <c r="AF869" s="147"/>
      <c r="AG869" s="147"/>
      <c r="AH869" s="147"/>
      <c r="AI869" s="147"/>
    </row>
    <row r="870">
      <c r="A870" s="167"/>
      <c r="B870" s="169"/>
      <c r="C870" s="170"/>
      <c r="D870" s="170"/>
      <c r="E870" s="170"/>
      <c r="F870" s="170"/>
      <c r="G870" s="171"/>
      <c r="H870" s="171"/>
      <c r="I870" s="172"/>
      <c r="J870" s="172"/>
      <c r="K870" s="172"/>
      <c r="L870" s="172"/>
      <c r="M870" s="147"/>
      <c r="Q870" s="147"/>
      <c r="R870" s="147"/>
      <c r="S870" s="147"/>
      <c r="T870" s="147"/>
      <c r="U870" s="147"/>
      <c r="V870" s="147"/>
      <c r="W870" s="147"/>
      <c r="X870" s="147"/>
      <c r="Y870" s="147"/>
      <c r="Z870" s="147"/>
      <c r="AA870" s="147"/>
      <c r="AB870" s="147"/>
      <c r="AC870" s="147"/>
      <c r="AD870" s="147"/>
      <c r="AE870" s="147"/>
      <c r="AF870" s="147"/>
      <c r="AG870" s="147"/>
      <c r="AH870" s="147"/>
      <c r="AI870" s="147"/>
    </row>
    <row r="871">
      <c r="A871" s="167"/>
      <c r="B871" s="169"/>
      <c r="C871" s="170"/>
      <c r="D871" s="170"/>
      <c r="E871" s="170"/>
      <c r="F871" s="170"/>
      <c r="G871" s="171"/>
      <c r="H871" s="171"/>
      <c r="I871" s="172"/>
      <c r="J871" s="172"/>
      <c r="K871" s="172"/>
      <c r="L871" s="172"/>
      <c r="M871" s="147"/>
      <c r="Q871" s="147"/>
      <c r="R871" s="147"/>
      <c r="S871" s="147"/>
      <c r="T871" s="147"/>
      <c r="U871" s="147"/>
      <c r="V871" s="147"/>
      <c r="W871" s="147"/>
      <c r="X871" s="147"/>
      <c r="Y871" s="147"/>
      <c r="Z871" s="147"/>
      <c r="AA871" s="147"/>
      <c r="AB871" s="147"/>
      <c r="AC871" s="147"/>
      <c r="AD871" s="147"/>
      <c r="AE871" s="147"/>
      <c r="AF871" s="147"/>
      <c r="AG871" s="147"/>
      <c r="AH871" s="147"/>
      <c r="AI871" s="147"/>
    </row>
    <row r="872">
      <c r="A872" s="167"/>
      <c r="B872" s="169"/>
      <c r="C872" s="170"/>
      <c r="D872" s="170"/>
      <c r="E872" s="170"/>
      <c r="F872" s="170"/>
      <c r="G872" s="171"/>
      <c r="H872" s="171"/>
      <c r="I872" s="172"/>
      <c r="J872" s="172"/>
      <c r="K872" s="172"/>
      <c r="L872" s="172"/>
      <c r="M872" s="147"/>
      <c r="Q872" s="147"/>
      <c r="R872" s="147"/>
      <c r="S872" s="147"/>
      <c r="T872" s="147"/>
      <c r="U872" s="147"/>
      <c r="V872" s="147"/>
      <c r="W872" s="147"/>
      <c r="X872" s="147"/>
      <c r="Y872" s="147"/>
      <c r="Z872" s="147"/>
      <c r="AA872" s="147"/>
      <c r="AB872" s="147"/>
      <c r="AC872" s="147"/>
      <c r="AD872" s="147"/>
      <c r="AE872" s="147"/>
      <c r="AF872" s="147"/>
      <c r="AG872" s="147"/>
      <c r="AH872" s="147"/>
      <c r="AI872" s="147"/>
    </row>
    <row r="873">
      <c r="A873" s="167"/>
      <c r="B873" s="169"/>
      <c r="C873" s="170"/>
      <c r="D873" s="170"/>
      <c r="E873" s="170"/>
      <c r="F873" s="170"/>
      <c r="G873" s="171"/>
      <c r="H873" s="171"/>
      <c r="I873" s="172"/>
      <c r="J873" s="172"/>
      <c r="K873" s="172"/>
      <c r="L873" s="172"/>
      <c r="M873" s="147"/>
      <c r="Q873" s="147"/>
      <c r="R873" s="147"/>
      <c r="S873" s="147"/>
      <c r="T873" s="147"/>
      <c r="U873" s="147"/>
      <c r="V873" s="147"/>
      <c r="W873" s="147"/>
      <c r="X873" s="147"/>
      <c r="Y873" s="147"/>
      <c r="Z873" s="147"/>
      <c r="AA873" s="147"/>
      <c r="AB873" s="147"/>
      <c r="AC873" s="147"/>
      <c r="AD873" s="147"/>
      <c r="AE873" s="147"/>
      <c r="AF873" s="147"/>
      <c r="AG873" s="147"/>
      <c r="AH873" s="147"/>
      <c r="AI873" s="147"/>
    </row>
    <row r="874">
      <c r="A874" s="167"/>
      <c r="B874" s="169"/>
      <c r="C874" s="170"/>
      <c r="D874" s="170"/>
      <c r="E874" s="170"/>
      <c r="F874" s="170"/>
      <c r="G874" s="171"/>
      <c r="H874" s="171"/>
      <c r="I874" s="172"/>
      <c r="J874" s="172"/>
      <c r="K874" s="172"/>
      <c r="L874" s="172"/>
      <c r="M874" s="147"/>
      <c r="Q874" s="147"/>
      <c r="R874" s="147"/>
      <c r="S874" s="147"/>
      <c r="T874" s="147"/>
      <c r="U874" s="147"/>
      <c r="V874" s="147"/>
      <c r="W874" s="147"/>
      <c r="X874" s="147"/>
      <c r="Y874" s="147"/>
      <c r="Z874" s="147"/>
      <c r="AA874" s="147"/>
      <c r="AB874" s="147"/>
      <c r="AC874" s="147"/>
      <c r="AD874" s="147"/>
      <c r="AE874" s="147"/>
      <c r="AF874" s="147"/>
      <c r="AG874" s="147"/>
      <c r="AH874" s="147"/>
      <c r="AI874" s="147"/>
    </row>
    <row r="875">
      <c r="A875" s="167"/>
      <c r="B875" s="169"/>
      <c r="C875" s="170"/>
      <c r="D875" s="170"/>
      <c r="E875" s="170"/>
      <c r="F875" s="170"/>
      <c r="G875" s="171"/>
      <c r="H875" s="171"/>
      <c r="I875" s="172"/>
      <c r="J875" s="172"/>
      <c r="K875" s="172"/>
      <c r="L875" s="172"/>
      <c r="M875" s="147"/>
      <c r="Q875" s="147"/>
      <c r="R875" s="147"/>
      <c r="S875" s="147"/>
      <c r="T875" s="147"/>
      <c r="U875" s="147"/>
      <c r="V875" s="147"/>
      <c r="W875" s="147"/>
      <c r="X875" s="147"/>
      <c r="Y875" s="147"/>
      <c r="Z875" s="147"/>
      <c r="AA875" s="147"/>
      <c r="AB875" s="147"/>
      <c r="AC875" s="147"/>
      <c r="AD875" s="147"/>
      <c r="AE875" s="147"/>
      <c r="AF875" s="147"/>
      <c r="AG875" s="147"/>
      <c r="AH875" s="147"/>
      <c r="AI875" s="147"/>
    </row>
    <row r="876">
      <c r="A876" s="167"/>
      <c r="B876" s="169"/>
      <c r="C876" s="170"/>
      <c r="D876" s="170"/>
      <c r="E876" s="170"/>
      <c r="F876" s="170"/>
      <c r="G876" s="171"/>
      <c r="H876" s="171"/>
      <c r="I876" s="172"/>
      <c r="J876" s="172"/>
      <c r="K876" s="172"/>
      <c r="L876" s="172"/>
      <c r="M876" s="147"/>
      <c r="Q876" s="147"/>
      <c r="R876" s="147"/>
      <c r="S876" s="147"/>
      <c r="T876" s="147"/>
      <c r="U876" s="147"/>
      <c r="V876" s="147"/>
      <c r="W876" s="147"/>
      <c r="X876" s="147"/>
      <c r="Y876" s="147"/>
      <c r="Z876" s="147"/>
      <c r="AA876" s="147"/>
      <c r="AB876" s="147"/>
      <c r="AC876" s="147"/>
      <c r="AD876" s="147"/>
      <c r="AE876" s="147"/>
      <c r="AF876" s="147"/>
      <c r="AG876" s="147"/>
      <c r="AH876" s="147"/>
      <c r="AI876" s="147"/>
    </row>
    <row r="877">
      <c r="A877" s="167"/>
      <c r="B877" s="169"/>
      <c r="C877" s="170"/>
      <c r="D877" s="170"/>
      <c r="E877" s="170"/>
      <c r="F877" s="170"/>
      <c r="G877" s="171"/>
      <c r="H877" s="171"/>
      <c r="I877" s="172"/>
      <c r="J877" s="172"/>
      <c r="K877" s="172"/>
      <c r="L877" s="172"/>
      <c r="M877" s="147"/>
      <c r="Q877" s="147"/>
      <c r="R877" s="147"/>
      <c r="S877" s="147"/>
      <c r="T877" s="147"/>
      <c r="U877" s="147"/>
      <c r="V877" s="147"/>
      <c r="W877" s="147"/>
      <c r="X877" s="147"/>
      <c r="Y877" s="147"/>
      <c r="Z877" s="147"/>
      <c r="AA877" s="147"/>
      <c r="AB877" s="147"/>
      <c r="AC877" s="147"/>
      <c r="AD877" s="147"/>
      <c r="AE877" s="147"/>
      <c r="AF877" s="147"/>
      <c r="AG877" s="147"/>
      <c r="AH877" s="147"/>
      <c r="AI877" s="147"/>
    </row>
    <row r="878">
      <c r="A878" s="167"/>
      <c r="B878" s="169"/>
      <c r="C878" s="170"/>
      <c r="D878" s="170"/>
      <c r="E878" s="170"/>
      <c r="F878" s="170"/>
      <c r="G878" s="171"/>
      <c r="H878" s="171"/>
      <c r="I878" s="172"/>
      <c r="J878" s="172"/>
      <c r="K878" s="172"/>
      <c r="L878" s="172"/>
      <c r="M878" s="147"/>
      <c r="Q878" s="147"/>
      <c r="R878" s="147"/>
      <c r="S878" s="147"/>
      <c r="T878" s="147"/>
      <c r="U878" s="147"/>
      <c r="V878" s="147"/>
      <c r="W878" s="147"/>
      <c r="X878" s="147"/>
      <c r="Y878" s="147"/>
      <c r="Z878" s="147"/>
      <c r="AA878" s="147"/>
      <c r="AB878" s="147"/>
      <c r="AC878" s="147"/>
      <c r="AD878" s="147"/>
      <c r="AE878" s="147"/>
      <c r="AF878" s="147"/>
      <c r="AG878" s="147"/>
      <c r="AH878" s="147"/>
      <c r="AI878" s="147"/>
    </row>
    <row r="879">
      <c r="A879" s="167"/>
      <c r="B879" s="169"/>
      <c r="C879" s="170"/>
      <c r="D879" s="170"/>
      <c r="E879" s="170"/>
      <c r="F879" s="170"/>
      <c r="G879" s="171"/>
      <c r="H879" s="171"/>
      <c r="I879" s="172"/>
      <c r="J879" s="172"/>
      <c r="K879" s="172"/>
      <c r="L879" s="172"/>
      <c r="M879" s="147"/>
      <c r="Q879" s="147"/>
      <c r="R879" s="147"/>
      <c r="S879" s="147"/>
      <c r="T879" s="147"/>
      <c r="U879" s="147"/>
      <c r="V879" s="147"/>
      <c r="W879" s="147"/>
      <c r="X879" s="147"/>
      <c r="Y879" s="147"/>
      <c r="Z879" s="147"/>
      <c r="AA879" s="147"/>
      <c r="AB879" s="147"/>
      <c r="AC879" s="147"/>
      <c r="AD879" s="147"/>
      <c r="AE879" s="147"/>
      <c r="AF879" s="147"/>
      <c r="AG879" s="147"/>
      <c r="AH879" s="147"/>
      <c r="AI879" s="147"/>
    </row>
    <row r="880">
      <c r="A880" s="167"/>
      <c r="B880" s="169"/>
      <c r="C880" s="170"/>
      <c r="D880" s="170"/>
      <c r="E880" s="170"/>
      <c r="F880" s="170"/>
      <c r="G880" s="171"/>
      <c r="H880" s="171"/>
      <c r="I880" s="172"/>
      <c r="J880" s="172"/>
      <c r="K880" s="172"/>
      <c r="L880" s="172"/>
      <c r="M880" s="147"/>
      <c r="Q880" s="147"/>
      <c r="R880" s="147"/>
      <c r="S880" s="147"/>
      <c r="T880" s="147"/>
      <c r="U880" s="147"/>
      <c r="V880" s="147"/>
      <c r="W880" s="147"/>
      <c r="X880" s="147"/>
      <c r="Y880" s="147"/>
      <c r="Z880" s="147"/>
      <c r="AA880" s="147"/>
      <c r="AB880" s="147"/>
      <c r="AC880" s="147"/>
      <c r="AD880" s="147"/>
      <c r="AE880" s="147"/>
      <c r="AF880" s="147"/>
      <c r="AG880" s="147"/>
      <c r="AH880" s="147"/>
      <c r="AI880" s="147"/>
    </row>
    <row r="881">
      <c r="A881" s="167"/>
      <c r="B881" s="169"/>
      <c r="C881" s="170"/>
      <c r="D881" s="170"/>
      <c r="E881" s="170"/>
      <c r="F881" s="170"/>
      <c r="G881" s="171"/>
      <c r="H881" s="171"/>
      <c r="I881" s="172"/>
      <c r="J881" s="172"/>
      <c r="K881" s="172"/>
      <c r="L881" s="172"/>
      <c r="M881" s="147"/>
      <c r="Q881" s="147"/>
      <c r="R881" s="147"/>
      <c r="S881" s="147"/>
      <c r="T881" s="147"/>
      <c r="U881" s="147"/>
      <c r="V881" s="147"/>
      <c r="W881" s="147"/>
      <c r="X881" s="147"/>
      <c r="Y881" s="147"/>
      <c r="Z881" s="147"/>
      <c r="AA881" s="147"/>
      <c r="AB881" s="147"/>
      <c r="AC881" s="147"/>
      <c r="AD881" s="147"/>
      <c r="AE881" s="147"/>
      <c r="AF881" s="147"/>
      <c r="AG881" s="147"/>
      <c r="AH881" s="147"/>
      <c r="AI881" s="147"/>
    </row>
    <row r="882">
      <c r="A882" s="167"/>
      <c r="B882" s="169"/>
      <c r="C882" s="170"/>
      <c r="D882" s="170"/>
      <c r="E882" s="170"/>
      <c r="F882" s="170"/>
      <c r="G882" s="171"/>
      <c r="H882" s="171"/>
      <c r="I882" s="172"/>
      <c r="J882" s="172"/>
      <c r="K882" s="172"/>
      <c r="L882" s="172"/>
      <c r="M882" s="147"/>
      <c r="Q882" s="147"/>
      <c r="R882" s="147"/>
      <c r="S882" s="147"/>
      <c r="T882" s="147"/>
      <c r="U882" s="147"/>
      <c r="V882" s="147"/>
      <c r="W882" s="147"/>
      <c r="X882" s="147"/>
      <c r="Y882" s="147"/>
      <c r="Z882" s="147"/>
      <c r="AA882" s="147"/>
      <c r="AB882" s="147"/>
      <c r="AC882" s="147"/>
      <c r="AD882" s="147"/>
      <c r="AE882" s="147"/>
      <c r="AF882" s="147"/>
      <c r="AG882" s="147"/>
      <c r="AH882" s="147"/>
      <c r="AI882" s="147"/>
    </row>
    <row r="883">
      <c r="A883" s="167"/>
      <c r="B883" s="169"/>
      <c r="C883" s="170"/>
      <c r="D883" s="170"/>
      <c r="E883" s="170"/>
      <c r="F883" s="170"/>
      <c r="G883" s="171"/>
      <c r="H883" s="171"/>
      <c r="I883" s="172"/>
      <c r="J883" s="172"/>
      <c r="K883" s="172"/>
      <c r="L883" s="172"/>
      <c r="M883" s="147"/>
      <c r="Q883" s="147"/>
      <c r="R883" s="147"/>
      <c r="S883" s="147"/>
      <c r="T883" s="147"/>
      <c r="U883" s="147"/>
      <c r="V883" s="147"/>
      <c r="W883" s="147"/>
      <c r="X883" s="147"/>
      <c r="Y883" s="147"/>
      <c r="Z883" s="147"/>
      <c r="AA883" s="147"/>
      <c r="AB883" s="147"/>
      <c r="AC883" s="147"/>
      <c r="AD883" s="147"/>
      <c r="AE883" s="147"/>
      <c r="AF883" s="147"/>
      <c r="AG883" s="147"/>
      <c r="AH883" s="147"/>
      <c r="AI883" s="147"/>
    </row>
    <row r="884">
      <c r="A884" s="167"/>
      <c r="B884" s="169"/>
      <c r="C884" s="170"/>
      <c r="D884" s="170"/>
      <c r="E884" s="170"/>
      <c r="F884" s="170"/>
      <c r="G884" s="171"/>
      <c r="H884" s="171"/>
      <c r="I884" s="172"/>
      <c r="J884" s="172"/>
      <c r="K884" s="172"/>
      <c r="L884" s="172"/>
      <c r="M884" s="147"/>
      <c r="Q884" s="147"/>
      <c r="R884" s="147"/>
      <c r="S884" s="147"/>
      <c r="T884" s="147"/>
      <c r="U884" s="147"/>
      <c r="V884" s="147"/>
      <c r="W884" s="147"/>
      <c r="X884" s="147"/>
      <c r="Y884" s="147"/>
      <c r="Z884" s="147"/>
      <c r="AA884" s="147"/>
      <c r="AB884" s="147"/>
      <c r="AC884" s="147"/>
      <c r="AD884" s="147"/>
      <c r="AE884" s="147"/>
      <c r="AF884" s="147"/>
      <c r="AG884" s="147"/>
      <c r="AH884" s="147"/>
      <c r="AI884" s="147"/>
    </row>
    <row r="885">
      <c r="A885" s="167"/>
      <c r="B885" s="169"/>
      <c r="C885" s="170"/>
      <c r="D885" s="170"/>
      <c r="E885" s="170"/>
      <c r="F885" s="170"/>
      <c r="G885" s="171"/>
      <c r="H885" s="171"/>
      <c r="I885" s="172"/>
      <c r="J885" s="172"/>
      <c r="K885" s="172"/>
      <c r="L885" s="172"/>
      <c r="M885" s="147"/>
      <c r="Q885" s="147"/>
      <c r="R885" s="147"/>
      <c r="S885" s="147"/>
      <c r="T885" s="147"/>
      <c r="U885" s="147"/>
      <c r="V885" s="147"/>
      <c r="W885" s="147"/>
      <c r="X885" s="147"/>
      <c r="Y885" s="147"/>
      <c r="Z885" s="147"/>
      <c r="AA885" s="147"/>
      <c r="AB885" s="147"/>
      <c r="AC885" s="147"/>
      <c r="AD885" s="147"/>
      <c r="AE885" s="147"/>
      <c r="AF885" s="147"/>
      <c r="AG885" s="147"/>
      <c r="AH885" s="147"/>
      <c r="AI885" s="147"/>
    </row>
    <row r="886">
      <c r="A886" s="167"/>
      <c r="B886" s="169"/>
      <c r="C886" s="170"/>
      <c r="D886" s="170"/>
      <c r="E886" s="170"/>
      <c r="F886" s="170"/>
      <c r="G886" s="171"/>
      <c r="H886" s="171"/>
      <c r="I886" s="172"/>
      <c r="J886" s="172"/>
      <c r="K886" s="172"/>
      <c r="L886" s="172"/>
      <c r="M886" s="147"/>
      <c r="Q886" s="147"/>
      <c r="R886" s="147"/>
      <c r="S886" s="147"/>
      <c r="T886" s="147"/>
      <c r="U886" s="147"/>
      <c r="V886" s="147"/>
      <c r="W886" s="147"/>
      <c r="X886" s="147"/>
      <c r="Y886" s="147"/>
      <c r="Z886" s="147"/>
      <c r="AA886" s="147"/>
      <c r="AB886" s="147"/>
      <c r="AC886" s="147"/>
      <c r="AD886" s="147"/>
      <c r="AE886" s="147"/>
      <c r="AF886" s="147"/>
      <c r="AG886" s="147"/>
      <c r="AH886" s="147"/>
      <c r="AI886" s="147"/>
    </row>
    <row r="887">
      <c r="A887" s="167"/>
      <c r="B887" s="169"/>
      <c r="C887" s="170"/>
      <c r="D887" s="170"/>
      <c r="E887" s="170"/>
      <c r="F887" s="170"/>
      <c r="G887" s="171"/>
      <c r="H887" s="171"/>
      <c r="I887" s="172"/>
      <c r="J887" s="172"/>
      <c r="K887" s="172"/>
      <c r="L887" s="172"/>
      <c r="M887" s="147"/>
      <c r="Q887" s="147"/>
      <c r="R887" s="147"/>
      <c r="S887" s="147"/>
      <c r="T887" s="147"/>
      <c r="U887" s="147"/>
      <c r="V887" s="147"/>
      <c r="W887" s="147"/>
      <c r="X887" s="147"/>
      <c r="Y887" s="147"/>
      <c r="Z887" s="147"/>
      <c r="AA887" s="147"/>
      <c r="AB887" s="147"/>
      <c r="AC887" s="147"/>
      <c r="AD887" s="147"/>
      <c r="AE887" s="147"/>
      <c r="AF887" s="147"/>
      <c r="AG887" s="147"/>
      <c r="AH887" s="147"/>
      <c r="AI887" s="147"/>
    </row>
    <row r="888">
      <c r="A888" s="167"/>
      <c r="B888" s="169"/>
      <c r="C888" s="170"/>
      <c r="D888" s="170"/>
      <c r="E888" s="170"/>
      <c r="F888" s="170"/>
      <c r="G888" s="171"/>
      <c r="H888" s="171"/>
      <c r="I888" s="172"/>
      <c r="J888" s="172"/>
      <c r="K888" s="172"/>
      <c r="L888" s="172"/>
      <c r="M888" s="147"/>
      <c r="Q888" s="147"/>
      <c r="R888" s="147"/>
      <c r="S888" s="147"/>
      <c r="T888" s="147"/>
      <c r="U888" s="147"/>
      <c r="V888" s="147"/>
      <c r="W888" s="147"/>
      <c r="X888" s="147"/>
      <c r="Y888" s="147"/>
      <c r="Z888" s="147"/>
      <c r="AA888" s="147"/>
      <c r="AB888" s="147"/>
      <c r="AC888" s="147"/>
      <c r="AD888" s="147"/>
      <c r="AE888" s="147"/>
      <c r="AF888" s="147"/>
      <c r="AG888" s="147"/>
      <c r="AH888" s="147"/>
      <c r="AI888" s="147"/>
    </row>
    <row r="889">
      <c r="A889" s="167"/>
      <c r="B889" s="169"/>
      <c r="C889" s="170"/>
      <c r="D889" s="170"/>
      <c r="E889" s="170"/>
      <c r="F889" s="170"/>
      <c r="G889" s="171"/>
      <c r="H889" s="171"/>
      <c r="I889" s="172"/>
      <c r="J889" s="172"/>
      <c r="K889" s="172"/>
      <c r="L889" s="172"/>
      <c r="M889" s="147"/>
      <c r="Q889" s="147"/>
      <c r="R889" s="147"/>
      <c r="S889" s="147"/>
      <c r="T889" s="147"/>
      <c r="U889" s="147"/>
      <c r="V889" s="147"/>
      <c r="W889" s="147"/>
      <c r="X889" s="147"/>
      <c r="Y889" s="147"/>
      <c r="Z889" s="147"/>
      <c r="AA889" s="147"/>
      <c r="AB889" s="147"/>
      <c r="AC889" s="147"/>
      <c r="AD889" s="147"/>
      <c r="AE889" s="147"/>
      <c r="AF889" s="147"/>
      <c r="AG889" s="147"/>
      <c r="AH889" s="147"/>
      <c r="AI889" s="147"/>
    </row>
    <row r="890">
      <c r="A890" s="167"/>
      <c r="B890" s="169"/>
      <c r="C890" s="170"/>
      <c r="D890" s="170"/>
      <c r="E890" s="170"/>
      <c r="F890" s="170"/>
      <c r="G890" s="171"/>
      <c r="H890" s="171"/>
      <c r="I890" s="172"/>
      <c r="J890" s="172"/>
      <c r="K890" s="172"/>
      <c r="L890" s="172"/>
      <c r="M890" s="147"/>
      <c r="Q890" s="147"/>
      <c r="R890" s="147"/>
      <c r="S890" s="147"/>
      <c r="T890" s="147"/>
      <c r="U890" s="147"/>
      <c r="V890" s="147"/>
      <c r="W890" s="147"/>
      <c r="X890" s="147"/>
      <c r="Y890" s="147"/>
      <c r="Z890" s="147"/>
      <c r="AA890" s="147"/>
      <c r="AB890" s="147"/>
      <c r="AC890" s="147"/>
      <c r="AD890" s="147"/>
      <c r="AE890" s="147"/>
      <c r="AF890" s="147"/>
      <c r="AG890" s="147"/>
      <c r="AH890" s="147"/>
      <c r="AI890" s="147"/>
    </row>
    <row r="891">
      <c r="A891" s="167"/>
      <c r="B891" s="169"/>
      <c r="C891" s="170"/>
      <c r="D891" s="170"/>
      <c r="E891" s="170"/>
      <c r="F891" s="170"/>
      <c r="G891" s="171"/>
      <c r="H891" s="171"/>
      <c r="I891" s="172"/>
      <c r="J891" s="172"/>
      <c r="K891" s="172"/>
      <c r="L891" s="172"/>
      <c r="M891" s="147"/>
      <c r="Q891" s="147"/>
      <c r="R891" s="147"/>
      <c r="S891" s="147"/>
      <c r="T891" s="147"/>
      <c r="U891" s="147"/>
      <c r="V891" s="147"/>
      <c r="W891" s="147"/>
      <c r="X891" s="147"/>
      <c r="Y891" s="147"/>
      <c r="Z891" s="147"/>
      <c r="AA891" s="147"/>
      <c r="AB891" s="147"/>
      <c r="AC891" s="147"/>
      <c r="AD891" s="147"/>
      <c r="AE891" s="147"/>
      <c r="AF891" s="147"/>
      <c r="AG891" s="147"/>
      <c r="AH891" s="147"/>
      <c r="AI891" s="147"/>
    </row>
    <row r="892">
      <c r="A892" s="167"/>
      <c r="B892" s="169"/>
      <c r="C892" s="170"/>
      <c r="D892" s="170"/>
      <c r="E892" s="170"/>
      <c r="F892" s="170"/>
      <c r="G892" s="171"/>
      <c r="H892" s="171"/>
      <c r="I892" s="172"/>
      <c r="J892" s="172"/>
      <c r="K892" s="172"/>
      <c r="L892" s="172"/>
      <c r="M892" s="147"/>
      <c r="Q892" s="147"/>
      <c r="R892" s="147"/>
      <c r="S892" s="147"/>
      <c r="T892" s="147"/>
      <c r="U892" s="147"/>
      <c r="V892" s="147"/>
      <c r="W892" s="147"/>
      <c r="X892" s="147"/>
      <c r="Y892" s="147"/>
      <c r="Z892" s="147"/>
      <c r="AA892" s="147"/>
      <c r="AB892" s="147"/>
      <c r="AC892" s="147"/>
      <c r="AD892" s="147"/>
      <c r="AE892" s="147"/>
      <c r="AF892" s="147"/>
      <c r="AG892" s="147"/>
      <c r="AH892" s="147"/>
      <c r="AI892" s="147"/>
    </row>
    <row r="893">
      <c r="A893" s="167"/>
      <c r="B893" s="169"/>
      <c r="C893" s="170"/>
      <c r="D893" s="170"/>
      <c r="E893" s="170"/>
      <c r="F893" s="170"/>
      <c r="G893" s="171"/>
      <c r="H893" s="171"/>
      <c r="I893" s="172"/>
      <c r="J893" s="172"/>
      <c r="K893" s="172"/>
      <c r="L893" s="172"/>
      <c r="M893" s="147"/>
      <c r="Q893" s="147"/>
      <c r="R893" s="147"/>
      <c r="S893" s="147"/>
      <c r="T893" s="147"/>
      <c r="U893" s="147"/>
      <c r="V893" s="147"/>
      <c r="W893" s="147"/>
      <c r="X893" s="147"/>
      <c r="Y893" s="147"/>
      <c r="Z893" s="147"/>
      <c r="AA893" s="147"/>
      <c r="AB893" s="147"/>
      <c r="AC893" s="147"/>
      <c r="AD893" s="147"/>
      <c r="AE893" s="147"/>
      <c r="AF893" s="147"/>
      <c r="AG893" s="147"/>
      <c r="AH893" s="147"/>
      <c r="AI893" s="147"/>
    </row>
    <row r="894">
      <c r="A894" s="167"/>
      <c r="B894" s="169"/>
      <c r="C894" s="170"/>
      <c r="D894" s="170"/>
      <c r="E894" s="170"/>
      <c r="F894" s="170"/>
      <c r="G894" s="171"/>
      <c r="H894" s="171"/>
      <c r="I894" s="172"/>
      <c r="J894" s="172"/>
      <c r="K894" s="172"/>
      <c r="L894" s="172"/>
      <c r="M894" s="147"/>
      <c r="Q894" s="147"/>
      <c r="R894" s="147"/>
      <c r="S894" s="147"/>
      <c r="T894" s="147"/>
      <c r="U894" s="147"/>
      <c r="V894" s="147"/>
      <c r="W894" s="147"/>
      <c r="X894" s="147"/>
      <c r="Y894" s="147"/>
      <c r="Z894" s="147"/>
      <c r="AA894" s="147"/>
      <c r="AB894" s="147"/>
      <c r="AC894" s="147"/>
      <c r="AD894" s="147"/>
      <c r="AE894" s="147"/>
      <c r="AF894" s="147"/>
      <c r="AG894" s="147"/>
      <c r="AH894" s="147"/>
      <c r="AI894" s="147"/>
    </row>
    <row r="895">
      <c r="A895" s="167"/>
      <c r="B895" s="169"/>
      <c r="C895" s="170"/>
      <c r="D895" s="170"/>
      <c r="E895" s="170"/>
      <c r="F895" s="170"/>
      <c r="G895" s="171"/>
      <c r="H895" s="171"/>
      <c r="I895" s="172"/>
      <c r="J895" s="172"/>
      <c r="K895" s="172"/>
      <c r="L895" s="172"/>
      <c r="M895" s="147"/>
      <c r="Q895" s="147"/>
      <c r="R895" s="147"/>
      <c r="S895" s="147"/>
      <c r="T895" s="147"/>
      <c r="U895" s="147"/>
      <c r="V895" s="147"/>
      <c r="W895" s="147"/>
      <c r="X895" s="147"/>
      <c r="Y895" s="147"/>
      <c r="Z895" s="147"/>
      <c r="AA895" s="147"/>
      <c r="AB895" s="147"/>
      <c r="AC895" s="147"/>
      <c r="AD895" s="147"/>
      <c r="AE895" s="147"/>
      <c r="AF895" s="147"/>
      <c r="AG895" s="147"/>
      <c r="AH895" s="147"/>
      <c r="AI895" s="147"/>
    </row>
    <row r="896">
      <c r="A896" s="167"/>
      <c r="B896" s="169"/>
      <c r="C896" s="170"/>
      <c r="D896" s="170"/>
      <c r="E896" s="170"/>
      <c r="F896" s="170"/>
      <c r="G896" s="171"/>
      <c r="H896" s="171"/>
      <c r="I896" s="172"/>
      <c r="J896" s="172"/>
      <c r="K896" s="172"/>
      <c r="L896" s="172"/>
      <c r="M896" s="147"/>
      <c r="Q896" s="147"/>
      <c r="R896" s="147"/>
      <c r="S896" s="147"/>
      <c r="T896" s="147"/>
      <c r="U896" s="147"/>
      <c r="V896" s="147"/>
      <c r="W896" s="147"/>
      <c r="X896" s="147"/>
      <c r="Y896" s="147"/>
      <c r="Z896" s="147"/>
      <c r="AA896" s="147"/>
      <c r="AB896" s="147"/>
      <c r="AC896" s="147"/>
      <c r="AD896" s="147"/>
      <c r="AE896" s="147"/>
      <c r="AF896" s="147"/>
      <c r="AG896" s="147"/>
      <c r="AH896" s="147"/>
      <c r="AI896" s="147"/>
    </row>
    <row r="897">
      <c r="A897" s="167"/>
      <c r="B897" s="169"/>
      <c r="C897" s="170"/>
      <c r="D897" s="170"/>
      <c r="E897" s="170"/>
      <c r="F897" s="170"/>
      <c r="G897" s="171"/>
      <c r="H897" s="171"/>
      <c r="I897" s="172"/>
      <c r="J897" s="172"/>
      <c r="K897" s="172"/>
      <c r="L897" s="172"/>
      <c r="M897" s="147"/>
      <c r="Q897" s="147"/>
      <c r="R897" s="147"/>
      <c r="S897" s="147"/>
      <c r="T897" s="147"/>
      <c r="U897" s="147"/>
      <c r="V897" s="147"/>
      <c r="W897" s="147"/>
      <c r="X897" s="147"/>
      <c r="Y897" s="147"/>
      <c r="Z897" s="147"/>
      <c r="AA897" s="147"/>
      <c r="AB897" s="147"/>
      <c r="AC897" s="147"/>
      <c r="AD897" s="147"/>
      <c r="AE897" s="147"/>
      <c r="AF897" s="147"/>
      <c r="AG897" s="147"/>
      <c r="AH897" s="147"/>
      <c r="AI897" s="147"/>
    </row>
    <row r="898">
      <c r="A898" s="167"/>
      <c r="B898" s="169"/>
      <c r="C898" s="170"/>
      <c r="D898" s="170"/>
      <c r="E898" s="170"/>
      <c r="F898" s="170"/>
      <c r="G898" s="171"/>
      <c r="H898" s="171"/>
      <c r="I898" s="172"/>
      <c r="J898" s="172"/>
      <c r="K898" s="172"/>
      <c r="L898" s="172"/>
      <c r="M898" s="147"/>
      <c r="Q898" s="147"/>
      <c r="R898" s="147"/>
      <c r="S898" s="147"/>
      <c r="T898" s="147"/>
      <c r="U898" s="147"/>
      <c r="V898" s="147"/>
      <c r="W898" s="147"/>
      <c r="X898" s="147"/>
      <c r="Y898" s="147"/>
      <c r="Z898" s="147"/>
      <c r="AA898" s="147"/>
      <c r="AB898" s="147"/>
      <c r="AC898" s="147"/>
      <c r="AD898" s="147"/>
      <c r="AE898" s="147"/>
      <c r="AF898" s="147"/>
      <c r="AG898" s="147"/>
      <c r="AH898" s="147"/>
      <c r="AI898" s="147"/>
    </row>
    <row r="899">
      <c r="A899" s="167"/>
      <c r="B899" s="169"/>
      <c r="C899" s="170"/>
      <c r="D899" s="170"/>
      <c r="E899" s="170"/>
      <c r="F899" s="170"/>
      <c r="G899" s="171"/>
      <c r="H899" s="171"/>
      <c r="I899" s="172"/>
      <c r="J899" s="172"/>
      <c r="K899" s="172"/>
      <c r="L899" s="172"/>
      <c r="M899" s="147"/>
      <c r="Q899" s="147"/>
      <c r="R899" s="147"/>
      <c r="S899" s="147"/>
      <c r="T899" s="147"/>
      <c r="U899" s="147"/>
      <c r="V899" s="147"/>
      <c r="W899" s="147"/>
      <c r="X899" s="147"/>
      <c r="Y899" s="147"/>
      <c r="Z899" s="147"/>
      <c r="AA899" s="147"/>
      <c r="AB899" s="147"/>
      <c r="AC899" s="147"/>
      <c r="AD899" s="147"/>
      <c r="AE899" s="147"/>
      <c r="AF899" s="147"/>
      <c r="AG899" s="147"/>
      <c r="AH899" s="147"/>
      <c r="AI899" s="147"/>
    </row>
    <row r="900">
      <c r="A900" s="167"/>
      <c r="B900" s="169"/>
      <c r="C900" s="170"/>
      <c r="D900" s="170"/>
      <c r="E900" s="170"/>
      <c r="F900" s="170"/>
      <c r="G900" s="171"/>
      <c r="H900" s="171"/>
      <c r="I900" s="172"/>
      <c r="J900" s="172"/>
      <c r="K900" s="172"/>
      <c r="L900" s="172"/>
      <c r="M900" s="147"/>
      <c r="Q900" s="147"/>
      <c r="R900" s="147"/>
      <c r="S900" s="147"/>
      <c r="T900" s="147"/>
      <c r="U900" s="147"/>
      <c r="V900" s="147"/>
      <c r="W900" s="147"/>
      <c r="X900" s="147"/>
      <c r="Y900" s="147"/>
      <c r="Z900" s="147"/>
      <c r="AA900" s="147"/>
      <c r="AB900" s="147"/>
      <c r="AC900" s="147"/>
      <c r="AD900" s="147"/>
      <c r="AE900" s="147"/>
      <c r="AF900" s="147"/>
      <c r="AG900" s="147"/>
      <c r="AH900" s="147"/>
      <c r="AI900" s="147"/>
    </row>
    <row r="901">
      <c r="A901" s="167"/>
      <c r="B901" s="169"/>
      <c r="C901" s="170"/>
      <c r="D901" s="170"/>
      <c r="E901" s="170"/>
      <c r="F901" s="170"/>
      <c r="G901" s="171"/>
      <c r="H901" s="171"/>
      <c r="I901" s="172"/>
      <c r="J901" s="172"/>
      <c r="K901" s="172"/>
      <c r="L901" s="172"/>
      <c r="M901" s="147"/>
      <c r="Q901" s="147"/>
      <c r="R901" s="147"/>
      <c r="S901" s="147"/>
      <c r="T901" s="147"/>
      <c r="U901" s="147"/>
      <c r="V901" s="147"/>
      <c r="W901" s="147"/>
      <c r="X901" s="147"/>
      <c r="Y901" s="147"/>
      <c r="Z901" s="147"/>
      <c r="AA901" s="147"/>
      <c r="AB901" s="147"/>
      <c r="AC901" s="147"/>
      <c r="AD901" s="147"/>
      <c r="AE901" s="147"/>
      <c r="AF901" s="147"/>
      <c r="AG901" s="147"/>
      <c r="AH901" s="147"/>
      <c r="AI901" s="147"/>
    </row>
    <row r="902">
      <c r="A902" s="167"/>
      <c r="B902" s="169"/>
      <c r="C902" s="170"/>
      <c r="D902" s="170"/>
      <c r="E902" s="170"/>
      <c r="F902" s="170"/>
      <c r="G902" s="171"/>
      <c r="H902" s="171"/>
      <c r="I902" s="172"/>
      <c r="J902" s="172"/>
      <c r="K902" s="172"/>
      <c r="L902" s="172"/>
      <c r="M902" s="147"/>
      <c r="Q902" s="147"/>
      <c r="R902" s="147"/>
      <c r="S902" s="147"/>
      <c r="T902" s="147"/>
      <c r="U902" s="147"/>
      <c r="V902" s="147"/>
      <c r="W902" s="147"/>
      <c r="X902" s="147"/>
      <c r="Y902" s="147"/>
      <c r="Z902" s="147"/>
      <c r="AA902" s="147"/>
      <c r="AB902" s="147"/>
      <c r="AC902" s="147"/>
      <c r="AD902" s="147"/>
      <c r="AE902" s="147"/>
      <c r="AF902" s="147"/>
      <c r="AG902" s="147"/>
      <c r="AH902" s="147"/>
      <c r="AI902" s="147"/>
    </row>
    <row r="903">
      <c r="A903" s="167"/>
      <c r="B903" s="169"/>
      <c r="C903" s="170"/>
      <c r="D903" s="170"/>
      <c r="E903" s="170"/>
      <c r="F903" s="170"/>
      <c r="G903" s="171"/>
      <c r="H903" s="171"/>
      <c r="I903" s="172"/>
      <c r="J903" s="172"/>
      <c r="K903" s="172"/>
      <c r="L903" s="172"/>
      <c r="M903" s="147"/>
      <c r="Q903" s="147"/>
      <c r="R903" s="147"/>
      <c r="S903" s="147"/>
      <c r="T903" s="147"/>
      <c r="U903" s="147"/>
      <c r="V903" s="147"/>
      <c r="W903" s="147"/>
      <c r="X903" s="147"/>
      <c r="Y903" s="147"/>
      <c r="Z903" s="147"/>
      <c r="AA903" s="147"/>
      <c r="AB903" s="147"/>
      <c r="AC903" s="147"/>
      <c r="AD903" s="147"/>
      <c r="AE903" s="147"/>
      <c r="AF903" s="147"/>
      <c r="AG903" s="147"/>
      <c r="AH903" s="147"/>
      <c r="AI903" s="147"/>
    </row>
    <row r="904">
      <c r="A904" s="167"/>
      <c r="B904" s="169"/>
      <c r="C904" s="170"/>
      <c r="D904" s="170"/>
      <c r="E904" s="170"/>
      <c r="F904" s="170"/>
      <c r="G904" s="171"/>
      <c r="H904" s="171"/>
      <c r="I904" s="172"/>
      <c r="J904" s="172"/>
      <c r="K904" s="172"/>
      <c r="L904" s="172"/>
      <c r="M904" s="147"/>
      <c r="Q904" s="147"/>
      <c r="R904" s="147"/>
      <c r="S904" s="147"/>
      <c r="T904" s="147"/>
      <c r="U904" s="147"/>
      <c r="V904" s="147"/>
      <c r="W904" s="147"/>
      <c r="X904" s="147"/>
      <c r="Y904" s="147"/>
      <c r="Z904" s="147"/>
      <c r="AA904" s="147"/>
      <c r="AB904" s="147"/>
      <c r="AC904" s="147"/>
      <c r="AD904" s="147"/>
      <c r="AE904" s="147"/>
      <c r="AF904" s="147"/>
      <c r="AG904" s="147"/>
      <c r="AH904" s="147"/>
      <c r="AI904" s="147"/>
    </row>
    <row r="905">
      <c r="A905" s="167"/>
      <c r="B905" s="169"/>
      <c r="C905" s="170"/>
      <c r="D905" s="170"/>
      <c r="E905" s="170"/>
      <c r="F905" s="170"/>
      <c r="G905" s="171"/>
      <c r="H905" s="171"/>
      <c r="I905" s="172"/>
      <c r="J905" s="172"/>
      <c r="K905" s="172"/>
      <c r="L905" s="172"/>
      <c r="M905" s="147"/>
      <c r="Q905" s="147"/>
      <c r="R905" s="147"/>
      <c r="S905" s="147"/>
      <c r="T905" s="147"/>
      <c r="U905" s="147"/>
      <c r="V905" s="147"/>
      <c r="W905" s="147"/>
      <c r="X905" s="147"/>
      <c r="Y905" s="147"/>
      <c r="Z905" s="147"/>
      <c r="AA905" s="147"/>
      <c r="AB905" s="147"/>
      <c r="AC905" s="147"/>
      <c r="AD905" s="147"/>
      <c r="AE905" s="147"/>
      <c r="AF905" s="147"/>
      <c r="AG905" s="147"/>
      <c r="AH905" s="147"/>
      <c r="AI905" s="147"/>
    </row>
    <row r="906">
      <c r="A906" s="167"/>
      <c r="B906" s="169"/>
      <c r="C906" s="170"/>
      <c r="D906" s="170"/>
      <c r="E906" s="170"/>
      <c r="F906" s="170"/>
      <c r="G906" s="171"/>
      <c r="H906" s="171"/>
      <c r="I906" s="172"/>
      <c r="J906" s="172"/>
      <c r="K906" s="172"/>
      <c r="L906" s="172"/>
      <c r="M906" s="147"/>
      <c r="Q906" s="147"/>
      <c r="R906" s="147"/>
      <c r="S906" s="147"/>
      <c r="T906" s="147"/>
      <c r="U906" s="147"/>
      <c r="V906" s="147"/>
      <c r="W906" s="147"/>
      <c r="X906" s="147"/>
      <c r="Y906" s="147"/>
      <c r="Z906" s="147"/>
      <c r="AA906" s="147"/>
      <c r="AB906" s="147"/>
      <c r="AC906" s="147"/>
      <c r="AD906" s="147"/>
      <c r="AE906" s="147"/>
      <c r="AF906" s="147"/>
      <c r="AG906" s="147"/>
      <c r="AH906" s="147"/>
      <c r="AI906" s="147"/>
    </row>
    <row r="907">
      <c r="A907" s="167"/>
      <c r="B907" s="169"/>
      <c r="C907" s="170"/>
      <c r="D907" s="170"/>
      <c r="E907" s="170"/>
      <c r="F907" s="170"/>
      <c r="G907" s="171"/>
      <c r="H907" s="171"/>
      <c r="I907" s="172"/>
      <c r="J907" s="172"/>
      <c r="K907" s="172"/>
      <c r="L907" s="172"/>
      <c r="M907" s="147"/>
      <c r="Q907" s="147"/>
      <c r="R907" s="147"/>
      <c r="S907" s="147"/>
      <c r="T907" s="147"/>
      <c r="U907" s="147"/>
      <c r="V907" s="147"/>
      <c r="W907" s="147"/>
      <c r="X907" s="147"/>
      <c r="Y907" s="147"/>
      <c r="Z907" s="147"/>
      <c r="AA907" s="147"/>
      <c r="AB907" s="147"/>
      <c r="AC907" s="147"/>
      <c r="AD907" s="147"/>
      <c r="AE907" s="147"/>
      <c r="AF907" s="147"/>
      <c r="AG907" s="147"/>
      <c r="AH907" s="147"/>
      <c r="AI907" s="147"/>
    </row>
    <row r="908">
      <c r="A908" s="167"/>
      <c r="B908" s="169"/>
      <c r="C908" s="170"/>
      <c r="D908" s="170"/>
      <c r="E908" s="170"/>
      <c r="F908" s="170"/>
      <c r="G908" s="171"/>
      <c r="H908" s="171"/>
      <c r="I908" s="172"/>
      <c r="J908" s="172"/>
      <c r="K908" s="172"/>
      <c r="L908" s="172"/>
      <c r="M908" s="147"/>
      <c r="Q908" s="147"/>
      <c r="R908" s="147"/>
      <c r="S908" s="147"/>
      <c r="T908" s="147"/>
      <c r="U908" s="147"/>
      <c r="V908" s="147"/>
      <c r="W908" s="147"/>
      <c r="X908" s="147"/>
      <c r="Y908" s="147"/>
      <c r="Z908" s="147"/>
      <c r="AA908" s="147"/>
      <c r="AB908" s="147"/>
      <c r="AC908" s="147"/>
      <c r="AD908" s="147"/>
      <c r="AE908" s="147"/>
      <c r="AF908" s="147"/>
      <c r="AG908" s="147"/>
      <c r="AH908" s="147"/>
      <c r="AI908" s="147"/>
    </row>
    <row r="909">
      <c r="A909" s="167"/>
      <c r="B909" s="169"/>
      <c r="C909" s="170"/>
      <c r="D909" s="170"/>
      <c r="E909" s="170"/>
      <c r="F909" s="170"/>
      <c r="G909" s="171"/>
      <c r="H909" s="171"/>
      <c r="I909" s="172"/>
      <c r="J909" s="172"/>
      <c r="K909" s="172"/>
      <c r="L909" s="172"/>
      <c r="M909" s="147"/>
      <c r="Q909" s="147"/>
      <c r="R909" s="147"/>
      <c r="S909" s="147"/>
      <c r="T909" s="147"/>
      <c r="U909" s="147"/>
      <c r="V909" s="147"/>
      <c r="W909" s="147"/>
      <c r="X909" s="147"/>
      <c r="Y909" s="147"/>
      <c r="Z909" s="147"/>
      <c r="AA909" s="147"/>
      <c r="AB909" s="147"/>
      <c r="AC909" s="147"/>
      <c r="AD909" s="147"/>
      <c r="AE909" s="147"/>
      <c r="AF909" s="147"/>
      <c r="AG909" s="147"/>
      <c r="AH909" s="147"/>
      <c r="AI909" s="147"/>
    </row>
    <row r="910">
      <c r="A910" s="167"/>
      <c r="B910" s="169"/>
      <c r="C910" s="170"/>
      <c r="D910" s="170"/>
      <c r="E910" s="170"/>
      <c r="F910" s="170"/>
      <c r="G910" s="171"/>
      <c r="H910" s="171"/>
      <c r="I910" s="172"/>
      <c r="J910" s="172"/>
      <c r="K910" s="172"/>
      <c r="L910" s="172"/>
      <c r="M910" s="147"/>
      <c r="Q910" s="147"/>
      <c r="R910" s="147"/>
      <c r="S910" s="147"/>
      <c r="T910" s="147"/>
      <c r="U910" s="147"/>
      <c r="V910" s="147"/>
      <c r="W910" s="147"/>
      <c r="X910" s="147"/>
      <c r="Y910" s="147"/>
      <c r="Z910" s="147"/>
      <c r="AA910" s="147"/>
      <c r="AB910" s="147"/>
      <c r="AC910" s="147"/>
      <c r="AD910" s="147"/>
      <c r="AE910" s="147"/>
      <c r="AF910" s="147"/>
      <c r="AG910" s="147"/>
      <c r="AH910" s="147"/>
      <c r="AI910" s="147"/>
    </row>
    <row r="911">
      <c r="A911" s="167"/>
      <c r="B911" s="169"/>
      <c r="C911" s="170"/>
      <c r="D911" s="170"/>
      <c r="E911" s="170"/>
      <c r="F911" s="170"/>
      <c r="G911" s="171"/>
      <c r="H911" s="171"/>
      <c r="I911" s="172"/>
      <c r="J911" s="172"/>
      <c r="K911" s="172"/>
      <c r="L911" s="172"/>
      <c r="M911" s="147"/>
      <c r="Q911" s="147"/>
      <c r="R911" s="147"/>
      <c r="S911" s="147"/>
      <c r="T911" s="147"/>
      <c r="U911" s="147"/>
      <c r="V911" s="147"/>
      <c r="W911" s="147"/>
      <c r="X911" s="147"/>
      <c r="Y911" s="147"/>
      <c r="Z911" s="147"/>
      <c r="AA911" s="147"/>
      <c r="AB911" s="147"/>
      <c r="AC911" s="147"/>
      <c r="AD911" s="147"/>
      <c r="AE911" s="147"/>
      <c r="AF911" s="147"/>
      <c r="AG911" s="147"/>
      <c r="AH911" s="147"/>
      <c r="AI911" s="147"/>
    </row>
    <row r="912">
      <c r="A912" s="167"/>
      <c r="B912" s="169"/>
      <c r="C912" s="170"/>
      <c r="D912" s="170"/>
      <c r="E912" s="170"/>
      <c r="F912" s="170"/>
      <c r="G912" s="171"/>
      <c r="H912" s="171"/>
      <c r="I912" s="172"/>
      <c r="J912" s="172"/>
      <c r="K912" s="172"/>
      <c r="L912" s="172"/>
      <c r="M912" s="147"/>
      <c r="Q912" s="147"/>
      <c r="R912" s="147"/>
      <c r="S912" s="147"/>
      <c r="T912" s="147"/>
      <c r="U912" s="147"/>
      <c r="V912" s="147"/>
      <c r="W912" s="147"/>
      <c r="X912" s="147"/>
      <c r="Y912" s="147"/>
      <c r="Z912" s="147"/>
      <c r="AA912" s="147"/>
      <c r="AB912" s="147"/>
      <c r="AC912" s="147"/>
      <c r="AD912" s="147"/>
      <c r="AE912" s="147"/>
      <c r="AF912" s="147"/>
      <c r="AG912" s="147"/>
      <c r="AH912" s="147"/>
      <c r="AI912" s="147"/>
    </row>
    <row r="913">
      <c r="A913" s="167"/>
      <c r="B913" s="169"/>
      <c r="C913" s="170"/>
      <c r="D913" s="170"/>
      <c r="E913" s="170"/>
      <c r="F913" s="170"/>
      <c r="G913" s="171"/>
      <c r="H913" s="171"/>
      <c r="I913" s="172"/>
      <c r="J913" s="172"/>
      <c r="K913" s="172"/>
      <c r="L913" s="172"/>
      <c r="M913" s="147"/>
      <c r="Q913" s="147"/>
      <c r="R913" s="147"/>
      <c r="S913" s="147"/>
      <c r="T913" s="147"/>
      <c r="U913" s="147"/>
      <c r="V913" s="147"/>
      <c r="W913" s="147"/>
      <c r="X913" s="147"/>
      <c r="Y913" s="147"/>
      <c r="Z913" s="147"/>
      <c r="AA913" s="147"/>
      <c r="AB913" s="147"/>
      <c r="AC913" s="147"/>
      <c r="AD913" s="147"/>
      <c r="AE913" s="147"/>
      <c r="AF913" s="147"/>
      <c r="AG913" s="147"/>
      <c r="AH913" s="147"/>
      <c r="AI913" s="147"/>
    </row>
    <row r="914">
      <c r="A914" s="167"/>
      <c r="B914" s="169"/>
      <c r="C914" s="170"/>
      <c r="D914" s="170"/>
      <c r="E914" s="170"/>
      <c r="F914" s="170"/>
      <c r="G914" s="171"/>
      <c r="H914" s="171"/>
      <c r="I914" s="172"/>
      <c r="J914" s="172"/>
      <c r="K914" s="172"/>
      <c r="L914" s="172"/>
      <c r="M914" s="147"/>
      <c r="Q914" s="147"/>
      <c r="R914" s="147"/>
      <c r="S914" s="147"/>
      <c r="T914" s="147"/>
      <c r="U914" s="147"/>
      <c r="V914" s="147"/>
      <c r="W914" s="147"/>
      <c r="X914" s="147"/>
      <c r="Y914" s="147"/>
      <c r="Z914" s="147"/>
      <c r="AA914" s="147"/>
      <c r="AB914" s="147"/>
      <c r="AC914" s="147"/>
      <c r="AD914" s="147"/>
      <c r="AE914" s="147"/>
      <c r="AF914" s="147"/>
      <c r="AG914" s="147"/>
      <c r="AH914" s="147"/>
      <c r="AI914" s="147"/>
    </row>
    <row r="915">
      <c r="A915" s="167"/>
      <c r="B915" s="169"/>
      <c r="C915" s="170"/>
      <c r="D915" s="170"/>
      <c r="E915" s="170"/>
      <c r="F915" s="170"/>
      <c r="G915" s="171"/>
      <c r="H915" s="171"/>
      <c r="I915" s="172"/>
      <c r="J915" s="172"/>
      <c r="K915" s="172"/>
      <c r="L915" s="172"/>
      <c r="M915" s="147"/>
      <c r="Q915" s="147"/>
      <c r="R915" s="147"/>
      <c r="S915" s="147"/>
      <c r="T915" s="147"/>
      <c r="U915" s="147"/>
      <c r="V915" s="147"/>
      <c r="W915" s="147"/>
      <c r="X915" s="147"/>
      <c r="Y915" s="147"/>
      <c r="Z915" s="147"/>
      <c r="AA915" s="147"/>
      <c r="AB915" s="147"/>
      <c r="AC915" s="147"/>
      <c r="AD915" s="147"/>
      <c r="AE915" s="147"/>
      <c r="AF915" s="147"/>
      <c r="AG915" s="147"/>
      <c r="AH915" s="147"/>
      <c r="AI915" s="147"/>
    </row>
    <row r="916">
      <c r="A916" s="167"/>
      <c r="B916" s="169"/>
      <c r="C916" s="170"/>
      <c r="D916" s="170"/>
      <c r="E916" s="170"/>
      <c r="F916" s="170"/>
      <c r="G916" s="171"/>
      <c r="H916" s="171"/>
      <c r="I916" s="172"/>
      <c r="J916" s="172"/>
      <c r="K916" s="172"/>
      <c r="L916" s="172"/>
      <c r="M916" s="147"/>
      <c r="Q916" s="147"/>
      <c r="R916" s="147"/>
      <c r="S916" s="147"/>
      <c r="T916" s="147"/>
      <c r="U916" s="147"/>
      <c r="V916" s="147"/>
      <c r="W916" s="147"/>
      <c r="X916" s="147"/>
      <c r="Y916" s="147"/>
      <c r="Z916" s="147"/>
      <c r="AA916" s="147"/>
      <c r="AB916" s="147"/>
      <c r="AC916" s="147"/>
      <c r="AD916" s="147"/>
      <c r="AE916" s="147"/>
      <c r="AF916" s="147"/>
      <c r="AG916" s="147"/>
      <c r="AH916" s="147"/>
      <c r="AI916" s="147"/>
    </row>
    <row r="917">
      <c r="A917" s="167"/>
      <c r="B917" s="169"/>
      <c r="C917" s="170"/>
      <c r="D917" s="170"/>
      <c r="E917" s="170"/>
      <c r="F917" s="170"/>
      <c r="G917" s="171"/>
      <c r="H917" s="171"/>
      <c r="I917" s="172"/>
      <c r="J917" s="172"/>
      <c r="K917" s="172"/>
      <c r="L917" s="172"/>
      <c r="M917" s="147"/>
      <c r="Q917" s="147"/>
      <c r="R917" s="147"/>
      <c r="S917" s="147"/>
      <c r="T917" s="147"/>
      <c r="U917" s="147"/>
      <c r="V917" s="147"/>
      <c r="W917" s="147"/>
      <c r="X917" s="147"/>
      <c r="Y917" s="147"/>
      <c r="Z917" s="147"/>
      <c r="AA917" s="147"/>
      <c r="AB917" s="147"/>
      <c r="AC917" s="147"/>
      <c r="AD917" s="147"/>
      <c r="AE917" s="147"/>
      <c r="AF917" s="147"/>
      <c r="AG917" s="147"/>
      <c r="AH917" s="147"/>
      <c r="AI917" s="147"/>
    </row>
    <row r="918">
      <c r="A918" s="167"/>
      <c r="B918" s="169"/>
      <c r="C918" s="170"/>
      <c r="D918" s="170"/>
      <c r="E918" s="170"/>
      <c r="F918" s="170"/>
      <c r="G918" s="171"/>
      <c r="H918" s="171"/>
      <c r="I918" s="172"/>
      <c r="J918" s="172"/>
      <c r="K918" s="172"/>
      <c r="L918" s="172"/>
      <c r="M918" s="147"/>
      <c r="Q918" s="147"/>
      <c r="R918" s="147"/>
      <c r="S918" s="147"/>
      <c r="T918" s="147"/>
      <c r="U918" s="147"/>
      <c r="V918" s="147"/>
      <c r="W918" s="147"/>
      <c r="X918" s="147"/>
      <c r="Y918" s="147"/>
      <c r="Z918" s="147"/>
      <c r="AA918" s="147"/>
      <c r="AB918" s="147"/>
      <c r="AC918" s="147"/>
      <c r="AD918" s="147"/>
      <c r="AE918" s="147"/>
      <c r="AF918" s="147"/>
      <c r="AG918" s="147"/>
      <c r="AH918" s="147"/>
      <c r="AI918" s="147"/>
    </row>
    <row r="919">
      <c r="A919" s="167"/>
      <c r="B919" s="169"/>
      <c r="C919" s="170"/>
      <c r="D919" s="170"/>
      <c r="E919" s="170"/>
      <c r="F919" s="170"/>
      <c r="G919" s="171"/>
      <c r="H919" s="171"/>
      <c r="I919" s="172"/>
      <c r="J919" s="172"/>
      <c r="K919" s="172"/>
      <c r="L919" s="172"/>
      <c r="M919" s="147"/>
      <c r="Q919" s="147"/>
      <c r="R919" s="147"/>
      <c r="S919" s="147"/>
      <c r="T919" s="147"/>
      <c r="U919" s="147"/>
      <c r="V919" s="147"/>
      <c r="W919" s="147"/>
      <c r="X919" s="147"/>
      <c r="Y919" s="147"/>
      <c r="Z919" s="147"/>
      <c r="AA919" s="147"/>
      <c r="AB919" s="147"/>
      <c r="AC919" s="147"/>
      <c r="AD919" s="147"/>
      <c r="AE919" s="147"/>
      <c r="AF919" s="147"/>
      <c r="AG919" s="147"/>
      <c r="AH919" s="147"/>
      <c r="AI919" s="147"/>
    </row>
    <row r="920">
      <c r="A920" s="167"/>
      <c r="B920" s="169"/>
      <c r="C920" s="170"/>
      <c r="D920" s="170"/>
      <c r="E920" s="170"/>
      <c r="F920" s="170"/>
      <c r="G920" s="171"/>
      <c r="H920" s="171"/>
      <c r="I920" s="172"/>
      <c r="J920" s="172"/>
      <c r="K920" s="172"/>
      <c r="L920" s="172"/>
      <c r="M920" s="147"/>
      <c r="Q920" s="147"/>
      <c r="R920" s="147"/>
      <c r="S920" s="147"/>
      <c r="T920" s="147"/>
      <c r="U920" s="147"/>
      <c r="V920" s="147"/>
      <c r="W920" s="147"/>
      <c r="X920" s="147"/>
      <c r="Y920" s="147"/>
      <c r="Z920" s="147"/>
      <c r="AA920" s="147"/>
      <c r="AB920" s="147"/>
      <c r="AC920" s="147"/>
      <c r="AD920" s="147"/>
      <c r="AE920" s="147"/>
      <c r="AF920" s="147"/>
      <c r="AG920" s="147"/>
      <c r="AH920" s="147"/>
      <c r="AI920" s="147"/>
    </row>
    <row r="921">
      <c r="A921" s="167"/>
      <c r="B921" s="169"/>
      <c r="C921" s="170"/>
      <c r="D921" s="170"/>
      <c r="E921" s="170"/>
      <c r="F921" s="170"/>
      <c r="G921" s="171"/>
      <c r="H921" s="171"/>
      <c r="I921" s="172"/>
      <c r="J921" s="172"/>
      <c r="K921" s="172"/>
      <c r="L921" s="172"/>
      <c r="M921" s="147"/>
      <c r="Q921" s="147"/>
      <c r="R921" s="147"/>
      <c r="S921" s="147"/>
      <c r="T921" s="147"/>
      <c r="U921" s="147"/>
      <c r="V921" s="147"/>
      <c r="W921" s="147"/>
      <c r="X921" s="147"/>
      <c r="Y921" s="147"/>
      <c r="Z921" s="147"/>
      <c r="AA921" s="147"/>
      <c r="AB921" s="147"/>
      <c r="AC921" s="147"/>
      <c r="AD921" s="147"/>
      <c r="AE921" s="147"/>
      <c r="AF921" s="147"/>
      <c r="AG921" s="147"/>
      <c r="AH921" s="147"/>
      <c r="AI921" s="147"/>
    </row>
    <row r="922">
      <c r="A922" s="167"/>
      <c r="B922" s="169"/>
      <c r="C922" s="170"/>
      <c r="D922" s="170"/>
      <c r="E922" s="170"/>
      <c r="F922" s="170"/>
      <c r="G922" s="171"/>
      <c r="H922" s="171"/>
      <c r="I922" s="172"/>
      <c r="J922" s="172"/>
      <c r="K922" s="172"/>
      <c r="L922" s="172"/>
      <c r="M922" s="147"/>
      <c r="Q922" s="147"/>
      <c r="R922" s="147"/>
      <c r="S922" s="147"/>
      <c r="T922" s="147"/>
      <c r="U922" s="147"/>
      <c r="V922" s="147"/>
      <c r="W922" s="147"/>
      <c r="X922" s="147"/>
      <c r="Y922" s="147"/>
      <c r="Z922" s="147"/>
      <c r="AA922" s="147"/>
      <c r="AB922" s="147"/>
      <c r="AC922" s="147"/>
      <c r="AD922" s="147"/>
      <c r="AE922" s="147"/>
      <c r="AF922" s="147"/>
      <c r="AG922" s="147"/>
      <c r="AH922" s="147"/>
      <c r="AI922" s="147"/>
    </row>
    <row r="923">
      <c r="A923" s="167"/>
      <c r="B923" s="169"/>
      <c r="C923" s="170"/>
      <c r="D923" s="170"/>
      <c r="E923" s="170"/>
      <c r="F923" s="170"/>
      <c r="G923" s="171"/>
      <c r="H923" s="171"/>
      <c r="I923" s="172"/>
      <c r="J923" s="172"/>
      <c r="K923" s="172"/>
      <c r="L923" s="172"/>
      <c r="M923" s="147"/>
      <c r="Q923" s="147"/>
      <c r="R923" s="147"/>
      <c r="S923" s="147"/>
      <c r="T923" s="147"/>
      <c r="U923" s="147"/>
      <c r="V923" s="147"/>
      <c r="W923" s="147"/>
      <c r="X923" s="147"/>
      <c r="Y923" s="147"/>
      <c r="Z923" s="147"/>
      <c r="AA923" s="147"/>
      <c r="AB923" s="147"/>
      <c r="AC923" s="147"/>
      <c r="AD923" s="147"/>
      <c r="AE923" s="147"/>
      <c r="AF923" s="147"/>
      <c r="AG923" s="147"/>
      <c r="AH923" s="147"/>
      <c r="AI923" s="147"/>
    </row>
    <row r="924">
      <c r="A924" s="167"/>
      <c r="B924" s="169"/>
      <c r="C924" s="170"/>
      <c r="D924" s="170"/>
      <c r="E924" s="170"/>
      <c r="F924" s="170"/>
      <c r="G924" s="171"/>
      <c r="H924" s="171"/>
      <c r="I924" s="172"/>
      <c r="J924" s="172"/>
      <c r="K924" s="172"/>
      <c r="L924" s="172"/>
      <c r="M924" s="147"/>
      <c r="Q924" s="147"/>
      <c r="R924" s="147"/>
      <c r="S924" s="147"/>
      <c r="T924" s="147"/>
      <c r="U924" s="147"/>
      <c r="V924" s="147"/>
      <c r="W924" s="147"/>
      <c r="X924" s="147"/>
      <c r="Y924" s="147"/>
      <c r="Z924" s="147"/>
      <c r="AA924" s="147"/>
      <c r="AB924" s="147"/>
      <c r="AC924" s="147"/>
      <c r="AD924" s="147"/>
      <c r="AE924" s="147"/>
      <c r="AF924" s="147"/>
      <c r="AG924" s="147"/>
      <c r="AH924" s="147"/>
      <c r="AI924" s="147"/>
    </row>
    <row r="925">
      <c r="A925" s="167"/>
      <c r="B925" s="169"/>
      <c r="C925" s="170"/>
      <c r="D925" s="170"/>
      <c r="E925" s="170"/>
      <c r="F925" s="170"/>
      <c r="G925" s="171"/>
      <c r="H925" s="171"/>
      <c r="I925" s="172"/>
      <c r="J925" s="172"/>
      <c r="K925" s="172"/>
      <c r="L925" s="172"/>
      <c r="M925" s="147"/>
      <c r="Q925" s="147"/>
      <c r="R925" s="147"/>
      <c r="S925" s="147"/>
      <c r="T925" s="147"/>
      <c r="U925" s="147"/>
      <c r="V925" s="147"/>
      <c r="W925" s="147"/>
      <c r="X925" s="147"/>
      <c r="Y925" s="147"/>
      <c r="Z925" s="147"/>
      <c r="AA925" s="147"/>
      <c r="AB925" s="147"/>
      <c r="AC925" s="147"/>
      <c r="AD925" s="147"/>
      <c r="AE925" s="147"/>
      <c r="AF925" s="147"/>
      <c r="AG925" s="147"/>
      <c r="AH925" s="147"/>
      <c r="AI925" s="147"/>
    </row>
    <row r="926">
      <c r="A926" s="167"/>
      <c r="B926" s="169"/>
      <c r="C926" s="170"/>
      <c r="D926" s="170"/>
      <c r="E926" s="170"/>
      <c r="F926" s="170"/>
      <c r="G926" s="171"/>
      <c r="H926" s="171"/>
      <c r="I926" s="172"/>
      <c r="J926" s="172"/>
      <c r="K926" s="172"/>
      <c r="L926" s="172"/>
      <c r="M926" s="147"/>
      <c r="Q926" s="147"/>
      <c r="R926" s="147"/>
      <c r="S926" s="147"/>
      <c r="T926" s="147"/>
      <c r="U926" s="147"/>
      <c r="V926" s="147"/>
      <c r="W926" s="147"/>
      <c r="X926" s="147"/>
      <c r="Y926" s="147"/>
      <c r="Z926" s="147"/>
      <c r="AA926" s="147"/>
      <c r="AB926" s="147"/>
      <c r="AC926" s="147"/>
      <c r="AD926" s="147"/>
      <c r="AE926" s="147"/>
      <c r="AF926" s="147"/>
      <c r="AG926" s="147"/>
      <c r="AH926" s="147"/>
      <c r="AI926" s="147"/>
    </row>
    <row r="927">
      <c r="A927" s="167"/>
      <c r="B927" s="169"/>
      <c r="C927" s="170"/>
      <c r="D927" s="170"/>
      <c r="E927" s="170"/>
      <c r="F927" s="170"/>
      <c r="G927" s="171"/>
      <c r="H927" s="171"/>
      <c r="I927" s="172"/>
      <c r="J927" s="172"/>
      <c r="K927" s="172"/>
      <c r="L927" s="172"/>
      <c r="M927" s="147"/>
      <c r="Q927" s="147"/>
      <c r="R927" s="147"/>
      <c r="S927" s="147"/>
      <c r="T927" s="147"/>
      <c r="U927" s="147"/>
      <c r="V927" s="147"/>
      <c r="W927" s="147"/>
      <c r="X927" s="147"/>
      <c r="Y927" s="147"/>
      <c r="Z927" s="147"/>
      <c r="AA927" s="147"/>
      <c r="AB927" s="147"/>
      <c r="AC927" s="147"/>
      <c r="AD927" s="147"/>
      <c r="AE927" s="147"/>
      <c r="AF927" s="147"/>
      <c r="AG927" s="147"/>
      <c r="AH927" s="147"/>
      <c r="AI927" s="147"/>
    </row>
    <row r="928">
      <c r="A928" s="167"/>
      <c r="B928" s="169"/>
      <c r="C928" s="170"/>
      <c r="D928" s="170"/>
      <c r="E928" s="170"/>
      <c r="F928" s="170"/>
      <c r="G928" s="171"/>
      <c r="H928" s="171"/>
      <c r="I928" s="172"/>
      <c r="J928" s="172"/>
      <c r="K928" s="172"/>
      <c r="L928" s="172"/>
      <c r="M928" s="147"/>
      <c r="Q928" s="147"/>
      <c r="R928" s="147"/>
      <c r="S928" s="147"/>
      <c r="T928" s="147"/>
      <c r="U928" s="147"/>
      <c r="V928" s="147"/>
      <c r="W928" s="147"/>
      <c r="X928" s="147"/>
      <c r="Y928" s="147"/>
      <c r="Z928" s="147"/>
      <c r="AA928" s="147"/>
      <c r="AB928" s="147"/>
      <c r="AC928" s="147"/>
      <c r="AD928" s="147"/>
      <c r="AE928" s="147"/>
      <c r="AF928" s="147"/>
      <c r="AG928" s="147"/>
      <c r="AH928" s="147"/>
      <c r="AI928" s="147"/>
    </row>
    <row r="929">
      <c r="A929" s="167"/>
      <c r="B929" s="169"/>
      <c r="C929" s="170"/>
      <c r="D929" s="170"/>
      <c r="E929" s="170"/>
      <c r="F929" s="170"/>
      <c r="G929" s="171"/>
      <c r="H929" s="171"/>
      <c r="I929" s="172"/>
      <c r="J929" s="172"/>
      <c r="K929" s="172"/>
      <c r="L929" s="172"/>
      <c r="M929" s="147"/>
      <c r="Q929" s="147"/>
      <c r="R929" s="147"/>
      <c r="S929" s="147"/>
      <c r="T929" s="147"/>
      <c r="U929" s="147"/>
      <c r="V929" s="147"/>
      <c r="W929" s="147"/>
      <c r="X929" s="147"/>
      <c r="Y929" s="147"/>
      <c r="Z929" s="147"/>
      <c r="AA929" s="147"/>
      <c r="AB929" s="147"/>
      <c r="AC929" s="147"/>
      <c r="AD929" s="147"/>
      <c r="AE929" s="147"/>
      <c r="AF929" s="147"/>
      <c r="AG929" s="147"/>
      <c r="AH929" s="147"/>
      <c r="AI929" s="147"/>
    </row>
    <row r="930">
      <c r="A930" s="167"/>
      <c r="B930" s="169"/>
      <c r="C930" s="170"/>
      <c r="D930" s="170"/>
      <c r="E930" s="170"/>
      <c r="F930" s="170"/>
      <c r="G930" s="171"/>
      <c r="H930" s="171"/>
      <c r="I930" s="172"/>
      <c r="J930" s="172"/>
      <c r="K930" s="172"/>
      <c r="L930" s="172"/>
      <c r="M930" s="147"/>
      <c r="Q930" s="147"/>
      <c r="R930" s="147"/>
      <c r="S930" s="147"/>
      <c r="T930" s="147"/>
      <c r="U930" s="147"/>
      <c r="V930" s="147"/>
      <c r="W930" s="147"/>
      <c r="X930" s="147"/>
      <c r="Y930" s="147"/>
      <c r="Z930" s="147"/>
      <c r="AA930" s="147"/>
      <c r="AB930" s="147"/>
      <c r="AC930" s="147"/>
      <c r="AD930" s="147"/>
      <c r="AE930" s="147"/>
      <c r="AF930" s="147"/>
      <c r="AG930" s="147"/>
      <c r="AH930" s="147"/>
      <c r="AI930" s="147"/>
    </row>
    <row r="931">
      <c r="A931" s="167"/>
      <c r="B931" s="169"/>
      <c r="C931" s="170"/>
      <c r="D931" s="170"/>
      <c r="E931" s="170"/>
      <c r="F931" s="170"/>
      <c r="G931" s="171"/>
      <c r="H931" s="171"/>
      <c r="I931" s="172"/>
      <c r="J931" s="172"/>
      <c r="K931" s="172"/>
      <c r="L931" s="172"/>
      <c r="M931" s="147"/>
      <c r="Q931" s="147"/>
      <c r="R931" s="147"/>
      <c r="S931" s="147"/>
      <c r="T931" s="147"/>
      <c r="U931" s="147"/>
      <c r="V931" s="147"/>
      <c r="W931" s="147"/>
      <c r="X931" s="147"/>
      <c r="Y931" s="147"/>
      <c r="Z931" s="147"/>
      <c r="AA931" s="147"/>
      <c r="AB931" s="147"/>
      <c r="AC931" s="147"/>
      <c r="AD931" s="147"/>
      <c r="AE931" s="147"/>
      <c r="AF931" s="147"/>
      <c r="AG931" s="147"/>
      <c r="AH931" s="147"/>
      <c r="AI931" s="147"/>
    </row>
    <row r="932">
      <c r="A932" s="167"/>
      <c r="B932" s="169"/>
      <c r="C932" s="170"/>
      <c r="D932" s="170"/>
      <c r="E932" s="170"/>
      <c r="F932" s="170"/>
      <c r="G932" s="171"/>
      <c r="H932" s="171"/>
      <c r="I932" s="172"/>
      <c r="J932" s="172"/>
      <c r="K932" s="172"/>
      <c r="L932" s="172"/>
      <c r="M932" s="147"/>
      <c r="Q932" s="147"/>
      <c r="R932" s="147"/>
      <c r="S932" s="147"/>
      <c r="T932" s="147"/>
      <c r="U932" s="147"/>
      <c r="V932" s="147"/>
      <c r="W932" s="147"/>
      <c r="X932" s="147"/>
      <c r="Y932" s="147"/>
      <c r="Z932" s="147"/>
      <c r="AA932" s="147"/>
      <c r="AB932" s="147"/>
      <c r="AC932" s="147"/>
      <c r="AD932" s="147"/>
      <c r="AE932" s="147"/>
      <c r="AF932" s="147"/>
      <c r="AG932" s="147"/>
      <c r="AH932" s="147"/>
      <c r="AI932" s="147"/>
    </row>
    <row r="933">
      <c r="A933" s="167"/>
      <c r="B933" s="169"/>
      <c r="C933" s="170"/>
      <c r="D933" s="170"/>
      <c r="E933" s="170"/>
      <c r="F933" s="170"/>
      <c r="G933" s="171"/>
      <c r="H933" s="171"/>
      <c r="I933" s="172"/>
      <c r="J933" s="172"/>
      <c r="K933" s="172"/>
      <c r="L933" s="172"/>
      <c r="M933" s="147"/>
      <c r="Q933" s="147"/>
      <c r="R933" s="147"/>
      <c r="S933" s="147"/>
      <c r="T933" s="147"/>
      <c r="U933" s="147"/>
      <c r="V933" s="147"/>
      <c r="W933" s="147"/>
      <c r="X933" s="147"/>
      <c r="Y933" s="147"/>
      <c r="Z933" s="147"/>
      <c r="AA933" s="147"/>
      <c r="AB933" s="147"/>
      <c r="AC933" s="147"/>
      <c r="AD933" s="147"/>
      <c r="AE933" s="147"/>
      <c r="AF933" s="147"/>
      <c r="AG933" s="147"/>
      <c r="AH933" s="147"/>
      <c r="AI933" s="147"/>
    </row>
    <row r="934">
      <c r="A934" s="167"/>
      <c r="B934" s="169"/>
      <c r="C934" s="170"/>
      <c r="D934" s="170"/>
      <c r="E934" s="170"/>
      <c r="F934" s="170"/>
      <c r="G934" s="171"/>
      <c r="H934" s="171"/>
      <c r="I934" s="172"/>
      <c r="J934" s="172"/>
      <c r="K934" s="172"/>
      <c r="L934" s="172"/>
      <c r="M934" s="147"/>
      <c r="Q934" s="147"/>
      <c r="R934" s="147"/>
      <c r="S934" s="147"/>
      <c r="T934" s="147"/>
      <c r="U934" s="147"/>
      <c r="V934" s="147"/>
      <c r="W934" s="147"/>
      <c r="X934" s="147"/>
      <c r="Y934" s="147"/>
      <c r="Z934" s="147"/>
      <c r="AA934" s="147"/>
      <c r="AB934" s="147"/>
      <c r="AC934" s="147"/>
      <c r="AD934" s="147"/>
      <c r="AE934" s="147"/>
      <c r="AF934" s="147"/>
      <c r="AG934" s="147"/>
      <c r="AH934" s="147"/>
      <c r="AI934" s="147"/>
    </row>
    <row r="935">
      <c r="A935" s="167"/>
      <c r="B935" s="169"/>
      <c r="C935" s="170"/>
      <c r="D935" s="170"/>
      <c r="E935" s="170"/>
      <c r="F935" s="170"/>
      <c r="G935" s="171"/>
      <c r="H935" s="171"/>
      <c r="I935" s="172"/>
      <c r="J935" s="172"/>
      <c r="K935" s="172"/>
      <c r="L935" s="172"/>
      <c r="M935" s="147"/>
      <c r="Q935" s="147"/>
      <c r="R935" s="147"/>
      <c r="S935" s="147"/>
      <c r="T935" s="147"/>
      <c r="U935" s="147"/>
      <c r="V935" s="147"/>
      <c r="W935" s="147"/>
      <c r="X935" s="147"/>
      <c r="Y935" s="147"/>
      <c r="Z935" s="147"/>
      <c r="AA935" s="147"/>
      <c r="AB935" s="147"/>
      <c r="AC935" s="147"/>
      <c r="AD935" s="147"/>
      <c r="AE935" s="147"/>
      <c r="AF935" s="147"/>
      <c r="AG935" s="147"/>
      <c r="AH935" s="147"/>
      <c r="AI935" s="147"/>
    </row>
    <row r="936">
      <c r="A936" s="167"/>
      <c r="B936" s="169"/>
      <c r="C936" s="170"/>
      <c r="D936" s="170"/>
      <c r="E936" s="170"/>
      <c r="F936" s="170"/>
      <c r="G936" s="171"/>
      <c r="H936" s="171"/>
      <c r="I936" s="172"/>
      <c r="J936" s="172"/>
      <c r="K936" s="172"/>
      <c r="L936" s="172"/>
      <c r="M936" s="147"/>
      <c r="Q936" s="147"/>
      <c r="R936" s="147"/>
      <c r="S936" s="147"/>
      <c r="T936" s="147"/>
      <c r="U936" s="147"/>
      <c r="V936" s="147"/>
      <c r="W936" s="147"/>
      <c r="X936" s="147"/>
      <c r="Y936" s="147"/>
      <c r="Z936" s="147"/>
      <c r="AA936" s="147"/>
      <c r="AB936" s="147"/>
      <c r="AC936" s="147"/>
      <c r="AD936" s="147"/>
      <c r="AE936" s="147"/>
      <c r="AF936" s="147"/>
      <c r="AG936" s="147"/>
      <c r="AH936" s="147"/>
      <c r="AI936" s="147"/>
    </row>
    <row r="937">
      <c r="A937" s="167"/>
      <c r="B937" s="169"/>
      <c r="C937" s="170"/>
      <c r="D937" s="170"/>
      <c r="E937" s="170"/>
      <c r="F937" s="170"/>
      <c r="G937" s="171"/>
      <c r="H937" s="171"/>
      <c r="I937" s="172"/>
      <c r="J937" s="172"/>
      <c r="K937" s="172"/>
      <c r="L937" s="172"/>
      <c r="M937" s="147"/>
      <c r="Q937" s="147"/>
      <c r="R937" s="147"/>
      <c r="S937" s="147"/>
      <c r="T937" s="147"/>
      <c r="U937" s="147"/>
      <c r="V937" s="147"/>
      <c r="W937" s="147"/>
      <c r="X937" s="147"/>
      <c r="Y937" s="147"/>
      <c r="Z937" s="147"/>
      <c r="AA937" s="147"/>
      <c r="AB937" s="147"/>
      <c r="AC937" s="147"/>
      <c r="AD937" s="147"/>
      <c r="AE937" s="147"/>
      <c r="AF937" s="147"/>
      <c r="AG937" s="147"/>
      <c r="AH937" s="147"/>
      <c r="AI937" s="147"/>
    </row>
    <row r="938">
      <c r="A938" s="167"/>
      <c r="B938" s="169"/>
      <c r="C938" s="170"/>
      <c r="D938" s="170"/>
      <c r="E938" s="170"/>
      <c r="F938" s="170"/>
      <c r="G938" s="171"/>
      <c r="H938" s="171"/>
      <c r="I938" s="172"/>
      <c r="J938" s="172"/>
      <c r="K938" s="172"/>
      <c r="L938" s="172"/>
      <c r="M938" s="147"/>
      <c r="Q938" s="147"/>
      <c r="R938" s="147"/>
      <c r="S938" s="147"/>
      <c r="T938" s="147"/>
      <c r="U938" s="147"/>
      <c r="V938" s="147"/>
      <c r="W938" s="147"/>
      <c r="X938" s="147"/>
      <c r="Y938" s="147"/>
      <c r="Z938" s="147"/>
      <c r="AA938" s="147"/>
      <c r="AB938" s="147"/>
      <c r="AC938" s="147"/>
      <c r="AD938" s="147"/>
      <c r="AE938" s="147"/>
      <c r="AF938" s="147"/>
      <c r="AG938" s="147"/>
      <c r="AH938" s="147"/>
      <c r="AI938" s="147"/>
    </row>
    <row r="939">
      <c r="A939" s="167"/>
      <c r="B939" s="169"/>
      <c r="C939" s="170"/>
      <c r="D939" s="170"/>
      <c r="E939" s="170"/>
      <c r="F939" s="170"/>
      <c r="G939" s="171"/>
      <c r="H939" s="171"/>
      <c r="I939" s="172"/>
      <c r="J939" s="172"/>
      <c r="K939" s="172"/>
      <c r="L939" s="172"/>
      <c r="M939" s="147"/>
      <c r="Q939" s="147"/>
      <c r="R939" s="147"/>
      <c r="S939" s="147"/>
      <c r="T939" s="147"/>
      <c r="U939" s="147"/>
      <c r="V939" s="147"/>
      <c r="W939" s="147"/>
      <c r="X939" s="147"/>
      <c r="Y939" s="147"/>
      <c r="Z939" s="147"/>
      <c r="AA939" s="147"/>
      <c r="AB939" s="147"/>
      <c r="AC939" s="147"/>
      <c r="AD939" s="147"/>
      <c r="AE939" s="147"/>
      <c r="AF939" s="147"/>
      <c r="AG939" s="147"/>
      <c r="AH939" s="147"/>
      <c r="AI939" s="147"/>
    </row>
    <row r="940">
      <c r="A940" s="167"/>
      <c r="B940" s="169"/>
      <c r="C940" s="170"/>
      <c r="D940" s="170"/>
      <c r="E940" s="170"/>
      <c r="F940" s="170"/>
      <c r="G940" s="171"/>
      <c r="H940" s="171"/>
      <c r="I940" s="172"/>
      <c r="J940" s="172"/>
      <c r="K940" s="172"/>
      <c r="L940" s="172"/>
      <c r="M940" s="147"/>
      <c r="Q940" s="147"/>
      <c r="R940" s="147"/>
      <c r="S940" s="147"/>
      <c r="T940" s="147"/>
      <c r="U940" s="147"/>
      <c r="V940" s="147"/>
      <c r="W940" s="147"/>
      <c r="X940" s="147"/>
      <c r="Y940" s="147"/>
      <c r="Z940" s="147"/>
      <c r="AA940" s="147"/>
      <c r="AB940" s="147"/>
      <c r="AC940" s="147"/>
      <c r="AD940" s="147"/>
      <c r="AE940" s="147"/>
      <c r="AF940" s="147"/>
      <c r="AG940" s="147"/>
      <c r="AH940" s="147"/>
      <c r="AI940" s="147"/>
    </row>
    <row r="941">
      <c r="A941" s="167"/>
      <c r="B941" s="169"/>
      <c r="C941" s="170"/>
      <c r="D941" s="170"/>
      <c r="E941" s="170"/>
      <c r="F941" s="170"/>
      <c r="G941" s="171"/>
      <c r="H941" s="171"/>
      <c r="I941" s="172"/>
      <c r="J941" s="172"/>
      <c r="K941" s="172"/>
      <c r="L941" s="172"/>
      <c r="M941" s="147"/>
      <c r="Q941" s="147"/>
      <c r="R941" s="147"/>
      <c r="S941" s="147"/>
      <c r="T941" s="147"/>
      <c r="U941" s="147"/>
      <c r="V941" s="147"/>
      <c r="W941" s="147"/>
      <c r="X941" s="147"/>
      <c r="Y941" s="147"/>
      <c r="Z941" s="147"/>
      <c r="AA941" s="147"/>
      <c r="AB941" s="147"/>
      <c r="AC941" s="147"/>
      <c r="AD941" s="147"/>
      <c r="AE941" s="147"/>
      <c r="AF941" s="147"/>
      <c r="AG941" s="147"/>
      <c r="AH941" s="147"/>
      <c r="AI941" s="147"/>
    </row>
    <row r="942">
      <c r="A942" s="167"/>
      <c r="B942" s="169"/>
      <c r="C942" s="170"/>
      <c r="D942" s="170"/>
      <c r="E942" s="170"/>
      <c r="F942" s="170"/>
      <c r="G942" s="171"/>
      <c r="H942" s="171"/>
      <c r="I942" s="172"/>
      <c r="J942" s="172"/>
      <c r="K942" s="172"/>
      <c r="L942" s="172"/>
      <c r="M942" s="147"/>
      <c r="Q942" s="147"/>
      <c r="R942" s="147"/>
      <c r="S942" s="147"/>
      <c r="T942" s="147"/>
      <c r="U942" s="147"/>
      <c r="V942" s="147"/>
      <c r="W942" s="147"/>
      <c r="X942" s="147"/>
      <c r="Y942" s="147"/>
      <c r="Z942" s="147"/>
      <c r="AA942" s="147"/>
      <c r="AB942" s="147"/>
      <c r="AC942" s="147"/>
      <c r="AD942" s="147"/>
      <c r="AE942" s="147"/>
      <c r="AF942" s="147"/>
      <c r="AG942" s="147"/>
      <c r="AH942" s="147"/>
      <c r="AI942" s="147"/>
    </row>
    <row r="943">
      <c r="A943" s="167"/>
      <c r="B943" s="169"/>
      <c r="C943" s="170"/>
      <c r="D943" s="170"/>
      <c r="E943" s="170"/>
      <c r="F943" s="170"/>
      <c r="G943" s="171"/>
      <c r="H943" s="171"/>
      <c r="I943" s="172"/>
      <c r="J943" s="172"/>
      <c r="K943" s="172"/>
      <c r="L943" s="172"/>
      <c r="M943" s="147"/>
      <c r="Q943" s="147"/>
      <c r="R943" s="147"/>
      <c r="S943" s="147"/>
      <c r="T943" s="147"/>
      <c r="U943" s="147"/>
      <c r="V943" s="147"/>
      <c r="W943" s="147"/>
      <c r="X943" s="147"/>
      <c r="Y943" s="147"/>
      <c r="Z943" s="147"/>
      <c r="AA943" s="147"/>
      <c r="AB943" s="147"/>
      <c r="AC943" s="147"/>
      <c r="AD943" s="147"/>
      <c r="AE943" s="147"/>
      <c r="AF943" s="147"/>
      <c r="AG943" s="147"/>
      <c r="AH943" s="147"/>
      <c r="AI943" s="147"/>
    </row>
    <row r="944">
      <c r="A944" s="167"/>
      <c r="B944" s="169"/>
      <c r="C944" s="170"/>
      <c r="D944" s="170"/>
      <c r="E944" s="170"/>
      <c r="F944" s="170"/>
      <c r="G944" s="171"/>
      <c r="H944" s="171"/>
      <c r="I944" s="172"/>
      <c r="J944" s="172"/>
      <c r="K944" s="172"/>
      <c r="L944" s="172"/>
      <c r="M944" s="147"/>
      <c r="Q944" s="147"/>
      <c r="R944" s="147"/>
      <c r="S944" s="147"/>
      <c r="T944" s="147"/>
      <c r="U944" s="147"/>
      <c r="V944" s="147"/>
      <c r="W944" s="147"/>
      <c r="X944" s="147"/>
      <c r="Y944" s="147"/>
      <c r="Z944" s="147"/>
      <c r="AA944" s="147"/>
      <c r="AB944" s="147"/>
      <c r="AC944" s="147"/>
      <c r="AD944" s="147"/>
      <c r="AE944" s="147"/>
      <c r="AF944" s="147"/>
      <c r="AG944" s="147"/>
      <c r="AH944" s="147"/>
      <c r="AI944" s="147"/>
    </row>
    <row r="945">
      <c r="A945" s="167"/>
      <c r="B945" s="169"/>
      <c r="C945" s="170"/>
      <c r="D945" s="170"/>
      <c r="E945" s="170"/>
      <c r="F945" s="170"/>
      <c r="G945" s="171"/>
      <c r="H945" s="171"/>
      <c r="I945" s="172"/>
      <c r="J945" s="172"/>
      <c r="K945" s="172"/>
      <c r="L945" s="172"/>
      <c r="M945" s="147"/>
      <c r="Q945" s="147"/>
      <c r="R945" s="147"/>
      <c r="S945" s="147"/>
      <c r="T945" s="147"/>
      <c r="U945" s="147"/>
      <c r="V945" s="147"/>
      <c r="W945" s="147"/>
      <c r="X945" s="147"/>
      <c r="Y945" s="147"/>
      <c r="Z945" s="147"/>
      <c r="AA945" s="147"/>
      <c r="AB945" s="147"/>
      <c r="AC945" s="147"/>
      <c r="AD945" s="147"/>
      <c r="AE945" s="147"/>
      <c r="AF945" s="147"/>
      <c r="AG945" s="147"/>
      <c r="AH945" s="147"/>
      <c r="AI945" s="147"/>
    </row>
    <row r="946">
      <c r="A946" s="167"/>
      <c r="B946" s="169"/>
      <c r="C946" s="170"/>
      <c r="D946" s="170"/>
      <c r="E946" s="170"/>
      <c r="F946" s="170"/>
      <c r="G946" s="171"/>
      <c r="H946" s="171"/>
      <c r="I946" s="172"/>
      <c r="J946" s="172"/>
      <c r="K946" s="172"/>
      <c r="L946" s="172"/>
      <c r="M946" s="147"/>
      <c r="Q946" s="147"/>
      <c r="R946" s="147"/>
      <c r="S946" s="147"/>
      <c r="T946" s="147"/>
      <c r="U946" s="147"/>
      <c r="V946" s="147"/>
      <c r="W946" s="147"/>
      <c r="X946" s="147"/>
      <c r="Y946" s="147"/>
      <c r="Z946" s="147"/>
      <c r="AA946" s="147"/>
      <c r="AB946" s="147"/>
      <c r="AC946" s="147"/>
      <c r="AD946" s="147"/>
      <c r="AE946" s="147"/>
      <c r="AF946" s="147"/>
      <c r="AG946" s="147"/>
      <c r="AH946" s="147"/>
      <c r="AI946" s="147"/>
    </row>
    <row r="947">
      <c r="A947" s="167"/>
      <c r="B947" s="169"/>
      <c r="C947" s="170"/>
      <c r="D947" s="170"/>
      <c r="E947" s="170"/>
      <c r="F947" s="170"/>
      <c r="G947" s="171"/>
      <c r="H947" s="171"/>
      <c r="I947" s="172"/>
      <c r="J947" s="172"/>
      <c r="K947" s="172"/>
      <c r="L947" s="172"/>
      <c r="M947" s="147"/>
      <c r="Q947" s="147"/>
      <c r="R947" s="147"/>
      <c r="S947" s="147"/>
      <c r="T947" s="147"/>
      <c r="U947" s="147"/>
      <c r="V947" s="147"/>
      <c r="W947" s="147"/>
      <c r="X947" s="147"/>
      <c r="Y947" s="147"/>
      <c r="Z947" s="147"/>
      <c r="AA947" s="147"/>
      <c r="AB947" s="147"/>
      <c r="AC947" s="147"/>
      <c r="AD947" s="147"/>
      <c r="AE947" s="147"/>
      <c r="AF947" s="147"/>
      <c r="AG947" s="147"/>
      <c r="AH947" s="147"/>
      <c r="AI947" s="147"/>
    </row>
    <row r="948">
      <c r="A948" s="167"/>
      <c r="B948" s="169"/>
      <c r="C948" s="170"/>
      <c r="D948" s="170"/>
      <c r="E948" s="170"/>
      <c r="F948" s="170"/>
      <c r="G948" s="171"/>
      <c r="H948" s="171"/>
      <c r="I948" s="172"/>
      <c r="J948" s="172"/>
      <c r="K948" s="172"/>
      <c r="L948" s="172"/>
      <c r="M948" s="147"/>
      <c r="Q948" s="147"/>
      <c r="R948" s="147"/>
      <c r="S948" s="147"/>
      <c r="T948" s="147"/>
      <c r="U948" s="147"/>
      <c r="V948" s="147"/>
      <c r="W948" s="147"/>
      <c r="X948" s="147"/>
      <c r="Y948" s="147"/>
      <c r="Z948" s="147"/>
      <c r="AA948" s="147"/>
      <c r="AB948" s="147"/>
      <c r="AC948" s="147"/>
      <c r="AD948" s="147"/>
      <c r="AE948" s="147"/>
      <c r="AF948" s="147"/>
      <c r="AG948" s="147"/>
      <c r="AH948" s="147"/>
      <c r="AI948" s="147"/>
    </row>
    <row r="949">
      <c r="A949" s="167"/>
      <c r="B949" s="169"/>
      <c r="C949" s="170"/>
      <c r="D949" s="170"/>
      <c r="E949" s="170"/>
      <c r="F949" s="170"/>
      <c r="G949" s="171"/>
      <c r="H949" s="171"/>
      <c r="I949" s="172"/>
      <c r="J949" s="172"/>
      <c r="K949" s="172"/>
      <c r="L949" s="172"/>
      <c r="M949" s="147"/>
      <c r="Q949" s="147"/>
      <c r="R949" s="147"/>
      <c r="S949" s="147"/>
      <c r="T949" s="147"/>
      <c r="U949" s="147"/>
      <c r="V949" s="147"/>
      <c r="W949" s="147"/>
      <c r="X949" s="147"/>
      <c r="Y949" s="147"/>
      <c r="Z949" s="147"/>
      <c r="AA949" s="147"/>
      <c r="AB949" s="147"/>
      <c r="AC949" s="147"/>
      <c r="AD949" s="147"/>
      <c r="AE949" s="147"/>
      <c r="AF949" s="147"/>
      <c r="AG949" s="147"/>
      <c r="AH949" s="147"/>
      <c r="AI949" s="147"/>
    </row>
    <row r="950">
      <c r="A950" s="167"/>
      <c r="B950" s="169"/>
      <c r="C950" s="170"/>
      <c r="D950" s="170"/>
      <c r="E950" s="170"/>
      <c r="F950" s="170"/>
      <c r="G950" s="171"/>
      <c r="H950" s="171"/>
      <c r="I950" s="172"/>
      <c r="J950" s="172"/>
      <c r="K950" s="172"/>
      <c r="L950" s="172"/>
      <c r="M950" s="147"/>
      <c r="Q950" s="147"/>
      <c r="R950" s="147"/>
      <c r="S950" s="147"/>
      <c r="T950" s="147"/>
      <c r="U950" s="147"/>
      <c r="V950" s="147"/>
      <c r="W950" s="147"/>
      <c r="X950" s="147"/>
      <c r="Y950" s="147"/>
      <c r="Z950" s="147"/>
      <c r="AA950" s="147"/>
      <c r="AB950" s="147"/>
      <c r="AC950" s="147"/>
      <c r="AD950" s="147"/>
      <c r="AE950" s="147"/>
      <c r="AF950" s="147"/>
      <c r="AG950" s="147"/>
      <c r="AH950" s="147"/>
      <c r="AI950" s="147"/>
    </row>
    <row r="951">
      <c r="A951" s="167"/>
      <c r="B951" s="169"/>
      <c r="C951" s="170"/>
      <c r="D951" s="170"/>
      <c r="E951" s="170"/>
      <c r="F951" s="170"/>
      <c r="G951" s="171"/>
      <c r="H951" s="171"/>
      <c r="I951" s="172"/>
      <c r="J951" s="172"/>
      <c r="K951" s="172"/>
      <c r="L951" s="172"/>
      <c r="M951" s="147"/>
      <c r="Q951" s="147"/>
      <c r="R951" s="147"/>
      <c r="S951" s="147"/>
      <c r="T951" s="147"/>
      <c r="U951" s="147"/>
      <c r="V951" s="147"/>
      <c r="W951" s="147"/>
      <c r="X951" s="147"/>
      <c r="Y951" s="147"/>
      <c r="Z951" s="147"/>
      <c r="AA951" s="147"/>
      <c r="AB951" s="147"/>
      <c r="AC951" s="147"/>
      <c r="AD951" s="147"/>
      <c r="AE951" s="147"/>
      <c r="AF951" s="147"/>
      <c r="AG951" s="147"/>
      <c r="AH951" s="147"/>
      <c r="AI951" s="147"/>
    </row>
    <row r="952">
      <c r="A952" s="167"/>
      <c r="B952" s="169"/>
      <c r="C952" s="170"/>
      <c r="D952" s="170"/>
      <c r="E952" s="170"/>
      <c r="F952" s="170"/>
      <c r="G952" s="171"/>
      <c r="H952" s="171"/>
      <c r="I952" s="172"/>
      <c r="J952" s="172"/>
      <c r="K952" s="172"/>
      <c r="L952" s="172"/>
      <c r="M952" s="147"/>
      <c r="Q952" s="147"/>
      <c r="R952" s="147"/>
      <c r="S952" s="147"/>
      <c r="T952" s="147"/>
      <c r="U952" s="147"/>
      <c r="V952" s="147"/>
      <c r="W952" s="147"/>
      <c r="X952" s="147"/>
      <c r="Y952" s="147"/>
      <c r="Z952" s="147"/>
      <c r="AA952" s="147"/>
      <c r="AB952" s="147"/>
      <c r="AC952" s="147"/>
      <c r="AD952" s="147"/>
      <c r="AE952" s="147"/>
      <c r="AF952" s="147"/>
      <c r="AG952" s="147"/>
      <c r="AH952" s="147"/>
      <c r="AI952" s="147"/>
    </row>
    <row r="953">
      <c r="A953" s="167"/>
      <c r="B953" s="169"/>
      <c r="C953" s="170"/>
      <c r="D953" s="170"/>
      <c r="E953" s="170"/>
      <c r="F953" s="170"/>
      <c r="G953" s="171"/>
      <c r="H953" s="171"/>
      <c r="I953" s="172"/>
      <c r="J953" s="172"/>
      <c r="K953" s="172"/>
      <c r="L953" s="172"/>
      <c r="M953" s="147"/>
      <c r="Q953" s="147"/>
      <c r="R953" s="147"/>
      <c r="S953" s="147"/>
      <c r="T953" s="147"/>
      <c r="U953" s="147"/>
      <c r="V953" s="147"/>
      <c r="W953" s="147"/>
      <c r="X953" s="147"/>
      <c r="Y953" s="147"/>
      <c r="Z953" s="147"/>
      <c r="AA953" s="147"/>
      <c r="AB953" s="147"/>
      <c r="AC953" s="147"/>
      <c r="AD953" s="147"/>
      <c r="AE953" s="147"/>
      <c r="AF953" s="147"/>
      <c r="AG953" s="147"/>
      <c r="AH953" s="147"/>
      <c r="AI953" s="147"/>
    </row>
    <row r="954">
      <c r="A954" s="167"/>
      <c r="B954" s="169"/>
      <c r="C954" s="170"/>
      <c r="D954" s="170"/>
      <c r="E954" s="170"/>
      <c r="F954" s="170"/>
      <c r="G954" s="171"/>
      <c r="H954" s="171"/>
      <c r="I954" s="172"/>
      <c r="J954" s="172"/>
      <c r="K954" s="172"/>
      <c r="L954" s="172"/>
      <c r="M954" s="147"/>
      <c r="Q954" s="147"/>
      <c r="R954" s="147"/>
      <c r="S954" s="147"/>
      <c r="T954" s="147"/>
      <c r="U954" s="147"/>
      <c r="V954" s="147"/>
      <c r="W954" s="147"/>
      <c r="X954" s="147"/>
      <c r="Y954" s="147"/>
      <c r="Z954" s="147"/>
      <c r="AA954" s="147"/>
      <c r="AB954" s="147"/>
      <c r="AC954" s="147"/>
      <c r="AD954" s="147"/>
      <c r="AE954" s="147"/>
      <c r="AF954" s="147"/>
      <c r="AG954" s="147"/>
      <c r="AH954" s="147"/>
      <c r="AI954" s="147"/>
    </row>
    <row r="955">
      <c r="A955" s="167"/>
      <c r="B955" s="169"/>
      <c r="C955" s="170"/>
      <c r="D955" s="170"/>
      <c r="E955" s="170"/>
      <c r="F955" s="170"/>
      <c r="G955" s="171"/>
      <c r="H955" s="171"/>
      <c r="I955" s="172"/>
      <c r="J955" s="172"/>
      <c r="K955" s="172"/>
      <c r="L955" s="172"/>
      <c r="M955" s="147"/>
      <c r="Q955" s="147"/>
      <c r="R955" s="147"/>
      <c r="S955" s="147"/>
      <c r="T955" s="147"/>
      <c r="U955" s="147"/>
      <c r="V955" s="147"/>
      <c r="W955" s="147"/>
      <c r="X955" s="147"/>
      <c r="Y955" s="147"/>
      <c r="Z955" s="147"/>
      <c r="AA955" s="147"/>
      <c r="AB955" s="147"/>
      <c r="AC955" s="147"/>
      <c r="AD955" s="147"/>
      <c r="AE955" s="147"/>
      <c r="AF955" s="147"/>
      <c r="AG955" s="147"/>
      <c r="AH955" s="147"/>
      <c r="AI955" s="147"/>
    </row>
    <row r="956">
      <c r="A956" s="167"/>
      <c r="B956" s="169"/>
      <c r="C956" s="170"/>
      <c r="D956" s="170"/>
      <c r="E956" s="170"/>
      <c r="F956" s="170"/>
      <c r="G956" s="171"/>
      <c r="H956" s="171"/>
      <c r="I956" s="172"/>
      <c r="J956" s="172"/>
      <c r="K956" s="172"/>
      <c r="L956" s="172"/>
      <c r="M956" s="147"/>
      <c r="Q956" s="147"/>
      <c r="R956" s="147"/>
      <c r="S956" s="147"/>
      <c r="T956" s="147"/>
      <c r="U956" s="147"/>
      <c r="V956" s="147"/>
      <c r="W956" s="147"/>
      <c r="X956" s="147"/>
      <c r="Y956" s="147"/>
      <c r="Z956" s="147"/>
      <c r="AA956" s="147"/>
      <c r="AB956" s="147"/>
      <c r="AC956" s="147"/>
      <c r="AD956" s="147"/>
      <c r="AE956" s="147"/>
      <c r="AF956" s="147"/>
      <c r="AG956" s="147"/>
      <c r="AH956" s="147"/>
      <c r="AI956" s="147"/>
    </row>
    <row r="957">
      <c r="A957" s="167"/>
      <c r="B957" s="169"/>
      <c r="C957" s="170"/>
      <c r="D957" s="170"/>
      <c r="E957" s="170"/>
      <c r="F957" s="170"/>
      <c r="G957" s="171"/>
      <c r="H957" s="171"/>
      <c r="I957" s="172"/>
      <c r="J957" s="172"/>
      <c r="K957" s="172"/>
      <c r="L957" s="172"/>
      <c r="M957" s="147"/>
      <c r="Q957" s="147"/>
      <c r="R957" s="147"/>
      <c r="S957" s="147"/>
      <c r="T957" s="147"/>
      <c r="U957" s="147"/>
      <c r="V957" s="147"/>
      <c r="W957" s="147"/>
      <c r="X957" s="147"/>
      <c r="Y957" s="147"/>
      <c r="Z957" s="147"/>
      <c r="AA957" s="147"/>
      <c r="AB957" s="147"/>
      <c r="AC957" s="147"/>
      <c r="AD957" s="147"/>
      <c r="AE957" s="147"/>
      <c r="AF957" s="147"/>
      <c r="AG957" s="147"/>
      <c r="AH957" s="147"/>
      <c r="AI957" s="147"/>
    </row>
    <row r="958">
      <c r="A958" s="167"/>
      <c r="B958" s="169"/>
      <c r="C958" s="170"/>
      <c r="D958" s="170"/>
      <c r="E958" s="170"/>
      <c r="F958" s="170"/>
      <c r="G958" s="171"/>
      <c r="H958" s="171"/>
      <c r="I958" s="172"/>
      <c r="J958" s="172"/>
      <c r="K958" s="172"/>
      <c r="L958" s="172"/>
      <c r="M958" s="147"/>
      <c r="Q958" s="147"/>
      <c r="R958" s="147"/>
      <c r="S958" s="147"/>
      <c r="T958" s="147"/>
      <c r="U958" s="147"/>
      <c r="V958" s="147"/>
      <c r="W958" s="147"/>
      <c r="X958" s="147"/>
      <c r="Y958" s="147"/>
      <c r="Z958" s="147"/>
      <c r="AA958" s="147"/>
      <c r="AB958" s="147"/>
      <c r="AC958" s="147"/>
      <c r="AD958" s="147"/>
      <c r="AE958" s="147"/>
      <c r="AF958" s="147"/>
      <c r="AG958" s="147"/>
      <c r="AH958" s="147"/>
      <c r="AI958" s="147"/>
    </row>
    <row r="959">
      <c r="A959" s="167"/>
      <c r="B959" s="169"/>
      <c r="C959" s="170"/>
      <c r="D959" s="170"/>
      <c r="E959" s="170"/>
      <c r="F959" s="170"/>
      <c r="G959" s="171"/>
      <c r="H959" s="171"/>
      <c r="I959" s="172"/>
      <c r="J959" s="172"/>
      <c r="K959" s="172"/>
      <c r="L959" s="172"/>
      <c r="M959" s="147"/>
      <c r="Q959" s="147"/>
      <c r="R959" s="147"/>
      <c r="S959" s="147"/>
      <c r="T959" s="147"/>
      <c r="U959" s="147"/>
      <c r="V959" s="147"/>
      <c r="W959" s="147"/>
      <c r="X959" s="147"/>
      <c r="Y959" s="147"/>
      <c r="Z959" s="147"/>
      <c r="AA959" s="147"/>
      <c r="AB959" s="147"/>
      <c r="AC959" s="147"/>
      <c r="AD959" s="147"/>
      <c r="AE959" s="147"/>
      <c r="AF959" s="147"/>
      <c r="AG959" s="147"/>
      <c r="AH959" s="147"/>
      <c r="AI959" s="147"/>
    </row>
    <row r="960">
      <c r="A960" s="167"/>
      <c r="B960" s="169"/>
      <c r="C960" s="170"/>
      <c r="D960" s="170"/>
      <c r="E960" s="170"/>
      <c r="F960" s="170"/>
      <c r="G960" s="171"/>
      <c r="H960" s="171"/>
      <c r="I960" s="172"/>
      <c r="J960" s="172"/>
      <c r="K960" s="172"/>
      <c r="L960" s="172"/>
      <c r="M960" s="147"/>
      <c r="Q960" s="147"/>
      <c r="R960" s="147"/>
      <c r="S960" s="147"/>
      <c r="T960" s="147"/>
      <c r="U960" s="147"/>
      <c r="V960" s="147"/>
      <c r="W960" s="147"/>
      <c r="X960" s="147"/>
      <c r="Y960" s="147"/>
      <c r="Z960" s="147"/>
      <c r="AA960" s="147"/>
      <c r="AB960" s="147"/>
      <c r="AC960" s="147"/>
      <c r="AD960" s="147"/>
      <c r="AE960" s="147"/>
      <c r="AF960" s="147"/>
      <c r="AG960" s="147"/>
      <c r="AH960" s="147"/>
      <c r="AI960" s="147"/>
    </row>
    <row r="961">
      <c r="A961" s="167"/>
      <c r="B961" s="169"/>
      <c r="C961" s="170"/>
      <c r="D961" s="170"/>
      <c r="E961" s="170"/>
      <c r="F961" s="170"/>
      <c r="G961" s="171"/>
      <c r="H961" s="171"/>
      <c r="I961" s="172"/>
      <c r="J961" s="172"/>
      <c r="K961" s="172"/>
      <c r="L961" s="172"/>
      <c r="M961" s="147"/>
      <c r="Q961" s="147"/>
      <c r="R961" s="147"/>
      <c r="S961" s="147"/>
      <c r="T961" s="147"/>
      <c r="U961" s="147"/>
      <c r="V961" s="147"/>
      <c r="W961" s="147"/>
      <c r="X961" s="147"/>
      <c r="Y961" s="147"/>
      <c r="Z961" s="147"/>
      <c r="AA961" s="147"/>
      <c r="AB961" s="147"/>
      <c r="AC961" s="147"/>
      <c r="AD961" s="147"/>
      <c r="AE961" s="147"/>
      <c r="AF961" s="147"/>
      <c r="AG961" s="147"/>
      <c r="AH961" s="147"/>
      <c r="AI961" s="147"/>
    </row>
    <row r="962">
      <c r="A962" s="167"/>
      <c r="B962" s="169"/>
      <c r="C962" s="170"/>
      <c r="D962" s="170"/>
      <c r="E962" s="170"/>
      <c r="F962" s="170"/>
      <c r="G962" s="171"/>
      <c r="H962" s="171"/>
      <c r="I962" s="172"/>
      <c r="J962" s="172"/>
      <c r="K962" s="172"/>
      <c r="L962" s="172"/>
      <c r="M962" s="147"/>
      <c r="Q962" s="147"/>
      <c r="R962" s="147"/>
      <c r="S962" s="147"/>
      <c r="T962" s="147"/>
      <c r="U962" s="147"/>
      <c r="V962" s="147"/>
      <c r="W962" s="147"/>
      <c r="X962" s="147"/>
      <c r="Y962" s="147"/>
      <c r="Z962" s="147"/>
      <c r="AA962" s="147"/>
      <c r="AB962" s="147"/>
      <c r="AC962" s="147"/>
      <c r="AD962" s="147"/>
      <c r="AE962" s="147"/>
      <c r="AF962" s="147"/>
      <c r="AG962" s="147"/>
      <c r="AH962" s="147"/>
      <c r="AI962" s="147"/>
    </row>
    <row r="963">
      <c r="A963" s="167"/>
      <c r="B963" s="169"/>
      <c r="C963" s="170"/>
      <c r="D963" s="170"/>
      <c r="E963" s="170"/>
      <c r="F963" s="170"/>
      <c r="G963" s="171"/>
      <c r="H963" s="171"/>
      <c r="I963" s="172"/>
      <c r="J963" s="172"/>
      <c r="K963" s="172"/>
      <c r="L963" s="172"/>
      <c r="M963" s="147"/>
      <c r="Q963" s="147"/>
      <c r="R963" s="147"/>
      <c r="S963" s="147"/>
      <c r="T963" s="147"/>
      <c r="U963" s="147"/>
      <c r="V963" s="147"/>
      <c r="W963" s="147"/>
      <c r="X963" s="147"/>
      <c r="Y963" s="147"/>
      <c r="Z963" s="147"/>
      <c r="AA963" s="147"/>
      <c r="AB963" s="147"/>
      <c r="AC963" s="147"/>
      <c r="AD963" s="147"/>
      <c r="AE963" s="147"/>
      <c r="AF963" s="147"/>
      <c r="AG963" s="147"/>
      <c r="AH963" s="147"/>
      <c r="AI963" s="147"/>
    </row>
    <row r="964">
      <c r="A964" s="167"/>
      <c r="B964" s="169"/>
      <c r="C964" s="170"/>
      <c r="D964" s="170"/>
      <c r="E964" s="170"/>
      <c r="F964" s="170"/>
      <c r="G964" s="171"/>
      <c r="H964" s="171"/>
      <c r="I964" s="172"/>
      <c r="J964" s="172"/>
      <c r="K964" s="172"/>
      <c r="L964" s="172"/>
      <c r="M964" s="147"/>
      <c r="Q964" s="147"/>
      <c r="R964" s="147"/>
      <c r="S964" s="147"/>
      <c r="T964" s="147"/>
      <c r="U964" s="147"/>
      <c r="V964" s="147"/>
      <c r="W964" s="147"/>
      <c r="X964" s="147"/>
      <c r="Y964" s="147"/>
      <c r="Z964" s="147"/>
      <c r="AA964" s="147"/>
      <c r="AB964" s="147"/>
      <c r="AC964" s="147"/>
      <c r="AD964" s="147"/>
      <c r="AE964" s="147"/>
      <c r="AF964" s="147"/>
      <c r="AG964" s="147"/>
      <c r="AH964" s="147"/>
      <c r="AI964" s="147"/>
    </row>
    <row r="965">
      <c r="A965" s="167"/>
      <c r="B965" s="169"/>
      <c r="C965" s="170"/>
      <c r="D965" s="170"/>
      <c r="E965" s="170"/>
      <c r="F965" s="170"/>
      <c r="G965" s="171"/>
      <c r="H965" s="171"/>
      <c r="I965" s="172"/>
      <c r="J965" s="172"/>
      <c r="K965" s="172"/>
      <c r="L965" s="172"/>
      <c r="M965" s="147"/>
      <c r="Q965" s="147"/>
      <c r="R965" s="147"/>
      <c r="S965" s="147"/>
      <c r="T965" s="147"/>
      <c r="U965" s="147"/>
      <c r="V965" s="147"/>
      <c r="W965" s="147"/>
      <c r="X965" s="147"/>
      <c r="Y965" s="147"/>
      <c r="Z965" s="147"/>
      <c r="AA965" s="147"/>
      <c r="AB965" s="147"/>
      <c r="AC965" s="147"/>
      <c r="AD965" s="147"/>
      <c r="AE965" s="147"/>
      <c r="AF965" s="147"/>
      <c r="AG965" s="147"/>
      <c r="AH965" s="147"/>
      <c r="AI965" s="147"/>
    </row>
    <row r="966">
      <c r="A966" s="167"/>
      <c r="B966" s="169"/>
      <c r="C966" s="170"/>
      <c r="D966" s="170"/>
      <c r="E966" s="170"/>
      <c r="F966" s="170"/>
      <c r="G966" s="171"/>
      <c r="H966" s="171"/>
      <c r="I966" s="172"/>
      <c r="J966" s="172"/>
      <c r="K966" s="172"/>
      <c r="L966" s="172"/>
      <c r="M966" s="147"/>
      <c r="Q966" s="147"/>
      <c r="R966" s="147"/>
      <c r="S966" s="147"/>
      <c r="T966" s="147"/>
      <c r="U966" s="147"/>
      <c r="V966" s="147"/>
      <c r="W966" s="147"/>
      <c r="X966" s="147"/>
      <c r="Y966" s="147"/>
      <c r="Z966" s="147"/>
      <c r="AA966" s="147"/>
      <c r="AB966" s="147"/>
      <c r="AC966" s="147"/>
      <c r="AD966" s="147"/>
      <c r="AE966" s="147"/>
      <c r="AF966" s="147"/>
      <c r="AG966" s="147"/>
      <c r="AH966" s="147"/>
      <c r="AI966" s="147"/>
    </row>
    <row r="967">
      <c r="A967" s="167"/>
      <c r="B967" s="169"/>
      <c r="C967" s="170"/>
      <c r="D967" s="170"/>
      <c r="E967" s="170"/>
      <c r="F967" s="170"/>
      <c r="G967" s="171"/>
      <c r="H967" s="171"/>
      <c r="I967" s="172"/>
      <c r="J967" s="172"/>
      <c r="K967" s="172"/>
      <c r="L967" s="172"/>
      <c r="M967" s="147"/>
      <c r="Q967" s="147"/>
      <c r="R967" s="147"/>
      <c r="S967" s="147"/>
      <c r="T967" s="147"/>
      <c r="U967" s="147"/>
      <c r="V967" s="147"/>
      <c r="W967" s="147"/>
      <c r="X967" s="147"/>
      <c r="Y967" s="147"/>
      <c r="Z967" s="147"/>
      <c r="AA967" s="147"/>
      <c r="AB967" s="147"/>
      <c r="AC967" s="147"/>
      <c r="AD967" s="147"/>
      <c r="AE967" s="147"/>
      <c r="AF967" s="147"/>
      <c r="AG967" s="147"/>
      <c r="AH967" s="147"/>
      <c r="AI967" s="147"/>
    </row>
    <row r="968">
      <c r="A968" s="167"/>
      <c r="B968" s="169"/>
      <c r="C968" s="170"/>
      <c r="D968" s="170"/>
      <c r="E968" s="170"/>
      <c r="F968" s="170"/>
      <c r="G968" s="171"/>
      <c r="H968" s="171"/>
      <c r="I968" s="172"/>
      <c r="J968" s="172"/>
      <c r="K968" s="172"/>
      <c r="L968" s="172"/>
      <c r="M968" s="147"/>
      <c r="Q968" s="147"/>
      <c r="R968" s="147"/>
      <c r="S968" s="147"/>
      <c r="T968" s="147"/>
      <c r="U968" s="147"/>
      <c r="V968" s="147"/>
      <c r="W968" s="147"/>
      <c r="X968" s="147"/>
      <c r="Y968" s="147"/>
      <c r="Z968" s="147"/>
      <c r="AA968" s="147"/>
      <c r="AB968" s="147"/>
      <c r="AC968" s="147"/>
      <c r="AD968" s="147"/>
      <c r="AE968" s="147"/>
      <c r="AF968" s="147"/>
      <c r="AG968" s="147"/>
      <c r="AH968" s="147"/>
      <c r="AI968" s="147"/>
    </row>
    <row r="969">
      <c r="A969" s="167"/>
      <c r="B969" s="169"/>
      <c r="C969" s="170"/>
      <c r="D969" s="170"/>
      <c r="E969" s="170"/>
      <c r="F969" s="170"/>
      <c r="G969" s="171"/>
      <c r="H969" s="171"/>
      <c r="I969" s="172"/>
      <c r="J969" s="172"/>
      <c r="K969" s="172"/>
      <c r="L969" s="172"/>
      <c r="M969" s="147"/>
      <c r="Q969" s="147"/>
      <c r="R969" s="147"/>
      <c r="S969" s="147"/>
      <c r="T969" s="147"/>
      <c r="U969" s="147"/>
      <c r="V969" s="147"/>
      <c r="W969" s="147"/>
      <c r="X969" s="147"/>
      <c r="Y969" s="147"/>
      <c r="Z969" s="147"/>
      <c r="AA969" s="147"/>
      <c r="AB969" s="147"/>
      <c r="AC969" s="147"/>
      <c r="AD969" s="147"/>
      <c r="AE969" s="147"/>
      <c r="AF969" s="147"/>
      <c r="AG969" s="147"/>
      <c r="AH969" s="147"/>
      <c r="AI969" s="147"/>
    </row>
    <row r="970">
      <c r="A970" s="167"/>
      <c r="B970" s="169"/>
      <c r="C970" s="170"/>
      <c r="D970" s="170"/>
      <c r="E970" s="170"/>
      <c r="F970" s="170"/>
      <c r="G970" s="171"/>
      <c r="H970" s="171"/>
      <c r="I970" s="172"/>
      <c r="J970" s="172"/>
      <c r="K970" s="172"/>
      <c r="L970" s="172"/>
      <c r="M970" s="147"/>
      <c r="Q970" s="147"/>
      <c r="R970" s="147"/>
      <c r="S970" s="147"/>
      <c r="T970" s="147"/>
      <c r="U970" s="147"/>
      <c r="V970" s="147"/>
      <c r="W970" s="147"/>
      <c r="X970" s="147"/>
      <c r="Y970" s="147"/>
      <c r="Z970" s="147"/>
      <c r="AA970" s="147"/>
      <c r="AB970" s="147"/>
      <c r="AC970" s="147"/>
      <c r="AD970" s="147"/>
      <c r="AE970" s="147"/>
      <c r="AF970" s="147"/>
      <c r="AG970" s="147"/>
      <c r="AH970" s="147"/>
      <c r="AI970" s="147"/>
    </row>
    <row r="971">
      <c r="A971" s="167"/>
      <c r="B971" s="169"/>
      <c r="C971" s="170"/>
      <c r="D971" s="170"/>
      <c r="E971" s="170"/>
      <c r="F971" s="170"/>
      <c r="G971" s="171"/>
      <c r="H971" s="171"/>
      <c r="I971" s="172"/>
      <c r="J971" s="172"/>
      <c r="K971" s="172"/>
      <c r="L971" s="172"/>
      <c r="M971" s="147"/>
      <c r="Q971" s="147"/>
      <c r="R971" s="147"/>
      <c r="S971" s="147"/>
      <c r="T971" s="147"/>
      <c r="U971" s="147"/>
      <c r="V971" s="147"/>
      <c r="W971" s="147"/>
      <c r="X971" s="147"/>
      <c r="Y971" s="147"/>
      <c r="Z971" s="147"/>
      <c r="AA971" s="147"/>
      <c r="AB971" s="147"/>
      <c r="AC971" s="147"/>
      <c r="AD971" s="147"/>
      <c r="AE971" s="147"/>
      <c r="AF971" s="147"/>
      <c r="AG971" s="147"/>
      <c r="AH971" s="147"/>
      <c r="AI971" s="147"/>
    </row>
    <row r="972">
      <c r="A972" s="167"/>
      <c r="B972" s="169"/>
      <c r="C972" s="170"/>
      <c r="D972" s="170"/>
      <c r="E972" s="170"/>
      <c r="F972" s="170"/>
      <c r="G972" s="171"/>
      <c r="H972" s="171"/>
      <c r="I972" s="172"/>
      <c r="J972" s="172"/>
      <c r="K972" s="172"/>
      <c r="L972" s="172"/>
      <c r="M972" s="147"/>
      <c r="Q972" s="147"/>
      <c r="R972" s="147"/>
      <c r="S972" s="147"/>
      <c r="T972" s="147"/>
      <c r="U972" s="147"/>
      <c r="V972" s="147"/>
      <c r="W972" s="147"/>
      <c r="X972" s="147"/>
      <c r="Y972" s="147"/>
      <c r="Z972" s="147"/>
      <c r="AA972" s="147"/>
      <c r="AB972" s="147"/>
      <c r="AC972" s="147"/>
      <c r="AD972" s="147"/>
      <c r="AE972" s="147"/>
      <c r="AF972" s="147"/>
      <c r="AG972" s="147"/>
      <c r="AH972" s="147"/>
      <c r="AI972" s="147"/>
    </row>
    <row r="973">
      <c r="A973" s="167"/>
      <c r="B973" s="169"/>
      <c r="C973" s="170"/>
      <c r="D973" s="170"/>
      <c r="E973" s="170"/>
      <c r="F973" s="170"/>
      <c r="G973" s="171"/>
      <c r="H973" s="171"/>
      <c r="I973" s="172"/>
      <c r="J973" s="172"/>
      <c r="K973" s="172"/>
      <c r="L973" s="172"/>
      <c r="M973" s="147"/>
      <c r="Q973" s="147"/>
      <c r="R973" s="147"/>
      <c r="S973" s="147"/>
      <c r="T973" s="147"/>
      <c r="U973" s="147"/>
      <c r="V973" s="147"/>
      <c r="W973" s="147"/>
      <c r="X973" s="147"/>
      <c r="Y973" s="147"/>
      <c r="Z973" s="147"/>
      <c r="AA973" s="147"/>
      <c r="AB973" s="147"/>
      <c r="AC973" s="147"/>
      <c r="AD973" s="147"/>
      <c r="AE973" s="147"/>
      <c r="AF973" s="147"/>
      <c r="AG973" s="147"/>
      <c r="AH973" s="147"/>
      <c r="AI973" s="147"/>
    </row>
    <row r="974">
      <c r="A974" s="167"/>
      <c r="B974" s="169"/>
      <c r="C974" s="170"/>
      <c r="D974" s="170"/>
      <c r="E974" s="170"/>
      <c r="F974" s="170"/>
      <c r="G974" s="171"/>
      <c r="H974" s="171"/>
      <c r="I974" s="172"/>
      <c r="J974" s="172"/>
      <c r="K974" s="172"/>
      <c r="L974" s="172"/>
      <c r="M974" s="147"/>
      <c r="Q974" s="147"/>
      <c r="R974" s="147"/>
      <c r="S974" s="147"/>
      <c r="T974" s="147"/>
      <c r="U974" s="147"/>
      <c r="V974" s="147"/>
      <c r="W974" s="147"/>
      <c r="X974" s="147"/>
      <c r="Y974" s="147"/>
      <c r="Z974" s="147"/>
      <c r="AA974" s="147"/>
      <c r="AB974" s="147"/>
      <c r="AC974" s="147"/>
      <c r="AD974" s="147"/>
      <c r="AE974" s="147"/>
      <c r="AF974" s="147"/>
      <c r="AG974" s="147"/>
      <c r="AH974" s="147"/>
      <c r="AI974" s="147"/>
    </row>
    <row r="975">
      <c r="A975" s="167"/>
      <c r="B975" s="169"/>
      <c r="C975" s="170"/>
      <c r="D975" s="170"/>
      <c r="E975" s="170"/>
      <c r="F975" s="170"/>
      <c r="G975" s="171"/>
      <c r="H975" s="171"/>
      <c r="I975" s="172"/>
      <c r="J975" s="172"/>
      <c r="K975" s="172"/>
      <c r="L975" s="172"/>
      <c r="M975" s="147"/>
      <c r="Q975" s="147"/>
      <c r="R975" s="147"/>
      <c r="S975" s="147"/>
      <c r="T975" s="147"/>
      <c r="U975" s="147"/>
      <c r="V975" s="147"/>
      <c r="W975" s="147"/>
      <c r="X975" s="147"/>
      <c r="Y975" s="147"/>
      <c r="Z975" s="147"/>
      <c r="AA975" s="147"/>
      <c r="AB975" s="147"/>
      <c r="AC975" s="147"/>
      <c r="AD975" s="147"/>
      <c r="AE975" s="147"/>
      <c r="AF975" s="147"/>
      <c r="AG975" s="147"/>
      <c r="AH975" s="147"/>
      <c r="AI975" s="147"/>
    </row>
    <row r="976">
      <c r="A976" s="167"/>
      <c r="B976" s="169"/>
      <c r="C976" s="170"/>
      <c r="D976" s="170"/>
      <c r="E976" s="170"/>
      <c r="F976" s="170"/>
      <c r="G976" s="171"/>
      <c r="H976" s="171"/>
      <c r="I976" s="172"/>
      <c r="J976" s="172"/>
      <c r="K976" s="172"/>
      <c r="L976" s="172"/>
      <c r="M976" s="147"/>
      <c r="Q976" s="147"/>
      <c r="R976" s="147"/>
      <c r="S976" s="147"/>
      <c r="T976" s="147"/>
      <c r="U976" s="147"/>
      <c r="V976" s="147"/>
      <c r="W976" s="147"/>
      <c r="X976" s="147"/>
      <c r="Y976" s="147"/>
      <c r="Z976" s="147"/>
      <c r="AA976" s="147"/>
      <c r="AB976" s="147"/>
      <c r="AC976" s="147"/>
      <c r="AD976" s="147"/>
      <c r="AE976" s="147"/>
      <c r="AF976" s="147"/>
      <c r="AG976" s="147"/>
      <c r="AH976" s="147"/>
      <c r="AI976" s="147"/>
    </row>
    <row r="977">
      <c r="A977" s="167"/>
      <c r="B977" s="169"/>
      <c r="C977" s="170"/>
      <c r="D977" s="170"/>
      <c r="E977" s="170"/>
      <c r="F977" s="170"/>
      <c r="G977" s="171"/>
      <c r="H977" s="171"/>
      <c r="I977" s="172"/>
      <c r="J977" s="172"/>
      <c r="K977" s="172"/>
      <c r="L977" s="172"/>
      <c r="M977" s="147"/>
      <c r="Q977" s="147"/>
      <c r="R977" s="147"/>
      <c r="S977" s="147"/>
      <c r="T977" s="147"/>
      <c r="U977" s="147"/>
      <c r="V977" s="147"/>
      <c r="W977" s="147"/>
      <c r="X977" s="147"/>
      <c r="Y977" s="147"/>
      <c r="Z977" s="147"/>
      <c r="AA977" s="147"/>
      <c r="AB977" s="147"/>
      <c r="AC977" s="147"/>
      <c r="AD977" s="147"/>
      <c r="AE977" s="147"/>
      <c r="AF977" s="147"/>
      <c r="AG977" s="147"/>
      <c r="AH977" s="147"/>
      <c r="AI977" s="147"/>
    </row>
    <row r="978">
      <c r="A978" s="167"/>
      <c r="B978" s="169"/>
      <c r="C978" s="170"/>
      <c r="D978" s="170"/>
      <c r="E978" s="170"/>
      <c r="F978" s="170"/>
      <c r="G978" s="171"/>
      <c r="H978" s="171"/>
      <c r="I978" s="172"/>
      <c r="J978" s="172"/>
      <c r="K978" s="172"/>
      <c r="L978" s="172"/>
      <c r="M978" s="147"/>
      <c r="Q978" s="147"/>
      <c r="R978" s="147"/>
      <c r="S978" s="147"/>
      <c r="T978" s="147"/>
      <c r="U978" s="147"/>
      <c r="V978" s="147"/>
      <c r="W978" s="147"/>
      <c r="X978" s="147"/>
      <c r="Y978" s="147"/>
      <c r="Z978" s="147"/>
      <c r="AA978" s="147"/>
      <c r="AB978" s="147"/>
      <c r="AC978" s="147"/>
      <c r="AD978" s="147"/>
      <c r="AE978" s="147"/>
      <c r="AF978" s="147"/>
      <c r="AG978" s="147"/>
      <c r="AH978" s="147"/>
      <c r="AI978" s="147"/>
    </row>
    <row r="979">
      <c r="A979" s="167"/>
      <c r="B979" s="169"/>
      <c r="C979" s="170"/>
      <c r="D979" s="170"/>
      <c r="E979" s="170"/>
      <c r="F979" s="170"/>
      <c r="G979" s="171"/>
      <c r="H979" s="171"/>
      <c r="I979" s="172"/>
      <c r="J979" s="172"/>
      <c r="K979" s="172"/>
      <c r="L979" s="172"/>
      <c r="M979" s="147"/>
      <c r="Q979" s="147"/>
      <c r="R979" s="147"/>
      <c r="S979" s="147"/>
      <c r="T979" s="147"/>
      <c r="U979" s="147"/>
      <c r="V979" s="147"/>
      <c r="W979" s="147"/>
      <c r="X979" s="147"/>
      <c r="Y979" s="147"/>
      <c r="Z979" s="147"/>
      <c r="AA979" s="147"/>
      <c r="AB979" s="147"/>
      <c r="AC979" s="147"/>
      <c r="AD979" s="147"/>
      <c r="AE979" s="147"/>
      <c r="AF979" s="147"/>
      <c r="AG979" s="147"/>
      <c r="AH979" s="147"/>
      <c r="AI979" s="147"/>
    </row>
    <row r="980">
      <c r="A980" s="167"/>
      <c r="B980" s="169"/>
      <c r="C980" s="170"/>
      <c r="D980" s="170"/>
      <c r="E980" s="170"/>
      <c r="F980" s="170"/>
      <c r="G980" s="171"/>
      <c r="H980" s="171"/>
      <c r="I980" s="172"/>
      <c r="J980" s="172"/>
      <c r="K980" s="172"/>
      <c r="L980" s="172"/>
      <c r="M980" s="147"/>
      <c r="Q980" s="147"/>
      <c r="R980" s="147"/>
      <c r="S980" s="147"/>
      <c r="T980" s="147"/>
      <c r="U980" s="147"/>
      <c r="V980" s="147"/>
      <c r="W980" s="147"/>
      <c r="X980" s="147"/>
      <c r="Y980" s="147"/>
      <c r="Z980" s="147"/>
      <c r="AA980" s="147"/>
      <c r="AB980" s="147"/>
      <c r="AC980" s="147"/>
      <c r="AD980" s="147"/>
      <c r="AE980" s="147"/>
      <c r="AF980" s="147"/>
      <c r="AG980" s="147"/>
      <c r="AH980" s="147"/>
      <c r="AI980" s="147"/>
    </row>
    <row r="981">
      <c r="A981" s="167"/>
      <c r="B981" s="169"/>
      <c r="C981" s="170"/>
      <c r="D981" s="170"/>
      <c r="E981" s="170"/>
      <c r="F981" s="170"/>
      <c r="G981" s="171"/>
      <c r="H981" s="171"/>
      <c r="I981" s="172"/>
      <c r="J981" s="172"/>
      <c r="K981" s="172"/>
      <c r="L981" s="172"/>
      <c r="M981" s="147"/>
      <c r="Q981" s="147"/>
      <c r="R981" s="147"/>
      <c r="S981" s="147"/>
      <c r="T981" s="147"/>
      <c r="U981" s="147"/>
      <c r="V981" s="147"/>
      <c r="W981" s="147"/>
      <c r="X981" s="147"/>
      <c r="Y981" s="147"/>
      <c r="Z981" s="147"/>
      <c r="AA981" s="147"/>
      <c r="AB981" s="147"/>
      <c r="AC981" s="147"/>
      <c r="AD981" s="147"/>
      <c r="AE981" s="147"/>
      <c r="AF981" s="147"/>
      <c r="AG981" s="147"/>
      <c r="AH981" s="147"/>
      <c r="AI981" s="147"/>
    </row>
    <row r="982">
      <c r="A982" s="167"/>
      <c r="B982" s="169"/>
      <c r="C982" s="170"/>
      <c r="D982" s="170"/>
      <c r="E982" s="170"/>
      <c r="F982" s="170"/>
      <c r="G982" s="171"/>
      <c r="H982" s="171"/>
      <c r="I982" s="172"/>
      <c r="J982" s="172"/>
      <c r="K982" s="172"/>
      <c r="L982" s="172"/>
      <c r="M982" s="147"/>
      <c r="Q982" s="147"/>
      <c r="R982" s="147"/>
      <c r="S982" s="147"/>
      <c r="T982" s="147"/>
      <c r="U982" s="147"/>
      <c r="V982" s="147"/>
      <c r="W982" s="147"/>
      <c r="X982" s="147"/>
      <c r="Y982" s="147"/>
      <c r="Z982" s="147"/>
      <c r="AA982" s="147"/>
      <c r="AB982" s="147"/>
      <c r="AC982" s="147"/>
      <c r="AD982" s="147"/>
      <c r="AE982" s="147"/>
      <c r="AF982" s="147"/>
      <c r="AG982" s="147"/>
      <c r="AH982" s="147"/>
      <c r="AI982" s="147"/>
    </row>
    <row r="983">
      <c r="A983" s="167"/>
      <c r="B983" s="169"/>
      <c r="C983" s="170"/>
      <c r="D983" s="170"/>
      <c r="E983" s="170"/>
      <c r="F983" s="170"/>
      <c r="G983" s="171"/>
      <c r="H983" s="171"/>
      <c r="I983" s="172"/>
      <c r="J983" s="172"/>
      <c r="K983" s="172"/>
      <c r="L983" s="172"/>
      <c r="M983" s="147"/>
      <c r="Q983" s="147"/>
      <c r="R983" s="147"/>
      <c r="S983" s="147"/>
      <c r="T983" s="147"/>
      <c r="U983" s="147"/>
      <c r="V983" s="147"/>
      <c r="W983" s="147"/>
      <c r="X983" s="147"/>
      <c r="Y983" s="147"/>
      <c r="Z983" s="147"/>
      <c r="AA983" s="147"/>
      <c r="AB983" s="147"/>
      <c r="AC983" s="147"/>
      <c r="AD983" s="147"/>
      <c r="AE983" s="147"/>
      <c r="AF983" s="147"/>
      <c r="AG983" s="147"/>
      <c r="AH983" s="147"/>
      <c r="AI983" s="147"/>
    </row>
    <row r="984">
      <c r="A984" s="167"/>
      <c r="B984" s="169"/>
      <c r="C984" s="170"/>
      <c r="D984" s="170"/>
      <c r="E984" s="170"/>
      <c r="F984" s="170"/>
      <c r="G984" s="171"/>
      <c r="H984" s="171"/>
      <c r="I984" s="172"/>
      <c r="J984" s="172"/>
      <c r="K984" s="172"/>
      <c r="L984" s="172"/>
      <c r="M984" s="147"/>
      <c r="Q984" s="147"/>
      <c r="R984" s="147"/>
      <c r="S984" s="147"/>
      <c r="T984" s="147"/>
      <c r="U984" s="147"/>
      <c r="V984" s="147"/>
      <c r="W984" s="147"/>
      <c r="X984" s="147"/>
      <c r="Y984" s="147"/>
      <c r="Z984" s="147"/>
      <c r="AA984" s="147"/>
      <c r="AB984" s="147"/>
      <c r="AC984" s="147"/>
      <c r="AD984" s="147"/>
      <c r="AE984" s="147"/>
      <c r="AF984" s="147"/>
      <c r="AG984" s="147"/>
      <c r="AH984" s="147"/>
      <c r="AI984" s="147"/>
    </row>
    <row r="985">
      <c r="A985" s="167"/>
      <c r="B985" s="169"/>
      <c r="C985" s="170"/>
      <c r="D985" s="170"/>
      <c r="E985" s="170"/>
      <c r="F985" s="170"/>
      <c r="G985" s="171"/>
      <c r="H985" s="171"/>
      <c r="I985" s="172"/>
      <c r="J985" s="172"/>
      <c r="K985" s="172"/>
      <c r="L985" s="172"/>
      <c r="M985" s="147"/>
      <c r="Q985" s="147"/>
      <c r="R985" s="147"/>
      <c r="S985" s="147"/>
      <c r="T985" s="147"/>
      <c r="U985" s="147"/>
      <c r="V985" s="147"/>
      <c r="W985" s="147"/>
      <c r="X985" s="147"/>
      <c r="Y985" s="147"/>
      <c r="Z985" s="147"/>
      <c r="AA985" s="147"/>
      <c r="AB985" s="147"/>
      <c r="AC985" s="147"/>
      <c r="AD985" s="147"/>
      <c r="AE985" s="147"/>
      <c r="AF985" s="147"/>
      <c r="AG985" s="147"/>
      <c r="AH985" s="147"/>
      <c r="AI985" s="147"/>
    </row>
    <row r="986">
      <c r="A986" s="167"/>
      <c r="B986" s="169"/>
      <c r="C986" s="170"/>
      <c r="D986" s="170"/>
      <c r="E986" s="170"/>
      <c r="F986" s="170"/>
      <c r="G986" s="171"/>
      <c r="H986" s="171"/>
      <c r="I986" s="172"/>
      <c r="J986" s="172"/>
      <c r="K986" s="172"/>
      <c r="L986" s="172"/>
      <c r="M986" s="147"/>
      <c r="Q986" s="147"/>
      <c r="R986" s="147"/>
      <c r="S986" s="147"/>
      <c r="T986" s="147"/>
      <c r="U986" s="147"/>
      <c r="V986" s="147"/>
      <c r="W986" s="147"/>
      <c r="X986" s="147"/>
      <c r="Y986" s="147"/>
      <c r="Z986" s="147"/>
      <c r="AA986" s="147"/>
      <c r="AB986" s="147"/>
      <c r="AC986" s="147"/>
      <c r="AD986" s="147"/>
      <c r="AE986" s="147"/>
      <c r="AF986" s="147"/>
      <c r="AG986" s="147"/>
      <c r="AH986" s="147"/>
      <c r="AI986" s="147"/>
    </row>
    <row r="987">
      <c r="A987" s="167"/>
      <c r="B987" s="169"/>
      <c r="C987" s="170"/>
      <c r="D987" s="170"/>
      <c r="E987" s="170"/>
      <c r="F987" s="170"/>
      <c r="G987" s="171"/>
      <c r="H987" s="171"/>
      <c r="I987" s="172"/>
      <c r="J987" s="172"/>
      <c r="K987" s="172"/>
      <c r="L987" s="172"/>
      <c r="M987" s="147"/>
      <c r="Q987" s="147"/>
      <c r="R987" s="147"/>
      <c r="S987" s="147"/>
      <c r="T987" s="147"/>
      <c r="U987" s="147"/>
      <c r="V987" s="147"/>
      <c r="W987" s="147"/>
      <c r="X987" s="147"/>
      <c r="Y987" s="147"/>
      <c r="Z987" s="147"/>
      <c r="AA987" s="147"/>
      <c r="AB987" s="147"/>
      <c r="AC987" s="147"/>
      <c r="AD987" s="147"/>
      <c r="AE987" s="147"/>
      <c r="AF987" s="147"/>
      <c r="AG987" s="147"/>
      <c r="AH987" s="147"/>
      <c r="AI987" s="147"/>
    </row>
    <row r="988">
      <c r="A988" s="167"/>
      <c r="B988" s="169"/>
      <c r="C988" s="170"/>
      <c r="D988" s="170"/>
      <c r="E988" s="170"/>
      <c r="F988" s="170"/>
      <c r="G988" s="171"/>
      <c r="H988" s="171"/>
      <c r="I988" s="172"/>
      <c r="J988" s="172"/>
      <c r="K988" s="172"/>
      <c r="L988" s="172"/>
      <c r="M988" s="147"/>
      <c r="Q988" s="147"/>
      <c r="R988" s="147"/>
      <c r="S988" s="147"/>
      <c r="T988" s="147"/>
      <c r="U988" s="147"/>
      <c r="V988" s="147"/>
      <c r="W988" s="147"/>
      <c r="X988" s="147"/>
      <c r="Y988" s="147"/>
      <c r="Z988" s="147"/>
      <c r="AA988" s="147"/>
      <c r="AB988" s="147"/>
      <c r="AC988" s="147"/>
      <c r="AD988" s="147"/>
      <c r="AE988" s="147"/>
      <c r="AF988" s="147"/>
      <c r="AG988" s="147"/>
      <c r="AH988" s="147"/>
      <c r="AI988" s="147"/>
    </row>
    <row r="989">
      <c r="A989" s="167"/>
      <c r="B989" s="169"/>
      <c r="C989" s="170"/>
      <c r="D989" s="170"/>
      <c r="E989" s="170"/>
      <c r="F989" s="170"/>
      <c r="G989" s="171"/>
      <c r="H989" s="171"/>
      <c r="I989" s="172"/>
      <c r="J989" s="172"/>
      <c r="K989" s="172"/>
      <c r="L989" s="172"/>
      <c r="M989" s="147"/>
      <c r="Q989" s="147"/>
      <c r="R989" s="147"/>
      <c r="S989" s="147"/>
      <c r="T989" s="147"/>
      <c r="U989" s="147"/>
      <c r="V989" s="147"/>
      <c r="W989" s="147"/>
      <c r="X989" s="147"/>
      <c r="Y989" s="147"/>
      <c r="Z989" s="147"/>
      <c r="AA989" s="147"/>
      <c r="AB989" s="147"/>
      <c r="AC989" s="147"/>
      <c r="AD989" s="147"/>
      <c r="AE989" s="147"/>
      <c r="AF989" s="147"/>
      <c r="AG989" s="147"/>
      <c r="AH989" s="147"/>
      <c r="AI989" s="147"/>
    </row>
    <row r="990">
      <c r="A990" s="167"/>
      <c r="B990" s="169"/>
      <c r="C990" s="170"/>
      <c r="D990" s="170"/>
      <c r="E990" s="170"/>
      <c r="F990" s="170"/>
      <c r="G990" s="171"/>
      <c r="H990" s="171"/>
      <c r="I990" s="172"/>
      <c r="J990" s="172"/>
      <c r="K990" s="172"/>
      <c r="L990" s="172"/>
      <c r="M990" s="147"/>
      <c r="Q990" s="147"/>
      <c r="R990" s="147"/>
      <c r="S990" s="147"/>
      <c r="T990" s="147"/>
      <c r="U990" s="147"/>
      <c r="V990" s="147"/>
      <c r="W990" s="147"/>
      <c r="X990" s="147"/>
      <c r="Y990" s="147"/>
      <c r="Z990" s="147"/>
      <c r="AA990" s="147"/>
      <c r="AB990" s="147"/>
      <c r="AC990" s="147"/>
      <c r="AD990" s="147"/>
      <c r="AE990" s="147"/>
      <c r="AF990" s="147"/>
      <c r="AG990" s="147"/>
      <c r="AH990" s="147"/>
      <c r="AI990" s="147"/>
    </row>
    <row r="991">
      <c r="A991" s="167"/>
      <c r="B991" s="169"/>
      <c r="C991" s="170"/>
      <c r="D991" s="170"/>
      <c r="E991" s="170"/>
      <c r="F991" s="170"/>
      <c r="G991" s="171"/>
      <c r="H991" s="171"/>
      <c r="I991" s="172"/>
      <c r="J991" s="172"/>
      <c r="K991" s="172"/>
      <c r="L991" s="172"/>
      <c r="M991" s="147"/>
      <c r="Q991" s="147"/>
      <c r="R991" s="147"/>
      <c r="S991" s="147"/>
      <c r="T991" s="147"/>
      <c r="U991" s="147"/>
      <c r="V991" s="147"/>
      <c r="W991" s="147"/>
      <c r="X991" s="147"/>
      <c r="Y991" s="147"/>
      <c r="Z991" s="147"/>
      <c r="AA991" s="147"/>
      <c r="AB991" s="147"/>
      <c r="AC991" s="147"/>
      <c r="AD991" s="147"/>
      <c r="AE991" s="147"/>
      <c r="AF991" s="147"/>
      <c r="AG991" s="147"/>
      <c r="AH991" s="147"/>
      <c r="AI991" s="147"/>
    </row>
    <row r="992">
      <c r="A992" s="167"/>
      <c r="B992" s="169"/>
      <c r="C992" s="170"/>
      <c r="D992" s="170"/>
      <c r="E992" s="170"/>
      <c r="F992" s="170"/>
      <c r="G992" s="171"/>
      <c r="H992" s="171"/>
      <c r="I992" s="172"/>
      <c r="J992" s="172"/>
      <c r="K992" s="172"/>
      <c r="L992" s="172"/>
      <c r="M992" s="147"/>
      <c r="Q992" s="147"/>
      <c r="R992" s="147"/>
      <c r="S992" s="147"/>
      <c r="T992" s="147"/>
      <c r="U992" s="147"/>
      <c r="V992" s="147"/>
      <c r="W992" s="147"/>
      <c r="X992" s="147"/>
      <c r="Y992" s="147"/>
      <c r="Z992" s="147"/>
      <c r="AA992" s="147"/>
      <c r="AB992" s="147"/>
      <c r="AC992" s="147"/>
      <c r="AD992" s="147"/>
      <c r="AE992" s="147"/>
      <c r="AF992" s="147"/>
      <c r="AG992" s="147"/>
      <c r="AH992" s="147"/>
      <c r="AI992" s="147"/>
    </row>
    <row r="993">
      <c r="A993" s="167"/>
      <c r="B993" s="169"/>
      <c r="C993" s="170"/>
      <c r="D993" s="170"/>
      <c r="E993" s="170"/>
      <c r="F993" s="170"/>
      <c r="G993" s="171"/>
      <c r="H993" s="171"/>
      <c r="I993" s="172"/>
      <c r="J993" s="172"/>
      <c r="K993" s="172"/>
      <c r="L993" s="172"/>
      <c r="M993" s="147"/>
      <c r="Q993" s="147"/>
      <c r="R993" s="147"/>
      <c r="S993" s="147"/>
      <c r="T993" s="147"/>
      <c r="U993" s="147"/>
      <c r="V993" s="147"/>
      <c r="W993" s="147"/>
      <c r="X993" s="147"/>
      <c r="Y993" s="147"/>
      <c r="Z993" s="147"/>
      <c r="AA993" s="147"/>
      <c r="AB993" s="147"/>
      <c r="AC993" s="147"/>
      <c r="AD993" s="147"/>
      <c r="AE993" s="147"/>
      <c r="AF993" s="147"/>
      <c r="AG993" s="147"/>
      <c r="AH993" s="147"/>
      <c r="AI993" s="147"/>
    </row>
    <row r="994">
      <c r="A994" s="167"/>
      <c r="B994" s="169"/>
      <c r="C994" s="170"/>
      <c r="D994" s="170"/>
      <c r="E994" s="170"/>
      <c r="F994" s="170"/>
      <c r="G994" s="171"/>
      <c r="H994" s="171"/>
      <c r="I994" s="172"/>
      <c r="J994" s="172"/>
      <c r="K994" s="172"/>
      <c r="L994" s="172"/>
      <c r="M994" s="147"/>
      <c r="Q994" s="147"/>
      <c r="R994" s="147"/>
      <c r="S994" s="147"/>
      <c r="T994" s="147"/>
      <c r="U994" s="147"/>
      <c r="V994" s="147"/>
      <c r="W994" s="147"/>
      <c r="X994" s="147"/>
      <c r="Y994" s="147"/>
      <c r="Z994" s="147"/>
      <c r="AA994" s="147"/>
      <c r="AB994" s="147"/>
      <c r="AC994" s="147"/>
      <c r="AD994" s="147"/>
      <c r="AE994" s="147"/>
      <c r="AF994" s="147"/>
      <c r="AG994" s="147"/>
      <c r="AH994" s="147"/>
      <c r="AI994" s="147"/>
    </row>
    <row r="995">
      <c r="A995" s="167"/>
      <c r="B995" s="169"/>
      <c r="C995" s="170"/>
      <c r="D995" s="170"/>
      <c r="E995" s="170"/>
      <c r="F995" s="170"/>
      <c r="G995" s="171"/>
      <c r="H995" s="171"/>
      <c r="I995" s="172"/>
      <c r="J995" s="172"/>
      <c r="K995" s="172"/>
      <c r="L995" s="172"/>
      <c r="M995" s="147"/>
      <c r="Q995" s="147"/>
      <c r="R995" s="147"/>
      <c r="S995" s="147"/>
      <c r="T995" s="147"/>
      <c r="U995" s="147"/>
      <c r="V995" s="147"/>
      <c r="W995" s="147"/>
      <c r="X995" s="147"/>
      <c r="Y995" s="147"/>
      <c r="Z995" s="147"/>
      <c r="AA995" s="147"/>
      <c r="AB995" s="147"/>
      <c r="AC995" s="147"/>
      <c r="AD995" s="147"/>
      <c r="AE995" s="147"/>
      <c r="AF995" s="147"/>
      <c r="AG995" s="147"/>
      <c r="AH995" s="147"/>
      <c r="AI995" s="147"/>
    </row>
    <row r="996">
      <c r="A996" s="167"/>
      <c r="B996" s="169"/>
      <c r="C996" s="170"/>
      <c r="D996" s="170"/>
      <c r="E996" s="170"/>
      <c r="F996" s="170"/>
      <c r="G996" s="171"/>
      <c r="H996" s="171"/>
      <c r="I996" s="172"/>
      <c r="J996" s="172"/>
      <c r="K996" s="172"/>
      <c r="L996" s="172"/>
      <c r="M996" s="147"/>
      <c r="Q996" s="147"/>
      <c r="R996" s="147"/>
      <c r="S996" s="147"/>
      <c r="T996" s="147"/>
      <c r="U996" s="147"/>
      <c r="V996" s="147"/>
      <c r="W996" s="147"/>
      <c r="X996" s="147"/>
      <c r="Y996" s="147"/>
      <c r="Z996" s="147"/>
      <c r="AA996" s="147"/>
      <c r="AB996" s="147"/>
      <c r="AC996" s="147"/>
      <c r="AD996" s="147"/>
      <c r="AE996" s="147"/>
      <c r="AF996" s="147"/>
      <c r="AG996" s="147"/>
      <c r="AH996" s="147"/>
      <c r="AI996" s="147"/>
    </row>
    <row r="997">
      <c r="A997" s="167"/>
      <c r="B997" s="169"/>
      <c r="C997" s="170"/>
      <c r="D997" s="170"/>
      <c r="E997" s="170"/>
      <c r="F997" s="170"/>
      <c r="G997" s="171"/>
      <c r="H997" s="171"/>
      <c r="I997" s="172"/>
      <c r="J997" s="172"/>
      <c r="K997" s="172"/>
      <c r="L997" s="172"/>
      <c r="M997" s="147"/>
      <c r="Q997" s="147"/>
      <c r="R997" s="147"/>
      <c r="S997" s="147"/>
      <c r="T997" s="147"/>
      <c r="U997" s="147"/>
      <c r="V997" s="147"/>
      <c r="W997" s="147"/>
      <c r="X997" s="147"/>
      <c r="Y997" s="147"/>
      <c r="Z997" s="147"/>
      <c r="AA997" s="147"/>
      <c r="AB997" s="147"/>
      <c r="AC997" s="147"/>
      <c r="AD997" s="147"/>
      <c r="AE997" s="147"/>
      <c r="AF997" s="147"/>
      <c r="AG997" s="147"/>
      <c r="AH997" s="147"/>
      <c r="AI997" s="147"/>
    </row>
    <row r="998">
      <c r="A998" s="167"/>
      <c r="B998" s="169"/>
      <c r="C998" s="170"/>
      <c r="D998" s="170"/>
      <c r="E998" s="170"/>
      <c r="F998" s="170"/>
      <c r="G998" s="171"/>
      <c r="H998" s="171"/>
      <c r="I998" s="172"/>
      <c r="J998" s="172"/>
      <c r="K998" s="172"/>
      <c r="L998" s="172"/>
      <c r="M998" s="147"/>
      <c r="Q998" s="147"/>
      <c r="R998" s="147"/>
      <c r="S998" s="147"/>
      <c r="T998" s="147"/>
      <c r="U998" s="147"/>
      <c r="V998" s="147"/>
      <c r="W998" s="147"/>
      <c r="X998" s="147"/>
      <c r="Y998" s="147"/>
      <c r="Z998" s="147"/>
      <c r="AA998" s="147"/>
      <c r="AB998" s="147"/>
      <c r="AC998" s="147"/>
      <c r="AD998" s="147"/>
      <c r="AE998" s="147"/>
      <c r="AF998" s="147"/>
      <c r="AG998" s="147"/>
      <c r="AH998" s="147"/>
      <c r="AI998" s="147"/>
    </row>
    <row r="999">
      <c r="A999" s="167"/>
      <c r="B999" s="169"/>
      <c r="C999" s="170"/>
      <c r="D999" s="170"/>
      <c r="E999" s="170"/>
      <c r="F999" s="170"/>
      <c r="G999" s="171"/>
      <c r="H999" s="171"/>
      <c r="I999" s="172"/>
      <c r="J999" s="172"/>
      <c r="K999" s="172"/>
      <c r="L999" s="172"/>
      <c r="M999" s="147"/>
      <c r="Q999" s="147"/>
      <c r="R999" s="147"/>
      <c r="S999" s="147"/>
      <c r="T999" s="147"/>
      <c r="U999" s="147"/>
      <c r="V999" s="147"/>
      <c r="W999" s="147"/>
      <c r="X999" s="147"/>
      <c r="Y999" s="147"/>
      <c r="Z999" s="147"/>
      <c r="AA999" s="147"/>
      <c r="AB999" s="147"/>
      <c r="AC999" s="147"/>
      <c r="AD999" s="147"/>
      <c r="AE999" s="147"/>
      <c r="AF999" s="147"/>
      <c r="AG999" s="147"/>
      <c r="AH999" s="147"/>
      <c r="AI999" s="147"/>
    </row>
    <row r="1000">
      <c r="A1000" s="167"/>
      <c r="B1000" s="169"/>
      <c r="C1000" s="170"/>
      <c r="D1000" s="170"/>
      <c r="E1000" s="170"/>
      <c r="F1000" s="170"/>
      <c r="G1000" s="171"/>
      <c r="H1000" s="171"/>
      <c r="I1000" s="172"/>
      <c r="J1000" s="172"/>
      <c r="K1000" s="172"/>
      <c r="L1000" s="172"/>
      <c r="M1000" s="147"/>
      <c r="Q1000" s="147"/>
      <c r="R1000" s="147"/>
      <c r="S1000" s="147"/>
      <c r="T1000" s="147"/>
      <c r="U1000" s="147"/>
      <c r="V1000" s="147"/>
      <c r="W1000" s="147"/>
      <c r="X1000" s="147"/>
      <c r="Y1000" s="147"/>
      <c r="Z1000" s="147"/>
      <c r="AA1000" s="147"/>
      <c r="AB1000" s="147"/>
      <c r="AC1000" s="147"/>
      <c r="AD1000" s="147"/>
      <c r="AE1000" s="147"/>
      <c r="AF1000" s="147"/>
      <c r="AG1000" s="147"/>
      <c r="AH1000" s="147"/>
      <c r="AI1000" s="147"/>
    </row>
    <row r="1001">
      <c r="A1001" s="167"/>
      <c r="B1001" s="169"/>
      <c r="C1001" s="170"/>
      <c r="D1001" s="170"/>
      <c r="E1001" s="170"/>
      <c r="F1001" s="170"/>
      <c r="G1001" s="171"/>
      <c r="H1001" s="171"/>
      <c r="I1001" s="172"/>
      <c r="J1001" s="172"/>
      <c r="K1001" s="172"/>
      <c r="L1001" s="172"/>
      <c r="M1001" s="147"/>
      <c r="Q1001" s="147"/>
      <c r="R1001" s="147"/>
      <c r="S1001" s="147"/>
      <c r="T1001" s="147"/>
      <c r="U1001" s="147"/>
      <c r="V1001" s="147"/>
      <c r="W1001" s="147"/>
      <c r="X1001" s="147"/>
      <c r="Y1001" s="147"/>
      <c r="Z1001" s="147"/>
      <c r="AA1001" s="147"/>
      <c r="AB1001" s="147"/>
      <c r="AC1001" s="147"/>
      <c r="AD1001" s="147"/>
      <c r="AE1001" s="147"/>
      <c r="AF1001" s="147"/>
      <c r="AG1001" s="147"/>
      <c r="AH1001" s="147"/>
      <c r="AI1001" s="147"/>
    </row>
    <row r="1002">
      <c r="A1002" s="167"/>
      <c r="B1002" s="169"/>
      <c r="C1002" s="170"/>
      <c r="D1002" s="170"/>
      <c r="E1002" s="170"/>
      <c r="F1002" s="170"/>
      <c r="G1002" s="171"/>
      <c r="H1002" s="171"/>
      <c r="I1002" s="172"/>
      <c r="J1002" s="172"/>
      <c r="K1002" s="172"/>
      <c r="L1002" s="172"/>
      <c r="M1002" s="147"/>
      <c r="Q1002" s="147"/>
      <c r="R1002" s="147"/>
      <c r="S1002" s="147"/>
      <c r="T1002" s="147"/>
      <c r="U1002" s="147"/>
      <c r="V1002" s="147"/>
      <c r="W1002" s="147"/>
      <c r="X1002" s="147"/>
      <c r="Y1002" s="147"/>
      <c r="Z1002" s="147"/>
      <c r="AA1002" s="147"/>
      <c r="AB1002" s="147"/>
      <c r="AC1002" s="147"/>
      <c r="AD1002" s="147"/>
      <c r="AE1002" s="147"/>
      <c r="AF1002" s="147"/>
      <c r="AG1002" s="147"/>
      <c r="AH1002" s="147"/>
      <c r="AI1002" s="147"/>
    </row>
    <row r="1003">
      <c r="A1003" s="167"/>
      <c r="B1003" s="169"/>
      <c r="C1003" s="170"/>
      <c r="D1003" s="170"/>
      <c r="E1003" s="170"/>
      <c r="F1003" s="170"/>
      <c r="G1003" s="171"/>
      <c r="H1003" s="171"/>
      <c r="I1003" s="172"/>
      <c r="J1003" s="172"/>
      <c r="K1003" s="172"/>
      <c r="L1003" s="172"/>
      <c r="M1003" s="147"/>
      <c r="Q1003" s="147"/>
      <c r="R1003" s="147"/>
      <c r="S1003" s="147"/>
      <c r="T1003" s="147"/>
      <c r="U1003" s="147"/>
      <c r="V1003" s="147"/>
      <c r="W1003" s="147"/>
      <c r="X1003" s="147"/>
      <c r="Y1003" s="147"/>
      <c r="Z1003" s="147"/>
      <c r="AA1003" s="147"/>
      <c r="AB1003" s="147"/>
      <c r="AC1003" s="147"/>
      <c r="AD1003" s="147"/>
      <c r="AE1003" s="147"/>
      <c r="AF1003" s="147"/>
      <c r="AG1003" s="147"/>
      <c r="AH1003" s="147"/>
      <c r="AI1003" s="147"/>
    </row>
    <row r="1004">
      <c r="A1004" s="167"/>
      <c r="B1004" s="169"/>
      <c r="C1004" s="170"/>
      <c r="D1004" s="170"/>
      <c r="E1004" s="170"/>
      <c r="F1004" s="170"/>
      <c r="G1004" s="171"/>
      <c r="H1004" s="171"/>
      <c r="I1004" s="172"/>
      <c r="J1004" s="172"/>
      <c r="K1004" s="172"/>
      <c r="L1004" s="172"/>
      <c r="M1004" s="147"/>
      <c r="Q1004" s="147"/>
      <c r="R1004" s="147"/>
      <c r="S1004" s="147"/>
      <c r="T1004" s="147"/>
      <c r="U1004" s="147"/>
      <c r="V1004" s="147"/>
      <c r="W1004" s="147"/>
      <c r="X1004" s="147"/>
      <c r="Y1004" s="147"/>
      <c r="Z1004" s="147"/>
      <c r="AA1004" s="147"/>
      <c r="AB1004" s="147"/>
      <c r="AC1004" s="147"/>
      <c r="AD1004" s="147"/>
      <c r="AE1004" s="147"/>
      <c r="AF1004" s="147"/>
      <c r="AG1004" s="147"/>
      <c r="AH1004" s="147"/>
      <c r="AI1004" s="147"/>
    </row>
    <row r="1005">
      <c r="A1005" s="167"/>
      <c r="B1005" s="169"/>
      <c r="C1005" s="170"/>
      <c r="D1005" s="170"/>
      <c r="E1005" s="170"/>
      <c r="F1005" s="170"/>
      <c r="G1005" s="171"/>
      <c r="H1005" s="171"/>
      <c r="I1005" s="172"/>
      <c r="J1005" s="172"/>
      <c r="K1005" s="172"/>
      <c r="L1005" s="172"/>
      <c r="M1005" s="147"/>
      <c r="Q1005" s="147"/>
      <c r="R1005" s="147"/>
      <c r="S1005" s="147"/>
      <c r="T1005" s="147"/>
      <c r="U1005" s="147"/>
      <c r="V1005" s="147"/>
      <c r="W1005" s="147"/>
      <c r="X1005" s="147"/>
      <c r="Y1005" s="147"/>
      <c r="Z1005" s="147"/>
      <c r="AA1005" s="147"/>
      <c r="AB1005" s="147"/>
      <c r="AC1005" s="147"/>
      <c r="AD1005" s="147"/>
      <c r="AE1005" s="147"/>
      <c r="AF1005" s="147"/>
      <c r="AG1005" s="147"/>
      <c r="AH1005" s="147"/>
      <c r="AI1005" s="147"/>
    </row>
    <row r="1006">
      <c r="A1006" s="167"/>
      <c r="B1006" s="169"/>
      <c r="C1006" s="170"/>
      <c r="D1006" s="170"/>
      <c r="E1006" s="170"/>
      <c r="F1006" s="170"/>
      <c r="G1006" s="171"/>
      <c r="H1006" s="171"/>
      <c r="I1006" s="172"/>
      <c r="J1006" s="172"/>
      <c r="K1006" s="172"/>
      <c r="L1006" s="172"/>
      <c r="M1006" s="147"/>
      <c r="Q1006" s="147"/>
      <c r="R1006" s="147"/>
      <c r="S1006" s="147"/>
      <c r="T1006" s="147"/>
      <c r="U1006" s="147"/>
      <c r="V1006" s="147"/>
      <c r="W1006" s="147"/>
      <c r="X1006" s="147"/>
      <c r="Y1006" s="147"/>
      <c r="Z1006" s="147"/>
      <c r="AA1006" s="147"/>
      <c r="AB1006" s="147"/>
      <c r="AC1006" s="147"/>
      <c r="AD1006" s="147"/>
      <c r="AE1006" s="147"/>
      <c r="AF1006" s="147"/>
      <c r="AG1006" s="147"/>
      <c r="AH1006" s="147"/>
      <c r="AI1006" s="147"/>
    </row>
    <row r="1007">
      <c r="A1007" s="167"/>
      <c r="B1007" s="169"/>
      <c r="C1007" s="170"/>
      <c r="D1007" s="170"/>
      <c r="E1007" s="170"/>
      <c r="F1007" s="170"/>
      <c r="G1007" s="171"/>
      <c r="H1007" s="171"/>
      <c r="I1007" s="172"/>
      <c r="J1007" s="172"/>
      <c r="K1007" s="172"/>
      <c r="L1007" s="172"/>
      <c r="M1007" s="147"/>
      <c r="Q1007" s="147"/>
      <c r="R1007" s="147"/>
      <c r="S1007" s="147"/>
      <c r="T1007" s="147"/>
      <c r="U1007" s="147"/>
      <c r="V1007" s="147"/>
      <c r="W1007" s="147"/>
      <c r="X1007" s="147"/>
      <c r="Y1007" s="147"/>
      <c r="Z1007" s="147"/>
      <c r="AA1007" s="147"/>
      <c r="AB1007" s="147"/>
      <c r="AC1007" s="147"/>
      <c r="AD1007" s="147"/>
      <c r="AE1007" s="147"/>
      <c r="AF1007" s="147"/>
      <c r="AG1007" s="147"/>
      <c r="AH1007" s="147"/>
      <c r="AI1007" s="147"/>
    </row>
    <row r="1008">
      <c r="A1008" s="167"/>
      <c r="B1008" s="169"/>
      <c r="C1008" s="170"/>
      <c r="D1008" s="170"/>
      <c r="E1008" s="170"/>
      <c r="F1008" s="170"/>
      <c r="G1008" s="171"/>
      <c r="H1008" s="171"/>
      <c r="I1008" s="172"/>
      <c r="J1008" s="172"/>
      <c r="K1008" s="172"/>
      <c r="L1008" s="172"/>
      <c r="M1008" s="147"/>
      <c r="Q1008" s="147"/>
      <c r="R1008" s="147"/>
      <c r="S1008" s="147"/>
      <c r="T1008" s="147"/>
      <c r="U1008" s="147"/>
      <c r="V1008" s="147"/>
      <c r="W1008" s="147"/>
      <c r="X1008" s="147"/>
      <c r="Y1008" s="147"/>
      <c r="Z1008" s="147"/>
      <c r="AA1008" s="147"/>
      <c r="AB1008" s="147"/>
      <c r="AC1008" s="147"/>
      <c r="AD1008" s="147"/>
      <c r="AE1008" s="147"/>
      <c r="AF1008" s="147"/>
      <c r="AG1008" s="147"/>
      <c r="AH1008" s="147"/>
      <c r="AI1008" s="147"/>
    </row>
    <row r="1009">
      <c r="A1009" s="167"/>
      <c r="B1009" s="169"/>
      <c r="C1009" s="170"/>
      <c r="D1009" s="170"/>
      <c r="E1009" s="170"/>
      <c r="F1009" s="170"/>
      <c r="G1009" s="171"/>
      <c r="H1009" s="171"/>
      <c r="I1009" s="172"/>
      <c r="J1009" s="172"/>
      <c r="K1009" s="172"/>
      <c r="L1009" s="172"/>
      <c r="M1009" s="147"/>
      <c r="Q1009" s="147"/>
      <c r="R1009" s="147"/>
      <c r="S1009" s="147"/>
      <c r="T1009" s="147"/>
      <c r="U1009" s="147"/>
      <c r="V1009" s="147"/>
      <c r="W1009" s="147"/>
      <c r="X1009" s="147"/>
      <c r="Y1009" s="147"/>
      <c r="Z1009" s="147"/>
      <c r="AA1009" s="147"/>
      <c r="AB1009" s="147"/>
      <c r="AC1009" s="147"/>
      <c r="AD1009" s="147"/>
      <c r="AE1009" s="147"/>
      <c r="AF1009" s="147"/>
      <c r="AG1009" s="147"/>
      <c r="AH1009" s="147"/>
      <c r="AI1009" s="147"/>
    </row>
  </sheetData>
  <mergeCells count="1">
    <mergeCell ref="A2:F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9.0"/>
    <col customWidth="1" min="5" max="5" width="74.5"/>
  </cols>
  <sheetData>
    <row r="1">
      <c r="A1" s="104" t="s">
        <v>460</v>
      </c>
      <c r="B1" s="104" t="s">
        <v>122</v>
      </c>
      <c r="C1" s="104" t="s">
        <v>461</v>
      </c>
      <c r="D1" s="104" t="s">
        <v>462</v>
      </c>
      <c r="E1" s="104" t="s">
        <v>463</v>
      </c>
      <c r="F1" s="104" t="s">
        <v>462</v>
      </c>
    </row>
    <row r="2">
      <c r="A2" s="104" t="s">
        <v>464</v>
      </c>
      <c r="B2" s="104" t="s">
        <v>170</v>
      </c>
      <c r="C2" s="104" t="s">
        <v>461</v>
      </c>
      <c r="D2" s="104" t="s">
        <v>465</v>
      </c>
      <c r="E2" s="104" t="s">
        <v>463</v>
      </c>
      <c r="F2" s="104" t="s">
        <v>465</v>
      </c>
    </row>
    <row r="3">
      <c r="A3" s="104" t="s">
        <v>466</v>
      </c>
      <c r="B3" s="104" t="s">
        <v>177</v>
      </c>
      <c r="C3" s="104" t="s">
        <v>461</v>
      </c>
      <c r="D3" s="104" t="s">
        <v>467</v>
      </c>
      <c r="E3" s="104" t="s">
        <v>463</v>
      </c>
      <c r="F3" s="104" t="s">
        <v>467</v>
      </c>
    </row>
    <row r="4">
      <c r="A4" s="104" t="s">
        <v>468</v>
      </c>
      <c r="B4" s="104" t="s">
        <v>121</v>
      </c>
      <c r="C4" s="104" t="s">
        <v>461</v>
      </c>
      <c r="D4" s="104" t="s">
        <v>469</v>
      </c>
      <c r="E4" s="104" t="s">
        <v>463</v>
      </c>
      <c r="F4" s="104" t="s">
        <v>469</v>
      </c>
    </row>
    <row r="5">
      <c r="A5" s="104" t="s">
        <v>470</v>
      </c>
      <c r="B5" s="104" t="s">
        <v>131</v>
      </c>
      <c r="C5" s="104" t="s">
        <v>461</v>
      </c>
      <c r="D5" s="104" t="s">
        <v>471</v>
      </c>
      <c r="E5" s="104" t="s">
        <v>463</v>
      </c>
      <c r="F5" s="104" t="s">
        <v>471</v>
      </c>
    </row>
    <row r="6">
      <c r="A6" s="104" t="s">
        <v>472</v>
      </c>
      <c r="B6" s="104" t="s">
        <v>303</v>
      </c>
      <c r="C6" s="104" t="s">
        <v>461</v>
      </c>
      <c r="D6" s="104" t="s">
        <v>473</v>
      </c>
      <c r="E6" s="104" t="s">
        <v>463</v>
      </c>
      <c r="F6" s="104" t="s">
        <v>473</v>
      </c>
    </row>
    <row r="7">
      <c r="A7" s="104" t="s">
        <v>474</v>
      </c>
      <c r="B7" s="104" t="s">
        <v>176</v>
      </c>
      <c r="C7" s="104" t="s">
        <v>461</v>
      </c>
      <c r="D7" s="104" t="s">
        <v>475</v>
      </c>
      <c r="E7" s="104" t="s">
        <v>463</v>
      </c>
      <c r="F7" s="104" t="s">
        <v>475</v>
      </c>
    </row>
    <row r="8">
      <c r="A8" s="104" t="s">
        <v>476</v>
      </c>
      <c r="B8" s="104" t="s">
        <v>321</v>
      </c>
      <c r="C8" s="104" t="s">
        <v>461</v>
      </c>
      <c r="D8" s="104" t="s">
        <v>477</v>
      </c>
      <c r="E8" s="104" t="s">
        <v>463</v>
      </c>
      <c r="F8" s="104" t="s">
        <v>477</v>
      </c>
    </row>
    <row r="9">
      <c r="A9" s="104" t="s">
        <v>478</v>
      </c>
      <c r="B9" s="104" t="s">
        <v>245</v>
      </c>
      <c r="C9" s="104" t="s">
        <v>461</v>
      </c>
      <c r="D9" s="104" t="s">
        <v>479</v>
      </c>
      <c r="E9" s="104" t="s">
        <v>463</v>
      </c>
      <c r="F9" s="104" t="s">
        <v>479</v>
      </c>
    </row>
    <row r="10">
      <c r="A10" s="104" t="s">
        <v>480</v>
      </c>
      <c r="B10" s="104" t="s">
        <v>154</v>
      </c>
      <c r="C10" s="104" t="s">
        <v>461</v>
      </c>
      <c r="D10" s="104" t="s">
        <v>481</v>
      </c>
      <c r="E10" s="104" t="s">
        <v>463</v>
      </c>
      <c r="F10" s="104" t="s">
        <v>481</v>
      </c>
    </row>
    <row r="11">
      <c r="A11" s="104" t="s">
        <v>482</v>
      </c>
      <c r="B11" s="104" t="s">
        <v>218</v>
      </c>
      <c r="C11" s="104" t="s">
        <v>461</v>
      </c>
      <c r="D11" s="104" t="s">
        <v>483</v>
      </c>
      <c r="E11" s="104" t="s">
        <v>463</v>
      </c>
      <c r="F11" s="104" t="s">
        <v>483</v>
      </c>
    </row>
    <row r="12">
      <c r="A12" s="104" t="s">
        <v>484</v>
      </c>
      <c r="B12" s="104" t="s">
        <v>215</v>
      </c>
      <c r="C12" s="104" t="s">
        <v>461</v>
      </c>
      <c r="D12" s="104" t="s">
        <v>485</v>
      </c>
      <c r="E12" s="104" t="s">
        <v>463</v>
      </c>
      <c r="F12" s="104" t="s">
        <v>485</v>
      </c>
    </row>
    <row r="13">
      <c r="A13" s="104" t="s">
        <v>486</v>
      </c>
      <c r="B13" s="104" t="s">
        <v>119</v>
      </c>
      <c r="C13" s="104" t="s">
        <v>461</v>
      </c>
      <c r="D13" s="104" t="s">
        <v>487</v>
      </c>
      <c r="E13" s="104" t="s">
        <v>463</v>
      </c>
      <c r="F13" s="104" t="s">
        <v>487</v>
      </c>
    </row>
    <row r="14">
      <c r="A14" s="104" t="s">
        <v>488</v>
      </c>
      <c r="B14" s="104" t="s">
        <v>221</v>
      </c>
      <c r="C14" s="104" t="s">
        <v>461</v>
      </c>
      <c r="D14" s="104" t="s">
        <v>489</v>
      </c>
      <c r="E14" s="104" t="s">
        <v>463</v>
      </c>
      <c r="F14" s="104" t="s">
        <v>489</v>
      </c>
    </row>
    <row r="15">
      <c r="A15" s="104" t="s">
        <v>490</v>
      </c>
      <c r="B15" s="104" t="s">
        <v>257</v>
      </c>
      <c r="C15" s="104" t="s">
        <v>461</v>
      </c>
      <c r="D15" s="104" t="s">
        <v>491</v>
      </c>
      <c r="E15" s="104" t="s">
        <v>463</v>
      </c>
      <c r="F15" s="104" t="s">
        <v>491</v>
      </c>
    </row>
    <row r="16">
      <c r="A16" s="104" t="s">
        <v>492</v>
      </c>
      <c r="B16" s="104" t="s">
        <v>274</v>
      </c>
      <c r="C16" s="104" t="s">
        <v>461</v>
      </c>
      <c r="D16" s="104" t="s">
        <v>493</v>
      </c>
      <c r="E16" s="104" t="s">
        <v>463</v>
      </c>
      <c r="F16" s="104" t="s">
        <v>493</v>
      </c>
    </row>
    <row r="17">
      <c r="A17" s="104" t="s">
        <v>494</v>
      </c>
      <c r="B17" s="104" t="s">
        <v>286</v>
      </c>
      <c r="C17" s="104" t="s">
        <v>461</v>
      </c>
      <c r="D17" s="104" t="s">
        <v>495</v>
      </c>
      <c r="E17" s="104" t="s">
        <v>463</v>
      </c>
      <c r="F17" s="104" t="s">
        <v>495</v>
      </c>
    </row>
    <row r="18">
      <c r="A18" s="104" t="s">
        <v>496</v>
      </c>
      <c r="B18" s="104" t="s">
        <v>150</v>
      </c>
      <c r="C18" s="104" t="s">
        <v>461</v>
      </c>
      <c r="D18" s="104" t="s">
        <v>497</v>
      </c>
      <c r="E18" s="104" t="s">
        <v>463</v>
      </c>
      <c r="F18" s="104" t="s">
        <v>497</v>
      </c>
    </row>
    <row r="19">
      <c r="A19" s="104" t="s">
        <v>498</v>
      </c>
      <c r="B19" s="104" t="s">
        <v>261</v>
      </c>
      <c r="C19" s="104" t="s">
        <v>461</v>
      </c>
      <c r="D19" s="104" t="s">
        <v>499</v>
      </c>
      <c r="E19" s="104" t="s">
        <v>463</v>
      </c>
      <c r="F19" s="104" t="s">
        <v>499</v>
      </c>
    </row>
    <row r="20">
      <c r="A20" s="104" t="s">
        <v>500</v>
      </c>
      <c r="B20" s="104" t="s">
        <v>191</v>
      </c>
      <c r="C20" s="104" t="s">
        <v>461</v>
      </c>
      <c r="D20" s="104" t="s">
        <v>501</v>
      </c>
      <c r="E20" s="104" t="s">
        <v>463</v>
      </c>
      <c r="F20" s="104" t="s">
        <v>501</v>
      </c>
    </row>
    <row r="21">
      <c r="A21" s="104" t="s">
        <v>502</v>
      </c>
      <c r="B21" s="104" t="s">
        <v>208</v>
      </c>
      <c r="C21" s="104" t="s">
        <v>461</v>
      </c>
      <c r="D21" s="104" t="s">
        <v>503</v>
      </c>
      <c r="E21" s="104" t="s">
        <v>463</v>
      </c>
      <c r="F21" s="104" t="s">
        <v>503</v>
      </c>
    </row>
    <row r="22">
      <c r="A22" s="104" t="s">
        <v>504</v>
      </c>
      <c r="B22" s="104" t="s">
        <v>94</v>
      </c>
      <c r="C22" s="104" t="s">
        <v>461</v>
      </c>
      <c r="D22" s="104" t="s">
        <v>505</v>
      </c>
      <c r="E22" s="104" t="s">
        <v>463</v>
      </c>
      <c r="F22" s="104" t="s">
        <v>505</v>
      </c>
    </row>
    <row r="23">
      <c r="A23" s="104" t="s">
        <v>506</v>
      </c>
      <c r="B23" s="104" t="s">
        <v>293</v>
      </c>
      <c r="C23" s="104" t="s">
        <v>461</v>
      </c>
      <c r="D23" s="104" t="s">
        <v>507</v>
      </c>
      <c r="E23" s="104" t="s">
        <v>463</v>
      </c>
      <c r="F23" s="104" t="s">
        <v>507</v>
      </c>
    </row>
    <row r="24">
      <c r="A24" s="104" t="s">
        <v>508</v>
      </c>
      <c r="B24" s="104" t="s">
        <v>263</v>
      </c>
      <c r="C24" s="104" t="s">
        <v>461</v>
      </c>
      <c r="D24" s="104" t="s">
        <v>509</v>
      </c>
      <c r="E24" s="104" t="s">
        <v>463</v>
      </c>
      <c r="F24" s="104" t="s">
        <v>509</v>
      </c>
    </row>
    <row r="25">
      <c r="A25" s="104" t="s">
        <v>510</v>
      </c>
      <c r="B25" s="104" t="s">
        <v>298</v>
      </c>
      <c r="C25" s="104" t="s">
        <v>461</v>
      </c>
      <c r="D25" s="104" t="s">
        <v>511</v>
      </c>
      <c r="E25" s="104" t="s">
        <v>463</v>
      </c>
      <c r="F25" s="104" t="s">
        <v>511</v>
      </c>
    </row>
    <row r="26">
      <c r="A26" s="104" t="s">
        <v>512</v>
      </c>
      <c r="B26" s="104" t="s">
        <v>305</v>
      </c>
      <c r="C26" s="104" t="s">
        <v>461</v>
      </c>
      <c r="D26" s="104" t="s">
        <v>513</v>
      </c>
      <c r="E26" s="104" t="s">
        <v>463</v>
      </c>
      <c r="F26" s="104" t="s">
        <v>513</v>
      </c>
    </row>
    <row r="27">
      <c r="A27" s="104" t="s">
        <v>514</v>
      </c>
      <c r="B27" s="104" t="s">
        <v>183</v>
      </c>
      <c r="C27" s="104" t="s">
        <v>461</v>
      </c>
      <c r="D27" s="104" t="s">
        <v>515</v>
      </c>
      <c r="E27" s="104" t="s">
        <v>463</v>
      </c>
      <c r="F27" s="104" t="s">
        <v>515</v>
      </c>
    </row>
    <row r="28">
      <c r="A28" s="104" t="s">
        <v>516</v>
      </c>
      <c r="B28" s="104" t="s">
        <v>200</v>
      </c>
      <c r="C28" s="104" t="s">
        <v>461</v>
      </c>
      <c r="D28" s="104" t="s">
        <v>517</v>
      </c>
      <c r="E28" s="104" t="s">
        <v>463</v>
      </c>
      <c r="F28" s="104" t="s">
        <v>517</v>
      </c>
    </row>
    <row r="29">
      <c r="A29" s="104" t="s">
        <v>518</v>
      </c>
      <c r="B29" s="104" t="s">
        <v>156</v>
      </c>
      <c r="C29" s="104" t="s">
        <v>461</v>
      </c>
      <c r="D29" s="104" t="s">
        <v>519</v>
      </c>
      <c r="E29" s="104" t="s">
        <v>463</v>
      </c>
      <c r="F29" s="104" t="s">
        <v>519</v>
      </c>
    </row>
    <row r="30">
      <c r="A30" s="104" t="s">
        <v>520</v>
      </c>
      <c r="B30" s="104" t="s">
        <v>210</v>
      </c>
      <c r="C30" s="104" t="s">
        <v>461</v>
      </c>
      <c r="D30" s="104" t="s">
        <v>521</v>
      </c>
      <c r="E30" s="104" t="s">
        <v>463</v>
      </c>
      <c r="F30" s="104" t="s">
        <v>521</v>
      </c>
    </row>
    <row r="31">
      <c r="A31" s="104" t="s">
        <v>522</v>
      </c>
      <c r="B31" s="104" t="s">
        <v>234</v>
      </c>
      <c r="C31" s="104" t="s">
        <v>461</v>
      </c>
      <c r="D31" s="104" t="s">
        <v>523</v>
      </c>
      <c r="E31" s="104" t="s">
        <v>463</v>
      </c>
      <c r="F31" s="104" t="s">
        <v>523</v>
      </c>
    </row>
    <row r="32">
      <c r="A32" s="104" t="s">
        <v>524</v>
      </c>
      <c r="B32" s="104" t="s">
        <v>235</v>
      </c>
      <c r="C32" s="104" t="s">
        <v>461</v>
      </c>
      <c r="D32" s="104" t="s">
        <v>525</v>
      </c>
      <c r="E32" s="104" t="s">
        <v>463</v>
      </c>
      <c r="F32" s="104" t="s">
        <v>525</v>
      </c>
    </row>
    <row r="33">
      <c r="A33" s="104" t="s">
        <v>526</v>
      </c>
      <c r="B33" s="104" t="s">
        <v>117</v>
      </c>
      <c r="C33" s="104" t="s">
        <v>461</v>
      </c>
      <c r="D33" s="104" t="s">
        <v>527</v>
      </c>
      <c r="E33" s="104" t="s">
        <v>463</v>
      </c>
      <c r="F33" s="104" t="s">
        <v>527</v>
      </c>
    </row>
    <row r="34">
      <c r="A34" s="104" t="s">
        <v>528</v>
      </c>
      <c r="B34" s="104" t="s">
        <v>287</v>
      </c>
      <c r="C34" s="104" t="s">
        <v>461</v>
      </c>
      <c r="D34" s="104" t="s">
        <v>529</v>
      </c>
      <c r="E34" s="104" t="s">
        <v>463</v>
      </c>
      <c r="F34" s="104" t="s">
        <v>529</v>
      </c>
    </row>
    <row r="35">
      <c r="A35" s="104" t="s">
        <v>530</v>
      </c>
      <c r="B35" s="104" t="s">
        <v>219</v>
      </c>
      <c r="C35" s="104" t="s">
        <v>461</v>
      </c>
      <c r="D35" s="104" t="s">
        <v>531</v>
      </c>
      <c r="E35" s="104" t="s">
        <v>463</v>
      </c>
      <c r="F35" s="104" t="s">
        <v>531</v>
      </c>
    </row>
    <row r="36">
      <c r="A36" s="104" t="s">
        <v>532</v>
      </c>
      <c r="B36" s="104" t="s">
        <v>145</v>
      </c>
      <c r="C36" s="104" t="s">
        <v>461</v>
      </c>
      <c r="D36" s="104" t="s">
        <v>533</v>
      </c>
      <c r="E36" s="104" t="s">
        <v>463</v>
      </c>
      <c r="F36" s="104" t="s">
        <v>533</v>
      </c>
    </row>
    <row r="37">
      <c r="A37" s="104" t="s">
        <v>534</v>
      </c>
      <c r="B37" s="104" t="s">
        <v>121</v>
      </c>
      <c r="C37" s="104" t="s">
        <v>535</v>
      </c>
      <c r="D37" s="104" t="s">
        <v>536</v>
      </c>
      <c r="E37" s="104" t="s">
        <v>537</v>
      </c>
      <c r="F37" s="104" t="s">
        <v>538</v>
      </c>
      <c r="G37" s="150">
        <f>+1</f>
        <v>1</v>
      </c>
      <c r="H37" s="104">
        <v>1.0</v>
      </c>
    </row>
    <row r="38">
      <c r="A38" s="104" t="s">
        <v>539</v>
      </c>
      <c r="B38" s="104" t="s">
        <v>278</v>
      </c>
      <c r="C38" s="104" t="s">
        <v>461</v>
      </c>
      <c r="D38" s="104" t="s">
        <v>540</v>
      </c>
      <c r="E38" s="104" t="s">
        <v>463</v>
      </c>
      <c r="F38" s="104" t="s">
        <v>540</v>
      </c>
    </row>
    <row r="39">
      <c r="A39" s="104" t="s">
        <v>541</v>
      </c>
      <c r="B39" s="104" t="s">
        <v>161</v>
      </c>
      <c r="C39" s="104" t="s">
        <v>461</v>
      </c>
      <c r="D39" s="104" t="s">
        <v>542</v>
      </c>
      <c r="E39" s="104" t="s">
        <v>463</v>
      </c>
      <c r="F39" s="104" t="s">
        <v>542</v>
      </c>
    </row>
    <row r="40">
      <c r="A40" s="104" t="s">
        <v>543</v>
      </c>
      <c r="B40" s="104" t="s">
        <v>92</v>
      </c>
      <c r="C40" s="104" t="s">
        <v>461</v>
      </c>
      <c r="D40" s="104" t="s">
        <v>544</v>
      </c>
      <c r="E40" s="104" t="s">
        <v>463</v>
      </c>
      <c r="F40" s="104" t="s">
        <v>544</v>
      </c>
    </row>
    <row r="41">
      <c r="A41" s="104" t="s">
        <v>545</v>
      </c>
      <c r="B41" s="104" t="s">
        <v>205</v>
      </c>
      <c r="C41" s="104" t="s">
        <v>461</v>
      </c>
      <c r="D41" s="104" t="s">
        <v>546</v>
      </c>
      <c r="E41" s="104" t="s">
        <v>463</v>
      </c>
      <c r="F41" s="104" t="s">
        <v>546</v>
      </c>
    </row>
    <row r="42">
      <c r="A42" s="104" t="s">
        <v>547</v>
      </c>
      <c r="B42" s="104" t="s">
        <v>289</v>
      </c>
      <c r="C42" s="104" t="s">
        <v>461</v>
      </c>
      <c r="D42" s="104" t="s">
        <v>548</v>
      </c>
      <c r="E42" s="104" t="s">
        <v>463</v>
      </c>
      <c r="F42" s="104" t="s">
        <v>548</v>
      </c>
    </row>
    <row r="43">
      <c r="A43" s="104" t="s">
        <v>549</v>
      </c>
      <c r="B43" s="104" t="s">
        <v>116</v>
      </c>
      <c r="C43" s="104" t="s">
        <v>461</v>
      </c>
      <c r="D43" s="104" t="s">
        <v>550</v>
      </c>
      <c r="E43" s="104" t="s">
        <v>463</v>
      </c>
      <c r="F43" s="104" t="s">
        <v>550</v>
      </c>
    </row>
    <row r="44">
      <c r="A44" s="104" t="s">
        <v>551</v>
      </c>
      <c r="B44" s="104" t="s">
        <v>193</v>
      </c>
      <c r="C44" s="104" t="s">
        <v>461</v>
      </c>
      <c r="D44" s="104" t="s">
        <v>552</v>
      </c>
      <c r="E44" s="104" t="s">
        <v>463</v>
      </c>
      <c r="F44" s="104" t="s">
        <v>552</v>
      </c>
    </row>
    <row r="45">
      <c r="A45" s="104" t="s">
        <v>553</v>
      </c>
      <c r="B45" s="104" t="s">
        <v>235</v>
      </c>
      <c r="C45" s="104" t="s">
        <v>535</v>
      </c>
      <c r="D45" s="104" t="s">
        <v>554</v>
      </c>
      <c r="E45" s="104" t="s">
        <v>555</v>
      </c>
      <c r="F45" s="104" t="s">
        <v>556</v>
      </c>
      <c r="G45" s="150">
        <f>+3</f>
        <v>3</v>
      </c>
      <c r="H45" s="104">
        <v>3.0</v>
      </c>
    </row>
    <row r="46">
      <c r="A46" s="104" t="s">
        <v>557</v>
      </c>
      <c r="B46" s="104" t="s">
        <v>143</v>
      </c>
      <c r="C46" s="104" t="s">
        <v>461</v>
      </c>
      <c r="D46" s="104" t="s">
        <v>558</v>
      </c>
      <c r="E46" s="104" t="s">
        <v>463</v>
      </c>
      <c r="F46" s="104" t="s">
        <v>558</v>
      </c>
    </row>
    <row r="47">
      <c r="A47" s="104" t="s">
        <v>559</v>
      </c>
      <c r="B47" s="104" t="s">
        <v>144</v>
      </c>
      <c r="C47" s="104" t="s">
        <v>461</v>
      </c>
      <c r="D47" s="104" t="s">
        <v>560</v>
      </c>
      <c r="E47" s="104" t="s">
        <v>463</v>
      </c>
      <c r="F47" s="104" t="s">
        <v>560</v>
      </c>
    </row>
    <row r="48">
      <c r="A48" s="104" t="s">
        <v>561</v>
      </c>
      <c r="B48" s="104" t="s">
        <v>256</v>
      </c>
      <c r="C48" s="104" t="s">
        <v>461</v>
      </c>
      <c r="D48" s="104" t="s">
        <v>562</v>
      </c>
      <c r="E48" s="104" t="s">
        <v>463</v>
      </c>
      <c r="F48" s="104" t="s">
        <v>562</v>
      </c>
    </row>
    <row r="49">
      <c r="A49" s="104" t="s">
        <v>563</v>
      </c>
      <c r="B49" s="104" t="s">
        <v>212</v>
      </c>
      <c r="C49" s="104" t="s">
        <v>461</v>
      </c>
      <c r="D49" s="104" t="s">
        <v>564</v>
      </c>
      <c r="E49" s="104" t="s">
        <v>463</v>
      </c>
      <c r="F49" s="104" t="s">
        <v>564</v>
      </c>
    </row>
    <row r="50">
      <c r="A50" s="104" t="s">
        <v>565</v>
      </c>
      <c r="B50" s="104" t="s">
        <v>267</v>
      </c>
      <c r="C50" s="104" t="s">
        <v>461</v>
      </c>
      <c r="D50" s="104" t="s">
        <v>566</v>
      </c>
      <c r="E50" s="104" t="s">
        <v>463</v>
      </c>
      <c r="F50" s="104" t="s">
        <v>566</v>
      </c>
    </row>
    <row r="51">
      <c r="A51" s="104" t="s">
        <v>567</v>
      </c>
      <c r="B51" s="104" t="s">
        <v>160</v>
      </c>
      <c r="C51" s="104" t="s">
        <v>461</v>
      </c>
      <c r="D51" s="104" t="s">
        <v>568</v>
      </c>
      <c r="E51" s="104" t="s">
        <v>463</v>
      </c>
      <c r="F51" s="104" t="s">
        <v>568</v>
      </c>
    </row>
    <row r="52">
      <c r="A52" s="104" t="s">
        <v>569</v>
      </c>
      <c r="B52" s="104" t="s">
        <v>91</v>
      </c>
      <c r="C52" s="104" t="s">
        <v>461</v>
      </c>
      <c r="D52" s="104" t="s">
        <v>570</v>
      </c>
      <c r="E52" s="104" t="s">
        <v>463</v>
      </c>
      <c r="F52" s="104" t="s">
        <v>570</v>
      </c>
    </row>
    <row r="53">
      <c r="A53" s="104" t="s">
        <v>571</v>
      </c>
      <c r="B53" s="104" t="s">
        <v>222</v>
      </c>
      <c r="C53" s="104" t="s">
        <v>461</v>
      </c>
      <c r="D53" s="104" t="s">
        <v>572</v>
      </c>
      <c r="E53" s="104" t="s">
        <v>463</v>
      </c>
      <c r="F53" s="104" t="s">
        <v>572</v>
      </c>
    </row>
    <row r="54">
      <c r="A54" s="104" t="s">
        <v>573</v>
      </c>
      <c r="B54" s="104" t="s">
        <v>168</v>
      </c>
      <c r="C54" s="104" t="s">
        <v>461</v>
      </c>
      <c r="D54" s="104" t="s">
        <v>574</v>
      </c>
      <c r="E54" s="104" t="s">
        <v>463</v>
      </c>
      <c r="F54" s="104" t="s">
        <v>574</v>
      </c>
    </row>
    <row r="55">
      <c r="A55" s="104" t="s">
        <v>575</v>
      </c>
      <c r="B55" s="104" t="s">
        <v>275</v>
      </c>
      <c r="C55" s="104" t="s">
        <v>461</v>
      </c>
      <c r="D55" s="104" t="s">
        <v>576</v>
      </c>
      <c r="E55" s="104" t="s">
        <v>463</v>
      </c>
      <c r="F55" s="104" t="s">
        <v>576</v>
      </c>
    </row>
    <row r="56">
      <c r="A56" s="104" t="s">
        <v>577</v>
      </c>
      <c r="B56" s="104" t="s">
        <v>291</v>
      </c>
      <c r="C56" s="104" t="s">
        <v>461</v>
      </c>
      <c r="D56" s="104" t="s">
        <v>578</v>
      </c>
      <c r="E56" s="104" t="s">
        <v>463</v>
      </c>
      <c r="F56" s="104" t="s">
        <v>578</v>
      </c>
    </row>
    <row r="57">
      <c r="A57" s="104" t="s">
        <v>579</v>
      </c>
      <c r="B57" s="104" t="s">
        <v>129</v>
      </c>
      <c r="C57" s="104" t="s">
        <v>461</v>
      </c>
      <c r="D57" s="104" t="s">
        <v>580</v>
      </c>
      <c r="E57" s="104" t="s">
        <v>463</v>
      </c>
      <c r="F57" s="104" t="s">
        <v>580</v>
      </c>
    </row>
    <row r="58">
      <c r="A58" s="104" t="s">
        <v>581</v>
      </c>
      <c r="B58" s="104" t="s">
        <v>232</v>
      </c>
      <c r="C58" s="104" t="s">
        <v>461</v>
      </c>
      <c r="D58" s="104" t="s">
        <v>582</v>
      </c>
      <c r="E58" s="104" t="s">
        <v>463</v>
      </c>
      <c r="F58" s="104" t="s">
        <v>582</v>
      </c>
    </row>
    <row r="59">
      <c r="A59" s="104" t="s">
        <v>583</v>
      </c>
      <c r="B59" s="104" t="s">
        <v>248</v>
      </c>
      <c r="C59" s="104" t="s">
        <v>461</v>
      </c>
      <c r="D59" s="104" t="s">
        <v>584</v>
      </c>
      <c r="E59" s="104" t="s">
        <v>463</v>
      </c>
      <c r="F59" s="104" t="s">
        <v>584</v>
      </c>
    </row>
    <row r="60">
      <c r="A60" s="104" t="s">
        <v>585</v>
      </c>
      <c r="B60" s="104" t="s">
        <v>186</v>
      </c>
      <c r="C60" s="104" t="s">
        <v>461</v>
      </c>
      <c r="D60" s="104" t="s">
        <v>586</v>
      </c>
      <c r="E60" s="104" t="s">
        <v>463</v>
      </c>
      <c r="F60" s="104" t="s">
        <v>586</v>
      </c>
    </row>
    <row r="61">
      <c r="A61" s="104" t="s">
        <v>587</v>
      </c>
      <c r="B61" s="104" t="s">
        <v>137</v>
      </c>
      <c r="C61" s="104" t="s">
        <v>461</v>
      </c>
      <c r="D61" s="104" t="s">
        <v>588</v>
      </c>
      <c r="E61" s="104" t="s">
        <v>463</v>
      </c>
      <c r="F61" s="104" t="s">
        <v>588</v>
      </c>
    </row>
    <row r="62">
      <c r="A62" s="104" t="s">
        <v>589</v>
      </c>
      <c r="B62" s="104" t="s">
        <v>245</v>
      </c>
      <c r="C62" s="104" t="s">
        <v>535</v>
      </c>
      <c r="D62" s="104" t="s">
        <v>590</v>
      </c>
      <c r="E62" s="104" t="s">
        <v>555</v>
      </c>
      <c r="F62" s="104" t="s">
        <v>591</v>
      </c>
      <c r="G62" s="150">
        <f>+3</f>
        <v>3</v>
      </c>
      <c r="H62" s="104">
        <v>3.0</v>
      </c>
    </row>
    <row r="63">
      <c r="A63" s="104" t="s">
        <v>592</v>
      </c>
      <c r="B63" s="104" t="s">
        <v>321</v>
      </c>
      <c r="C63" s="104" t="s">
        <v>535</v>
      </c>
      <c r="D63" s="104" t="s">
        <v>593</v>
      </c>
      <c r="E63" s="104" t="s">
        <v>594</v>
      </c>
      <c r="F63" s="104" t="s">
        <v>595</v>
      </c>
      <c r="G63" s="104">
        <v>-2.0</v>
      </c>
      <c r="H63" s="104">
        <v>-2.0</v>
      </c>
    </row>
    <row r="64">
      <c r="A64" s="104" t="s">
        <v>596</v>
      </c>
      <c r="B64" s="104" t="s">
        <v>142</v>
      </c>
      <c r="C64" s="104" t="s">
        <v>461</v>
      </c>
      <c r="D64" s="104" t="s">
        <v>597</v>
      </c>
      <c r="E64" s="104" t="s">
        <v>463</v>
      </c>
      <c r="F64" s="104" t="s">
        <v>597</v>
      </c>
    </row>
    <row r="65">
      <c r="A65" s="104" t="s">
        <v>598</v>
      </c>
      <c r="B65" s="104" t="s">
        <v>291</v>
      </c>
      <c r="C65" s="104" t="s">
        <v>535</v>
      </c>
      <c r="D65" s="104" t="s">
        <v>599</v>
      </c>
      <c r="E65" s="104" t="s">
        <v>555</v>
      </c>
      <c r="F65" s="104" t="s">
        <v>600</v>
      </c>
      <c r="G65" s="150">
        <f>+3</f>
        <v>3</v>
      </c>
      <c r="H65" s="104">
        <v>3.0</v>
      </c>
    </row>
    <row r="66">
      <c r="A66" s="104" t="s">
        <v>601</v>
      </c>
      <c r="B66" s="104" t="s">
        <v>171</v>
      </c>
      <c r="C66" s="104" t="s">
        <v>461</v>
      </c>
      <c r="D66" s="104" t="s">
        <v>602</v>
      </c>
      <c r="E66" s="104" t="s">
        <v>463</v>
      </c>
      <c r="F66" s="104" t="s">
        <v>602</v>
      </c>
    </row>
    <row r="67">
      <c r="A67" s="104" t="s">
        <v>603</v>
      </c>
      <c r="B67" s="104" t="s">
        <v>320</v>
      </c>
      <c r="C67" s="104" t="s">
        <v>461</v>
      </c>
      <c r="D67" s="104" t="s">
        <v>604</v>
      </c>
      <c r="E67" s="104" t="s">
        <v>463</v>
      </c>
      <c r="F67" s="104" t="s">
        <v>604</v>
      </c>
    </row>
    <row r="68">
      <c r="A68" s="104" t="s">
        <v>605</v>
      </c>
      <c r="B68" s="104" t="s">
        <v>198</v>
      </c>
      <c r="C68" s="104" t="s">
        <v>461</v>
      </c>
      <c r="D68" s="104" t="s">
        <v>606</v>
      </c>
      <c r="E68" s="104" t="s">
        <v>463</v>
      </c>
      <c r="F68" s="104" t="s">
        <v>606</v>
      </c>
    </row>
    <row r="69">
      <c r="A69" s="104" t="s">
        <v>607</v>
      </c>
      <c r="B69" s="104" t="s">
        <v>204</v>
      </c>
      <c r="C69" s="104" t="s">
        <v>461</v>
      </c>
      <c r="D69" s="104" t="s">
        <v>608</v>
      </c>
      <c r="E69" s="104" t="s">
        <v>463</v>
      </c>
      <c r="F69" s="104" t="s">
        <v>608</v>
      </c>
    </row>
    <row r="70">
      <c r="A70" s="104" t="s">
        <v>609</v>
      </c>
      <c r="B70" s="104" t="s">
        <v>131</v>
      </c>
      <c r="C70" s="104" t="s">
        <v>535</v>
      </c>
      <c r="D70" s="104" t="s">
        <v>610</v>
      </c>
      <c r="E70" s="104" t="s">
        <v>611</v>
      </c>
      <c r="F70" s="104" t="s">
        <v>612</v>
      </c>
      <c r="G70" s="150">
        <f>+2</f>
        <v>2</v>
      </c>
      <c r="H70" s="104">
        <v>2.0</v>
      </c>
    </row>
    <row r="71">
      <c r="A71" s="104" t="s">
        <v>613</v>
      </c>
      <c r="B71" s="104" t="s">
        <v>115</v>
      </c>
      <c r="C71" s="104" t="s">
        <v>461</v>
      </c>
      <c r="D71" s="104" t="s">
        <v>614</v>
      </c>
      <c r="E71" s="104" t="s">
        <v>463</v>
      </c>
      <c r="F71" s="104" t="s">
        <v>614</v>
      </c>
    </row>
    <row r="72">
      <c r="A72" s="104" t="s">
        <v>615</v>
      </c>
      <c r="B72" s="104" t="s">
        <v>190</v>
      </c>
      <c r="C72" s="104" t="s">
        <v>461</v>
      </c>
      <c r="D72" s="104" t="s">
        <v>616</v>
      </c>
      <c r="E72" s="104" t="s">
        <v>463</v>
      </c>
      <c r="F72" s="104" t="s">
        <v>616</v>
      </c>
    </row>
    <row r="73">
      <c r="A73" s="104" t="s">
        <v>617</v>
      </c>
      <c r="B73" s="104" t="s">
        <v>184</v>
      </c>
      <c r="C73" s="104" t="s">
        <v>461</v>
      </c>
      <c r="D73" s="104" t="s">
        <v>618</v>
      </c>
      <c r="E73" s="104" t="s">
        <v>463</v>
      </c>
      <c r="F73" s="104" t="s">
        <v>618</v>
      </c>
    </row>
    <row r="74">
      <c r="A74" s="104" t="s">
        <v>619</v>
      </c>
      <c r="B74" s="104" t="s">
        <v>260</v>
      </c>
      <c r="C74" s="104" t="s">
        <v>461</v>
      </c>
      <c r="D74" s="104" t="s">
        <v>620</v>
      </c>
      <c r="E74" s="104" t="s">
        <v>463</v>
      </c>
      <c r="F74" s="104" t="s">
        <v>620</v>
      </c>
    </row>
    <row r="75">
      <c r="A75" s="104" t="s">
        <v>621</v>
      </c>
      <c r="B75" s="104" t="s">
        <v>288</v>
      </c>
      <c r="C75" s="104" t="s">
        <v>461</v>
      </c>
      <c r="D75" s="104" t="s">
        <v>622</v>
      </c>
      <c r="E75" s="104" t="s">
        <v>463</v>
      </c>
      <c r="F75" s="104" t="s">
        <v>622</v>
      </c>
    </row>
    <row r="76">
      <c r="A76" s="104" t="s">
        <v>623</v>
      </c>
      <c r="B76" s="104" t="s">
        <v>196</v>
      </c>
      <c r="C76" s="104" t="s">
        <v>461</v>
      </c>
      <c r="D76" s="104" t="s">
        <v>624</v>
      </c>
      <c r="E76" s="104" t="s">
        <v>463</v>
      </c>
      <c r="F76" s="104" t="s">
        <v>624</v>
      </c>
    </row>
    <row r="77">
      <c r="A77" s="104" t="s">
        <v>625</v>
      </c>
      <c r="B77" s="104" t="s">
        <v>241</v>
      </c>
      <c r="C77" s="104" t="s">
        <v>461</v>
      </c>
      <c r="D77" s="104" t="s">
        <v>626</v>
      </c>
      <c r="E77" s="104" t="s">
        <v>463</v>
      </c>
      <c r="F77" s="104" t="s">
        <v>626</v>
      </c>
    </row>
    <row r="78">
      <c r="A78" s="104" t="s">
        <v>627</v>
      </c>
      <c r="B78" s="104" t="s">
        <v>296</v>
      </c>
      <c r="C78" s="104" t="s">
        <v>461</v>
      </c>
      <c r="D78" s="104" t="s">
        <v>628</v>
      </c>
      <c r="E78" s="104" t="s">
        <v>463</v>
      </c>
      <c r="F78" s="104" t="s">
        <v>628</v>
      </c>
    </row>
    <row r="79">
      <c r="A79" s="104" t="s">
        <v>629</v>
      </c>
      <c r="B79" s="104" t="s">
        <v>315</v>
      </c>
      <c r="C79" s="104" t="s">
        <v>461</v>
      </c>
      <c r="D79" s="104" t="s">
        <v>630</v>
      </c>
      <c r="E79" s="104" t="s">
        <v>463</v>
      </c>
      <c r="F79" s="104" t="s">
        <v>630</v>
      </c>
    </row>
    <row r="80">
      <c r="A80" s="104" t="s">
        <v>631</v>
      </c>
      <c r="B80" s="104" t="s">
        <v>114</v>
      </c>
      <c r="C80" s="104" t="s">
        <v>461</v>
      </c>
      <c r="D80" s="104" t="s">
        <v>632</v>
      </c>
      <c r="E80" s="104" t="s">
        <v>463</v>
      </c>
      <c r="F80" s="104" t="s">
        <v>632</v>
      </c>
    </row>
    <row r="81">
      <c r="A81" s="104" t="s">
        <v>633</v>
      </c>
      <c r="B81" s="104" t="s">
        <v>271</v>
      </c>
      <c r="C81" s="104" t="s">
        <v>461</v>
      </c>
      <c r="D81" s="104" t="s">
        <v>634</v>
      </c>
      <c r="E81" s="104" t="s">
        <v>463</v>
      </c>
      <c r="F81" s="104" t="s">
        <v>634</v>
      </c>
    </row>
    <row r="82">
      <c r="A82" s="104" t="s">
        <v>635</v>
      </c>
      <c r="B82" s="104" t="s">
        <v>279</v>
      </c>
      <c r="C82" s="104" t="s">
        <v>461</v>
      </c>
      <c r="D82" s="104" t="s">
        <v>636</v>
      </c>
      <c r="E82" s="104" t="s">
        <v>463</v>
      </c>
      <c r="F82" s="104" t="s">
        <v>636</v>
      </c>
    </row>
    <row r="83">
      <c r="A83" s="104" t="s">
        <v>637</v>
      </c>
      <c r="B83" s="104" t="s">
        <v>195</v>
      </c>
      <c r="C83" s="104" t="s">
        <v>461</v>
      </c>
      <c r="D83" s="104" t="s">
        <v>638</v>
      </c>
      <c r="E83" s="104" t="s">
        <v>463</v>
      </c>
      <c r="F83" s="104" t="s">
        <v>638</v>
      </c>
    </row>
    <row r="84">
      <c r="A84" s="104" t="s">
        <v>639</v>
      </c>
      <c r="B84" s="104" t="s">
        <v>197</v>
      </c>
      <c r="C84" s="104" t="s">
        <v>461</v>
      </c>
      <c r="D84" s="104" t="s">
        <v>640</v>
      </c>
      <c r="E84" s="104" t="s">
        <v>463</v>
      </c>
      <c r="F84" s="104" t="s">
        <v>640</v>
      </c>
    </row>
    <row r="85">
      <c r="A85" s="104" t="s">
        <v>641</v>
      </c>
      <c r="B85" s="104" t="s">
        <v>242</v>
      </c>
      <c r="C85" s="104" t="s">
        <v>461</v>
      </c>
      <c r="D85" s="104" t="s">
        <v>642</v>
      </c>
      <c r="E85" s="104" t="s">
        <v>463</v>
      </c>
      <c r="F85" s="104" t="s">
        <v>642</v>
      </c>
    </row>
    <row r="86">
      <c r="A86" s="104" t="s">
        <v>643</v>
      </c>
      <c r="B86" s="104" t="s">
        <v>229</v>
      </c>
      <c r="C86" s="104" t="s">
        <v>461</v>
      </c>
      <c r="D86" s="104" t="s">
        <v>644</v>
      </c>
      <c r="E86" s="104" t="s">
        <v>463</v>
      </c>
      <c r="F86" s="104" t="s">
        <v>644</v>
      </c>
    </row>
    <row r="87">
      <c r="A87" s="104" t="s">
        <v>645</v>
      </c>
      <c r="B87" s="104" t="s">
        <v>164</v>
      </c>
      <c r="C87" s="104" t="s">
        <v>461</v>
      </c>
      <c r="D87" s="104" t="s">
        <v>646</v>
      </c>
      <c r="E87" s="104" t="s">
        <v>463</v>
      </c>
      <c r="F87" s="104" t="s">
        <v>646</v>
      </c>
    </row>
    <row r="88">
      <c r="A88" s="104" t="s">
        <v>647</v>
      </c>
      <c r="B88" s="104" t="s">
        <v>302</v>
      </c>
      <c r="C88" s="104" t="s">
        <v>461</v>
      </c>
      <c r="D88" s="104" t="s">
        <v>648</v>
      </c>
      <c r="E88" s="104" t="s">
        <v>463</v>
      </c>
      <c r="F88" s="104" t="s">
        <v>648</v>
      </c>
    </row>
    <row r="89">
      <c r="A89" s="104" t="s">
        <v>649</v>
      </c>
      <c r="B89" s="104" t="s">
        <v>244</v>
      </c>
      <c r="C89" s="104" t="s">
        <v>461</v>
      </c>
      <c r="D89" s="104" t="s">
        <v>650</v>
      </c>
      <c r="E89" s="104" t="s">
        <v>463</v>
      </c>
      <c r="F89" s="104" t="s">
        <v>650</v>
      </c>
    </row>
    <row r="90">
      <c r="A90" s="104" t="s">
        <v>651</v>
      </c>
      <c r="B90" s="104" t="s">
        <v>148</v>
      </c>
      <c r="C90" s="104" t="s">
        <v>461</v>
      </c>
      <c r="D90" s="104" t="s">
        <v>652</v>
      </c>
      <c r="E90" s="104" t="s">
        <v>463</v>
      </c>
      <c r="F90" s="104" t="s">
        <v>652</v>
      </c>
    </row>
    <row r="91">
      <c r="A91" s="104" t="s">
        <v>653</v>
      </c>
      <c r="B91" s="104" t="s">
        <v>160</v>
      </c>
      <c r="C91" s="104" t="s">
        <v>535</v>
      </c>
      <c r="D91" s="104" t="s">
        <v>654</v>
      </c>
      <c r="E91" s="104" t="s">
        <v>555</v>
      </c>
      <c r="F91" s="104" t="s">
        <v>655</v>
      </c>
      <c r="G91" s="150">
        <f>+3</f>
        <v>3</v>
      </c>
      <c r="H91" s="104">
        <v>3.0</v>
      </c>
    </row>
    <row r="92">
      <c r="A92" s="104" t="s">
        <v>656</v>
      </c>
      <c r="B92" s="104" t="s">
        <v>138</v>
      </c>
      <c r="C92" s="104" t="s">
        <v>461</v>
      </c>
      <c r="D92" s="104" t="s">
        <v>657</v>
      </c>
      <c r="E92" s="104" t="s">
        <v>463</v>
      </c>
      <c r="F92" s="104" t="s">
        <v>657</v>
      </c>
    </row>
    <row r="93">
      <c r="A93" s="104" t="s">
        <v>658</v>
      </c>
      <c r="B93" s="104" t="s">
        <v>219</v>
      </c>
      <c r="C93" s="104" t="s">
        <v>535</v>
      </c>
      <c r="D93" s="104" t="s">
        <v>659</v>
      </c>
      <c r="E93" s="104" t="s">
        <v>594</v>
      </c>
      <c r="F93" s="104" t="s">
        <v>660</v>
      </c>
      <c r="G93" s="104">
        <v>-2.0</v>
      </c>
      <c r="H93" s="104">
        <v>-2.0</v>
      </c>
    </row>
    <row r="94">
      <c r="A94" s="104" t="s">
        <v>661</v>
      </c>
      <c r="B94" s="104" t="s">
        <v>217</v>
      </c>
      <c r="C94" s="104" t="s">
        <v>461</v>
      </c>
      <c r="D94" s="104" t="s">
        <v>662</v>
      </c>
      <c r="E94" s="104" t="s">
        <v>463</v>
      </c>
      <c r="F94" s="104" t="s">
        <v>662</v>
      </c>
    </row>
    <row r="95">
      <c r="A95" s="104" t="s">
        <v>663</v>
      </c>
      <c r="B95" s="104" t="s">
        <v>188</v>
      </c>
      <c r="C95" s="104" t="s">
        <v>461</v>
      </c>
      <c r="D95" s="104" t="s">
        <v>664</v>
      </c>
      <c r="E95" s="104" t="s">
        <v>463</v>
      </c>
      <c r="F95" s="104" t="s">
        <v>664</v>
      </c>
    </row>
    <row r="96">
      <c r="A96" s="104" t="s">
        <v>665</v>
      </c>
      <c r="B96" s="104" t="s">
        <v>258</v>
      </c>
      <c r="C96" s="104" t="s">
        <v>461</v>
      </c>
      <c r="D96" s="104" t="s">
        <v>666</v>
      </c>
      <c r="E96" s="104" t="s">
        <v>463</v>
      </c>
      <c r="F96" s="104" t="s">
        <v>666</v>
      </c>
    </row>
    <row r="97">
      <c r="A97" s="104" t="s">
        <v>667</v>
      </c>
      <c r="B97" s="104" t="s">
        <v>313</v>
      </c>
      <c r="C97" s="104" t="s">
        <v>461</v>
      </c>
      <c r="D97" s="104" t="s">
        <v>668</v>
      </c>
      <c r="E97" s="104" t="s">
        <v>463</v>
      </c>
      <c r="F97" s="104" t="s">
        <v>668</v>
      </c>
    </row>
    <row r="98">
      <c r="A98" s="104" t="s">
        <v>669</v>
      </c>
      <c r="B98" s="104" t="s">
        <v>237</v>
      </c>
      <c r="C98" s="104" t="s">
        <v>461</v>
      </c>
      <c r="D98" s="104" t="s">
        <v>670</v>
      </c>
      <c r="E98" s="104" t="s">
        <v>463</v>
      </c>
      <c r="F98" s="104" t="s">
        <v>670</v>
      </c>
    </row>
    <row r="99">
      <c r="A99" s="104" t="s">
        <v>671</v>
      </c>
      <c r="B99" s="104" t="s">
        <v>132</v>
      </c>
      <c r="C99" s="104" t="s">
        <v>461</v>
      </c>
      <c r="D99" s="104" t="s">
        <v>672</v>
      </c>
      <c r="E99" s="104" t="s">
        <v>463</v>
      </c>
      <c r="F99" s="104" t="s">
        <v>672</v>
      </c>
    </row>
    <row r="100">
      <c r="A100" s="104" t="s">
        <v>673</v>
      </c>
      <c r="B100" s="104" t="s">
        <v>284</v>
      </c>
      <c r="C100" s="104" t="s">
        <v>461</v>
      </c>
      <c r="D100" s="104" t="s">
        <v>674</v>
      </c>
      <c r="E100" s="104" t="s">
        <v>463</v>
      </c>
      <c r="F100" s="104" t="s">
        <v>674</v>
      </c>
    </row>
    <row r="101">
      <c r="A101" s="104" t="s">
        <v>675</v>
      </c>
      <c r="B101" s="104" t="s">
        <v>163</v>
      </c>
      <c r="C101" s="104" t="s">
        <v>461</v>
      </c>
      <c r="D101" s="104" t="s">
        <v>676</v>
      </c>
      <c r="E101" s="104" t="s">
        <v>463</v>
      </c>
      <c r="F101" s="104" t="s">
        <v>676</v>
      </c>
    </row>
    <row r="102">
      <c r="A102" s="104" t="s">
        <v>677</v>
      </c>
      <c r="B102" s="104" t="s">
        <v>197</v>
      </c>
      <c r="C102" s="104" t="s">
        <v>535</v>
      </c>
      <c r="D102" s="104" t="s">
        <v>678</v>
      </c>
      <c r="E102" s="104" t="s">
        <v>594</v>
      </c>
      <c r="F102" s="104" t="s">
        <v>679</v>
      </c>
      <c r="G102" s="104">
        <v>-2.0</v>
      </c>
      <c r="H102" s="104">
        <v>-2.0</v>
      </c>
    </row>
    <row r="103">
      <c r="A103" s="104" t="s">
        <v>680</v>
      </c>
      <c r="B103" s="104" t="s">
        <v>282</v>
      </c>
      <c r="C103" s="104" t="s">
        <v>461</v>
      </c>
      <c r="D103" s="104" t="s">
        <v>681</v>
      </c>
      <c r="E103" s="104" t="s">
        <v>463</v>
      </c>
      <c r="F103" s="104" t="s">
        <v>681</v>
      </c>
    </row>
    <row r="104">
      <c r="A104" s="104" t="s">
        <v>682</v>
      </c>
      <c r="B104" s="104" t="s">
        <v>174</v>
      </c>
      <c r="C104" s="104" t="s">
        <v>461</v>
      </c>
      <c r="D104" s="104" t="s">
        <v>683</v>
      </c>
      <c r="E104" s="104" t="s">
        <v>463</v>
      </c>
      <c r="F104" s="104" t="s">
        <v>683</v>
      </c>
    </row>
    <row r="105">
      <c r="A105" s="104" t="s">
        <v>684</v>
      </c>
      <c r="B105" s="104" t="s">
        <v>134</v>
      </c>
      <c r="C105" s="104" t="s">
        <v>461</v>
      </c>
      <c r="D105" s="104" t="s">
        <v>685</v>
      </c>
      <c r="E105" s="104" t="s">
        <v>463</v>
      </c>
      <c r="F105" s="104" t="s">
        <v>685</v>
      </c>
    </row>
    <row r="106">
      <c r="A106" s="104" t="s">
        <v>686</v>
      </c>
      <c r="B106" s="104" t="s">
        <v>113</v>
      </c>
      <c r="C106" s="104" t="s">
        <v>461</v>
      </c>
      <c r="D106" s="104" t="s">
        <v>687</v>
      </c>
      <c r="E106" s="104" t="s">
        <v>463</v>
      </c>
      <c r="F106" s="104" t="s">
        <v>687</v>
      </c>
    </row>
    <row r="107">
      <c r="A107" s="104" t="s">
        <v>688</v>
      </c>
      <c r="B107" s="104" t="s">
        <v>230</v>
      </c>
      <c r="C107" s="104" t="s">
        <v>461</v>
      </c>
      <c r="D107" s="104" t="s">
        <v>689</v>
      </c>
      <c r="E107" s="104" t="s">
        <v>463</v>
      </c>
      <c r="F107" s="104" t="s">
        <v>689</v>
      </c>
    </row>
    <row r="108">
      <c r="A108" s="104" t="s">
        <v>690</v>
      </c>
      <c r="B108" s="104" t="s">
        <v>225</v>
      </c>
      <c r="C108" s="104" t="s">
        <v>461</v>
      </c>
      <c r="D108" s="104" t="s">
        <v>691</v>
      </c>
      <c r="E108" s="104" t="s">
        <v>463</v>
      </c>
      <c r="F108" s="104" t="s">
        <v>691</v>
      </c>
    </row>
    <row r="109">
      <c r="A109" s="104" t="s">
        <v>692</v>
      </c>
      <c r="B109" s="104" t="s">
        <v>288</v>
      </c>
      <c r="C109" s="104" t="s">
        <v>535</v>
      </c>
      <c r="D109" s="104" t="s">
        <v>693</v>
      </c>
      <c r="E109" s="104" t="s">
        <v>611</v>
      </c>
      <c r="F109" s="104" t="s">
        <v>694</v>
      </c>
      <c r="G109" s="150">
        <f>+2</f>
        <v>2</v>
      </c>
      <c r="H109" s="104">
        <v>2.0</v>
      </c>
    </row>
    <row r="110">
      <c r="A110" s="104" t="s">
        <v>695</v>
      </c>
      <c r="B110" s="104" t="s">
        <v>238</v>
      </c>
      <c r="C110" s="104" t="s">
        <v>461</v>
      </c>
      <c r="D110" s="104" t="s">
        <v>696</v>
      </c>
      <c r="E110" s="104" t="s">
        <v>463</v>
      </c>
      <c r="F110" s="104" t="s">
        <v>696</v>
      </c>
    </row>
    <row r="111">
      <c r="A111" s="104" t="s">
        <v>697</v>
      </c>
      <c r="B111" s="104" t="s">
        <v>298</v>
      </c>
      <c r="C111" s="104" t="s">
        <v>535</v>
      </c>
      <c r="D111" s="104" t="s">
        <v>698</v>
      </c>
      <c r="E111" s="104" t="s">
        <v>699</v>
      </c>
      <c r="F111" s="104" t="s">
        <v>700</v>
      </c>
      <c r="G111" s="104">
        <v>-3.0</v>
      </c>
      <c r="H111" s="104">
        <v>-3.0</v>
      </c>
    </row>
    <row r="112">
      <c r="A112" s="104" t="s">
        <v>701</v>
      </c>
      <c r="B112" s="104" t="s">
        <v>89</v>
      </c>
      <c r="C112" s="104" t="s">
        <v>461</v>
      </c>
      <c r="D112" s="104" t="s">
        <v>702</v>
      </c>
      <c r="E112" s="104" t="s">
        <v>463</v>
      </c>
      <c r="F112" s="104" t="s">
        <v>702</v>
      </c>
    </row>
    <row r="113">
      <c r="A113" s="104" t="s">
        <v>703</v>
      </c>
      <c r="B113" s="104" t="s">
        <v>112</v>
      </c>
      <c r="C113" s="104" t="s">
        <v>461</v>
      </c>
      <c r="D113" s="104" t="s">
        <v>704</v>
      </c>
      <c r="E113" s="104" t="s">
        <v>463</v>
      </c>
      <c r="F113" s="104" t="s">
        <v>704</v>
      </c>
    </row>
    <row r="114">
      <c r="A114" s="104" t="s">
        <v>705</v>
      </c>
      <c r="B114" s="104" t="s">
        <v>241</v>
      </c>
      <c r="C114" s="104" t="s">
        <v>535</v>
      </c>
      <c r="D114" s="104" t="s">
        <v>706</v>
      </c>
      <c r="E114" s="104" t="s">
        <v>699</v>
      </c>
      <c r="F114" s="104" t="s">
        <v>707</v>
      </c>
      <c r="G114" s="104">
        <v>-3.0</v>
      </c>
      <c r="H114" s="104">
        <v>-3.0</v>
      </c>
    </row>
    <row r="115">
      <c r="A115" s="104" t="s">
        <v>708</v>
      </c>
      <c r="B115" s="104" t="s">
        <v>314</v>
      </c>
      <c r="C115" s="104" t="s">
        <v>461</v>
      </c>
      <c r="D115" s="104" t="s">
        <v>709</v>
      </c>
      <c r="E115" s="104" t="s">
        <v>463</v>
      </c>
      <c r="F115" s="104" t="s">
        <v>709</v>
      </c>
    </row>
    <row r="116">
      <c r="A116" s="104" t="s">
        <v>710</v>
      </c>
      <c r="B116" s="104" t="s">
        <v>88</v>
      </c>
      <c r="C116" s="104" t="s">
        <v>461</v>
      </c>
      <c r="D116" s="104" t="s">
        <v>711</v>
      </c>
      <c r="E116" s="104" t="s">
        <v>463</v>
      </c>
      <c r="F116" s="104" t="s">
        <v>711</v>
      </c>
    </row>
    <row r="117">
      <c r="A117" s="104" t="s">
        <v>712</v>
      </c>
      <c r="B117" s="104" t="s">
        <v>243</v>
      </c>
      <c r="C117" s="104" t="s">
        <v>461</v>
      </c>
      <c r="D117" s="104" t="s">
        <v>713</v>
      </c>
      <c r="E117" s="104" t="s">
        <v>463</v>
      </c>
      <c r="F117" s="104" t="s">
        <v>713</v>
      </c>
    </row>
    <row r="118">
      <c r="A118" s="104" t="s">
        <v>714</v>
      </c>
      <c r="B118" s="104" t="s">
        <v>179</v>
      </c>
      <c r="C118" s="104" t="s">
        <v>461</v>
      </c>
      <c r="D118" s="104" t="s">
        <v>715</v>
      </c>
      <c r="E118" s="104" t="s">
        <v>463</v>
      </c>
      <c r="F118" s="104" t="s">
        <v>715</v>
      </c>
    </row>
    <row r="119">
      <c r="A119" s="104" t="s">
        <v>716</v>
      </c>
      <c r="B119" s="104" t="s">
        <v>306</v>
      </c>
      <c r="C119" s="104" t="s">
        <v>461</v>
      </c>
      <c r="D119" s="104" t="s">
        <v>717</v>
      </c>
      <c r="E119" s="104" t="s">
        <v>463</v>
      </c>
      <c r="F119" s="104" t="s">
        <v>717</v>
      </c>
    </row>
    <row r="120">
      <c r="A120" s="104" t="s">
        <v>718</v>
      </c>
      <c r="B120" s="104" t="s">
        <v>149</v>
      </c>
      <c r="C120" s="104" t="s">
        <v>461</v>
      </c>
      <c r="D120" s="104" t="s">
        <v>719</v>
      </c>
      <c r="E120" s="104" t="s">
        <v>463</v>
      </c>
      <c r="F120" s="104" t="s">
        <v>719</v>
      </c>
    </row>
    <row r="121">
      <c r="A121" s="104" t="s">
        <v>720</v>
      </c>
      <c r="B121" s="104" t="s">
        <v>239</v>
      </c>
      <c r="C121" s="104" t="s">
        <v>461</v>
      </c>
      <c r="D121" s="104" t="s">
        <v>721</v>
      </c>
      <c r="E121" s="104" t="s">
        <v>463</v>
      </c>
      <c r="F121" s="104" t="s">
        <v>721</v>
      </c>
    </row>
    <row r="122">
      <c r="A122" s="104" t="s">
        <v>722</v>
      </c>
      <c r="B122" s="104" t="s">
        <v>112</v>
      </c>
      <c r="C122" s="104" t="s">
        <v>535</v>
      </c>
      <c r="D122" s="104" t="s">
        <v>723</v>
      </c>
      <c r="E122" s="104" t="s">
        <v>611</v>
      </c>
      <c r="F122" s="104" t="s">
        <v>724</v>
      </c>
      <c r="G122" s="150">
        <f>+2</f>
        <v>2</v>
      </c>
      <c r="H122" s="104">
        <v>2.0</v>
      </c>
    </row>
    <row r="123">
      <c r="A123" s="104" t="s">
        <v>725</v>
      </c>
      <c r="B123" s="104" t="s">
        <v>223</v>
      </c>
      <c r="C123" s="104" t="s">
        <v>461</v>
      </c>
      <c r="D123" s="104" t="s">
        <v>726</v>
      </c>
      <c r="E123" s="104" t="s">
        <v>463</v>
      </c>
      <c r="F123" s="104" t="s">
        <v>726</v>
      </c>
    </row>
    <row r="124">
      <c r="A124" s="104" t="s">
        <v>727</v>
      </c>
      <c r="B124" s="104" t="s">
        <v>89</v>
      </c>
      <c r="C124" s="104" t="s">
        <v>535</v>
      </c>
      <c r="D124" s="104" t="s">
        <v>728</v>
      </c>
      <c r="E124" s="104" t="s">
        <v>611</v>
      </c>
      <c r="F124" s="104" t="s">
        <v>729</v>
      </c>
      <c r="G124" s="150">
        <f>+2</f>
        <v>2</v>
      </c>
      <c r="H124" s="104">
        <v>2.0</v>
      </c>
    </row>
    <row r="125">
      <c r="A125" s="104" t="s">
        <v>730</v>
      </c>
      <c r="B125" s="104" t="s">
        <v>272</v>
      </c>
      <c r="C125" s="104" t="s">
        <v>461</v>
      </c>
      <c r="D125" s="104" t="s">
        <v>731</v>
      </c>
      <c r="E125" s="104" t="s">
        <v>463</v>
      </c>
      <c r="F125" s="104" t="s">
        <v>731</v>
      </c>
    </row>
    <row r="126">
      <c r="A126" s="104" t="s">
        <v>732</v>
      </c>
      <c r="B126" s="104" t="s">
        <v>228</v>
      </c>
      <c r="C126" s="104" t="s">
        <v>461</v>
      </c>
      <c r="D126" s="104" t="s">
        <v>733</v>
      </c>
      <c r="E126" s="104" t="s">
        <v>463</v>
      </c>
      <c r="F126" s="104" t="s">
        <v>733</v>
      </c>
    </row>
    <row r="127">
      <c r="A127" s="104" t="s">
        <v>734</v>
      </c>
      <c r="B127" s="104" t="s">
        <v>285</v>
      </c>
      <c r="C127" s="104" t="s">
        <v>461</v>
      </c>
      <c r="D127" s="104" t="s">
        <v>735</v>
      </c>
      <c r="E127" s="104" t="s">
        <v>463</v>
      </c>
      <c r="F127" s="104" t="s">
        <v>735</v>
      </c>
    </row>
    <row r="128">
      <c r="A128" s="104" t="s">
        <v>736</v>
      </c>
      <c r="B128" s="104" t="s">
        <v>166</v>
      </c>
      <c r="C128" s="104" t="s">
        <v>461</v>
      </c>
      <c r="D128" s="104" t="s">
        <v>737</v>
      </c>
      <c r="E128" s="104" t="s">
        <v>463</v>
      </c>
      <c r="F128" s="104" t="s">
        <v>737</v>
      </c>
    </row>
    <row r="129">
      <c r="A129" s="104" t="s">
        <v>738</v>
      </c>
      <c r="B129" s="104" t="s">
        <v>304</v>
      </c>
      <c r="C129" s="104" t="s">
        <v>461</v>
      </c>
      <c r="D129" s="104" t="s">
        <v>739</v>
      </c>
      <c r="E129" s="104" t="s">
        <v>463</v>
      </c>
      <c r="F129" s="104" t="s">
        <v>739</v>
      </c>
    </row>
    <row r="130">
      <c r="A130" s="104" t="s">
        <v>740</v>
      </c>
      <c r="B130" s="104" t="s">
        <v>138</v>
      </c>
      <c r="C130" s="104" t="s">
        <v>535</v>
      </c>
      <c r="D130" s="104" t="s">
        <v>741</v>
      </c>
      <c r="E130" s="104" t="s">
        <v>594</v>
      </c>
      <c r="F130" s="104" t="s">
        <v>742</v>
      </c>
      <c r="G130" s="104">
        <v>-2.0</v>
      </c>
      <c r="H130" s="104">
        <v>-2.0</v>
      </c>
    </row>
    <row r="131">
      <c r="A131" s="104" t="s">
        <v>743</v>
      </c>
      <c r="B131" s="104" t="s">
        <v>182</v>
      </c>
      <c r="C131" s="104" t="s">
        <v>461</v>
      </c>
      <c r="D131" s="104" t="s">
        <v>744</v>
      </c>
      <c r="E131" s="104" t="s">
        <v>463</v>
      </c>
      <c r="F131" s="104" t="s">
        <v>744</v>
      </c>
    </row>
    <row r="132">
      <c r="A132" s="104" t="s">
        <v>745</v>
      </c>
      <c r="B132" s="104" t="s">
        <v>290</v>
      </c>
      <c r="C132" s="104" t="s">
        <v>461</v>
      </c>
      <c r="D132" s="104" t="s">
        <v>746</v>
      </c>
      <c r="E132" s="104" t="s">
        <v>463</v>
      </c>
      <c r="F132" s="104" t="s">
        <v>746</v>
      </c>
    </row>
    <row r="133">
      <c r="A133" s="104" t="s">
        <v>747</v>
      </c>
      <c r="B133" s="104" t="s">
        <v>283</v>
      </c>
      <c r="C133" s="104" t="s">
        <v>461</v>
      </c>
      <c r="D133" s="104" t="s">
        <v>748</v>
      </c>
      <c r="E133" s="104" t="s">
        <v>463</v>
      </c>
      <c r="F133" s="104" t="s">
        <v>748</v>
      </c>
    </row>
    <row r="134">
      <c r="A134" s="104" t="s">
        <v>749</v>
      </c>
      <c r="B134" s="104" t="s">
        <v>294</v>
      </c>
      <c r="C134" s="104" t="s">
        <v>461</v>
      </c>
      <c r="D134" s="104" t="s">
        <v>750</v>
      </c>
      <c r="E134" s="104" t="s">
        <v>463</v>
      </c>
      <c r="F134" s="104" t="s">
        <v>750</v>
      </c>
    </row>
    <row r="135">
      <c r="A135" s="104" t="s">
        <v>751</v>
      </c>
      <c r="B135" s="104" t="s">
        <v>281</v>
      </c>
      <c r="C135" s="104" t="s">
        <v>461</v>
      </c>
      <c r="D135" s="104" t="s">
        <v>752</v>
      </c>
      <c r="E135" s="104" t="s">
        <v>463</v>
      </c>
      <c r="F135" s="104" t="s">
        <v>752</v>
      </c>
    </row>
    <row r="136">
      <c r="A136" s="104" t="s">
        <v>753</v>
      </c>
      <c r="B136" s="104" t="s">
        <v>243</v>
      </c>
      <c r="C136" s="104" t="s">
        <v>535</v>
      </c>
      <c r="D136" s="104" t="s">
        <v>754</v>
      </c>
      <c r="E136" s="104" t="s">
        <v>537</v>
      </c>
      <c r="F136" s="104" t="s">
        <v>755</v>
      </c>
      <c r="G136" s="150">
        <f>+1</f>
        <v>1</v>
      </c>
      <c r="H136" s="104">
        <v>1.0</v>
      </c>
    </row>
    <row r="137">
      <c r="A137" s="104" t="s">
        <v>756</v>
      </c>
      <c r="B137" s="104" t="s">
        <v>214</v>
      </c>
      <c r="C137" s="104" t="s">
        <v>461</v>
      </c>
      <c r="D137" s="104" t="s">
        <v>757</v>
      </c>
      <c r="E137" s="104" t="s">
        <v>463</v>
      </c>
      <c r="F137" s="104" t="s">
        <v>757</v>
      </c>
    </row>
    <row r="138">
      <c r="A138" s="104" t="s">
        <v>758</v>
      </c>
      <c r="B138" s="104" t="s">
        <v>111</v>
      </c>
      <c r="C138" s="104" t="s">
        <v>461</v>
      </c>
      <c r="D138" s="104" t="s">
        <v>759</v>
      </c>
      <c r="E138" s="104" t="s">
        <v>463</v>
      </c>
      <c r="F138" s="104" t="s">
        <v>759</v>
      </c>
    </row>
    <row r="139">
      <c r="A139" s="104" t="s">
        <v>760</v>
      </c>
      <c r="B139" s="104" t="s">
        <v>86</v>
      </c>
      <c r="C139" s="104" t="s">
        <v>461</v>
      </c>
      <c r="D139" s="104" t="s">
        <v>761</v>
      </c>
      <c r="E139" s="104" t="s">
        <v>463</v>
      </c>
      <c r="F139" s="104" t="s">
        <v>761</v>
      </c>
    </row>
    <row r="140">
      <c r="A140" s="104" t="s">
        <v>762</v>
      </c>
      <c r="B140" s="104" t="s">
        <v>91</v>
      </c>
      <c r="C140" s="104" t="s">
        <v>535</v>
      </c>
      <c r="D140" s="104" t="s">
        <v>763</v>
      </c>
      <c r="E140" s="104" t="s">
        <v>594</v>
      </c>
      <c r="F140" s="104" t="s">
        <v>764</v>
      </c>
      <c r="G140" s="104">
        <v>-2.0</v>
      </c>
      <c r="H140" s="104">
        <v>-2.0</v>
      </c>
    </row>
    <row r="141">
      <c r="A141" s="104" t="s">
        <v>765</v>
      </c>
      <c r="B141" s="104" t="s">
        <v>178</v>
      </c>
      <c r="C141" s="104" t="s">
        <v>461</v>
      </c>
      <c r="D141" s="104" t="s">
        <v>766</v>
      </c>
      <c r="E141" s="104" t="s">
        <v>463</v>
      </c>
      <c r="F141" s="104" t="s">
        <v>766</v>
      </c>
    </row>
    <row r="142">
      <c r="A142" s="104" t="s">
        <v>767</v>
      </c>
      <c r="B142" s="104" t="s">
        <v>206</v>
      </c>
      <c r="C142" s="104" t="s">
        <v>461</v>
      </c>
      <c r="D142" s="104" t="s">
        <v>768</v>
      </c>
      <c r="E142" s="104" t="s">
        <v>463</v>
      </c>
      <c r="F142" s="104" t="s">
        <v>768</v>
      </c>
    </row>
    <row r="143">
      <c r="A143" s="104" t="s">
        <v>769</v>
      </c>
      <c r="B143" s="104" t="s">
        <v>228</v>
      </c>
      <c r="C143" s="104" t="s">
        <v>535</v>
      </c>
      <c r="D143" s="104" t="s">
        <v>770</v>
      </c>
      <c r="E143" s="104" t="s">
        <v>537</v>
      </c>
      <c r="F143" s="104" t="s">
        <v>771</v>
      </c>
      <c r="G143" s="150">
        <f>+1</f>
        <v>1</v>
      </c>
      <c r="H143" s="104">
        <v>1.0</v>
      </c>
    </row>
    <row r="144">
      <c r="A144" s="104" t="s">
        <v>772</v>
      </c>
      <c r="B144" s="104" t="s">
        <v>269</v>
      </c>
      <c r="C144" s="104" t="s">
        <v>461</v>
      </c>
      <c r="D144" s="104" t="s">
        <v>773</v>
      </c>
      <c r="E144" s="104" t="s">
        <v>463</v>
      </c>
      <c r="F144" s="104" t="s">
        <v>773</v>
      </c>
    </row>
    <row r="145">
      <c r="A145" s="104" t="s">
        <v>774</v>
      </c>
      <c r="B145" s="104" t="s">
        <v>141</v>
      </c>
      <c r="C145" s="104" t="s">
        <v>461</v>
      </c>
      <c r="D145" s="104" t="s">
        <v>775</v>
      </c>
      <c r="E145" s="104" t="s">
        <v>463</v>
      </c>
      <c r="F145" s="104" t="s">
        <v>775</v>
      </c>
    </row>
    <row r="146">
      <c r="A146" s="104" t="s">
        <v>776</v>
      </c>
      <c r="B146" s="104" t="s">
        <v>110</v>
      </c>
      <c r="C146" s="104" t="s">
        <v>461</v>
      </c>
      <c r="D146" s="104" t="s">
        <v>777</v>
      </c>
      <c r="E146" s="104" t="s">
        <v>463</v>
      </c>
      <c r="F146" s="104" t="s">
        <v>777</v>
      </c>
    </row>
    <row r="147">
      <c r="A147" s="104" t="s">
        <v>778</v>
      </c>
      <c r="B147" s="104" t="s">
        <v>185</v>
      </c>
      <c r="C147" s="104" t="s">
        <v>461</v>
      </c>
      <c r="D147" s="104" t="s">
        <v>779</v>
      </c>
      <c r="E147" s="104" t="s">
        <v>463</v>
      </c>
      <c r="F147" s="104" t="s">
        <v>779</v>
      </c>
    </row>
    <row r="148">
      <c r="A148" s="104" t="s">
        <v>780</v>
      </c>
      <c r="B148" s="104" t="s">
        <v>280</v>
      </c>
      <c r="C148" s="104" t="s">
        <v>461</v>
      </c>
      <c r="D148" s="104" t="s">
        <v>781</v>
      </c>
      <c r="E148" s="104" t="s">
        <v>463</v>
      </c>
      <c r="F148" s="104" t="s">
        <v>781</v>
      </c>
    </row>
    <row r="149">
      <c r="A149" s="104" t="s">
        <v>782</v>
      </c>
      <c r="B149" s="104" t="s">
        <v>146</v>
      </c>
      <c r="C149" s="104" t="s">
        <v>461</v>
      </c>
      <c r="D149" s="104" t="s">
        <v>783</v>
      </c>
      <c r="E149" s="104" t="s">
        <v>463</v>
      </c>
      <c r="F149" s="104" t="s">
        <v>783</v>
      </c>
    </row>
    <row r="150">
      <c r="A150" s="104" t="s">
        <v>784</v>
      </c>
      <c r="B150" s="104" t="s">
        <v>226</v>
      </c>
      <c r="C150" s="104" t="s">
        <v>461</v>
      </c>
      <c r="D150" s="104" t="s">
        <v>785</v>
      </c>
      <c r="E150" s="104" t="s">
        <v>463</v>
      </c>
      <c r="F150" s="104" t="s">
        <v>785</v>
      </c>
    </row>
    <row r="151">
      <c r="A151" s="104" t="s">
        <v>786</v>
      </c>
      <c r="B151" s="104" t="s">
        <v>111</v>
      </c>
      <c r="C151" s="104" t="s">
        <v>535</v>
      </c>
      <c r="D151" s="104" t="s">
        <v>787</v>
      </c>
      <c r="E151" s="104" t="s">
        <v>537</v>
      </c>
      <c r="F151" s="104" t="s">
        <v>788</v>
      </c>
      <c r="G151" s="150">
        <f>+1</f>
        <v>1</v>
      </c>
      <c r="H151" s="104">
        <v>1.0</v>
      </c>
    </row>
    <row r="152">
      <c r="A152" s="104" t="s">
        <v>789</v>
      </c>
      <c r="B152" s="104" t="s">
        <v>233</v>
      </c>
      <c r="C152" s="104" t="s">
        <v>461</v>
      </c>
      <c r="D152" s="104" t="s">
        <v>790</v>
      </c>
      <c r="E152" s="104" t="s">
        <v>463</v>
      </c>
      <c r="F152" s="104" t="s">
        <v>790</v>
      </c>
    </row>
    <row r="153">
      <c r="A153" s="104" t="s">
        <v>791</v>
      </c>
      <c r="B153" s="104" t="s">
        <v>265</v>
      </c>
      <c r="C153" s="104" t="s">
        <v>461</v>
      </c>
      <c r="D153" s="104" t="s">
        <v>792</v>
      </c>
      <c r="E153" s="104" t="s">
        <v>463</v>
      </c>
      <c r="F153" s="104" t="s">
        <v>792</v>
      </c>
    </row>
    <row r="154">
      <c r="A154" s="104" t="s">
        <v>793</v>
      </c>
      <c r="B154" s="104" t="s">
        <v>180</v>
      </c>
      <c r="C154" s="104" t="s">
        <v>461</v>
      </c>
      <c r="D154" s="104" t="s">
        <v>794</v>
      </c>
      <c r="E154" s="104" t="s">
        <v>463</v>
      </c>
      <c r="F154" s="104" t="s">
        <v>794</v>
      </c>
    </row>
    <row r="155">
      <c r="A155" s="104" t="s">
        <v>795</v>
      </c>
      <c r="B155" s="104" t="s">
        <v>311</v>
      </c>
      <c r="C155" s="104" t="s">
        <v>461</v>
      </c>
      <c r="D155" s="104" t="s">
        <v>796</v>
      </c>
      <c r="E155" s="104" t="s">
        <v>463</v>
      </c>
      <c r="F155" s="104" t="s">
        <v>796</v>
      </c>
    </row>
    <row r="156">
      <c r="A156" s="104" t="s">
        <v>797</v>
      </c>
      <c r="B156" s="104" t="s">
        <v>159</v>
      </c>
      <c r="C156" s="104" t="s">
        <v>461</v>
      </c>
      <c r="D156" s="104" t="s">
        <v>798</v>
      </c>
      <c r="E156" s="104" t="s">
        <v>463</v>
      </c>
      <c r="F156" s="104" t="s">
        <v>798</v>
      </c>
    </row>
    <row r="157">
      <c r="A157" s="104" t="s">
        <v>799</v>
      </c>
      <c r="B157" s="104" t="s">
        <v>247</v>
      </c>
      <c r="C157" s="104" t="s">
        <v>461</v>
      </c>
      <c r="D157" s="104" t="s">
        <v>800</v>
      </c>
      <c r="E157" s="104" t="s">
        <v>463</v>
      </c>
      <c r="F157" s="104" t="s">
        <v>800</v>
      </c>
    </row>
    <row r="158">
      <c r="A158" s="104" t="s">
        <v>801</v>
      </c>
      <c r="B158" s="104" t="s">
        <v>172</v>
      </c>
      <c r="C158" s="104" t="s">
        <v>461</v>
      </c>
      <c r="D158" s="104" t="s">
        <v>802</v>
      </c>
      <c r="E158" s="104" t="s">
        <v>463</v>
      </c>
      <c r="F158" s="104" t="s">
        <v>802</v>
      </c>
    </row>
    <row r="159">
      <c r="A159" s="104" t="s">
        <v>803</v>
      </c>
      <c r="B159" s="104" t="s">
        <v>253</v>
      </c>
      <c r="C159" s="104" t="s">
        <v>461</v>
      </c>
      <c r="D159" s="104" t="s">
        <v>804</v>
      </c>
      <c r="E159" s="104" t="s">
        <v>463</v>
      </c>
      <c r="F159" s="104" t="s">
        <v>804</v>
      </c>
    </row>
    <row r="160">
      <c r="A160" s="104" t="s">
        <v>805</v>
      </c>
      <c r="B160" s="104" t="s">
        <v>128</v>
      </c>
      <c r="C160" s="104" t="s">
        <v>461</v>
      </c>
      <c r="D160" s="104" t="s">
        <v>806</v>
      </c>
      <c r="E160" s="104" t="s">
        <v>463</v>
      </c>
      <c r="F160" s="104" t="s">
        <v>806</v>
      </c>
    </row>
    <row r="161">
      <c r="A161" s="104" t="s">
        <v>807</v>
      </c>
      <c r="B161" s="104" t="s">
        <v>135</v>
      </c>
      <c r="C161" s="104" t="s">
        <v>461</v>
      </c>
      <c r="D161" s="104" t="s">
        <v>808</v>
      </c>
      <c r="E161" s="104" t="s">
        <v>463</v>
      </c>
      <c r="F161" s="104" t="s">
        <v>808</v>
      </c>
    </row>
    <row r="162">
      <c r="A162" s="104" t="s">
        <v>809</v>
      </c>
      <c r="B162" s="104" t="s">
        <v>181</v>
      </c>
      <c r="C162" s="104" t="s">
        <v>461</v>
      </c>
      <c r="D162" s="104" t="s">
        <v>810</v>
      </c>
      <c r="E162" s="104" t="s">
        <v>463</v>
      </c>
      <c r="F162" s="104" t="s">
        <v>810</v>
      </c>
    </row>
    <row r="163">
      <c r="A163" s="104" t="s">
        <v>811</v>
      </c>
      <c r="B163" s="104" t="s">
        <v>230</v>
      </c>
      <c r="C163" s="104" t="s">
        <v>535</v>
      </c>
      <c r="D163" s="104" t="s">
        <v>812</v>
      </c>
      <c r="E163" s="104" t="s">
        <v>611</v>
      </c>
      <c r="F163" s="104" t="s">
        <v>813</v>
      </c>
      <c r="G163" s="150">
        <f>+2</f>
        <v>2</v>
      </c>
      <c r="H163" s="104">
        <v>2.0</v>
      </c>
    </row>
    <row r="164">
      <c r="A164" s="104" t="s">
        <v>814</v>
      </c>
      <c r="B164" s="104" t="s">
        <v>108</v>
      </c>
      <c r="C164" s="104" t="s">
        <v>461</v>
      </c>
      <c r="D164" s="104" t="s">
        <v>815</v>
      </c>
      <c r="E164" s="104" t="s">
        <v>463</v>
      </c>
      <c r="F164" s="104" t="s">
        <v>815</v>
      </c>
    </row>
    <row r="165">
      <c r="A165" s="104" t="s">
        <v>816</v>
      </c>
      <c r="B165" s="104" t="s">
        <v>82</v>
      </c>
      <c r="C165" s="104" t="s">
        <v>461</v>
      </c>
      <c r="D165" s="104" t="s">
        <v>817</v>
      </c>
      <c r="E165" s="104" t="s">
        <v>463</v>
      </c>
      <c r="F165" s="104" t="s">
        <v>817</v>
      </c>
    </row>
    <row r="166">
      <c r="A166" s="104" t="s">
        <v>818</v>
      </c>
      <c r="B166" s="104" t="s">
        <v>105</v>
      </c>
      <c r="C166" s="104" t="s">
        <v>461</v>
      </c>
      <c r="D166" s="104" t="s">
        <v>819</v>
      </c>
      <c r="E166" s="104" t="s">
        <v>463</v>
      </c>
      <c r="F166" s="104" t="s">
        <v>819</v>
      </c>
    </row>
    <row r="167">
      <c r="A167" s="104" t="s">
        <v>820</v>
      </c>
      <c r="B167" s="104" t="s">
        <v>273</v>
      </c>
      <c r="C167" s="104" t="s">
        <v>461</v>
      </c>
      <c r="D167" s="104" t="s">
        <v>821</v>
      </c>
      <c r="E167" s="104" t="s">
        <v>463</v>
      </c>
      <c r="F167" s="104" t="s">
        <v>821</v>
      </c>
    </row>
    <row r="168">
      <c r="A168" s="104" t="s">
        <v>822</v>
      </c>
      <c r="B168" s="104" t="s">
        <v>148</v>
      </c>
      <c r="C168" s="104" t="s">
        <v>535</v>
      </c>
      <c r="D168" s="104" t="s">
        <v>823</v>
      </c>
      <c r="E168" s="104" t="s">
        <v>611</v>
      </c>
      <c r="F168" s="104" t="s">
        <v>824</v>
      </c>
      <c r="G168" s="150">
        <f>+2</f>
        <v>2</v>
      </c>
      <c r="H168" s="104">
        <v>2.0</v>
      </c>
    </row>
    <row r="169">
      <c r="A169" s="104" t="s">
        <v>825</v>
      </c>
      <c r="B169" s="104" t="s">
        <v>169</v>
      </c>
      <c r="C169" s="104" t="s">
        <v>461</v>
      </c>
      <c r="D169" s="104" t="s">
        <v>826</v>
      </c>
      <c r="E169" s="104" t="s">
        <v>463</v>
      </c>
      <c r="F169" s="104" t="s">
        <v>826</v>
      </c>
    </row>
    <row r="170">
      <c r="A170" s="104" t="s">
        <v>827</v>
      </c>
      <c r="B170" s="104" t="s">
        <v>307</v>
      </c>
      <c r="C170" s="104" t="s">
        <v>461</v>
      </c>
      <c r="D170" s="104" t="s">
        <v>828</v>
      </c>
      <c r="E170" s="104" t="s">
        <v>463</v>
      </c>
      <c r="F170" s="104" t="s">
        <v>828</v>
      </c>
    </row>
    <row r="171">
      <c r="A171" s="104" t="s">
        <v>829</v>
      </c>
      <c r="B171" s="104" t="s">
        <v>129</v>
      </c>
      <c r="C171" s="104" t="s">
        <v>535</v>
      </c>
      <c r="D171" s="104" t="s">
        <v>830</v>
      </c>
      <c r="E171" s="104" t="s">
        <v>537</v>
      </c>
      <c r="F171" s="104" t="s">
        <v>831</v>
      </c>
      <c r="G171" s="150">
        <f>+1</f>
        <v>1</v>
      </c>
      <c r="H171" s="104">
        <v>1.0</v>
      </c>
    </row>
    <row r="172">
      <c r="A172" s="104" t="s">
        <v>832</v>
      </c>
      <c r="B172" s="104" t="s">
        <v>104</v>
      </c>
      <c r="C172" s="104" t="s">
        <v>461</v>
      </c>
      <c r="D172" s="104" t="s">
        <v>833</v>
      </c>
      <c r="E172" s="104" t="s">
        <v>463</v>
      </c>
      <c r="F172" s="104" t="s">
        <v>833</v>
      </c>
    </row>
    <row r="173">
      <c r="A173" s="104" t="s">
        <v>834</v>
      </c>
      <c r="B173" s="104" t="s">
        <v>103</v>
      </c>
      <c r="C173" s="104" t="s">
        <v>461</v>
      </c>
      <c r="D173" s="104" t="s">
        <v>835</v>
      </c>
      <c r="E173" s="104" t="s">
        <v>463</v>
      </c>
      <c r="F173" s="104" t="s">
        <v>835</v>
      </c>
    </row>
    <row r="174">
      <c r="A174" s="104" t="s">
        <v>836</v>
      </c>
      <c r="B174" s="104" t="s">
        <v>152</v>
      </c>
      <c r="C174" s="104" t="s">
        <v>461</v>
      </c>
      <c r="D174" s="104" t="s">
        <v>837</v>
      </c>
      <c r="E174" s="104" t="s">
        <v>463</v>
      </c>
      <c r="F174" s="104" t="s">
        <v>837</v>
      </c>
    </row>
    <row r="175">
      <c r="A175" s="104" t="s">
        <v>838</v>
      </c>
      <c r="B175" s="104" t="s">
        <v>203</v>
      </c>
      <c r="C175" s="104" t="s">
        <v>461</v>
      </c>
      <c r="D175" s="104" t="s">
        <v>839</v>
      </c>
      <c r="E175" s="104" t="s">
        <v>463</v>
      </c>
      <c r="F175" s="104" t="s">
        <v>839</v>
      </c>
    </row>
    <row r="176">
      <c r="A176" s="104" t="s">
        <v>840</v>
      </c>
      <c r="B176" s="104" t="s">
        <v>101</v>
      </c>
      <c r="C176" s="104" t="s">
        <v>461</v>
      </c>
      <c r="D176" s="104" t="s">
        <v>841</v>
      </c>
      <c r="E176" s="104" t="s">
        <v>463</v>
      </c>
      <c r="F176" s="104" t="s">
        <v>841</v>
      </c>
    </row>
    <row r="177">
      <c r="A177" s="104" t="s">
        <v>842</v>
      </c>
      <c r="B177" s="104" t="s">
        <v>100</v>
      </c>
      <c r="C177" s="104" t="s">
        <v>461</v>
      </c>
      <c r="D177" s="104" t="s">
        <v>843</v>
      </c>
      <c r="E177" s="104" t="s">
        <v>463</v>
      </c>
      <c r="F177" s="104" t="s">
        <v>843</v>
      </c>
    </row>
    <row r="178">
      <c r="A178" s="104" t="s">
        <v>844</v>
      </c>
      <c r="B178" s="104" t="s">
        <v>155</v>
      </c>
      <c r="C178" s="104" t="s">
        <v>461</v>
      </c>
      <c r="D178" s="104" t="s">
        <v>845</v>
      </c>
      <c r="E178" s="104" t="s">
        <v>463</v>
      </c>
      <c r="F178" s="104" t="s">
        <v>845</v>
      </c>
    </row>
    <row r="179">
      <c r="A179" s="104" t="s">
        <v>846</v>
      </c>
      <c r="B179" s="104" t="s">
        <v>231</v>
      </c>
      <c r="C179" s="104" t="s">
        <v>461</v>
      </c>
      <c r="D179" s="104" t="s">
        <v>847</v>
      </c>
      <c r="E179" s="104" t="s">
        <v>463</v>
      </c>
      <c r="F179" s="104" t="s">
        <v>847</v>
      </c>
    </row>
    <row r="180">
      <c r="A180" s="104" t="s">
        <v>848</v>
      </c>
      <c r="B180" s="104" t="s">
        <v>140</v>
      </c>
      <c r="C180" s="104" t="s">
        <v>461</v>
      </c>
      <c r="D180" s="104" t="s">
        <v>849</v>
      </c>
      <c r="E180" s="104" t="s">
        <v>463</v>
      </c>
      <c r="F180" s="104" t="s">
        <v>849</v>
      </c>
    </row>
    <row r="181">
      <c r="A181" s="104" t="s">
        <v>850</v>
      </c>
      <c r="B181" s="104" t="s">
        <v>80</v>
      </c>
      <c r="C181" s="104" t="s">
        <v>461</v>
      </c>
      <c r="D181" s="104" t="s">
        <v>851</v>
      </c>
      <c r="E181" s="104" t="s">
        <v>463</v>
      </c>
      <c r="F181" s="104" t="s">
        <v>851</v>
      </c>
    </row>
    <row r="182">
      <c r="A182" s="104" t="s">
        <v>852</v>
      </c>
      <c r="B182" s="104" t="s">
        <v>75</v>
      </c>
      <c r="C182" s="104" t="s">
        <v>461</v>
      </c>
      <c r="D182" s="104" t="s">
        <v>853</v>
      </c>
      <c r="E182" s="104" t="s">
        <v>463</v>
      </c>
      <c r="F182" s="104" t="s">
        <v>853</v>
      </c>
    </row>
    <row r="183">
      <c r="A183" s="104" t="s">
        <v>854</v>
      </c>
      <c r="B183" s="104" t="s">
        <v>96</v>
      </c>
      <c r="C183" s="104" t="s">
        <v>461</v>
      </c>
      <c r="D183" s="104" t="s">
        <v>855</v>
      </c>
      <c r="E183" s="104" t="s">
        <v>463</v>
      </c>
      <c r="F183" s="104" t="s">
        <v>855</v>
      </c>
    </row>
    <row r="184">
      <c r="A184" s="104" t="s">
        <v>856</v>
      </c>
      <c r="B184" s="104" t="s">
        <v>101</v>
      </c>
      <c r="C184" s="104" t="s">
        <v>535</v>
      </c>
      <c r="D184" s="104" t="s">
        <v>857</v>
      </c>
      <c r="E184" s="104" t="s">
        <v>537</v>
      </c>
      <c r="F184" s="104" t="s">
        <v>858</v>
      </c>
      <c r="G184" s="150">
        <f>+1</f>
        <v>1</v>
      </c>
      <c r="H184" s="104">
        <v>1.0</v>
      </c>
    </row>
    <row r="185">
      <c r="A185" s="104" t="s">
        <v>859</v>
      </c>
      <c r="B185" s="104" t="s">
        <v>251</v>
      </c>
      <c r="C185" s="104" t="s">
        <v>461</v>
      </c>
      <c r="D185" s="104" t="s">
        <v>860</v>
      </c>
      <c r="E185" s="104" t="s">
        <v>463</v>
      </c>
      <c r="F185" s="104" t="s">
        <v>860</v>
      </c>
    </row>
    <row r="186">
      <c r="A186" s="104" t="s">
        <v>861</v>
      </c>
      <c r="B186" s="104" t="s">
        <v>265</v>
      </c>
      <c r="C186" s="104" t="s">
        <v>535</v>
      </c>
      <c r="D186" s="104" t="s">
        <v>862</v>
      </c>
      <c r="E186" s="104" t="s">
        <v>555</v>
      </c>
      <c r="F186" s="104" t="s">
        <v>863</v>
      </c>
      <c r="G186" s="150">
        <f>+3</f>
        <v>3</v>
      </c>
      <c r="H186" s="104">
        <v>3.0</v>
      </c>
    </row>
    <row r="187">
      <c r="A187" s="104" t="s">
        <v>864</v>
      </c>
      <c r="B187" s="104" t="s">
        <v>133</v>
      </c>
      <c r="C187" s="104" t="s">
        <v>461</v>
      </c>
      <c r="D187" s="104" t="s">
        <v>865</v>
      </c>
      <c r="E187" s="104" t="s">
        <v>463</v>
      </c>
      <c r="F187" s="104" t="s">
        <v>865</v>
      </c>
    </row>
    <row r="188">
      <c r="A188" s="104" t="s">
        <v>866</v>
      </c>
      <c r="B188" s="104" t="s">
        <v>262</v>
      </c>
      <c r="C188" s="104" t="s">
        <v>461</v>
      </c>
      <c r="D188" s="104" t="s">
        <v>867</v>
      </c>
      <c r="E188" s="104" t="s">
        <v>463</v>
      </c>
      <c r="F188" s="104" t="s">
        <v>867</v>
      </c>
    </row>
    <row r="189">
      <c r="A189" s="104" t="s">
        <v>868</v>
      </c>
      <c r="B189" s="104" t="s">
        <v>103</v>
      </c>
      <c r="C189" s="104" t="s">
        <v>535</v>
      </c>
      <c r="D189" s="104" t="s">
        <v>869</v>
      </c>
      <c r="E189" s="104" t="s">
        <v>870</v>
      </c>
      <c r="F189" s="104" t="s">
        <v>871</v>
      </c>
      <c r="G189" s="104">
        <v>-1.0</v>
      </c>
      <c r="H189" s="104">
        <v>-1.0</v>
      </c>
    </row>
    <row r="190">
      <c r="A190" s="104" t="s">
        <v>872</v>
      </c>
      <c r="B190" s="104" t="s">
        <v>144</v>
      </c>
      <c r="C190" s="104" t="s">
        <v>535</v>
      </c>
      <c r="D190" s="104" t="s">
        <v>873</v>
      </c>
      <c r="E190" s="104" t="s">
        <v>594</v>
      </c>
      <c r="F190" s="104" t="s">
        <v>874</v>
      </c>
      <c r="G190" s="104">
        <v>-2.0</v>
      </c>
      <c r="H190" s="104">
        <v>-2.0</v>
      </c>
    </row>
    <row r="191">
      <c r="A191" s="104" t="s">
        <v>875</v>
      </c>
      <c r="B191" s="104" t="s">
        <v>188</v>
      </c>
      <c r="C191" s="104" t="s">
        <v>535</v>
      </c>
      <c r="D191" s="104" t="s">
        <v>876</v>
      </c>
      <c r="E191" s="104" t="s">
        <v>611</v>
      </c>
      <c r="F191" s="104" t="s">
        <v>877</v>
      </c>
      <c r="G191" s="150">
        <f>+2</f>
        <v>2</v>
      </c>
      <c r="H191" s="104">
        <v>2.0</v>
      </c>
    </row>
    <row r="192">
      <c r="A192" s="104" t="s">
        <v>878</v>
      </c>
      <c r="B192" s="104" t="s">
        <v>231</v>
      </c>
      <c r="C192" s="104" t="s">
        <v>535</v>
      </c>
      <c r="D192" s="104" t="s">
        <v>879</v>
      </c>
      <c r="E192" s="104" t="s">
        <v>594</v>
      </c>
      <c r="F192" s="104" t="s">
        <v>880</v>
      </c>
      <c r="G192" s="104">
        <v>-2.0</v>
      </c>
      <c r="H192" s="104">
        <v>-2.0</v>
      </c>
    </row>
    <row r="193">
      <c r="A193" s="104" t="s">
        <v>881</v>
      </c>
      <c r="B193" s="104" t="s">
        <v>161</v>
      </c>
      <c r="C193" s="104" t="s">
        <v>535</v>
      </c>
      <c r="D193" s="104" t="s">
        <v>882</v>
      </c>
      <c r="E193" s="104" t="s">
        <v>611</v>
      </c>
      <c r="F193" s="104" t="s">
        <v>883</v>
      </c>
      <c r="G193" s="150">
        <f>+2</f>
        <v>2</v>
      </c>
      <c r="H193" s="104">
        <v>2.0</v>
      </c>
    </row>
    <row r="194">
      <c r="A194" s="104" t="s">
        <v>884</v>
      </c>
      <c r="B194" s="104" t="s">
        <v>150</v>
      </c>
      <c r="C194" s="104" t="s">
        <v>535</v>
      </c>
      <c r="D194" s="104" t="s">
        <v>885</v>
      </c>
      <c r="E194" s="104" t="s">
        <v>555</v>
      </c>
      <c r="F194" s="104" t="s">
        <v>886</v>
      </c>
      <c r="G194" s="150">
        <f>+3</f>
        <v>3</v>
      </c>
      <c r="H194" s="104">
        <v>3.0</v>
      </c>
    </row>
    <row r="195">
      <c r="A195" s="104" t="s">
        <v>887</v>
      </c>
      <c r="B195" s="104" t="s">
        <v>163</v>
      </c>
      <c r="C195" s="104" t="s">
        <v>535</v>
      </c>
      <c r="D195" s="104" t="s">
        <v>888</v>
      </c>
      <c r="E195" s="104" t="s">
        <v>594</v>
      </c>
      <c r="F195" s="104" t="s">
        <v>889</v>
      </c>
      <c r="G195" s="104">
        <v>-2.0</v>
      </c>
      <c r="H195" s="104">
        <v>-2.0</v>
      </c>
    </row>
    <row r="196">
      <c r="A196" s="104" t="s">
        <v>890</v>
      </c>
      <c r="B196" s="104" t="s">
        <v>281</v>
      </c>
      <c r="C196" s="104" t="s">
        <v>535</v>
      </c>
      <c r="D196" s="104" t="s">
        <v>891</v>
      </c>
      <c r="E196" s="104" t="s">
        <v>537</v>
      </c>
      <c r="F196" s="104" t="s">
        <v>892</v>
      </c>
      <c r="G196" s="150">
        <f>+1</f>
        <v>1</v>
      </c>
      <c r="H196" s="104">
        <v>1.0</v>
      </c>
    </row>
    <row r="197">
      <c r="A197" s="104" t="s">
        <v>893</v>
      </c>
      <c r="B197" s="104" t="s">
        <v>218</v>
      </c>
      <c r="C197" s="104" t="s">
        <v>535</v>
      </c>
      <c r="D197" s="104" t="s">
        <v>894</v>
      </c>
      <c r="E197" s="104" t="s">
        <v>611</v>
      </c>
      <c r="F197" s="104" t="s">
        <v>895</v>
      </c>
      <c r="G197" s="150">
        <f t="shared" ref="G197:G198" si="1">+2</f>
        <v>2</v>
      </c>
      <c r="H197" s="104">
        <v>2.0</v>
      </c>
    </row>
    <row r="198">
      <c r="A198" s="104" t="s">
        <v>896</v>
      </c>
      <c r="B198" s="104" t="s">
        <v>253</v>
      </c>
      <c r="C198" s="104" t="s">
        <v>535</v>
      </c>
      <c r="D198" s="104" t="s">
        <v>897</v>
      </c>
      <c r="E198" s="104" t="s">
        <v>611</v>
      </c>
      <c r="F198" s="104" t="s">
        <v>898</v>
      </c>
      <c r="G198" s="150">
        <f t="shared" si="1"/>
        <v>2</v>
      </c>
      <c r="H198" s="104">
        <v>2.0</v>
      </c>
    </row>
    <row r="199">
      <c r="A199" s="104" t="s">
        <v>899</v>
      </c>
      <c r="B199" s="104" t="s">
        <v>178</v>
      </c>
      <c r="C199" s="104" t="s">
        <v>535</v>
      </c>
      <c r="D199" s="104" t="s">
        <v>900</v>
      </c>
      <c r="E199" s="104" t="s">
        <v>699</v>
      </c>
      <c r="F199" s="104" t="s">
        <v>901</v>
      </c>
      <c r="G199" s="104">
        <v>-3.0</v>
      </c>
      <c r="H199" s="104">
        <v>-3.0</v>
      </c>
    </row>
    <row r="200">
      <c r="A200" s="104" t="s">
        <v>902</v>
      </c>
      <c r="B200" s="104" t="s">
        <v>119</v>
      </c>
      <c r="C200" s="104" t="s">
        <v>535</v>
      </c>
      <c r="D200" s="104" t="s">
        <v>903</v>
      </c>
      <c r="E200" s="104" t="s">
        <v>611</v>
      </c>
      <c r="F200" s="104" t="s">
        <v>904</v>
      </c>
      <c r="G200" s="150">
        <f>+2</f>
        <v>2</v>
      </c>
      <c r="H200" s="104">
        <v>2.0</v>
      </c>
    </row>
    <row r="201">
      <c r="A201" s="104" t="s">
        <v>905</v>
      </c>
      <c r="B201" s="104" t="s">
        <v>159</v>
      </c>
      <c r="C201" s="104" t="s">
        <v>535</v>
      </c>
      <c r="D201" s="104" t="s">
        <v>906</v>
      </c>
      <c r="E201" s="104" t="s">
        <v>594</v>
      </c>
      <c r="F201" s="104" t="s">
        <v>907</v>
      </c>
      <c r="G201" s="104">
        <v>-2.0</v>
      </c>
      <c r="H201" s="104">
        <v>-2.0</v>
      </c>
    </row>
    <row r="202">
      <c r="A202" s="104" t="s">
        <v>908</v>
      </c>
      <c r="B202" s="104" t="s">
        <v>208</v>
      </c>
      <c r="C202" s="104" t="s">
        <v>535</v>
      </c>
      <c r="D202" s="104" t="s">
        <v>909</v>
      </c>
      <c r="E202" s="104" t="s">
        <v>699</v>
      </c>
      <c r="F202" s="104" t="s">
        <v>910</v>
      </c>
      <c r="G202" s="104">
        <v>-3.0</v>
      </c>
      <c r="H202" s="104">
        <v>-3.0</v>
      </c>
    </row>
    <row r="203">
      <c r="A203" s="104" t="s">
        <v>911</v>
      </c>
      <c r="B203" s="104" t="s">
        <v>242</v>
      </c>
      <c r="C203" s="104" t="s">
        <v>535</v>
      </c>
      <c r="D203" s="104" t="s">
        <v>912</v>
      </c>
      <c r="E203" s="104" t="s">
        <v>870</v>
      </c>
      <c r="F203" s="104" t="s">
        <v>913</v>
      </c>
      <c r="G203" s="104">
        <v>-1.0</v>
      </c>
      <c r="H203" s="104">
        <v>-1.0</v>
      </c>
    </row>
    <row r="204">
      <c r="A204" s="104" t="s">
        <v>914</v>
      </c>
      <c r="B204" s="104" t="s">
        <v>100</v>
      </c>
      <c r="C204" s="104" t="s">
        <v>535</v>
      </c>
      <c r="D204" s="104" t="s">
        <v>915</v>
      </c>
      <c r="E204" s="104" t="s">
        <v>537</v>
      </c>
      <c r="F204" s="104" t="s">
        <v>916</v>
      </c>
      <c r="G204" s="150">
        <f>+1</f>
        <v>1</v>
      </c>
      <c r="H204" s="104">
        <v>1.0</v>
      </c>
    </row>
    <row r="205">
      <c r="A205" s="104" t="s">
        <v>917</v>
      </c>
      <c r="B205" s="104" t="s">
        <v>319</v>
      </c>
      <c r="C205" s="104" t="s">
        <v>461</v>
      </c>
      <c r="D205" s="104" t="s">
        <v>918</v>
      </c>
      <c r="E205" s="104" t="s">
        <v>463</v>
      </c>
      <c r="F205" s="104" t="s">
        <v>918</v>
      </c>
    </row>
    <row r="206">
      <c r="A206" s="104" t="s">
        <v>919</v>
      </c>
      <c r="B206" s="104" t="s">
        <v>171</v>
      </c>
      <c r="C206" s="104" t="s">
        <v>535</v>
      </c>
      <c r="D206" s="104" t="s">
        <v>920</v>
      </c>
      <c r="E206" s="104" t="s">
        <v>555</v>
      </c>
      <c r="F206" s="104" t="s">
        <v>921</v>
      </c>
      <c r="G206" s="150">
        <f>+3</f>
        <v>3</v>
      </c>
      <c r="H206" s="104">
        <v>3.0</v>
      </c>
    </row>
    <row r="207">
      <c r="A207" s="104" t="s">
        <v>922</v>
      </c>
      <c r="B207" s="104" t="s">
        <v>260</v>
      </c>
      <c r="C207" s="104" t="s">
        <v>535</v>
      </c>
      <c r="D207" s="104" t="s">
        <v>923</v>
      </c>
      <c r="E207" s="104" t="s">
        <v>594</v>
      </c>
      <c r="F207" s="104" t="s">
        <v>924</v>
      </c>
      <c r="G207" s="104">
        <v>-2.0</v>
      </c>
      <c r="H207" s="104">
        <v>-2.0</v>
      </c>
    </row>
    <row r="208">
      <c r="A208" s="104" t="s">
        <v>925</v>
      </c>
      <c r="B208" s="104" t="s">
        <v>128</v>
      </c>
      <c r="C208" s="104" t="s">
        <v>535</v>
      </c>
      <c r="D208" s="104" t="s">
        <v>926</v>
      </c>
      <c r="E208" s="104" t="s">
        <v>611</v>
      </c>
      <c r="F208" s="104" t="s">
        <v>927</v>
      </c>
      <c r="G208" s="150">
        <f>+2</f>
        <v>2</v>
      </c>
      <c r="H208" s="104">
        <v>2.0</v>
      </c>
    </row>
    <row r="209">
      <c r="A209" s="104" t="s">
        <v>928</v>
      </c>
      <c r="B209" s="104" t="s">
        <v>239</v>
      </c>
      <c r="C209" s="104" t="s">
        <v>535</v>
      </c>
      <c r="D209" s="104" t="s">
        <v>929</v>
      </c>
      <c r="E209" s="104" t="s">
        <v>537</v>
      </c>
      <c r="F209" s="104" t="s">
        <v>930</v>
      </c>
      <c r="G209" s="150">
        <f>+1</f>
        <v>1</v>
      </c>
      <c r="H209" s="104">
        <v>1.0</v>
      </c>
    </row>
    <row r="210">
      <c r="A210" s="104" t="s">
        <v>931</v>
      </c>
      <c r="B210" s="104" t="s">
        <v>181</v>
      </c>
      <c r="C210" s="104" t="s">
        <v>535</v>
      </c>
      <c r="D210" s="104" t="s">
        <v>932</v>
      </c>
      <c r="E210" s="104" t="s">
        <v>555</v>
      </c>
      <c r="F210" s="104" t="s">
        <v>933</v>
      </c>
      <c r="G210" s="150">
        <f>+3</f>
        <v>3</v>
      </c>
      <c r="H210" s="104">
        <v>3.0</v>
      </c>
    </row>
    <row r="211">
      <c r="A211" s="104" t="s">
        <v>934</v>
      </c>
      <c r="B211" s="104" t="s">
        <v>304</v>
      </c>
      <c r="C211" s="104" t="s">
        <v>535</v>
      </c>
      <c r="D211" s="104" t="s">
        <v>935</v>
      </c>
      <c r="E211" s="104" t="s">
        <v>537</v>
      </c>
      <c r="F211" s="104" t="s">
        <v>936</v>
      </c>
      <c r="G211" s="150">
        <f>+1</f>
        <v>1</v>
      </c>
      <c r="H211" s="104">
        <v>1.0</v>
      </c>
    </row>
    <row r="212">
      <c r="A212" s="104" t="s">
        <v>937</v>
      </c>
      <c r="B212" s="104" t="s">
        <v>286</v>
      </c>
      <c r="C212" s="104" t="s">
        <v>535</v>
      </c>
      <c r="D212" s="104" t="s">
        <v>938</v>
      </c>
      <c r="E212" s="104" t="s">
        <v>699</v>
      </c>
      <c r="F212" s="104" t="s">
        <v>939</v>
      </c>
      <c r="G212" s="104">
        <v>-3.0</v>
      </c>
      <c r="H212" s="104">
        <v>-3.0</v>
      </c>
    </row>
    <row r="213">
      <c r="A213" s="104" t="s">
        <v>940</v>
      </c>
      <c r="B213" s="104" t="s">
        <v>319</v>
      </c>
      <c r="C213" s="104" t="s">
        <v>535</v>
      </c>
      <c r="D213" s="104" t="s">
        <v>941</v>
      </c>
      <c r="E213" s="104" t="s">
        <v>555</v>
      </c>
      <c r="F213" s="104" t="s">
        <v>942</v>
      </c>
      <c r="G213" s="150">
        <f>+3</f>
        <v>3</v>
      </c>
      <c r="H213" s="104">
        <v>3.0</v>
      </c>
    </row>
    <row r="214">
      <c r="A214" s="104" t="s">
        <v>943</v>
      </c>
      <c r="B214" s="104" t="s">
        <v>149</v>
      </c>
      <c r="C214" s="104" t="s">
        <v>535</v>
      </c>
      <c r="D214" s="104" t="s">
        <v>944</v>
      </c>
      <c r="E214" s="104" t="s">
        <v>870</v>
      </c>
      <c r="F214" s="104" t="s">
        <v>945</v>
      </c>
      <c r="G214" s="104">
        <v>-1.0</v>
      </c>
      <c r="H214" s="104">
        <v>-1.0</v>
      </c>
    </row>
    <row r="215">
      <c r="A215" s="104" t="s">
        <v>946</v>
      </c>
      <c r="B215" s="104" t="s">
        <v>262</v>
      </c>
      <c r="C215" s="104" t="s">
        <v>535</v>
      </c>
      <c r="D215" s="104" t="s">
        <v>947</v>
      </c>
      <c r="E215" s="104" t="s">
        <v>611</v>
      </c>
      <c r="F215" s="104" t="s">
        <v>948</v>
      </c>
      <c r="G215" s="150">
        <f>+2</f>
        <v>2</v>
      </c>
      <c r="H215" s="104">
        <v>2.0</v>
      </c>
    </row>
    <row r="216">
      <c r="A216" s="104" t="s">
        <v>949</v>
      </c>
      <c r="B216" s="104" t="s">
        <v>190</v>
      </c>
      <c r="C216" s="104" t="s">
        <v>535</v>
      </c>
      <c r="D216" s="104" t="s">
        <v>950</v>
      </c>
      <c r="E216" s="104" t="s">
        <v>555</v>
      </c>
      <c r="F216" s="104" t="s">
        <v>951</v>
      </c>
      <c r="G216" s="150">
        <f>+3</f>
        <v>3</v>
      </c>
      <c r="H216" s="104">
        <v>3.0</v>
      </c>
    </row>
    <row r="217">
      <c r="A217" s="104" t="s">
        <v>952</v>
      </c>
      <c r="B217" s="104" t="s">
        <v>135</v>
      </c>
      <c r="C217" s="104" t="s">
        <v>535</v>
      </c>
      <c r="D217" s="104" t="s">
        <v>953</v>
      </c>
      <c r="E217" s="104" t="s">
        <v>594</v>
      </c>
      <c r="F217" s="104" t="s">
        <v>954</v>
      </c>
      <c r="G217" s="104">
        <v>-2.0</v>
      </c>
      <c r="H217" s="104">
        <v>-2.0</v>
      </c>
    </row>
    <row r="218">
      <c r="A218" s="104" t="s">
        <v>955</v>
      </c>
      <c r="B218" s="104" t="s">
        <v>166</v>
      </c>
      <c r="C218" s="104" t="s">
        <v>535</v>
      </c>
      <c r="D218" s="104" t="s">
        <v>956</v>
      </c>
      <c r="E218" s="104" t="s">
        <v>537</v>
      </c>
      <c r="F218" s="104" t="s">
        <v>957</v>
      </c>
      <c r="G218" s="150">
        <f>+1</f>
        <v>1</v>
      </c>
      <c r="H218" s="104">
        <v>1.0</v>
      </c>
    </row>
    <row r="219">
      <c r="A219" s="104" t="s">
        <v>958</v>
      </c>
      <c r="B219" s="104" t="s">
        <v>279</v>
      </c>
      <c r="C219" s="104" t="s">
        <v>535</v>
      </c>
      <c r="D219" s="104" t="s">
        <v>959</v>
      </c>
      <c r="E219" s="104" t="s">
        <v>699</v>
      </c>
      <c r="F219" s="104" t="s">
        <v>960</v>
      </c>
      <c r="G219" s="104">
        <v>-3.0</v>
      </c>
      <c r="H219" s="104">
        <v>-3.0</v>
      </c>
    </row>
    <row r="220">
      <c r="A220" s="104" t="s">
        <v>961</v>
      </c>
      <c r="B220" s="104" t="s">
        <v>176</v>
      </c>
      <c r="C220" s="104" t="s">
        <v>535</v>
      </c>
      <c r="D220" s="104" t="s">
        <v>962</v>
      </c>
      <c r="E220" s="104" t="s">
        <v>870</v>
      </c>
      <c r="F220" s="104" t="s">
        <v>963</v>
      </c>
      <c r="G220" s="104">
        <v>-1.0</v>
      </c>
      <c r="H220" s="104">
        <v>-1.0</v>
      </c>
    </row>
    <row r="221">
      <c r="A221" s="104" t="s">
        <v>964</v>
      </c>
      <c r="B221" s="104" t="s">
        <v>203</v>
      </c>
      <c r="C221" s="104" t="s">
        <v>535</v>
      </c>
      <c r="D221" s="104" t="s">
        <v>965</v>
      </c>
      <c r="E221" s="104" t="s">
        <v>699</v>
      </c>
      <c r="F221" s="104" t="s">
        <v>966</v>
      </c>
      <c r="G221" s="104">
        <v>-3.0</v>
      </c>
      <c r="H221" s="104">
        <v>-3.0</v>
      </c>
    </row>
    <row r="222">
      <c r="A222" s="104" t="s">
        <v>967</v>
      </c>
      <c r="B222" s="104" t="s">
        <v>152</v>
      </c>
      <c r="C222" s="104" t="s">
        <v>535</v>
      </c>
      <c r="D222" s="104" t="s">
        <v>968</v>
      </c>
      <c r="E222" s="104" t="s">
        <v>594</v>
      </c>
      <c r="F222" s="104" t="s">
        <v>969</v>
      </c>
      <c r="G222" s="104">
        <v>-2.0</v>
      </c>
      <c r="H222" s="104">
        <v>-2.0</v>
      </c>
    </row>
    <row r="223">
      <c r="A223" s="104" t="s">
        <v>970</v>
      </c>
      <c r="B223" s="104" t="s">
        <v>248</v>
      </c>
      <c r="C223" s="104" t="s">
        <v>535</v>
      </c>
      <c r="D223" s="104" t="s">
        <v>971</v>
      </c>
      <c r="E223" s="104" t="s">
        <v>537</v>
      </c>
      <c r="F223" s="104" t="s">
        <v>972</v>
      </c>
      <c r="G223" s="150">
        <f>+1</f>
        <v>1</v>
      </c>
      <c r="H223" s="104">
        <v>1.0</v>
      </c>
    </row>
    <row r="224">
      <c r="A224" s="104" t="s">
        <v>973</v>
      </c>
      <c r="B224" s="104" t="s">
        <v>274</v>
      </c>
      <c r="C224" s="104" t="s">
        <v>535</v>
      </c>
      <c r="D224" s="104" t="s">
        <v>974</v>
      </c>
      <c r="E224" s="104" t="s">
        <v>594</v>
      </c>
      <c r="F224" s="104" t="s">
        <v>975</v>
      </c>
      <c r="G224" s="104">
        <v>-2.0</v>
      </c>
      <c r="H224" s="104">
        <v>-2.0</v>
      </c>
    </row>
    <row r="225">
      <c r="A225" s="104" t="s">
        <v>976</v>
      </c>
      <c r="B225" s="104" t="s">
        <v>233</v>
      </c>
      <c r="C225" s="104" t="s">
        <v>535</v>
      </c>
      <c r="D225" s="104" t="s">
        <v>977</v>
      </c>
      <c r="E225" s="104" t="s">
        <v>555</v>
      </c>
      <c r="F225" s="104" t="s">
        <v>978</v>
      </c>
      <c r="G225" s="150">
        <f>+3</f>
        <v>3</v>
      </c>
      <c r="H225" s="104">
        <v>3.0</v>
      </c>
    </row>
    <row r="226">
      <c r="A226" s="104" t="s">
        <v>979</v>
      </c>
      <c r="B226" s="104" t="s">
        <v>269</v>
      </c>
      <c r="C226" s="104" t="s">
        <v>535</v>
      </c>
      <c r="D226" s="104" t="s">
        <v>980</v>
      </c>
      <c r="E226" s="104" t="s">
        <v>611</v>
      </c>
      <c r="F226" s="104" t="s">
        <v>981</v>
      </c>
      <c r="G226" s="150">
        <f t="shared" ref="G226:G227" si="2">+2</f>
        <v>2</v>
      </c>
      <c r="H226" s="104">
        <v>2.0</v>
      </c>
    </row>
    <row r="227">
      <c r="A227" s="104" t="s">
        <v>982</v>
      </c>
      <c r="B227" s="104" t="s">
        <v>280</v>
      </c>
      <c r="C227" s="104" t="s">
        <v>535</v>
      </c>
      <c r="D227" s="104" t="s">
        <v>983</v>
      </c>
      <c r="E227" s="104" t="s">
        <v>611</v>
      </c>
      <c r="F227" s="104" t="s">
        <v>984</v>
      </c>
      <c r="G227" s="150">
        <f t="shared" si="2"/>
        <v>2</v>
      </c>
      <c r="H227" s="104">
        <v>2.0</v>
      </c>
    </row>
    <row r="228">
      <c r="A228" s="104" t="s">
        <v>985</v>
      </c>
      <c r="B228" s="104" t="s">
        <v>290</v>
      </c>
      <c r="C228" s="104" t="s">
        <v>535</v>
      </c>
      <c r="D228" s="104" t="s">
        <v>986</v>
      </c>
      <c r="E228" s="104" t="s">
        <v>537</v>
      </c>
      <c r="F228" s="104" t="s">
        <v>987</v>
      </c>
      <c r="G228" s="150">
        <f>+1</f>
        <v>1</v>
      </c>
      <c r="H228" s="104">
        <v>1.0</v>
      </c>
    </row>
    <row r="229">
      <c r="A229" s="104" t="s">
        <v>988</v>
      </c>
      <c r="B229" s="104" t="s">
        <v>196</v>
      </c>
      <c r="C229" s="104" t="s">
        <v>535</v>
      </c>
      <c r="D229" s="104" t="s">
        <v>989</v>
      </c>
      <c r="E229" s="104" t="s">
        <v>699</v>
      </c>
      <c r="F229" s="104" t="s">
        <v>990</v>
      </c>
      <c r="G229" s="104">
        <v>-3.0</v>
      </c>
      <c r="H229" s="104">
        <v>-3.0</v>
      </c>
    </row>
    <row r="230">
      <c r="A230" s="104" t="s">
        <v>991</v>
      </c>
      <c r="B230" s="104" t="s">
        <v>116</v>
      </c>
      <c r="C230" s="104" t="s">
        <v>535</v>
      </c>
      <c r="D230" s="104" t="s">
        <v>992</v>
      </c>
      <c r="E230" s="104" t="s">
        <v>611</v>
      </c>
      <c r="F230" s="104" t="s">
        <v>993</v>
      </c>
      <c r="G230" s="150">
        <f>+2</f>
        <v>2</v>
      </c>
      <c r="H230" s="104">
        <v>2.0</v>
      </c>
    </row>
    <row r="231">
      <c r="A231" s="104" t="s">
        <v>994</v>
      </c>
      <c r="B231" s="104" t="s">
        <v>183</v>
      </c>
      <c r="C231" s="104" t="s">
        <v>535</v>
      </c>
      <c r="D231" s="104" t="s">
        <v>995</v>
      </c>
      <c r="E231" s="104" t="s">
        <v>537</v>
      </c>
      <c r="F231" s="104" t="s">
        <v>996</v>
      </c>
      <c r="G231" s="150">
        <f>+1</f>
        <v>1</v>
      </c>
      <c r="H231" s="104">
        <v>1.0</v>
      </c>
    </row>
    <row r="232">
      <c r="A232" s="104" t="s">
        <v>997</v>
      </c>
      <c r="B232" s="104" t="s">
        <v>204</v>
      </c>
      <c r="C232" s="104" t="s">
        <v>535</v>
      </c>
      <c r="D232" s="104" t="s">
        <v>998</v>
      </c>
      <c r="E232" s="104" t="s">
        <v>555</v>
      </c>
      <c r="F232" s="104" t="s">
        <v>999</v>
      </c>
      <c r="G232" s="150">
        <f>+3</f>
        <v>3</v>
      </c>
      <c r="H232" s="104">
        <v>3.0</v>
      </c>
    </row>
    <row r="233">
      <c r="A233" s="104" t="s">
        <v>1000</v>
      </c>
      <c r="B233" s="104" t="s">
        <v>311</v>
      </c>
      <c r="C233" s="104" t="s">
        <v>535</v>
      </c>
      <c r="D233" s="104" t="s">
        <v>1001</v>
      </c>
      <c r="E233" s="104" t="s">
        <v>870</v>
      </c>
      <c r="F233" s="104" t="s">
        <v>1002</v>
      </c>
      <c r="G233" s="104">
        <v>-1.0</v>
      </c>
      <c r="H233" s="104">
        <v>-1.0</v>
      </c>
    </row>
    <row r="234">
      <c r="A234" s="104" t="s">
        <v>1003</v>
      </c>
      <c r="B234" s="104" t="s">
        <v>141</v>
      </c>
      <c r="C234" s="104" t="s">
        <v>535</v>
      </c>
      <c r="D234" s="104" t="s">
        <v>1004</v>
      </c>
      <c r="E234" s="104" t="s">
        <v>699</v>
      </c>
      <c r="F234" s="104" t="s">
        <v>1005</v>
      </c>
      <c r="G234" s="104">
        <v>-3.0</v>
      </c>
      <c r="H234" s="104">
        <v>-3.0</v>
      </c>
    </row>
    <row r="235">
      <c r="A235" s="104" t="s">
        <v>1006</v>
      </c>
      <c r="B235" s="104" t="s">
        <v>114</v>
      </c>
      <c r="C235" s="104" t="s">
        <v>535</v>
      </c>
      <c r="D235" s="104" t="s">
        <v>1007</v>
      </c>
      <c r="E235" s="104" t="s">
        <v>611</v>
      </c>
      <c r="F235" s="104" t="s">
        <v>1008</v>
      </c>
      <c r="G235" s="150">
        <f>+2</f>
        <v>2</v>
      </c>
      <c r="H235" s="104">
        <v>2.0</v>
      </c>
    </row>
    <row r="236">
      <c r="A236" s="104" t="s">
        <v>1009</v>
      </c>
      <c r="B236" s="104" t="s">
        <v>238</v>
      </c>
      <c r="C236" s="104" t="s">
        <v>535</v>
      </c>
      <c r="D236" s="104" t="s">
        <v>1010</v>
      </c>
      <c r="E236" s="104" t="s">
        <v>555</v>
      </c>
      <c r="F236" s="104" t="s">
        <v>1011</v>
      </c>
      <c r="G236" s="150">
        <f>+3</f>
        <v>3</v>
      </c>
      <c r="H236" s="104">
        <v>3.0</v>
      </c>
    </row>
    <row r="237">
      <c r="A237" s="104" t="s">
        <v>1012</v>
      </c>
      <c r="B237" s="104" t="s">
        <v>154</v>
      </c>
      <c r="C237" s="104" t="s">
        <v>535</v>
      </c>
      <c r="D237" s="104" t="s">
        <v>1013</v>
      </c>
      <c r="E237" s="104" t="s">
        <v>611</v>
      </c>
      <c r="F237" s="104" t="s">
        <v>1014</v>
      </c>
      <c r="G237" s="150">
        <f>+2</f>
        <v>2</v>
      </c>
      <c r="H237" s="104">
        <v>2.0</v>
      </c>
    </row>
    <row r="238">
      <c r="A238" s="104" t="s">
        <v>1015</v>
      </c>
      <c r="B238" s="104" t="s">
        <v>315</v>
      </c>
      <c r="C238" s="104" t="s">
        <v>535</v>
      </c>
      <c r="D238" s="104" t="s">
        <v>1016</v>
      </c>
      <c r="E238" s="104" t="s">
        <v>870</v>
      </c>
      <c r="F238" s="104" t="s">
        <v>1017</v>
      </c>
      <c r="G238" s="104">
        <v>-1.0</v>
      </c>
      <c r="H238" s="104">
        <v>-1.0</v>
      </c>
    </row>
    <row r="239">
      <c r="A239" s="104" t="s">
        <v>1018</v>
      </c>
      <c r="B239" s="104" t="s">
        <v>115</v>
      </c>
      <c r="C239" s="104" t="s">
        <v>535</v>
      </c>
      <c r="D239" s="104" t="s">
        <v>1019</v>
      </c>
      <c r="E239" s="104" t="s">
        <v>611</v>
      </c>
      <c r="F239" s="104" t="s">
        <v>1020</v>
      </c>
      <c r="G239" s="150">
        <f>+2</f>
        <v>2</v>
      </c>
      <c r="H239" s="104">
        <v>2.0</v>
      </c>
    </row>
    <row r="240">
      <c r="A240" s="104" t="s">
        <v>1021</v>
      </c>
      <c r="B240" s="104" t="s">
        <v>133</v>
      </c>
      <c r="C240" s="104" t="s">
        <v>535</v>
      </c>
      <c r="D240" s="104" t="s">
        <v>1022</v>
      </c>
      <c r="E240" s="104" t="s">
        <v>555</v>
      </c>
      <c r="F240" s="104" t="s">
        <v>1023</v>
      </c>
      <c r="G240" s="150">
        <f>+3</f>
        <v>3</v>
      </c>
      <c r="H240" s="104">
        <v>3.0</v>
      </c>
    </row>
    <row r="241">
      <c r="A241" s="104" t="s">
        <v>1024</v>
      </c>
      <c r="B241" s="104" t="s">
        <v>214</v>
      </c>
      <c r="C241" s="104" t="s">
        <v>535</v>
      </c>
      <c r="D241" s="104" t="s">
        <v>1025</v>
      </c>
      <c r="E241" s="104" t="s">
        <v>537</v>
      </c>
      <c r="F241" s="104" t="s">
        <v>1026</v>
      </c>
      <c r="G241" s="150">
        <f>+1</f>
        <v>1</v>
      </c>
      <c r="H241" s="104">
        <v>1.0</v>
      </c>
    </row>
    <row r="242">
      <c r="A242" s="104" t="s">
        <v>1027</v>
      </c>
      <c r="B242" s="104" t="s">
        <v>294</v>
      </c>
      <c r="C242" s="104" t="s">
        <v>535</v>
      </c>
      <c r="D242" s="104" t="s">
        <v>1028</v>
      </c>
      <c r="E242" s="104" t="s">
        <v>870</v>
      </c>
      <c r="F242" s="104" t="s">
        <v>1029</v>
      </c>
      <c r="G242" s="104">
        <v>-1.0</v>
      </c>
      <c r="H242" s="104">
        <v>-1.0</v>
      </c>
    </row>
    <row r="243">
      <c r="A243" s="104" t="s">
        <v>1030</v>
      </c>
      <c r="B243" s="104" t="s">
        <v>184</v>
      </c>
      <c r="C243" s="104" t="s">
        <v>535</v>
      </c>
      <c r="D243" s="104" t="s">
        <v>1031</v>
      </c>
      <c r="E243" s="104" t="s">
        <v>699</v>
      </c>
      <c r="F243" s="104" t="s">
        <v>1032</v>
      </c>
      <c r="G243" s="104">
        <v>-3.0</v>
      </c>
      <c r="H243" s="104">
        <v>-3.0</v>
      </c>
    </row>
    <row r="244">
      <c r="A244" s="104" t="s">
        <v>1033</v>
      </c>
      <c r="B244" s="104" t="s">
        <v>229</v>
      </c>
      <c r="C244" s="104" t="s">
        <v>535</v>
      </c>
      <c r="D244" s="104" t="s">
        <v>1034</v>
      </c>
      <c r="E244" s="104" t="s">
        <v>611</v>
      </c>
      <c r="F244" s="104" t="s">
        <v>1035</v>
      </c>
      <c r="G244" s="150">
        <f>+2</f>
        <v>2</v>
      </c>
      <c r="H244" s="104">
        <v>2.0</v>
      </c>
    </row>
    <row r="245">
      <c r="A245" s="104" t="s">
        <v>1036</v>
      </c>
      <c r="B245" s="104" t="s">
        <v>140</v>
      </c>
      <c r="C245" s="104" t="s">
        <v>535</v>
      </c>
      <c r="D245" s="104" t="s">
        <v>1037</v>
      </c>
      <c r="E245" s="104" t="s">
        <v>699</v>
      </c>
      <c r="F245" s="104" t="s">
        <v>1038</v>
      </c>
      <c r="G245" s="104">
        <v>-3.0</v>
      </c>
      <c r="H245" s="104">
        <v>-3.0</v>
      </c>
    </row>
    <row r="246">
      <c r="A246" s="104" t="s">
        <v>1039</v>
      </c>
      <c r="B246" s="104" t="s">
        <v>225</v>
      </c>
      <c r="C246" s="104" t="s">
        <v>535</v>
      </c>
      <c r="D246" s="104" t="s">
        <v>1040</v>
      </c>
      <c r="E246" s="104" t="s">
        <v>555</v>
      </c>
      <c r="F246" s="104" t="s">
        <v>1041</v>
      </c>
      <c r="G246" s="150">
        <f>+3</f>
        <v>3</v>
      </c>
      <c r="H246" s="104">
        <v>3.0</v>
      </c>
    </row>
    <row r="247">
      <c r="A247" s="104" t="s">
        <v>1042</v>
      </c>
      <c r="B247" s="104" t="s">
        <v>193</v>
      </c>
      <c r="C247" s="104" t="s">
        <v>535</v>
      </c>
      <c r="D247" s="104" t="s">
        <v>1043</v>
      </c>
      <c r="E247" s="104" t="s">
        <v>699</v>
      </c>
      <c r="F247" s="104" t="s">
        <v>1044</v>
      </c>
      <c r="G247" s="104">
        <v>-3.0</v>
      </c>
      <c r="H247" s="104">
        <v>-3.0</v>
      </c>
    </row>
    <row r="248">
      <c r="A248" s="104" t="s">
        <v>1045</v>
      </c>
      <c r="B248" s="104" t="s">
        <v>177</v>
      </c>
      <c r="C248" s="104" t="s">
        <v>535</v>
      </c>
      <c r="D248" s="104" t="s">
        <v>1046</v>
      </c>
      <c r="E248" s="104" t="s">
        <v>699</v>
      </c>
      <c r="F248" s="104" t="s">
        <v>1047</v>
      </c>
      <c r="G248" s="104">
        <v>-3.0</v>
      </c>
      <c r="H248" s="104">
        <v>-3.0</v>
      </c>
    </row>
    <row r="249">
      <c r="A249" s="104" t="s">
        <v>1048</v>
      </c>
      <c r="B249" s="104" t="s">
        <v>272</v>
      </c>
      <c r="C249" s="104" t="s">
        <v>535</v>
      </c>
      <c r="D249" s="104" t="s">
        <v>1049</v>
      </c>
      <c r="E249" s="104" t="s">
        <v>537</v>
      </c>
      <c r="F249" s="104" t="s">
        <v>1050</v>
      </c>
      <c r="G249" s="150">
        <f>+1</f>
        <v>1</v>
      </c>
      <c r="H249" s="104">
        <v>1.0</v>
      </c>
    </row>
    <row r="250">
      <c r="A250" s="104" t="s">
        <v>1051</v>
      </c>
      <c r="B250" s="104" t="s">
        <v>257</v>
      </c>
      <c r="C250" s="104" t="s">
        <v>535</v>
      </c>
      <c r="D250" s="104" t="s">
        <v>1052</v>
      </c>
      <c r="E250" s="104" t="s">
        <v>594</v>
      </c>
      <c r="F250" s="104" t="s">
        <v>1053</v>
      </c>
      <c r="G250" s="104">
        <v>-2.0</v>
      </c>
      <c r="H250" s="104">
        <v>-2.0</v>
      </c>
    </row>
    <row r="251">
      <c r="A251" s="104" t="s">
        <v>1054</v>
      </c>
      <c r="B251" s="104" t="s">
        <v>132</v>
      </c>
      <c r="C251" s="104" t="s">
        <v>535</v>
      </c>
      <c r="D251" s="104" t="s">
        <v>1055</v>
      </c>
      <c r="E251" s="104" t="s">
        <v>537</v>
      </c>
      <c r="F251" s="104" t="s">
        <v>1056</v>
      </c>
      <c r="G251" s="150">
        <f>+1</f>
        <v>1</v>
      </c>
      <c r="H251" s="104">
        <v>1.0</v>
      </c>
    </row>
    <row r="252">
      <c r="A252" s="104" t="s">
        <v>1057</v>
      </c>
      <c r="B252" s="104" t="s">
        <v>258</v>
      </c>
      <c r="C252" s="104" t="s">
        <v>535</v>
      </c>
      <c r="D252" s="104" t="s">
        <v>1058</v>
      </c>
      <c r="E252" s="104" t="s">
        <v>611</v>
      </c>
      <c r="F252" s="104" t="s">
        <v>1059</v>
      </c>
      <c r="G252" s="150">
        <f>+2</f>
        <v>2</v>
      </c>
      <c r="H252" s="104">
        <v>2.0</v>
      </c>
    </row>
    <row r="253">
      <c r="A253" s="104" t="s">
        <v>1060</v>
      </c>
      <c r="B253" s="104" t="s">
        <v>86</v>
      </c>
      <c r="C253" s="104" t="s">
        <v>535</v>
      </c>
      <c r="D253" s="104" t="s">
        <v>1061</v>
      </c>
      <c r="E253" s="104" t="s">
        <v>699</v>
      </c>
      <c r="F253" s="104" t="s">
        <v>1062</v>
      </c>
      <c r="G253" s="104">
        <v>-3.0</v>
      </c>
      <c r="H253" s="104">
        <v>-3.0</v>
      </c>
    </row>
    <row r="254">
      <c r="A254" s="104" t="s">
        <v>1063</v>
      </c>
      <c r="B254" s="104" t="s">
        <v>134</v>
      </c>
      <c r="C254" s="104" t="s">
        <v>535</v>
      </c>
      <c r="D254" s="104" t="s">
        <v>1064</v>
      </c>
      <c r="E254" s="104" t="s">
        <v>555</v>
      </c>
      <c r="F254" s="104" t="s">
        <v>1065</v>
      </c>
      <c r="G254" s="150">
        <f>+3</f>
        <v>3</v>
      </c>
      <c r="H254" s="104">
        <v>3.0</v>
      </c>
    </row>
    <row r="255">
      <c r="A255" s="104" t="s">
        <v>1066</v>
      </c>
      <c r="B255" s="104" t="s">
        <v>205</v>
      </c>
      <c r="C255" s="104" t="s">
        <v>535</v>
      </c>
      <c r="D255" s="104" t="s">
        <v>1067</v>
      </c>
      <c r="E255" s="104" t="s">
        <v>699</v>
      </c>
      <c r="F255" s="104" t="s">
        <v>1068</v>
      </c>
      <c r="G255" s="104">
        <v>-3.0</v>
      </c>
      <c r="H255" s="104">
        <v>-3.0</v>
      </c>
    </row>
    <row r="256">
      <c r="A256" s="104" t="s">
        <v>1069</v>
      </c>
      <c r="B256" s="104" t="s">
        <v>174</v>
      </c>
      <c r="C256" s="104" t="s">
        <v>535</v>
      </c>
      <c r="D256" s="104" t="s">
        <v>1070</v>
      </c>
      <c r="E256" s="104" t="s">
        <v>699</v>
      </c>
      <c r="F256" s="104" t="s">
        <v>1071</v>
      </c>
      <c r="G256" s="104">
        <v>-3.0</v>
      </c>
      <c r="H256" s="104">
        <v>-3.0</v>
      </c>
    </row>
    <row r="257">
      <c r="A257" s="104" t="s">
        <v>1072</v>
      </c>
      <c r="B257" s="104" t="s">
        <v>198</v>
      </c>
      <c r="C257" s="104" t="s">
        <v>535</v>
      </c>
      <c r="D257" s="104" t="s">
        <v>1073</v>
      </c>
      <c r="E257" s="104" t="s">
        <v>699</v>
      </c>
      <c r="F257" s="104" t="s">
        <v>1074</v>
      </c>
      <c r="G257" s="104">
        <v>-3.0</v>
      </c>
      <c r="H257" s="104">
        <v>-3.0</v>
      </c>
    </row>
    <row r="258">
      <c r="A258" s="104" t="s">
        <v>1075</v>
      </c>
      <c r="B258" s="104" t="s">
        <v>179</v>
      </c>
      <c r="C258" s="104" t="s">
        <v>535</v>
      </c>
      <c r="D258" s="104" t="s">
        <v>1076</v>
      </c>
      <c r="E258" s="104" t="s">
        <v>611</v>
      </c>
      <c r="F258" s="104" t="s">
        <v>1077</v>
      </c>
      <c r="G258" s="150">
        <f>+2</f>
        <v>2</v>
      </c>
      <c r="H258" s="104">
        <v>2.0</v>
      </c>
    </row>
    <row r="259">
      <c r="A259" s="104" t="s">
        <v>1078</v>
      </c>
      <c r="B259" s="104" t="s">
        <v>275</v>
      </c>
      <c r="C259" s="104" t="s">
        <v>535</v>
      </c>
      <c r="D259" s="104" t="s">
        <v>1079</v>
      </c>
      <c r="E259" s="104" t="s">
        <v>537</v>
      </c>
      <c r="F259" s="104" t="s">
        <v>1080</v>
      </c>
      <c r="G259" s="150">
        <f>+1</f>
        <v>1</v>
      </c>
      <c r="H259" s="104">
        <v>1.0</v>
      </c>
    </row>
    <row r="260">
      <c r="A260" s="104" t="s">
        <v>1081</v>
      </c>
      <c r="B260" s="104" t="s">
        <v>215</v>
      </c>
      <c r="C260" s="104" t="s">
        <v>535</v>
      </c>
      <c r="D260" s="104" t="s">
        <v>1082</v>
      </c>
      <c r="E260" s="104" t="s">
        <v>594</v>
      </c>
      <c r="F260" s="104" t="s">
        <v>1083</v>
      </c>
      <c r="G260" s="104">
        <v>-2.0</v>
      </c>
      <c r="H260" s="104">
        <v>-2.0</v>
      </c>
    </row>
    <row r="261">
      <c r="A261" s="104" t="s">
        <v>1084</v>
      </c>
      <c r="B261" s="104" t="s">
        <v>223</v>
      </c>
      <c r="C261" s="104" t="s">
        <v>535</v>
      </c>
      <c r="D261" s="104" t="s">
        <v>1085</v>
      </c>
      <c r="E261" s="104" t="s">
        <v>699</v>
      </c>
      <c r="F261" s="104" t="s">
        <v>1086</v>
      </c>
      <c r="G261" s="104">
        <v>-3.0</v>
      </c>
      <c r="H261" s="104">
        <v>-3.0</v>
      </c>
    </row>
    <row r="262">
      <c r="A262" s="104" t="s">
        <v>1087</v>
      </c>
      <c r="B262" s="104" t="s">
        <v>247</v>
      </c>
      <c r="C262" s="104" t="s">
        <v>535</v>
      </c>
      <c r="D262" s="104" t="s">
        <v>1088</v>
      </c>
      <c r="E262" s="104" t="s">
        <v>594</v>
      </c>
      <c r="F262" s="104" t="s">
        <v>1089</v>
      </c>
      <c r="G262" s="104">
        <v>-2.0</v>
      </c>
      <c r="H262" s="104">
        <v>-2.0</v>
      </c>
    </row>
    <row r="263">
      <c r="A263" s="104" t="s">
        <v>1090</v>
      </c>
      <c r="B263" s="104" t="s">
        <v>261</v>
      </c>
      <c r="C263" s="104" t="s">
        <v>535</v>
      </c>
      <c r="D263" s="104" t="s">
        <v>1091</v>
      </c>
      <c r="E263" s="104" t="s">
        <v>594</v>
      </c>
      <c r="F263" s="104" t="s">
        <v>1092</v>
      </c>
      <c r="G263" s="104">
        <v>-2.0</v>
      </c>
      <c r="H263" s="104">
        <v>-2.0</v>
      </c>
    </row>
    <row r="264">
      <c r="A264" s="104" t="s">
        <v>1093</v>
      </c>
      <c r="B264" s="104" t="s">
        <v>186</v>
      </c>
      <c r="C264" s="104" t="s">
        <v>535</v>
      </c>
      <c r="D264" s="104" t="s">
        <v>1094</v>
      </c>
      <c r="E264" s="104" t="s">
        <v>611</v>
      </c>
      <c r="F264" s="104" t="s">
        <v>1095</v>
      </c>
      <c r="G264" s="150">
        <f>+2</f>
        <v>2</v>
      </c>
      <c r="H264" s="104">
        <v>2.0</v>
      </c>
    </row>
    <row r="265">
      <c r="A265" s="104" t="s">
        <v>1096</v>
      </c>
      <c r="B265" s="104" t="s">
        <v>250</v>
      </c>
      <c r="C265" s="104" t="s">
        <v>461</v>
      </c>
      <c r="D265" s="104" t="s">
        <v>1097</v>
      </c>
      <c r="E265" s="104" t="s">
        <v>463</v>
      </c>
      <c r="F265" s="104" t="s">
        <v>1097</v>
      </c>
    </row>
    <row r="266">
      <c r="A266" s="104" t="s">
        <v>1098</v>
      </c>
      <c r="B266" s="104" t="s">
        <v>264</v>
      </c>
      <c r="C266" s="104" t="s">
        <v>461</v>
      </c>
      <c r="D266" s="104" t="s">
        <v>1099</v>
      </c>
      <c r="E266" s="104" t="s">
        <v>463</v>
      </c>
      <c r="F266" s="104" t="s">
        <v>1099</v>
      </c>
    </row>
    <row r="267">
      <c r="A267" s="104" t="s">
        <v>1100</v>
      </c>
      <c r="B267" s="104" t="s">
        <v>151</v>
      </c>
      <c r="C267" s="104" t="s">
        <v>461</v>
      </c>
      <c r="D267" s="104" t="s">
        <v>1101</v>
      </c>
      <c r="E267" s="104" t="s">
        <v>463</v>
      </c>
      <c r="F267" s="104" t="s">
        <v>1101</v>
      </c>
    </row>
    <row r="268">
      <c r="A268" s="104" t="s">
        <v>1102</v>
      </c>
      <c r="B268" s="104" t="s">
        <v>224</v>
      </c>
      <c r="C268" s="104" t="s">
        <v>461</v>
      </c>
      <c r="D268" s="104" t="s">
        <v>1103</v>
      </c>
      <c r="E268" s="104" t="s">
        <v>463</v>
      </c>
      <c r="F268" s="104" t="s">
        <v>1103</v>
      </c>
    </row>
    <row r="269">
      <c r="A269" s="104" t="s">
        <v>1104</v>
      </c>
      <c r="B269" s="104" t="s">
        <v>151</v>
      </c>
      <c r="C269" s="104" t="s">
        <v>535</v>
      </c>
      <c r="D269" s="104" t="s">
        <v>1105</v>
      </c>
      <c r="E269" s="104" t="s">
        <v>537</v>
      </c>
      <c r="F269" s="104" t="s">
        <v>1106</v>
      </c>
      <c r="G269" s="150">
        <f>+1</f>
        <v>1</v>
      </c>
      <c r="H269" s="104">
        <v>1.0</v>
      </c>
    </row>
    <row r="270">
      <c r="A270" s="104" t="s">
        <v>1107</v>
      </c>
      <c r="B270" s="104" t="s">
        <v>88</v>
      </c>
      <c r="C270" s="104" t="s">
        <v>535</v>
      </c>
      <c r="D270" s="104" t="s">
        <v>1108</v>
      </c>
      <c r="E270" s="104" t="s">
        <v>594</v>
      </c>
      <c r="F270" s="104" t="s">
        <v>1109</v>
      </c>
      <c r="G270" s="104">
        <v>-2.0</v>
      </c>
      <c r="H270" s="104">
        <v>-2.0</v>
      </c>
    </row>
    <row r="271">
      <c r="A271" s="104" t="s">
        <v>1110</v>
      </c>
      <c r="B271" s="104" t="s">
        <v>283</v>
      </c>
      <c r="C271" s="104" t="s">
        <v>535</v>
      </c>
      <c r="D271" s="104" t="s">
        <v>1111</v>
      </c>
      <c r="E271" s="104" t="s">
        <v>537</v>
      </c>
      <c r="F271" s="104" t="s">
        <v>1112</v>
      </c>
      <c r="G271" s="150">
        <f>+1</f>
        <v>1</v>
      </c>
      <c r="H271" s="104">
        <v>1.0</v>
      </c>
    </row>
    <row r="272">
      <c r="A272" s="104" t="s">
        <v>1113</v>
      </c>
      <c r="B272" s="104" t="s">
        <v>256</v>
      </c>
      <c r="C272" s="104" t="s">
        <v>535</v>
      </c>
      <c r="D272" s="104" t="s">
        <v>1114</v>
      </c>
      <c r="E272" s="104" t="s">
        <v>594</v>
      </c>
      <c r="F272" s="104" t="s">
        <v>1115</v>
      </c>
      <c r="G272" s="104">
        <v>-2.0</v>
      </c>
      <c r="H272" s="104">
        <v>-2.0</v>
      </c>
    </row>
    <row r="273">
      <c r="A273" s="104" t="s">
        <v>1116</v>
      </c>
      <c r="B273" s="104" t="s">
        <v>250</v>
      </c>
      <c r="C273" s="104" t="s">
        <v>535</v>
      </c>
      <c r="D273" s="104" t="s">
        <v>1117</v>
      </c>
      <c r="E273" s="104" t="s">
        <v>537</v>
      </c>
      <c r="F273" s="104" t="s">
        <v>1118</v>
      </c>
      <c r="G273" s="150">
        <f>+1</f>
        <v>1</v>
      </c>
      <c r="H273" s="104">
        <v>1.0</v>
      </c>
    </row>
    <row r="274">
      <c r="A274" s="104" t="s">
        <v>1119</v>
      </c>
      <c r="B274" s="104" t="s">
        <v>182</v>
      </c>
      <c r="C274" s="104" t="s">
        <v>535</v>
      </c>
      <c r="D274" s="104" t="s">
        <v>1120</v>
      </c>
      <c r="E274" s="104" t="s">
        <v>555</v>
      </c>
      <c r="F274" s="104" t="s">
        <v>1121</v>
      </c>
      <c r="G274" s="150">
        <f>+3</f>
        <v>3</v>
      </c>
      <c r="H274" s="104">
        <v>3.0</v>
      </c>
    </row>
    <row r="275">
      <c r="A275" s="104" t="s">
        <v>1122</v>
      </c>
      <c r="B275" s="104" t="s">
        <v>194</v>
      </c>
      <c r="C275" s="104" t="s">
        <v>461</v>
      </c>
      <c r="D275" s="104" t="s">
        <v>1123</v>
      </c>
      <c r="E275" s="104" t="s">
        <v>463</v>
      </c>
      <c r="F275" s="104" t="s">
        <v>1123</v>
      </c>
    </row>
    <row r="276">
      <c r="A276" s="104" t="s">
        <v>1124</v>
      </c>
      <c r="B276" s="104" t="s">
        <v>168</v>
      </c>
      <c r="C276" s="104" t="s">
        <v>535</v>
      </c>
      <c r="D276" s="104" t="s">
        <v>1125</v>
      </c>
      <c r="E276" s="104" t="s">
        <v>537</v>
      </c>
      <c r="F276" s="104" t="s">
        <v>1126</v>
      </c>
      <c r="G276" s="150">
        <f>+1</f>
        <v>1</v>
      </c>
      <c r="H276" s="104">
        <v>1.0</v>
      </c>
    </row>
    <row r="277">
      <c r="A277" s="104" t="s">
        <v>1127</v>
      </c>
      <c r="B277" s="104" t="s">
        <v>206</v>
      </c>
      <c r="C277" s="104" t="s">
        <v>535</v>
      </c>
      <c r="D277" s="104" t="s">
        <v>1128</v>
      </c>
      <c r="E277" s="104" t="s">
        <v>611</v>
      </c>
      <c r="F277" s="104" t="s">
        <v>1129</v>
      </c>
      <c r="G277" s="150">
        <f>+2</f>
        <v>2</v>
      </c>
      <c r="H277" s="104">
        <v>2.0</v>
      </c>
    </row>
    <row r="278">
      <c r="A278" s="104" t="s">
        <v>1130</v>
      </c>
      <c r="B278" s="104" t="s">
        <v>284</v>
      </c>
      <c r="C278" s="104" t="s">
        <v>535</v>
      </c>
      <c r="D278" s="104" t="s">
        <v>1131</v>
      </c>
      <c r="E278" s="104" t="s">
        <v>699</v>
      </c>
      <c r="F278" s="104" t="s">
        <v>1132</v>
      </c>
      <c r="G278" s="104">
        <v>-3.0</v>
      </c>
      <c r="H278" s="104">
        <v>-3.0</v>
      </c>
    </row>
    <row r="279">
      <c r="A279" s="104" t="s">
        <v>1133</v>
      </c>
      <c r="B279" s="104" t="s">
        <v>146</v>
      </c>
      <c r="C279" s="104" t="s">
        <v>535</v>
      </c>
      <c r="D279" s="104" t="s">
        <v>1134</v>
      </c>
      <c r="E279" s="104" t="s">
        <v>870</v>
      </c>
      <c r="F279" s="104" t="s">
        <v>1135</v>
      </c>
      <c r="G279" s="104">
        <v>-1.0</v>
      </c>
      <c r="H279" s="104">
        <v>-1.0</v>
      </c>
    </row>
    <row r="280">
      <c r="A280" s="104" t="s">
        <v>1136</v>
      </c>
      <c r="B280" s="104" t="s">
        <v>194</v>
      </c>
      <c r="C280" s="104" t="s">
        <v>535</v>
      </c>
      <c r="D280" s="104" t="s">
        <v>1137</v>
      </c>
      <c r="E280" s="104" t="s">
        <v>537</v>
      </c>
      <c r="F280" s="104" t="s">
        <v>1138</v>
      </c>
      <c r="G280" s="150">
        <f>+1</f>
        <v>1</v>
      </c>
      <c r="H280" s="104">
        <v>1.0</v>
      </c>
    </row>
    <row r="281">
      <c r="A281" s="104" t="s">
        <v>1139</v>
      </c>
      <c r="B281" s="104" t="s">
        <v>143</v>
      </c>
      <c r="C281" s="104" t="s">
        <v>535</v>
      </c>
      <c r="D281" s="104" t="s">
        <v>1140</v>
      </c>
      <c r="E281" s="104" t="s">
        <v>870</v>
      </c>
      <c r="F281" s="104" t="s">
        <v>1141</v>
      </c>
      <c r="G281" s="104">
        <v>-1.0</v>
      </c>
      <c r="H281" s="104">
        <v>-1.0</v>
      </c>
    </row>
    <row r="282">
      <c r="A282" s="104" t="s">
        <v>1142</v>
      </c>
      <c r="B282" s="104" t="s">
        <v>278</v>
      </c>
      <c r="C282" s="104" t="s">
        <v>535</v>
      </c>
      <c r="D282" s="104" t="s">
        <v>1143</v>
      </c>
      <c r="E282" s="104" t="s">
        <v>870</v>
      </c>
      <c r="F282" s="104" t="s">
        <v>1144</v>
      </c>
      <c r="G282" s="104">
        <v>-1.0</v>
      </c>
      <c r="H282" s="104">
        <v>-1.0</v>
      </c>
    </row>
    <row r="283">
      <c r="A283" s="104" t="s">
        <v>1145</v>
      </c>
      <c r="B283" s="104" t="s">
        <v>142</v>
      </c>
      <c r="C283" s="104" t="s">
        <v>535</v>
      </c>
      <c r="D283" s="104" t="s">
        <v>1146</v>
      </c>
      <c r="E283" s="104" t="s">
        <v>555</v>
      </c>
      <c r="F283" s="104" t="s">
        <v>1147</v>
      </c>
      <c r="G283" s="150">
        <f>+3</f>
        <v>3</v>
      </c>
      <c r="H283" s="104">
        <v>3.0</v>
      </c>
    </row>
    <row r="284">
      <c r="A284" s="104" t="s">
        <v>1148</v>
      </c>
      <c r="B284" s="104" t="s">
        <v>199</v>
      </c>
      <c r="C284" s="104" t="s">
        <v>461</v>
      </c>
      <c r="D284" s="104" t="s">
        <v>1149</v>
      </c>
      <c r="E284" s="104" t="s">
        <v>463</v>
      </c>
      <c r="F284" s="104" t="s">
        <v>1149</v>
      </c>
    </row>
    <row r="285">
      <c r="A285" s="104" t="s">
        <v>1150</v>
      </c>
      <c r="B285" s="104" t="s">
        <v>199</v>
      </c>
      <c r="C285" s="104" t="s">
        <v>535</v>
      </c>
      <c r="D285" s="104" t="s">
        <v>1151</v>
      </c>
      <c r="E285" s="104" t="s">
        <v>594</v>
      </c>
      <c r="F285" s="104" t="s">
        <v>1152</v>
      </c>
      <c r="G285" s="104">
        <v>-2.0</v>
      </c>
      <c r="H285" s="104">
        <v>-2.0</v>
      </c>
    </row>
    <row r="286">
      <c r="A286" s="104" t="s">
        <v>1153</v>
      </c>
      <c r="B286" s="104" t="s">
        <v>195</v>
      </c>
      <c r="C286" s="104" t="s">
        <v>535</v>
      </c>
      <c r="D286" s="104" t="s">
        <v>1154</v>
      </c>
      <c r="E286" s="104" t="s">
        <v>870</v>
      </c>
      <c r="F286" s="104" t="s">
        <v>1155</v>
      </c>
      <c r="G286" s="104">
        <v>-1.0</v>
      </c>
      <c r="H286" s="104">
        <v>-1.0</v>
      </c>
    </row>
    <row r="287">
      <c r="A287" s="104" t="s">
        <v>1156</v>
      </c>
      <c r="B287" s="104" t="s">
        <v>306</v>
      </c>
      <c r="C287" s="104" t="s">
        <v>535</v>
      </c>
      <c r="D287" s="104" t="s">
        <v>1157</v>
      </c>
      <c r="E287" s="104" t="s">
        <v>611</v>
      </c>
      <c r="F287" s="104" t="s">
        <v>1158</v>
      </c>
      <c r="G287" s="150">
        <f>+2</f>
        <v>2</v>
      </c>
      <c r="H287" s="104">
        <v>2.0</v>
      </c>
    </row>
    <row r="288">
      <c r="A288" s="104" t="s">
        <v>1159</v>
      </c>
      <c r="B288" s="104" t="s">
        <v>212</v>
      </c>
      <c r="C288" s="104" t="s">
        <v>535</v>
      </c>
      <c r="D288" s="104" t="s">
        <v>1160</v>
      </c>
      <c r="E288" s="104" t="s">
        <v>594</v>
      </c>
      <c r="F288" s="104" t="s">
        <v>1161</v>
      </c>
      <c r="G288" s="104">
        <v>-2.0</v>
      </c>
      <c r="H288" s="104">
        <v>-2.0</v>
      </c>
    </row>
    <row r="289">
      <c r="A289" s="104" t="s">
        <v>1162</v>
      </c>
      <c r="B289" s="104" t="s">
        <v>155</v>
      </c>
      <c r="C289" s="104" t="s">
        <v>535</v>
      </c>
      <c r="D289" s="104" t="s">
        <v>1163</v>
      </c>
      <c r="E289" s="104" t="s">
        <v>611</v>
      </c>
      <c r="F289" s="104" t="s">
        <v>1164</v>
      </c>
      <c r="G289" s="150">
        <f>+2</f>
        <v>2</v>
      </c>
      <c r="H289" s="104">
        <v>2.0</v>
      </c>
    </row>
    <row r="290">
      <c r="A290" s="104" t="s">
        <v>1165</v>
      </c>
      <c r="B290" s="104" t="s">
        <v>104</v>
      </c>
      <c r="C290" s="104" t="s">
        <v>535</v>
      </c>
      <c r="D290" s="104" t="s">
        <v>1166</v>
      </c>
      <c r="E290" s="104" t="s">
        <v>555</v>
      </c>
      <c r="F290" s="104" t="s">
        <v>1167</v>
      </c>
      <c r="G290" s="150">
        <f>+3</f>
        <v>3</v>
      </c>
      <c r="H290" s="104">
        <v>3.0</v>
      </c>
    </row>
    <row r="291">
      <c r="A291" s="104" t="s">
        <v>1168</v>
      </c>
      <c r="B291" s="104" t="s">
        <v>285</v>
      </c>
      <c r="C291" s="104" t="s">
        <v>535</v>
      </c>
      <c r="D291" s="104" t="s">
        <v>1169</v>
      </c>
      <c r="E291" s="104" t="s">
        <v>611</v>
      </c>
      <c r="F291" s="104" t="s">
        <v>1170</v>
      </c>
      <c r="G291" s="150">
        <f>+2</f>
        <v>2</v>
      </c>
      <c r="H291" s="104">
        <v>2.0</v>
      </c>
    </row>
    <row r="292">
      <c r="A292" s="104" t="s">
        <v>1171</v>
      </c>
      <c r="B292" s="104" t="s">
        <v>237</v>
      </c>
      <c r="C292" s="104" t="s">
        <v>535</v>
      </c>
      <c r="D292" s="104" t="s">
        <v>1172</v>
      </c>
      <c r="E292" s="104" t="s">
        <v>594</v>
      </c>
      <c r="F292" s="104" t="s">
        <v>1173</v>
      </c>
      <c r="G292" s="104">
        <v>-2.0</v>
      </c>
      <c r="H292" s="104">
        <v>-2.0</v>
      </c>
    </row>
    <row r="293">
      <c r="A293" s="104" t="s">
        <v>1174</v>
      </c>
      <c r="B293" s="104" t="s">
        <v>224</v>
      </c>
      <c r="C293" s="104" t="s">
        <v>535</v>
      </c>
      <c r="D293" s="104" t="s">
        <v>1175</v>
      </c>
      <c r="E293" s="104" t="s">
        <v>594</v>
      </c>
      <c r="F293" s="104" t="s">
        <v>1176</v>
      </c>
      <c r="G293" s="104">
        <v>-2.0</v>
      </c>
      <c r="H293" s="104">
        <v>-2.0</v>
      </c>
    </row>
    <row r="294">
      <c r="A294" s="104" t="s">
        <v>1177</v>
      </c>
      <c r="B294" s="104" t="s">
        <v>156</v>
      </c>
      <c r="C294" s="104" t="s">
        <v>535</v>
      </c>
      <c r="D294" s="104" t="s">
        <v>1178</v>
      </c>
      <c r="E294" s="104" t="s">
        <v>555</v>
      </c>
      <c r="F294" s="104" t="s">
        <v>1179</v>
      </c>
      <c r="G294" s="150">
        <f t="shared" ref="G294:G295" si="3">+3</f>
        <v>3</v>
      </c>
      <c r="H294" s="104">
        <v>3.0</v>
      </c>
    </row>
    <row r="295">
      <c r="A295" s="104" t="s">
        <v>1180</v>
      </c>
      <c r="B295" s="104" t="s">
        <v>222</v>
      </c>
      <c r="C295" s="104" t="s">
        <v>535</v>
      </c>
      <c r="D295" s="104" t="s">
        <v>1181</v>
      </c>
      <c r="E295" s="104" t="s">
        <v>555</v>
      </c>
      <c r="F295" s="104" t="s">
        <v>1182</v>
      </c>
      <c r="G295" s="150">
        <f t="shared" si="3"/>
        <v>3</v>
      </c>
      <c r="H295" s="104">
        <v>3.0</v>
      </c>
    </row>
    <row r="296">
      <c r="A296" s="104" t="s">
        <v>1183</v>
      </c>
      <c r="B296" s="104" t="s">
        <v>172</v>
      </c>
      <c r="C296" s="104" t="s">
        <v>535</v>
      </c>
      <c r="D296" s="104" t="s">
        <v>1184</v>
      </c>
      <c r="E296" s="104" t="s">
        <v>537</v>
      </c>
      <c r="F296" s="104" t="s">
        <v>1185</v>
      </c>
      <c r="G296" s="150">
        <f>+1</f>
        <v>1</v>
      </c>
      <c r="H296" s="104">
        <v>1.0</v>
      </c>
    </row>
    <row r="297">
      <c r="A297" s="104" t="s">
        <v>1186</v>
      </c>
      <c r="B297" s="104" t="s">
        <v>92</v>
      </c>
      <c r="C297" s="104" t="s">
        <v>535</v>
      </c>
      <c r="D297" s="104" t="s">
        <v>1187</v>
      </c>
      <c r="E297" s="104" t="s">
        <v>699</v>
      </c>
      <c r="F297" s="104" t="s">
        <v>1188</v>
      </c>
      <c r="G297" s="104">
        <v>-3.0</v>
      </c>
      <c r="H297" s="104">
        <v>-3.0</v>
      </c>
    </row>
    <row r="298">
      <c r="A298" s="104" t="s">
        <v>1186</v>
      </c>
      <c r="B298" s="104" t="s">
        <v>145</v>
      </c>
      <c r="C298" s="104" t="s">
        <v>535</v>
      </c>
      <c r="D298" s="104" t="s">
        <v>1189</v>
      </c>
      <c r="E298" s="104" t="s">
        <v>555</v>
      </c>
      <c r="F298" s="104" t="s">
        <v>1190</v>
      </c>
      <c r="G298" s="150">
        <f>+3</f>
        <v>3</v>
      </c>
      <c r="H298" s="104">
        <v>3.0</v>
      </c>
    </row>
    <row r="299">
      <c r="A299" s="104" t="s">
        <v>1186</v>
      </c>
      <c r="B299" s="104" t="s">
        <v>221</v>
      </c>
      <c r="C299" s="104" t="s">
        <v>535</v>
      </c>
      <c r="D299" s="104" t="s">
        <v>1191</v>
      </c>
      <c r="E299" s="104" t="s">
        <v>537</v>
      </c>
      <c r="F299" s="104" t="s">
        <v>1192</v>
      </c>
      <c r="G299" s="150">
        <f t="shared" ref="G299:G300" si="4">+1</f>
        <v>1</v>
      </c>
      <c r="H299" s="104">
        <v>1.0</v>
      </c>
    </row>
    <row r="300">
      <c r="A300" s="104" t="s">
        <v>1193</v>
      </c>
      <c r="B300" s="104" t="s">
        <v>80</v>
      </c>
      <c r="C300" s="104" t="s">
        <v>535</v>
      </c>
      <c r="D300" s="104" t="s">
        <v>1194</v>
      </c>
      <c r="E300" s="104" t="s">
        <v>537</v>
      </c>
      <c r="F300" s="104" t="s">
        <v>1195</v>
      </c>
      <c r="G300" s="150">
        <f t="shared" si="4"/>
        <v>1</v>
      </c>
      <c r="H300" s="104">
        <v>1.0</v>
      </c>
    </row>
    <row r="301">
      <c r="A301" s="104" t="s">
        <v>1193</v>
      </c>
      <c r="B301" s="104" t="s">
        <v>303</v>
      </c>
      <c r="C301" s="104" t="s">
        <v>535</v>
      </c>
      <c r="D301" s="104" t="s">
        <v>1196</v>
      </c>
      <c r="E301" s="104" t="s">
        <v>594</v>
      </c>
      <c r="F301" s="104" t="s">
        <v>1197</v>
      </c>
      <c r="G301" s="104">
        <v>-2.0</v>
      </c>
      <c r="H301" s="104">
        <v>-2.0</v>
      </c>
    </row>
    <row r="302">
      <c r="A302" s="104" t="s">
        <v>1198</v>
      </c>
      <c r="B302" s="104" t="s">
        <v>180</v>
      </c>
      <c r="C302" s="104" t="s">
        <v>535</v>
      </c>
      <c r="D302" s="104" t="s">
        <v>1199</v>
      </c>
      <c r="E302" s="104" t="s">
        <v>699</v>
      </c>
      <c r="F302" s="104" t="s">
        <v>1200</v>
      </c>
      <c r="G302" s="104">
        <v>-3.0</v>
      </c>
      <c r="H302" s="104">
        <v>-3.0</v>
      </c>
    </row>
    <row r="303">
      <c r="A303" s="104" t="s">
        <v>1201</v>
      </c>
      <c r="B303" s="104" t="s">
        <v>164</v>
      </c>
      <c r="C303" s="104" t="s">
        <v>535</v>
      </c>
      <c r="D303" s="104" t="s">
        <v>1202</v>
      </c>
      <c r="E303" s="104" t="s">
        <v>594</v>
      </c>
      <c r="F303" s="104" t="s">
        <v>1203</v>
      </c>
      <c r="G303" s="104">
        <v>-2.0</v>
      </c>
      <c r="H303" s="104">
        <v>-2.0</v>
      </c>
    </row>
    <row r="304">
      <c r="A304" s="104" t="s">
        <v>1204</v>
      </c>
      <c r="B304" s="104" t="s">
        <v>210</v>
      </c>
      <c r="C304" s="104" t="s">
        <v>535</v>
      </c>
      <c r="D304" s="104" t="s">
        <v>1205</v>
      </c>
      <c r="E304" s="104" t="s">
        <v>870</v>
      </c>
      <c r="F304" s="104" t="s">
        <v>1206</v>
      </c>
      <c r="G304" s="104">
        <v>-1.0</v>
      </c>
      <c r="H304" s="104">
        <v>-1.0</v>
      </c>
    </row>
    <row r="305">
      <c r="A305" s="104" t="s">
        <v>1207</v>
      </c>
      <c r="B305" s="104" t="s">
        <v>108</v>
      </c>
      <c r="C305" s="104" t="s">
        <v>535</v>
      </c>
      <c r="D305" s="104" t="s">
        <v>1208</v>
      </c>
      <c r="E305" s="104" t="s">
        <v>555</v>
      </c>
      <c r="F305" s="104" t="s">
        <v>1209</v>
      </c>
      <c r="G305" s="150">
        <f>+3</f>
        <v>3</v>
      </c>
      <c r="H305" s="104">
        <v>3.0</v>
      </c>
    </row>
    <row r="306">
      <c r="A306" s="104" t="s">
        <v>1210</v>
      </c>
      <c r="B306" s="104" t="s">
        <v>94</v>
      </c>
      <c r="C306" s="104" t="s">
        <v>535</v>
      </c>
      <c r="D306" s="104" t="s">
        <v>1211</v>
      </c>
      <c r="E306" s="104" t="s">
        <v>870</v>
      </c>
      <c r="F306" s="104" t="s">
        <v>1212</v>
      </c>
      <c r="G306" s="104">
        <v>-1.0</v>
      </c>
      <c r="H306" s="104">
        <v>-1.0</v>
      </c>
    </row>
    <row r="307">
      <c r="A307" s="104" t="s">
        <v>1213</v>
      </c>
      <c r="B307" s="104" t="s">
        <v>263</v>
      </c>
      <c r="C307" s="104" t="s">
        <v>535</v>
      </c>
      <c r="D307" s="104" t="s">
        <v>1214</v>
      </c>
      <c r="E307" s="104" t="s">
        <v>870</v>
      </c>
      <c r="F307" s="104" t="s">
        <v>1215</v>
      </c>
      <c r="G307" s="104">
        <v>-1.0</v>
      </c>
      <c r="H307" s="104">
        <v>-1.0</v>
      </c>
    </row>
    <row r="308">
      <c r="A308" s="104" t="s">
        <v>1216</v>
      </c>
      <c r="B308" s="104" t="s">
        <v>170</v>
      </c>
      <c r="C308" s="104" t="s">
        <v>535</v>
      </c>
      <c r="D308" s="104" t="s">
        <v>1217</v>
      </c>
      <c r="E308" s="104" t="s">
        <v>537</v>
      </c>
      <c r="F308" s="104" t="s">
        <v>1218</v>
      </c>
      <c r="G308" s="150">
        <f>+1</f>
        <v>1</v>
      </c>
      <c r="H308" s="104">
        <v>1.0</v>
      </c>
    </row>
    <row r="309">
      <c r="A309" s="104" t="s">
        <v>1219</v>
      </c>
      <c r="B309" s="104" t="s">
        <v>162</v>
      </c>
      <c r="C309" s="104" t="s">
        <v>461</v>
      </c>
      <c r="D309" s="104" t="s">
        <v>1220</v>
      </c>
      <c r="E309" s="104" t="s">
        <v>463</v>
      </c>
      <c r="F309" s="104" t="s">
        <v>1220</v>
      </c>
    </row>
    <row r="310">
      <c r="A310" s="104" t="s">
        <v>1221</v>
      </c>
      <c r="B310" s="104" t="s">
        <v>244</v>
      </c>
      <c r="C310" s="104" t="s">
        <v>535</v>
      </c>
      <c r="D310" s="104" t="s">
        <v>1222</v>
      </c>
      <c r="E310" s="104" t="s">
        <v>870</v>
      </c>
      <c r="F310" s="104" t="s">
        <v>1223</v>
      </c>
      <c r="G310" s="104">
        <v>-1.0</v>
      </c>
      <c r="H310" s="104">
        <v>-1.0</v>
      </c>
    </row>
    <row r="311">
      <c r="A311" s="104" t="s">
        <v>1224</v>
      </c>
      <c r="B311" s="104" t="s">
        <v>162</v>
      </c>
      <c r="C311" s="104" t="s">
        <v>535</v>
      </c>
      <c r="D311" s="104" t="s">
        <v>1225</v>
      </c>
      <c r="E311" s="104" t="s">
        <v>594</v>
      </c>
      <c r="F311" s="104" t="s">
        <v>1226</v>
      </c>
      <c r="G311" s="104">
        <v>-2.0</v>
      </c>
      <c r="H311" s="104">
        <v>-2.0</v>
      </c>
    </row>
    <row r="312">
      <c r="A312" s="104" t="s">
        <v>1227</v>
      </c>
      <c r="B312" s="104" t="s">
        <v>169</v>
      </c>
      <c r="C312" s="104" t="s">
        <v>535</v>
      </c>
      <c r="D312" s="104" t="s">
        <v>1228</v>
      </c>
      <c r="E312" s="104" t="s">
        <v>555</v>
      </c>
      <c r="F312" s="104" t="s">
        <v>1229</v>
      </c>
      <c r="G312" s="150">
        <f>+3</f>
        <v>3</v>
      </c>
      <c r="H312" s="104">
        <v>3.0</v>
      </c>
    </row>
    <row r="313">
      <c r="A313" s="104" t="s">
        <v>1230</v>
      </c>
      <c r="B313" s="104" t="s">
        <v>137</v>
      </c>
      <c r="C313" s="104" t="s">
        <v>535</v>
      </c>
      <c r="D313" s="104" t="s">
        <v>1231</v>
      </c>
      <c r="E313" s="104" t="s">
        <v>594</v>
      </c>
      <c r="F313" s="104" t="s">
        <v>1232</v>
      </c>
      <c r="G313" s="104">
        <v>-2.0</v>
      </c>
      <c r="H313" s="104">
        <v>-2.0</v>
      </c>
    </row>
    <row r="314">
      <c r="A314" s="104" t="s">
        <v>1233</v>
      </c>
      <c r="B314" s="104" t="s">
        <v>296</v>
      </c>
      <c r="C314" s="104" t="s">
        <v>535</v>
      </c>
      <c r="D314" s="104" t="s">
        <v>1234</v>
      </c>
      <c r="E314" s="104" t="s">
        <v>537</v>
      </c>
      <c r="F314" s="104" t="s">
        <v>1235</v>
      </c>
      <c r="G314" s="150">
        <f t="shared" ref="G314:G315" si="5">+1</f>
        <v>1</v>
      </c>
      <c r="H314" s="104">
        <v>1.0</v>
      </c>
    </row>
    <row r="315">
      <c r="A315" s="104" t="s">
        <v>1236</v>
      </c>
      <c r="B315" s="104" t="s">
        <v>105</v>
      </c>
      <c r="C315" s="104" t="s">
        <v>535</v>
      </c>
      <c r="D315" s="104" t="s">
        <v>1237</v>
      </c>
      <c r="E315" s="104" t="s">
        <v>537</v>
      </c>
      <c r="F315" s="104" t="s">
        <v>1238</v>
      </c>
      <c r="G315" s="150">
        <f t="shared" si="5"/>
        <v>1</v>
      </c>
      <c r="H315" s="104">
        <v>1.0</v>
      </c>
    </row>
    <row r="316">
      <c r="A316" s="104" t="s">
        <v>1239</v>
      </c>
      <c r="B316" s="104" t="s">
        <v>226</v>
      </c>
      <c r="C316" s="104" t="s">
        <v>535</v>
      </c>
      <c r="D316" s="104" t="s">
        <v>1240</v>
      </c>
      <c r="E316" s="104" t="s">
        <v>870</v>
      </c>
      <c r="F316" s="104" t="s">
        <v>1241</v>
      </c>
      <c r="G316" s="104">
        <v>-1.0</v>
      </c>
      <c r="H316" s="104">
        <v>-1.0</v>
      </c>
    </row>
    <row r="317">
      <c r="A317" s="104" t="s">
        <v>1242</v>
      </c>
      <c r="B317" s="104" t="s">
        <v>264</v>
      </c>
      <c r="C317" s="104" t="s">
        <v>535</v>
      </c>
      <c r="D317" s="104" t="s">
        <v>1243</v>
      </c>
      <c r="E317" s="104" t="s">
        <v>537</v>
      </c>
      <c r="F317" s="104" t="s">
        <v>1244</v>
      </c>
      <c r="G317" s="150">
        <f>+1</f>
        <v>1</v>
      </c>
      <c r="H317" s="104">
        <v>1.0</v>
      </c>
    </row>
    <row r="318">
      <c r="A318" s="104" t="s">
        <v>1245</v>
      </c>
      <c r="B318" s="104" t="s">
        <v>267</v>
      </c>
      <c r="C318" s="104" t="s">
        <v>535</v>
      </c>
      <c r="D318" s="104" t="s">
        <v>1246</v>
      </c>
      <c r="E318" s="104" t="s">
        <v>870</v>
      </c>
      <c r="F318" s="104" t="s">
        <v>1247</v>
      </c>
      <c r="G318" s="104">
        <v>-1.0</v>
      </c>
      <c r="H318" s="104">
        <v>-1.0</v>
      </c>
    </row>
    <row r="319">
      <c r="A319" s="104" t="s">
        <v>1248</v>
      </c>
      <c r="B319" s="104" t="s">
        <v>110</v>
      </c>
      <c r="C319" s="104" t="s">
        <v>535</v>
      </c>
      <c r="D319" s="104" t="s">
        <v>1249</v>
      </c>
      <c r="E319" s="104" t="s">
        <v>555</v>
      </c>
      <c r="F319" s="104" t="s">
        <v>1250</v>
      </c>
      <c r="G319" s="150">
        <f>+3</f>
        <v>3</v>
      </c>
      <c r="H319" s="104">
        <v>3.0</v>
      </c>
    </row>
    <row r="320">
      <c r="A320" s="104" t="s">
        <v>1251</v>
      </c>
      <c r="B320" s="104" t="s">
        <v>217</v>
      </c>
      <c r="C320" s="104" t="s">
        <v>535</v>
      </c>
      <c r="D320" s="104" t="s">
        <v>1252</v>
      </c>
      <c r="E320" s="104" t="s">
        <v>537</v>
      </c>
      <c r="F320" s="104" t="s">
        <v>1253</v>
      </c>
      <c r="G320" s="150">
        <f>+1</f>
        <v>1</v>
      </c>
      <c r="H320" s="104">
        <v>1.0</v>
      </c>
    </row>
    <row r="321">
      <c r="A321" s="104" t="s">
        <v>1254</v>
      </c>
      <c r="B321" s="104" t="s">
        <v>282</v>
      </c>
      <c r="C321" s="104" t="s">
        <v>535</v>
      </c>
      <c r="D321" s="104" t="s">
        <v>1255</v>
      </c>
      <c r="E321" s="104" t="s">
        <v>611</v>
      </c>
      <c r="F321" s="104" t="s">
        <v>1256</v>
      </c>
      <c r="G321" s="150">
        <f>+2</f>
        <v>2</v>
      </c>
      <c r="H321" s="104">
        <v>2.0</v>
      </c>
    </row>
    <row r="322">
      <c r="A322" s="104" t="s">
        <v>1257</v>
      </c>
      <c r="B322" s="104" t="s">
        <v>75</v>
      </c>
      <c r="C322" s="104" t="s">
        <v>535</v>
      </c>
      <c r="D322" s="104" t="s">
        <v>1258</v>
      </c>
      <c r="E322" s="104" t="s">
        <v>594</v>
      </c>
      <c r="F322" s="104" t="s">
        <v>1259</v>
      </c>
      <c r="G322" s="104">
        <v>-2.0</v>
      </c>
      <c r="H322" s="104">
        <v>-2.0</v>
      </c>
    </row>
    <row r="323">
      <c r="A323" s="104" t="s">
        <v>1260</v>
      </c>
      <c r="B323" s="104" t="s">
        <v>287</v>
      </c>
      <c r="C323" s="104" t="s">
        <v>535</v>
      </c>
      <c r="D323" s="104" t="s">
        <v>1261</v>
      </c>
      <c r="E323" s="104" t="s">
        <v>537</v>
      </c>
      <c r="F323" s="104" t="s">
        <v>1262</v>
      </c>
      <c r="G323" s="150">
        <f>+1</f>
        <v>1</v>
      </c>
      <c r="H323" s="104">
        <v>1.0</v>
      </c>
    </row>
    <row r="324">
      <c r="A324" s="104" t="s">
        <v>1263</v>
      </c>
      <c r="B324" s="104" t="s">
        <v>185</v>
      </c>
      <c r="C324" s="104" t="s">
        <v>535</v>
      </c>
      <c r="D324" s="104" t="s">
        <v>1264</v>
      </c>
      <c r="E324" s="104" t="s">
        <v>699</v>
      </c>
      <c r="F324" s="104" t="s">
        <v>1265</v>
      </c>
      <c r="G324" s="104">
        <v>-3.0</v>
      </c>
      <c r="H324" s="104">
        <v>-3.0</v>
      </c>
    </row>
    <row r="325">
      <c r="A325" s="104" t="s">
        <v>1266</v>
      </c>
      <c r="B325" s="104" t="s">
        <v>200</v>
      </c>
      <c r="C325" s="104" t="s">
        <v>535</v>
      </c>
      <c r="D325" s="104" t="s">
        <v>1267</v>
      </c>
      <c r="E325" s="104" t="s">
        <v>555</v>
      </c>
      <c r="F325" s="104" t="s">
        <v>1268</v>
      </c>
      <c r="G325" s="150">
        <f>+3</f>
        <v>3</v>
      </c>
      <c r="H325" s="104">
        <v>3.0</v>
      </c>
    </row>
    <row r="326">
      <c r="A326" s="104" t="s">
        <v>1269</v>
      </c>
      <c r="B326" s="104" t="s">
        <v>129</v>
      </c>
      <c r="C326" s="104" t="s">
        <v>535</v>
      </c>
      <c r="D326" s="104" t="s">
        <v>1270</v>
      </c>
      <c r="E326" s="104" t="s">
        <v>1271</v>
      </c>
      <c r="F326" s="104" t="s">
        <v>1272</v>
      </c>
      <c r="G326" s="104" t="s">
        <v>1273</v>
      </c>
      <c r="H326" s="104">
        <v>0.0</v>
      </c>
    </row>
    <row r="327">
      <c r="A327" s="104" t="s">
        <v>1274</v>
      </c>
      <c r="B327" s="104" t="s">
        <v>121</v>
      </c>
      <c r="C327" s="104" t="s">
        <v>535</v>
      </c>
      <c r="D327" s="104" t="s">
        <v>1275</v>
      </c>
      <c r="E327" s="104" t="s">
        <v>1276</v>
      </c>
      <c r="F327" s="104" t="s">
        <v>1277</v>
      </c>
      <c r="G327" s="150">
        <f t="shared" ref="G327:G328" si="6">+1</f>
        <v>1</v>
      </c>
      <c r="H327" s="104">
        <v>1.0</v>
      </c>
    </row>
    <row r="328">
      <c r="A328" s="104" t="s">
        <v>1278</v>
      </c>
      <c r="B328" s="104" t="s">
        <v>128</v>
      </c>
      <c r="C328" s="104" t="s">
        <v>535</v>
      </c>
      <c r="D328" s="104" t="s">
        <v>1279</v>
      </c>
      <c r="E328" s="104" t="s">
        <v>1276</v>
      </c>
      <c r="F328" s="104" t="s">
        <v>1280</v>
      </c>
      <c r="G328" s="150">
        <f t="shared" si="6"/>
        <v>1</v>
      </c>
      <c r="H328" s="104">
        <v>1.0</v>
      </c>
    </row>
    <row r="329">
      <c r="A329" s="104" t="s">
        <v>1281</v>
      </c>
      <c r="B329" s="104" t="s">
        <v>103</v>
      </c>
      <c r="C329" s="104" t="s">
        <v>535</v>
      </c>
      <c r="D329" s="104" t="s">
        <v>1282</v>
      </c>
      <c r="E329" s="104" t="s">
        <v>1283</v>
      </c>
      <c r="F329" s="104" t="s">
        <v>1284</v>
      </c>
      <c r="G329" s="104">
        <v>-1.0</v>
      </c>
      <c r="H329" s="104">
        <v>-1.0</v>
      </c>
    </row>
    <row r="330">
      <c r="A330" s="104" t="s">
        <v>1285</v>
      </c>
      <c r="B330" s="104" t="s">
        <v>135</v>
      </c>
      <c r="C330" s="104" t="s">
        <v>535</v>
      </c>
      <c r="D330" s="104" t="s">
        <v>1286</v>
      </c>
      <c r="E330" s="104" t="s">
        <v>1271</v>
      </c>
      <c r="F330" s="104" t="s">
        <v>1287</v>
      </c>
      <c r="G330" s="104" t="s">
        <v>1273</v>
      </c>
      <c r="H330" s="104">
        <v>0.0</v>
      </c>
    </row>
    <row r="331">
      <c r="A331" s="104" t="s">
        <v>1288</v>
      </c>
      <c r="B331" s="104" t="s">
        <v>138</v>
      </c>
      <c r="C331" s="104" t="s">
        <v>535</v>
      </c>
      <c r="D331" s="104" t="s">
        <v>1289</v>
      </c>
      <c r="E331" s="104" t="s">
        <v>1290</v>
      </c>
      <c r="F331" s="104" t="s">
        <v>1291</v>
      </c>
      <c r="G331" s="150">
        <f>+3</f>
        <v>3</v>
      </c>
      <c r="H331" s="104">
        <v>3.0</v>
      </c>
    </row>
    <row r="332">
      <c r="A332" s="104" t="s">
        <v>1292</v>
      </c>
      <c r="B332" s="104" t="s">
        <v>122</v>
      </c>
      <c r="C332" s="104" t="s">
        <v>535</v>
      </c>
      <c r="D332" s="104" t="s">
        <v>1293</v>
      </c>
      <c r="E332" s="104" t="s">
        <v>611</v>
      </c>
      <c r="F332" s="104" t="s">
        <v>1294</v>
      </c>
      <c r="G332" s="150">
        <f>+2</f>
        <v>2</v>
      </c>
      <c r="H332" s="104">
        <v>2.0</v>
      </c>
    </row>
    <row r="333">
      <c r="A333" s="104" t="s">
        <v>1295</v>
      </c>
      <c r="B333" s="104" t="s">
        <v>143</v>
      </c>
      <c r="C333" s="104" t="s">
        <v>535</v>
      </c>
      <c r="D333" s="104" t="s">
        <v>1296</v>
      </c>
      <c r="E333" s="104" t="s">
        <v>1271</v>
      </c>
      <c r="F333" s="104" t="s">
        <v>1297</v>
      </c>
      <c r="G333" s="104" t="s">
        <v>1273</v>
      </c>
      <c r="H333" s="104">
        <v>0.0</v>
      </c>
    </row>
    <row r="334">
      <c r="A334" s="104" t="s">
        <v>1298</v>
      </c>
      <c r="B334" s="104" t="s">
        <v>145</v>
      </c>
      <c r="C334" s="104" t="s">
        <v>535</v>
      </c>
      <c r="D334" s="104" t="s">
        <v>1299</v>
      </c>
      <c r="E334" s="104" t="s">
        <v>1300</v>
      </c>
      <c r="F334" s="104" t="s">
        <v>1301</v>
      </c>
      <c r="G334" s="104">
        <v>-2.0</v>
      </c>
      <c r="H334" s="104">
        <v>-2.0</v>
      </c>
    </row>
    <row r="335">
      <c r="A335" s="104" t="s">
        <v>1302</v>
      </c>
      <c r="B335" s="104" t="s">
        <v>121</v>
      </c>
      <c r="C335" s="104" t="s">
        <v>535</v>
      </c>
      <c r="D335" s="104" t="s">
        <v>1303</v>
      </c>
      <c r="E335" s="104" t="s">
        <v>1271</v>
      </c>
      <c r="F335" s="104" t="s">
        <v>1304</v>
      </c>
      <c r="G335" s="104" t="s">
        <v>1273</v>
      </c>
      <c r="H335" s="104">
        <v>0.0</v>
      </c>
    </row>
    <row r="336">
      <c r="A336" s="104" t="s">
        <v>1305</v>
      </c>
      <c r="B336" s="104" t="s">
        <v>152</v>
      </c>
      <c r="C336" s="104" t="s">
        <v>535</v>
      </c>
      <c r="D336" s="104" t="s">
        <v>1306</v>
      </c>
      <c r="E336" s="104" t="s">
        <v>1271</v>
      </c>
      <c r="F336" s="104" t="s">
        <v>1307</v>
      </c>
      <c r="G336" s="104" t="s">
        <v>1273</v>
      </c>
      <c r="H336" s="104">
        <v>0.0</v>
      </c>
    </row>
    <row r="337">
      <c r="A337" s="104" t="s">
        <v>1308</v>
      </c>
      <c r="B337" s="104" t="s">
        <v>150</v>
      </c>
      <c r="C337" s="104" t="s">
        <v>535</v>
      </c>
      <c r="D337" s="104" t="s">
        <v>1309</v>
      </c>
      <c r="E337" s="104" t="s">
        <v>1271</v>
      </c>
      <c r="F337" s="104" t="s">
        <v>1310</v>
      </c>
      <c r="G337" s="104" t="s">
        <v>1273</v>
      </c>
      <c r="H337" s="104">
        <v>0.0</v>
      </c>
    </row>
    <row r="338">
      <c r="A338" s="104" t="s">
        <v>1311</v>
      </c>
      <c r="B338" s="104" t="s">
        <v>133</v>
      </c>
      <c r="C338" s="104" t="s">
        <v>535</v>
      </c>
      <c r="D338" s="104" t="s">
        <v>1312</v>
      </c>
      <c r="E338" s="104" t="s">
        <v>1271</v>
      </c>
      <c r="F338" s="104" t="s">
        <v>1313</v>
      </c>
      <c r="G338" s="104" t="s">
        <v>1273</v>
      </c>
      <c r="H338" s="104">
        <v>0.0</v>
      </c>
    </row>
    <row r="339">
      <c r="A339" s="104" t="s">
        <v>1314</v>
      </c>
      <c r="B339" s="104" t="s">
        <v>141</v>
      </c>
      <c r="C339" s="104" t="s">
        <v>535</v>
      </c>
      <c r="D339" s="104" t="s">
        <v>1315</v>
      </c>
      <c r="E339" s="104" t="s">
        <v>1300</v>
      </c>
      <c r="F339" s="104" t="s">
        <v>1316</v>
      </c>
      <c r="G339" s="104">
        <v>-2.0</v>
      </c>
      <c r="H339" s="104">
        <v>-2.0</v>
      </c>
    </row>
    <row r="340">
      <c r="A340" s="104" t="s">
        <v>1317</v>
      </c>
      <c r="B340" s="104" t="s">
        <v>103</v>
      </c>
      <c r="C340" s="104" t="s">
        <v>535</v>
      </c>
      <c r="D340" s="104" t="s">
        <v>1318</v>
      </c>
      <c r="E340" s="104" t="s">
        <v>1290</v>
      </c>
      <c r="F340" s="104" t="s">
        <v>1319</v>
      </c>
      <c r="G340" s="150">
        <f>+3</f>
        <v>3</v>
      </c>
      <c r="H340" s="104">
        <v>3.0</v>
      </c>
    </row>
    <row r="341">
      <c r="A341" s="104" t="s">
        <v>1320</v>
      </c>
      <c r="B341" s="104" t="s">
        <v>134</v>
      </c>
      <c r="C341" s="104" t="s">
        <v>535</v>
      </c>
      <c r="D341" s="104" t="s">
        <v>1321</v>
      </c>
      <c r="E341" s="104" t="s">
        <v>1271</v>
      </c>
      <c r="F341" s="104" t="s">
        <v>1322</v>
      </c>
      <c r="G341" s="104" t="s">
        <v>1273</v>
      </c>
      <c r="H341" s="104">
        <v>0.0</v>
      </c>
    </row>
    <row r="342">
      <c r="A342" s="104" t="s">
        <v>1323</v>
      </c>
      <c r="B342" s="104" t="s">
        <v>156</v>
      </c>
      <c r="C342" s="104" t="s">
        <v>535</v>
      </c>
      <c r="D342" s="104" t="s">
        <v>1324</v>
      </c>
      <c r="E342" s="104" t="s">
        <v>1271</v>
      </c>
      <c r="F342" s="104" t="s">
        <v>1325</v>
      </c>
      <c r="G342" s="104" t="s">
        <v>1273</v>
      </c>
      <c r="H342" s="104">
        <v>0.0</v>
      </c>
    </row>
    <row r="343">
      <c r="A343" s="104" t="s">
        <v>1326</v>
      </c>
      <c r="B343" s="104" t="s">
        <v>135</v>
      </c>
      <c r="C343" s="104" t="s">
        <v>535</v>
      </c>
      <c r="D343" s="104" t="s">
        <v>1327</v>
      </c>
      <c r="E343" s="104" t="s">
        <v>1328</v>
      </c>
      <c r="F343" s="104" t="s">
        <v>1329</v>
      </c>
      <c r="G343" s="104">
        <v>-3.0</v>
      </c>
      <c r="H343" s="104">
        <v>-3.0</v>
      </c>
    </row>
    <row r="344">
      <c r="A344" s="104" t="s">
        <v>1330</v>
      </c>
      <c r="B344" s="104" t="s">
        <v>96</v>
      </c>
      <c r="C344" s="104" t="s">
        <v>535</v>
      </c>
      <c r="D344" s="104" t="s">
        <v>1331</v>
      </c>
      <c r="E344" s="104" t="s">
        <v>594</v>
      </c>
      <c r="F344" s="104" t="s">
        <v>1332</v>
      </c>
      <c r="G344" s="104">
        <v>-2.0</v>
      </c>
      <c r="H344" s="104">
        <v>-2.0</v>
      </c>
    </row>
    <row r="345">
      <c r="A345" s="104" t="s">
        <v>1333</v>
      </c>
      <c r="B345" s="104" t="s">
        <v>133</v>
      </c>
      <c r="C345" s="104" t="s">
        <v>535</v>
      </c>
      <c r="D345" s="104" t="s">
        <v>1334</v>
      </c>
      <c r="E345" s="104" t="s">
        <v>1335</v>
      </c>
      <c r="F345" s="104" t="s">
        <v>1336</v>
      </c>
      <c r="G345" s="150">
        <f>+2</f>
        <v>2</v>
      </c>
      <c r="H345" s="104">
        <v>2.0</v>
      </c>
    </row>
    <row r="346">
      <c r="A346" s="104" t="s">
        <v>1337</v>
      </c>
      <c r="B346" s="104" t="s">
        <v>132</v>
      </c>
      <c r="C346" s="104" t="s">
        <v>535</v>
      </c>
      <c r="D346" s="104" t="s">
        <v>1338</v>
      </c>
      <c r="E346" s="104" t="s">
        <v>1271</v>
      </c>
      <c r="F346" s="104" t="s">
        <v>1339</v>
      </c>
      <c r="G346" s="104" t="s">
        <v>1273</v>
      </c>
      <c r="H346" s="104">
        <v>0.0</v>
      </c>
    </row>
    <row r="347">
      <c r="A347" s="104" t="s">
        <v>1340</v>
      </c>
      <c r="B347" s="104" t="s">
        <v>161</v>
      </c>
      <c r="C347" s="104" t="s">
        <v>535</v>
      </c>
      <c r="D347" s="104" t="s">
        <v>1341</v>
      </c>
      <c r="E347" s="104" t="s">
        <v>1271</v>
      </c>
      <c r="F347" s="104" t="s">
        <v>1342</v>
      </c>
      <c r="G347" s="104" t="s">
        <v>1273</v>
      </c>
      <c r="H347" s="104">
        <v>0.0</v>
      </c>
    </row>
    <row r="348">
      <c r="A348" s="104" t="s">
        <v>1343</v>
      </c>
      <c r="B348" s="104" t="s">
        <v>145</v>
      </c>
      <c r="C348" s="104" t="s">
        <v>535</v>
      </c>
      <c r="D348" s="104" t="s">
        <v>1344</v>
      </c>
      <c r="E348" s="104" t="s">
        <v>1328</v>
      </c>
      <c r="F348" s="104" t="s">
        <v>1345</v>
      </c>
      <c r="G348" s="104">
        <v>-3.0</v>
      </c>
      <c r="H348" s="104">
        <v>-3.0</v>
      </c>
    </row>
    <row r="349">
      <c r="A349" s="104" t="s">
        <v>1346</v>
      </c>
      <c r="B349" s="104" t="s">
        <v>149</v>
      </c>
      <c r="C349" s="104" t="s">
        <v>535</v>
      </c>
      <c r="D349" s="104" t="s">
        <v>1347</v>
      </c>
      <c r="E349" s="104" t="s">
        <v>1271</v>
      </c>
      <c r="F349" s="104" t="s">
        <v>1348</v>
      </c>
      <c r="G349" s="104" t="s">
        <v>1273</v>
      </c>
      <c r="H349" s="104">
        <v>0.0</v>
      </c>
    </row>
    <row r="350">
      <c r="A350" s="104" t="s">
        <v>1349</v>
      </c>
      <c r="B350" s="104" t="s">
        <v>154</v>
      </c>
      <c r="C350" s="104" t="s">
        <v>535</v>
      </c>
      <c r="D350" s="104" t="s">
        <v>1350</v>
      </c>
      <c r="E350" s="104" t="s">
        <v>1271</v>
      </c>
      <c r="F350" s="104" t="s">
        <v>1351</v>
      </c>
      <c r="G350" s="104" t="s">
        <v>1273</v>
      </c>
      <c r="H350" s="104">
        <v>0.0</v>
      </c>
    </row>
    <row r="351">
      <c r="A351" s="104" t="s">
        <v>1352</v>
      </c>
      <c r="B351" s="104" t="s">
        <v>140</v>
      </c>
      <c r="C351" s="104" t="s">
        <v>535</v>
      </c>
      <c r="D351" s="104" t="s">
        <v>1353</v>
      </c>
      <c r="E351" s="104" t="s">
        <v>1328</v>
      </c>
      <c r="F351" s="104" t="s">
        <v>1354</v>
      </c>
      <c r="G351" s="104">
        <v>-3.0</v>
      </c>
      <c r="H351" s="104">
        <v>-3.0</v>
      </c>
    </row>
    <row r="352">
      <c r="A352" s="104" t="s">
        <v>1355</v>
      </c>
      <c r="B352" s="104" t="s">
        <v>191</v>
      </c>
      <c r="C352" s="104" t="s">
        <v>535</v>
      </c>
      <c r="D352" s="104" t="s">
        <v>1356</v>
      </c>
      <c r="E352" s="104" t="s">
        <v>699</v>
      </c>
      <c r="F352" s="104" t="s">
        <v>1357</v>
      </c>
      <c r="G352" s="104">
        <v>-3.0</v>
      </c>
      <c r="H352" s="104">
        <v>-3.0</v>
      </c>
    </row>
    <row r="353">
      <c r="A353" s="104" t="s">
        <v>1358</v>
      </c>
      <c r="B353" s="104" t="s">
        <v>134</v>
      </c>
      <c r="C353" s="104" t="s">
        <v>535</v>
      </c>
      <c r="D353" s="104" t="s">
        <v>1359</v>
      </c>
      <c r="E353" s="104" t="s">
        <v>1290</v>
      </c>
      <c r="F353" s="104" t="s">
        <v>1360</v>
      </c>
      <c r="G353" s="150">
        <f>+3</f>
        <v>3</v>
      </c>
      <c r="H353" s="104">
        <v>3.0</v>
      </c>
    </row>
    <row r="354">
      <c r="A354" s="104" t="s">
        <v>1361</v>
      </c>
      <c r="B354" s="104" t="s">
        <v>112</v>
      </c>
      <c r="C354" s="104" t="s">
        <v>535</v>
      </c>
      <c r="D354" s="104" t="s">
        <v>1362</v>
      </c>
      <c r="E354" s="104" t="s">
        <v>1271</v>
      </c>
      <c r="F354" s="104" t="s">
        <v>1363</v>
      </c>
      <c r="G354" s="104" t="s">
        <v>1273</v>
      </c>
      <c r="H354" s="104">
        <v>0.0</v>
      </c>
    </row>
    <row r="355">
      <c r="A355" s="104" t="s">
        <v>1364</v>
      </c>
      <c r="B355" s="104" t="s">
        <v>108</v>
      </c>
      <c r="C355" s="104" t="s">
        <v>535</v>
      </c>
      <c r="D355" s="104" t="s">
        <v>1365</v>
      </c>
      <c r="E355" s="104" t="s">
        <v>1335</v>
      </c>
      <c r="F355" s="104" t="s">
        <v>1366</v>
      </c>
      <c r="G355" s="150">
        <f t="shared" ref="G355:G357" si="7">+2</f>
        <v>2</v>
      </c>
      <c r="H355" s="104">
        <v>2.0</v>
      </c>
    </row>
    <row r="356">
      <c r="A356" s="104" t="s">
        <v>1367</v>
      </c>
      <c r="B356" s="104" t="s">
        <v>151</v>
      </c>
      <c r="C356" s="104" t="s">
        <v>535</v>
      </c>
      <c r="D356" s="104" t="s">
        <v>1368</v>
      </c>
      <c r="E356" s="104" t="s">
        <v>1335</v>
      </c>
      <c r="F356" s="104" t="s">
        <v>1369</v>
      </c>
      <c r="G356" s="150">
        <f t="shared" si="7"/>
        <v>2</v>
      </c>
      <c r="H356" s="104">
        <v>2.0</v>
      </c>
    </row>
    <row r="357">
      <c r="A357" s="104" t="s">
        <v>1370</v>
      </c>
      <c r="B357" s="104" t="s">
        <v>154</v>
      </c>
      <c r="C357" s="104" t="s">
        <v>535</v>
      </c>
      <c r="D357" s="104" t="s">
        <v>1371</v>
      </c>
      <c r="E357" s="104" t="s">
        <v>1335</v>
      </c>
      <c r="F357" s="104" t="s">
        <v>1372</v>
      </c>
      <c r="G357" s="150">
        <f t="shared" si="7"/>
        <v>2</v>
      </c>
      <c r="H357" s="104">
        <v>2.0</v>
      </c>
    </row>
    <row r="358">
      <c r="A358" s="104" t="s">
        <v>1373</v>
      </c>
      <c r="B358" s="104" t="s">
        <v>163</v>
      </c>
      <c r="C358" s="104" t="s">
        <v>535</v>
      </c>
      <c r="D358" s="104" t="s">
        <v>1374</v>
      </c>
      <c r="E358" s="104" t="s">
        <v>1271</v>
      </c>
      <c r="F358" s="104" t="s">
        <v>1375</v>
      </c>
      <c r="G358" s="104" t="s">
        <v>1273</v>
      </c>
      <c r="H358" s="104">
        <v>0.0</v>
      </c>
    </row>
    <row r="359">
      <c r="A359" s="104" t="s">
        <v>1376</v>
      </c>
      <c r="B359" s="104" t="s">
        <v>166</v>
      </c>
      <c r="C359" s="104" t="s">
        <v>535</v>
      </c>
      <c r="D359" s="104" t="s">
        <v>1377</v>
      </c>
      <c r="E359" s="104" t="s">
        <v>1271</v>
      </c>
      <c r="F359" s="104" t="s">
        <v>1378</v>
      </c>
      <c r="G359" s="104" t="s">
        <v>1273</v>
      </c>
      <c r="H359" s="104">
        <v>0.0</v>
      </c>
    </row>
    <row r="360">
      <c r="A360" s="104" t="s">
        <v>1379</v>
      </c>
      <c r="B360" s="104" t="s">
        <v>103</v>
      </c>
      <c r="C360" s="104" t="s">
        <v>535</v>
      </c>
      <c r="D360" s="104" t="s">
        <v>1380</v>
      </c>
      <c r="E360" s="104" t="s">
        <v>1271</v>
      </c>
      <c r="F360" s="104" t="s">
        <v>1381</v>
      </c>
      <c r="G360" s="104" t="s">
        <v>1273</v>
      </c>
      <c r="H360" s="104">
        <v>0.0</v>
      </c>
    </row>
    <row r="361">
      <c r="A361" s="104" t="s">
        <v>1382</v>
      </c>
      <c r="B361" s="104" t="s">
        <v>271</v>
      </c>
      <c r="C361" s="104" t="s">
        <v>535</v>
      </c>
      <c r="D361" s="104" t="s">
        <v>1383</v>
      </c>
      <c r="E361" s="104" t="s">
        <v>699</v>
      </c>
      <c r="F361" s="104" t="s">
        <v>1384</v>
      </c>
      <c r="G361" s="104">
        <v>-3.0</v>
      </c>
      <c r="H361" s="104">
        <v>-3.0</v>
      </c>
    </row>
    <row r="362">
      <c r="A362" s="104" t="s">
        <v>1385</v>
      </c>
      <c r="B362" s="104" t="s">
        <v>133</v>
      </c>
      <c r="C362" s="104" t="s">
        <v>535</v>
      </c>
      <c r="D362" s="104" t="s">
        <v>1386</v>
      </c>
      <c r="E362" s="104" t="s">
        <v>1271</v>
      </c>
      <c r="F362" s="104" t="s">
        <v>1387</v>
      </c>
      <c r="G362" s="104" t="s">
        <v>1273</v>
      </c>
      <c r="H362" s="104">
        <v>0.0</v>
      </c>
    </row>
    <row r="363">
      <c r="A363" s="104" t="s">
        <v>1388</v>
      </c>
      <c r="B363" s="104" t="s">
        <v>150</v>
      </c>
      <c r="C363" s="104" t="s">
        <v>535</v>
      </c>
      <c r="D363" s="104" t="s">
        <v>1389</v>
      </c>
      <c r="E363" s="104" t="s">
        <v>1335</v>
      </c>
      <c r="F363" s="104" t="s">
        <v>1390</v>
      </c>
      <c r="G363" s="150">
        <f>+2</f>
        <v>2</v>
      </c>
      <c r="H363" s="104">
        <v>2.0</v>
      </c>
    </row>
    <row r="364">
      <c r="A364" s="104" t="s">
        <v>1391</v>
      </c>
      <c r="B364" s="104" t="s">
        <v>171</v>
      </c>
      <c r="C364" s="104" t="s">
        <v>535</v>
      </c>
      <c r="D364" s="104" t="s">
        <v>1392</v>
      </c>
      <c r="E364" s="104" t="s">
        <v>1290</v>
      </c>
      <c r="F364" s="104" t="s">
        <v>1393</v>
      </c>
      <c r="G364" s="150">
        <f t="shared" ref="G364:G365" si="8">+3</f>
        <v>3</v>
      </c>
      <c r="H364" s="104">
        <v>3.0</v>
      </c>
    </row>
    <row r="365">
      <c r="A365" s="104" t="s">
        <v>1394</v>
      </c>
      <c r="B365" s="104" t="s">
        <v>140</v>
      </c>
      <c r="C365" s="104" t="s">
        <v>535</v>
      </c>
      <c r="D365" s="104" t="s">
        <v>1395</v>
      </c>
      <c r="E365" s="104" t="s">
        <v>1290</v>
      </c>
      <c r="F365" s="104" t="s">
        <v>1396</v>
      </c>
      <c r="G365" s="150">
        <f t="shared" si="8"/>
        <v>3</v>
      </c>
      <c r="H365" s="104">
        <v>3.0</v>
      </c>
    </row>
    <row r="366">
      <c r="A366" s="104" t="s">
        <v>1397</v>
      </c>
      <c r="B366" s="104" t="s">
        <v>164</v>
      </c>
      <c r="C366" s="104" t="s">
        <v>535</v>
      </c>
      <c r="D366" s="104" t="s">
        <v>1398</v>
      </c>
      <c r="E366" s="104" t="s">
        <v>1276</v>
      </c>
      <c r="F366" s="104" t="s">
        <v>1399</v>
      </c>
      <c r="G366" s="150">
        <f t="shared" ref="G366:G367" si="9">+1</f>
        <v>1</v>
      </c>
      <c r="H366" s="104">
        <v>1.0</v>
      </c>
    </row>
    <row r="367">
      <c r="A367" s="104" t="s">
        <v>1400</v>
      </c>
      <c r="B367" s="104" t="s">
        <v>103</v>
      </c>
      <c r="C367" s="104" t="s">
        <v>535</v>
      </c>
      <c r="D367" s="104" t="s">
        <v>1401</v>
      </c>
      <c r="E367" s="104" t="s">
        <v>1276</v>
      </c>
      <c r="F367" s="104" t="s">
        <v>1402</v>
      </c>
      <c r="G367" s="150">
        <f t="shared" si="9"/>
        <v>1</v>
      </c>
      <c r="H367" s="104">
        <v>1.0</v>
      </c>
    </row>
    <row r="368">
      <c r="A368" s="104" t="s">
        <v>1403</v>
      </c>
      <c r="B368" s="104" t="s">
        <v>131</v>
      </c>
      <c r="C368" s="104" t="s">
        <v>535</v>
      </c>
      <c r="D368" s="104" t="s">
        <v>1404</v>
      </c>
      <c r="E368" s="104" t="s">
        <v>1271</v>
      </c>
      <c r="F368" s="104" t="s">
        <v>1405</v>
      </c>
      <c r="G368" s="104" t="s">
        <v>1273</v>
      </c>
      <c r="H368" s="104">
        <v>0.0</v>
      </c>
    </row>
    <row r="369">
      <c r="A369" s="104" t="s">
        <v>1406</v>
      </c>
      <c r="B369" s="104" t="s">
        <v>154</v>
      </c>
      <c r="C369" s="104" t="s">
        <v>535</v>
      </c>
      <c r="D369" s="104" t="s">
        <v>1407</v>
      </c>
      <c r="E369" s="104" t="s">
        <v>1271</v>
      </c>
      <c r="F369" s="104" t="s">
        <v>1408</v>
      </c>
      <c r="G369" s="104" t="s">
        <v>1273</v>
      </c>
      <c r="H369" s="104">
        <v>0.0</v>
      </c>
    </row>
    <row r="370">
      <c r="A370" s="104" t="s">
        <v>1409</v>
      </c>
      <c r="B370" s="104" t="s">
        <v>171</v>
      </c>
      <c r="C370" s="104" t="s">
        <v>535</v>
      </c>
      <c r="D370" s="104" t="s">
        <v>1410</v>
      </c>
      <c r="E370" s="104" t="s">
        <v>1300</v>
      </c>
      <c r="F370" s="104" t="s">
        <v>1411</v>
      </c>
      <c r="G370" s="104">
        <v>-2.0</v>
      </c>
      <c r="H370" s="104">
        <v>-2.0</v>
      </c>
    </row>
    <row r="371">
      <c r="A371" s="104" t="s">
        <v>1412</v>
      </c>
      <c r="B371" s="104" t="s">
        <v>177</v>
      </c>
      <c r="C371" s="104" t="s">
        <v>535</v>
      </c>
      <c r="D371" s="104" t="s">
        <v>1413</v>
      </c>
      <c r="E371" s="104" t="s">
        <v>1271</v>
      </c>
      <c r="F371" s="104" t="s">
        <v>1414</v>
      </c>
      <c r="G371" s="104" t="s">
        <v>1273</v>
      </c>
      <c r="H371" s="104">
        <v>0.0</v>
      </c>
    </row>
    <row r="372">
      <c r="A372" s="104" t="s">
        <v>1415</v>
      </c>
      <c r="B372" s="104" t="s">
        <v>151</v>
      </c>
      <c r="C372" s="104" t="s">
        <v>535</v>
      </c>
      <c r="D372" s="104" t="s">
        <v>1416</v>
      </c>
      <c r="E372" s="104" t="s">
        <v>1276</v>
      </c>
      <c r="F372" s="104" t="s">
        <v>1417</v>
      </c>
      <c r="G372" s="150">
        <f>+1</f>
        <v>1</v>
      </c>
      <c r="H372" s="104">
        <v>1.0</v>
      </c>
    </row>
    <row r="373">
      <c r="A373" s="104" t="s">
        <v>1418</v>
      </c>
      <c r="B373" s="104" t="s">
        <v>141</v>
      </c>
      <c r="C373" s="104" t="s">
        <v>535</v>
      </c>
      <c r="D373" s="104" t="s">
        <v>1419</v>
      </c>
      <c r="E373" s="104" t="s">
        <v>1328</v>
      </c>
      <c r="F373" s="104" t="s">
        <v>1420</v>
      </c>
      <c r="G373" s="104">
        <v>-3.0</v>
      </c>
      <c r="H373" s="104">
        <v>-3.0</v>
      </c>
    </row>
    <row r="374">
      <c r="A374" s="104" t="s">
        <v>1421</v>
      </c>
      <c r="B374" s="104" t="s">
        <v>251</v>
      </c>
      <c r="C374" s="104" t="s">
        <v>535</v>
      </c>
      <c r="D374" s="104" t="s">
        <v>1422</v>
      </c>
      <c r="E374" s="104" t="s">
        <v>594</v>
      </c>
      <c r="F374" s="104" t="s">
        <v>1423</v>
      </c>
      <c r="G374" s="104">
        <v>-2.0</v>
      </c>
      <c r="H374" s="104">
        <v>-2.0</v>
      </c>
    </row>
    <row r="375">
      <c r="A375" s="104" t="s">
        <v>1424</v>
      </c>
      <c r="B375" s="104" t="s">
        <v>179</v>
      </c>
      <c r="C375" s="104" t="s">
        <v>535</v>
      </c>
      <c r="D375" s="104" t="s">
        <v>1425</v>
      </c>
      <c r="E375" s="104" t="s">
        <v>1328</v>
      </c>
      <c r="F375" s="104" t="s">
        <v>1426</v>
      </c>
      <c r="G375" s="104">
        <v>-3.0</v>
      </c>
      <c r="H375" s="104">
        <v>-3.0</v>
      </c>
    </row>
    <row r="376">
      <c r="A376" s="104" t="s">
        <v>1427</v>
      </c>
      <c r="B376" s="104" t="s">
        <v>232</v>
      </c>
      <c r="C376" s="104" t="s">
        <v>535</v>
      </c>
      <c r="D376" s="104" t="s">
        <v>1428</v>
      </c>
      <c r="E376" s="104" t="s">
        <v>611</v>
      </c>
      <c r="F376" s="104" t="s">
        <v>1429</v>
      </c>
      <c r="G376" s="150">
        <f>+2</f>
        <v>2</v>
      </c>
      <c r="H376" s="104">
        <v>2.0</v>
      </c>
    </row>
    <row r="377">
      <c r="A377" s="104" t="s">
        <v>1430</v>
      </c>
      <c r="B377" s="104" t="s">
        <v>180</v>
      </c>
      <c r="C377" s="104" t="s">
        <v>535</v>
      </c>
      <c r="D377" s="104" t="s">
        <v>1431</v>
      </c>
      <c r="E377" s="104" t="s">
        <v>1271</v>
      </c>
      <c r="F377" s="104" t="s">
        <v>1432</v>
      </c>
      <c r="G377" s="104" t="s">
        <v>1273</v>
      </c>
      <c r="H377" s="104">
        <v>0.0</v>
      </c>
    </row>
    <row r="378">
      <c r="A378" s="104" t="s">
        <v>1433</v>
      </c>
      <c r="B378" s="104" t="s">
        <v>140</v>
      </c>
      <c r="C378" s="104" t="s">
        <v>535</v>
      </c>
      <c r="D378" s="104" t="s">
        <v>1434</v>
      </c>
      <c r="E378" s="104" t="s">
        <v>1335</v>
      </c>
      <c r="F378" s="104" t="s">
        <v>1435</v>
      </c>
      <c r="G378" s="150">
        <f>+2</f>
        <v>2</v>
      </c>
      <c r="H378" s="104">
        <v>2.0</v>
      </c>
    </row>
    <row r="379">
      <c r="A379" s="104" t="s">
        <v>1436</v>
      </c>
      <c r="B379" s="104" t="s">
        <v>181</v>
      </c>
      <c r="C379" s="104" t="s">
        <v>535</v>
      </c>
      <c r="D379" s="104" t="s">
        <v>1437</v>
      </c>
      <c r="E379" s="104" t="s">
        <v>1300</v>
      </c>
      <c r="F379" s="104" t="s">
        <v>1438</v>
      </c>
      <c r="G379" s="104">
        <v>-2.0</v>
      </c>
      <c r="H379" s="104">
        <v>-2.0</v>
      </c>
    </row>
    <row r="380">
      <c r="A380" s="104" t="s">
        <v>1439</v>
      </c>
      <c r="B380" s="104" t="s">
        <v>176</v>
      </c>
      <c r="C380" s="104" t="s">
        <v>535</v>
      </c>
      <c r="D380" s="104" t="s">
        <v>1440</v>
      </c>
      <c r="E380" s="104" t="s">
        <v>1271</v>
      </c>
      <c r="F380" s="104" t="s">
        <v>1441</v>
      </c>
      <c r="G380" s="104" t="s">
        <v>1273</v>
      </c>
      <c r="H380" s="104">
        <v>0.0</v>
      </c>
    </row>
    <row r="381">
      <c r="A381" s="104" t="s">
        <v>1442</v>
      </c>
      <c r="B381" s="104" t="s">
        <v>182</v>
      </c>
      <c r="C381" s="104" t="s">
        <v>535</v>
      </c>
      <c r="D381" s="104" t="s">
        <v>1443</v>
      </c>
      <c r="E381" s="104" t="s">
        <v>1271</v>
      </c>
      <c r="F381" s="104" t="s">
        <v>1444</v>
      </c>
      <c r="G381" s="104" t="s">
        <v>1273</v>
      </c>
      <c r="H381" s="104">
        <v>0.0</v>
      </c>
    </row>
    <row r="382">
      <c r="A382" s="104" t="s">
        <v>1445</v>
      </c>
      <c r="B382" s="104" t="s">
        <v>184</v>
      </c>
      <c r="C382" s="104" t="s">
        <v>535</v>
      </c>
      <c r="D382" s="104" t="s">
        <v>1446</v>
      </c>
      <c r="E382" s="104" t="s">
        <v>1271</v>
      </c>
      <c r="F382" s="104" t="s">
        <v>1447</v>
      </c>
      <c r="G382" s="104" t="s">
        <v>1273</v>
      </c>
      <c r="H382" s="104">
        <v>0.0</v>
      </c>
    </row>
    <row r="383">
      <c r="A383" s="104" t="s">
        <v>1448</v>
      </c>
      <c r="B383" s="104" t="s">
        <v>185</v>
      </c>
      <c r="C383" s="104" t="s">
        <v>535</v>
      </c>
      <c r="D383" s="104" t="s">
        <v>1449</v>
      </c>
      <c r="E383" s="104" t="s">
        <v>1328</v>
      </c>
      <c r="F383" s="104" t="s">
        <v>1450</v>
      </c>
      <c r="G383" s="104">
        <v>-3.0</v>
      </c>
      <c r="H383" s="104">
        <v>-3.0</v>
      </c>
    </row>
    <row r="384">
      <c r="A384" s="104" t="s">
        <v>1451</v>
      </c>
      <c r="B384" s="104" t="s">
        <v>75</v>
      </c>
      <c r="C384" s="104" t="s">
        <v>535</v>
      </c>
      <c r="D384" s="104" t="s">
        <v>1452</v>
      </c>
      <c r="E384" s="104" t="s">
        <v>1271</v>
      </c>
      <c r="F384" s="104" t="s">
        <v>1453</v>
      </c>
      <c r="G384" s="104" t="s">
        <v>1273</v>
      </c>
      <c r="H384" s="104">
        <v>0.0</v>
      </c>
    </row>
    <row r="385">
      <c r="A385" s="104" t="s">
        <v>1454</v>
      </c>
      <c r="B385" s="104" t="s">
        <v>186</v>
      </c>
      <c r="C385" s="104" t="s">
        <v>535</v>
      </c>
      <c r="D385" s="104" t="s">
        <v>1455</v>
      </c>
      <c r="E385" s="104" t="s">
        <v>1335</v>
      </c>
      <c r="F385" s="104" t="s">
        <v>1456</v>
      </c>
      <c r="G385" s="150">
        <f t="shared" ref="G385:G386" si="10">+2</f>
        <v>2</v>
      </c>
      <c r="H385" s="104">
        <v>2.0</v>
      </c>
    </row>
    <row r="386">
      <c r="A386" s="104" t="s">
        <v>1457</v>
      </c>
      <c r="B386" s="104" t="s">
        <v>188</v>
      </c>
      <c r="C386" s="104" t="s">
        <v>535</v>
      </c>
      <c r="D386" s="104" t="s">
        <v>1458</v>
      </c>
      <c r="E386" s="104" t="s">
        <v>1335</v>
      </c>
      <c r="F386" s="104" t="s">
        <v>1459</v>
      </c>
      <c r="G386" s="150">
        <f t="shared" si="10"/>
        <v>2</v>
      </c>
      <c r="H386" s="104">
        <v>2.0</v>
      </c>
    </row>
    <row r="387">
      <c r="A387" s="104" t="s">
        <v>1460</v>
      </c>
      <c r="B387" s="104" t="s">
        <v>185</v>
      </c>
      <c r="C387" s="104" t="s">
        <v>535</v>
      </c>
      <c r="D387" s="104" t="s">
        <v>1461</v>
      </c>
      <c r="E387" s="104" t="s">
        <v>1271</v>
      </c>
      <c r="F387" s="104" t="s">
        <v>1462</v>
      </c>
      <c r="G387" s="104" t="s">
        <v>1273</v>
      </c>
      <c r="H387" s="104">
        <v>0.0</v>
      </c>
    </row>
    <row r="388">
      <c r="A388" s="104" t="s">
        <v>1463</v>
      </c>
      <c r="B388" s="104" t="s">
        <v>168</v>
      </c>
      <c r="C388" s="104" t="s">
        <v>535</v>
      </c>
      <c r="D388" s="104" t="s">
        <v>1464</v>
      </c>
      <c r="E388" s="104" t="s">
        <v>1271</v>
      </c>
      <c r="F388" s="104" t="s">
        <v>1465</v>
      </c>
      <c r="G388" s="104" t="s">
        <v>1273</v>
      </c>
      <c r="H388" s="104">
        <v>0.0</v>
      </c>
    </row>
    <row r="389">
      <c r="A389" s="104" t="s">
        <v>1466</v>
      </c>
      <c r="B389" s="104" t="s">
        <v>122</v>
      </c>
      <c r="C389" s="104" t="s">
        <v>535</v>
      </c>
      <c r="D389" s="104" t="s">
        <v>1467</v>
      </c>
      <c r="E389" s="104" t="s">
        <v>1271</v>
      </c>
      <c r="F389" s="104" t="s">
        <v>1468</v>
      </c>
      <c r="G389" s="104" t="s">
        <v>1273</v>
      </c>
      <c r="H389" s="104">
        <v>0.0</v>
      </c>
    </row>
    <row r="390">
      <c r="A390" s="104" t="s">
        <v>1469</v>
      </c>
      <c r="B390" s="104" t="s">
        <v>181</v>
      </c>
      <c r="C390" s="104" t="s">
        <v>535</v>
      </c>
      <c r="D390" s="104" t="s">
        <v>1470</v>
      </c>
      <c r="E390" s="104" t="s">
        <v>1271</v>
      </c>
      <c r="F390" s="104" t="s">
        <v>1471</v>
      </c>
      <c r="G390" s="104" t="s">
        <v>1273</v>
      </c>
      <c r="H390" s="104">
        <v>0.0</v>
      </c>
    </row>
    <row r="391">
      <c r="A391" s="104" t="s">
        <v>1472</v>
      </c>
      <c r="B391" s="104" t="s">
        <v>188</v>
      </c>
      <c r="C391" s="104" t="s">
        <v>535</v>
      </c>
      <c r="D391" s="104" t="s">
        <v>1473</v>
      </c>
      <c r="E391" s="104" t="s">
        <v>1271</v>
      </c>
      <c r="F391" s="104" t="s">
        <v>1474</v>
      </c>
      <c r="G391" s="104" t="s">
        <v>1273</v>
      </c>
      <c r="H391" s="104">
        <v>0.0</v>
      </c>
    </row>
    <row r="392">
      <c r="A392" s="104" t="s">
        <v>1475</v>
      </c>
      <c r="B392" s="104" t="s">
        <v>193</v>
      </c>
      <c r="C392" s="104" t="s">
        <v>535</v>
      </c>
      <c r="D392" s="104" t="s">
        <v>1476</v>
      </c>
      <c r="E392" s="104" t="s">
        <v>1271</v>
      </c>
      <c r="F392" s="104" t="s">
        <v>1477</v>
      </c>
      <c r="G392" s="104" t="s">
        <v>1273</v>
      </c>
      <c r="H392" s="104">
        <v>0.0</v>
      </c>
    </row>
    <row r="393">
      <c r="A393" s="104" t="s">
        <v>1478</v>
      </c>
      <c r="B393" s="104" t="s">
        <v>195</v>
      </c>
      <c r="C393" s="104" t="s">
        <v>535</v>
      </c>
      <c r="D393" s="104" t="s">
        <v>1479</v>
      </c>
      <c r="E393" s="104" t="s">
        <v>1271</v>
      </c>
      <c r="F393" s="104" t="s">
        <v>1480</v>
      </c>
      <c r="G393" s="104" t="s">
        <v>1273</v>
      </c>
      <c r="H393" s="104">
        <v>0.0</v>
      </c>
    </row>
    <row r="394">
      <c r="A394" s="104" t="s">
        <v>1481</v>
      </c>
      <c r="B394" s="104" t="s">
        <v>196</v>
      </c>
      <c r="C394" s="104" t="s">
        <v>535</v>
      </c>
      <c r="D394" s="104" t="s">
        <v>1482</v>
      </c>
      <c r="E394" s="104" t="s">
        <v>1271</v>
      </c>
      <c r="F394" s="104" t="s">
        <v>1483</v>
      </c>
      <c r="G394" s="104" t="s">
        <v>1273</v>
      </c>
      <c r="H394" s="104">
        <v>0.0</v>
      </c>
    </row>
    <row r="395">
      <c r="A395" s="104" t="s">
        <v>1484</v>
      </c>
      <c r="B395" s="104" t="s">
        <v>197</v>
      </c>
      <c r="C395" s="104" t="s">
        <v>535</v>
      </c>
      <c r="D395" s="104" t="s">
        <v>1485</v>
      </c>
      <c r="E395" s="104" t="s">
        <v>1290</v>
      </c>
      <c r="F395" s="104" t="s">
        <v>1486</v>
      </c>
      <c r="G395" s="150">
        <f>+3</f>
        <v>3</v>
      </c>
      <c r="H395" s="104">
        <v>3.0</v>
      </c>
    </row>
    <row r="396">
      <c r="A396" s="104" t="s">
        <v>1487</v>
      </c>
      <c r="B396" s="104" t="s">
        <v>132</v>
      </c>
      <c r="C396" s="104" t="s">
        <v>535</v>
      </c>
      <c r="D396" s="104" t="s">
        <v>1488</v>
      </c>
      <c r="E396" s="104" t="s">
        <v>1328</v>
      </c>
      <c r="F396" s="104" t="s">
        <v>1489</v>
      </c>
      <c r="G396" s="104">
        <v>-3.0</v>
      </c>
      <c r="H396" s="104">
        <v>-3.0</v>
      </c>
    </row>
    <row r="397">
      <c r="A397" s="104" t="s">
        <v>1490</v>
      </c>
      <c r="B397" s="104" t="s">
        <v>91</v>
      </c>
      <c r="C397" s="104" t="s">
        <v>535</v>
      </c>
      <c r="D397" s="104" t="s">
        <v>1491</v>
      </c>
      <c r="E397" s="104" t="s">
        <v>1271</v>
      </c>
      <c r="F397" s="104" t="s">
        <v>1492</v>
      </c>
      <c r="G397" s="104" t="s">
        <v>1273</v>
      </c>
      <c r="H397" s="104">
        <v>0.0</v>
      </c>
    </row>
    <row r="398">
      <c r="A398" s="104" t="s">
        <v>1493</v>
      </c>
      <c r="B398" s="104" t="s">
        <v>198</v>
      </c>
      <c r="C398" s="104" t="s">
        <v>535</v>
      </c>
      <c r="D398" s="104" t="s">
        <v>1494</v>
      </c>
      <c r="E398" s="104" t="s">
        <v>1271</v>
      </c>
      <c r="F398" s="104" t="s">
        <v>1495</v>
      </c>
      <c r="G398" s="104" t="s">
        <v>1273</v>
      </c>
      <c r="H398" s="104">
        <v>0.0</v>
      </c>
    </row>
    <row r="399">
      <c r="A399" s="104" t="s">
        <v>1496</v>
      </c>
      <c r="B399" s="104" t="s">
        <v>200</v>
      </c>
      <c r="C399" s="104" t="s">
        <v>535</v>
      </c>
      <c r="D399" s="104" t="s">
        <v>1497</v>
      </c>
      <c r="E399" s="104" t="s">
        <v>1271</v>
      </c>
      <c r="F399" s="104" t="s">
        <v>1498</v>
      </c>
      <c r="G399" s="104" t="s">
        <v>1273</v>
      </c>
      <c r="H399" s="104">
        <v>0.0</v>
      </c>
    </row>
    <row r="400">
      <c r="A400" s="104" t="s">
        <v>1499</v>
      </c>
      <c r="B400" s="104" t="s">
        <v>196</v>
      </c>
      <c r="C400" s="104" t="s">
        <v>535</v>
      </c>
      <c r="D400" s="104" t="s">
        <v>1500</v>
      </c>
      <c r="E400" s="104" t="s">
        <v>1328</v>
      </c>
      <c r="F400" s="104" t="s">
        <v>1501</v>
      </c>
      <c r="G400" s="104">
        <v>-3.0</v>
      </c>
      <c r="H400" s="104">
        <v>-3.0</v>
      </c>
    </row>
    <row r="401">
      <c r="A401" s="104" t="s">
        <v>1502</v>
      </c>
      <c r="B401" s="104" t="s">
        <v>141</v>
      </c>
      <c r="C401" s="104" t="s">
        <v>535</v>
      </c>
      <c r="D401" s="104" t="s">
        <v>1503</v>
      </c>
      <c r="E401" s="104" t="s">
        <v>1283</v>
      </c>
      <c r="F401" s="104" t="s">
        <v>1504</v>
      </c>
      <c r="G401" s="104">
        <v>-1.0</v>
      </c>
      <c r="H401" s="104">
        <v>-1.0</v>
      </c>
    </row>
    <row r="402">
      <c r="A402" s="104" t="s">
        <v>1505</v>
      </c>
      <c r="B402" s="104" t="s">
        <v>96</v>
      </c>
      <c r="C402" s="104" t="s">
        <v>535</v>
      </c>
      <c r="D402" s="104" t="s">
        <v>1506</v>
      </c>
      <c r="E402" s="104" t="s">
        <v>1271</v>
      </c>
      <c r="F402" s="104" t="s">
        <v>1507</v>
      </c>
      <c r="G402" s="104" t="s">
        <v>1273</v>
      </c>
      <c r="H402" s="104">
        <v>0.0</v>
      </c>
    </row>
    <row r="403">
      <c r="A403" s="104" t="s">
        <v>1508</v>
      </c>
      <c r="B403" s="104" t="s">
        <v>172</v>
      </c>
      <c r="C403" s="104" t="s">
        <v>535</v>
      </c>
      <c r="D403" s="104" t="s">
        <v>1509</v>
      </c>
      <c r="E403" s="104" t="s">
        <v>1271</v>
      </c>
      <c r="F403" s="104" t="s">
        <v>1510</v>
      </c>
      <c r="G403" s="104" t="s">
        <v>1273</v>
      </c>
      <c r="H403" s="104">
        <v>0.0</v>
      </c>
    </row>
    <row r="404">
      <c r="A404" s="104" t="s">
        <v>1511</v>
      </c>
      <c r="B404" s="104" t="s">
        <v>177</v>
      </c>
      <c r="C404" s="104" t="s">
        <v>535</v>
      </c>
      <c r="D404" s="104" t="s">
        <v>1512</v>
      </c>
      <c r="E404" s="104" t="s">
        <v>1276</v>
      </c>
      <c r="F404" s="104" t="s">
        <v>1513</v>
      </c>
      <c r="G404" s="150">
        <f>+1</f>
        <v>1</v>
      </c>
      <c r="H404" s="104">
        <v>1.0</v>
      </c>
    </row>
    <row r="405">
      <c r="A405" s="104" t="s">
        <v>1514</v>
      </c>
      <c r="B405" s="104" t="s">
        <v>234</v>
      </c>
      <c r="C405" s="104" t="s">
        <v>535</v>
      </c>
      <c r="D405" s="104" t="s">
        <v>1515</v>
      </c>
      <c r="E405" s="104" t="s">
        <v>594</v>
      </c>
      <c r="F405" s="104" t="s">
        <v>1516</v>
      </c>
      <c r="G405" s="104">
        <v>-2.0</v>
      </c>
      <c r="H405" s="104">
        <v>-2.0</v>
      </c>
    </row>
    <row r="406">
      <c r="A406" s="104" t="s">
        <v>1517</v>
      </c>
      <c r="B406" s="104" t="s">
        <v>191</v>
      </c>
      <c r="C406" s="104" t="s">
        <v>535</v>
      </c>
      <c r="D406" s="104" t="s">
        <v>1518</v>
      </c>
      <c r="E406" s="104" t="s">
        <v>1271</v>
      </c>
      <c r="F406" s="104" t="s">
        <v>1519</v>
      </c>
      <c r="G406" s="104" t="s">
        <v>1273</v>
      </c>
      <c r="H406" s="104">
        <v>0.0</v>
      </c>
    </row>
    <row r="407">
      <c r="A407" s="104" t="s">
        <v>1520</v>
      </c>
      <c r="B407" s="104" t="s">
        <v>204</v>
      </c>
      <c r="C407" s="104" t="s">
        <v>535</v>
      </c>
      <c r="D407" s="104" t="s">
        <v>1521</v>
      </c>
      <c r="E407" s="104" t="s">
        <v>1335</v>
      </c>
      <c r="F407" s="104" t="s">
        <v>1522</v>
      </c>
      <c r="G407" s="150">
        <f>+2</f>
        <v>2</v>
      </c>
      <c r="H407" s="104">
        <v>2.0</v>
      </c>
    </row>
    <row r="408">
      <c r="A408" s="104" t="s">
        <v>1523</v>
      </c>
      <c r="B408" s="104" t="s">
        <v>203</v>
      </c>
      <c r="C408" s="104" t="s">
        <v>535</v>
      </c>
      <c r="D408" s="104" t="s">
        <v>1524</v>
      </c>
      <c r="E408" s="104" t="s">
        <v>1271</v>
      </c>
      <c r="F408" s="104" t="s">
        <v>1525</v>
      </c>
      <c r="G408" s="104" t="s">
        <v>1273</v>
      </c>
      <c r="H408" s="104">
        <v>0.0</v>
      </c>
    </row>
    <row r="409">
      <c r="A409" s="104" t="s">
        <v>1526</v>
      </c>
      <c r="B409" s="104" t="s">
        <v>140</v>
      </c>
      <c r="C409" s="104" t="s">
        <v>535</v>
      </c>
      <c r="D409" s="104" t="s">
        <v>1527</v>
      </c>
      <c r="E409" s="104" t="s">
        <v>1290</v>
      </c>
      <c r="F409" s="104" t="s">
        <v>1528</v>
      </c>
      <c r="G409" s="150">
        <f>+3</f>
        <v>3</v>
      </c>
      <c r="H409" s="104">
        <v>3.0</v>
      </c>
    </row>
    <row r="410">
      <c r="A410" s="104" t="s">
        <v>1529</v>
      </c>
      <c r="B410" s="104" t="s">
        <v>199</v>
      </c>
      <c r="C410" s="104" t="s">
        <v>535</v>
      </c>
      <c r="D410" s="104" t="s">
        <v>1530</v>
      </c>
      <c r="E410" s="104" t="s">
        <v>1271</v>
      </c>
      <c r="F410" s="104" t="s">
        <v>1531</v>
      </c>
      <c r="G410" s="104" t="s">
        <v>1273</v>
      </c>
      <c r="H410" s="104">
        <v>0.0</v>
      </c>
    </row>
    <row r="411">
      <c r="A411" s="104" t="s">
        <v>1532</v>
      </c>
      <c r="B411" s="104" t="s">
        <v>185</v>
      </c>
      <c r="C411" s="104" t="s">
        <v>535</v>
      </c>
      <c r="D411" s="104" t="s">
        <v>1533</v>
      </c>
      <c r="E411" s="104" t="s">
        <v>1328</v>
      </c>
      <c r="F411" s="104" t="s">
        <v>1534</v>
      </c>
      <c r="G411" s="104">
        <v>-3.0</v>
      </c>
      <c r="H411" s="104">
        <v>-3.0</v>
      </c>
    </row>
    <row r="412">
      <c r="A412" s="104" t="s">
        <v>1535</v>
      </c>
      <c r="B412" s="104" t="s">
        <v>197</v>
      </c>
      <c r="C412" s="104" t="s">
        <v>535</v>
      </c>
      <c r="D412" s="104" t="s">
        <v>1536</v>
      </c>
      <c r="E412" s="104" t="s">
        <v>1271</v>
      </c>
      <c r="F412" s="104" t="s">
        <v>1537</v>
      </c>
      <c r="G412" s="104" t="s">
        <v>1273</v>
      </c>
      <c r="H412" s="104">
        <v>0.0</v>
      </c>
    </row>
    <row r="413">
      <c r="A413" s="104" t="s">
        <v>1538</v>
      </c>
      <c r="B413" s="104" t="s">
        <v>143</v>
      </c>
      <c r="C413" s="104" t="s">
        <v>535</v>
      </c>
      <c r="D413" s="104" t="s">
        <v>1539</v>
      </c>
      <c r="E413" s="104" t="s">
        <v>1276</v>
      </c>
      <c r="F413" s="104" t="s">
        <v>1540</v>
      </c>
      <c r="G413" s="150">
        <f>+1</f>
        <v>1</v>
      </c>
      <c r="H413" s="104">
        <v>1.0</v>
      </c>
    </row>
    <row r="414">
      <c r="A414" s="104" t="s">
        <v>1541</v>
      </c>
      <c r="B414" s="104" t="s">
        <v>194</v>
      </c>
      <c r="C414" s="104" t="s">
        <v>535</v>
      </c>
      <c r="D414" s="104" t="s">
        <v>1542</v>
      </c>
      <c r="E414" s="104" t="s">
        <v>1271</v>
      </c>
      <c r="F414" s="104" t="s">
        <v>1543</v>
      </c>
      <c r="G414" s="104" t="s">
        <v>1273</v>
      </c>
      <c r="H414" s="104">
        <v>0.0</v>
      </c>
    </row>
    <row r="415">
      <c r="A415" s="104" t="s">
        <v>1544</v>
      </c>
      <c r="B415" s="104" t="s">
        <v>190</v>
      </c>
      <c r="C415" s="104" t="s">
        <v>535</v>
      </c>
      <c r="D415" s="104" t="s">
        <v>1545</v>
      </c>
      <c r="E415" s="104" t="s">
        <v>1290</v>
      </c>
      <c r="F415" s="104" t="s">
        <v>1546</v>
      </c>
      <c r="G415" s="150">
        <f>+3</f>
        <v>3</v>
      </c>
      <c r="H415" s="104">
        <v>3.0</v>
      </c>
    </row>
    <row r="416">
      <c r="A416" s="104" t="s">
        <v>1547</v>
      </c>
      <c r="B416" s="104" t="s">
        <v>206</v>
      </c>
      <c r="C416" s="104" t="s">
        <v>535</v>
      </c>
      <c r="D416" s="104" t="s">
        <v>1548</v>
      </c>
      <c r="E416" s="104" t="s">
        <v>1271</v>
      </c>
      <c r="F416" s="104" t="s">
        <v>1549</v>
      </c>
      <c r="G416" s="104" t="s">
        <v>1273</v>
      </c>
      <c r="H416" s="104">
        <v>0.0</v>
      </c>
    </row>
    <row r="417">
      <c r="A417" s="104" t="s">
        <v>1550</v>
      </c>
      <c r="B417" s="104" t="s">
        <v>198</v>
      </c>
      <c r="C417" s="104" t="s">
        <v>535</v>
      </c>
      <c r="D417" s="104" t="s">
        <v>1551</v>
      </c>
      <c r="E417" s="104" t="s">
        <v>1276</v>
      </c>
      <c r="F417" s="104" t="s">
        <v>1552</v>
      </c>
      <c r="G417" s="150">
        <f>+1</f>
        <v>1</v>
      </c>
      <c r="H417" s="104">
        <v>1.0</v>
      </c>
    </row>
    <row r="418">
      <c r="A418" s="104" t="s">
        <v>1553</v>
      </c>
      <c r="B418" s="104" t="s">
        <v>152</v>
      </c>
      <c r="C418" s="104" t="s">
        <v>535</v>
      </c>
      <c r="D418" s="104" t="s">
        <v>1554</v>
      </c>
      <c r="E418" s="104" t="s">
        <v>1300</v>
      </c>
      <c r="F418" s="104" t="s">
        <v>1555</v>
      </c>
      <c r="G418" s="104">
        <v>-2.0</v>
      </c>
      <c r="H418" s="104">
        <v>-2.0</v>
      </c>
    </row>
    <row r="419">
      <c r="A419" s="104" t="s">
        <v>1556</v>
      </c>
      <c r="B419" s="104" t="s">
        <v>205</v>
      </c>
      <c r="C419" s="104" t="s">
        <v>535</v>
      </c>
      <c r="D419" s="104" t="s">
        <v>1557</v>
      </c>
      <c r="E419" s="104" t="s">
        <v>1328</v>
      </c>
      <c r="F419" s="104" t="s">
        <v>1558</v>
      </c>
      <c r="G419" s="104">
        <v>-3.0</v>
      </c>
      <c r="H419" s="104">
        <v>-3.0</v>
      </c>
    </row>
    <row r="420">
      <c r="A420" s="104" t="s">
        <v>1559</v>
      </c>
      <c r="B420" s="104" t="s">
        <v>166</v>
      </c>
      <c r="C420" s="104" t="s">
        <v>535</v>
      </c>
      <c r="D420" s="104" t="s">
        <v>1560</v>
      </c>
      <c r="E420" s="104" t="s">
        <v>1290</v>
      </c>
      <c r="F420" s="104" t="s">
        <v>1561</v>
      </c>
      <c r="G420" s="150">
        <f>+3</f>
        <v>3</v>
      </c>
      <c r="H420" s="104">
        <v>3.0</v>
      </c>
    </row>
    <row r="421">
      <c r="A421" s="104" t="s">
        <v>1562</v>
      </c>
      <c r="B421" s="104" t="s">
        <v>197</v>
      </c>
      <c r="C421" s="104" t="s">
        <v>535</v>
      </c>
      <c r="D421" s="104" t="s">
        <v>1563</v>
      </c>
      <c r="E421" s="104" t="s">
        <v>1300</v>
      </c>
      <c r="F421" s="104" t="s">
        <v>1564</v>
      </c>
      <c r="G421" s="104">
        <v>-2.0</v>
      </c>
      <c r="H421" s="104">
        <v>-2.0</v>
      </c>
    </row>
    <row r="422">
      <c r="A422" s="104" t="s">
        <v>1565</v>
      </c>
      <c r="B422" s="104" t="s">
        <v>203</v>
      </c>
      <c r="C422" s="104" t="s">
        <v>535</v>
      </c>
      <c r="D422" s="104" t="s">
        <v>1566</v>
      </c>
      <c r="E422" s="104" t="s">
        <v>1290</v>
      </c>
      <c r="F422" s="104" t="s">
        <v>1567</v>
      </c>
      <c r="G422" s="150">
        <f>+3</f>
        <v>3</v>
      </c>
      <c r="H422" s="104">
        <v>3.0</v>
      </c>
    </row>
    <row r="423">
      <c r="A423" s="104" t="s">
        <v>1568</v>
      </c>
      <c r="B423" s="104" t="s">
        <v>205</v>
      </c>
      <c r="C423" s="104" t="s">
        <v>535</v>
      </c>
      <c r="D423" s="104" t="s">
        <v>1569</v>
      </c>
      <c r="E423" s="104" t="s">
        <v>1328</v>
      </c>
      <c r="F423" s="104" t="s">
        <v>1570</v>
      </c>
      <c r="G423" s="104">
        <v>-3.0</v>
      </c>
      <c r="H423" s="104">
        <v>-3.0</v>
      </c>
    </row>
    <row r="424">
      <c r="A424" s="104" t="s">
        <v>1571</v>
      </c>
      <c r="B424" s="104" t="s">
        <v>199</v>
      </c>
      <c r="C424" s="104" t="s">
        <v>535</v>
      </c>
      <c r="D424" s="104" t="s">
        <v>1572</v>
      </c>
      <c r="E424" s="104" t="s">
        <v>1300</v>
      </c>
      <c r="F424" s="104" t="s">
        <v>1573</v>
      </c>
      <c r="G424" s="104">
        <v>-2.0</v>
      </c>
      <c r="H424" s="104">
        <v>-2.0</v>
      </c>
    </row>
    <row r="425">
      <c r="A425" s="104" t="s">
        <v>1574</v>
      </c>
      <c r="B425" s="104" t="s">
        <v>210</v>
      </c>
      <c r="C425" s="104" t="s">
        <v>535</v>
      </c>
      <c r="D425" s="104" t="s">
        <v>1575</v>
      </c>
      <c r="E425" s="104" t="s">
        <v>1283</v>
      </c>
      <c r="F425" s="104" t="s">
        <v>1576</v>
      </c>
      <c r="G425" s="104">
        <v>-1.0</v>
      </c>
      <c r="H425" s="104">
        <v>-1.0</v>
      </c>
    </row>
    <row r="426">
      <c r="A426" s="104" t="s">
        <v>1577</v>
      </c>
      <c r="B426" s="104" t="s">
        <v>176</v>
      </c>
      <c r="C426" s="104" t="s">
        <v>535</v>
      </c>
      <c r="D426" s="104" t="s">
        <v>1578</v>
      </c>
      <c r="E426" s="104" t="s">
        <v>1328</v>
      </c>
      <c r="F426" s="104" t="s">
        <v>1579</v>
      </c>
      <c r="G426" s="104">
        <v>-3.0</v>
      </c>
      <c r="H426" s="104">
        <v>-3.0</v>
      </c>
    </row>
    <row r="427">
      <c r="A427" s="104" t="s">
        <v>1580</v>
      </c>
      <c r="B427" s="104" t="s">
        <v>206</v>
      </c>
      <c r="C427" s="104" t="s">
        <v>535</v>
      </c>
      <c r="D427" s="104" t="s">
        <v>1581</v>
      </c>
      <c r="E427" s="104" t="s">
        <v>1335</v>
      </c>
      <c r="F427" s="104" t="s">
        <v>1582</v>
      </c>
      <c r="G427" s="150">
        <f t="shared" ref="G427:G428" si="11">+2</f>
        <v>2</v>
      </c>
      <c r="H427" s="104">
        <v>2.0</v>
      </c>
    </row>
    <row r="428">
      <c r="A428" s="104" t="s">
        <v>1583</v>
      </c>
      <c r="B428" s="104" t="s">
        <v>198</v>
      </c>
      <c r="C428" s="104" t="s">
        <v>535</v>
      </c>
      <c r="D428" s="104" t="s">
        <v>1584</v>
      </c>
      <c r="E428" s="104" t="s">
        <v>1335</v>
      </c>
      <c r="F428" s="104" t="s">
        <v>1585</v>
      </c>
      <c r="G428" s="150">
        <f t="shared" si="11"/>
        <v>2</v>
      </c>
      <c r="H428" s="104">
        <v>2.0</v>
      </c>
    </row>
    <row r="429">
      <c r="A429" s="104" t="s">
        <v>1586</v>
      </c>
      <c r="B429" s="104" t="s">
        <v>196</v>
      </c>
      <c r="C429" s="104" t="s">
        <v>535</v>
      </c>
      <c r="D429" s="104" t="s">
        <v>1587</v>
      </c>
      <c r="E429" s="104" t="s">
        <v>1276</v>
      </c>
      <c r="F429" s="104" t="s">
        <v>1588</v>
      </c>
      <c r="G429" s="150">
        <f t="shared" ref="G429:G430" si="12">+1</f>
        <v>1</v>
      </c>
      <c r="H429" s="104">
        <v>1.0</v>
      </c>
    </row>
    <row r="430">
      <c r="A430" s="104" t="s">
        <v>1589</v>
      </c>
      <c r="B430" s="104" t="s">
        <v>163</v>
      </c>
      <c r="C430" s="104" t="s">
        <v>535</v>
      </c>
      <c r="D430" s="104" t="s">
        <v>1590</v>
      </c>
      <c r="E430" s="104" t="s">
        <v>1276</v>
      </c>
      <c r="F430" s="104" t="s">
        <v>1591</v>
      </c>
      <c r="G430" s="150">
        <f t="shared" si="12"/>
        <v>1</v>
      </c>
      <c r="H430" s="104">
        <v>1.0</v>
      </c>
    </row>
    <row r="431">
      <c r="A431" s="104" t="s">
        <v>1592</v>
      </c>
      <c r="B431" s="104" t="s">
        <v>196</v>
      </c>
      <c r="C431" s="104" t="s">
        <v>535</v>
      </c>
      <c r="D431" s="104" t="s">
        <v>1593</v>
      </c>
      <c r="E431" s="104" t="s">
        <v>1271</v>
      </c>
      <c r="F431" s="104" t="s">
        <v>1594</v>
      </c>
      <c r="G431" s="104" t="s">
        <v>1273</v>
      </c>
      <c r="H431" s="104">
        <v>0.0</v>
      </c>
    </row>
    <row r="432">
      <c r="A432" s="104" t="s">
        <v>1595</v>
      </c>
      <c r="B432" s="104" t="s">
        <v>160</v>
      </c>
      <c r="C432" s="104" t="s">
        <v>535</v>
      </c>
      <c r="D432" s="104" t="s">
        <v>1596</v>
      </c>
      <c r="E432" s="104" t="s">
        <v>1271</v>
      </c>
      <c r="F432" s="104" t="s">
        <v>1597</v>
      </c>
      <c r="G432" s="104" t="s">
        <v>1273</v>
      </c>
      <c r="H432" s="104">
        <v>0.0</v>
      </c>
    </row>
    <row r="433">
      <c r="A433" s="104" t="s">
        <v>1598</v>
      </c>
      <c r="B433" s="104" t="s">
        <v>320</v>
      </c>
      <c r="C433" s="104" t="s">
        <v>535</v>
      </c>
      <c r="D433" s="104" t="s">
        <v>1599</v>
      </c>
      <c r="E433" s="104" t="s">
        <v>594</v>
      </c>
      <c r="F433" s="104" t="s">
        <v>1600</v>
      </c>
      <c r="G433" s="104">
        <v>-2.0</v>
      </c>
      <c r="H433" s="104">
        <v>-2.0</v>
      </c>
    </row>
    <row r="434">
      <c r="A434" s="104" t="s">
        <v>1601</v>
      </c>
      <c r="B434" s="104" t="s">
        <v>142</v>
      </c>
      <c r="C434" s="104" t="s">
        <v>535</v>
      </c>
      <c r="D434" s="104" t="s">
        <v>1602</v>
      </c>
      <c r="E434" s="104" t="s">
        <v>1290</v>
      </c>
      <c r="F434" s="104" t="s">
        <v>1603</v>
      </c>
      <c r="G434" s="150">
        <f>+3</f>
        <v>3</v>
      </c>
      <c r="H434" s="104">
        <v>3.0</v>
      </c>
    </row>
    <row r="435">
      <c r="A435" s="104" t="s">
        <v>1604</v>
      </c>
      <c r="B435" s="104" t="s">
        <v>214</v>
      </c>
      <c r="C435" s="104" t="s">
        <v>535</v>
      </c>
      <c r="D435" s="104" t="s">
        <v>1605</v>
      </c>
      <c r="E435" s="104" t="s">
        <v>1276</v>
      </c>
      <c r="F435" s="104" t="s">
        <v>1606</v>
      </c>
      <c r="G435" s="150">
        <f t="shared" ref="G435:G436" si="13">+1</f>
        <v>1</v>
      </c>
      <c r="H435" s="104">
        <v>1.0</v>
      </c>
    </row>
    <row r="436">
      <c r="A436" s="104" t="s">
        <v>1607</v>
      </c>
      <c r="B436" s="104" t="s">
        <v>172</v>
      </c>
      <c r="C436" s="104" t="s">
        <v>535</v>
      </c>
      <c r="D436" s="104" t="s">
        <v>1608</v>
      </c>
      <c r="E436" s="104" t="s">
        <v>1276</v>
      </c>
      <c r="F436" s="104" t="s">
        <v>1609</v>
      </c>
      <c r="G436" s="150">
        <f t="shared" si="13"/>
        <v>1</v>
      </c>
      <c r="H436" s="104">
        <v>1.0</v>
      </c>
    </row>
    <row r="437">
      <c r="A437" s="104" t="s">
        <v>1610</v>
      </c>
      <c r="B437" s="104" t="s">
        <v>168</v>
      </c>
      <c r="C437" s="104" t="s">
        <v>535</v>
      </c>
      <c r="D437" s="104" t="s">
        <v>1611</v>
      </c>
      <c r="E437" s="104" t="s">
        <v>1328</v>
      </c>
      <c r="F437" s="104" t="s">
        <v>1612</v>
      </c>
      <c r="G437" s="104">
        <v>-3.0</v>
      </c>
      <c r="H437" s="104">
        <v>-3.0</v>
      </c>
    </row>
    <row r="438">
      <c r="A438" s="104" t="s">
        <v>1613</v>
      </c>
      <c r="B438" s="104" t="s">
        <v>160</v>
      </c>
      <c r="C438" s="104" t="s">
        <v>535</v>
      </c>
      <c r="D438" s="104" t="s">
        <v>1614</v>
      </c>
      <c r="E438" s="104" t="s">
        <v>1335</v>
      </c>
      <c r="F438" s="104" t="s">
        <v>1615</v>
      </c>
      <c r="G438" s="150">
        <f>+2</f>
        <v>2</v>
      </c>
      <c r="H438" s="104">
        <v>2.0</v>
      </c>
    </row>
    <row r="439">
      <c r="A439" s="104" t="s">
        <v>1616</v>
      </c>
      <c r="B439" s="104" t="s">
        <v>174</v>
      </c>
      <c r="C439" s="104" t="s">
        <v>535</v>
      </c>
      <c r="D439" s="104" t="s">
        <v>1617</v>
      </c>
      <c r="E439" s="104" t="s">
        <v>1271</v>
      </c>
      <c r="F439" s="104" t="s">
        <v>1618</v>
      </c>
      <c r="G439" s="104" t="s">
        <v>1273</v>
      </c>
      <c r="H439" s="104">
        <v>0.0</v>
      </c>
    </row>
    <row r="440">
      <c r="A440" s="104" t="s">
        <v>1619</v>
      </c>
      <c r="B440" s="104" t="s">
        <v>193</v>
      </c>
      <c r="C440" s="104" t="s">
        <v>535</v>
      </c>
      <c r="D440" s="104" t="s">
        <v>1620</v>
      </c>
      <c r="E440" s="104" t="s">
        <v>1300</v>
      </c>
      <c r="F440" s="104" t="s">
        <v>1621</v>
      </c>
      <c r="G440" s="104">
        <v>-2.0</v>
      </c>
      <c r="H440" s="104">
        <v>-2.0</v>
      </c>
    </row>
    <row r="441">
      <c r="A441" s="104" t="s">
        <v>1622</v>
      </c>
      <c r="B441" s="104" t="s">
        <v>177</v>
      </c>
      <c r="C441" s="104" t="s">
        <v>535</v>
      </c>
      <c r="D441" s="104" t="s">
        <v>1623</v>
      </c>
      <c r="E441" s="104" t="s">
        <v>1271</v>
      </c>
      <c r="F441" s="104" t="s">
        <v>1624</v>
      </c>
      <c r="G441" s="104" t="s">
        <v>1273</v>
      </c>
      <c r="H441" s="104">
        <v>0.0</v>
      </c>
    </row>
    <row r="442">
      <c r="A442" s="104" t="s">
        <v>1625</v>
      </c>
      <c r="B442" s="104" t="s">
        <v>129</v>
      </c>
      <c r="C442" s="104" t="s">
        <v>535</v>
      </c>
      <c r="D442" s="104" t="s">
        <v>1626</v>
      </c>
      <c r="E442" s="104" t="s">
        <v>1290</v>
      </c>
      <c r="F442" s="104" t="s">
        <v>1627</v>
      </c>
      <c r="G442" s="150">
        <f>+3</f>
        <v>3</v>
      </c>
      <c r="H442" s="104">
        <v>3.0</v>
      </c>
    </row>
    <row r="443">
      <c r="A443" s="104" t="s">
        <v>1628</v>
      </c>
      <c r="B443" s="104" t="s">
        <v>219</v>
      </c>
      <c r="C443" s="104" t="s">
        <v>535</v>
      </c>
      <c r="D443" s="104" t="s">
        <v>1629</v>
      </c>
      <c r="E443" s="104" t="s">
        <v>1271</v>
      </c>
      <c r="F443" s="104" t="s">
        <v>1630</v>
      </c>
      <c r="G443" s="104" t="s">
        <v>1273</v>
      </c>
      <c r="H443" s="104">
        <v>0.0</v>
      </c>
    </row>
    <row r="444">
      <c r="A444" s="104" t="s">
        <v>1631</v>
      </c>
      <c r="B444" s="104" t="s">
        <v>174</v>
      </c>
      <c r="C444" s="104" t="s">
        <v>535</v>
      </c>
      <c r="D444" s="104" t="s">
        <v>1632</v>
      </c>
      <c r="E444" s="104" t="s">
        <v>1335</v>
      </c>
      <c r="F444" s="104" t="s">
        <v>1633</v>
      </c>
      <c r="G444" s="150">
        <f>+2</f>
        <v>2</v>
      </c>
      <c r="H444" s="104">
        <v>2.0</v>
      </c>
    </row>
    <row r="445">
      <c r="A445" s="104" t="s">
        <v>1634</v>
      </c>
      <c r="B445" s="104" t="s">
        <v>221</v>
      </c>
      <c r="C445" s="104" t="s">
        <v>535</v>
      </c>
      <c r="D445" s="104" t="s">
        <v>1635</v>
      </c>
      <c r="E445" s="104" t="s">
        <v>1271</v>
      </c>
      <c r="F445" s="104" t="s">
        <v>1636</v>
      </c>
      <c r="G445" s="104" t="s">
        <v>1273</v>
      </c>
      <c r="H445" s="104">
        <v>0.0</v>
      </c>
    </row>
    <row r="446">
      <c r="A446" s="104" t="s">
        <v>1637</v>
      </c>
      <c r="B446" s="104" t="s">
        <v>121</v>
      </c>
      <c r="C446" s="104" t="s">
        <v>535</v>
      </c>
      <c r="D446" s="104" t="s">
        <v>1638</v>
      </c>
      <c r="E446" s="104" t="s">
        <v>1276</v>
      </c>
      <c r="F446" s="104" t="s">
        <v>1639</v>
      </c>
      <c r="G446" s="150">
        <f>+1</f>
        <v>1</v>
      </c>
      <c r="H446" s="104">
        <v>1.0</v>
      </c>
    </row>
    <row r="447">
      <c r="A447" s="104" t="s">
        <v>1640</v>
      </c>
      <c r="B447" s="104" t="s">
        <v>144</v>
      </c>
      <c r="C447" s="104" t="s">
        <v>535</v>
      </c>
      <c r="D447" s="104" t="s">
        <v>1641</v>
      </c>
      <c r="E447" s="104" t="s">
        <v>1271</v>
      </c>
      <c r="F447" s="104" t="s">
        <v>1642</v>
      </c>
      <c r="G447" s="104" t="s">
        <v>1273</v>
      </c>
      <c r="H447" s="104">
        <v>0.0</v>
      </c>
    </row>
    <row r="448">
      <c r="A448" s="104" t="s">
        <v>1643</v>
      </c>
      <c r="B448" s="104" t="s">
        <v>129</v>
      </c>
      <c r="C448" s="104" t="s">
        <v>535</v>
      </c>
      <c r="D448" s="104" t="s">
        <v>1644</v>
      </c>
      <c r="E448" s="104" t="s">
        <v>1283</v>
      </c>
      <c r="F448" s="104" t="s">
        <v>1645</v>
      </c>
      <c r="G448" s="104">
        <v>-1.0</v>
      </c>
      <c r="H448" s="104">
        <v>-1.0</v>
      </c>
    </row>
    <row r="449">
      <c r="A449" s="104" t="s">
        <v>1646</v>
      </c>
      <c r="B449" s="104" t="s">
        <v>121</v>
      </c>
      <c r="C449" s="104" t="s">
        <v>535</v>
      </c>
      <c r="D449" s="104" t="s">
        <v>1647</v>
      </c>
      <c r="E449" s="104" t="s">
        <v>1271</v>
      </c>
      <c r="F449" s="104" t="s">
        <v>1648</v>
      </c>
      <c r="G449" s="104" t="s">
        <v>1273</v>
      </c>
      <c r="H449" s="104">
        <v>0.0</v>
      </c>
    </row>
    <row r="450">
      <c r="A450" s="104" t="s">
        <v>1649</v>
      </c>
      <c r="B450" s="104" t="s">
        <v>223</v>
      </c>
      <c r="C450" s="104" t="s">
        <v>535</v>
      </c>
      <c r="D450" s="104" t="s">
        <v>1650</v>
      </c>
      <c r="E450" s="104" t="s">
        <v>1271</v>
      </c>
      <c r="F450" s="104" t="s">
        <v>1651</v>
      </c>
      <c r="G450" s="104" t="s">
        <v>1273</v>
      </c>
      <c r="H450" s="104">
        <v>0.0</v>
      </c>
    </row>
    <row r="451">
      <c r="A451" s="104" t="s">
        <v>1652</v>
      </c>
      <c r="B451" s="104" t="s">
        <v>172</v>
      </c>
      <c r="C451" s="104" t="s">
        <v>535</v>
      </c>
      <c r="D451" s="104" t="s">
        <v>1653</v>
      </c>
      <c r="E451" s="104" t="s">
        <v>1271</v>
      </c>
      <c r="F451" s="104" t="s">
        <v>1654</v>
      </c>
      <c r="G451" s="104" t="s">
        <v>1273</v>
      </c>
      <c r="H451" s="104">
        <v>0.0</v>
      </c>
    </row>
    <row r="452">
      <c r="A452" s="104" t="s">
        <v>1655</v>
      </c>
      <c r="B452" s="104" t="s">
        <v>170</v>
      </c>
      <c r="C452" s="104" t="s">
        <v>535</v>
      </c>
      <c r="D452" s="104" t="s">
        <v>1656</v>
      </c>
      <c r="E452" s="104" t="s">
        <v>1271</v>
      </c>
      <c r="F452" s="104" t="s">
        <v>1657</v>
      </c>
      <c r="G452" s="104" t="s">
        <v>1273</v>
      </c>
      <c r="H452" s="104">
        <v>0.0</v>
      </c>
    </row>
    <row r="453">
      <c r="A453" s="104" t="s">
        <v>1658</v>
      </c>
      <c r="B453" s="104" t="s">
        <v>141</v>
      </c>
      <c r="C453" s="104" t="s">
        <v>535</v>
      </c>
      <c r="D453" s="104" t="s">
        <v>1659</v>
      </c>
      <c r="E453" s="104" t="s">
        <v>1283</v>
      </c>
      <c r="F453" s="104" t="s">
        <v>1660</v>
      </c>
      <c r="G453" s="104">
        <v>-1.0</v>
      </c>
      <c r="H453" s="104">
        <v>-1.0</v>
      </c>
    </row>
    <row r="454">
      <c r="A454" s="104" t="s">
        <v>1661</v>
      </c>
      <c r="B454" s="104" t="s">
        <v>218</v>
      </c>
      <c r="C454" s="104" t="s">
        <v>535</v>
      </c>
      <c r="D454" s="104" t="s">
        <v>1662</v>
      </c>
      <c r="E454" s="104" t="s">
        <v>1276</v>
      </c>
      <c r="F454" s="104" t="s">
        <v>1663</v>
      </c>
      <c r="G454" s="150">
        <f>+1</f>
        <v>1</v>
      </c>
      <c r="H454" s="104">
        <v>1.0</v>
      </c>
    </row>
    <row r="455">
      <c r="A455" s="104" t="s">
        <v>1664</v>
      </c>
      <c r="B455" s="104" t="s">
        <v>161</v>
      </c>
      <c r="C455" s="104" t="s">
        <v>535</v>
      </c>
      <c r="D455" s="104" t="s">
        <v>1665</v>
      </c>
      <c r="E455" s="104" t="s">
        <v>1300</v>
      </c>
      <c r="F455" s="104" t="s">
        <v>1666</v>
      </c>
      <c r="G455" s="104">
        <v>-2.0</v>
      </c>
      <c r="H455" s="104">
        <v>-2.0</v>
      </c>
    </row>
    <row r="456">
      <c r="A456" s="104" t="s">
        <v>1667</v>
      </c>
      <c r="B456" s="104" t="s">
        <v>224</v>
      </c>
      <c r="C456" s="104" t="s">
        <v>535</v>
      </c>
      <c r="D456" s="104" t="s">
        <v>1668</v>
      </c>
      <c r="E456" s="104" t="s">
        <v>1271</v>
      </c>
      <c r="F456" s="104" t="s">
        <v>1669</v>
      </c>
      <c r="G456" s="104" t="s">
        <v>1273</v>
      </c>
      <c r="H456" s="104">
        <v>0.0</v>
      </c>
    </row>
    <row r="457">
      <c r="A457" s="104" t="s">
        <v>1670</v>
      </c>
      <c r="B457" s="104" t="s">
        <v>129</v>
      </c>
      <c r="C457" s="104" t="s">
        <v>535</v>
      </c>
      <c r="D457" s="104" t="s">
        <v>1671</v>
      </c>
      <c r="E457" s="104" t="s">
        <v>1271</v>
      </c>
      <c r="F457" s="104" t="s">
        <v>1672</v>
      </c>
      <c r="G457" s="104" t="s">
        <v>1273</v>
      </c>
      <c r="H457" s="104">
        <v>0.0</v>
      </c>
    </row>
    <row r="458">
      <c r="A458" s="104" t="s">
        <v>1673</v>
      </c>
      <c r="B458" s="104" t="s">
        <v>131</v>
      </c>
      <c r="C458" s="104" t="s">
        <v>535</v>
      </c>
      <c r="D458" s="104" t="s">
        <v>1674</v>
      </c>
      <c r="E458" s="104" t="s">
        <v>1290</v>
      </c>
      <c r="F458" s="104" t="s">
        <v>1675</v>
      </c>
      <c r="G458" s="150">
        <f>+3</f>
        <v>3</v>
      </c>
      <c r="H458" s="104">
        <v>3.0</v>
      </c>
    </row>
    <row r="459">
      <c r="A459" s="104" t="s">
        <v>1676</v>
      </c>
      <c r="B459" s="104" t="s">
        <v>226</v>
      </c>
      <c r="C459" s="104" t="s">
        <v>535</v>
      </c>
      <c r="D459" s="104" t="s">
        <v>1677</v>
      </c>
      <c r="E459" s="104" t="s">
        <v>1271</v>
      </c>
      <c r="F459" s="104" t="s">
        <v>1678</v>
      </c>
      <c r="G459" s="104" t="s">
        <v>1273</v>
      </c>
      <c r="H459" s="104">
        <v>0.0</v>
      </c>
    </row>
    <row r="460">
      <c r="A460" s="104" t="s">
        <v>1679</v>
      </c>
      <c r="B460" s="104" t="s">
        <v>128</v>
      </c>
      <c r="C460" s="104" t="s">
        <v>535</v>
      </c>
      <c r="D460" s="104" t="s">
        <v>1680</v>
      </c>
      <c r="E460" s="104" t="s">
        <v>1271</v>
      </c>
      <c r="F460" s="104" t="s">
        <v>1681</v>
      </c>
      <c r="G460" s="104" t="s">
        <v>1273</v>
      </c>
      <c r="H460" s="104">
        <v>0.0</v>
      </c>
    </row>
    <row r="461">
      <c r="A461" s="104" t="s">
        <v>1682</v>
      </c>
      <c r="B461" s="104" t="s">
        <v>218</v>
      </c>
      <c r="C461" s="104" t="s">
        <v>535</v>
      </c>
      <c r="D461" s="104" t="s">
        <v>1683</v>
      </c>
      <c r="E461" s="104" t="s">
        <v>1300</v>
      </c>
      <c r="F461" s="104" t="s">
        <v>1684</v>
      </c>
      <c r="G461" s="104">
        <v>-2.0</v>
      </c>
      <c r="H461" s="104">
        <v>-2.0</v>
      </c>
    </row>
    <row r="462">
      <c r="A462" s="104" t="s">
        <v>1685</v>
      </c>
      <c r="B462" s="104" t="s">
        <v>210</v>
      </c>
      <c r="C462" s="104" t="s">
        <v>535</v>
      </c>
      <c r="D462" s="104" t="s">
        <v>1686</v>
      </c>
      <c r="E462" s="104" t="s">
        <v>1283</v>
      </c>
      <c r="F462" s="104" t="s">
        <v>1687</v>
      </c>
      <c r="G462" s="104">
        <v>-1.0</v>
      </c>
      <c r="H462" s="104">
        <v>-1.0</v>
      </c>
    </row>
    <row r="463">
      <c r="A463" s="104" t="s">
        <v>1688</v>
      </c>
      <c r="B463" s="104" t="s">
        <v>155</v>
      </c>
      <c r="C463" s="104" t="s">
        <v>535</v>
      </c>
      <c r="D463" s="104" t="s">
        <v>1689</v>
      </c>
      <c r="E463" s="104" t="s">
        <v>1271</v>
      </c>
      <c r="F463" s="104" t="s">
        <v>1690</v>
      </c>
      <c r="G463" s="104" t="s">
        <v>1273</v>
      </c>
      <c r="H463" s="104">
        <v>0.0</v>
      </c>
    </row>
    <row r="464">
      <c r="A464" s="104" t="s">
        <v>1691</v>
      </c>
      <c r="B464" s="104" t="s">
        <v>181</v>
      </c>
      <c r="C464" s="104" t="s">
        <v>535</v>
      </c>
      <c r="D464" s="104" t="s">
        <v>1692</v>
      </c>
      <c r="E464" s="104" t="s">
        <v>1335</v>
      </c>
      <c r="F464" s="104" t="s">
        <v>1693</v>
      </c>
      <c r="G464" s="150">
        <f>+2</f>
        <v>2</v>
      </c>
      <c r="H464" s="104">
        <v>2.0</v>
      </c>
    </row>
    <row r="465">
      <c r="A465" s="104" t="s">
        <v>1694</v>
      </c>
      <c r="B465" s="104" t="s">
        <v>177</v>
      </c>
      <c r="C465" s="104" t="s">
        <v>535</v>
      </c>
      <c r="D465" s="104" t="s">
        <v>1695</v>
      </c>
      <c r="E465" s="104" t="s">
        <v>1328</v>
      </c>
      <c r="F465" s="104" t="s">
        <v>1696</v>
      </c>
      <c r="G465" s="104">
        <v>-3.0</v>
      </c>
      <c r="H465" s="104">
        <v>-3.0</v>
      </c>
    </row>
    <row r="466">
      <c r="A466" s="104" t="s">
        <v>1697</v>
      </c>
      <c r="B466" s="104" t="s">
        <v>181</v>
      </c>
      <c r="C466" s="104" t="s">
        <v>535</v>
      </c>
      <c r="D466" s="104" t="s">
        <v>1698</v>
      </c>
      <c r="E466" s="104" t="s">
        <v>1271</v>
      </c>
      <c r="F466" s="104" t="s">
        <v>1699</v>
      </c>
      <c r="G466" s="104" t="s">
        <v>1273</v>
      </c>
      <c r="H466" s="104">
        <v>0.0</v>
      </c>
    </row>
    <row r="467">
      <c r="A467" s="104" t="s">
        <v>1700</v>
      </c>
      <c r="B467" s="104" t="s">
        <v>228</v>
      </c>
      <c r="C467" s="104" t="s">
        <v>535</v>
      </c>
      <c r="D467" s="104" t="s">
        <v>1701</v>
      </c>
      <c r="E467" s="104" t="s">
        <v>1271</v>
      </c>
      <c r="F467" s="104" t="s">
        <v>1702</v>
      </c>
      <c r="G467" s="104" t="s">
        <v>1273</v>
      </c>
      <c r="H467" s="104">
        <v>0.0</v>
      </c>
    </row>
    <row r="468">
      <c r="A468" s="104" t="s">
        <v>1703</v>
      </c>
      <c r="B468" s="104" t="s">
        <v>112</v>
      </c>
      <c r="C468" s="104" t="s">
        <v>535</v>
      </c>
      <c r="D468" s="104" t="s">
        <v>1704</v>
      </c>
      <c r="E468" s="104" t="s">
        <v>1335</v>
      </c>
      <c r="F468" s="104" t="s">
        <v>1705</v>
      </c>
      <c r="G468" s="150">
        <f t="shared" ref="G468:G469" si="14">+2</f>
        <v>2</v>
      </c>
      <c r="H468" s="104">
        <v>2.0</v>
      </c>
    </row>
    <row r="469">
      <c r="A469" s="104" t="s">
        <v>1706</v>
      </c>
      <c r="B469" s="104" t="s">
        <v>151</v>
      </c>
      <c r="C469" s="104" t="s">
        <v>535</v>
      </c>
      <c r="D469" s="104" t="s">
        <v>1707</v>
      </c>
      <c r="E469" s="104" t="s">
        <v>1335</v>
      </c>
      <c r="F469" s="104" t="s">
        <v>1708</v>
      </c>
      <c r="G469" s="150">
        <f t="shared" si="14"/>
        <v>2</v>
      </c>
      <c r="H469" s="104">
        <v>2.0</v>
      </c>
    </row>
    <row r="470">
      <c r="A470" s="104" t="s">
        <v>1709</v>
      </c>
      <c r="B470" s="104" t="s">
        <v>119</v>
      </c>
      <c r="C470" s="104" t="s">
        <v>535</v>
      </c>
      <c r="D470" s="104" t="s">
        <v>1710</v>
      </c>
      <c r="E470" s="104" t="s">
        <v>1271</v>
      </c>
      <c r="F470" s="104" t="s">
        <v>1711</v>
      </c>
      <c r="G470" s="104" t="s">
        <v>1273</v>
      </c>
      <c r="H470" s="104">
        <v>0.0</v>
      </c>
    </row>
    <row r="471">
      <c r="A471" s="104" t="s">
        <v>1712</v>
      </c>
      <c r="B471" s="104" t="s">
        <v>217</v>
      </c>
      <c r="C471" s="104" t="s">
        <v>535</v>
      </c>
      <c r="D471" s="104" t="s">
        <v>1713</v>
      </c>
      <c r="E471" s="104" t="s">
        <v>1271</v>
      </c>
      <c r="F471" s="104" t="s">
        <v>1714</v>
      </c>
      <c r="G471" s="104" t="s">
        <v>1273</v>
      </c>
      <c r="H471" s="104">
        <v>0.0</v>
      </c>
    </row>
    <row r="472">
      <c r="A472" s="104" t="s">
        <v>1715</v>
      </c>
      <c r="B472" s="104" t="s">
        <v>219</v>
      </c>
      <c r="C472" s="104" t="s">
        <v>535</v>
      </c>
      <c r="D472" s="104" t="s">
        <v>1716</v>
      </c>
      <c r="E472" s="104" t="s">
        <v>1335</v>
      </c>
      <c r="F472" s="104" t="s">
        <v>1717</v>
      </c>
      <c r="G472" s="150">
        <f>+2</f>
        <v>2</v>
      </c>
      <c r="H472" s="104">
        <v>2.0</v>
      </c>
    </row>
    <row r="473">
      <c r="A473" s="104" t="s">
        <v>1718</v>
      </c>
      <c r="B473" s="104" t="s">
        <v>191</v>
      </c>
      <c r="C473" s="104" t="s">
        <v>535</v>
      </c>
      <c r="D473" s="104" t="s">
        <v>1719</v>
      </c>
      <c r="E473" s="104" t="s">
        <v>1290</v>
      </c>
      <c r="F473" s="104" t="s">
        <v>1720</v>
      </c>
      <c r="G473" s="150">
        <f>+3</f>
        <v>3</v>
      </c>
      <c r="H473" s="104">
        <v>3.0</v>
      </c>
    </row>
    <row r="474">
      <c r="A474" s="104" t="s">
        <v>1721</v>
      </c>
      <c r="B474" s="104" t="s">
        <v>208</v>
      </c>
      <c r="C474" s="104" t="s">
        <v>535</v>
      </c>
      <c r="D474" s="104" t="s">
        <v>1722</v>
      </c>
      <c r="E474" s="104" t="s">
        <v>1328</v>
      </c>
      <c r="F474" s="104" t="s">
        <v>1723</v>
      </c>
      <c r="G474" s="104">
        <v>-3.0</v>
      </c>
      <c r="H474" s="104">
        <v>-3.0</v>
      </c>
    </row>
    <row r="475">
      <c r="A475" s="104" t="s">
        <v>1724</v>
      </c>
      <c r="B475" s="104" t="s">
        <v>229</v>
      </c>
      <c r="C475" s="104" t="s">
        <v>535</v>
      </c>
      <c r="D475" s="104" t="s">
        <v>1725</v>
      </c>
      <c r="E475" s="104" t="s">
        <v>1271</v>
      </c>
      <c r="F475" s="104" t="s">
        <v>1726</v>
      </c>
      <c r="G475" s="104" t="s">
        <v>1273</v>
      </c>
      <c r="H475" s="104">
        <v>0.0</v>
      </c>
    </row>
    <row r="476">
      <c r="A476" s="104" t="s">
        <v>1727</v>
      </c>
      <c r="B476" s="104" t="s">
        <v>224</v>
      </c>
      <c r="C476" s="104" t="s">
        <v>535</v>
      </c>
      <c r="D476" s="104" t="s">
        <v>1728</v>
      </c>
      <c r="E476" s="104" t="s">
        <v>1335</v>
      </c>
      <c r="F476" s="104" t="s">
        <v>1729</v>
      </c>
      <c r="G476" s="150">
        <f>+2</f>
        <v>2</v>
      </c>
      <c r="H476" s="104">
        <v>2.0</v>
      </c>
    </row>
    <row r="477">
      <c r="A477" s="104" t="s">
        <v>1730</v>
      </c>
      <c r="B477" s="104" t="s">
        <v>204</v>
      </c>
      <c r="C477" s="104" t="s">
        <v>535</v>
      </c>
      <c r="D477" s="104" t="s">
        <v>1731</v>
      </c>
      <c r="E477" s="104" t="s">
        <v>1290</v>
      </c>
      <c r="F477" s="104" t="s">
        <v>1732</v>
      </c>
      <c r="G477" s="150">
        <f t="shared" ref="G477:G478" si="15">+3</f>
        <v>3</v>
      </c>
      <c r="H477" s="104">
        <v>3.0</v>
      </c>
    </row>
    <row r="478">
      <c r="A478" s="104" t="s">
        <v>1733</v>
      </c>
      <c r="B478" s="104" t="s">
        <v>226</v>
      </c>
      <c r="C478" s="104" t="s">
        <v>535</v>
      </c>
      <c r="D478" s="104" t="s">
        <v>1734</v>
      </c>
      <c r="E478" s="104" t="s">
        <v>1290</v>
      </c>
      <c r="F478" s="104" t="s">
        <v>1735</v>
      </c>
      <c r="G478" s="150">
        <f t="shared" si="15"/>
        <v>3</v>
      </c>
      <c r="H478" s="104">
        <v>3.0</v>
      </c>
    </row>
    <row r="479">
      <c r="A479" s="104" t="s">
        <v>1736</v>
      </c>
      <c r="B479" s="104" t="s">
        <v>162</v>
      </c>
      <c r="C479" s="104" t="s">
        <v>535</v>
      </c>
      <c r="D479" s="104" t="s">
        <v>1737</v>
      </c>
      <c r="E479" s="104" t="s">
        <v>1300</v>
      </c>
      <c r="F479" s="104" t="s">
        <v>1738</v>
      </c>
      <c r="G479" s="104">
        <v>-2.0</v>
      </c>
      <c r="H479" s="104">
        <v>-2.0</v>
      </c>
    </row>
    <row r="480">
      <c r="A480" s="104" t="s">
        <v>1739</v>
      </c>
      <c r="B480" s="104" t="s">
        <v>117</v>
      </c>
      <c r="C480" s="104" t="s">
        <v>535</v>
      </c>
      <c r="D480" s="104" t="s">
        <v>1740</v>
      </c>
      <c r="E480" s="104" t="s">
        <v>594</v>
      </c>
      <c r="F480" s="104" t="s">
        <v>1741</v>
      </c>
      <c r="G480" s="104">
        <v>-2.0</v>
      </c>
      <c r="H480" s="104">
        <v>-2.0</v>
      </c>
    </row>
    <row r="481">
      <c r="A481" s="104" t="s">
        <v>1742</v>
      </c>
      <c r="B481" s="104" t="s">
        <v>186</v>
      </c>
      <c r="C481" s="104" t="s">
        <v>535</v>
      </c>
      <c r="D481" s="104" t="s">
        <v>1743</v>
      </c>
      <c r="E481" s="104" t="s">
        <v>1271</v>
      </c>
      <c r="F481" s="104" t="s">
        <v>1744</v>
      </c>
      <c r="G481" s="104" t="s">
        <v>1273</v>
      </c>
      <c r="H481" s="104">
        <v>0.0</v>
      </c>
    </row>
    <row r="482">
      <c r="A482" s="104" t="s">
        <v>1745</v>
      </c>
      <c r="B482" s="104" t="s">
        <v>117</v>
      </c>
      <c r="C482" s="104" t="s">
        <v>535</v>
      </c>
      <c r="D482" s="104" t="s">
        <v>1746</v>
      </c>
      <c r="E482" s="104" t="s">
        <v>1283</v>
      </c>
      <c r="F482" s="104" t="s">
        <v>1747</v>
      </c>
      <c r="G482" s="104">
        <v>-1.0</v>
      </c>
      <c r="H482" s="104">
        <v>-1.0</v>
      </c>
    </row>
    <row r="483">
      <c r="A483" s="104" t="s">
        <v>1748</v>
      </c>
      <c r="B483" s="104" t="s">
        <v>214</v>
      </c>
      <c r="C483" s="104" t="s">
        <v>535</v>
      </c>
      <c r="D483" s="104" t="s">
        <v>1749</v>
      </c>
      <c r="E483" s="104" t="s">
        <v>1335</v>
      </c>
      <c r="F483" s="104" t="s">
        <v>1750</v>
      </c>
      <c r="G483" s="150">
        <f t="shared" ref="G483:G484" si="16">+2</f>
        <v>2</v>
      </c>
      <c r="H483" s="104">
        <v>2.0</v>
      </c>
    </row>
    <row r="484">
      <c r="A484" s="104" t="s">
        <v>1751</v>
      </c>
      <c r="B484" s="104" t="s">
        <v>232</v>
      </c>
      <c r="C484" s="104" t="s">
        <v>535</v>
      </c>
      <c r="D484" s="104" t="s">
        <v>1752</v>
      </c>
      <c r="E484" s="104" t="s">
        <v>1335</v>
      </c>
      <c r="F484" s="104" t="s">
        <v>1753</v>
      </c>
      <c r="G484" s="150">
        <f t="shared" si="16"/>
        <v>2</v>
      </c>
      <c r="H484" s="104">
        <v>2.0</v>
      </c>
    </row>
    <row r="485">
      <c r="A485" s="104" t="s">
        <v>1754</v>
      </c>
      <c r="B485" s="104" t="s">
        <v>233</v>
      </c>
      <c r="C485" s="104" t="s">
        <v>535</v>
      </c>
      <c r="D485" s="104" t="s">
        <v>1755</v>
      </c>
      <c r="E485" s="104" t="s">
        <v>1271</v>
      </c>
      <c r="F485" s="104" t="s">
        <v>1756</v>
      </c>
      <c r="G485" s="104" t="s">
        <v>1273</v>
      </c>
      <c r="H485" s="104">
        <v>0.0</v>
      </c>
    </row>
    <row r="486">
      <c r="A486" s="104" t="s">
        <v>1757</v>
      </c>
      <c r="B486" s="104" t="s">
        <v>119</v>
      </c>
      <c r="C486" s="104" t="s">
        <v>535</v>
      </c>
      <c r="D486" s="104" t="s">
        <v>1758</v>
      </c>
      <c r="E486" s="104" t="s">
        <v>1335</v>
      </c>
      <c r="F486" s="104" t="s">
        <v>1759</v>
      </c>
      <c r="G486" s="150">
        <f>+2</f>
        <v>2</v>
      </c>
      <c r="H486" s="104">
        <v>2.0</v>
      </c>
    </row>
    <row r="487">
      <c r="A487" s="104" t="s">
        <v>1760</v>
      </c>
      <c r="B487" s="104" t="s">
        <v>230</v>
      </c>
      <c r="C487" s="104" t="s">
        <v>535</v>
      </c>
      <c r="D487" s="104" t="s">
        <v>1761</v>
      </c>
      <c r="E487" s="104" t="s">
        <v>1271</v>
      </c>
      <c r="F487" s="104" t="s">
        <v>1762</v>
      </c>
      <c r="G487" s="104" t="s">
        <v>1273</v>
      </c>
      <c r="H487" s="104">
        <v>0.0</v>
      </c>
    </row>
    <row r="488">
      <c r="A488" s="104" t="s">
        <v>1763</v>
      </c>
      <c r="B488" s="104" t="s">
        <v>215</v>
      </c>
      <c r="C488" s="104" t="s">
        <v>535</v>
      </c>
      <c r="D488" s="104" t="s">
        <v>1764</v>
      </c>
      <c r="E488" s="104" t="s">
        <v>1271</v>
      </c>
      <c r="F488" s="104" t="s">
        <v>1765</v>
      </c>
      <c r="G488" s="104" t="s">
        <v>1273</v>
      </c>
      <c r="H488" s="104">
        <v>0.0</v>
      </c>
    </row>
    <row r="489">
      <c r="A489" s="104" t="s">
        <v>1766</v>
      </c>
      <c r="B489" s="104" t="s">
        <v>174</v>
      </c>
      <c r="C489" s="104" t="s">
        <v>535</v>
      </c>
      <c r="D489" s="104" t="s">
        <v>1767</v>
      </c>
      <c r="E489" s="104" t="s">
        <v>1271</v>
      </c>
      <c r="F489" s="104" t="s">
        <v>1768</v>
      </c>
      <c r="G489" s="104" t="s">
        <v>1273</v>
      </c>
      <c r="H489" s="104">
        <v>0.0</v>
      </c>
    </row>
    <row r="490">
      <c r="A490" s="104" t="s">
        <v>1769</v>
      </c>
      <c r="B490" s="104" t="s">
        <v>117</v>
      </c>
      <c r="C490" s="104" t="s">
        <v>535</v>
      </c>
      <c r="D490" s="104" t="s">
        <v>1770</v>
      </c>
      <c r="E490" s="104" t="s">
        <v>1283</v>
      </c>
      <c r="F490" s="104" t="s">
        <v>1771</v>
      </c>
      <c r="G490" s="104">
        <v>-1.0</v>
      </c>
      <c r="H490" s="104">
        <v>-1.0</v>
      </c>
    </row>
    <row r="491">
      <c r="A491" s="104" t="s">
        <v>1772</v>
      </c>
      <c r="B491" s="104" t="s">
        <v>197</v>
      </c>
      <c r="C491" s="104" t="s">
        <v>535</v>
      </c>
      <c r="D491" s="104" t="s">
        <v>1773</v>
      </c>
      <c r="E491" s="104" t="s">
        <v>1290</v>
      </c>
      <c r="F491" s="104" t="s">
        <v>1774</v>
      </c>
      <c r="G491" s="150">
        <f>+3</f>
        <v>3</v>
      </c>
      <c r="H491" s="104">
        <v>3.0</v>
      </c>
    </row>
    <row r="492">
      <c r="A492" s="104" t="s">
        <v>1775</v>
      </c>
      <c r="B492" s="104" t="s">
        <v>223</v>
      </c>
      <c r="C492" s="104" t="s">
        <v>535</v>
      </c>
      <c r="D492" s="104" t="s">
        <v>1776</v>
      </c>
      <c r="E492" s="104" t="s">
        <v>1276</v>
      </c>
      <c r="F492" s="104" t="s">
        <v>1777</v>
      </c>
      <c r="G492" s="150">
        <f>+1</f>
        <v>1</v>
      </c>
      <c r="H492" s="104">
        <v>1.0</v>
      </c>
    </row>
    <row r="493">
      <c r="A493" s="104" t="s">
        <v>1778</v>
      </c>
      <c r="B493" s="104" t="s">
        <v>234</v>
      </c>
      <c r="C493" s="104" t="s">
        <v>535</v>
      </c>
      <c r="D493" s="104" t="s">
        <v>1779</v>
      </c>
      <c r="E493" s="104" t="s">
        <v>1290</v>
      </c>
      <c r="F493" s="104" t="s">
        <v>1780</v>
      </c>
      <c r="G493" s="150">
        <f>+3</f>
        <v>3</v>
      </c>
      <c r="H493" s="104">
        <v>3.0</v>
      </c>
    </row>
    <row r="494">
      <c r="A494" s="104" t="s">
        <v>1781</v>
      </c>
      <c r="B494" s="104" t="s">
        <v>166</v>
      </c>
      <c r="C494" s="104" t="s">
        <v>535</v>
      </c>
      <c r="D494" s="104" t="s">
        <v>1782</v>
      </c>
      <c r="E494" s="104" t="s">
        <v>1271</v>
      </c>
      <c r="F494" s="104" t="s">
        <v>1783</v>
      </c>
      <c r="G494" s="104" t="s">
        <v>1273</v>
      </c>
      <c r="H494" s="104">
        <v>0.0</v>
      </c>
    </row>
    <row r="495">
      <c r="A495" s="104" t="s">
        <v>1784</v>
      </c>
      <c r="B495" s="104" t="s">
        <v>305</v>
      </c>
      <c r="C495" s="104" t="s">
        <v>535</v>
      </c>
      <c r="D495" s="104" t="s">
        <v>1785</v>
      </c>
      <c r="E495" s="104" t="s">
        <v>699</v>
      </c>
      <c r="F495" s="104" t="s">
        <v>1786</v>
      </c>
      <c r="G495" s="104">
        <v>-3.0</v>
      </c>
      <c r="H495" s="104">
        <v>-3.0</v>
      </c>
    </row>
    <row r="496">
      <c r="A496" s="104" t="s">
        <v>1787</v>
      </c>
      <c r="B496" s="104" t="s">
        <v>234</v>
      </c>
      <c r="C496" s="104" t="s">
        <v>535</v>
      </c>
      <c r="D496" s="104" t="s">
        <v>1788</v>
      </c>
      <c r="E496" s="104" t="s">
        <v>1271</v>
      </c>
      <c r="F496" s="104" t="s">
        <v>1789</v>
      </c>
      <c r="G496" s="104" t="s">
        <v>1273</v>
      </c>
      <c r="H496" s="104">
        <v>0.0</v>
      </c>
    </row>
    <row r="497">
      <c r="A497" s="104" t="s">
        <v>1790</v>
      </c>
      <c r="B497" s="104" t="s">
        <v>143</v>
      </c>
      <c r="C497" s="104" t="s">
        <v>535</v>
      </c>
      <c r="D497" s="104" t="s">
        <v>1791</v>
      </c>
      <c r="E497" s="104" t="s">
        <v>1271</v>
      </c>
      <c r="F497" s="104" t="s">
        <v>1792</v>
      </c>
      <c r="G497" s="104" t="s">
        <v>1273</v>
      </c>
      <c r="H497" s="104">
        <v>0.0</v>
      </c>
    </row>
    <row r="498">
      <c r="A498" s="104" t="s">
        <v>1793</v>
      </c>
      <c r="B498" s="104" t="s">
        <v>237</v>
      </c>
      <c r="C498" s="104" t="s">
        <v>535</v>
      </c>
      <c r="D498" s="104" t="s">
        <v>1794</v>
      </c>
      <c r="E498" s="104" t="s">
        <v>1271</v>
      </c>
      <c r="F498" s="104" t="s">
        <v>1795</v>
      </c>
      <c r="G498" s="104" t="s">
        <v>1273</v>
      </c>
      <c r="H498" s="104">
        <v>0.0</v>
      </c>
    </row>
    <row r="499">
      <c r="A499" s="104" t="s">
        <v>1796</v>
      </c>
      <c r="B499" s="104" t="s">
        <v>143</v>
      </c>
      <c r="C499" s="104" t="s">
        <v>535</v>
      </c>
      <c r="D499" s="104" t="s">
        <v>1797</v>
      </c>
      <c r="E499" s="104" t="s">
        <v>1283</v>
      </c>
      <c r="F499" s="104" t="s">
        <v>1798</v>
      </c>
      <c r="G499" s="104">
        <v>-1.0</v>
      </c>
      <c r="H499" s="104">
        <v>-1.0</v>
      </c>
    </row>
    <row r="500">
      <c r="A500" s="104" t="s">
        <v>1799</v>
      </c>
      <c r="B500" s="104" t="s">
        <v>238</v>
      </c>
      <c r="C500" s="104" t="s">
        <v>535</v>
      </c>
      <c r="D500" s="104" t="s">
        <v>1800</v>
      </c>
      <c r="E500" s="104" t="s">
        <v>1271</v>
      </c>
      <c r="F500" s="104" t="s">
        <v>1801</v>
      </c>
      <c r="G500" s="104" t="s">
        <v>1273</v>
      </c>
      <c r="H500" s="104">
        <v>0.0</v>
      </c>
    </row>
    <row r="501">
      <c r="A501" s="104" t="s">
        <v>1802</v>
      </c>
      <c r="B501" s="104" t="s">
        <v>238</v>
      </c>
      <c r="C501" s="104" t="s">
        <v>535</v>
      </c>
      <c r="D501" s="104" t="s">
        <v>1803</v>
      </c>
      <c r="E501" s="104" t="s">
        <v>1290</v>
      </c>
      <c r="F501" s="104" t="s">
        <v>1804</v>
      </c>
      <c r="G501" s="150">
        <f>+3</f>
        <v>3</v>
      </c>
      <c r="H501" s="104">
        <v>3.0</v>
      </c>
    </row>
    <row r="502">
      <c r="A502" s="104" t="s">
        <v>1805</v>
      </c>
      <c r="B502" s="104" t="s">
        <v>117</v>
      </c>
      <c r="C502" s="104" t="s">
        <v>535</v>
      </c>
      <c r="D502" s="104" t="s">
        <v>1806</v>
      </c>
      <c r="E502" s="104" t="s">
        <v>1300</v>
      </c>
      <c r="F502" s="104" t="s">
        <v>1807</v>
      </c>
      <c r="G502" s="104">
        <v>-2.0</v>
      </c>
      <c r="H502" s="104">
        <v>-2.0</v>
      </c>
    </row>
    <row r="503">
      <c r="A503" s="104" t="s">
        <v>1808</v>
      </c>
      <c r="B503" s="104" t="s">
        <v>239</v>
      </c>
      <c r="C503" s="104" t="s">
        <v>535</v>
      </c>
      <c r="D503" s="104" t="s">
        <v>1809</v>
      </c>
      <c r="E503" s="104" t="s">
        <v>1271</v>
      </c>
      <c r="F503" s="104" t="s">
        <v>1810</v>
      </c>
      <c r="G503" s="104" t="s">
        <v>1273</v>
      </c>
      <c r="H503" s="104">
        <v>0.0</v>
      </c>
    </row>
    <row r="504">
      <c r="A504" s="104" t="s">
        <v>1811</v>
      </c>
      <c r="B504" s="104" t="s">
        <v>110</v>
      </c>
      <c r="C504" s="104" t="s">
        <v>535</v>
      </c>
      <c r="D504" s="104" t="s">
        <v>1812</v>
      </c>
      <c r="E504" s="104" t="s">
        <v>1271</v>
      </c>
      <c r="F504" s="104" t="s">
        <v>1813</v>
      </c>
      <c r="G504" s="104" t="s">
        <v>1273</v>
      </c>
      <c r="H504" s="104">
        <v>0.0</v>
      </c>
    </row>
    <row r="505">
      <c r="A505" s="104" t="s">
        <v>1814</v>
      </c>
      <c r="B505" s="104" t="s">
        <v>239</v>
      </c>
      <c r="C505" s="104" t="s">
        <v>535</v>
      </c>
      <c r="D505" s="104" t="s">
        <v>1815</v>
      </c>
      <c r="E505" s="104" t="s">
        <v>1276</v>
      </c>
      <c r="F505" s="104" t="s">
        <v>1816</v>
      </c>
      <c r="G505" s="150">
        <f>+1</f>
        <v>1</v>
      </c>
      <c r="H505" s="104">
        <v>1.0</v>
      </c>
    </row>
    <row r="506">
      <c r="A506" s="104" t="s">
        <v>1817</v>
      </c>
      <c r="B506" s="104" t="s">
        <v>195</v>
      </c>
      <c r="C506" s="104" t="s">
        <v>535</v>
      </c>
      <c r="D506" s="104" t="s">
        <v>1818</v>
      </c>
      <c r="E506" s="104" t="s">
        <v>1300</v>
      </c>
      <c r="F506" s="104" t="s">
        <v>1819</v>
      </c>
      <c r="G506" s="104">
        <v>-2.0</v>
      </c>
      <c r="H506" s="104">
        <v>-2.0</v>
      </c>
    </row>
    <row r="507">
      <c r="A507" s="104" t="s">
        <v>1820</v>
      </c>
      <c r="B507" s="104" t="s">
        <v>235</v>
      </c>
      <c r="C507" s="104" t="s">
        <v>535</v>
      </c>
      <c r="D507" s="104" t="s">
        <v>1821</v>
      </c>
      <c r="E507" s="104" t="s">
        <v>1276</v>
      </c>
      <c r="F507" s="104" t="s">
        <v>1822</v>
      </c>
      <c r="G507" s="150">
        <f>+1</f>
        <v>1</v>
      </c>
      <c r="H507" s="104">
        <v>1.0</v>
      </c>
    </row>
    <row r="508">
      <c r="A508" s="104" t="s">
        <v>1823</v>
      </c>
      <c r="B508" s="104" t="s">
        <v>214</v>
      </c>
      <c r="C508" s="104" t="s">
        <v>535</v>
      </c>
      <c r="D508" s="104" t="s">
        <v>1824</v>
      </c>
      <c r="E508" s="104" t="s">
        <v>1271</v>
      </c>
      <c r="F508" s="104" t="s">
        <v>1825</v>
      </c>
      <c r="G508" s="104" t="s">
        <v>1273</v>
      </c>
      <c r="H508" s="104">
        <v>0.0</v>
      </c>
    </row>
    <row r="509">
      <c r="A509" s="104" t="s">
        <v>1826</v>
      </c>
      <c r="B509" s="104" t="s">
        <v>222</v>
      </c>
      <c r="C509" s="104" t="s">
        <v>535</v>
      </c>
      <c r="D509" s="104" t="s">
        <v>1827</v>
      </c>
      <c r="E509" s="104" t="s">
        <v>1271</v>
      </c>
      <c r="F509" s="104" t="s">
        <v>1828</v>
      </c>
      <c r="G509" s="104" t="s">
        <v>1273</v>
      </c>
      <c r="H509" s="104">
        <v>0.0</v>
      </c>
    </row>
    <row r="510">
      <c r="A510" s="104" t="s">
        <v>1829</v>
      </c>
      <c r="B510" s="104" t="s">
        <v>111</v>
      </c>
      <c r="C510" s="104" t="s">
        <v>535</v>
      </c>
      <c r="D510" s="104" t="s">
        <v>1830</v>
      </c>
      <c r="E510" s="104" t="s">
        <v>1271</v>
      </c>
      <c r="F510" s="104" t="s">
        <v>1831</v>
      </c>
      <c r="G510" s="104" t="s">
        <v>1273</v>
      </c>
      <c r="H510" s="104">
        <v>0.0</v>
      </c>
    </row>
    <row r="511">
      <c r="A511" s="104" t="s">
        <v>1832</v>
      </c>
      <c r="B511" s="104" t="s">
        <v>243</v>
      </c>
      <c r="C511" s="104" t="s">
        <v>535</v>
      </c>
      <c r="D511" s="104" t="s">
        <v>1833</v>
      </c>
      <c r="E511" s="104" t="s">
        <v>1271</v>
      </c>
      <c r="F511" s="104" t="s">
        <v>1834</v>
      </c>
      <c r="G511" s="104" t="s">
        <v>1273</v>
      </c>
      <c r="H511" s="104">
        <v>0.0</v>
      </c>
    </row>
    <row r="512">
      <c r="A512" s="104" t="s">
        <v>1835</v>
      </c>
      <c r="B512" s="104" t="s">
        <v>116</v>
      </c>
      <c r="C512" s="104" t="s">
        <v>535</v>
      </c>
      <c r="D512" s="104" t="s">
        <v>1836</v>
      </c>
      <c r="E512" s="104" t="s">
        <v>1276</v>
      </c>
      <c r="F512" s="104" t="s">
        <v>1837</v>
      </c>
      <c r="G512" s="150">
        <f>+1</f>
        <v>1</v>
      </c>
      <c r="H512" s="104">
        <v>1.0</v>
      </c>
    </row>
    <row r="513">
      <c r="A513" s="104" t="s">
        <v>1838</v>
      </c>
      <c r="B513" s="104" t="s">
        <v>223</v>
      </c>
      <c r="C513" s="104" t="s">
        <v>535</v>
      </c>
      <c r="D513" s="104" t="s">
        <v>1839</v>
      </c>
      <c r="E513" s="104" t="s">
        <v>1335</v>
      </c>
      <c r="F513" s="104" t="s">
        <v>1840</v>
      </c>
      <c r="G513" s="150">
        <f>+2</f>
        <v>2</v>
      </c>
      <c r="H513" s="104">
        <v>2.0</v>
      </c>
    </row>
    <row r="514">
      <c r="A514" s="104" t="s">
        <v>1841</v>
      </c>
      <c r="B514" s="104" t="s">
        <v>245</v>
      </c>
      <c r="C514" s="104" t="s">
        <v>535</v>
      </c>
      <c r="D514" s="104" t="s">
        <v>1842</v>
      </c>
      <c r="E514" s="104" t="s">
        <v>1300</v>
      </c>
      <c r="F514" s="104" t="s">
        <v>1843</v>
      </c>
      <c r="G514" s="104">
        <v>-2.0</v>
      </c>
      <c r="H514" s="104">
        <v>-2.0</v>
      </c>
    </row>
    <row r="515">
      <c r="A515" s="104" t="s">
        <v>1844</v>
      </c>
      <c r="B515" s="104" t="s">
        <v>88</v>
      </c>
      <c r="C515" s="104" t="s">
        <v>535</v>
      </c>
      <c r="D515" s="104" t="s">
        <v>1845</v>
      </c>
      <c r="E515" s="104" t="s">
        <v>1271</v>
      </c>
      <c r="F515" s="104" t="s">
        <v>1846</v>
      </c>
      <c r="G515" s="104" t="s">
        <v>1273</v>
      </c>
      <c r="H515" s="104">
        <v>0.0</v>
      </c>
    </row>
    <row r="516">
      <c r="A516" s="104" t="s">
        <v>1847</v>
      </c>
      <c r="B516" s="104" t="s">
        <v>247</v>
      </c>
      <c r="C516" s="104" t="s">
        <v>535</v>
      </c>
      <c r="D516" s="104" t="s">
        <v>1848</v>
      </c>
      <c r="E516" s="104" t="s">
        <v>1271</v>
      </c>
      <c r="F516" s="104" t="s">
        <v>1849</v>
      </c>
      <c r="G516" s="104" t="s">
        <v>1273</v>
      </c>
      <c r="H516" s="104">
        <v>0.0</v>
      </c>
    </row>
    <row r="517">
      <c r="A517" s="104" t="s">
        <v>1850</v>
      </c>
      <c r="B517" s="104" t="s">
        <v>205</v>
      </c>
      <c r="C517" s="104" t="s">
        <v>535</v>
      </c>
      <c r="D517" s="104" t="s">
        <v>1851</v>
      </c>
      <c r="E517" s="104" t="s">
        <v>1300</v>
      </c>
      <c r="F517" s="104" t="s">
        <v>1852</v>
      </c>
      <c r="G517" s="104">
        <v>-2.0</v>
      </c>
      <c r="H517" s="104">
        <v>-2.0</v>
      </c>
    </row>
    <row r="518">
      <c r="A518" s="104" t="s">
        <v>1853</v>
      </c>
      <c r="B518" s="104" t="s">
        <v>111</v>
      </c>
      <c r="C518" s="104" t="s">
        <v>535</v>
      </c>
      <c r="D518" s="104" t="s">
        <v>1854</v>
      </c>
      <c r="E518" s="104" t="s">
        <v>1283</v>
      </c>
      <c r="F518" s="104" t="s">
        <v>1855</v>
      </c>
      <c r="G518" s="104">
        <v>-1.0</v>
      </c>
      <c r="H518" s="104">
        <v>-1.0</v>
      </c>
    </row>
    <row r="519">
      <c r="A519" s="104" t="s">
        <v>1856</v>
      </c>
      <c r="B519" s="104" t="s">
        <v>247</v>
      </c>
      <c r="C519" s="104" t="s">
        <v>535</v>
      </c>
      <c r="D519" s="104" t="s">
        <v>1857</v>
      </c>
      <c r="E519" s="104" t="s">
        <v>1276</v>
      </c>
      <c r="F519" s="104" t="s">
        <v>1858</v>
      </c>
      <c r="G519" s="150">
        <f>+1</f>
        <v>1</v>
      </c>
      <c r="H519" s="104">
        <v>1.0</v>
      </c>
    </row>
    <row r="520">
      <c r="A520" s="104" t="s">
        <v>1859</v>
      </c>
      <c r="B520" s="104" t="s">
        <v>289</v>
      </c>
      <c r="C520" s="104" t="s">
        <v>535</v>
      </c>
      <c r="D520" s="104" t="s">
        <v>1860</v>
      </c>
      <c r="E520" s="104" t="s">
        <v>594</v>
      </c>
      <c r="F520" s="104" t="s">
        <v>1861</v>
      </c>
      <c r="G520" s="104">
        <v>-2.0</v>
      </c>
      <c r="H520" s="104">
        <v>-2.0</v>
      </c>
    </row>
    <row r="521">
      <c r="A521" s="104" t="s">
        <v>1862</v>
      </c>
      <c r="B521" s="104" t="s">
        <v>244</v>
      </c>
      <c r="C521" s="104" t="s">
        <v>535</v>
      </c>
      <c r="D521" s="104" t="s">
        <v>1863</v>
      </c>
      <c r="E521" s="104" t="s">
        <v>1300</v>
      </c>
      <c r="F521" s="104" t="s">
        <v>1864</v>
      </c>
      <c r="G521" s="104">
        <v>-2.0</v>
      </c>
      <c r="H521" s="104">
        <v>-2.0</v>
      </c>
    </row>
    <row r="522">
      <c r="A522" s="104" t="s">
        <v>1865</v>
      </c>
      <c r="B522" s="104" t="s">
        <v>115</v>
      </c>
      <c r="C522" s="104" t="s">
        <v>535</v>
      </c>
      <c r="D522" s="104" t="s">
        <v>1866</v>
      </c>
      <c r="E522" s="104" t="s">
        <v>1271</v>
      </c>
      <c r="F522" s="104" t="s">
        <v>1867</v>
      </c>
      <c r="G522" s="104" t="s">
        <v>1273</v>
      </c>
      <c r="H522" s="104">
        <v>0.0</v>
      </c>
    </row>
    <row r="523">
      <c r="A523" s="104" t="s">
        <v>1868</v>
      </c>
      <c r="B523" s="104" t="s">
        <v>225</v>
      </c>
      <c r="C523" s="104" t="s">
        <v>535</v>
      </c>
      <c r="D523" s="104" t="s">
        <v>1869</v>
      </c>
      <c r="E523" s="104" t="s">
        <v>1335</v>
      </c>
      <c r="F523" s="104" t="s">
        <v>1870</v>
      </c>
      <c r="G523" s="150">
        <f>+2</f>
        <v>2</v>
      </c>
      <c r="H523" s="104">
        <v>2.0</v>
      </c>
    </row>
    <row r="524">
      <c r="A524" s="104" t="s">
        <v>1871</v>
      </c>
      <c r="B524" s="104" t="s">
        <v>250</v>
      </c>
      <c r="C524" s="104" t="s">
        <v>535</v>
      </c>
      <c r="D524" s="104" t="s">
        <v>1872</v>
      </c>
      <c r="E524" s="104" t="s">
        <v>1271</v>
      </c>
      <c r="F524" s="104" t="s">
        <v>1873</v>
      </c>
      <c r="G524" s="104" t="s">
        <v>1273</v>
      </c>
      <c r="H524" s="104">
        <v>0.0</v>
      </c>
    </row>
    <row r="525">
      <c r="A525" s="104" t="s">
        <v>1874</v>
      </c>
      <c r="B525" s="104" t="s">
        <v>105</v>
      </c>
      <c r="C525" s="104" t="s">
        <v>535</v>
      </c>
      <c r="D525" s="104" t="s">
        <v>1875</v>
      </c>
      <c r="E525" s="104" t="s">
        <v>1271</v>
      </c>
      <c r="F525" s="104" t="s">
        <v>1876</v>
      </c>
      <c r="G525" s="104" t="s">
        <v>1273</v>
      </c>
      <c r="H525" s="104">
        <v>0.0</v>
      </c>
    </row>
    <row r="526">
      <c r="A526" s="104" t="s">
        <v>1877</v>
      </c>
      <c r="B526" s="104" t="s">
        <v>242</v>
      </c>
      <c r="C526" s="104" t="s">
        <v>535</v>
      </c>
      <c r="D526" s="104" t="s">
        <v>1878</v>
      </c>
      <c r="E526" s="104" t="s">
        <v>1271</v>
      </c>
      <c r="F526" s="104" t="s">
        <v>1879</v>
      </c>
      <c r="G526" s="104" t="s">
        <v>1273</v>
      </c>
      <c r="H526" s="104">
        <v>0.0</v>
      </c>
    </row>
    <row r="527">
      <c r="A527" s="104" t="s">
        <v>1880</v>
      </c>
      <c r="B527" s="104" t="s">
        <v>244</v>
      </c>
      <c r="C527" s="104" t="s">
        <v>535</v>
      </c>
      <c r="D527" s="104" t="s">
        <v>1881</v>
      </c>
      <c r="E527" s="104" t="s">
        <v>1271</v>
      </c>
      <c r="F527" s="104" t="s">
        <v>1882</v>
      </c>
      <c r="G527" s="104" t="s">
        <v>1273</v>
      </c>
      <c r="H527" s="104">
        <v>0.0</v>
      </c>
    </row>
    <row r="528">
      <c r="A528" s="104" t="s">
        <v>1883</v>
      </c>
      <c r="B528" s="104" t="s">
        <v>152</v>
      </c>
      <c r="C528" s="104" t="s">
        <v>535</v>
      </c>
      <c r="D528" s="104" t="s">
        <v>1884</v>
      </c>
      <c r="E528" s="104" t="s">
        <v>1271</v>
      </c>
      <c r="F528" s="104" t="s">
        <v>1885</v>
      </c>
      <c r="G528" s="104" t="s">
        <v>1273</v>
      </c>
      <c r="H528" s="104">
        <v>0.0</v>
      </c>
    </row>
    <row r="529">
      <c r="A529" s="104" t="s">
        <v>1886</v>
      </c>
      <c r="B529" s="104" t="s">
        <v>243</v>
      </c>
      <c r="C529" s="104" t="s">
        <v>535</v>
      </c>
      <c r="D529" s="104" t="s">
        <v>1887</v>
      </c>
      <c r="E529" s="104" t="s">
        <v>1328</v>
      </c>
      <c r="F529" s="104" t="s">
        <v>1888</v>
      </c>
      <c r="G529" s="104">
        <v>-3.0</v>
      </c>
      <c r="H529" s="104">
        <v>-3.0</v>
      </c>
    </row>
    <row r="530">
      <c r="A530" s="104" t="s">
        <v>1889</v>
      </c>
      <c r="B530" s="104" t="s">
        <v>248</v>
      </c>
      <c r="C530" s="104" t="s">
        <v>535</v>
      </c>
      <c r="D530" s="104" t="s">
        <v>1890</v>
      </c>
      <c r="E530" s="104" t="s">
        <v>1271</v>
      </c>
      <c r="F530" s="104" t="s">
        <v>1891</v>
      </c>
      <c r="G530" s="104" t="s">
        <v>1273</v>
      </c>
      <c r="H530" s="104">
        <v>0.0</v>
      </c>
    </row>
    <row r="531">
      <c r="A531" s="104" t="s">
        <v>1892</v>
      </c>
      <c r="B531" s="104" t="s">
        <v>248</v>
      </c>
      <c r="C531" s="104" t="s">
        <v>535</v>
      </c>
      <c r="D531" s="104" t="s">
        <v>1893</v>
      </c>
      <c r="E531" s="104" t="s">
        <v>1276</v>
      </c>
      <c r="F531" s="104" t="s">
        <v>1894</v>
      </c>
      <c r="G531" s="150">
        <f t="shared" ref="G531:G532" si="17">+1</f>
        <v>1</v>
      </c>
      <c r="H531" s="104">
        <v>1.0</v>
      </c>
    </row>
    <row r="532">
      <c r="A532" s="104" t="s">
        <v>1895</v>
      </c>
      <c r="B532" s="104" t="s">
        <v>243</v>
      </c>
      <c r="C532" s="104" t="s">
        <v>535</v>
      </c>
      <c r="D532" s="104" t="s">
        <v>1896</v>
      </c>
      <c r="E532" s="104" t="s">
        <v>1276</v>
      </c>
      <c r="F532" s="104" t="s">
        <v>1897</v>
      </c>
      <c r="G532" s="150">
        <f t="shared" si="17"/>
        <v>1</v>
      </c>
      <c r="H532" s="104">
        <v>1.0</v>
      </c>
    </row>
    <row r="533">
      <c r="A533" s="104" t="s">
        <v>1898</v>
      </c>
      <c r="B533" s="104" t="s">
        <v>256</v>
      </c>
      <c r="C533" s="104" t="s">
        <v>535</v>
      </c>
      <c r="D533" s="104" t="s">
        <v>1899</v>
      </c>
      <c r="E533" s="104" t="s">
        <v>1283</v>
      </c>
      <c r="F533" s="104" t="s">
        <v>1900</v>
      </c>
      <c r="G533" s="104">
        <v>-1.0</v>
      </c>
      <c r="H533" s="104">
        <v>-1.0</v>
      </c>
    </row>
    <row r="534">
      <c r="A534" s="104" t="s">
        <v>1901</v>
      </c>
      <c r="B534" s="104" t="s">
        <v>245</v>
      </c>
      <c r="C534" s="104" t="s">
        <v>535</v>
      </c>
      <c r="D534" s="104" t="s">
        <v>1902</v>
      </c>
      <c r="E534" s="104" t="s">
        <v>1328</v>
      </c>
      <c r="F534" s="104" t="s">
        <v>1903</v>
      </c>
      <c r="G534" s="104">
        <v>-3.0</v>
      </c>
      <c r="H534" s="104">
        <v>-3.0</v>
      </c>
    </row>
    <row r="535">
      <c r="A535" s="104" t="s">
        <v>1904</v>
      </c>
      <c r="B535" s="104" t="s">
        <v>241</v>
      </c>
      <c r="C535" s="104" t="s">
        <v>535</v>
      </c>
      <c r="D535" s="104" t="s">
        <v>1905</v>
      </c>
      <c r="E535" s="104" t="s">
        <v>1271</v>
      </c>
      <c r="F535" s="104" t="s">
        <v>1906</v>
      </c>
      <c r="G535" s="104" t="s">
        <v>1273</v>
      </c>
      <c r="H535" s="104">
        <v>0.0</v>
      </c>
    </row>
    <row r="536">
      <c r="A536" s="104" t="s">
        <v>1907</v>
      </c>
      <c r="B536" s="104" t="s">
        <v>182</v>
      </c>
      <c r="C536" s="104" t="s">
        <v>535</v>
      </c>
      <c r="D536" s="104" t="s">
        <v>1908</v>
      </c>
      <c r="E536" s="104" t="s">
        <v>1276</v>
      </c>
      <c r="F536" s="104" t="s">
        <v>1909</v>
      </c>
      <c r="G536" s="150">
        <f>+1</f>
        <v>1</v>
      </c>
      <c r="H536" s="104">
        <v>1.0</v>
      </c>
    </row>
    <row r="537">
      <c r="A537" s="104" t="s">
        <v>1910</v>
      </c>
      <c r="B537" s="104" t="s">
        <v>238</v>
      </c>
      <c r="C537" s="104" t="s">
        <v>535</v>
      </c>
      <c r="D537" s="104" t="s">
        <v>1911</v>
      </c>
      <c r="E537" s="104" t="s">
        <v>1271</v>
      </c>
      <c r="F537" s="104" t="s">
        <v>1912</v>
      </c>
      <c r="G537" s="104" t="s">
        <v>1273</v>
      </c>
      <c r="H537" s="104">
        <v>0.0</v>
      </c>
    </row>
    <row r="538">
      <c r="A538" s="104" t="s">
        <v>1913</v>
      </c>
      <c r="B538" s="104" t="s">
        <v>257</v>
      </c>
      <c r="C538" s="104" t="s">
        <v>535</v>
      </c>
      <c r="D538" s="104" t="s">
        <v>1914</v>
      </c>
      <c r="E538" s="104" t="s">
        <v>1276</v>
      </c>
      <c r="F538" s="104" t="s">
        <v>1915</v>
      </c>
      <c r="G538" s="150">
        <f>+1</f>
        <v>1</v>
      </c>
      <c r="H538" s="104">
        <v>1.0</v>
      </c>
    </row>
    <row r="539">
      <c r="A539" s="104" t="s">
        <v>1916</v>
      </c>
      <c r="B539" s="104" t="s">
        <v>258</v>
      </c>
      <c r="C539" s="104" t="s">
        <v>535</v>
      </c>
      <c r="D539" s="104" t="s">
        <v>1917</v>
      </c>
      <c r="E539" s="104" t="s">
        <v>1271</v>
      </c>
      <c r="F539" s="104" t="s">
        <v>1918</v>
      </c>
      <c r="G539" s="104" t="s">
        <v>1273</v>
      </c>
      <c r="H539" s="104">
        <v>0.0</v>
      </c>
    </row>
    <row r="540">
      <c r="A540" s="104" t="s">
        <v>1919</v>
      </c>
      <c r="B540" s="104" t="s">
        <v>225</v>
      </c>
      <c r="C540" s="104" t="s">
        <v>535</v>
      </c>
      <c r="D540" s="104" t="s">
        <v>1920</v>
      </c>
      <c r="E540" s="104" t="s">
        <v>1300</v>
      </c>
      <c r="F540" s="104" t="s">
        <v>1921</v>
      </c>
      <c r="G540" s="104">
        <v>-2.0</v>
      </c>
      <c r="H540" s="104">
        <v>-2.0</v>
      </c>
    </row>
    <row r="541">
      <c r="A541" s="104" t="s">
        <v>1922</v>
      </c>
      <c r="B541" s="104" t="s">
        <v>245</v>
      </c>
      <c r="C541" s="104" t="s">
        <v>535</v>
      </c>
      <c r="D541" s="104" t="s">
        <v>1923</v>
      </c>
      <c r="E541" s="104" t="s">
        <v>1271</v>
      </c>
      <c r="F541" s="104" t="s">
        <v>1924</v>
      </c>
      <c r="G541" s="104" t="s">
        <v>1273</v>
      </c>
      <c r="H541" s="104">
        <v>0.0</v>
      </c>
    </row>
    <row r="542">
      <c r="A542" s="104" t="s">
        <v>1925</v>
      </c>
      <c r="B542" s="104" t="s">
        <v>166</v>
      </c>
      <c r="C542" s="104" t="s">
        <v>535</v>
      </c>
      <c r="D542" s="104" t="s">
        <v>1926</v>
      </c>
      <c r="E542" s="104" t="s">
        <v>1276</v>
      </c>
      <c r="F542" s="104" t="s">
        <v>1927</v>
      </c>
      <c r="G542" s="150">
        <f>+1</f>
        <v>1</v>
      </c>
      <c r="H542" s="104">
        <v>1.0</v>
      </c>
    </row>
    <row r="543">
      <c r="A543" s="104" t="s">
        <v>1928</v>
      </c>
      <c r="B543" s="104" t="s">
        <v>162</v>
      </c>
      <c r="C543" s="104" t="s">
        <v>535</v>
      </c>
      <c r="D543" s="104" t="s">
        <v>1929</v>
      </c>
      <c r="E543" s="104" t="s">
        <v>1300</v>
      </c>
      <c r="F543" s="104" t="s">
        <v>1930</v>
      </c>
      <c r="G543" s="104">
        <v>-2.0</v>
      </c>
      <c r="H543" s="104">
        <v>-2.0</v>
      </c>
    </row>
    <row r="544">
      <c r="A544" s="104" t="s">
        <v>1931</v>
      </c>
      <c r="B544" s="104" t="s">
        <v>256</v>
      </c>
      <c r="C544" s="104" t="s">
        <v>535</v>
      </c>
      <c r="D544" s="104" t="s">
        <v>1932</v>
      </c>
      <c r="E544" s="104" t="s">
        <v>1300</v>
      </c>
      <c r="F544" s="104" t="s">
        <v>1933</v>
      </c>
      <c r="G544" s="104">
        <v>-2.0</v>
      </c>
      <c r="H544" s="104">
        <v>-2.0</v>
      </c>
    </row>
    <row r="545">
      <c r="A545" s="104" t="s">
        <v>1934</v>
      </c>
      <c r="B545" s="104" t="s">
        <v>215</v>
      </c>
      <c r="C545" s="104" t="s">
        <v>535</v>
      </c>
      <c r="D545" s="104" t="s">
        <v>1935</v>
      </c>
      <c r="E545" s="104" t="s">
        <v>1290</v>
      </c>
      <c r="F545" s="104" t="s">
        <v>1936</v>
      </c>
      <c r="G545" s="150">
        <f>+3</f>
        <v>3</v>
      </c>
      <c r="H545" s="104">
        <v>3.0</v>
      </c>
    </row>
    <row r="546">
      <c r="A546" s="104" t="s">
        <v>1937</v>
      </c>
      <c r="B546" s="104" t="s">
        <v>261</v>
      </c>
      <c r="C546" s="104" t="s">
        <v>535</v>
      </c>
      <c r="D546" s="104" t="s">
        <v>1938</v>
      </c>
      <c r="E546" s="104" t="s">
        <v>1271</v>
      </c>
      <c r="F546" s="104" t="s">
        <v>1939</v>
      </c>
      <c r="G546" s="104" t="s">
        <v>1273</v>
      </c>
      <c r="H546" s="104">
        <v>0.0</v>
      </c>
    </row>
    <row r="547">
      <c r="A547" s="104" t="s">
        <v>1940</v>
      </c>
      <c r="B547" s="104" t="s">
        <v>200</v>
      </c>
      <c r="C547" s="104" t="s">
        <v>535</v>
      </c>
      <c r="D547" s="104" t="s">
        <v>1941</v>
      </c>
      <c r="E547" s="104" t="s">
        <v>1276</v>
      </c>
      <c r="F547" s="104" t="s">
        <v>1942</v>
      </c>
      <c r="G547" s="150">
        <f>+1</f>
        <v>1</v>
      </c>
      <c r="H547" s="104">
        <v>1.0</v>
      </c>
    </row>
    <row r="548">
      <c r="A548" s="104" t="s">
        <v>1943</v>
      </c>
      <c r="B548" s="104" t="s">
        <v>228</v>
      </c>
      <c r="C548" s="104" t="s">
        <v>535</v>
      </c>
      <c r="D548" s="104" t="s">
        <v>1944</v>
      </c>
      <c r="E548" s="104" t="s">
        <v>1300</v>
      </c>
      <c r="F548" s="104" t="s">
        <v>1945</v>
      </c>
      <c r="G548" s="104">
        <v>-2.0</v>
      </c>
      <c r="H548" s="104">
        <v>-2.0</v>
      </c>
    </row>
    <row r="549">
      <c r="A549" s="104" t="s">
        <v>1946</v>
      </c>
      <c r="B549" s="104" t="s">
        <v>212</v>
      </c>
      <c r="C549" s="104" t="s">
        <v>535</v>
      </c>
      <c r="D549" s="104" t="s">
        <v>1947</v>
      </c>
      <c r="E549" s="104" t="s">
        <v>1271</v>
      </c>
      <c r="F549" s="104" t="s">
        <v>1948</v>
      </c>
      <c r="G549" s="104" t="s">
        <v>1273</v>
      </c>
      <c r="H549" s="104">
        <v>0.0</v>
      </c>
    </row>
    <row r="550">
      <c r="A550" s="104" t="s">
        <v>1949</v>
      </c>
      <c r="B550" s="104" t="s">
        <v>262</v>
      </c>
      <c r="C550" s="104" t="s">
        <v>535</v>
      </c>
      <c r="D550" s="104" t="s">
        <v>1950</v>
      </c>
      <c r="E550" s="104" t="s">
        <v>1271</v>
      </c>
      <c r="F550" s="104" t="s">
        <v>1951</v>
      </c>
      <c r="G550" s="104" t="s">
        <v>1273</v>
      </c>
      <c r="H550" s="104">
        <v>0.0</v>
      </c>
    </row>
    <row r="551">
      <c r="A551" s="104" t="s">
        <v>1952</v>
      </c>
      <c r="B551" s="104" t="s">
        <v>105</v>
      </c>
      <c r="C551" s="104" t="s">
        <v>535</v>
      </c>
      <c r="D551" s="104" t="s">
        <v>1953</v>
      </c>
      <c r="E551" s="104" t="s">
        <v>1328</v>
      </c>
      <c r="F551" s="104" t="s">
        <v>1954</v>
      </c>
      <c r="G551" s="104">
        <v>-3.0</v>
      </c>
      <c r="H551" s="104">
        <v>-3.0</v>
      </c>
    </row>
    <row r="552">
      <c r="A552" s="104" t="s">
        <v>1955</v>
      </c>
      <c r="B552" s="104" t="s">
        <v>258</v>
      </c>
      <c r="C552" s="104" t="s">
        <v>535</v>
      </c>
      <c r="D552" s="104" t="s">
        <v>1956</v>
      </c>
      <c r="E552" s="104" t="s">
        <v>1335</v>
      </c>
      <c r="F552" s="104" t="s">
        <v>1957</v>
      </c>
      <c r="G552" s="150">
        <f t="shared" ref="G552:G553" si="18">+2</f>
        <v>2</v>
      </c>
      <c r="H552" s="104">
        <v>2.0</v>
      </c>
    </row>
    <row r="553">
      <c r="A553" s="104" t="s">
        <v>1958</v>
      </c>
      <c r="B553" s="104" t="s">
        <v>262</v>
      </c>
      <c r="C553" s="104" t="s">
        <v>535</v>
      </c>
      <c r="D553" s="104" t="s">
        <v>1959</v>
      </c>
      <c r="E553" s="104" t="s">
        <v>1335</v>
      </c>
      <c r="F553" s="104" t="s">
        <v>1960</v>
      </c>
      <c r="G553" s="150">
        <f t="shared" si="18"/>
        <v>2</v>
      </c>
      <c r="H553" s="104">
        <v>2.0</v>
      </c>
    </row>
    <row r="554">
      <c r="A554" s="104" t="s">
        <v>1961</v>
      </c>
      <c r="B554" s="104" t="s">
        <v>293</v>
      </c>
      <c r="C554" s="104" t="s">
        <v>535</v>
      </c>
      <c r="D554" s="104" t="s">
        <v>1962</v>
      </c>
      <c r="E554" s="104" t="s">
        <v>537</v>
      </c>
      <c r="F554" s="104" t="s">
        <v>1963</v>
      </c>
      <c r="G554" s="150">
        <f>+1</f>
        <v>1</v>
      </c>
      <c r="H554" s="104">
        <v>1.0</v>
      </c>
    </row>
    <row r="555">
      <c r="A555" s="104" t="s">
        <v>1964</v>
      </c>
      <c r="B555" s="104" t="s">
        <v>225</v>
      </c>
      <c r="C555" s="104" t="s">
        <v>535</v>
      </c>
      <c r="D555" s="104" t="s">
        <v>1965</v>
      </c>
      <c r="E555" s="104" t="s">
        <v>1271</v>
      </c>
      <c r="F555" s="104" t="s">
        <v>1966</v>
      </c>
      <c r="G555" s="104" t="s">
        <v>1273</v>
      </c>
      <c r="H555" s="104">
        <v>0.0</v>
      </c>
    </row>
    <row r="556">
      <c r="A556" s="104" t="s">
        <v>1967</v>
      </c>
      <c r="B556" s="104" t="s">
        <v>204</v>
      </c>
      <c r="C556" s="104" t="s">
        <v>535</v>
      </c>
      <c r="D556" s="104" t="s">
        <v>1968</v>
      </c>
      <c r="E556" s="104" t="s">
        <v>1271</v>
      </c>
      <c r="F556" s="104" t="s">
        <v>1969</v>
      </c>
      <c r="G556" s="104" t="s">
        <v>1273</v>
      </c>
      <c r="H556" s="104">
        <v>0.0</v>
      </c>
    </row>
    <row r="557">
      <c r="A557" s="104" t="s">
        <v>1970</v>
      </c>
      <c r="B557" s="104" t="s">
        <v>177</v>
      </c>
      <c r="C557" s="104" t="s">
        <v>535</v>
      </c>
      <c r="D557" s="104" t="s">
        <v>1971</v>
      </c>
      <c r="E557" s="104" t="s">
        <v>1328</v>
      </c>
      <c r="F557" s="104" t="s">
        <v>1972</v>
      </c>
      <c r="G557" s="104">
        <v>-3.0</v>
      </c>
      <c r="H557" s="104">
        <v>-3.0</v>
      </c>
    </row>
    <row r="558">
      <c r="A558" s="104" t="s">
        <v>1973</v>
      </c>
      <c r="B558" s="104" t="s">
        <v>141</v>
      </c>
      <c r="C558" s="104" t="s">
        <v>535</v>
      </c>
      <c r="D558" s="104" t="s">
        <v>1974</v>
      </c>
      <c r="E558" s="104" t="s">
        <v>1271</v>
      </c>
      <c r="F558" s="104" t="s">
        <v>1975</v>
      </c>
      <c r="G558" s="104" t="s">
        <v>1273</v>
      </c>
      <c r="H558" s="104">
        <v>0.0</v>
      </c>
    </row>
    <row r="559">
      <c r="A559" s="104" t="s">
        <v>1976</v>
      </c>
      <c r="B559" s="104" t="s">
        <v>264</v>
      </c>
      <c r="C559" s="104" t="s">
        <v>535</v>
      </c>
      <c r="D559" s="104" t="s">
        <v>1977</v>
      </c>
      <c r="E559" s="104" t="s">
        <v>1276</v>
      </c>
      <c r="F559" s="104" t="s">
        <v>1978</v>
      </c>
      <c r="G559" s="150">
        <f t="shared" ref="G559:G560" si="19">+1</f>
        <v>1</v>
      </c>
      <c r="H559" s="104">
        <v>1.0</v>
      </c>
    </row>
    <row r="560">
      <c r="A560" s="104" t="s">
        <v>1979</v>
      </c>
      <c r="B560" s="104" t="s">
        <v>265</v>
      </c>
      <c r="C560" s="104" t="s">
        <v>535</v>
      </c>
      <c r="D560" s="104" t="s">
        <v>1980</v>
      </c>
      <c r="E560" s="104" t="s">
        <v>1276</v>
      </c>
      <c r="F560" s="104" t="s">
        <v>1981</v>
      </c>
      <c r="G560" s="150">
        <f t="shared" si="19"/>
        <v>1</v>
      </c>
      <c r="H560" s="104">
        <v>1.0</v>
      </c>
    </row>
    <row r="561">
      <c r="A561" s="104" t="s">
        <v>1982</v>
      </c>
      <c r="B561" s="104" t="s">
        <v>150</v>
      </c>
      <c r="C561" s="104" t="s">
        <v>535</v>
      </c>
      <c r="D561" s="104" t="s">
        <v>1983</v>
      </c>
      <c r="E561" s="104" t="s">
        <v>1300</v>
      </c>
      <c r="F561" s="104" t="s">
        <v>1984</v>
      </c>
      <c r="G561" s="104">
        <v>-2.0</v>
      </c>
      <c r="H561" s="104">
        <v>-2.0</v>
      </c>
    </row>
    <row r="562">
      <c r="A562" s="104" t="s">
        <v>1985</v>
      </c>
      <c r="B562" s="104" t="s">
        <v>248</v>
      </c>
      <c r="C562" s="104" t="s">
        <v>535</v>
      </c>
      <c r="D562" s="104" t="s">
        <v>1986</v>
      </c>
      <c r="E562" s="104" t="s">
        <v>1271</v>
      </c>
      <c r="F562" s="104" t="s">
        <v>1987</v>
      </c>
      <c r="G562" s="104" t="s">
        <v>1273</v>
      </c>
      <c r="H562" s="104">
        <v>0.0</v>
      </c>
    </row>
    <row r="563">
      <c r="A563" s="104" t="s">
        <v>1988</v>
      </c>
      <c r="B563" s="104" t="s">
        <v>261</v>
      </c>
      <c r="C563" s="104" t="s">
        <v>535</v>
      </c>
      <c r="D563" s="104" t="s">
        <v>1989</v>
      </c>
      <c r="E563" s="104" t="s">
        <v>1300</v>
      </c>
      <c r="F563" s="104" t="s">
        <v>1990</v>
      </c>
      <c r="G563" s="104">
        <v>-2.0</v>
      </c>
      <c r="H563" s="104">
        <v>-2.0</v>
      </c>
    </row>
    <row r="564">
      <c r="A564" s="104" t="s">
        <v>1991</v>
      </c>
      <c r="B564" s="104" t="s">
        <v>269</v>
      </c>
      <c r="C564" s="104" t="s">
        <v>535</v>
      </c>
      <c r="D564" s="104" t="s">
        <v>1992</v>
      </c>
      <c r="E564" s="104" t="s">
        <v>1271</v>
      </c>
      <c r="F564" s="104" t="s">
        <v>1993</v>
      </c>
      <c r="G564" s="104" t="s">
        <v>1273</v>
      </c>
      <c r="H564" s="104">
        <v>0.0</v>
      </c>
    </row>
    <row r="565">
      <c r="A565" s="104" t="s">
        <v>1994</v>
      </c>
      <c r="B565" s="104" t="s">
        <v>265</v>
      </c>
      <c r="C565" s="104" t="s">
        <v>535</v>
      </c>
      <c r="D565" s="104" t="s">
        <v>1995</v>
      </c>
      <c r="E565" s="104" t="s">
        <v>1271</v>
      </c>
      <c r="F565" s="104" t="s">
        <v>1996</v>
      </c>
      <c r="G565" s="104" t="s">
        <v>1273</v>
      </c>
      <c r="H565" s="104">
        <v>0.0</v>
      </c>
    </row>
    <row r="566">
      <c r="A566" s="104" t="s">
        <v>1997</v>
      </c>
      <c r="B566" s="104" t="s">
        <v>162</v>
      </c>
      <c r="C566" s="104" t="s">
        <v>535</v>
      </c>
      <c r="D566" s="104" t="s">
        <v>1998</v>
      </c>
      <c r="E566" s="104" t="s">
        <v>1271</v>
      </c>
      <c r="F566" s="104" t="s">
        <v>1999</v>
      </c>
      <c r="G566" s="104" t="s">
        <v>1273</v>
      </c>
      <c r="H566" s="104">
        <v>0.0</v>
      </c>
    </row>
    <row r="567">
      <c r="A567" s="104" t="s">
        <v>2000</v>
      </c>
      <c r="B567" s="104" t="s">
        <v>269</v>
      </c>
      <c r="C567" s="104" t="s">
        <v>535</v>
      </c>
      <c r="D567" s="104" t="s">
        <v>2001</v>
      </c>
      <c r="E567" s="104" t="s">
        <v>1328</v>
      </c>
      <c r="F567" s="104" t="s">
        <v>2002</v>
      </c>
      <c r="G567" s="104">
        <v>-3.0</v>
      </c>
      <c r="H567" s="104">
        <v>-3.0</v>
      </c>
    </row>
    <row r="568">
      <c r="A568" s="104" t="s">
        <v>2003</v>
      </c>
      <c r="B568" s="104" t="s">
        <v>253</v>
      </c>
      <c r="C568" s="104" t="s">
        <v>535</v>
      </c>
      <c r="D568" s="104" t="s">
        <v>2004</v>
      </c>
      <c r="E568" s="104" t="s">
        <v>1271</v>
      </c>
      <c r="F568" s="104" t="s">
        <v>2005</v>
      </c>
      <c r="G568" s="104" t="s">
        <v>1273</v>
      </c>
      <c r="H568" s="104">
        <v>0.0</v>
      </c>
    </row>
    <row r="569">
      <c r="A569" s="104" t="s">
        <v>2006</v>
      </c>
      <c r="B569" s="104" t="s">
        <v>146</v>
      </c>
      <c r="C569" s="104" t="s">
        <v>535</v>
      </c>
      <c r="D569" s="104" t="s">
        <v>2007</v>
      </c>
      <c r="E569" s="104" t="s">
        <v>1271</v>
      </c>
      <c r="F569" s="104" t="s">
        <v>2008</v>
      </c>
      <c r="G569" s="104" t="s">
        <v>1273</v>
      </c>
      <c r="H569" s="104">
        <v>0.0</v>
      </c>
    </row>
    <row r="570">
      <c r="A570" s="104" t="s">
        <v>2009</v>
      </c>
      <c r="B570" s="104" t="s">
        <v>149</v>
      </c>
      <c r="C570" s="104" t="s">
        <v>535</v>
      </c>
      <c r="D570" s="104" t="s">
        <v>2010</v>
      </c>
      <c r="E570" s="104" t="s">
        <v>1276</v>
      </c>
      <c r="F570" s="104" t="s">
        <v>2011</v>
      </c>
      <c r="G570" s="150">
        <f>+1</f>
        <v>1</v>
      </c>
      <c r="H570" s="104">
        <v>1.0</v>
      </c>
    </row>
    <row r="571">
      <c r="A571" s="104" t="s">
        <v>2012</v>
      </c>
      <c r="B571" s="104" t="s">
        <v>194</v>
      </c>
      <c r="C571" s="104" t="s">
        <v>535</v>
      </c>
      <c r="D571" s="104" t="s">
        <v>2013</v>
      </c>
      <c r="E571" s="104" t="s">
        <v>1283</v>
      </c>
      <c r="F571" s="104" t="s">
        <v>2014</v>
      </c>
      <c r="G571" s="104">
        <v>-1.0</v>
      </c>
      <c r="H571" s="104">
        <v>-1.0</v>
      </c>
    </row>
    <row r="572">
      <c r="A572" s="104" t="s">
        <v>2015</v>
      </c>
      <c r="B572" s="104" t="s">
        <v>115</v>
      </c>
      <c r="C572" s="104" t="s">
        <v>535</v>
      </c>
      <c r="D572" s="104" t="s">
        <v>2016</v>
      </c>
      <c r="E572" s="104" t="s">
        <v>1290</v>
      </c>
      <c r="F572" s="104" t="s">
        <v>2017</v>
      </c>
      <c r="G572" s="150">
        <f>+3</f>
        <v>3</v>
      </c>
      <c r="H572" s="104">
        <v>3.0</v>
      </c>
    </row>
    <row r="573">
      <c r="A573" s="104" t="s">
        <v>2018</v>
      </c>
      <c r="B573" s="104" t="s">
        <v>161</v>
      </c>
      <c r="C573" s="104" t="s">
        <v>535</v>
      </c>
      <c r="D573" s="104" t="s">
        <v>2019</v>
      </c>
      <c r="E573" s="104" t="s">
        <v>1271</v>
      </c>
      <c r="F573" s="104" t="s">
        <v>2020</v>
      </c>
      <c r="G573" s="104" t="s">
        <v>1273</v>
      </c>
      <c r="H573" s="104">
        <v>0.0</v>
      </c>
    </row>
    <row r="574">
      <c r="A574" s="104" t="s">
        <v>2021</v>
      </c>
      <c r="B574" s="104" t="s">
        <v>253</v>
      </c>
      <c r="C574" s="104" t="s">
        <v>535</v>
      </c>
      <c r="D574" s="104" t="s">
        <v>2022</v>
      </c>
      <c r="E574" s="104" t="s">
        <v>1290</v>
      </c>
      <c r="F574" s="104" t="s">
        <v>2023</v>
      </c>
      <c r="G574" s="150">
        <f>+3</f>
        <v>3</v>
      </c>
      <c r="H574" s="104">
        <v>3.0</v>
      </c>
    </row>
    <row r="575">
      <c r="A575" s="104" t="s">
        <v>2024</v>
      </c>
      <c r="B575" s="104" t="s">
        <v>247</v>
      </c>
      <c r="C575" s="104" t="s">
        <v>535</v>
      </c>
      <c r="D575" s="104" t="s">
        <v>2025</v>
      </c>
      <c r="E575" s="104" t="s">
        <v>1300</v>
      </c>
      <c r="F575" s="104" t="s">
        <v>2026</v>
      </c>
      <c r="G575" s="104">
        <v>-2.0</v>
      </c>
      <c r="H575" s="104">
        <v>-2.0</v>
      </c>
    </row>
    <row r="576">
      <c r="A576" s="104" t="s">
        <v>2027</v>
      </c>
      <c r="B576" s="104" t="s">
        <v>273</v>
      </c>
      <c r="C576" s="104" t="s">
        <v>535</v>
      </c>
      <c r="D576" s="104" t="s">
        <v>2028</v>
      </c>
      <c r="E576" s="104" t="s">
        <v>537</v>
      </c>
      <c r="F576" s="104" t="s">
        <v>2029</v>
      </c>
      <c r="G576" s="150">
        <f t="shared" ref="G576:G577" si="20">+1</f>
        <v>1</v>
      </c>
      <c r="H576" s="104">
        <v>1.0</v>
      </c>
    </row>
    <row r="577">
      <c r="A577" s="104" t="s">
        <v>2030</v>
      </c>
      <c r="B577" s="104" t="s">
        <v>203</v>
      </c>
      <c r="C577" s="104" t="s">
        <v>535</v>
      </c>
      <c r="D577" s="104" t="s">
        <v>2031</v>
      </c>
      <c r="E577" s="104" t="s">
        <v>1276</v>
      </c>
      <c r="F577" s="104" t="s">
        <v>2032</v>
      </c>
      <c r="G577" s="150">
        <f t="shared" si="20"/>
        <v>1</v>
      </c>
      <c r="H577" s="104">
        <v>1.0</v>
      </c>
    </row>
    <row r="578">
      <c r="A578" s="104" t="s">
        <v>2033</v>
      </c>
      <c r="B578" s="104" t="s">
        <v>272</v>
      </c>
      <c r="C578" s="104" t="s">
        <v>535</v>
      </c>
      <c r="D578" s="104" t="s">
        <v>2034</v>
      </c>
      <c r="E578" s="104" t="s">
        <v>1271</v>
      </c>
      <c r="F578" s="104" t="s">
        <v>2035</v>
      </c>
      <c r="G578" s="104" t="s">
        <v>1273</v>
      </c>
      <c r="H578" s="104">
        <v>0.0</v>
      </c>
    </row>
    <row r="579">
      <c r="A579" s="104" t="s">
        <v>2036</v>
      </c>
      <c r="B579" s="104" t="s">
        <v>274</v>
      </c>
      <c r="C579" s="104" t="s">
        <v>535</v>
      </c>
      <c r="D579" s="104" t="s">
        <v>2037</v>
      </c>
      <c r="E579" s="104" t="s">
        <v>1271</v>
      </c>
      <c r="F579" s="104" t="s">
        <v>2038</v>
      </c>
      <c r="G579" s="104" t="s">
        <v>1273</v>
      </c>
      <c r="H579" s="104">
        <v>0.0</v>
      </c>
    </row>
    <row r="580">
      <c r="A580" s="104" t="s">
        <v>2039</v>
      </c>
      <c r="B580" s="104" t="s">
        <v>229</v>
      </c>
      <c r="C580" s="104" t="s">
        <v>535</v>
      </c>
      <c r="D580" s="104" t="s">
        <v>2040</v>
      </c>
      <c r="E580" s="104" t="s">
        <v>1335</v>
      </c>
      <c r="F580" s="104" t="s">
        <v>2041</v>
      </c>
      <c r="G580" s="150">
        <f t="shared" ref="G580:G581" si="21">+2</f>
        <v>2</v>
      </c>
      <c r="H580" s="104">
        <v>2.0</v>
      </c>
    </row>
    <row r="581">
      <c r="A581" s="104" t="s">
        <v>2042</v>
      </c>
      <c r="B581" s="104" t="s">
        <v>169</v>
      </c>
      <c r="C581" s="104" t="s">
        <v>535</v>
      </c>
      <c r="D581" s="104" t="s">
        <v>2043</v>
      </c>
      <c r="E581" s="104" t="s">
        <v>1335</v>
      </c>
      <c r="F581" s="104" t="s">
        <v>2044</v>
      </c>
      <c r="G581" s="150">
        <f t="shared" si="21"/>
        <v>2</v>
      </c>
      <c r="H581" s="104">
        <v>2.0</v>
      </c>
    </row>
    <row r="582">
      <c r="A582" s="104" t="s">
        <v>2045</v>
      </c>
      <c r="B582" s="104" t="s">
        <v>257</v>
      </c>
      <c r="C582" s="104" t="s">
        <v>535</v>
      </c>
      <c r="D582" s="104" t="s">
        <v>2046</v>
      </c>
      <c r="E582" s="104" t="s">
        <v>1283</v>
      </c>
      <c r="F582" s="104" t="s">
        <v>2047</v>
      </c>
      <c r="G582" s="104">
        <v>-1.0</v>
      </c>
      <c r="H582" s="104">
        <v>-1.0</v>
      </c>
    </row>
    <row r="583">
      <c r="A583" s="104" t="s">
        <v>2048</v>
      </c>
      <c r="B583" s="104" t="s">
        <v>119</v>
      </c>
      <c r="C583" s="104" t="s">
        <v>535</v>
      </c>
      <c r="D583" s="104" t="s">
        <v>2049</v>
      </c>
      <c r="E583" s="104" t="s">
        <v>1290</v>
      </c>
      <c r="F583" s="104" t="s">
        <v>2050</v>
      </c>
      <c r="G583" s="150">
        <f>+3</f>
        <v>3</v>
      </c>
      <c r="H583" s="104">
        <v>3.0</v>
      </c>
    </row>
    <row r="584">
      <c r="A584" s="104" t="s">
        <v>2051</v>
      </c>
      <c r="B584" s="104" t="s">
        <v>119</v>
      </c>
      <c r="C584" s="104" t="s">
        <v>535</v>
      </c>
      <c r="D584" s="104" t="s">
        <v>2052</v>
      </c>
      <c r="E584" s="104" t="s">
        <v>1271</v>
      </c>
      <c r="F584" s="104" t="s">
        <v>2053</v>
      </c>
      <c r="G584" s="104" t="s">
        <v>1273</v>
      </c>
      <c r="H584" s="104">
        <v>0.0</v>
      </c>
    </row>
    <row r="585">
      <c r="A585" s="104" t="s">
        <v>2054</v>
      </c>
      <c r="B585" s="104" t="s">
        <v>271</v>
      </c>
      <c r="C585" s="104" t="s">
        <v>535</v>
      </c>
      <c r="D585" s="104" t="s">
        <v>2055</v>
      </c>
      <c r="E585" s="104" t="s">
        <v>1290</v>
      </c>
      <c r="F585" s="104" t="s">
        <v>2056</v>
      </c>
      <c r="G585" s="150">
        <f>+3</f>
        <v>3</v>
      </c>
      <c r="H585" s="104">
        <v>3.0</v>
      </c>
    </row>
    <row r="586">
      <c r="A586" s="104" t="s">
        <v>2057</v>
      </c>
      <c r="B586" s="104" t="s">
        <v>108</v>
      </c>
      <c r="C586" s="104" t="s">
        <v>535</v>
      </c>
      <c r="D586" s="104" t="s">
        <v>2058</v>
      </c>
      <c r="E586" s="104" t="s">
        <v>1300</v>
      </c>
      <c r="F586" s="104" t="s">
        <v>2059</v>
      </c>
      <c r="G586" s="104">
        <v>-2.0</v>
      </c>
      <c r="H586" s="104">
        <v>-2.0</v>
      </c>
    </row>
    <row r="587">
      <c r="A587" s="104" t="s">
        <v>2060</v>
      </c>
      <c r="B587" s="104" t="s">
        <v>275</v>
      </c>
      <c r="C587" s="104" t="s">
        <v>535</v>
      </c>
      <c r="D587" s="104" t="s">
        <v>2061</v>
      </c>
      <c r="E587" s="104" t="s">
        <v>1271</v>
      </c>
      <c r="F587" s="104" t="s">
        <v>2062</v>
      </c>
      <c r="G587" s="104" t="s">
        <v>1273</v>
      </c>
      <c r="H587" s="104">
        <v>0.0</v>
      </c>
    </row>
    <row r="588">
      <c r="A588" s="104" t="s">
        <v>2063</v>
      </c>
      <c r="B588" s="104" t="s">
        <v>269</v>
      </c>
      <c r="C588" s="104" t="s">
        <v>535</v>
      </c>
      <c r="D588" s="104" t="s">
        <v>2064</v>
      </c>
      <c r="E588" s="104" t="s">
        <v>1283</v>
      </c>
      <c r="F588" s="104" t="s">
        <v>2065</v>
      </c>
      <c r="G588" s="104">
        <v>-1.0</v>
      </c>
      <c r="H588" s="104">
        <v>-1.0</v>
      </c>
    </row>
    <row r="589">
      <c r="A589" s="104" t="s">
        <v>2066</v>
      </c>
      <c r="B589" s="104" t="s">
        <v>258</v>
      </c>
      <c r="C589" s="104" t="s">
        <v>535</v>
      </c>
      <c r="D589" s="104" t="s">
        <v>2067</v>
      </c>
      <c r="E589" s="104" t="s">
        <v>1271</v>
      </c>
      <c r="F589" s="104" t="s">
        <v>2068</v>
      </c>
      <c r="G589" s="104" t="s">
        <v>1273</v>
      </c>
      <c r="H589" s="104">
        <v>0.0</v>
      </c>
    </row>
    <row r="590">
      <c r="A590" s="104" t="s">
        <v>2069</v>
      </c>
      <c r="B590" s="104" t="s">
        <v>273</v>
      </c>
      <c r="C590" s="104" t="s">
        <v>535</v>
      </c>
      <c r="D590" s="104" t="s">
        <v>2070</v>
      </c>
      <c r="E590" s="104" t="s">
        <v>1271</v>
      </c>
      <c r="F590" s="104" t="s">
        <v>2071</v>
      </c>
      <c r="G590" s="104" t="s">
        <v>1273</v>
      </c>
      <c r="H590" s="104">
        <v>0.0</v>
      </c>
    </row>
    <row r="591">
      <c r="A591" s="104" t="s">
        <v>2072</v>
      </c>
      <c r="B591" s="104" t="s">
        <v>269</v>
      </c>
      <c r="C591" s="104" t="s">
        <v>535</v>
      </c>
      <c r="D591" s="104" t="s">
        <v>2073</v>
      </c>
      <c r="E591" s="104" t="s">
        <v>1271</v>
      </c>
      <c r="F591" s="104" t="s">
        <v>2074</v>
      </c>
      <c r="G591" s="104" t="s">
        <v>1273</v>
      </c>
      <c r="H591" s="104">
        <v>0.0</v>
      </c>
    </row>
    <row r="592">
      <c r="A592" s="104" t="s">
        <v>2075</v>
      </c>
      <c r="B592" s="104" t="s">
        <v>278</v>
      </c>
      <c r="C592" s="104" t="s">
        <v>535</v>
      </c>
      <c r="D592" s="104" t="s">
        <v>2076</v>
      </c>
      <c r="E592" s="104" t="s">
        <v>1276</v>
      </c>
      <c r="F592" s="104" t="s">
        <v>2077</v>
      </c>
      <c r="G592" s="150">
        <f>+1</f>
        <v>1</v>
      </c>
      <c r="H592" s="104">
        <v>1.0</v>
      </c>
    </row>
    <row r="593">
      <c r="A593" s="104" t="s">
        <v>2078</v>
      </c>
      <c r="B593" s="104" t="s">
        <v>258</v>
      </c>
      <c r="C593" s="104" t="s">
        <v>535</v>
      </c>
      <c r="D593" s="104" t="s">
        <v>2079</v>
      </c>
      <c r="E593" s="104" t="s">
        <v>1283</v>
      </c>
      <c r="F593" s="104" t="s">
        <v>2080</v>
      </c>
      <c r="G593" s="104">
        <v>-1.0</v>
      </c>
      <c r="H593" s="104">
        <v>-1.0</v>
      </c>
    </row>
    <row r="594">
      <c r="A594" s="104" t="s">
        <v>2081</v>
      </c>
      <c r="B594" s="104" t="s">
        <v>280</v>
      </c>
      <c r="C594" s="104" t="s">
        <v>535</v>
      </c>
      <c r="D594" s="104" t="s">
        <v>2082</v>
      </c>
      <c r="E594" s="104" t="s">
        <v>1271</v>
      </c>
      <c r="F594" s="104" t="s">
        <v>2083</v>
      </c>
      <c r="G594" s="104" t="s">
        <v>1273</v>
      </c>
      <c r="H594" s="104">
        <v>0.0</v>
      </c>
    </row>
    <row r="595">
      <c r="A595" s="104" t="s">
        <v>2084</v>
      </c>
      <c r="B595" s="104" t="s">
        <v>237</v>
      </c>
      <c r="C595" s="104" t="s">
        <v>535</v>
      </c>
      <c r="D595" s="104" t="s">
        <v>2085</v>
      </c>
      <c r="E595" s="104" t="s">
        <v>1300</v>
      </c>
      <c r="F595" s="104" t="s">
        <v>2086</v>
      </c>
      <c r="G595" s="104">
        <v>-2.0</v>
      </c>
      <c r="H595" s="104">
        <v>-2.0</v>
      </c>
    </row>
    <row r="596">
      <c r="A596" s="104" t="s">
        <v>2087</v>
      </c>
      <c r="B596" s="104" t="s">
        <v>281</v>
      </c>
      <c r="C596" s="104" t="s">
        <v>535</v>
      </c>
      <c r="D596" s="104" t="s">
        <v>2088</v>
      </c>
      <c r="E596" s="104" t="s">
        <v>1276</v>
      </c>
      <c r="F596" s="104" t="s">
        <v>2089</v>
      </c>
      <c r="G596" s="150">
        <f>+1</f>
        <v>1</v>
      </c>
      <c r="H596" s="104">
        <v>1.0</v>
      </c>
    </row>
    <row r="597">
      <c r="A597" s="104" t="s">
        <v>2090</v>
      </c>
      <c r="B597" s="104" t="s">
        <v>228</v>
      </c>
      <c r="C597" s="104" t="s">
        <v>535</v>
      </c>
      <c r="D597" s="104" t="s">
        <v>2091</v>
      </c>
      <c r="E597" s="104" t="s">
        <v>1271</v>
      </c>
      <c r="F597" s="104" t="s">
        <v>2092</v>
      </c>
      <c r="G597" s="104" t="s">
        <v>1273</v>
      </c>
      <c r="H597" s="104">
        <v>0.0</v>
      </c>
    </row>
    <row r="598">
      <c r="A598" s="104" t="s">
        <v>2093</v>
      </c>
      <c r="B598" s="104" t="s">
        <v>271</v>
      </c>
      <c r="C598" s="104" t="s">
        <v>535</v>
      </c>
      <c r="D598" s="104" t="s">
        <v>2094</v>
      </c>
      <c r="E598" s="104" t="s">
        <v>1271</v>
      </c>
      <c r="F598" s="104" t="s">
        <v>2095</v>
      </c>
      <c r="G598" s="104" t="s">
        <v>1273</v>
      </c>
      <c r="H598" s="104">
        <v>0.0</v>
      </c>
    </row>
    <row r="599">
      <c r="A599" s="104" t="s">
        <v>2096</v>
      </c>
      <c r="B599" s="104" t="s">
        <v>282</v>
      </c>
      <c r="C599" s="104" t="s">
        <v>535</v>
      </c>
      <c r="D599" s="104" t="s">
        <v>2097</v>
      </c>
      <c r="E599" s="104" t="s">
        <v>1271</v>
      </c>
      <c r="F599" s="104" t="s">
        <v>2098</v>
      </c>
      <c r="G599" s="104" t="s">
        <v>1273</v>
      </c>
      <c r="H599" s="104">
        <v>0.0</v>
      </c>
    </row>
    <row r="600">
      <c r="A600" s="104" t="s">
        <v>2099</v>
      </c>
      <c r="B600" s="104" t="s">
        <v>284</v>
      </c>
      <c r="C600" s="104" t="s">
        <v>535</v>
      </c>
      <c r="D600" s="104" t="s">
        <v>2100</v>
      </c>
      <c r="E600" s="104" t="s">
        <v>1271</v>
      </c>
      <c r="F600" s="104" t="s">
        <v>2101</v>
      </c>
      <c r="G600" s="104" t="s">
        <v>1273</v>
      </c>
      <c r="H600" s="104">
        <v>0.0</v>
      </c>
    </row>
    <row r="601">
      <c r="A601" s="104" t="s">
        <v>2102</v>
      </c>
      <c r="B601" s="104" t="s">
        <v>112</v>
      </c>
      <c r="C601" s="104" t="s">
        <v>535</v>
      </c>
      <c r="D601" s="104" t="s">
        <v>2103</v>
      </c>
      <c r="E601" s="104" t="s">
        <v>1290</v>
      </c>
      <c r="F601" s="104" t="s">
        <v>2104</v>
      </c>
      <c r="G601" s="150">
        <f>+3</f>
        <v>3</v>
      </c>
      <c r="H601" s="104">
        <v>3.0</v>
      </c>
    </row>
    <row r="602">
      <c r="A602" s="104" t="s">
        <v>2105</v>
      </c>
      <c r="B602" s="104" t="s">
        <v>285</v>
      </c>
      <c r="C602" s="104" t="s">
        <v>535</v>
      </c>
      <c r="D602" s="104" t="s">
        <v>2106</v>
      </c>
      <c r="E602" s="104" t="s">
        <v>1271</v>
      </c>
      <c r="F602" s="104" t="s">
        <v>2107</v>
      </c>
      <c r="G602" s="104" t="s">
        <v>1273</v>
      </c>
      <c r="H602" s="104">
        <v>0.0</v>
      </c>
    </row>
    <row r="603">
      <c r="A603" s="104" t="s">
        <v>2108</v>
      </c>
      <c r="B603" s="104" t="s">
        <v>287</v>
      </c>
      <c r="C603" s="104" t="s">
        <v>535</v>
      </c>
      <c r="D603" s="104" t="s">
        <v>2109</v>
      </c>
      <c r="E603" s="104" t="s">
        <v>1271</v>
      </c>
      <c r="F603" s="104" t="s">
        <v>2110</v>
      </c>
      <c r="G603" s="104" t="s">
        <v>1273</v>
      </c>
      <c r="H603" s="104">
        <v>0.0</v>
      </c>
    </row>
    <row r="604">
      <c r="A604" s="104" t="s">
        <v>2111</v>
      </c>
      <c r="B604" s="104" t="s">
        <v>105</v>
      </c>
      <c r="C604" s="104" t="s">
        <v>535</v>
      </c>
      <c r="D604" s="104" t="s">
        <v>2112</v>
      </c>
      <c r="E604" s="104" t="s">
        <v>1271</v>
      </c>
      <c r="F604" s="104" t="s">
        <v>2113</v>
      </c>
      <c r="G604" s="104" t="s">
        <v>1273</v>
      </c>
      <c r="H604" s="104">
        <v>0.0</v>
      </c>
    </row>
    <row r="605">
      <c r="A605" s="104" t="s">
        <v>2114</v>
      </c>
      <c r="B605" s="104" t="s">
        <v>285</v>
      </c>
      <c r="C605" s="104" t="s">
        <v>535</v>
      </c>
      <c r="D605" s="104" t="s">
        <v>2115</v>
      </c>
      <c r="E605" s="104" t="s">
        <v>1328</v>
      </c>
      <c r="F605" s="104" t="s">
        <v>2116</v>
      </c>
      <c r="G605" s="104">
        <v>-3.0</v>
      </c>
      <c r="H605" s="104">
        <v>-3.0</v>
      </c>
    </row>
    <row r="606">
      <c r="A606" s="104" t="s">
        <v>2117</v>
      </c>
      <c r="B606" s="104" t="s">
        <v>289</v>
      </c>
      <c r="C606" s="104" t="s">
        <v>535</v>
      </c>
      <c r="D606" s="104" t="s">
        <v>2118</v>
      </c>
      <c r="E606" s="104" t="s">
        <v>1335</v>
      </c>
      <c r="F606" s="104" t="s">
        <v>2119</v>
      </c>
      <c r="G606" s="150">
        <f>+2</f>
        <v>2</v>
      </c>
      <c r="H606" s="104">
        <v>2.0</v>
      </c>
    </row>
    <row r="607">
      <c r="A607" s="104" t="s">
        <v>2120</v>
      </c>
      <c r="B607" s="104" t="s">
        <v>291</v>
      </c>
      <c r="C607" s="104" t="s">
        <v>535</v>
      </c>
      <c r="D607" s="104" t="s">
        <v>2121</v>
      </c>
      <c r="E607" s="104" t="s">
        <v>1271</v>
      </c>
      <c r="F607" s="104" t="s">
        <v>2122</v>
      </c>
      <c r="G607" s="104" t="s">
        <v>1273</v>
      </c>
      <c r="H607" s="104">
        <v>0.0</v>
      </c>
    </row>
    <row r="608">
      <c r="A608" s="104" t="s">
        <v>2123</v>
      </c>
      <c r="B608" s="104" t="s">
        <v>290</v>
      </c>
      <c r="C608" s="104" t="s">
        <v>535</v>
      </c>
      <c r="D608" s="104" t="s">
        <v>2124</v>
      </c>
      <c r="E608" s="104" t="s">
        <v>1271</v>
      </c>
      <c r="F608" s="104" t="s">
        <v>2125</v>
      </c>
      <c r="G608" s="104" t="s">
        <v>1273</v>
      </c>
      <c r="H608" s="104">
        <v>0.0</v>
      </c>
    </row>
    <row r="609">
      <c r="A609" s="104" t="s">
        <v>2126</v>
      </c>
      <c r="B609" s="104" t="s">
        <v>263</v>
      </c>
      <c r="C609" s="104" t="s">
        <v>535</v>
      </c>
      <c r="D609" s="104" t="s">
        <v>2127</v>
      </c>
      <c r="E609" s="104" t="s">
        <v>1271</v>
      </c>
      <c r="F609" s="104" t="s">
        <v>2128</v>
      </c>
      <c r="G609" s="104" t="s">
        <v>1273</v>
      </c>
      <c r="H609" s="104">
        <v>0.0</v>
      </c>
    </row>
    <row r="610">
      <c r="A610" s="104" t="s">
        <v>2129</v>
      </c>
      <c r="B610" s="104" t="s">
        <v>291</v>
      </c>
      <c r="C610" s="104" t="s">
        <v>535</v>
      </c>
      <c r="D610" s="104" t="s">
        <v>2130</v>
      </c>
      <c r="E610" s="104" t="s">
        <v>1290</v>
      </c>
      <c r="F610" s="104" t="s">
        <v>2131</v>
      </c>
      <c r="G610" s="150">
        <f>+3</f>
        <v>3</v>
      </c>
      <c r="H610" s="104">
        <v>3.0</v>
      </c>
    </row>
    <row r="611">
      <c r="A611" s="104" t="s">
        <v>2132</v>
      </c>
      <c r="B611" s="104" t="s">
        <v>293</v>
      </c>
      <c r="C611" s="104" t="s">
        <v>535</v>
      </c>
      <c r="D611" s="104" t="s">
        <v>2133</v>
      </c>
      <c r="E611" s="104" t="s">
        <v>1271</v>
      </c>
      <c r="F611" s="104" t="s">
        <v>2134</v>
      </c>
      <c r="G611" s="104" t="s">
        <v>1273</v>
      </c>
      <c r="H611" s="104">
        <v>0.0</v>
      </c>
    </row>
    <row r="612">
      <c r="A612" s="104" t="s">
        <v>2135</v>
      </c>
      <c r="B612" s="104" t="s">
        <v>263</v>
      </c>
      <c r="C612" s="104" t="s">
        <v>535</v>
      </c>
      <c r="D612" s="104" t="s">
        <v>2136</v>
      </c>
      <c r="E612" s="104" t="s">
        <v>1300</v>
      </c>
      <c r="F612" s="104" t="s">
        <v>2137</v>
      </c>
      <c r="G612" s="104">
        <v>-2.0</v>
      </c>
      <c r="H612" s="104">
        <v>-2.0</v>
      </c>
    </row>
    <row r="613">
      <c r="A613" s="104" t="s">
        <v>2138</v>
      </c>
      <c r="B613" s="104" t="s">
        <v>115</v>
      </c>
      <c r="C613" s="104" t="s">
        <v>535</v>
      </c>
      <c r="D613" s="104" t="s">
        <v>2139</v>
      </c>
      <c r="E613" s="104" t="s">
        <v>1271</v>
      </c>
      <c r="F613" s="104" t="s">
        <v>2140</v>
      </c>
      <c r="G613" s="104" t="s">
        <v>1273</v>
      </c>
      <c r="H613" s="104">
        <v>0.0</v>
      </c>
    </row>
    <row r="614">
      <c r="A614" s="104" t="s">
        <v>2141</v>
      </c>
      <c r="B614" s="104" t="s">
        <v>264</v>
      </c>
      <c r="C614" s="104" t="s">
        <v>535</v>
      </c>
      <c r="D614" s="104" t="s">
        <v>2142</v>
      </c>
      <c r="E614" s="104" t="s">
        <v>1300</v>
      </c>
      <c r="F614" s="104" t="s">
        <v>2143</v>
      </c>
      <c r="G614" s="104">
        <v>-2.0</v>
      </c>
      <c r="H614" s="104">
        <v>-2.0</v>
      </c>
    </row>
    <row r="615">
      <c r="A615" s="104" t="s">
        <v>2144</v>
      </c>
      <c r="B615" s="104" t="s">
        <v>302</v>
      </c>
      <c r="C615" s="104" t="s">
        <v>535</v>
      </c>
      <c r="D615" s="104" t="s">
        <v>2145</v>
      </c>
      <c r="E615" s="104" t="s">
        <v>594</v>
      </c>
      <c r="F615" s="104" t="s">
        <v>2146</v>
      </c>
      <c r="G615" s="104">
        <v>-2.0</v>
      </c>
      <c r="H615" s="104">
        <v>-2.0</v>
      </c>
    </row>
    <row r="616">
      <c r="A616" s="104" t="s">
        <v>2147</v>
      </c>
      <c r="B616" s="104" t="s">
        <v>146</v>
      </c>
      <c r="C616" s="104" t="s">
        <v>535</v>
      </c>
      <c r="D616" s="104" t="s">
        <v>2148</v>
      </c>
      <c r="E616" s="104" t="s">
        <v>1328</v>
      </c>
      <c r="F616" s="104" t="s">
        <v>2149</v>
      </c>
      <c r="G616" s="104">
        <v>-3.0</v>
      </c>
      <c r="H616" s="104">
        <v>-3.0</v>
      </c>
    </row>
    <row r="617">
      <c r="A617" s="104" t="s">
        <v>2150</v>
      </c>
      <c r="B617" s="104" t="s">
        <v>156</v>
      </c>
      <c r="C617" s="104" t="s">
        <v>535</v>
      </c>
      <c r="D617" s="104" t="s">
        <v>2151</v>
      </c>
      <c r="E617" s="104" t="s">
        <v>1335</v>
      </c>
      <c r="F617" s="104" t="s">
        <v>2152</v>
      </c>
      <c r="G617" s="150">
        <f t="shared" ref="G617:G618" si="22">+2</f>
        <v>2</v>
      </c>
      <c r="H617" s="104">
        <v>2.0</v>
      </c>
    </row>
    <row r="618">
      <c r="A618" s="104" t="s">
        <v>2153</v>
      </c>
      <c r="B618" s="104" t="s">
        <v>274</v>
      </c>
      <c r="C618" s="104" t="s">
        <v>535</v>
      </c>
      <c r="D618" s="104" t="s">
        <v>2154</v>
      </c>
      <c r="E618" s="104" t="s">
        <v>1335</v>
      </c>
      <c r="F618" s="104" t="s">
        <v>2155</v>
      </c>
      <c r="G618" s="150">
        <f t="shared" si="22"/>
        <v>2</v>
      </c>
      <c r="H618" s="104">
        <v>2.0</v>
      </c>
    </row>
    <row r="619">
      <c r="A619" s="104" t="s">
        <v>2156</v>
      </c>
      <c r="B619" s="104" t="s">
        <v>100</v>
      </c>
      <c r="C619" s="104" t="s">
        <v>535</v>
      </c>
      <c r="D619" s="104" t="s">
        <v>2157</v>
      </c>
      <c r="E619" s="104" t="s">
        <v>1271</v>
      </c>
      <c r="F619" s="104" t="s">
        <v>2158</v>
      </c>
      <c r="G619" s="104" t="s">
        <v>1273</v>
      </c>
      <c r="H619" s="104">
        <v>0.0</v>
      </c>
    </row>
    <row r="620">
      <c r="A620" s="104" t="s">
        <v>2159</v>
      </c>
      <c r="B620" s="104" t="s">
        <v>274</v>
      </c>
      <c r="C620" s="104" t="s">
        <v>535</v>
      </c>
      <c r="D620" s="104" t="s">
        <v>2160</v>
      </c>
      <c r="E620" s="104" t="s">
        <v>1271</v>
      </c>
      <c r="F620" s="104" t="s">
        <v>2161</v>
      </c>
      <c r="G620" s="104" t="s">
        <v>1273</v>
      </c>
      <c r="H620" s="104">
        <v>0.0</v>
      </c>
    </row>
    <row r="621">
      <c r="A621" s="104" t="s">
        <v>2162</v>
      </c>
      <c r="B621" s="104" t="s">
        <v>289</v>
      </c>
      <c r="C621" s="104" t="s">
        <v>535</v>
      </c>
      <c r="D621" s="104" t="s">
        <v>2163</v>
      </c>
      <c r="E621" s="104" t="s">
        <v>1290</v>
      </c>
      <c r="F621" s="104" t="s">
        <v>2164</v>
      </c>
      <c r="G621" s="150">
        <f>+3</f>
        <v>3</v>
      </c>
      <c r="H621" s="104">
        <v>3.0</v>
      </c>
    </row>
    <row r="622">
      <c r="A622" s="104" t="s">
        <v>2165</v>
      </c>
      <c r="B622" s="104" t="s">
        <v>257</v>
      </c>
      <c r="C622" s="104" t="s">
        <v>535</v>
      </c>
      <c r="D622" s="104" t="s">
        <v>2166</v>
      </c>
      <c r="E622" s="104" t="s">
        <v>1276</v>
      </c>
      <c r="F622" s="104" t="s">
        <v>2167</v>
      </c>
      <c r="G622" s="150">
        <f>+1</f>
        <v>1</v>
      </c>
      <c r="H622" s="104">
        <v>1.0</v>
      </c>
    </row>
    <row r="623">
      <c r="A623" s="104" t="s">
        <v>2168</v>
      </c>
      <c r="B623" s="104" t="s">
        <v>282</v>
      </c>
      <c r="C623" s="104" t="s">
        <v>535</v>
      </c>
      <c r="D623" s="104" t="s">
        <v>2169</v>
      </c>
      <c r="E623" s="104" t="s">
        <v>1283</v>
      </c>
      <c r="F623" s="104" t="s">
        <v>2170</v>
      </c>
      <c r="G623" s="104">
        <v>-1.0</v>
      </c>
      <c r="H623" s="104">
        <v>-1.0</v>
      </c>
    </row>
    <row r="624">
      <c r="A624" s="104" t="s">
        <v>2171</v>
      </c>
      <c r="B624" s="104" t="s">
        <v>232</v>
      </c>
      <c r="C624" s="104" t="s">
        <v>535</v>
      </c>
      <c r="D624" s="104" t="s">
        <v>2172</v>
      </c>
      <c r="E624" s="104" t="s">
        <v>1328</v>
      </c>
      <c r="F624" s="104" t="s">
        <v>2173</v>
      </c>
      <c r="G624" s="104">
        <v>-3.0</v>
      </c>
      <c r="H624" s="104">
        <v>-3.0</v>
      </c>
    </row>
    <row r="625">
      <c r="A625" s="104" t="s">
        <v>2174</v>
      </c>
      <c r="B625" s="104" t="s">
        <v>264</v>
      </c>
      <c r="C625" s="104" t="s">
        <v>535</v>
      </c>
      <c r="D625" s="104" t="s">
        <v>2175</v>
      </c>
      <c r="E625" s="104" t="s">
        <v>1271</v>
      </c>
      <c r="F625" s="104" t="s">
        <v>2176</v>
      </c>
      <c r="G625" s="104" t="s">
        <v>1273</v>
      </c>
      <c r="H625" s="104">
        <v>0.0</v>
      </c>
    </row>
    <row r="626">
      <c r="A626" s="104" t="s">
        <v>2177</v>
      </c>
      <c r="B626" s="104" t="s">
        <v>214</v>
      </c>
      <c r="C626" s="104" t="s">
        <v>535</v>
      </c>
      <c r="D626" s="104" t="s">
        <v>2178</v>
      </c>
      <c r="E626" s="104" t="s">
        <v>1300</v>
      </c>
      <c r="F626" s="104" t="s">
        <v>2179</v>
      </c>
      <c r="G626" s="104">
        <v>-2.0</v>
      </c>
      <c r="H626" s="104">
        <v>-2.0</v>
      </c>
    </row>
    <row r="627">
      <c r="A627" s="104" t="s">
        <v>2180</v>
      </c>
      <c r="B627" s="104" t="s">
        <v>298</v>
      </c>
      <c r="C627" s="104" t="s">
        <v>535</v>
      </c>
      <c r="D627" s="104" t="s">
        <v>2181</v>
      </c>
      <c r="E627" s="104" t="s">
        <v>1271</v>
      </c>
      <c r="F627" s="104" t="s">
        <v>2182</v>
      </c>
      <c r="G627" s="104" t="s">
        <v>1273</v>
      </c>
      <c r="H627" s="104">
        <v>0.0</v>
      </c>
    </row>
    <row r="628">
      <c r="A628" s="104" t="s">
        <v>2183</v>
      </c>
      <c r="B628" s="104" t="s">
        <v>282</v>
      </c>
      <c r="C628" s="104" t="s">
        <v>535</v>
      </c>
      <c r="D628" s="104" t="s">
        <v>2184</v>
      </c>
      <c r="E628" s="104" t="s">
        <v>1271</v>
      </c>
      <c r="F628" s="104" t="s">
        <v>2185</v>
      </c>
      <c r="G628" s="104" t="s">
        <v>1273</v>
      </c>
      <c r="H628" s="104">
        <v>0.0</v>
      </c>
    </row>
    <row r="629">
      <c r="A629" s="104" t="s">
        <v>2186</v>
      </c>
      <c r="B629" s="104" t="s">
        <v>200</v>
      </c>
      <c r="C629" s="104" t="s">
        <v>535</v>
      </c>
      <c r="D629" s="104" t="s">
        <v>2187</v>
      </c>
      <c r="E629" s="104" t="s">
        <v>1271</v>
      </c>
      <c r="F629" s="104" t="s">
        <v>2188</v>
      </c>
      <c r="G629" s="104" t="s">
        <v>1273</v>
      </c>
      <c r="H629" s="104">
        <v>0.0</v>
      </c>
    </row>
    <row r="630">
      <c r="A630" s="104" t="s">
        <v>2189</v>
      </c>
      <c r="B630" s="104" t="s">
        <v>280</v>
      </c>
      <c r="C630" s="104" t="s">
        <v>535</v>
      </c>
      <c r="D630" s="104" t="s">
        <v>2190</v>
      </c>
      <c r="E630" s="104" t="s">
        <v>1290</v>
      </c>
      <c r="F630" s="104" t="s">
        <v>2191</v>
      </c>
      <c r="G630" s="150">
        <f>+3</f>
        <v>3</v>
      </c>
      <c r="H630" s="104">
        <v>3.0</v>
      </c>
    </row>
    <row r="631">
      <c r="A631" s="104" t="s">
        <v>2192</v>
      </c>
      <c r="B631" s="104" t="s">
        <v>100</v>
      </c>
      <c r="C631" s="104" t="s">
        <v>535</v>
      </c>
      <c r="D631" s="104" t="s">
        <v>2193</v>
      </c>
      <c r="E631" s="104" t="s">
        <v>1276</v>
      </c>
      <c r="F631" s="104" t="s">
        <v>2194</v>
      </c>
      <c r="G631" s="150">
        <f>+1</f>
        <v>1</v>
      </c>
      <c r="H631" s="104">
        <v>1.0</v>
      </c>
    </row>
    <row r="632">
      <c r="A632" s="104" t="s">
        <v>2195</v>
      </c>
      <c r="B632" s="104" t="s">
        <v>100</v>
      </c>
      <c r="C632" s="104" t="s">
        <v>535</v>
      </c>
      <c r="D632" s="104" t="s">
        <v>2196</v>
      </c>
      <c r="E632" s="104" t="s">
        <v>1271</v>
      </c>
      <c r="F632" s="104" t="s">
        <v>2197</v>
      </c>
      <c r="G632" s="104" t="s">
        <v>1273</v>
      </c>
      <c r="H632" s="104">
        <v>0.0</v>
      </c>
    </row>
    <row r="633">
      <c r="A633" s="104" t="s">
        <v>2198</v>
      </c>
      <c r="B633" s="104" t="s">
        <v>278</v>
      </c>
      <c r="C633" s="104" t="s">
        <v>535</v>
      </c>
      <c r="D633" s="104" t="s">
        <v>2199</v>
      </c>
      <c r="E633" s="104" t="s">
        <v>1271</v>
      </c>
      <c r="F633" s="104" t="s">
        <v>2200</v>
      </c>
      <c r="G633" s="104" t="s">
        <v>1273</v>
      </c>
      <c r="H633" s="104">
        <v>0.0</v>
      </c>
    </row>
    <row r="634">
      <c r="A634" s="104" t="s">
        <v>2201</v>
      </c>
      <c r="B634" s="104" t="s">
        <v>288</v>
      </c>
      <c r="C634" s="104" t="s">
        <v>535</v>
      </c>
      <c r="D634" s="104" t="s">
        <v>2202</v>
      </c>
      <c r="E634" s="104" t="s">
        <v>1271</v>
      </c>
      <c r="F634" s="104" t="s">
        <v>2203</v>
      </c>
      <c r="G634" s="104" t="s">
        <v>1273</v>
      </c>
      <c r="H634" s="104">
        <v>0.0</v>
      </c>
    </row>
    <row r="635">
      <c r="A635" s="104" t="s">
        <v>2204</v>
      </c>
      <c r="B635" s="104" t="s">
        <v>105</v>
      </c>
      <c r="C635" s="104" t="s">
        <v>535</v>
      </c>
      <c r="D635" s="104" t="s">
        <v>2205</v>
      </c>
      <c r="E635" s="104" t="s">
        <v>1283</v>
      </c>
      <c r="F635" s="104" t="s">
        <v>2206</v>
      </c>
      <c r="G635" s="104">
        <v>-1.0</v>
      </c>
      <c r="H635" s="104">
        <v>-1.0</v>
      </c>
    </row>
    <row r="636">
      <c r="A636" s="104" t="s">
        <v>2207</v>
      </c>
      <c r="B636" s="104" t="s">
        <v>288</v>
      </c>
      <c r="C636" s="104" t="s">
        <v>535</v>
      </c>
      <c r="D636" s="104" t="s">
        <v>2208</v>
      </c>
      <c r="E636" s="104" t="s">
        <v>1328</v>
      </c>
      <c r="F636" s="104" t="s">
        <v>2209</v>
      </c>
      <c r="G636" s="104">
        <v>-3.0</v>
      </c>
      <c r="H636" s="104">
        <v>-3.0</v>
      </c>
    </row>
    <row r="637">
      <c r="A637" s="104" t="s">
        <v>2210</v>
      </c>
      <c r="B637" s="104" t="s">
        <v>285</v>
      </c>
      <c r="C637" s="104" t="s">
        <v>535</v>
      </c>
      <c r="D637" s="104" t="s">
        <v>2211</v>
      </c>
      <c r="E637" s="104" t="s">
        <v>1271</v>
      </c>
      <c r="F637" s="104" t="s">
        <v>2212</v>
      </c>
      <c r="G637" s="104" t="s">
        <v>1273</v>
      </c>
      <c r="H637" s="104">
        <v>0.0</v>
      </c>
    </row>
    <row r="638">
      <c r="A638" s="104" t="s">
        <v>2213</v>
      </c>
      <c r="B638" s="104" t="s">
        <v>307</v>
      </c>
      <c r="C638" s="104" t="s">
        <v>535</v>
      </c>
      <c r="D638" s="104" t="s">
        <v>2214</v>
      </c>
      <c r="E638" s="104" t="s">
        <v>594</v>
      </c>
      <c r="F638" s="104" t="s">
        <v>2215</v>
      </c>
      <c r="G638" s="104">
        <v>-2.0</v>
      </c>
      <c r="H638" s="104">
        <v>-2.0</v>
      </c>
    </row>
    <row r="639">
      <c r="A639" s="104" t="s">
        <v>2216</v>
      </c>
      <c r="B639" s="104" t="s">
        <v>293</v>
      </c>
      <c r="C639" s="104" t="s">
        <v>535</v>
      </c>
      <c r="D639" s="104" t="s">
        <v>2217</v>
      </c>
      <c r="E639" s="104" t="s">
        <v>1335</v>
      </c>
      <c r="F639" s="104" t="s">
        <v>2218</v>
      </c>
      <c r="G639" s="150">
        <f>+2</f>
        <v>2</v>
      </c>
      <c r="H639" s="104">
        <v>2.0</v>
      </c>
    </row>
    <row r="640">
      <c r="A640" s="104" t="s">
        <v>2219</v>
      </c>
      <c r="B640" s="104" t="s">
        <v>293</v>
      </c>
      <c r="C640" s="104" t="s">
        <v>535</v>
      </c>
      <c r="D640" s="104" t="s">
        <v>2220</v>
      </c>
      <c r="E640" s="104" t="s">
        <v>1271</v>
      </c>
      <c r="F640" s="104" t="s">
        <v>2221</v>
      </c>
      <c r="G640" s="104" t="s">
        <v>1273</v>
      </c>
      <c r="H640" s="104">
        <v>0.0</v>
      </c>
    </row>
    <row r="641">
      <c r="A641" s="104" t="s">
        <v>2222</v>
      </c>
      <c r="B641" s="104" t="s">
        <v>159</v>
      </c>
      <c r="C641" s="104" t="s">
        <v>535</v>
      </c>
      <c r="D641" s="104" t="s">
        <v>2223</v>
      </c>
      <c r="E641" s="104" t="s">
        <v>1271</v>
      </c>
      <c r="F641" s="104" t="s">
        <v>2224</v>
      </c>
      <c r="G641" s="104" t="s">
        <v>1273</v>
      </c>
      <c r="H641" s="104">
        <v>0.0</v>
      </c>
    </row>
    <row r="642">
      <c r="A642" s="104" t="s">
        <v>2225</v>
      </c>
      <c r="B642" s="104" t="s">
        <v>303</v>
      </c>
      <c r="C642" s="104" t="s">
        <v>535</v>
      </c>
      <c r="D642" s="104" t="s">
        <v>2226</v>
      </c>
      <c r="E642" s="104" t="s">
        <v>1335</v>
      </c>
      <c r="F642" s="104" t="s">
        <v>2227</v>
      </c>
      <c r="G642" s="150">
        <f>+2</f>
        <v>2</v>
      </c>
      <c r="H642" s="104">
        <v>2.0</v>
      </c>
    </row>
    <row r="643">
      <c r="A643" s="104" t="s">
        <v>2228</v>
      </c>
      <c r="B643" s="104" t="s">
        <v>291</v>
      </c>
      <c r="C643" s="104" t="s">
        <v>535</v>
      </c>
      <c r="D643" s="104" t="s">
        <v>2229</v>
      </c>
      <c r="E643" s="104" t="s">
        <v>1300</v>
      </c>
      <c r="F643" s="104" t="s">
        <v>2230</v>
      </c>
      <c r="G643" s="104">
        <v>-2.0</v>
      </c>
      <c r="H643" s="104">
        <v>-2.0</v>
      </c>
    </row>
    <row r="644">
      <c r="A644" s="104" t="s">
        <v>2231</v>
      </c>
      <c r="B644" s="104" t="s">
        <v>150</v>
      </c>
      <c r="C644" s="104" t="s">
        <v>535</v>
      </c>
      <c r="D644" s="104" t="s">
        <v>2232</v>
      </c>
      <c r="E644" s="104" t="s">
        <v>1271</v>
      </c>
      <c r="F644" s="104" t="s">
        <v>2233</v>
      </c>
      <c r="G644" s="104" t="s">
        <v>1273</v>
      </c>
      <c r="H644" s="104">
        <v>0.0</v>
      </c>
    </row>
    <row r="645">
      <c r="A645" s="104" t="s">
        <v>2234</v>
      </c>
      <c r="B645" s="104" t="s">
        <v>156</v>
      </c>
      <c r="C645" s="104" t="s">
        <v>535</v>
      </c>
      <c r="D645" s="104" t="s">
        <v>2235</v>
      </c>
      <c r="E645" s="104" t="s">
        <v>1271</v>
      </c>
      <c r="F645" s="104" t="s">
        <v>2236</v>
      </c>
      <c r="G645" s="104" t="s">
        <v>1273</v>
      </c>
      <c r="H645" s="104">
        <v>0.0</v>
      </c>
    </row>
    <row r="646">
      <c r="A646" s="104" t="s">
        <v>2237</v>
      </c>
      <c r="B646" s="104" t="s">
        <v>296</v>
      </c>
      <c r="C646" s="104" t="s">
        <v>535</v>
      </c>
      <c r="D646" s="104" t="s">
        <v>2238</v>
      </c>
      <c r="E646" s="104" t="s">
        <v>1271</v>
      </c>
      <c r="F646" s="104" t="s">
        <v>2239</v>
      </c>
      <c r="G646" s="104" t="s">
        <v>1273</v>
      </c>
      <c r="H646" s="104">
        <v>0.0</v>
      </c>
    </row>
    <row r="647">
      <c r="A647" s="104" t="s">
        <v>2240</v>
      </c>
      <c r="B647" s="104" t="s">
        <v>294</v>
      </c>
      <c r="C647" s="104" t="s">
        <v>535</v>
      </c>
      <c r="D647" s="104" t="s">
        <v>2241</v>
      </c>
      <c r="E647" s="104" t="s">
        <v>1271</v>
      </c>
      <c r="F647" s="104" t="s">
        <v>2242</v>
      </c>
      <c r="G647" s="104" t="s">
        <v>1273</v>
      </c>
      <c r="H647" s="104">
        <v>0.0</v>
      </c>
    </row>
    <row r="648">
      <c r="A648" s="104" t="s">
        <v>2243</v>
      </c>
      <c r="B648" s="104" t="s">
        <v>208</v>
      </c>
      <c r="C648" s="104" t="s">
        <v>535</v>
      </c>
      <c r="D648" s="104" t="s">
        <v>2244</v>
      </c>
      <c r="E648" s="104" t="s">
        <v>1271</v>
      </c>
      <c r="F648" s="104" t="s">
        <v>2245</v>
      </c>
      <c r="G648" s="104" t="s">
        <v>1273</v>
      </c>
      <c r="H648" s="104">
        <v>0.0</v>
      </c>
    </row>
    <row r="649">
      <c r="A649" s="104" t="s">
        <v>2246</v>
      </c>
      <c r="B649" s="104" t="s">
        <v>302</v>
      </c>
      <c r="C649" s="104" t="s">
        <v>535</v>
      </c>
      <c r="D649" s="104" t="s">
        <v>2247</v>
      </c>
      <c r="E649" s="104" t="s">
        <v>1300</v>
      </c>
      <c r="F649" s="104" t="s">
        <v>2248</v>
      </c>
      <c r="G649" s="104">
        <v>-2.0</v>
      </c>
      <c r="H649" s="104">
        <v>-2.0</v>
      </c>
    </row>
    <row r="650">
      <c r="A650" s="104" t="s">
        <v>2249</v>
      </c>
      <c r="B650" s="104" t="s">
        <v>296</v>
      </c>
      <c r="C650" s="104" t="s">
        <v>535</v>
      </c>
      <c r="D650" s="104" t="s">
        <v>2250</v>
      </c>
      <c r="E650" s="104" t="s">
        <v>1335</v>
      </c>
      <c r="F650" s="104" t="s">
        <v>2251</v>
      </c>
      <c r="G650" s="150">
        <f>+2</f>
        <v>2</v>
      </c>
      <c r="H650" s="104">
        <v>2.0</v>
      </c>
    </row>
    <row r="651">
      <c r="A651" s="104" t="s">
        <v>2252</v>
      </c>
      <c r="B651" s="104" t="s">
        <v>274</v>
      </c>
      <c r="C651" s="104" t="s">
        <v>535</v>
      </c>
      <c r="D651" s="104" t="s">
        <v>2253</v>
      </c>
      <c r="E651" s="104" t="s">
        <v>1290</v>
      </c>
      <c r="F651" s="104" t="s">
        <v>2254</v>
      </c>
      <c r="G651" s="150">
        <f>+3</f>
        <v>3</v>
      </c>
      <c r="H651" s="104">
        <v>3.0</v>
      </c>
    </row>
    <row r="652">
      <c r="A652" s="104" t="s">
        <v>2255</v>
      </c>
      <c r="B652" s="104" t="s">
        <v>146</v>
      </c>
      <c r="C652" s="104" t="s">
        <v>535</v>
      </c>
      <c r="D652" s="104" t="s">
        <v>2256</v>
      </c>
      <c r="E652" s="104" t="s">
        <v>1271</v>
      </c>
      <c r="F652" s="104" t="s">
        <v>2257</v>
      </c>
      <c r="G652" s="104" t="s">
        <v>1273</v>
      </c>
      <c r="H652" s="104">
        <v>0.0</v>
      </c>
    </row>
    <row r="653">
      <c r="A653" s="104" t="s">
        <v>2258</v>
      </c>
      <c r="B653" s="104" t="s">
        <v>286</v>
      </c>
      <c r="C653" s="104" t="s">
        <v>535</v>
      </c>
      <c r="D653" s="104" t="s">
        <v>2259</v>
      </c>
      <c r="E653" s="104" t="s">
        <v>1271</v>
      </c>
      <c r="F653" s="104" t="s">
        <v>2260</v>
      </c>
      <c r="G653" s="104" t="s">
        <v>1273</v>
      </c>
      <c r="H653" s="104">
        <v>0.0</v>
      </c>
    </row>
    <row r="654">
      <c r="A654" s="104" t="s">
        <v>2261</v>
      </c>
      <c r="B654" s="104" t="s">
        <v>239</v>
      </c>
      <c r="C654" s="104" t="s">
        <v>535</v>
      </c>
      <c r="D654" s="104" t="s">
        <v>2262</v>
      </c>
      <c r="E654" s="104" t="s">
        <v>1271</v>
      </c>
      <c r="F654" s="104" t="s">
        <v>2263</v>
      </c>
      <c r="G654" s="104" t="s">
        <v>1273</v>
      </c>
      <c r="H654" s="104">
        <v>0.0</v>
      </c>
    </row>
    <row r="655">
      <c r="A655" s="104" t="s">
        <v>2264</v>
      </c>
      <c r="B655" s="104" t="s">
        <v>203</v>
      </c>
      <c r="C655" s="104" t="s">
        <v>535</v>
      </c>
      <c r="D655" s="104" t="s">
        <v>2265</v>
      </c>
      <c r="E655" s="104" t="s">
        <v>1271</v>
      </c>
      <c r="F655" s="104" t="s">
        <v>2266</v>
      </c>
      <c r="G655" s="104" t="s">
        <v>1273</v>
      </c>
      <c r="H655" s="104">
        <v>0.0</v>
      </c>
    </row>
    <row r="656">
      <c r="A656" s="104" t="s">
        <v>2267</v>
      </c>
      <c r="B656" s="104" t="s">
        <v>304</v>
      </c>
      <c r="C656" s="104" t="s">
        <v>535</v>
      </c>
      <c r="D656" s="104" t="s">
        <v>2268</v>
      </c>
      <c r="E656" s="104" t="s">
        <v>1271</v>
      </c>
      <c r="F656" s="104" t="s">
        <v>2269</v>
      </c>
      <c r="G656" s="104" t="s">
        <v>1273</v>
      </c>
      <c r="H656" s="104">
        <v>0.0</v>
      </c>
    </row>
    <row r="657">
      <c r="A657" s="104" t="s">
        <v>2270</v>
      </c>
      <c r="B657" s="104" t="s">
        <v>278</v>
      </c>
      <c r="C657" s="104" t="s">
        <v>535</v>
      </c>
      <c r="D657" s="104" t="s">
        <v>2271</v>
      </c>
      <c r="E657" s="104" t="s">
        <v>1335</v>
      </c>
      <c r="F657" s="104" t="s">
        <v>2272</v>
      </c>
      <c r="G657" s="150">
        <f>+2</f>
        <v>2</v>
      </c>
      <c r="H657" s="104">
        <v>2.0</v>
      </c>
    </row>
    <row r="658">
      <c r="A658" s="104" t="s">
        <v>2273</v>
      </c>
      <c r="B658" s="104" t="s">
        <v>232</v>
      </c>
      <c r="C658" s="104" t="s">
        <v>535</v>
      </c>
      <c r="D658" s="104" t="s">
        <v>2274</v>
      </c>
      <c r="E658" s="104" t="s">
        <v>1271</v>
      </c>
      <c r="F658" s="104" t="s">
        <v>2275</v>
      </c>
      <c r="G658" s="104" t="s">
        <v>1273</v>
      </c>
      <c r="H658" s="104">
        <v>0.0</v>
      </c>
    </row>
    <row r="659">
      <c r="A659" s="104" t="s">
        <v>2276</v>
      </c>
      <c r="B659" s="104" t="s">
        <v>200</v>
      </c>
      <c r="C659" s="104" t="s">
        <v>535</v>
      </c>
      <c r="D659" s="104" t="s">
        <v>2277</v>
      </c>
      <c r="E659" s="104" t="s">
        <v>1290</v>
      </c>
      <c r="F659" s="104" t="s">
        <v>2278</v>
      </c>
      <c r="G659" s="150">
        <f>+3</f>
        <v>3</v>
      </c>
      <c r="H659" s="104">
        <v>3.0</v>
      </c>
    </row>
    <row r="660">
      <c r="A660" s="104" t="s">
        <v>2279</v>
      </c>
      <c r="B660" s="104" t="s">
        <v>250</v>
      </c>
      <c r="C660" s="104" t="s">
        <v>535</v>
      </c>
      <c r="D660" s="104" t="s">
        <v>2280</v>
      </c>
      <c r="E660" s="104" t="s">
        <v>1300</v>
      </c>
      <c r="F660" s="104" t="s">
        <v>2281</v>
      </c>
      <c r="G660" s="104">
        <v>-2.0</v>
      </c>
      <c r="H660" s="104">
        <v>-2.0</v>
      </c>
    </row>
    <row r="661">
      <c r="A661" s="104" t="s">
        <v>2282</v>
      </c>
      <c r="B661" s="104" t="s">
        <v>306</v>
      </c>
      <c r="C661" s="104" t="s">
        <v>535</v>
      </c>
      <c r="D661" s="104" t="s">
        <v>2283</v>
      </c>
      <c r="E661" s="104" t="s">
        <v>1271</v>
      </c>
      <c r="F661" s="104" t="s">
        <v>2284</v>
      </c>
      <c r="G661" s="104" t="s">
        <v>1273</v>
      </c>
      <c r="H661" s="104">
        <v>0.0</v>
      </c>
    </row>
    <row r="662">
      <c r="A662" s="104" t="s">
        <v>2285</v>
      </c>
      <c r="B662" s="104" t="s">
        <v>112</v>
      </c>
      <c r="C662" s="104" t="s">
        <v>535</v>
      </c>
      <c r="D662" s="104" t="s">
        <v>2286</v>
      </c>
      <c r="E662" s="104" t="s">
        <v>1271</v>
      </c>
      <c r="F662" s="104" t="s">
        <v>2287</v>
      </c>
      <c r="G662" s="104" t="s">
        <v>1273</v>
      </c>
      <c r="H662" s="104">
        <v>0.0</v>
      </c>
    </row>
    <row r="663">
      <c r="A663" s="104" t="s">
        <v>2288</v>
      </c>
      <c r="B663" s="104" t="s">
        <v>250</v>
      </c>
      <c r="C663" s="104" t="s">
        <v>535</v>
      </c>
      <c r="D663" s="104" t="s">
        <v>2289</v>
      </c>
      <c r="E663" s="104" t="s">
        <v>1335</v>
      </c>
      <c r="F663" s="104" t="s">
        <v>2290</v>
      </c>
      <c r="G663" s="150">
        <f>+2</f>
        <v>2</v>
      </c>
      <c r="H663" s="104">
        <v>2.0</v>
      </c>
    </row>
    <row r="664">
      <c r="A664" s="104" t="s">
        <v>2291</v>
      </c>
      <c r="B664" s="104" t="s">
        <v>306</v>
      </c>
      <c r="C664" s="104" t="s">
        <v>535</v>
      </c>
      <c r="D664" s="104" t="s">
        <v>2292</v>
      </c>
      <c r="E664" s="104" t="s">
        <v>1300</v>
      </c>
      <c r="F664" s="104" t="s">
        <v>2293</v>
      </c>
      <c r="G664" s="104">
        <v>-2.0</v>
      </c>
      <c r="H664" s="104">
        <v>-2.0</v>
      </c>
    </row>
    <row r="665">
      <c r="A665" s="104" t="s">
        <v>2294</v>
      </c>
      <c r="B665" s="104" t="s">
        <v>262</v>
      </c>
      <c r="C665" s="104" t="s">
        <v>535</v>
      </c>
      <c r="D665" s="104" t="s">
        <v>2295</v>
      </c>
      <c r="E665" s="104" t="s">
        <v>1271</v>
      </c>
      <c r="F665" s="104" t="s">
        <v>2296</v>
      </c>
      <c r="G665" s="104" t="s">
        <v>1273</v>
      </c>
      <c r="H665" s="104">
        <v>0.0</v>
      </c>
    </row>
    <row r="666">
      <c r="A666" s="104" t="s">
        <v>2297</v>
      </c>
      <c r="B666" s="104" t="s">
        <v>285</v>
      </c>
      <c r="C666" s="104" t="s">
        <v>535</v>
      </c>
      <c r="D666" s="104" t="s">
        <v>2298</v>
      </c>
      <c r="E666" s="104" t="s">
        <v>1335</v>
      </c>
      <c r="F666" s="104" t="s">
        <v>2299</v>
      </c>
      <c r="G666" s="150">
        <f>+2</f>
        <v>2</v>
      </c>
      <c r="H666" s="104">
        <v>2.0</v>
      </c>
    </row>
    <row r="667">
      <c r="A667" s="104" t="s">
        <v>2300</v>
      </c>
      <c r="B667" s="104" t="s">
        <v>113</v>
      </c>
      <c r="C667" s="104" t="s">
        <v>535</v>
      </c>
      <c r="D667" s="104" t="s">
        <v>2301</v>
      </c>
      <c r="E667" s="104" t="s">
        <v>699</v>
      </c>
      <c r="F667" s="104" t="s">
        <v>2302</v>
      </c>
      <c r="G667" s="104">
        <v>-3.0</v>
      </c>
      <c r="H667" s="104">
        <v>-3.0</v>
      </c>
    </row>
    <row r="668">
      <c r="A668" s="104" t="s">
        <v>2303</v>
      </c>
      <c r="B668" s="104" t="s">
        <v>305</v>
      </c>
      <c r="C668" s="104" t="s">
        <v>535</v>
      </c>
      <c r="D668" s="104" t="s">
        <v>2304</v>
      </c>
      <c r="E668" s="104" t="s">
        <v>1271</v>
      </c>
      <c r="F668" s="104" t="s">
        <v>2305</v>
      </c>
      <c r="G668" s="104" t="s">
        <v>1273</v>
      </c>
      <c r="H668" s="104">
        <v>0.0</v>
      </c>
    </row>
    <row r="669">
      <c r="A669" s="104" t="s">
        <v>2306</v>
      </c>
      <c r="B669" s="104" t="s">
        <v>231</v>
      </c>
      <c r="C669" s="104" t="s">
        <v>535</v>
      </c>
      <c r="D669" s="104" t="s">
        <v>2307</v>
      </c>
      <c r="E669" s="104" t="s">
        <v>1271</v>
      </c>
      <c r="F669" s="104" t="s">
        <v>2308</v>
      </c>
      <c r="G669" s="104" t="s">
        <v>1273</v>
      </c>
      <c r="H669" s="104">
        <v>0.0</v>
      </c>
    </row>
    <row r="670">
      <c r="A670" s="104" t="s">
        <v>2309</v>
      </c>
      <c r="B670" s="104" t="s">
        <v>307</v>
      </c>
      <c r="C670" s="104" t="s">
        <v>535</v>
      </c>
      <c r="D670" s="104" t="s">
        <v>2310</v>
      </c>
      <c r="E670" s="104" t="s">
        <v>1271</v>
      </c>
      <c r="F670" s="104" t="s">
        <v>2311</v>
      </c>
      <c r="G670" s="104" t="s">
        <v>1273</v>
      </c>
      <c r="H670" s="104">
        <v>0.0</v>
      </c>
    </row>
    <row r="671">
      <c r="A671" s="104" t="s">
        <v>2312</v>
      </c>
      <c r="B671" s="104" t="s">
        <v>138</v>
      </c>
      <c r="C671" s="104" t="s">
        <v>535</v>
      </c>
      <c r="D671" s="104" t="s">
        <v>2313</v>
      </c>
      <c r="E671" s="104" t="s">
        <v>1300</v>
      </c>
      <c r="F671" s="104" t="s">
        <v>2314</v>
      </c>
      <c r="G671" s="104">
        <v>-2.0</v>
      </c>
      <c r="H671" s="104">
        <v>-2.0</v>
      </c>
    </row>
    <row r="672">
      <c r="A672" s="104" t="s">
        <v>2315</v>
      </c>
      <c r="B672" s="104" t="s">
        <v>231</v>
      </c>
      <c r="C672" s="104" t="s">
        <v>535</v>
      </c>
      <c r="D672" s="104" t="s">
        <v>2316</v>
      </c>
      <c r="E672" s="104" t="s">
        <v>1328</v>
      </c>
      <c r="F672" s="104" t="s">
        <v>2317</v>
      </c>
      <c r="G672" s="104">
        <v>-3.0</v>
      </c>
      <c r="H672" s="104">
        <v>-3.0</v>
      </c>
    </row>
    <row r="673">
      <c r="A673" s="104" t="s">
        <v>2318</v>
      </c>
      <c r="B673" s="104" t="s">
        <v>293</v>
      </c>
      <c r="C673" s="104" t="s">
        <v>535</v>
      </c>
      <c r="D673" s="104" t="s">
        <v>2319</v>
      </c>
      <c r="E673" s="104" t="s">
        <v>1328</v>
      </c>
      <c r="F673" s="104" t="s">
        <v>2320</v>
      </c>
      <c r="G673" s="104">
        <v>-3.0</v>
      </c>
      <c r="H673" s="104">
        <v>-3.0</v>
      </c>
    </row>
    <row r="674">
      <c r="A674" s="104" t="s">
        <v>2321</v>
      </c>
      <c r="B674" s="104" t="s">
        <v>302</v>
      </c>
      <c r="C674" s="104" t="s">
        <v>535</v>
      </c>
      <c r="D674" s="104" t="s">
        <v>2322</v>
      </c>
      <c r="E674" s="104" t="s">
        <v>1271</v>
      </c>
      <c r="F674" s="104" t="s">
        <v>2323</v>
      </c>
      <c r="G674" s="104" t="s">
        <v>1273</v>
      </c>
      <c r="H674" s="104">
        <v>0.0</v>
      </c>
    </row>
    <row r="675">
      <c r="A675" s="104" t="s">
        <v>2324</v>
      </c>
      <c r="B675" s="104" t="s">
        <v>290</v>
      </c>
      <c r="C675" s="104" t="s">
        <v>535</v>
      </c>
      <c r="D675" s="104" t="s">
        <v>2325</v>
      </c>
      <c r="E675" s="104" t="s">
        <v>1283</v>
      </c>
      <c r="F675" s="104" t="s">
        <v>2326</v>
      </c>
      <c r="G675" s="104">
        <v>-1.0</v>
      </c>
      <c r="H675" s="104">
        <v>-1.0</v>
      </c>
    </row>
    <row r="676">
      <c r="A676" s="104" t="s">
        <v>2327</v>
      </c>
      <c r="B676" s="104" t="s">
        <v>313</v>
      </c>
      <c r="C676" s="104" t="s">
        <v>535</v>
      </c>
      <c r="D676" s="104" t="s">
        <v>2328</v>
      </c>
      <c r="E676" s="104" t="s">
        <v>611</v>
      </c>
      <c r="F676" s="104" t="s">
        <v>2329</v>
      </c>
      <c r="G676" s="150">
        <f>+2</f>
        <v>2</v>
      </c>
      <c r="H676" s="104">
        <v>2.0</v>
      </c>
    </row>
    <row r="677">
      <c r="A677" s="104" t="s">
        <v>2330</v>
      </c>
      <c r="B677" s="104" t="s">
        <v>311</v>
      </c>
      <c r="C677" s="104" t="s">
        <v>535</v>
      </c>
      <c r="D677" s="104" t="s">
        <v>2331</v>
      </c>
      <c r="E677" s="104" t="s">
        <v>1328</v>
      </c>
      <c r="F677" s="104" t="s">
        <v>2332</v>
      </c>
      <c r="G677" s="104">
        <v>-3.0</v>
      </c>
      <c r="H677" s="104">
        <v>-3.0</v>
      </c>
    </row>
    <row r="678">
      <c r="A678" s="104" t="s">
        <v>2333</v>
      </c>
      <c r="B678" s="104" t="s">
        <v>96</v>
      </c>
      <c r="C678" s="104" t="s">
        <v>535</v>
      </c>
      <c r="D678" s="104" t="s">
        <v>2334</v>
      </c>
      <c r="E678" s="104" t="s">
        <v>1328</v>
      </c>
      <c r="F678" s="104" t="s">
        <v>2335</v>
      </c>
      <c r="G678" s="104">
        <v>-3.0</v>
      </c>
      <c r="H678" s="104">
        <v>-3.0</v>
      </c>
    </row>
    <row r="679">
      <c r="A679" s="104" t="s">
        <v>2336</v>
      </c>
      <c r="B679" s="104" t="s">
        <v>188</v>
      </c>
      <c r="C679" s="104" t="s">
        <v>535</v>
      </c>
      <c r="D679" s="104" t="s">
        <v>2337</v>
      </c>
      <c r="E679" s="104" t="s">
        <v>1300</v>
      </c>
      <c r="F679" s="104" t="s">
        <v>2338</v>
      </c>
      <c r="G679" s="104">
        <v>-2.0</v>
      </c>
      <c r="H679" s="104">
        <v>-2.0</v>
      </c>
    </row>
    <row r="680">
      <c r="A680" s="104" t="s">
        <v>2339</v>
      </c>
      <c r="B680" s="104" t="s">
        <v>96</v>
      </c>
      <c r="C680" s="104" t="s">
        <v>535</v>
      </c>
      <c r="D680" s="104" t="s">
        <v>2340</v>
      </c>
      <c r="E680" s="104" t="s">
        <v>1271</v>
      </c>
      <c r="F680" s="104" t="s">
        <v>2341</v>
      </c>
      <c r="G680" s="104" t="s">
        <v>1273</v>
      </c>
      <c r="H680" s="104">
        <v>0.0</v>
      </c>
    </row>
    <row r="681">
      <c r="A681" s="104" t="s">
        <v>2342</v>
      </c>
      <c r="B681" s="104" t="s">
        <v>96</v>
      </c>
      <c r="C681" s="104" t="s">
        <v>535</v>
      </c>
      <c r="D681" s="104" t="s">
        <v>2343</v>
      </c>
      <c r="E681" s="104" t="s">
        <v>1328</v>
      </c>
      <c r="F681" s="104" t="s">
        <v>2344</v>
      </c>
      <c r="G681" s="104">
        <v>-3.0</v>
      </c>
      <c r="H681" s="104">
        <v>-3.0</v>
      </c>
    </row>
    <row r="682">
      <c r="A682" s="104" t="s">
        <v>2345</v>
      </c>
      <c r="B682" s="104" t="s">
        <v>313</v>
      </c>
      <c r="C682" s="104" t="s">
        <v>535</v>
      </c>
      <c r="D682" s="104" t="s">
        <v>2346</v>
      </c>
      <c r="E682" s="104" t="s">
        <v>1271</v>
      </c>
      <c r="F682" s="104" t="s">
        <v>2347</v>
      </c>
      <c r="G682" s="104" t="s">
        <v>1273</v>
      </c>
      <c r="H682" s="104">
        <v>0.0</v>
      </c>
    </row>
    <row r="683">
      <c r="A683" s="104" t="s">
        <v>2348</v>
      </c>
      <c r="B683" s="104" t="s">
        <v>96</v>
      </c>
      <c r="C683" s="104" t="s">
        <v>535</v>
      </c>
      <c r="D683" s="104" t="s">
        <v>2349</v>
      </c>
      <c r="E683" s="104" t="s">
        <v>1271</v>
      </c>
      <c r="F683" s="104" t="s">
        <v>2350</v>
      </c>
      <c r="G683" s="104" t="s">
        <v>1273</v>
      </c>
      <c r="H683" s="104">
        <v>0.0</v>
      </c>
    </row>
    <row r="684">
      <c r="A684" s="104" t="s">
        <v>2351</v>
      </c>
      <c r="B684" s="104" t="s">
        <v>303</v>
      </c>
      <c r="C684" s="104" t="s">
        <v>535</v>
      </c>
      <c r="D684" s="104" t="s">
        <v>2352</v>
      </c>
      <c r="E684" s="104" t="s">
        <v>1271</v>
      </c>
      <c r="F684" s="104" t="s">
        <v>2353</v>
      </c>
      <c r="G684" s="104" t="s">
        <v>1273</v>
      </c>
      <c r="H684" s="104">
        <v>0.0</v>
      </c>
    </row>
    <row r="685">
      <c r="A685" s="104" t="s">
        <v>2354</v>
      </c>
      <c r="B685" s="104" t="s">
        <v>314</v>
      </c>
      <c r="C685" s="104" t="s">
        <v>535</v>
      </c>
      <c r="D685" s="104" t="s">
        <v>2355</v>
      </c>
      <c r="E685" s="104" t="s">
        <v>594</v>
      </c>
      <c r="F685" s="104" t="s">
        <v>2356</v>
      </c>
      <c r="G685" s="104">
        <v>-2.0</v>
      </c>
      <c r="H685" s="104">
        <v>-2.0</v>
      </c>
    </row>
    <row r="686">
      <c r="A686" s="104" t="s">
        <v>2357</v>
      </c>
      <c r="B686" s="104" t="s">
        <v>311</v>
      </c>
      <c r="C686" s="104" t="s">
        <v>535</v>
      </c>
      <c r="D686" s="104" t="s">
        <v>2358</v>
      </c>
      <c r="E686" s="104" t="s">
        <v>1271</v>
      </c>
      <c r="F686" s="104" t="s">
        <v>2359</v>
      </c>
      <c r="G686" s="104" t="s">
        <v>1273</v>
      </c>
      <c r="H686" s="104">
        <v>0.0</v>
      </c>
    </row>
    <row r="687">
      <c r="A687" s="104" t="s">
        <v>2360</v>
      </c>
      <c r="B687" s="104" t="s">
        <v>281</v>
      </c>
      <c r="C687" s="104" t="s">
        <v>535</v>
      </c>
      <c r="D687" s="104" t="s">
        <v>2361</v>
      </c>
      <c r="E687" s="104" t="s">
        <v>1276</v>
      </c>
      <c r="F687" s="104" t="s">
        <v>2362</v>
      </c>
      <c r="G687" s="150">
        <f>+1</f>
        <v>1</v>
      </c>
      <c r="H687" s="104">
        <v>1.0</v>
      </c>
    </row>
    <row r="688">
      <c r="A688" s="104" t="s">
        <v>2363</v>
      </c>
      <c r="B688" s="104" t="s">
        <v>116</v>
      </c>
      <c r="C688" s="104" t="s">
        <v>535</v>
      </c>
      <c r="D688" s="104" t="s">
        <v>2364</v>
      </c>
      <c r="E688" s="104" t="s">
        <v>1271</v>
      </c>
      <c r="F688" s="104" t="s">
        <v>2365</v>
      </c>
      <c r="G688" s="104" t="s">
        <v>1273</v>
      </c>
      <c r="H688" s="104">
        <v>0.0</v>
      </c>
    </row>
    <row r="689">
      <c r="A689" s="104" t="s">
        <v>2366</v>
      </c>
      <c r="B689" s="104" t="s">
        <v>265</v>
      </c>
      <c r="C689" s="104" t="s">
        <v>535</v>
      </c>
      <c r="D689" s="104" t="s">
        <v>2367</v>
      </c>
      <c r="E689" s="104" t="s">
        <v>1328</v>
      </c>
      <c r="F689" s="104" t="s">
        <v>2368</v>
      </c>
      <c r="G689" s="104">
        <v>-3.0</v>
      </c>
      <c r="H689" s="104">
        <v>-3.0</v>
      </c>
    </row>
    <row r="690">
      <c r="A690" s="104" t="s">
        <v>2369</v>
      </c>
      <c r="B690" s="104" t="s">
        <v>260</v>
      </c>
      <c r="C690" s="104" t="s">
        <v>535</v>
      </c>
      <c r="D690" s="104" t="s">
        <v>2370</v>
      </c>
      <c r="E690" s="104" t="s">
        <v>1271</v>
      </c>
      <c r="F690" s="104" t="s">
        <v>2371</v>
      </c>
      <c r="G690" s="104" t="s">
        <v>1273</v>
      </c>
      <c r="H690" s="104">
        <v>0.0</v>
      </c>
    </row>
    <row r="691">
      <c r="A691" s="104" t="s">
        <v>2372</v>
      </c>
      <c r="B691" s="104" t="s">
        <v>315</v>
      </c>
      <c r="C691" s="104" t="s">
        <v>535</v>
      </c>
      <c r="D691" s="104" t="s">
        <v>2373</v>
      </c>
      <c r="E691" s="104" t="s">
        <v>1271</v>
      </c>
      <c r="F691" s="104" t="s">
        <v>2374</v>
      </c>
      <c r="G691" s="104" t="s">
        <v>1273</v>
      </c>
      <c r="H691" s="104">
        <v>0.0</v>
      </c>
    </row>
    <row r="692">
      <c r="A692" s="104" t="s">
        <v>2375</v>
      </c>
      <c r="B692" s="104" t="s">
        <v>315</v>
      </c>
      <c r="C692" s="104" t="s">
        <v>535</v>
      </c>
      <c r="D692" s="104" t="s">
        <v>2376</v>
      </c>
      <c r="E692" s="104" t="s">
        <v>1328</v>
      </c>
      <c r="F692" s="104" t="s">
        <v>2377</v>
      </c>
      <c r="G692" s="104">
        <v>-3.0</v>
      </c>
      <c r="H692" s="104">
        <v>-3.0</v>
      </c>
    </row>
    <row r="693">
      <c r="A693" s="104" t="s">
        <v>2378</v>
      </c>
      <c r="B693" s="104" t="s">
        <v>274</v>
      </c>
      <c r="C693" s="104" t="s">
        <v>535</v>
      </c>
      <c r="D693" s="104" t="s">
        <v>2379</v>
      </c>
      <c r="E693" s="104" t="s">
        <v>1271</v>
      </c>
      <c r="F693" s="104" t="s">
        <v>2380</v>
      </c>
      <c r="G693" s="104" t="s">
        <v>1273</v>
      </c>
      <c r="H693" s="104">
        <v>0.0</v>
      </c>
    </row>
    <row r="694">
      <c r="A694" s="104" t="s">
        <v>2381</v>
      </c>
      <c r="B694" s="104" t="s">
        <v>101</v>
      </c>
      <c r="C694" s="104" t="s">
        <v>535</v>
      </c>
      <c r="D694" s="104" t="s">
        <v>2382</v>
      </c>
      <c r="E694" s="104" t="s">
        <v>1290</v>
      </c>
      <c r="F694" s="104" t="s">
        <v>2383</v>
      </c>
      <c r="G694" s="150">
        <f t="shared" ref="G694:G695" si="23">+3</f>
        <v>3</v>
      </c>
      <c r="H694" s="104">
        <v>3.0</v>
      </c>
    </row>
    <row r="695">
      <c r="A695" s="104" t="s">
        <v>2384</v>
      </c>
      <c r="B695" s="104" t="s">
        <v>287</v>
      </c>
      <c r="C695" s="104" t="s">
        <v>535</v>
      </c>
      <c r="D695" s="104" t="s">
        <v>2385</v>
      </c>
      <c r="E695" s="104" t="s">
        <v>1290</v>
      </c>
      <c r="F695" s="104" t="s">
        <v>2386</v>
      </c>
      <c r="G695" s="150">
        <f t="shared" si="23"/>
        <v>3</v>
      </c>
      <c r="H695" s="104">
        <v>3.0</v>
      </c>
    </row>
    <row r="696">
      <c r="A696" s="104" t="s">
        <v>2387</v>
      </c>
      <c r="B696" s="104" t="s">
        <v>214</v>
      </c>
      <c r="C696" s="104" t="s">
        <v>535</v>
      </c>
      <c r="D696" s="104" t="s">
        <v>2388</v>
      </c>
      <c r="E696" s="104" t="s">
        <v>1300</v>
      </c>
      <c r="F696" s="104" t="s">
        <v>2389</v>
      </c>
      <c r="G696" s="104">
        <v>-2.0</v>
      </c>
      <c r="H696" s="104">
        <v>-2.0</v>
      </c>
    </row>
    <row r="697">
      <c r="A697" s="104" t="s">
        <v>2390</v>
      </c>
      <c r="B697" s="104" t="s">
        <v>298</v>
      </c>
      <c r="C697" s="104" t="s">
        <v>535</v>
      </c>
      <c r="D697" s="104" t="s">
        <v>2391</v>
      </c>
      <c r="E697" s="104" t="s">
        <v>1328</v>
      </c>
      <c r="F697" s="104" t="s">
        <v>2392</v>
      </c>
      <c r="G697" s="104">
        <v>-3.0</v>
      </c>
      <c r="H697" s="104">
        <v>-3.0</v>
      </c>
    </row>
    <row r="698">
      <c r="A698" s="104" t="s">
        <v>2393</v>
      </c>
      <c r="B698" s="104" t="s">
        <v>110</v>
      </c>
      <c r="C698" s="104" t="s">
        <v>535</v>
      </c>
      <c r="D698" s="104" t="s">
        <v>2394</v>
      </c>
      <c r="E698" s="104" t="s">
        <v>1300</v>
      </c>
      <c r="F698" s="104" t="s">
        <v>2395</v>
      </c>
      <c r="G698" s="104">
        <v>-2.0</v>
      </c>
      <c r="H698" s="104">
        <v>-2.0</v>
      </c>
    </row>
    <row r="699">
      <c r="A699" s="104" t="s">
        <v>2396</v>
      </c>
      <c r="B699" s="104" t="s">
        <v>122</v>
      </c>
      <c r="C699" s="104" t="s">
        <v>535</v>
      </c>
      <c r="D699" s="104" t="s">
        <v>2397</v>
      </c>
      <c r="E699" s="104" t="s">
        <v>1335</v>
      </c>
      <c r="F699" s="104" t="s">
        <v>2398</v>
      </c>
      <c r="G699" s="150">
        <f t="shared" ref="G699:G700" si="24">+2</f>
        <v>2</v>
      </c>
      <c r="H699" s="104">
        <v>2.0</v>
      </c>
    </row>
    <row r="700">
      <c r="A700" s="104" t="s">
        <v>2399</v>
      </c>
      <c r="B700" s="104" t="s">
        <v>283</v>
      </c>
      <c r="C700" s="104" t="s">
        <v>535</v>
      </c>
      <c r="D700" s="104" t="s">
        <v>2400</v>
      </c>
      <c r="E700" s="104" t="s">
        <v>1335</v>
      </c>
      <c r="F700" s="104" t="s">
        <v>2401</v>
      </c>
      <c r="G700" s="150">
        <f t="shared" si="24"/>
        <v>2</v>
      </c>
      <c r="H700" s="104">
        <v>2.0</v>
      </c>
    </row>
    <row r="701">
      <c r="A701" s="104" t="s">
        <v>2402</v>
      </c>
      <c r="B701" s="104" t="s">
        <v>104</v>
      </c>
      <c r="C701" s="104" t="s">
        <v>535</v>
      </c>
      <c r="D701" s="104" t="s">
        <v>2403</v>
      </c>
      <c r="E701" s="104" t="s">
        <v>1271</v>
      </c>
      <c r="F701" s="104" t="s">
        <v>2404</v>
      </c>
      <c r="G701" s="104" t="s">
        <v>1273</v>
      </c>
      <c r="H701" s="104">
        <v>0.0</v>
      </c>
    </row>
    <row r="702">
      <c r="A702" s="104" t="s">
        <v>2405</v>
      </c>
      <c r="B702" s="104" t="s">
        <v>306</v>
      </c>
      <c r="C702" s="104" t="s">
        <v>535</v>
      </c>
      <c r="D702" s="104" t="s">
        <v>2406</v>
      </c>
      <c r="E702" s="104" t="s">
        <v>1271</v>
      </c>
      <c r="F702" s="104" t="s">
        <v>2407</v>
      </c>
      <c r="G702" s="104" t="s">
        <v>1273</v>
      </c>
      <c r="H702" s="104">
        <v>0.0</v>
      </c>
    </row>
    <row r="703">
      <c r="A703" s="104" t="s">
        <v>2408</v>
      </c>
      <c r="B703" s="104" t="s">
        <v>306</v>
      </c>
      <c r="C703" s="104" t="s">
        <v>535</v>
      </c>
      <c r="D703" s="104" t="s">
        <v>2409</v>
      </c>
      <c r="E703" s="104" t="s">
        <v>1335</v>
      </c>
      <c r="F703" s="104" t="s">
        <v>2410</v>
      </c>
      <c r="G703" s="150">
        <f>+2</f>
        <v>2</v>
      </c>
      <c r="H703" s="104">
        <v>2.0</v>
      </c>
    </row>
    <row r="704">
      <c r="A704" s="104" t="s">
        <v>2411</v>
      </c>
      <c r="B704" s="104" t="s">
        <v>260</v>
      </c>
      <c r="C704" s="104" t="s">
        <v>535</v>
      </c>
      <c r="D704" s="104" t="s">
        <v>2412</v>
      </c>
      <c r="E704" s="104" t="s">
        <v>1276</v>
      </c>
      <c r="F704" s="104" t="s">
        <v>2413</v>
      </c>
      <c r="G704" s="150">
        <f>+1</f>
        <v>1</v>
      </c>
      <c r="H704" s="104">
        <v>1.0</v>
      </c>
    </row>
    <row r="705">
      <c r="A705" s="104" t="s">
        <v>2414</v>
      </c>
      <c r="B705" s="104" t="s">
        <v>306</v>
      </c>
      <c r="C705" s="104" t="s">
        <v>535</v>
      </c>
      <c r="D705" s="104" t="s">
        <v>2415</v>
      </c>
      <c r="E705" s="104" t="s">
        <v>1300</v>
      </c>
      <c r="F705" s="104" t="s">
        <v>2416</v>
      </c>
      <c r="G705" s="104">
        <v>-2.0</v>
      </c>
      <c r="H705" s="104">
        <v>-2.0</v>
      </c>
    </row>
    <row r="706">
      <c r="A706" s="104" t="s">
        <v>2417</v>
      </c>
      <c r="B706" s="104" t="s">
        <v>113</v>
      </c>
      <c r="C706" s="104" t="s">
        <v>535</v>
      </c>
      <c r="D706" s="104" t="s">
        <v>2418</v>
      </c>
      <c r="E706" s="104" t="s">
        <v>1271</v>
      </c>
      <c r="F706" s="104" t="s">
        <v>2419</v>
      </c>
      <c r="G706" s="104" t="s">
        <v>1273</v>
      </c>
      <c r="H706" s="104">
        <v>0.0</v>
      </c>
    </row>
    <row r="707">
      <c r="A707" s="104" t="s">
        <v>2420</v>
      </c>
      <c r="B707" s="104" t="s">
        <v>89</v>
      </c>
      <c r="C707" s="104" t="s">
        <v>535</v>
      </c>
      <c r="D707" s="104" t="s">
        <v>2421</v>
      </c>
      <c r="E707" s="104" t="s">
        <v>1271</v>
      </c>
      <c r="F707" s="104" t="s">
        <v>2422</v>
      </c>
      <c r="G707" s="104" t="s">
        <v>1273</v>
      </c>
      <c r="H707" s="104">
        <v>0.0</v>
      </c>
    </row>
    <row r="708">
      <c r="A708" s="104" t="s">
        <v>2423</v>
      </c>
      <c r="B708" s="104" t="s">
        <v>319</v>
      </c>
      <c r="C708" s="104" t="s">
        <v>535</v>
      </c>
      <c r="D708" s="104" t="s">
        <v>2424</v>
      </c>
      <c r="E708" s="104" t="s">
        <v>1290</v>
      </c>
      <c r="F708" s="104" t="s">
        <v>2425</v>
      </c>
      <c r="G708" s="150">
        <f>+3</f>
        <v>3</v>
      </c>
      <c r="H708" s="104">
        <v>3.0</v>
      </c>
    </row>
    <row r="709">
      <c r="A709" s="104" t="s">
        <v>2426</v>
      </c>
      <c r="B709" s="104" t="s">
        <v>251</v>
      </c>
      <c r="C709" s="104" t="s">
        <v>535</v>
      </c>
      <c r="D709" s="104" t="s">
        <v>2427</v>
      </c>
      <c r="E709" s="104" t="s">
        <v>1271</v>
      </c>
      <c r="F709" s="104" t="s">
        <v>2428</v>
      </c>
      <c r="G709" s="104" t="s">
        <v>1273</v>
      </c>
      <c r="H709" s="104">
        <v>0.0</v>
      </c>
    </row>
    <row r="710">
      <c r="A710" s="104" t="s">
        <v>2429</v>
      </c>
      <c r="B710" s="104" t="s">
        <v>267</v>
      </c>
      <c r="C710" s="104" t="s">
        <v>535</v>
      </c>
      <c r="D710" s="104" t="s">
        <v>2430</v>
      </c>
      <c r="E710" s="104" t="s">
        <v>1271</v>
      </c>
      <c r="F710" s="104" t="s">
        <v>2431</v>
      </c>
      <c r="G710" s="104" t="s">
        <v>1273</v>
      </c>
      <c r="H710" s="104">
        <v>0.0</v>
      </c>
    </row>
    <row r="711">
      <c r="A711" s="104" t="s">
        <v>2432</v>
      </c>
      <c r="B711" s="104" t="s">
        <v>114</v>
      </c>
      <c r="C711" s="104" t="s">
        <v>535</v>
      </c>
      <c r="D711" s="104" t="s">
        <v>2433</v>
      </c>
      <c r="E711" s="104" t="s">
        <v>1271</v>
      </c>
      <c r="F711" s="104" t="s">
        <v>2434</v>
      </c>
      <c r="G711" s="104" t="s">
        <v>1273</v>
      </c>
      <c r="H711" s="104">
        <v>0.0</v>
      </c>
    </row>
    <row r="712">
      <c r="A712" s="104" t="s">
        <v>2435</v>
      </c>
      <c r="B712" s="104" t="s">
        <v>114</v>
      </c>
      <c r="C712" s="104" t="s">
        <v>535</v>
      </c>
      <c r="D712" s="104" t="s">
        <v>2436</v>
      </c>
      <c r="E712" s="104" t="s">
        <v>1335</v>
      </c>
      <c r="F712" s="104" t="s">
        <v>2437</v>
      </c>
      <c r="G712" s="150">
        <f>+2</f>
        <v>2</v>
      </c>
      <c r="H712" s="104">
        <v>2.0</v>
      </c>
    </row>
    <row r="713">
      <c r="A713" s="104" t="s">
        <v>2438</v>
      </c>
      <c r="B713" s="104" t="s">
        <v>291</v>
      </c>
      <c r="C713" s="104" t="s">
        <v>535</v>
      </c>
      <c r="D713" s="104" t="s">
        <v>2439</v>
      </c>
      <c r="E713" s="104" t="s">
        <v>1271</v>
      </c>
      <c r="F713" s="104" t="s">
        <v>2440</v>
      </c>
      <c r="G713" s="104" t="s">
        <v>1273</v>
      </c>
      <c r="H713" s="104">
        <v>0.0</v>
      </c>
    </row>
    <row r="714">
      <c r="A714" s="104" t="s">
        <v>2441</v>
      </c>
      <c r="B714" s="104" t="s">
        <v>243</v>
      </c>
      <c r="C714" s="104" t="s">
        <v>535</v>
      </c>
      <c r="D714" s="104" t="s">
        <v>2442</v>
      </c>
      <c r="E714" s="104" t="s">
        <v>1328</v>
      </c>
      <c r="F714" s="104" t="s">
        <v>2443</v>
      </c>
      <c r="G714" s="104">
        <v>-3.0</v>
      </c>
      <c r="H714" s="104">
        <v>-3.0</v>
      </c>
    </row>
    <row r="715">
      <c r="A715" s="104" t="s">
        <v>2444</v>
      </c>
      <c r="B715" s="104" t="s">
        <v>314</v>
      </c>
      <c r="C715" s="104" t="s">
        <v>535</v>
      </c>
      <c r="D715" s="104" t="s">
        <v>2445</v>
      </c>
      <c r="E715" s="104" t="s">
        <v>1271</v>
      </c>
      <c r="F715" s="104" t="s">
        <v>2446</v>
      </c>
      <c r="G715" s="104" t="s">
        <v>1273</v>
      </c>
      <c r="H715" s="104">
        <v>0.0</v>
      </c>
    </row>
    <row r="716">
      <c r="A716" s="104" t="s">
        <v>2447</v>
      </c>
      <c r="B716" s="104" t="s">
        <v>101</v>
      </c>
      <c r="C716" s="104" t="s">
        <v>535</v>
      </c>
      <c r="D716" s="104" t="s">
        <v>2448</v>
      </c>
      <c r="E716" s="104" t="s">
        <v>1290</v>
      </c>
      <c r="F716" s="104" t="s">
        <v>2449</v>
      </c>
      <c r="G716" s="150">
        <f>+3</f>
        <v>3</v>
      </c>
      <c r="H716" s="104">
        <v>3.0</v>
      </c>
    </row>
    <row r="717">
      <c r="A717" s="104" t="s">
        <v>2450</v>
      </c>
      <c r="B717" s="104" t="s">
        <v>108</v>
      </c>
      <c r="C717" s="104" t="s">
        <v>535</v>
      </c>
      <c r="D717" s="104" t="s">
        <v>2451</v>
      </c>
      <c r="E717" s="104" t="s">
        <v>1271</v>
      </c>
      <c r="F717" s="104" t="s">
        <v>2452</v>
      </c>
      <c r="G717" s="104" t="s">
        <v>1273</v>
      </c>
      <c r="H717" s="104">
        <v>0.0</v>
      </c>
    </row>
    <row r="718">
      <c r="A718" s="104" t="s">
        <v>2453</v>
      </c>
      <c r="B718" s="104" t="s">
        <v>221</v>
      </c>
      <c r="C718" s="104" t="s">
        <v>535</v>
      </c>
      <c r="D718" s="104" t="s">
        <v>2454</v>
      </c>
      <c r="E718" s="104" t="s">
        <v>1328</v>
      </c>
      <c r="F718" s="104" t="s">
        <v>2455</v>
      </c>
      <c r="G718" s="104">
        <v>-3.0</v>
      </c>
      <c r="H718" s="104">
        <v>-3.0</v>
      </c>
    </row>
    <row r="719">
      <c r="A719" s="104" t="s">
        <v>2456</v>
      </c>
      <c r="B719" s="104" t="s">
        <v>221</v>
      </c>
      <c r="C719" s="104" t="s">
        <v>535</v>
      </c>
      <c r="D719" s="104" t="s">
        <v>2457</v>
      </c>
      <c r="E719" s="104" t="s">
        <v>1271</v>
      </c>
      <c r="F719" s="104" t="s">
        <v>2458</v>
      </c>
      <c r="G719" s="104" t="s">
        <v>1273</v>
      </c>
      <c r="H719" s="104">
        <v>0.0</v>
      </c>
    </row>
    <row r="720">
      <c r="A720" s="104" t="s">
        <v>2459</v>
      </c>
      <c r="B720" s="104" t="s">
        <v>114</v>
      </c>
      <c r="C720" s="104" t="s">
        <v>535</v>
      </c>
      <c r="D720" s="104" t="s">
        <v>2460</v>
      </c>
      <c r="E720" s="104" t="s">
        <v>1271</v>
      </c>
      <c r="F720" s="104" t="s">
        <v>2461</v>
      </c>
      <c r="G720" s="104" t="s">
        <v>1273</v>
      </c>
      <c r="H720" s="104">
        <v>0.0</v>
      </c>
    </row>
    <row r="721">
      <c r="A721" s="104" t="s">
        <v>2462</v>
      </c>
      <c r="B721" s="104" t="s">
        <v>321</v>
      </c>
      <c r="C721" s="104" t="s">
        <v>535</v>
      </c>
      <c r="D721" s="104" t="s">
        <v>2463</v>
      </c>
      <c r="E721" s="104" t="s">
        <v>1328</v>
      </c>
      <c r="F721" s="104" t="s">
        <v>2464</v>
      </c>
      <c r="G721" s="104">
        <v>-3.0</v>
      </c>
      <c r="H721" s="104">
        <v>-3.0</v>
      </c>
    </row>
    <row r="722">
      <c r="A722" s="104" t="s">
        <v>2465</v>
      </c>
      <c r="B722" s="104" t="s">
        <v>320</v>
      </c>
      <c r="C722" s="104" t="s">
        <v>535</v>
      </c>
      <c r="D722" s="104" t="s">
        <v>2466</v>
      </c>
      <c r="E722" s="104" t="s">
        <v>1271</v>
      </c>
      <c r="F722" s="104" t="s">
        <v>2467</v>
      </c>
      <c r="G722" s="104" t="s">
        <v>1273</v>
      </c>
      <c r="H722" s="104">
        <v>0.0</v>
      </c>
    </row>
    <row r="723">
      <c r="A723" s="104" t="s">
        <v>2468</v>
      </c>
      <c r="B723" s="104" t="s">
        <v>94</v>
      </c>
      <c r="C723" s="104" t="s">
        <v>535</v>
      </c>
      <c r="D723" s="104" t="s">
        <v>2469</v>
      </c>
      <c r="E723" s="104" t="s">
        <v>1271</v>
      </c>
      <c r="F723" s="104" t="s">
        <v>2470</v>
      </c>
      <c r="G723" s="104" t="s">
        <v>1273</v>
      </c>
      <c r="H723" s="104">
        <v>0.0</v>
      </c>
    </row>
    <row r="724">
      <c r="A724" s="104" t="s">
        <v>2471</v>
      </c>
      <c r="B724" s="104" t="s">
        <v>260</v>
      </c>
      <c r="C724" s="104" t="s">
        <v>535</v>
      </c>
      <c r="D724" s="104" t="s">
        <v>2472</v>
      </c>
      <c r="E724" s="104" t="s">
        <v>1271</v>
      </c>
      <c r="F724" s="104" t="s">
        <v>2473</v>
      </c>
      <c r="G724" s="104" t="s">
        <v>1273</v>
      </c>
      <c r="H724" s="104">
        <v>0.0</v>
      </c>
    </row>
    <row r="725">
      <c r="A725" s="104" t="s">
        <v>2474</v>
      </c>
      <c r="B725" s="104" t="s">
        <v>101</v>
      </c>
      <c r="C725" s="104" t="s">
        <v>535</v>
      </c>
      <c r="D725" s="104" t="s">
        <v>2475</v>
      </c>
      <c r="E725" s="104" t="s">
        <v>1290</v>
      </c>
      <c r="F725" s="104" t="s">
        <v>2476</v>
      </c>
      <c r="G725" s="150">
        <f>+3</f>
        <v>3</v>
      </c>
      <c r="H725" s="104">
        <v>3.0</v>
      </c>
    </row>
    <row r="726">
      <c r="A726" s="104" t="s">
        <v>2477</v>
      </c>
      <c r="B726" s="104" t="s">
        <v>286</v>
      </c>
      <c r="C726" s="104" t="s">
        <v>535</v>
      </c>
      <c r="D726" s="104" t="s">
        <v>2478</v>
      </c>
      <c r="E726" s="104" t="s">
        <v>1300</v>
      </c>
      <c r="F726" s="104" t="s">
        <v>2479</v>
      </c>
      <c r="G726" s="104">
        <v>-2.0</v>
      </c>
      <c r="H726" s="104">
        <v>-2.0</v>
      </c>
    </row>
    <row r="727">
      <c r="A727" s="104" t="s">
        <v>2480</v>
      </c>
      <c r="B727" s="104" t="s">
        <v>113</v>
      </c>
      <c r="C727" s="104" t="s">
        <v>535</v>
      </c>
      <c r="D727" s="104" t="s">
        <v>2481</v>
      </c>
      <c r="E727" s="104" t="s">
        <v>1290</v>
      </c>
      <c r="F727" s="104" t="s">
        <v>2482</v>
      </c>
      <c r="G727" s="150">
        <f>+3</f>
        <v>3</v>
      </c>
      <c r="H727" s="104">
        <v>3.0</v>
      </c>
    </row>
    <row r="728">
      <c r="A728" s="104" t="s">
        <v>2483</v>
      </c>
      <c r="B728" s="104" t="s">
        <v>131</v>
      </c>
      <c r="C728" s="104" t="s">
        <v>535</v>
      </c>
      <c r="D728" s="104" t="s">
        <v>2484</v>
      </c>
      <c r="E728" s="104" t="s">
        <v>1335</v>
      </c>
      <c r="F728" s="104" t="s">
        <v>2485</v>
      </c>
      <c r="G728" s="150">
        <f>+2</f>
        <v>2</v>
      </c>
      <c r="H728" s="104">
        <v>2.0</v>
      </c>
    </row>
    <row r="729">
      <c r="A729" s="104" t="s">
        <v>2486</v>
      </c>
      <c r="B729" s="104" t="s">
        <v>143</v>
      </c>
      <c r="C729" s="104" t="s">
        <v>535</v>
      </c>
      <c r="D729" s="104" t="s">
        <v>2487</v>
      </c>
      <c r="E729" s="104" t="s">
        <v>1271</v>
      </c>
      <c r="F729" s="104" t="s">
        <v>2488</v>
      </c>
      <c r="G729" s="104" t="s">
        <v>1273</v>
      </c>
      <c r="H729" s="104">
        <v>0.0</v>
      </c>
    </row>
    <row r="730">
      <c r="A730" s="104" t="s">
        <v>2489</v>
      </c>
      <c r="B730" s="104" t="s">
        <v>185</v>
      </c>
      <c r="C730" s="104" t="s">
        <v>535</v>
      </c>
      <c r="D730" s="104" t="s">
        <v>2490</v>
      </c>
      <c r="E730" s="104" t="s">
        <v>1271</v>
      </c>
      <c r="F730" s="104" t="s">
        <v>2491</v>
      </c>
      <c r="G730" s="104" t="s">
        <v>1273</v>
      </c>
      <c r="H730" s="104">
        <v>0.0</v>
      </c>
    </row>
    <row r="731">
      <c r="A731" s="104" t="s">
        <v>2492</v>
      </c>
      <c r="B731" s="104" t="s">
        <v>89</v>
      </c>
      <c r="C731" s="104" t="s">
        <v>535</v>
      </c>
      <c r="D731" s="104" t="s">
        <v>2493</v>
      </c>
      <c r="E731" s="104" t="s">
        <v>1283</v>
      </c>
      <c r="F731" s="104" t="s">
        <v>2494</v>
      </c>
      <c r="G731" s="104">
        <v>-1.0</v>
      </c>
      <c r="H731" s="104">
        <v>-1.0</v>
      </c>
    </row>
    <row r="732">
      <c r="A732" s="104" t="s">
        <v>2495</v>
      </c>
      <c r="B732" s="104" t="s">
        <v>217</v>
      </c>
      <c r="C732" s="104" t="s">
        <v>535</v>
      </c>
      <c r="D732" s="104" t="s">
        <v>2496</v>
      </c>
      <c r="E732" s="104" t="s">
        <v>1335</v>
      </c>
      <c r="F732" s="104" t="s">
        <v>2497</v>
      </c>
      <c r="G732" s="150">
        <f>+2</f>
        <v>2</v>
      </c>
      <c r="H732" s="104">
        <v>2.0</v>
      </c>
    </row>
    <row r="733">
      <c r="A733" s="104" t="s">
        <v>2498</v>
      </c>
      <c r="B733" s="104" t="s">
        <v>257</v>
      </c>
      <c r="C733" s="104" t="s">
        <v>535</v>
      </c>
      <c r="D733" s="104" t="s">
        <v>2499</v>
      </c>
      <c r="E733" s="104" t="s">
        <v>1283</v>
      </c>
      <c r="F733" s="104" t="s">
        <v>2500</v>
      </c>
      <c r="G733" s="104">
        <v>-1.0</v>
      </c>
      <c r="H733" s="104">
        <v>-1.0</v>
      </c>
    </row>
    <row r="734">
      <c r="A734" s="104" t="s">
        <v>2501</v>
      </c>
      <c r="B734" s="104" t="s">
        <v>178</v>
      </c>
      <c r="C734" s="104" t="s">
        <v>535</v>
      </c>
      <c r="D734" s="104" t="s">
        <v>2502</v>
      </c>
      <c r="E734" s="104" t="s">
        <v>1328</v>
      </c>
      <c r="F734" s="104" t="s">
        <v>2503</v>
      </c>
      <c r="G734" s="104">
        <v>-3.0</v>
      </c>
      <c r="H734" s="104">
        <v>-3.0</v>
      </c>
    </row>
    <row r="735">
      <c r="A735" s="104" t="s">
        <v>2504</v>
      </c>
      <c r="B735" s="104" t="s">
        <v>197</v>
      </c>
      <c r="C735" s="104" t="s">
        <v>535</v>
      </c>
      <c r="D735" s="104" t="s">
        <v>2505</v>
      </c>
      <c r="E735" s="104" t="s">
        <v>1276</v>
      </c>
      <c r="F735" s="104" t="s">
        <v>2506</v>
      </c>
      <c r="G735" s="150">
        <f>+1</f>
        <v>1</v>
      </c>
      <c r="H735" s="104">
        <v>1.0</v>
      </c>
    </row>
    <row r="736">
      <c r="A736" s="104" t="s">
        <v>2507</v>
      </c>
      <c r="B736" s="104" t="s">
        <v>320</v>
      </c>
      <c r="C736" s="104" t="s">
        <v>535</v>
      </c>
      <c r="D736" s="104" t="s">
        <v>2508</v>
      </c>
      <c r="E736" s="104" t="s">
        <v>1335</v>
      </c>
      <c r="F736" s="104" t="s">
        <v>2509</v>
      </c>
      <c r="G736" s="150">
        <f>+2</f>
        <v>2</v>
      </c>
      <c r="H736" s="104">
        <v>2.0</v>
      </c>
    </row>
    <row r="737">
      <c r="A737" s="104" t="s">
        <v>2510</v>
      </c>
      <c r="B737" s="104" t="s">
        <v>91</v>
      </c>
      <c r="C737" s="104" t="s">
        <v>535</v>
      </c>
      <c r="D737" s="104" t="s">
        <v>2511</v>
      </c>
      <c r="E737" s="104" t="s">
        <v>1276</v>
      </c>
      <c r="F737" s="104" t="s">
        <v>2512</v>
      </c>
      <c r="G737" s="150">
        <f>+1</f>
        <v>1</v>
      </c>
      <c r="H737" s="104">
        <v>1.0</v>
      </c>
    </row>
    <row r="738">
      <c r="A738" s="104" t="s">
        <v>2513</v>
      </c>
      <c r="B738" s="104" t="s">
        <v>94</v>
      </c>
      <c r="C738" s="104" t="s">
        <v>535</v>
      </c>
      <c r="D738" s="104" t="s">
        <v>2514</v>
      </c>
      <c r="E738" s="104" t="s">
        <v>1290</v>
      </c>
      <c r="F738" s="104" t="s">
        <v>2515</v>
      </c>
      <c r="G738" s="150">
        <f t="shared" ref="G738:G739" si="25">+3</f>
        <v>3</v>
      </c>
      <c r="H738" s="104">
        <v>3.0</v>
      </c>
    </row>
    <row r="739">
      <c r="A739" s="104" t="s">
        <v>2516</v>
      </c>
      <c r="B739" s="104" t="s">
        <v>75</v>
      </c>
      <c r="C739" s="104" t="s">
        <v>535</v>
      </c>
      <c r="D739" s="104" t="s">
        <v>2517</v>
      </c>
      <c r="E739" s="104" t="s">
        <v>1290</v>
      </c>
      <c r="F739" s="104" t="s">
        <v>2518</v>
      </c>
      <c r="G739" s="150">
        <f t="shared" si="25"/>
        <v>3</v>
      </c>
      <c r="H739" s="104">
        <v>3.0</v>
      </c>
    </row>
    <row r="740">
      <c r="A740" s="104" t="s">
        <v>2519</v>
      </c>
      <c r="B740" s="104" t="s">
        <v>274</v>
      </c>
      <c r="C740" s="104" t="s">
        <v>535</v>
      </c>
      <c r="D740" s="104" t="s">
        <v>2520</v>
      </c>
      <c r="E740" s="104" t="s">
        <v>1283</v>
      </c>
      <c r="F740" s="104" t="s">
        <v>2521</v>
      </c>
      <c r="G740" s="104">
        <v>-1.0</v>
      </c>
      <c r="H740" s="104">
        <v>-1.0</v>
      </c>
    </row>
    <row r="741">
      <c r="A741" s="104" t="s">
        <v>2522</v>
      </c>
      <c r="B741" s="104" t="s">
        <v>182</v>
      </c>
      <c r="C741" s="104" t="s">
        <v>535</v>
      </c>
      <c r="D741" s="104" t="s">
        <v>2523</v>
      </c>
      <c r="E741" s="104" t="s">
        <v>1290</v>
      </c>
      <c r="F741" s="104" t="s">
        <v>2524</v>
      </c>
      <c r="G741" s="150">
        <f>+3</f>
        <v>3</v>
      </c>
      <c r="H741" s="104">
        <v>3.0</v>
      </c>
    </row>
    <row r="742">
      <c r="A742" s="104" t="s">
        <v>2525</v>
      </c>
      <c r="B742" s="104" t="s">
        <v>151</v>
      </c>
      <c r="C742" s="104" t="s">
        <v>535</v>
      </c>
      <c r="D742" s="104" t="s">
        <v>2526</v>
      </c>
      <c r="E742" s="104" t="s">
        <v>1276</v>
      </c>
      <c r="F742" s="104" t="s">
        <v>2527</v>
      </c>
      <c r="G742" s="150">
        <f>+1</f>
        <v>1</v>
      </c>
      <c r="H742" s="104">
        <v>1.0</v>
      </c>
    </row>
    <row r="743">
      <c r="A743" s="104" t="s">
        <v>2528</v>
      </c>
      <c r="B743" s="104" t="s">
        <v>238</v>
      </c>
      <c r="C743" s="104" t="s">
        <v>535</v>
      </c>
      <c r="D743" s="104" t="s">
        <v>2529</v>
      </c>
      <c r="E743" s="104" t="s">
        <v>1328</v>
      </c>
      <c r="F743" s="104" t="s">
        <v>2530</v>
      </c>
      <c r="G743" s="104">
        <v>-3.0</v>
      </c>
      <c r="H743" s="104">
        <v>-3.0</v>
      </c>
    </row>
    <row r="744">
      <c r="A744" s="104" t="s">
        <v>2531</v>
      </c>
      <c r="B744" s="104" t="s">
        <v>257</v>
      </c>
      <c r="C744" s="104" t="s">
        <v>535</v>
      </c>
      <c r="D744" s="104" t="s">
        <v>2532</v>
      </c>
      <c r="E744" s="104" t="s">
        <v>1300</v>
      </c>
      <c r="F744" s="104" t="s">
        <v>2533</v>
      </c>
      <c r="G744" s="104">
        <v>-2.0</v>
      </c>
      <c r="H744" s="104">
        <v>-2.0</v>
      </c>
    </row>
    <row r="745">
      <c r="A745" s="104" t="s">
        <v>2534</v>
      </c>
      <c r="B745" s="104" t="s">
        <v>141</v>
      </c>
      <c r="C745" s="104" t="s">
        <v>535</v>
      </c>
      <c r="D745" s="104" t="s">
        <v>2535</v>
      </c>
      <c r="E745" s="104" t="s">
        <v>1300</v>
      </c>
      <c r="F745" s="104" t="s">
        <v>2536</v>
      </c>
      <c r="G745" s="104">
        <v>-2.0</v>
      </c>
      <c r="H745" s="104">
        <v>-2.0</v>
      </c>
    </row>
    <row r="746">
      <c r="A746" s="104" t="s">
        <v>2537</v>
      </c>
      <c r="B746" s="104" t="s">
        <v>184</v>
      </c>
      <c r="C746" s="104" t="s">
        <v>535</v>
      </c>
      <c r="D746" s="104" t="s">
        <v>2538</v>
      </c>
      <c r="E746" s="104" t="s">
        <v>1328</v>
      </c>
      <c r="F746" s="104" t="s">
        <v>2539</v>
      </c>
      <c r="G746" s="104">
        <v>-3.0</v>
      </c>
      <c r="H746" s="104">
        <v>-3.0</v>
      </c>
    </row>
    <row r="747">
      <c r="A747" s="104" t="s">
        <v>2540</v>
      </c>
      <c r="B747" s="104" t="s">
        <v>182</v>
      </c>
      <c r="C747" s="104" t="s">
        <v>535</v>
      </c>
      <c r="D747" s="104" t="s">
        <v>2541</v>
      </c>
      <c r="E747" s="104" t="s">
        <v>1271</v>
      </c>
      <c r="F747" s="104" t="s">
        <v>2542</v>
      </c>
      <c r="G747" s="104" t="s">
        <v>1273</v>
      </c>
      <c r="H747" s="104">
        <v>0.0</v>
      </c>
    </row>
    <row r="748">
      <c r="A748" s="104" t="s">
        <v>2543</v>
      </c>
      <c r="B748" s="104" t="s">
        <v>208</v>
      </c>
      <c r="C748" s="104" t="s">
        <v>535</v>
      </c>
      <c r="D748" s="104" t="s">
        <v>2544</v>
      </c>
      <c r="E748" s="104" t="s">
        <v>1300</v>
      </c>
      <c r="F748" s="104" t="s">
        <v>2545</v>
      </c>
      <c r="G748" s="104">
        <v>-2.0</v>
      </c>
      <c r="H748" s="104">
        <v>-2.0</v>
      </c>
    </row>
    <row r="749">
      <c r="A749" s="104" t="s">
        <v>2546</v>
      </c>
      <c r="B749" s="104" t="s">
        <v>144</v>
      </c>
      <c r="C749" s="104" t="s">
        <v>535</v>
      </c>
      <c r="D749" s="104" t="s">
        <v>2547</v>
      </c>
      <c r="E749" s="104" t="s">
        <v>1290</v>
      </c>
      <c r="F749" s="104" t="s">
        <v>2548</v>
      </c>
      <c r="G749" s="150">
        <f t="shared" ref="G749:G750" si="26">+3</f>
        <v>3</v>
      </c>
      <c r="H749" s="104">
        <v>3.0</v>
      </c>
    </row>
    <row r="750">
      <c r="A750" s="104" t="s">
        <v>2549</v>
      </c>
      <c r="B750" s="104" t="s">
        <v>203</v>
      </c>
      <c r="C750" s="104" t="s">
        <v>535</v>
      </c>
      <c r="D750" s="104" t="s">
        <v>2550</v>
      </c>
      <c r="E750" s="104" t="s">
        <v>1290</v>
      </c>
      <c r="F750" s="104" t="s">
        <v>2551</v>
      </c>
      <c r="G750" s="150">
        <f t="shared" si="26"/>
        <v>3</v>
      </c>
      <c r="H750" s="104">
        <v>3.0</v>
      </c>
    </row>
    <row r="751">
      <c r="A751" s="104" t="s">
        <v>2552</v>
      </c>
      <c r="B751" s="104" t="s">
        <v>148</v>
      </c>
      <c r="C751" s="104" t="s">
        <v>535</v>
      </c>
      <c r="D751" s="104" t="s">
        <v>2553</v>
      </c>
      <c r="E751" s="104" t="s">
        <v>1300</v>
      </c>
      <c r="F751" s="104" t="s">
        <v>2554</v>
      </c>
      <c r="G751" s="104">
        <v>-2.0</v>
      </c>
      <c r="H751" s="104">
        <v>-2.0</v>
      </c>
    </row>
    <row r="752">
      <c r="A752" s="104" t="s">
        <v>2555</v>
      </c>
      <c r="B752" s="104" t="s">
        <v>166</v>
      </c>
      <c r="C752" s="104" t="s">
        <v>535</v>
      </c>
      <c r="D752" s="104" t="s">
        <v>2556</v>
      </c>
      <c r="E752" s="104" t="s">
        <v>1271</v>
      </c>
      <c r="F752" s="104" t="s">
        <v>2557</v>
      </c>
      <c r="G752" s="104" t="s">
        <v>1273</v>
      </c>
      <c r="H752" s="104">
        <v>0.0</v>
      </c>
    </row>
    <row r="753">
      <c r="A753" s="104" t="s">
        <v>2558</v>
      </c>
      <c r="B753" s="104" t="s">
        <v>225</v>
      </c>
      <c r="C753" s="104" t="s">
        <v>535</v>
      </c>
      <c r="D753" s="104" t="s">
        <v>2559</v>
      </c>
      <c r="E753" s="104" t="s">
        <v>1283</v>
      </c>
      <c r="F753" s="104" t="s">
        <v>2560</v>
      </c>
      <c r="G753" s="104">
        <v>-1.0</v>
      </c>
      <c r="H753" s="104">
        <v>-1.0</v>
      </c>
    </row>
    <row r="754">
      <c r="A754" s="104" t="s">
        <v>2561</v>
      </c>
      <c r="B754" s="104" t="s">
        <v>248</v>
      </c>
      <c r="C754" s="104" t="s">
        <v>535</v>
      </c>
      <c r="D754" s="104" t="s">
        <v>2562</v>
      </c>
      <c r="E754" s="104" t="s">
        <v>1300</v>
      </c>
      <c r="F754" s="104" t="s">
        <v>2563</v>
      </c>
      <c r="G754" s="104">
        <v>-2.0</v>
      </c>
      <c r="H754" s="104">
        <v>-2.0</v>
      </c>
    </row>
    <row r="755">
      <c r="A755" s="104" t="s">
        <v>2564</v>
      </c>
      <c r="B755" s="104" t="s">
        <v>196</v>
      </c>
      <c r="C755" s="104" t="s">
        <v>535</v>
      </c>
      <c r="D755" s="104" t="s">
        <v>2565</v>
      </c>
      <c r="E755" s="104" t="s">
        <v>1335</v>
      </c>
      <c r="F755" s="104" t="s">
        <v>2566</v>
      </c>
      <c r="G755" s="150">
        <f>+2</f>
        <v>2</v>
      </c>
      <c r="H755" s="104">
        <v>2.0</v>
      </c>
    </row>
    <row r="756">
      <c r="A756" s="104" t="s">
        <v>2567</v>
      </c>
      <c r="B756" s="104" t="s">
        <v>185</v>
      </c>
      <c r="C756" s="104" t="s">
        <v>535</v>
      </c>
      <c r="D756" s="104" t="s">
        <v>2568</v>
      </c>
      <c r="E756" s="104" t="s">
        <v>1300</v>
      </c>
      <c r="F756" s="104" t="s">
        <v>2569</v>
      </c>
      <c r="G756" s="104">
        <v>-2.0</v>
      </c>
      <c r="H756" s="104">
        <v>-2.0</v>
      </c>
    </row>
    <row r="757">
      <c r="A757" s="104" t="s">
        <v>2570</v>
      </c>
      <c r="B757" s="104" t="s">
        <v>117</v>
      </c>
      <c r="C757" s="104" t="s">
        <v>535</v>
      </c>
      <c r="D757" s="104" t="s">
        <v>2571</v>
      </c>
      <c r="E757" s="104" t="s">
        <v>1328</v>
      </c>
      <c r="F757" s="104" t="s">
        <v>2572</v>
      </c>
      <c r="G757" s="104">
        <v>-3.0</v>
      </c>
      <c r="H757" s="104">
        <v>-3.0</v>
      </c>
    </row>
    <row r="758">
      <c r="A758" s="104" t="s">
        <v>2573</v>
      </c>
      <c r="B758" s="104" t="s">
        <v>132</v>
      </c>
      <c r="C758" s="104" t="s">
        <v>535</v>
      </c>
      <c r="D758" s="104" t="s">
        <v>2574</v>
      </c>
      <c r="E758" s="104" t="s">
        <v>1271</v>
      </c>
      <c r="F758" s="104" t="s">
        <v>2575</v>
      </c>
      <c r="G758" s="104" t="s">
        <v>1273</v>
      </c>
      <c r="H758" s="104">
        <v>0.0</v>
      </c>
    </row>
    <row r="759">
      <c r="A759" s="104" t="s">
        <v>2576</v>
      </c>
      <c r="B759" s="104" t="s">
        <v>257</v>
      </c>
      <c r="C759" s="104" t="s">
        <v>535</v>
      </c>
      <c r="D759" s="104" t="s">
        <v>2577</v>
      </c>
      <c r="E759" s="104" t="s">
        <v>1300</v>
      </c>
      <c r="F759" s="104" t="s">
        <v>2578</v>
      </c>
      <c r="G759" s="104">
        <v>-2.0</v>
      </c>
      <c r="H759" s="104">
        <v>-2.0</v>
      </c>
    </row>
    <row r="760">
      <c r="A760" s="104" t="s">
        <v>2579</v>
      </c>
      <c r="B760" s="104" t="s">
        <v>198</v>
      </c>
      <c r="C760" s="104" t="s">
        <v>535</v>
      </c>
      <c r="D760" s="104" t="s">
        <v>2580</v>
      </c>
      <c r="E760" s="104" t="s">
        <v>1271</v>
      </c>
      <c r="F760" s="104" t="s">
        <v>2581</v>
      </c>
      <c r="G760" s="104" t="s">
        <v>1273</v>
      </c>
      <c r="H760" s="104">
        <v>0.0</v>
      </c>
    </row>
    <row r="761">
      <c r="A761" s="104" t="s">
        <v>2582</v>
      </c>
      <c r="B761" s="104" t="s">
        <v>248</v>
      </c>
      <c r="C761" s="104" t="s">
        <v>535</v>
      </c>
      <c r="D761" s="104" t="s">
        <v>2583</v>
      </c>
      <c r="E761" s="104" t="s">
        <v>1271</v>
      </c>
      <c r="F761" s="104" t="s">
        <v>2584</v>
      </c>
      <c r="G761" s="104" t="s">
        <v>1273</v>
      </c>
      <c r="H761" s="104">
        <v>0.0</v>
      </c>
    </row>
    <row r="762">
      <c r="A762" s="104" t="s">
        <v>2585</v>
      </c>
      <c r="B762" s="104" t="s">
        <v>166</v>
      </c>
      <c r="C762" s="104" t="s">
        <v>535</v>
      </c>
      <c r="D762" s="104" t="s">
        <v>2586</v>
      </c>
      <c r="E762" s="104" t="s">
        <v>1283</v>
      </c>
      <c r="F762" s="104" t="s">
        <v>2587</v>
      </c>
      <c r="G762" s="104">
        <v>-1.0</v>
      </c>
      <c r="H762" s="104">
        <v>-1.0</v>
      </c>
    </row>
    <row r="763">
      <c r="A763" s="104" t="s">
        <v>2588</v>
      </c>
      <c r="B763" s="104" t="s">
        <v>198</v>
      </c>
      <c r="C763" s="104" t="s">
        <v>535</v>
      </c>
      <c r="D763" s="104" t="s">
        <v>2589</v>
      </c>
      <c r="E763" s="104" t="s">
        <v>1276</v>
      </c>
      <c r="F763" s="104" t="s">
        <v>2590</v>
      </c>
      <c r="G763" s="150">
        <f>+1</f>
        <v>1</v>
      </c>
      <c r="H763" s="104">
        <v>1.0</v>
      </c>
    </row>
    <row r="764">
      <c r="A764" s="104" t="s">
        <v>2591</v>
      </c>
      <c r="B764" s="104" t="s">
        <v>230</v>
      </c>
      <c r="C764" s="104" t="s">
        <v>535</v>
      </c>
      <c r="D764" s="104" t="s">
        <v>2592</v>
      </c>
      <c r="E764" s="104" t="s">
        <v>1335</v>
      </c>
      <c r="F764" s="104" t="s">
        <v>2593</v>
      </c>
      <c r="G764" s="150">
        <f>+2</f>
        <v>2</v>
      </c>
      <c r="H764" s="104">
        <v>2.0</v>
      </c>
    </row>
    <row r="765">
      <c r="A765" s="104" t="s">
        <v>2594</v>
      </c>
      <c r="B765" s="104" t="s">
        <v>134</v>
      </c>
      <c r="C765" s="104" t="s">
        <v>535</v>
      </c>
      <c r="D765" s="104" t="s">
        <v>2595</v>
      </c>
      <c r="E765" s="104" t="s">
        <v>1271</v>
      </c>
      <c r="F765" s="104" t="s">
        <v>2596</v>
      </c>
      <c r="G765" s="104" t="s">
        <v>1273</v>
      </c>
      <c r="H765" s="104">
        <v>0.0</v>
      </c>
    </row>
    <row r="766">
      <c r="A766" s="104" t="s">
        <v>2597</v>
      </c>
      <c r="B766" s="104" t="s">
        <v>181</v>
      </c>
      <c r="C766" s="104" t="s">
        <v>535</v>
      </c>
      <c r="D766" s="104" t="s">
        <v>2598</v>
      </c>
      <c r="E766" s="104" t="s">
        <v>1300</v>
      </c>
      <c r="F766" s="104" t="s">
        <v>2599</v>
      </c>
      <c r="G766" s="104">
        <v>-2.0</v>
      </c>
      <c r="H766" s="104">
        <v>-2.0</v>
      </c>
    </row>
    <row r="767">
      <c r="A767" s="104" t="s">
        <v>2600</v>
      </c>
      <c r="B767" s="104" t="s">
        <v>230</v>
      </c>
      <c r="C767" s="104" t="s">
        <v>535</v>
      </c>
      <c r="D767" s="104" t="s">
        <v>2601</v>
      </c>
      <c r="E767" s="104" t="s">
        <v>1271</v>
      </c>
      <c r="F767" s="104" t="s">
        <v>2602</v>
      </c>
      <c r="G767" s="104" t="s">
        <v>1273</v>
      </c>
      <c r="H767" s="104">
        <v>0.0</v>
      </c>
    </row>
    <row r="768">
      <c r="A768" s="104" t="s">
        <v>2603</v>
      </c>
      <c r="B768" s="104" t="s">
        <v>188</v>
      </c>
      <c r="C768" s="104" t="s">
        <v>535</v>
      </c>
      <c r="D768" s="104" t="s">
        <v>2604</v>
      </c>
      <c r="E768" s="104" t="s">
        <v>1271</v>
      </c>
      <c r="F768" s="104" t="s">
        <v>2605</v>
      </c>
      <c r="G768" s="104" t="s">
        <v>1273</v>
      </c>
      <c r="H768" s="104">
        <v>0.0</v>
      </c>
    </row>
    <row r="769">
      <c r="A769" s="104" t="s">
        <v>2606</v>
      </c>
      <c r="B769" s="104" t="s">
        <v>275</v>
      </c>
      <c r="C769" s="104" t="s">
        <v>535</v>
      </c>
      <c r="D769" s="104" t="s">
        <v>2607</v>
      </c>
      <c r="E769" s="104" t="s">
        <v>1283</v>
      </c>
      <c r="F769" s="104" t="s">
        <v>2608</v>
      </c>
      <c r="G769" s="104">
        <v>-1.0</v>
      </c>
      <c r="H769" s="104">
        <v>-1.0</v>
      </c>
    </row>
    <row r="770">
      <c r="A770" s="104" t="s">
        <v>2609</v>
      </c>
      <c r="B770" s="104" t="s">
        <v>193</v>
      </c>
      <c r="C770" s="104" t="s">
        <v>535</v>
      </c>
      <c r="D770" s="104" t="s">
        <v>2610</v>
      </c>
      <c r="E770" s="104" t="s">
        <v>1328</v>
      </c>
      <c r="F770" s="104" t="s">
        <v>2611</v>
      </c>
      <c r="G770" s="104">
        <v>-3.0</v>
      </c>
      <c r="H770" s="104">
        <v>-3.0</v>
      </c>
    </row>
    <row r="771">
      <c r="A771" s="104" t="s">
        <v>2612</v>
      </c>
      <c r="B771" s="104" t="s">
        <v>224</v>
      </c>
      <c r="C771" s="104" t="s">
        <v>535</v>
      </c>
      <c r="D771" s="104" t="s">
        <v>2613</v>
      </c>
      <c r="E771" s="104" t="s">
        <v>1271</v>
      </c>
      <c r="F771" s="104" t="s">
        <v>2614</v>
      </c>
      <c r="G771" s="104" t="s">
        <v>1273</v>
      </c>
      <c r="H771" s="104">
        <v>0.0</v>
      </c>
    </row>
    <row r="772">
      <c r="A772" s="104" t="s">
        <v>2615</v>
      </c>
      <c r="B772" s="104" t="s">
        <v>190</v>
      </c>
      <c r="C772" s="104" t="s">
        <v>535</v>
      </c>
      <c r="D772" s="104" t="s">
        <v>2616</v>
      </c>
      <c r="E772" s="104" t="s">
        <v>1276</v>
      </c>
      <c r="F772" s="104" t="s">
        <v>2617</v>
      </c>
      <c r="G772" s="150">
        <f>+1</f>
        <v>1</v>
      </c>
      <c r="H772" s="104">
        <v>1.0</v>
      </c>
    </row>
    <row r="773">
      <c r="A773" s="104" t="s">
        <v>2618</v>
      </c>
      <c r="B773" s="104" t="s">
        <v>188</v>
      </c>
      <c r="C773" s="104" t="s">
        <v>535</v>
      </c>
      <c r="D773" s="104" t="s">
        <v>2619</v>
      </c>
      <c r="E773" s="104" t="s">
        <v>1283</v>
      </c>
      <c r="F773" s="104" t="s">
        <v>2620</v>
      </c>
      <c r="G773" s="104">
        <v>-1.0</v>
      </c>
      <c r="H773" s="104">
        <v>-1.0</v>
      </c>
    </row>
    <row r="774">
      <c r="A774" s="104" t="s">
        <v>2621</v>
      </c>
      <c r="B774" s="104" t="s">
        <v>134</v>
      </c>
      <c r="C774" s="104" t="s">
        <v>535</v>
      </c>
      <c r="D774" s="104" t="s">
        <v>2622</v>
      </c>
      <c r="E774" s="104" t="s">
        <v>1283</v>
      </c>
      <c r="F774" s="104" t="s">
        <v>2623</v>
      </c>
      <c r="G774" s="104">
        <v>-1.0</v>
      </c>
      <c r="H774" s="104">
        <v>-1.0</v>
      </c>
    </row>
    <row r="775">
      <c r="A775" s="104" t="s">
        <v>2624</v>
      </c>
      <c r="B775" s="104" t="s">
        <v>223</v>
      </c>
      <c r="C775" s="104" t="s">
        <v>535</v>
      </c>
      <c r="D775" s="104" t="s">
        <v>2625</v>
      </c>
      <c r="E775" s="104" t="s">
        <v>1271</v>
      </c>
      <c r="F775" s="104" t="s">
        <v>2626</v>
      </c>
      <c r="G775" s="104" t="s">
        <v>1273</v>
      </c>
      <c r="H775" s="104">
        <v>0.0</v>
      </c>
    </row>
    <row r="776">
      <c r="A776" s="104" t="s">
        <v>2627</v>
      </c>
      <c r="B776" s="104" t="s">
        <v>193</v>
      </c>
      <c r="C776" s="104" t="s">
        <v>535</v>
      </c>
      <c r="D776" s="104" t="s">
        <v>2628</v>
      </c>
      <c r="E776" s="104" t="s">
        <v>1271</v>
      </c>
      <c r="F776" s="104" t="s">
        <v>2629</v>
      </c>
      <c r="G776" s="104" t="s">
        <v>1273</v>
      </c>
      <c r="H776" s="104">
        <v>0.0</v>
      </c>
    </row>
    <row r="777">
      <c r="A777" s="104" t="s">
        <v>2630</v>
      </c>
      <c r="B777" s="104" t="s">
        <v>91</v>
      </c>
      <c r="C777" s="104" t="s">
        <v>535</v>
      </c>
      <c r="D777" s="104" t="s">
        <v>2631</v>
      </c>
      <c r="E777" s="104" t="s">
        <v>1271</v>
      </c>
      <c r="F777" s="104" t="s">
        <v>2632</v>
      </c>
      <c r="G777" s="104" t="s">
        <v>1273</v>
      </c>
      <c r="H777" s="104">
        <v>0.0</v>
      </c>
    </row>
    <row r="778">
      <c r="A778" s="104" t="s">
        <v>2633</v>
      </c>
      <c r="B778" s="104" t="s">
        <v>223</v>
      </c>
      <c r="C778" s="104" t="s">
        <v>535</v>
      </c>
      <c r="D778" s="104" t="s">
        <v>2634</v>
      </c>
      <c r="E778" s="104" t="s">
        <v>1335</v>
      </c>
      <c r="F778" s="104" t="s">
        <v>2635</v>
      </c>
      <c r="G778" s="150">
        <f>+2</f>
        <v>2</v>
      </c>
      <c r="H778" s="104">
        <v>2.0</v>
      </c>
    </row>
    <row r="779">
      <c r="A779" s="104" t="s">
        <v>2636</v>
      </c>
      <c r="B779" s="104" t="s">
        <v>91</v>
      </c>
      <c r="C779" s="104" t="s">
        <v>535</v>
      </c>
      <c r="D779" s="104" t="s">
        <v>2637</v>
      </c>
      <c r="E779" s="104" t="s">
        <v>1290</v>
      </c>
      <c r="F779" s="104" t="s">
        <v>2638</v>
      </c>
      <c r="G779" s="150">
        <f>+3</f>
        <v>3</v>
      </c>
      <c r="H779" s="104">
        <v>3.0</v>
      </c>
    </row>
    <row r="780">
      <c r="A780" s="104" t="s">
        <v>2639</v>
      </c>
      <c r="B780" s="104" t="s">
        <v>208</v>
      </c>
      <c r="C780" s="104" t="s">
        <v>535</v>
      </c>
      <c r="D780" s="104" t="s">
        <v>2640</v>
      </c>
      <c r="E780" s="104" t="s">
        <v>1271</v>
      </c>
      <c r="F780" s="104" t="s">
        <v>2641</v>
      </c>
      <c r="G780" s="104" t="s">
        <v>1273</v>
      </c>
      <c r="H780" s="104">
        <v>0.0</v>
      </c>
    </row>
    <row r="781">
      <c r="A781" s="104" t="s">
        <v>2642</v>
      </c>
      <c r="B781" s="104" t="s">
        <v>112</v>
      </c>
      <c r="C781" s="104" t="s">
        <v>535</v>
      </c>
      <c r="D781" s="104" t="s">
        <v>2643</v>
      </c>
      <c r="E781" s="104" t="s">
        <v>1276</v>
      </c>
      <c r="F781" s="104" t="s">
        <v>2644</v>
      </c>
      <c r="G781" s="150">
        <f>+1</f>
        <v>1</v>
      </c>
      <c r="H781" s="104">
        <v>1.0</v>
      </c>
    </row>
    <row r="782">
      <c r="A782" s="104" t="s">
        <v>2645</v>
      </c>
      <c r="B782" s="104" t="s">
        <v>162</v>
      </c>
      <c r="C782" s="104" t="s">
        <v>535</v>
      </c>
      <c r="D782" s="104" t="s">
        <v>2646</v>
      </c>
      <c r="E782" s="104" t="s">
        <v>1328</v>
      </c>
      <c r="F782" s="104" t="s">
        <v>2647</v>
      </c>
      <c r="G782" s="104">
        <v>-3.0</v>
      </c>
      <c r="H782" s="104">
        <v>-3.0</v>
      </c>
    </row>
    <row r="783">
      <c r="A783" s="104" t="s">
        <v>2648</v>
      </c>
      <c r="B783" s="104" t="s">
        <v>206</v>
      </c>
      <c r="C783" s="104" t="s">
        <v>535</v>
      </c>
      <c r="D783" s="104" t="s">
        <v>2649</v>
      </c>
      <c r="E783" s="104" t="s">
        <v>1335</v>
      </c>
      <c r="F783" s="104" t="s">
        <v>2650</v>
      </c>
      <c r="G783" s="150">
        <f>+2</f>
        <v>2</v>
      </c>
      <c r="H783" s="104">
        <v>2.0</v>
      </c>
    </row>
    <row r="784">
      <c r="A784" s="104" t="s">
        <v>2651</v>
      </c>
      <c r="B784" s="104" t="s">
        <v>196</v>
      </c>
      <c r="C784" s="104" t="s">
        <v>535</v>
      </c>
      <c r="D784" s="104" t="s">
        <v>2652</v>
      </c>
      <c r="E784" s="104" t="s">
        <v>1271</v>
      </c>
      <c r="F784" s="104" t="s">
        <v>2653</v>
      </c>
      <c r="G784" s="104" t="s">
        <v>1273</v>
      </c>
      <c r="H784" s="104">
        <v>0.0</v>
      </c>
    </row>
    <row r="785">
      <c r="A785" s="104" t="s">
        <v>2654</v>
      </c>
      <c r="B785" s="104" t="s">
        <v>262</v>
      </c>
      <c r="C785" s="104" t="s">
        <v>535</v>
      </c>
      <c r="D785" s="104" t="s">
        <v>2655</v>
      </c>
      <c r="E785" s="104" t="s">
        <v>1290</v>
      </c>
      <c r="F785" s="104" t="s">
        <v>2656</v>
      </c>
      <c r="G785" s="150">
        <f>+3</f>
        <v>3</v>
      </c>
      <c r="H785" s="104">
        <v>3.0</v>
      </c>
    </row>
    <row r="786">
      <c r="A786" s="104" t="s">
        <v>2657</v>
      </c>
      <c r="B786" s="104" t="s">
        <v>131</v>
      </c>
      <c r="C786" s="104" t="s">
        <v>535</v>
      </c>
      <c r="D786" s="104" t="s">
        <v>2658</v>
      </c>
      <c r="E786" s="104" t="s">
        <v>1271</v>
      </c>
      <c r="F786" s="104" t="s">
        <v>2659</v>
      </c>
      <c r="G786" s="104" t="s">
        <v>1273</v>
      </c>
      <c r="H786" s="104">
        <v>0.0</v>
      </c>
    </row>
    <row r="787">
      <c r="A787" s="104" t="s">
        <v>2660</v>
      </c>
      <c r="B787" s="104" t="s">
        <v>156</v>
      </c>
      <c r="C787" s="104" t="s">
        <v>535</v>
      </c>
      <c r="D787" s="104" t="s">
        <v>2661</v>
      </c>
      <c r="E787" s="104" t="s">
        <v>1276</v>
      </c>
      <c r="F787" s="104" t="s">
        <v>2662</v>
      </c>
      <c r="G787" s="150">
        <f>+1</f>
        <v>1</v>
      </c>
      <c r="H787" s="104">
        <v>1.0</v>
      </c>
    </row>
    <row r="788">
      <c r="A788" s="104" t="s">
        <v>2663</v>
      </c>
      <c r="B788" s="104" t="s">
        <v>285</v>
      </c>
      <c r="C788" s="104" t="s">
        <v>535</v>
      </c>
      <c r="D788" s="104" t="s">
        <v>2664</v>
      </c>
      <c r="E788" s="104" t="s">
        <v>1271</v>
      </c>
      <c r="F788" s="104" t="s">
        <v>2665</v>
      </c>
      <c r="G788" s="104" t="s">
        <v>1273</v>
      </c>
      <c r="H788" s="104">
        <v>0.0</v>
      </c>
    </row>
    <row r="789">
      <c r="A789" s="104" t="s">
        <v>2666</v>
      </c>
      <c r="B789" s="104" t="s">
        <v>172</v>
      </c>
      <c r="C789" s="104" t="s">
        <v>535</v>
      </c>
      <c r="D789" s="104" t="s">
        <v>2667</v>
      </c>
      <c r="E789" s="104" t="s">
        <v>1276</v>
      </c>
      <c r="F789" s="104" t="s">
        <v>2668</v>
      </c>
      <c r="G789" s="150">
        <f>+1</f>
        <v>1</v>
      </c>
      <c r="H789" s="104">
        <v>1.0</v>
      </c>
    </row>
    <row r="790">
      <c r="A790" s="104" t="s">
        <v>2669</v>
      </c>
      <c r="B790" s="104" t="s">
        <v>180</v>
      </c>
      <c r="C790" s="104" t="s">
        <v>535</v>
      </c>
      <c r="D790" s="104" t="s">
        <v>2670</v>
      </c>
      <c r="E790" s="104" t="s">
        <v>1300</v>
      </c>
      <c r="F790" s="104" t="s">
        <v>2671</v>
      </c>
      <c r="G790" s="104">
        <v>-2.0</v>
      </c>
      <c r="H790" s="104">
        <v>-2.0</v>
      </c>
    </row>
    <row r="791">
      <c r="A791" s="104" t="s">
        <v>2672</v>
      </c>
      <c r="B791" s="104" t="s">
        <v>145</v>
      </c>
      <c r="C791" s="104" t="s">
        <v>535</v>
      </c>
      <c r="D791" s="104" t="s">
        <v>2673</v>
      </c>
      <c r="E791" s="104" t="s">
        <v>1271</v>
      </c>
      <c r="F791" s="104" t="s">
        <v>2674</v>
      </c>
      <c r="G791" s="104" t="s">
        <v>1273</v>
      </c>
      <c r="H791" s="104">
        <v>0.0</v>
      </c>
    </row>
    <row r="792">
      <c r="A792" s="104" t="s">
        <v>2675</v>
      </c>
      <c r="B792" s="104" t="s">
        <v>154</v>
      </c>
      <c r="C792" s="104" t="s">
        <v>535</v>
      </c>
      <c r="D792" s="104" t="s">
        <v>2676</v>
      </c>
      <c r="E792" s="104" t="s">
        <v>1290</v>
      </c>
      <c r="F792" s="104" t="s">
        <v>2677</v>
      </c>
      <c r="G792" s="150">
        <f>+3</f>
        <v>3</v>
      </c>
      <c r="H792" s="104">
        <v>3.0</v>
      </c>
    </row>
    <row r="793">
      <c r="A793" s="104" t="s">
        <v>2678</v>
      </c>
      <c r="B793" s="104" t="s">
        <v>145</v>
      </c>
      <c r="C793" s="104" t="s">
        <v>535</v>
      </c>
      <c r="D793" s="104" t="s">
        <v>2679</v>
      </c>
      <c r="E793" s="104" t="s">
        <v>1300</v>
      </c>
      <c r="F793" s="104" t="s">
        <v>2680</v>
      </c>
      <c r="G793" s="104">
        <v>-2.0</v>
      </c>
      <c r="H793" s="104">
        <v>-2.0</v>
      </c>
    </row>
    <row r="794">
      <c r="A794" s="104" t="s">
        <v>2681</v>
      </c>
      <c r="B794" s="104" t="s">
        <v>174</v>
      </c>
      <c r="C794" s="104" t="s">
        <v>535</v>
      </c>
      <c r="D794" s="104" t="s">
        <v>2682</v>
      </c>
      <c r="E794" s="104" t="s">
        <v>1328</v>
      </c>
      <c r="F794" s="104" t="s">
        <v>2683</v>
      </c>
      <c r="G794" s="104">
        <v>-3.0</v>
      </c>
      <c r="H794" s="104">
        <v>-3.0</v>
      </c>
    </row>
    <row r="795">
      <c r="A795" s="104" t="s">
        <v>2684</v>
      </c>
      <c r="B795" s="104" t="s">
        <v>242</v>
      </c>
      <c r="C795" s="104" t="s">
        <v>535</v>
      </c>
      <c r="D795" s="104" t="s">
        <v>2685</v>
      </c>
      <c r="E795" s="104" t="s">
        <v>1328</v>
      </c>
      <c r="F795" s="104" t="s">
        <v>2686</v>
      </c>
      <c r="G795" s="104">
        <v>-3.0</v>
      </c>
      <c r="H795" s="104">
        <v>-3.0</v>
      </c>
    </row>
    <row r="796">
      <c r="A796" s="104" t="s">
        <v>2687</v>
      </c>
      <c r="B796" s="104" t="s">
        <v>159</v>
      </c>
      <c r="C796" s="104" t="s">
        <v>535</v>
      </c>
      <c r="D796" s="104" t="s">
        <v>2688</v>
      </c>
      <c r="E796" s="104" t="s">
        <v>1328</v>
      </c>
      <c r="F796" s="104" t="s">
        <v>2689</v>
      </c>
      <c r="G796" s="104">
        <v>-3.0</v>
      </c>
      <c r="H796" s="104">
        <v>-3.0</v>
      </c>
    </row>
    <row r="797">
      <c r="A797" s="104" t="s">
        <v>2690</v>
      </c>
      <c r="B797" s="104" t="s">
        <v>145</v>
      </c>
      <c r="C797" s="104" t="s">
        <v>535</v>
      </c>
      <c r="D797" s="104" t="s">
        <v>2691</v>
      </c>
      <c r="E797" s="104" t="s">
        <v>1271</v>
      </c>
      <c r="F797" s="104" t="s">
        <v>2692</v>
      </c>
      <c r="G797" s="104" t="s">
        <v>1273</v>
      </c>
      <c r="H797" s="104">
        <v>0.0</v>
      </c>
    </row>
    <row r="798">
      <c r="A798" s="104" t="s">
        <v>2693</v>
      </c>
      <c r="B798" s="104" t="s">
        <v>205</v>
      </c>
      <c r="C798" s="104" t="s">
        <v>535</v>
      </c>
      <c r="D798" s="104" t="s">
        <v>2694</v>
      </c>
      <c r="E798" s="104" t="s">
        <v>1300</v>
      </c>
      <c r="F798" s="104" t="s">
        <v>2695</v>
      </c>
      <c r="G798" s="104">
        <v>-2.0</v>
      </c>
      <c r="H798" s="104">
        <v>-2.0</v>
      </c>
    </row>
    <row r="799">
      <c r="A799" s="104" t="s">
        <v>2696</v>
      </c>
      <c r="B799" s="104" t="s">
        <v>242</v>
      </c>
      <c r="C799" s="104" t="s">
        <v>535</v>
      </c>
      <c r="D799" s="104" t="s">
        <v>2697</v>
      </c>
      <c r="E799" s="104" t="s">
        <v>1271</v>
      </c>
      <c r="F799" s="104" t="s">
        <v>2698</v>
      </c>
      <c r="G799" s="104" t="s">
        <v>1273</v>
      </c>
      <c r="H799" s="104">
        <v>0.0</v>
      </c>
    </row>
    <row r="800">
      <c r="A800" s="104" t="s">
        <v>2699</v>
      </c>
      <c r="B800" s="104" t="s">
        <v>293</v>
      </c>
      <c r="C800" s="104" t="s">
        <v>535</v>
      </c>
      <c r="D800" s="104" t="s">
        <v>2700</v>
      </c>
      <c r="E800" s="104" t="s">
        <v>1271</v>
      </c>
      <c r="F800" s="104" t="s">
        <v>2701</v>
      </c>
      <c r="G800" s="104" t="s">
        <v>1273</v>
      </c>
      <c r="H800" s="104">
        <v>0.0</v>
      </c>
    </row>
    <row r="801">
      <c r="A801" s="104" t="s">
        <v>2702</v>
      </c>
      <c r="B801" s="104" t="s">
        <v>171</v>
      </c>
      <c r="C801" s="104" t="s">
        <v>535</v>
      </c>
      <c r="D801" s="104" t="s">
        <v>2703</v>
      </c>
      <c r="E801" s="104" t="s">
        <v>1300</v>
      </c>
      <c r="F801" s="104" t="s">
        <v>2704</v>
      </c>
      <c r="G801" s="104">
        <v>-2.0</v>
      </c>
      <c r="H801" s="104">
        <v>-2.0</v>
      </c>
    </row>
    <row r="802">
      <c r="A802" s="104" t="s">
        <v>2705</v>
      </c>
      <c r="B802" s="104" t="s">
        <v>245</v>
      </c>
      <c r="C802" s="104" t="s">
        <v>535</v>
      </c>
      <c r="D802" s="104" t="s">
        <v>2706</v>
      </c>
      <c r="E802" s="104" t="s">
        <v>1283</v>
      </c>
      <c r="F802" s="104" t="s">
        <v>2707</v>
      </c>
      <c r="G802" s="104">
        <v>-1.0</v>
      </c>
      <c r="H802" s="104">
        <v>-1.0</v>
      </c>
    </row>
    <row r="803">
      <c r="A803" s="104" t="s">
        <v>2708</v>
      </c>
      <c r="B803" s="104" t="s">
        <v>205</v>
      </c>
      <c r="C803" s="104" t="s">
        <v>535</v>
      </c>
      <c r="D803" s="104" t="s">
        <v>2709</v>
      </c>
      <c r="E803" s="104" t="s">
        <v>1271</v>
      </c>
      <c r="F803" s="104" t="s">
        <v>2710</v>
      </c>
      <c r="G803" s="104" t="s">
        <v>1273</v>
      </c>
      <c r="H803" s="104">
        <v>0.0</v>
      </c>
    </row>
    <row r="804">
      <c r="A804" s="104" t="s">
        <v>2711</v>
      </c>
      <c r="B804" s="104" t="s">
        <v>197</v>
      </c>
      <c r="C804" s="104" t="s">
        <v>535</v>
      </c>
      <c r="D804" s="104" t="s">
        <v>2712</v>
      </c>
      <c r="E804" s="104" t="s">
        <v>1276</v>
      </c>
      <c r="F804" s="104" t="s">
        <v>2713</v>
      </c>
      <c r="G804" s="150">
        <f>+1</f>
        <v>1</v>
      </c>
      <c r="H804" s="104">
        <v>1.0</v>
      </c>
    </row>
    <row r="805">
      <c r="A805" s="104" t="s">
        <v>2714</v>
      </c>
      <c r="B805" s="104" t="s">
        <v>154</v>
      </c>
      <c r="C805" s="104" t="s">
        <v>535</v>
      </c>
      <c r="D805" s="104" t="s">
        <v>2715</v>
      </c>
      <c r="E805" s="104" t="s">
        <v>1271</v>
      </c>
      <c r="F805" s="104" t="s">
        <v>2716</v>
      </c>
      <c r="G805" s="104" t="s">
        <v>1273</v>
      </c>
      <c r="H805" s="104">
        <v>0.0</v>
      </c>
    </row>
    <row r="806">
      <c r="A806" s="104" t="s">
        <v>2717</v>
      </c>
      <c r="B806" s="104" t="s">
        <v>242</v>
      </c>
      <c r="C806" s="104" t="s">
        <v>535</v>
      </c>
      <c r="D806" s="104" t="s">
        <v>2718</v>
      </c>
      <c r="E806" s="104" t="s">
        <v>1283</v>
      </c>
      <c r="F806" s="104" t="s">
        <v>2719</v>
      </c>
      <c r="G806" s="104">
        <v>-1.0</v>
      </c>
      <c r="H806" s="104">
        <v>-1.0</v>
      </c>
    </row>
    <row r="807">
      <c r="A807" s="104" t="s">
        <v>2720</v>
      </c>
      <c r="B807" s="104" t="s">
        <v>164</v>
      </c>
      <c r="C807" s="104" t="s">
        <v>535</v>
      </c>
      <c r="D807" s="104" t="s">
        <v>2721</v>
      </c>
      <c r="E807" s="104" t="s">
        <v>1276</v>
      </c>
      <c r="F807" s="104" t="s">
        <v>2722</v>
      </c>
      <c r="G807" s="150">
        <f t="shared" ref="G807:G808" si="27">+1</f>
        <v>1</v>
      </c>
      <c r="H807" s="104">
        <v>1.0</v>
      </c>
    </row>
    <row r="808">
      <c r="A808" s="104" t="s">
        <v>2723</v>
      </c>
      <c r="B808" s="104" t="s">
        <v>128</v>
      </c>
      <c r="C808" s="104" t="s">
        <v>535</v>
      </c>
      <c r="D808" s="104" t="s">
        <v>2724</v>
      </c>
      <c r="E808" s="104" t="s">
        <v>1276</v>
      </c>
      <c r="F808" s="104" t="s">
        <v>2725</v>
      </c>
      <c r="G808" s="150">
        <f t="shared" si="27"/>
        <v>1</v>
      </c>
      <c r="H808" s="104">
        <v>1.0</v>
      </c>
    </row>
    <row r="809">
      <c r="A809" s="104" t="s">
        <v>2726</v>
      </c>
      <c r="B809" s="104" t="s">
        <v>181</v>
      </c>
      <c r="C809" s="104" t="s">
        <v>535</v>
      </c>
      <c r="D809" s="104" t="s">
        <v>2727</v>
      </c>
      <c r="E809" s="104" t="s">
        <v>1271</v>
      </c>
      <c r="F809" s="104" t="s">
        <v>2728</v>
      </c>
      <c r="G809" s="104" t="s">
        <v>1273</v>
      </c>
      <c r="H809" s="104">
        <v>0.0</v>
      </c>
    </row>
    <row r="810">
      <c r="A810" s="104" t="s">
        <v>2729</v>
      </c>
      <c r="B810" s="104" t="s">
        <v>217</v>
      </c>
      <c r="C810" s="104" t="s">
        <v>535</v>
      </c>
      <c r="D810" s="104" t="s">
        <v>2730</v>
      </c>
      <c r="E810" s="104" t="s">
        <v>1271</v>
      </c>
      <c r="F810" s="104" t="s">
        <v>2731</v>
      </c>
      <c r="G810" s="104" t="s">
        <v>1273</v>
      </c>
      <c r="H810" s="104">
        <v>0.0</v>
      </c>
    </row>
    <row r="811">
      <c r="A811" s="104" t="s">
        <v>2732</v>
      </c>
      <c r="B811" s="104" t="s">
        <v>163</v>
      </c>
      <c r="C811" s="104" t="s">
        <v>535</v>
      </c>
      <c r="D811" s="104" t="s">
        <v>2733</v>
      </c>
      <c r="E811" s="104" t="s">
        <v>1271</v>
      </c>
      <c r="F811" s="104" t="s">
        <v>2734</v>
      </c>
      <c r="G811" s="104" t="s">
        <v>1273</v>
      </c>
      <c r="H811" s="104">
        <v>0.0</v>
      </c>
    </row>
    <row r="812">
      <c r="A812" s="104" t="s">
        <v>2735</v>
      </c>
      <c r="B812" s="104" t="s">
        <v>159</v>
      </c>
      <c r="C812" s="104" t="s">
        <v>535</v>
      </c>
      <c r="D812" s="104" t="s">
        <v>2736</v>
      </c>
      <c r="E812" s="104" t="s">
        <v>1271</v>
      </c>
      <c r="F812" s="104" t="s">
        <v>2737</v>
      </c>
      <c r="G812" s="104" t="s">
        <v>1273</v>
      </c>
      <c r="H812" s="104">
        <v>0.0</v>
      </c>
    </row>
    <row r="813">
      <c r="A813" s="104" t="s">
        <v>2738</v>
      </c>
      <c r="B813" s="104" t="s">
        <v>231</v>
      </c>
      <c r="C813" s="104" t="s">
        <v>535</v>
      </c>
      <c r="D813" s="104" t="s">
        <v>2739</v>
      </c>
      <c r="E813" s="104" t="s">
        <v>1271</v>
      </c>
      <c r="F813" s="104" t="s">
        <v>2740</v>
      </c>
      <c r="G813" s="104" t="s">
        <v>1273</v>
      </c>
      <c r="H813" s="104">
        <v>0.0</v>
      </c>
    </row>
    <row r="814">
      <c r="A814" s="104" t="s">
        <v>2741</v>
      </c>
      <c r="B814" s="104" t="s">
        <v>223</v>
      </c>
      <c r="C814" s="104" t="s">
        <v>535</v>
      </c>
      <c r="D814" s="104" t="s">
        <v>2742</v>
      </c>
      <c r="E814" s="104" t="s">
        <v>1271</v>
      </c>
      <c r="F814" s="104" t="s">
        <v>2743</v>
      </c>
      <c r="G814" s="104" t="s">
        <v>1273</v>
      </c>
      <c r="H814" s="104">
        <v>0.0</v>
      </c>
    </row>
    <row r="815">
      <c r="A815" s="104" t="s">
        <v>2744</v>
      </c>
      <c r="B815" s="104" t="s">
        <v>225</v>
      </c>
      <c r="C815" s="104" t="s">
        <v>535</v>
      </c>
      <c r="D815" s="104" t="s">
        <v>2745</v>
      </c>
      <c r="E815" s="104" t="s">
        <v>1271</v>
      </c>
      <c r="F815" s="104" t="s">
        <v>2746</v>
      </c>
      <c r="G815" s="104" t="s">
        <v>1273</v>
      </c>
      <c r="H815" s="104">
        <v>0.0</v>
      </c>
    </row>
    <row r="816">
      <c r="A816" s="104" t="s">
        <v>2747</v>
      </c>
      <c r="B816" s="104" t="s">
        <v>228</v>
      </c>
      <c r="C816" s="104" t="s">
        <v>535</v>
      </c>
      <c r="D816" s="104" t="s">
        <v>2748</v>
      </c>
      <c r="E816" s="104" t="s">
        <v>1276</v>
      </c>
      <c r="F816" s="104" t="s">
        <v>2749</v>
      </c>
      <c r="G816" s="150">
        <f>+1</f>
        <v>1</v>
      </c>
      <c r="H816" s="104">
        <v>1.0</v>
      </c>
    </row>
    <row r="817">
      <c r="A817" s="104" t="s">
        <v>2750</v>
      </c>
      <c r="B817" s="104" t="s">
        <v>115</v>
      </c>
      <c r="C817" s="104" t="s">
        <v>535</v>
      </c>
      <c r="D817" s="104" t="s">
        <v>2751</v>
      </c>
      <c r="E817" s="104" t="s">
        <v>1290</v>
      </c>
      <c r="F817" s="104" t="s">
        <v>2752</v>
      </c>
      <c r="G817" s="150">
        <f>+3</f>
        <v>3</v>
      </c>
      <c r="H817" s="104">
        <v>3.0</v>
      </c>
    </row>
    <row r="818">
      <c r="A818" s="104" t="s">
        <v>2753</v>
      </c>
      <c r="B818" s="104" t="s">
        <v>231</v>
      </c>
      <c r="C818" s="104" t="s">
        <v>535</v>
      </c>
      <c r="D818" s="104" t="s">
        <v>2754</v>
      </c>
      <c r="E818" s="104" t="s">
        <v>1328</v>
      </c>
      <c r="F818" s="104" t="s">
        <v>2755</v>
      </c>
      <c r="G818" s="104">
        <v>-3.0</v>
      </c>
      <c r="H818" s="104">
        <v>-3.0</v>
      </c>
    </row>
    <row r="819">
      <c r="A819" s="104" t="s">
        <v>2756</v>
      </c>
      <c r="B819" s="104" t="s">
        <v>283</v>
      </c>
      <c r="C819" s="104" t="s">
        <v>535</v>
      </c>
      <c r="D819" s="104" t="s">
        <v>2757</v>
      </c>
      <c r="E819" s="104" t="s">
        <v>1300</v>
      </c>
      <c r="F819" s="104" t="s">
        <v>2758</v>
      </c>
      <c r="G819" s="104">
        <v>-2.0</v>
      </c>
      <c r="H819" s="104">
        <v>-2.0</v>
      </c>
    </row>
    <row r="820">
      <c r="A820" s="104" t="s">
        <v>2759</v>
      </c>
      <c r="B820" s="104" t="s">
        <v>258</v>
      </c>
      <c r="C820" s="104" t="s">
        <v>535</v>
      </c>
      <c r="D820" s="104" t="s">
        <v>2760</v>
      </c>
      <c r="E820" s="104" t="s">
        <v>1271</v>
      </c>
      <c r="F820" s="104" t="s">
        <v>2761</v>
      </c>
      <c r="G820" s="104" t="s">
        <v>1273</v>
      </c>
      <c r="H820" s="104">
        <v>0.0</v>
      </c>
    </row>
    <row r="821">
      <c r="A821" s="104" t="s">
        <v>2762</v>
      </c>
      <c r="B821" s="104" t="s">
        <v>140</v>
      </c>
      <c r="C821" s="104" t="s">
        <v>535</v>
      </c>
      <c r="D821" s="104" t="s">
        <v>2763</v>
      </c>
      <c r="E821" s="104" t="s">
        <v>1276</v>
      </c>
      <c r="F821" s="104" t="s">
        <v>2764</v>
      </c>
      <c r="G821" s="150">
        <f>+1</f>
        <v>1</v>
      </c>
      <c r="H821" s="104">
        <v>1.0</v>
      </c>
    </row>
    <row r="822">
      <c r="A822" s="104" t="s">
        <v>2765</v>
      </c>
      <c r="B822" s="104" t="s">
        <v>159</v>
      </c>
      <c r="C822" s="104" t="s">
        <v>535</v>
      </c>
      <c r="D822" s="104" t="s">
        <v>2766</v>
      </c>
      <c r="E822" s="104" t="s">
        <v>1290</v>
      </c>
      <c r="F822" s="104" t="s">
        <v>2767</v>
      </c>
      <c r="G822" s="150">
        <f>+3</f>
        <v>3</v>
      </c>
      <c r="H822" s="104">
        <v>3.0</v>
      </c>
    </row>
    <row r="823">
      <c r="A823" s="104" t="s">
        <v>2768</v>
      </c>
      <c r="B823" s="104" t="s">
        <v>166</v>
      </c>
      <c r="C823" s="104" t="s">
        <v>535</v>
      </c>
      <c r="D823" s="104" t="s">
        <v>2769</v>
      </c>
      <c r="E823" s="104" t="s">
        <v>1300</v>
      </c>
      <c r="F823" s="104" t="s">
        <v>2770</v>
      </c>
      <c r="G823" s="104">
        <v>-2.0</v>
      </c>
      <c r="H823" s="104">
        <v>-2.0</v>
      </c>
    </row>
    <row r="824">
      <c r="A824" s="104" t="s">
        <v>2771</v>
      </c>
      <c r="B824" s="104" t="s">
        <v>275</v>
      </c>
      <c r="C824" s="104" t="s">
        <v>535</v>
      </c>
      <c r="D824" s="104" t="s">
        <v>2772</v>
      </c>
      <c r="E824" s="104" t="s">
        <v>1271</v>
      </c>
      <c r="F824" s="104" t="s">
        <v>2773</v>
      </c>
      <c r="G824" s="104" t="s">
        <v>1273</v>
      </c>
      <c r="H824" s="104">
        <v>0.0</v>
      </c>
    </row>
    <row r="825">
      <c r="A825" s="104" t="s">
        <v>2774</v>
      </c>
      <c r="B825" s="104" t="s">
        <v>238</v>
      </c>
      <c r="C825" s="104" t="s">
        <v>535</v>
      </c>
      <c r="D825" s="104" t="s">
        <v>2775</v>
      </c>
      <c r="E825" s="104" t="s">
        <v>1271</v>
      </c>
      <c r="F825" s="104" t="s">
        <v>2776</v>
      </c>
      <c r="G825" s="104" t="s">
        <v>1273</v>
      </c>
      <c r="H825" s="104">
        <v>0.0</v>
      </c>
    </row>
    <row r="826">
      <c r="A826" s="104" t="s">
        <v>2777</v>
      </c>
      <c r="B826" s="104" t="s">
        <v>166</v>
      </c>
      <c r="C826" s="104" t="s">
        <v>535</v>
      </c>
      <c r="D826" s="104" t="s">
        <v>2778</v>
      </c>
      <c r="E826" s="104" t="s">
        <v>1271</v>
      </c>
      <c r="F826" s="104" t="s">
        <v>2779</v>
      </c>
      <c r="G826" s="104" t="s">
        <v>1273</v>
      </c>
      <c r="H826" s="104">
        <v>0.0</v>
      </c>
    </row>
    <row r="827">
      <c r="A827" s="104" t="s">
        <v>2780</v>
      </c>
      <c r="B827" s="104" t="s">
        <v>132</v>
      </c>
      <c r="C827" s="104" t="s">
        <v>535</v>
      </c>
      <c r="D827" s="104" t="s">
        <v>2781</v>
      </c>
      <c r="E827" s="104" t="s">
        <v>1276</v>
      </c>
      <c r="F827" s="104" t="s">
        <v>2782</v>
      </c>
      <c r="G827" s="150">
        <f>+1</f>
        <v>1</v>
      </c>
      <c r="H827" s="104">
        <v>1.0</v>
      </c>
    </row>
    <row r="828">
      <c r="A828" s="104" t="s">
        <v>2783</v>
      </c>
      <c r="B828" s="104" t="s">
        <v>162</v>
      </c>
      <c r="C828" s="104" t="s">
        <v>535</v>
      </c>
      <c r="D828" s="104" t="s">
        <v>2784</v>
      </c>
      <c r="E828" s="104" t="s">
        <v>1271</v>
      </c>
      <c r="F828" s="104" t="s">
        <v>2785</v>
      </c>
      <c r="G828" s="104" t="s">
        <v>1273</v>
      </c>
      <c r="H828" s="104">
        <v>0.0</v>
      </c>
    </row>
    <row r="829">
      <c r="A829" s="104" t="s">
        <v>2786</v>
      </c>
      <c r="B829" s="104" t="s">
        <v>275</v>
      </c>
      <c r="C829" s="104" t="s">
        <v>535</v>
      </c>
      <c r="D829" s="104" t="s">
        <v>2787</v>
      </c>
      <c r="E829" s="104" t="s">
        <v>1283</v>
      </c>
      <c r="F829" s="104" t="s">
        <v>2788</v>
      </c>
      <c r="G829" s="104">
        <v>-1.0</v>
      </c>
      <c r="H829" s="104">
        <v>-1.0</v>
      </c>
    </row>
    <row r="830">
      <c r="A830" s="104" t="s">
        <v>2789</v>
      </c>
      <c r="B830" s="104" t="s">
        <v>162</v>
      </c>
      <c r="C830" s="104" t="s">
        <v>535</v>
      </c>
      <c r="D830" s="104" t="s">
        <v>2790</v>
      </c>
      <c r="E830" s="104" t="s">
        <v>1300</v>
      </c>
      <c r="F830" s="104" t="s">
        <v>2791</v>
      </c>
      <c r="G830" s="104">
        <v>-2.0</v>
      </c>
      <c r="H830" s="104">
        <v>-2.0</v>
      </c>
    </row>
    <row r="831">
      <c r="A831" s="104" t="s">
        <v>2792</v>
      </c>
      <c r="B831" s="104" t="s">
        <v>285</v>
      </c>
      <c r="C831" s="104" t="s">
        <v>535</v>
      </c>
      <c r="D831" s="104" t="s">
        <v>2793</v>
      </c>
      <c r="E831" s="104" t="s">
        <v>1300</v>
      </c>
      <c r="F831" s="104" t="s">
        <v>2794</v>
      </c>
      <c r="G831" s="104">
        <v>-2.0</v>
      </c>
      <c r="H831" s="104">
        <v>-2.0</v>
      </c>
    </row>
    <row r="832">
      <c r="A832" s="104" t="s">
        <v>2795</v>
      </c>
      <c r="B832" s="104" t="s">
        <v>224</v>
      </c>
      <c r="C832" s="104" t="s">
        <v>535</v>
      </c>
      <c r="D832" s="104" t="s">
        <v>2796</v>
      </c>
      <c r="E832" s="104" t="s">
        <v>1328</v>
      </c>
      <c r="F832" s="104" t="s">
        <v>2797</v>
      </c>
      <c r="G832" s="104">
        <v>-3.0</v>
      </c>
      <c r="H832" s="104">
        <v>-3.0</v>
      </c>
    </row>
    <row r="833">
      <c r="A833" s="104" t="s">
        <v>2798</v>
      </c>
      <c r="B833" s="104" t="s">
        <v>238</v>
      </c>
      <c r="C833" s="104" t="s">
        <v>535</v>
      </c>
      <c r="D833" s="104" t="s">
        <v>2799</v>
      </c>
      <c r="E833" s="104" t="s">
        <v>1335</v>
      </c>
      <c r="F833" s="104" t="s">
        <v>2800</v>
      </c>
      <c r="G833" s="150">
        <f>+2</f>
        <v>2</v>
      </c>
      <c r="H833" s="104">
        <v>2.0</v>
      </c>
    </row>
    <row r="834">
      <c r="A834" s="104" t="s">
        <v>2801</v>
      </c>
      <c r="B834" s="104" t="s">
        <v>171</v>
      </c>
      <c r="C834" s="104" t="s">
        <v>535</v>
      </c>
      <c r="D834" s="104" t="s">
        <v>2802</v>
      </c>
      <c r="E834" s="104" t="s">
        <v>1300</v>
      </c>
      <c r="F834" s="104" t="s">
        <v>2803</v>
      </c>
      <c r="G834" s="104">
        <v>-2.0</v>
      </c>
      <c r="H834" s="104">
        <v>-2.0</v>
      </c>
    </row>
    <row r="835">
      <c r="A835" s="104" t="s">
        <v>2804</v>
      </c>
      <c r="B835" s="104" t="s">
        <v>293</v>
      </c>
      <c r="C835" s="104" t="s">
        <v>535</v>
      </c>
      <c r="D835" s="104" t="s">
        <v>2805</v>
      </c>
      <c r="E835" s="104" t="s">
        <v>1328</v>
      </c>
      <c r="F835" s="104" t="s">
        <v>2806</v>
      </c>
      <c r="G835" s="104">
        <v>-3.0</v>
      </c>
      <c r="H835" s="104">
        <v>-3.0</v>
      </c>
    </row>
    <row r="836">
      <c r="A836" s="104" t="s">
        <v>2807</v>
      </c>
      <c r="B836" s="104" t="s">
        <v>152</v>
      </c>
      <c r="C836" s="104" t="s">
        <v>535</v>
      </c>
      <c r="D836" s="104" t="s">
        <v>2808</v>
      </c>
      <c r="E836" s="104" t="s">
        <v>1335</v>
      </c>
      <c r="F836" s="104" t="s">
        <v>2809</v>
      </c>
      <c r="G836" s="150">
        <f>+2</f>
        <v>2</v>
      </c>
      <c r="H836" s="104">
        <v>2.0</v>
      </c>
    </row>
    <row r="837">
      <c r="A837" s="104" t="s">
        <v>2810</v>
      </c>
      <c r="B837" s="104" t="s">
        <v>132</v>
      </c>
      <c r="C837" s="104" t="s">
        <v>535</v>
      </c>
      <c r="D837" s="104" t="s">
        <v>2811</v>
      </c>
      <c r="E837" s="104" t="s">
        <v>1271</v>
      </c>
      <c r="F837" s="104" t="s">
        <v>2812</v>
      </c>
      <c r="G837" s="104" t="s">
        <v>1273</v>
      </c>
      <c r="H837" s="104">
        <v>0.0</v>
      </c>
    </row>
    <row r="838">
      <c r="A838" s="104" t="s">
        <v>2813</v>
      </c>
      <c r="B838" s="104" t="s">
        <v>174</v>
      </c>
      <c r="C838" s="104" t="s">
        <v>535</v>
      </c>
      <c r="D838" s="104" t="s">
        <v>2814</v>
      </c>
      <c r="E838" s="104" t="s">
        <v>1271</v>
      </c>
      <c r="F838" s="104" t="s">
        <v>2815</v>
      </c>
      <c r="G838" s="104" t="s">
        <v>1273</v>
      </c>
      <c r="H838" s="104">
        <v>0.0</v>
      </c>
    </row>
    <row r="839">
      <c r="A839" s="104" t="s">
        <v>2816</v>
      </c>
      <c r="B839" s="104" t="s">
        <v>171</v>
      </c>
      <c r="C839" s="104" t="s">
        <v>535</v>
      </c>
      <c r="D839" s="104" t="s">
        <v>2817</v>
      </c>
      <c r="E839" s="104" t="s">
        <v>1271</v>
      </c>
      <c r="F839" s="104" t="s">
        <v>2818</v>
      </c>
      <c r="G839" s="104" t="s">
        <v>1273</v>
      </c>
      <c r="H839" s="104">
        <v>0.0</v>
      </c>
    </row>
    <row r="840">
      <c r="A840" s="104" t="s">
        <v>2819</v>
      </c>
      <c r="B840" s="104" t="s">
        <v>132</v>
      </c>
      <c r="C840" s="104" t="s">
        <v>535</v>
      </c>
      <c r="D840" s="104" t="s">
        <v>2820</v>
      </c>
      <c r="E840" s="104" t="s">
        <v>1328</v>
      </c>
      <c r="F840" s="104" t="s">
        <v>2821</v>
      </c>
      <c r="G840" s="104">
        <v>-3.0</v>
      </c>
      <c r="H840" s="104">
        <v>-3.0</v>
      </c>
    </row>
    <row r="841">
      <c r="A841" s="104" t="s">
        <v>2822</v>
      </c>
      <c r="B841" s="104" t="s">
        <v>108</v>
      </c>
      <c r="C841" s="104" t="s">
        <v>535</v>
      </c>
      <c r="D841" s="104" t="s">
        <v>2823</v>
      </c>
      <c r="E841" s="104" t="s">
        <v>1300</v>
      </c>
      <c r="F841" s="104" t="s">
        <v>2824</v>
      </c>
      <c r="G841" s="104">
        <v>-2.0</v>
      </c>
      <c r="H841" s="104">
        <v>-2.0</v>
      </c>
    </row>
    <row r="842">
      <c r="A842" s="104" t="s">
        <v>2825</v>
      </c>
      <c r="B842" s="104" t="s">
        <v>94</v>
      </c>
      <c r="C842" s="104" t="s">
        <v>535</v>
      </c>
      <c r="D842" s="104" t="s">
        <v>2826</v>
      </c>
      <c r="E842" s="104" t="s">
        <v>1271</v>
      </c>
      <c r="F842" s="104" t="s">
        <v>2827</v>
      </c>
      <c r="G842" s="104" t="s">
        <v>1273</v>
      </c>
      <c r="H842" s="104">
        <v>0.0</v>
      </c>
    </row>
    <row r="843">
      <c r="A843" s="104" t="s">
        <v>2828</v>
      </c>
      <c r="B843" s="104" t="s">
        <v>171</v>
      </c>
      <c r="C843" s="104" t="s">
        <v>535</v>
      </c>
      <c r="D843" s="104" t="s">
        <v>2829</v>
      </c>
      <c r="E843" s="104" t="s">
        <v>1276</v>
      </c>
      <c r="F843" s="104" t="s">
        <v>2830</v>
      </c>
      <c r="G843" s="150">
        <f>+1</f>
        <v>1</v>
      </c>
      <c r="H843" s="104">
        <v>1.0</v>
      </c>
    </row>
    <row r="844">
      <c r="A844" s="104" t="s">
        <v>2831</v>
      </c>
      <c r="B844" s="104" t="s">
        <v>253</v>
      </c>
      <c r="C844" s="104" t="s">
        <v>535</v>
      </c>
      <c r="D844" s="104" t="s">
        <v>2832</v>
      </c>
      <c r="E844" s="104" t="s">
        <v>1271</v>
      </c>
      <c r="F844" s="104" t="s">
        <v>2833</v>
      </c>
      <c r="G844" s="104" t="s">
        <v>1273</v>
      </c>
      <c r="H844" s="104">
        <v>0.0</v>
      </c>
    </row>
    <row r="845">
      <c r="A845" s="104" t="s">
        <v>2834</v>
      </c>
      <c r="B845" s="104" t="s">
        <v>128</v>
      </c>
      <c r="C845" s="104" t="s">
        <v>535</v>
      </c>
      <c r="D845" s="104" t="s">
        <v>2835</v>
      </c>
      <c r="E845" s="104" t="s">
        <v>1271</v>
      </c>
      <c r="F845" s="104" t="s">
        <v>2836</v>
      </c>
      <c r="G845" s="104" t="s">
        <v>1273</v>
      </c>
      <c r="H845" s="104">
        <v>0.0</v>
      </c>
    </row>
    <row r="846">
      <c r="A846" s="104" t="s">
        <v>2837</v>
      </c>
      <c r="B846" s="104" t="s">
        <v>210</v>
      </c>
      <c r="C846" s="104" t="s">
        <v>535</v>
      </c>
      <c r="D846" s="104" t="s">
        <v>2838</v>
      </c>
      <c r="E846" s="104" t="s">
        <v>1271</v>
      </c>
      <c r="F846" s="104" t="s">
        <v>2839</v>
      </c>
      <c r="G846" s="104" t="s">
        <v>1273</v>
      </c>
      <c r="H846" s="104">
        <v>0.0</v>
      </c>
    </row>
    <row r="847">
      <c r="A847" s="104" t="s">
        <v>2840</v>
      </c>
      <c r="B847" s="104" t="s">
        <v>303</v>
      </c>
      <c r="C847" s="104" t="s">
        <v>535</v>
      </c>
      <c r="D847" s="104" t="s">
        <v>2841</v>
      </c>
      <c r="E847" s="104" t="s">
        <v>1300</v>
      </c>
      <c r="F847" s="104" t="s">
        <v>2842</v>
      </c>
      <c r="G847" s="104">
        <v>-2.0</v>
      </c>
      <c r="H847" s="104">
        <v>-2.0</v>
      </c>
    </row>
    <row r="848">
      <c r="A848" s="104" t="s">
        <v>2843</v>
      </c>
      <c r="B848" s="104" t="s">
        <v>112</v>
      </c>
      <c r="C848" s="104" t="s">
        <v>535</v>
      </c>
      <c r="D848" s="104" t="s">
        <v>2844</v>
      </c>
      <c r="E848" s="104" t="s">
        <v>1300</v>
      </c>
      <c r="F848" s="104" t="s">
        <v>2845</v>
      </c>
      <c r="G848" s="104">
        <v>-2.0</v>
      </c>
      <c r="H848" s="104">
        <v>-2.0</v>
      </c>
    </row>
    <row r="849">
      <c r="A849" s="104" t="s">
        <v>2846</v>
      </c>
      <c r="B849" s="104" t="s">
        <v>160</v>
      </c>
      <c r="C849" s="104" t="s">
        <v>535</v>
      </c>
      <c r="D849" s="104" t="s">
        <v>2847</v>
      </c>
      <c r="E849" s="104" t="s">
        <v>1271</v>
      </c>
      <c r="F849" s="104" t="s">
        <v>2848</v>
      </c>
      <c r="G849" s="104" t="s">
        <v>1273</v>
      </c>
      <c r="H849" s="104">
        <v>0.0</v>
      </c>
    </row>
    <row r="850">
      <c r="A850" s="104" t="s">
        <v>2849</v>
      </c>
      <c r="B850" s="104" t="s">
        <v>197</v>
      </c>
      <c r="C850" s="104" t="s">
        <v>535</v>
      </c>
      <c r="D850" s="104" t="s">
        <v>2850</v>
      </c>
      <c r="E850" s="104" t="s">
        <v>1271</v>
      </c>
      <c r="F850" s="104" t="s">
        <v>2851</v>
      </c>
      <c r="G850" s="104" t="s">
        <v>1273</v>
      </c>
      <c r="H850" s="104">
        <v>0.0</v>
      </c>
    </row>
    <row r="851">
      <c r="A851" s="104" t="s">
        <v>2852</v>
      </c>
      <c r="B851" s="104" t="s">
        <v>289</v>
      </c>
      <c r="C851" s="104" t="s">
        <v>535</v>
      </c>
      <c r="D851" s="104" t="s">
        <v>2853</v>
      </c>
      <c r="E851" s="104" t="s">
        <v>1290</v>
      </c>
      <c r="F851" s="104" t="s">
        <v>2854</v>
      </c>
      <c r="G851" s="150">
        <f>+3</f>
        <v>3</v>
      </c>
      <c r="H851" s="104">
        <v>3.0</v>
      </c>
    </row>
    <row r="852">
      <c r="A852" s="104" t="s">
        <v>2855</v>
      </c>
      <c r="B852" s="104" t="s">
        <v>164</v>
      </c>
      <c r="C852" s="104" t="s">
        <v>535</v>
      </c>
      <c r="D852" s="104" t="s">
        <v>2856</v>
      </c>
      <c r="E852" s="104" t="s">
        <v>1335</v>
      </c>
      <c r="F852" s="104" t="s">
        <v>2857</v>
      </c>
      <c r="G852" s="150">
        <f>+2</f>
        <v>2</v>
      </c>
      <c r="H852" s="104">
        <v>2.0</v>
      </c>
    </row>
    <row r="853">
      <c r="A853" s="104" t="s">
        <v>2858</v>
      </c>
      <c r="B853" s="104" t="s">
        <v>302</v>
      </c>
      <c r="C853" s="104" t="s">
        <v>535</v>
      </c>
      <c r="D853" s="104" t="s">
        <v>2859</v>
      </c>
      <c r="E853" s="104" t="s">
        <v>1283</v>
      </c>
      <c r="F853" s="104" t="s">
        <v>2860</v>
      </c>
      <c r="G853" s="104">
        <v>-1.0</v>
      </c>
      <c r="H853" s="104">
        <v>-1.0</v>
      </c>
    </row>
    <row r="854">
      <c r="A854" s="104" t="s">
        <v>2861</v>
      </c>
      <c r="B854" s="104" t="s">
        <v>289</v>
      </c>
      <c r="C854" s="104" t="s">
        <v>535</v>
      </c>
      <c r="D854" s="104" t="s">
        <v>2862</v>
      </c>
      <c r="E854" s="104" t="s">
        <v>1276</v>
      </c>
      <c r="F854" s="104" t="s">
        <v>2863</v>
      </c>
      <c r="G854" s="150">
        <f>+1</f>
        <v>1</v>
      </c>
      <c r="H854" s="104">
        <v>1.0</v>
      </c>
    </row>
    <row r="855">
      <c r="A855" s="104" t="s">
        <v>2864</v>
      </c>
      <c r="B855" s="104" t="s">
        <v>303</v>
      </c>
      <c r="C855" s="104" t="s">
        <v>535</v>
      </c>
      <c r="D855" s="104" t="s">
        <v>2865</v>
      </c>
      <c r="E855" s="104" t="s">
        <v>1271</v>
      </c>
      <c r="F855" s="104" t="s">
        <v>2866</v>
      </c>
      <c r="G855" s="104" t="s">
        <v>1273</v>
      </c>
      <c r="H855" s="104">
        <v>0.0</v>
      </c>
    </row>
    <row r="856">
      <c r="A856" s="104" t="s">
        <v>2867</v>
      </c>
      <c r="B856" s="104" t="s">
        <v>150</v>
      </c>
      <c r="C856" s="104" t="s">
        <v>535</v>
      </c>
      <c r="D856" s="104" t="s">
        <v>2868</v>
      </c>
      <c r="E856" s="104" t="s">
        <v>1276</v>
      </c>
      <c r="F856" s="104" t="s">
        <v>2869</v>
      </c>
      <c r="G856" s="150">
        <f>+1</f>
        <v>1</v>
      </c>
      <c r="H856" s="104">
        <v>1.0</v>
      </c>
    </row>
    <row r="857">
      <c r="A857" s="104" t="s">
        <v>2870</v>
      </c>
      <c r="B857" s="104" t="s">
        <v>204</v>
      </c>
      <c r="C857" s="104" t="s">
        <v>535</v>
      </c>
      <c r="D857" s="104" t="s">
        <v>2871</v>
      </c>
      <c r="E857" s="104" t="s">
        <v>1300</v>
      </c>
      <c r="F857" s="104" t="s">
        <v>2872</v>
      </c>
      <c r="G857" s="104">
        <v>-2.0</v>
      </c>
      <c r="H857" s="104">
        <v>-2.0</v>
      </c>
    </row>
    <row r="858">
      <c r="A858" s="104" t="s">
        <v>2873</v>
      </c>
      <c r="B858" s="104" t="s">
        <v>238</v>
      </c>
      <c r="C858" s="104" t="s">
        <v>535</v>
      </c>
      <c r="D858" s="104" t="s">
        <v>2874</v>
      </c>
      <c r="E858" s="104" t="s">
        <v>1271</v>
      </c>
      <c r="F858" s="104" t="s">
        <v>2875</v>
      </c>
      <c r="G858" s="104" t="s">
        <v>1273</v>
      </c>
      <c r="H858" s="104">
        <v>0.0</v>
      </c>
    </row>
    <row r="859">
      <c r="A859" s="104" t="s">
        <v>2876</v>
      </c>
      <c r="B859" s="104" t="s">
        <v>204</v>
      </c>
      <c r="C859" s="104" t="s">
        <v>535</v>
      </c>
      <c r="D859" s="104" t="s">
        <v>2877</v>
      </c>
      <c r="E859" s="104" t="s">
        <v>1271</v>
      </c>
      <c r="F859" s="104" t="s">
        <v>2878</v>
      </c>
      <c r="G859" s="104" t="s">
        <v>1273</v>
      </c>
      <c r="H859" s="104">
        <v>0.0</v>
      </c>
    </row>
    <row r="860">
      <c r="A860" s="104" t="s">
        <v>2879</v>
      </c>
      <c r="B860" s="104" t="s">
        <v>284</v>
      </c>
      <c r="C860" s="104" t="s">
        <v>535</v>
      </c>
      <c r="D860" s="104" t="s">
        <v>2880</v>
      </c>
      <c r="E860" s="104" t="s">
        <v>1276</v>
      </c>
      <c r="F860" s="104" t="s">
        <v>2881</v>
      </c>
      <c r="G860" s="150">
        <f t="shared" ref="G860:G861" si="28">+1</f>
        <v>1</v>
      </c>
      <c r="H860" s="104">
        <v>1.0</v>
      </c>
    </row>
    <row r="861">
      <c r="A861" s="104" t="s">
        <v>2882</v>
      </c>
      <c r="B861" s="104" t="s">
        <v>164</v>
      </c>
      <c r="C861" s="104" t="s">
        <v>535</v>
      </c>
      <c r="D861" s="104" t="s">
        <v>2883</v>
      </c>
      <c r="E861" s="104" t="s">
        <v>1276</v>
      </c>
      <c r="F861" s="104" t="s">
        <v>2884</v>
      </c>
      <c r="G861" s="150">
        <f t="shared" si="28"/>
        <v>1</v>
      </c>
      <c r="H861" s="104">
        <v>1.0</v>
      </c>
    </row>
    <row r="862">
      <c r="A862" s="104" t="s">
        <v>2885</v>
      </c>
      <c r="B862" s="104" t="s">
        <v>169</v>
      </c>
      <c r="C862" s="104" t="s">
        <v>535</v>
      </c>
      <c r="D862" s="104" t="s">
        <v>2886</v>
      </c>
      <c r="E862" s="104" t="s">
        <v>1271</v>
      </c>
      <c r="F862" s="104" t="s">
        <v>2887</v>
      </c>
      <c r="G862" s="104" t="s">
        <v>1273</v>
      </c>
      <c r="H862" s="104">
        <v>0.0</v>
      </c>
    </row>
    <row r="863">
      <c r="A863" s="104" t="s">
        <v>2888</v>
      </c>
      <c r="B863" s="104" t="s">
        <v>263</v>
      </c>
      <c r="C863" s="104" t="s">
        <v>535</v>
      </c>
      <c r="D863" s="104" t="s">
        <v>2889</v>
      </c>
      <c r="E863" s="104" t="s">
        <v>1271</v>
      </c>
      <c r="F863" s="104" t="s">
        <v>2890</v>
      </c>
      <c r="G863" s="104" t="s">
        <v>1273</v>
      </c>
      <c r="H863" s="104">
        <v>0.0</v>
      </c>
    </row>
    <row r="864">
      <c r="A864" s="104" t="s">
        <v>2891</v>
      </c>
      <c r="B864" s="104" t="s">
        <v>169</v>
      </c>
      <c r="C864" s="104" t="s">
        <v>535</v>
      </c>
      <c r="D864" s="104" t="s">
        <v>2892</v>
      </c>
      <c r="E864" s="104" t="s">
        <v>1276</v>
      </c>
      <c r="F864" s="104" t="s">
        <v>2893</v>
      </c>
      <c r="G864" s="150">
        <f>+1</f>
        <v>1</v>
      </c>
      <c r="H864" s="104">
        <v>1.0</v>
      </c>
    </row>
    <row r="865">
      <c r="A865" s="104" t="s">
        <v>2894</v>
      </c>
      <c r="B865" s="104" t="s">
        <v>296</v>
      </c>
      <c r="C865" s="104" t="s">
        <v>535</v>
      </c>
      <c r="D865" s="104" t="s">
        <v>2895</v>
      </c>
      <c r="E865" s="104" t="s">
        <v>1271</v>
      </c>
      <c r="F865" s="104" t="s">
        <v>2896</v>
      </c>
      <c r="G865" s="104" t="s">
        <v>1273</v>
      </c>
      <c r="H865" s="104">
        <v>0.0</v>
      </c>
    </row>
    <row r="866">
      <c r="A866" s="104" t="s">
        <v>2897</v>
      </c>
      <c r="B866" s="104" t="s">
        <v>161</v>
      </c>
      <c r="C866" s="104" t="s">
        <v>535</v>
      </c>
      <c r="D866" s="104" t="s">
        <v>2898</v>
      </c>
      <c r="E866" s="104" t="s">
        <v>1335</v>
      </c>
      <c r="F866" s="104" t="s">
        <v>2899</v>
      </c>
      <c r="G866" s="150">
        <f>+2</f>
        <v>2</v>
      </c>
      <c r="H866" s="104">
        <v>2.0</v>
      </c>
    </row>
    <row r="867">
      <c r="A867" s="104" t="s">
        <v>2900</v>
      </c>
      <c r="B867" s="104" t="s">
        <v>117</v>
      </c>
      <c r="C867" s="104" t="s">
        <v>535</v>
      </c>
      <c r="D867" s="104" t="s">
        <v>2901</v>
      </c>
      <c r="E867" s="104" t="s">
        <v>1283</v>
      </c>
      <c r="F867" s="104" t="s">
        <v>2902</v>
      </c>
      <c r="G867" s="104">
        <v>-1.0</v>
      </c>
      <c r="H867" s="104">
        <v>-1.0</v>
      </c>
    </row>
    <row r="868">
      <c r="A868" s="104" t="s">
        <v>2903</v>
      </c>
      <c r="B868" s="104" t="s">
        <v>284</v>
      </c>
      <c r="C868" s="104" t="s">
        <v>535</v>
      </c>
      <c r="D868" s="104" t="s">
        <v>2904</v>
      </c>
      <c r="E868" s="104" t="s">
        <v>1271</v>
      </c>
      <c r="F868" s="104" t="s">
        <v>2905</v>
      </c>
      <c r="G868" s="104" t="s">
        <v>1273</v>
      </c>
      <c r="H868" s="104">
        <v>0.0</v>
      </c>
    </row>
    <row r="869">
      <c r="A869" s="104" t="s">
        <v>2906</v>
      </c>
      <c r="B869" s="104" t="s">
        <v>244</v>
      </c>
      <c r="C869" s="104" t="s">
        <v>535</v>
      </c>
      <c r="D869" s="104" t="s">
        <v>2907</v>
      </c>
      <c r="E869" s="104" t="s">
        <v>1300</v>
      </c>
      <c r="F869" s="104" t="s">
        <v>2908</v>
      </c>
      <c r="G869" s="104">
        <v>-2.0</v>
      </c>
      <c r="H869" s="104">
        <v>-2.0</v>
      </c>
    </row>
    <row r="870">
      <c r="A870" s="104" t="s">
        <v>2909</v>
      </c>
      <c r="B870" s="104" t="s">
        <v>274</v>
      </c>
      <c r="C870" s="104" t="s">
        <v>535</v>
      </c>
      <c r="D870" s="104" t="s">
        <v>2910</v>
      </c>
      <c r="E870" s="104" t="s">
        <v>1271</v>
      </c>
      <c r="F870" s="104" t="s">
        <v>2911</v>
      </c>
      <c r="G870" s="104" t="s">
        <v>1273</v>
      </c>
      <c r="H870" s="104">
        <v>0.0</v>
      </c>
    </row>
    <row r="871">
      <c r="A871" s="104" t="s">
        <v>2912</v>
      </c>
      <c r="B871" s="104" t="s">
        <v>184</v>
      </c>
      <c r="C871" s="104" t="s">
        <v>535</v>
      </c>
      <c r="D871" s="104" t="s">
        <v>2913</v>
      </c>
      <c r="E871" s="104" t="s">
        <v>1271</v>
      </c>
      <c r="F871" s="104" t="s">
        <v>2914</v>
      </c>
      <c r="G871" s="104" t="s">
        <v>1273</v>
      </c>
      <c r="H871" s="104">
        <v>0.0</v>
      </c>
    </row>
    <row r="872">
      <c r="A872" s="104" t="s">
        <v>2915</v>
      </c>
      <c r="B872" s="104" t="s">
        <v>296</v>
      </c>
      <c r="C872" s="104" t="s">
        <v>535</v>
      </c>
      <c r="D872" s="104" t="s">
        <v>2916</v>
      </c>
      <c r="E872" s="104" t="s">
        <v>1335</v>
      </c>
      <c r="F872" s="104" t="s">
        <v>2917</v>
      </c>
      <c r="G872" s="150">
        <f t="shared" ref="G872:G874" si="29">+2</f>
        <v>2</v>
      </c>
      <c r="H872" s="104">
        <v>2.0</v>
      </c>
    </row>
    <row r="873">
      <c r="A873" s="104" t="s">
        <v>2918</v>
      </c>
      <c r="B873" s="104" t="s">
        <v>289</v>
      </c>
      <c r="C873" s="104" t="s">
        <v>535</v>
      </c>
      <c r="D873" s="104" t="s">
        <v>2919</v>
      </c>
      <c r="E873" s="104" t="s">
        <v>1335</v>
      </c>
      <c r="F873" s="104" t="s">
        <v>2920</v>
      </c>
      <c r="G873" s="150">
        <f t="shared" si="29"/>
        <v>2</v>
      </c>
      <c r="H873" s="104">
        <v>2.0</v>
      </c>
    </row>
    <row r="874">
      <c r="A874" s="104" t="s">
        <v>2921</v>
      </c>
      <c r="B874" s="104" t="s">
        <v>260</v>
      </c>
      <c r="C874" s="104" t="s">
        <v>535</v>
      </c>
      <c r="D874" s="104" t="s">
        <v>2922</v>
      </c>
      <c r="E874" s="104" t="s">
        <v>1335</v>
      </c>
      <c r="F874" s="104" t="s">
        <v>2923</v>
      </c>
      <c r="G874" s="150">
        <f t="shared" si="29"/>
        <v>2</v>
      </c>
      <c r="H874" s="104">
        <v>2.0</v>
      </c>
    </row>
    <row r="875">
      <c r="A875" s="104" t="s">
        <v>2924</v>
      </c>
      <c r="B875" s="104" t="s">
        <v>176</v>
      </c>
      <c r="C875" s="104" t="s">
        <v>535</v>
      </c>
      <c r="D875" s="104" t="s">
        <v>2925</v>
      </c>
      <c r="E875" s="104" t="s">
        <v>1271</v>
      </c>
      <c r="F875" s="104" t="s">
        <v>2926</v>
      </c>
      <c r="G875" s="104" t="s">
        <v>1273</v>
      </c>
      <c r="H875" s="104">
        <v>0.0</v>
      </c>
    </row>
    <row r="876">
      <c r="A876" s="104" t="s">
        <v>2927</v>
      </c>
      <c r="B876" s="104" t="s">
        <v>260</v>
      </c>
      <c r="C876" s="104" t="s">
        <v>535</v>
      </c>
      <c r="D876" s="104" t="s">
        <v>2928</v>
      </c>
      <c r="E876" s="104" t="s">
        <v>1271</v>
      </c>
      <c r="F876" s="104" t="s">
        <v>2929</v>
      </c>
      <c r="G876" s="104" t="s">
        <v>1273</v>
      </c>
      <c r="H876" s="104">
        <v>0.0</v>
      </c>
    </row>
    <row r="877">
      <c r="A877" s="104" t="s">
        <v>2930</v>
      </c>
      <c r="B877" s="104" t="s">
        <v>228</v>
      </c>
      <c r="C877" s="104" t="s">
        <v>535</v>
      </c>
      <c r="D877" s="104" t="s">
        <v>2931</v>
      </c>
      <c r="E877" s="104" t="s">
        <v>1271</v>
      </c>
      <c r="F877" s="104" t="s">
        <v>2932</v>
      </c>
      <c r="G877" s="104" t="s">
        <v>1273</v>
      </c>
      <c r="H877" s="104">
        <v>0.0</v>
      </c>
    </row>
    <row r="878">
      <c r="A878" s="104" t="s">
        <v>2933</v>
      </c>
      <c r="B878" s="104" t="s">
        <v>176</v>
      </c>
      <c r="C878" s="104" t="s">
        <v>535</v>
      </c>
      <c r="D878" s="104" t="s">
        <v>2934</v>
      </c>
      <c r="E878" s="104" t="s">
        <v>1328</v>
      </c>
      <c r="F878" s="104" t="s">
        <v>2935</v>
      </c>
      <c r="G878" s="104">
        <v>-3.0</v>
      </c>
      <c r="H878" s="104">
        <v>-3.0</v>
      </c>
    </row>
    <row r="879">
      <c r="A879" s="104" t="s">
        <v>2936</v>
      </c>
      <c r="B879" s="104" t="s">
        <v>162</v>
      </c>
      <c r="C879" s="104" t="s">
        <v>535</v>
      </c>
      <c r="D879" s="104" t="s">
        <v>2937</v>
      </c>
      <c r="E879" s="104" t="s">
        <v>1271</v>
      </c>
      <c r="F879" s="104" t="s">
        <v>2938</v>
      </c>
      <c r="G879" s="104" t="s">
        <v>1273</v>
      </c>
      <c r="H879" s="104">
        <v>0.0</v>
      </c>
    </row>
    <row r="880">
      <c r="A880" s="104" t="s">
        <v>2939</v>
      </c>
      <c r="B880" s="104" t="s">
        <v>135</v>
      </c>
      <c r="C880" s="104" t="s">
        <v>535</v>
      </c>
      <c r="D880" s="104" t="s">
        <v>2940</v>
      </c>
      <c r="E880" s="104" t="s">
        <v>1271</v>
      </c>
      <c r="F880" s="104" t="s">
        <v>2941</v>
      </c>
      <c r="G880" s="104" t="s">
        <v>1273</v>
      </c>
      <c r="H880" s="104">
        <v>0.0</v>
      </c>
    </row>
    <row r="881">
      <c r="A881" s="104" t="s">
        <v>2942</v>
      </c>
      <c r="B881" s="104" t="s">
        <v>212</v>
      </c>
      <c r="C881" s="104" t="s">
        <v>535</v>
      </c>
      <c r="D881" s="104" t="s">
        <v>2943</v>
      </c>
      <c r="E881" s="104" t="s">
        <v>1300</v>
      </c>
      <c r="F881" s="104" t="s">
        <v>2944</v>
      </c>
      <c r="G881" s="104">
        <v>-2.0</v>
      </c>
      <c r="H881" s="104">
        <v>-2.0</v>
      </c>
    </row>
    <row r="882">
      <c r="A882" s="104" t="s">
        <v>2945</v>
      </c>
      <c r="B882" s="104" t="s">
        <v>217</v>
      </c>
      <c r="C882" s="104" t="s">
        <v>535</v>
      </c>
      <c r="D882" s="104" t="s">
        <v>2946</v>
      </c>
      <c r="E882" s="104" t="s">
        <v>1335</v>
      </c>
      <c r="F882" s="104" t="s">
        <v>2947</v>
      </c>
      <c r="G882" s="150">
        <f>+2</f>
        <v>2</v>
      </c>
      <c r="H882" s="104">
        <v>2.0</v>
      </c>
    </row>
    <row r="883">
      <c r="A883" s="104" t="s">
        <v>2948</v>
      </c>
      <c r="B883" s="104" t="s">
        <v>140</v>
      </c>
      <c r="C883" s="104" t="s">
        <v>535</v>
      </c>
      <c r="D883" s="104" t="s">
        <v>2949</v>
      </c>
      <c r="E883" s="104" t="s">
        <v>1271</v>
      </c>
      <c r="F883" s="104" t="s">
        <v>2950</v>
      </c>
      <c r="G883" s="104" t="s">
        <v>1273</v>
      </c>
      <c r="H883" s="104">
        <v>0.0</v>
      </c>
    </row>
    <row r="884">
      <c r="A884" s="104" t="s">
        <v>2951</v>
      </c>
      <c r="B884" s="104" t="s">
        <v>113</v>
      </c>
      <c r="C884" s="104" t="s">
        <v>535</v>
      </c>
      <c r="D884" s="104" t="s">
        <v>2952</v>
      </c>
      <c r="E884" s="104" t="s">
        <v>1271</v>
      </c>
      <c r="F884" s="104" t="s">
        <v>2953</v>
      </c>
      <c r="G884" s="104" t="s">
        <v>1273</v>
      </c>
      <c r="H884" s="104">
        <v>0.0</v>
      </c>
    </row>
    <row r="885">
      <c r="A885" s="104" t="s">
        <v>2954</v>
      </c>
      <c r="B885" s="104" t="s">
        <v>184</v>
      </c>
      <c r="C885" s="104" t="s">
        <v>535</v>
      </c>
      <c r="D885" s="104" t="s">
        <v>2955</v>
      </c>
      <c r="E885" s="104" t="s">
        <v>1328</v>
      </c>
      <c r="F885" s="104" t="s">
        <v>2956</v>
      </c>
      <c r="G885" s="104">
        <v>-3.0</v>
      </c>
      <c r="H885" s="104">
        <v>-3.0</v>
      </c>
    </row>
    <row r="886">
      <c r="A886" s="104" t="s">
        <v>2957</v>
      </c>
      <c r="B886" s="104" t="s">
        <v>217</v>
      </c>
      <c r="C886" s="104" t="s">
        <v>535</v>
      </c>
      <c r="D886" s="104" t="s">
        <v>2958</v>
      </c>
      <c r="E886" s="104" t="s">
        <v>1271</v>
      </c>
      <c r="F886" s="104" t="s">
        <v>2959</v>
      </c>
      <c r="G886" s="104" t="s">
        <v>1273</v>
      </c>
      <c r="H886" s="104">
        <v>0.0</v>
      </c>
    </row>
    <row r="887">
      <c r="A887" s="104" t="s">
        <v>2960</v>
      </c>
      <c r="B887" s="104" t="s">
        <v>321</v>
      </c>
      <c r="C887" s="104" t="s">
        <v>535</v>
      </c>
      <c r="D887" s="104" t="s">
        <v>2961</v>
      </c>
      <c r="E887" s="104" t="s">
        <v>1300</v>
      </c>
      <c r="F887" s="104" t="s">
        <v>2962</v>
      </c>
      <c r="G887" s="104">
        <v>-2.0</v>
      </c>
      <c r="H887" s="104">
        <v>-2.0</v>
      </c>
    </row>
    <row r="888">
      <c r="A888" s="104" t="s">
        <v>2963</v>
      </c>
      <c r="B888" s="104" t="s">
        <v>321</v>
      </c>
      <c r="C888" s="104" t="s">
        <v>535</v>
      </c>
      <c r="D888" s="104" t="s">
        <v>2964</v>
      </c>
      <c r="E888" s="104" t="s">
        <v>1335</v>
      </c>
      <c r="F888" s="104" t="s">
        <v>2965</v>
      </c>
      <c r="G888" s="150">
        <f>+2</f>
        <v>2</v>
      </c>
      <c r="H888" s="104">
        <v>2.0</v>
      </c>
    </row>
    <row r="889">
      <c r="A889" s="104" t="s">
        <v>2966</v>
      </c>
      <c r="B889" s="104" t="s">
        <v>82</v>
      </c>
      <c r="C889" s="104" t="s">
        <v>535</v>
      </c>
      <c r="D889" s="104" t="s">
        <v>2967</v>
      </c>
      <c r="E889" s="104" t="s">
        <v>537</v>
      </c>
      <c r="F889" s="104" t="s">
        <v>2968</v>
      </c>
      <c r="G889" s="150">
        <f>+1</f>
        <v>1</v>
      </c>
      <c r="H889" s="104">
        <v>1.0</v>
      </c>
    </row>
    <row r="890">
      <c r="A890" s="104" t="s">
        <v>2969</v>
      </c>
      <c r="B890" s="104" t="s">
        <v>82</v>
      </c>
      <c r="C890" s="104" t="s">
        <v>535</v>
      </c>
      <c r="D890" s="104" t="s">
        <v>2970</v>
      </c>
      <c r="E890" s="104" t="s">
        <v>1271</v>
      </c>
      <c r="F890" s="104" t="s">
        <v>2971</v>
      </c>
      <c r="G890" s="104" t="s">
        <v>1273</v>
      </c>
      <c r="H890" s="104">
        <v>0.0</v>
      </c>
    </row>
    <row r="891">
      <c r="A891" s="104" t="s">
        <v>2972</v>
      </c>
      <c r="B891" s="104" t="s">
        <v>82</v>
      </c>
      <c r="C891" s="104" t="s">
        <v>535</v>
      </c>
      <c r="D891" s="104" t="s">
        <v>2973</v>
      </c>
      <c r="E891" s="104" t="s">
        <v>1300</v>
      </c>
      <c r="F891" s="104" t="s">
        <v>2974</v>
      </c>
      <c r="G891" s="104">
        <v>-2.0</v>
      </c>
      <c r="H891" s="104">
        <v>-2.0</v>
      </c>
    </row>
    <row r="892">
      <c r="A892" s="104" t="s">
        <v>2975</v>
      </c>
      <c r="B892" s="104" t="s">
        <v>82</v>
      </c>
      <c r="C892" s="104" t="s">
        <v>535</v>
      </c>
      <c r="D892" s="104" t="s">
        <v>2976</v>
      </c>
      <c r="E892" s="104" t="s">
        <v>1271</v>
      </c>
      <c r="F892" s="104" t="s">
        <v>2977</v>
      </c>
      <c r="G892" s="104" t="s">
        <v>1273</v>
      </c>
      <c r="H892" s="104">
        <v>0.0</v>
      </c>
    </row>
    <row r="893">
      <c r="A893" s="104" t="s">
        <v>2978</v>
      </c>
      <c r="B893" s="104" t="s">
        <v>204</v>
      </c>
      <c r="C893" s="104" t="s">
        <v>535</v>
      </c>
      <c r="D893" s="104" t="s">
        <v>2979</v>
      </c>
      <c r="E893" s="104" t="s">
        <v>1300</v>
      </c>
      <c r="F893" s="104" t="s">
        <v>2980</v>
      </c>
      <c r="G893" s="104">
        <v>-2.0</v>
      </c>
      <c r="H893" s="104">
        <v>-2.0</v>
      </c>
    </row>
    <row r="894">
      <c r="A894" s="104" t="s">
        <v>2981</v>
      </c>
      <c r="B894" s="104" t="s">
        <v>183</v>
      </c>
      <c r="C894" s="104" t="s">
        <v>535</v>
      </c>
      <c r="D894" s="104" t="s">
        <v>2982</v>
      </c>
      <c r="E894" s="104" t="s">
        <v>1271</v>
      </c>
      <c r="F894" s="104" t="s">
        <v>2983</v>
      </c>
      <c r="G894" s="104" t="s">
        <v>1273</v>
      </c>
      <c r="H894" s="104">
        <v>0.0</v>
      </c>
    </row>
    <row r="895">
      <c r="A895" s="104" t="s">
        <v>2984</v>
      </c>
      <c r="B895" s="104" t="s">
        <v>237</v>
      </c>
      <c r="C895" s="104" t="s">
        <v>535</v>
      </c>
      <c r="D895" s="104" t="s">
        <v>2985</v>
      </c>
      <c r="E895" s="104" t="s">
        <v>1300</v>
      </c>
      <c r="F895" s="104" t="s">
        <v>2986</v>
      </c>
      <c r="G895" s="104">
        <v>-2.0</v>
      </c>
      <c r="H895" s="104">
        <v>-2.0</v>
      </c>
    </row>
    <row r="896">
      <c r="A896" s="104" t="s">
        <v>2987</v>
      </c>
      <c r="B896" s="104" t="s">
        <v>261</v>
      </c>
      <c r="C896" s="104" t="s">
        <v>535</v>
      </c>
      <c r="D896" s="104" t="s">
        <v>2988</v>
      </c>
      <c r="E896" s="104" t="s">
        <v>1271</v>
      </c>
      <c r="F896" s="104" t="s">
        <v>2989</v>
      </c>
      <c r="G896" s="104" t="s">
        <v>1273</v>
      </c>
      <c r="H896" s="104">
        <v>0.0</v>
      </c>
    </row>
    <row r="897">
      <c r="A897" s="104" t="s">
        <v>2990</v>
      </c>
      <c r="B897" s="104" t="s">
        <v>121</v>
      </c>
      <c r="C897" s="104" t="s">
        <v>535</v>
      </c>
      <c r="D897" s="104" t="s">
        <v>2991</v>
      </c>
      <c r="E897" s="104" t="s">
        <v>1335</v>
      </c>
      <c r="F897" s="104" t="s">
        <v>2992</v>
      </c>
      <c r="G897" s="150">
        <f>+2</f>
        <v>2</v>
      </c>
      <c r="H897" s="104">
        <v>2.0</v>
      </c>
    </row>
    <row r="898">
      <c r="A898" s="104" t="s">
        <v>2993</v>
      </c>
      <c r="B898" s="104" t="s">
        <v>290</v>
      </c>
      <c r="C898" s="104" t="s">
        <v>535</v>
      </c>
      <c r="D898" s="104" t="s">
        <v>2994</v>
      </c>
      <c r="E898" s="104" t="s">
        <v>1271</v>
      </c>
      <c r="F898" s="104" t="s">
        <v>2995</v>
      </c>
      <c r="G898" s="104" t="s">
        <v>1273</v>
      </c>
      <c r="H898" s="104">
        <v>0.0</v>
      </c>
    </row>
    <row r="899">
      <c r="A899" s="104" t="s">
        <v>2996</v>
      </c>
      <c r="B899" s="104" t="s">
        <v>172</v>
      </c>
      <c r="C899" s="104" t="s">
        <v>535</v>
      </c>
      <c r="D899" s="104" t="s">
        <v>2997</v>
      </c>
      <c r="E899" s="104" t="s">
        <v>1276</v>
      </c>
      <c r="F899" s="104" t="s">
        <v>2998</v>
      </c>
      <c r="G899" s="150">
        <f t="shared" ref="G899:G900" si="30">+1</f>
        <v>1</v>
      </c>
      <c r="H899" s="104">
        <v>1.0</v>
      </c>
    </row>
    <row r="900">
      <c r="A900" s="104" t="s">
        <v>2999</v>
      </c>
      <c r="B900" s="104" t="s">
        <v>260</v>
      </c>
      <c r="C900" s="104" t="s">
        <v>535</v>
      </c>
      <c r="D900" s="104" t="s">
        <v>3000</v>
      </c>
      <c r="E900" s="104" t="s">
        <v>1276</v>
      </c>
      <c r="F900" s="104" t="s">
        <v>3001</v>
      </c>
      <c r="G900" s="150">
        <f t="shared" si="30"/>
        <v>1</v>
      </c>
      <c r="H900" s="104">
        <v>1.0</v>
      </c>
    </row>
    <row r="901">
      <c r="A901" s="104" t="s">
        <v>3002</v>
      </c>
      <c r="B901" s="104" t="s">
        <v>248</v>
      </c>
      <c r="C901" s="104" t="s">
        <v>535</v>
      </c>
      <c r="D901" s="104" t="s">
        <v>3003</v>
      </c>
      <c r="E901" s="104" t="s">
        <v>1328</v>
      </c>
      <c r="F901" s="104" t="s">
        <v>3004</v>
      </c>
      <c r="G901" s="104">
        <v>-3.0</v>
      </c>
      <c r="H901" s="104">
        <v>-3.0</v>
      </c>
    </row>
    <row r="902">
      <c r="A902" s="104" t="s">
        <v>3005</v>
      </c>
      <c r="B902" s="104" t="s">
        <v>260</v>
      </c>
      <c r="C902" s="104" t="s">
        <v>535</v>
      </c>
      <c r="D902" s="104" t="s">
        <v>3006</v>
      </c>
      <c r="E902" s="104" t="s">
        <v>1271</v>
      </c>
      <c r="F902" s="104" t="s">
        <v>3007</v>
      </c>
      <c r="G902" s="104" t="s">
        <v>1273</v>
      </c>
      <c r="H902" s="104">
        <v>0.0</v>
      </c>
    </row>
    <row r="903">
      <c r="A903" s="104" t="s">
        <v>3008</v>
      </c>
      <c r="B903" s="104" t="s">
        <v>241</v>
      </c>
      <c r="C903" s="104" t="s">
        <v>535</v>
      </c>
      <c r="D903" s="104" t="s">
        <v>3009</v>
      </c>
      <c r="E903" s="104" t="s">
        <v>1283</v>
      </c>
      <c r="F903" s="104" t="s">
        <v>3010</v>
      </c>
      <c r="G903" s="104">
        <v>-1.0</v>
      </c>
      <c r="H903" s="104">
        <v>-1.0</v>
      </c>
    </row>
    <row r="904">
      <c r="A904" s="104" t="s">
        <v>3011</v>
      </c>
      <c r="B904" s="104" t="s">
        <v>290</v>
      </c>
      <c r="C904" s="104" t="s">
        <v>535</v>
      </c>
      <c r="D904" s="104" t="s">
        <v>3012</v>
      </c>
      <c r="E904" s="104" t="s">
        <v>1335</v>
      </c>
      <c r="F904" s="104" t="s">
        <v>3013</v>
      </c>
      <c r="G904" s="150">
        <f>+2</f>
        <v>2</v>
      </c>
      <c r="H904" s="104">
        <v>2.0</v>
      </c>
    </row>
    <row r="905">
      <c r="A905" s="104" t="s">
        <v>3014</v>
      </c>
      <c r="B905" s="104" t="s">
        <v>248</v>
      </c>
      <c r="C905" s="104" t="s">
        <v>535</v>
      </c>
      <c r="D905" s="104" t="s">
        <v>3015</v>
      </c>
      <c r="E905" s="104" t="s">
        <v>1271</v>
      </c>
      <c r="F905" s="104" t="s">
        <v>3016</v>
      </c>
      <c r="G905" s="104" t="s">
        <v>1273</v>
      </c>
      <c r="H905" s="104">
        <v>0.0</v>
      </c>
    </row>
    <row r="906">
      <c r="A906" s="104" t="s">
        <v>3017</v>
      </c>
      <c r="B906" s="104" t="s">
        <v>244</v>
      </c>
      <c r="C906" s="104" t="s">
        <v>535</v>
      </c>
      <c r="D906" s="104" t="s">
        <v>3018</v>
      </c>
      <c r="E906" s="104" t="s">
        <v>1335</v>
      </c>
      <c r="F906" s="104" t="s">
        <v>3019</v>
      </c>
      <c r="G906" s="150">
        <f t="shared" ref="G906:G907" si="31">+2</f>
        <v>2</v>
      </c>
      <c r="H906" s="104">
        <v>2.0</v>
      </c>
    </row>
    <row r="907">
      <c r="A907" s="104" t="s">
        <v>3020</v>
      </c>
      <c r="B907" s="104" t="s">
        <v>210</v>
      </c>
      <c r="C907" s="104" t="s">
        <v>535</v>
      </c>
      <c r="D907" s="104" t="s">
        <v>3021</v>
      </c>
      <c r="E907" s="104" t="s">
        <v>1335</v>
      </c>
      <c r="F907" s="104" t="s">
        <v>3022</v>
      </c>
      <c r="G907" s="150">
        <f t="shared" si="31"/>
        <v>2</v>
      </c>
      <c r="H907" s="104">
        <v>2.0</v>
      </c>
    </row>
    <row r="908">
      <c r="A908" s="104" t="s">
        <v>3023</v>
      </c>
      <c r="B908" s="104" t="s">
        <v>248</v>
      </c>
      <c r="C908" s="104" t="s">
        <v>535</v>
      </c>
      <c r="D908" s="104" t="s">
        <v>3024</v>
      </c>
      <c r="E908" s="104" t="s">
        <v>1283</v>
      </c>
      <c r="F908" s="104" t="s">
        <v>3025</v>
      </c>
      <c r="G908" s="104">
        <v>-1.0</v>
      </c>
      <c r="H908" s="104">
        <v>-1.0</v>
      </c>
    </row>
    <row r="909">
      <c r="A909" s="104" t="s">
        <v>3026</v>
      </c>
      <c r="B909" s="104" t="s">
        <v>290</v>
      </c>
      <c r="C909" s="104" t="s">
        <v>535</v>
      </c>
      <c r="D909" s="104" t="s">
        <v>3027</v>
      </c>
      <c r="E909" s="104" t="s">
        <v>1271</v>
      </c>
      <c r="F909" s="104" t="s">
        <v>3028</v>
      </c>
      <c r="G909" s="104" t="s">
        <v>1273</v>
      </c>
      <c r="H909" s="104">
        <v>0.0</v>
      </c>
    </row>
    <row r="910">
      <c r="A910" s="104" t="s">
        <v>3029</v>
      </c>
      <c r="B910" s="104" t="s">
        <v>168</v>
      </c>
      <c r="C910" s="104" t="s">
        <v>535</v>
      </c>
      <c r="D910" s="104" t="s">
        <v>3030</v>
      </c>
      <c r="E910" s="104" t="s">
        <v>1271</v>
      </c>
      <c r="F910" s="104" t="s">
        <v>3031</v>
      </c>
      <c r="G910" s="104" t="s">
        <v>1273</v>
      </c>
      <c r="H910" s="104">
        <v>0.0</v>
      </c>
    </row>
    <row r="911">
      <c r="A911" s="104" t="s">
        <v>3032</v>
      </c>
      <c r="B911" s="104" t="s">
        <v>290</v>
      </c>
      <c r="C911" s="104" t="s">
        <v>535</v>
      </c>
      <c r="D911" s="104" t="s">
        <v>3033</v>
      </c>
      <c r="E911" s="104" t="s">
        <v>1283</v>
      </c>
      <c r="F911" s="104" t="s">
        <v>3034</v>
      </c>
      <c r="G911" s="104">
        <v>-1.0</v>
      </c>
      <c r="H911" s="104">
        <v>-1.0</v>
      </c>
    </row>
    <row r="912">
      <c r="A912" s="104" t="s">
        <v>3035</v>
      </c>
      <c r="B912" s="104" t="s">
        <v>313</v>
      </c>
      <c r="C912" s="104" t="s">
        <v>535</v>
      </c>
      <c r="D912" s="104" t="s">
        <v>3036</v>
      </c>
      <c r="E912" s="104" t="s">
        <v>1290</v>
      </c>
      <c r="F912" s="104" t="s">
        <v>3037</v>
      </c>
      <c r="G912" s="150">
        <f>+3</f>
        <v>3</v>
      </c>
      <c r="H912" s="104">
        <v>3.0</v>
      </c>
    </row>
    <row r="913">
      <c r="A913" s="104" t="s">
        <v>3038</v>
      </c>
      <c r="B913" s="104" t="s">
        <v>321</v>
      </c>
      <c r="C913" s="104" t="s">
        <v>535</v>
      </c>
      <c r="D913" s="104" t="s">
        <v>3039</v>
      </c>
      <c r="E913" s="104" t="s">
        <v>1283</v>
      </c>
      <c r="F913" s="104" t="s">
        <v>3040</v>
      </c>
      <c r="G913" s="104">
        <v>-1.0</v>
      </c>
      <c r="H913" s="104">
        <v>-1.0</v>
      </c>
    </row>
    <row r="914">
      <c r="A914" s="104" t="s">
        <v>3041</v>
      </c>
      <c r="B914" s="104" t="s">
        <v>115</v>
      </c>
      <c r="C914" s="104" t="s">
        <v>535</v>
      </c>
      <c r="D914" s="104" t="s">
        <v>3042</v>
      </c>
      <c r="E914" s="104" t="s">
        <v>1271</v>
      </c>
      <c r="F914" s="104" t="s">
        <v>3043</v>
      </c>
      <c r="G914" s="104" t="s">
        <v>1273</v>
      </c>
      <c r="H914" s="104">
        <v>0.0</v>
      </c>
    </row>
    <row r="915">
      <c r="A915" s="104" t="s">
        <v>3044</v>
      </c>
      <c r="B915" s="104" t="s">
        <v>307</v>
      </c>
      <c r="C915" s="104" t="s">
        <v>535</v>
      </c>
      <c r="D915" s="104" t="s">
        <v>3045</v>
      </c>
      <c r="E915" s="104" t="s">
        <v>1276</v>
      </c>
      <c r="F915" s="104" t="s">
        <v>3046</v>
      </c>
      <c r="G915" s="150">
        <f>+1</f>
        <v>1</v>
      </c>
      <c r="H915" s="104">
        <v>1.0</v>
      </c>
    </row>
    <row r="916">
      <c r="A916" s="104" t="s">
        <v>3047</v>
      </c>
      <c r="B916" s="104" t="s">
        <v>146</v>
      </c>
      <c r="C916" s="104" t="s">
        <v>535</v>
      </c>
      <c r="D916" s="104" t="s">
        <v>3048</v>
      </c>
      <c r="E916" s="104" t="s">
        <v>1283</v>
      </c>
      <c r="F916" s="104" t="s">
        <v>3049</v>
      </c>
      <c r="G916" s="104">
        <v>-1.0</v>
      </c>
      <c r="H916" s="104">
        <v>-1.0</v>
      </c>
    </row>
    <row r="917">
      <c r="A917" s="104" t="s">
        <v>3050</v>
      </c>
      <c r="B917" s="104" t="s">
        <v>274</v>
      </c>
      <c r="C917" s="104" t="s">
        <v>535</v>
      </c>
      <c r="D917" s="104" t="s">
        <v>3051</v>
      </c>
      <c r="E917" s="104" t="s">
        <v>1328</v>
      </c>
      <c r="F917" s="104" t="s">
        <v>3052</v>
      </c>
      <c r="G917" s="104">
        <v>-3.0</v>
      </c>
      <c r="H917" s="104">
        <v>-3.0</v>
      </c>
    </row>
    <row r="918">
      <c r="A918" s="104" t="s">
        <v>3053</v>
      </c>
      <c r="B918" s="104" t="s">
        <v>129</v>
      </c>
      <c r="C918" s="104" t="s">
        <v>535</v>
      </c>
      <c r="D918" s="104" t="s">
        <v>3054</v>
      </c>
      <c r="E918" s="104" t="s">
        <v>1283</v>
      </c>
      <c r="F918" s="104" t="s">
        <v>3055</v>
      </c>
      <c r="G918" s="104">
        <v>-1.0</v>
      </c>
      <c r="H918" s="104">
        <v>-1.0</v>
      </c>
    </row>
    <row r="919">
      <c r="A919" s="104" t="s">
        <v>3056</v>
      </c>
      <c r="B919" s="104" t="s">
        <v>168</v>
      </c>
      <c r="C919" s="104" t="s">
        <v>535</v>
      </c>
      <c r="D919" s="104" t="s">
        <v>3057</v>
      </c>
      <c r="E919" s="104" t="s">
        <v>1290</v>
      </c>
      <c r="F919" s="104" t="s">
        <v>3058</v>
      </c>
      <c r="G919" s="150">
        <f>+3</f>
        <v>3</v>
      </c>
      <c r="H919" s="104">
        <v>3.0</v>
      </c>
    </row>
    <row r="920">
      <c r="A920" s="104" t="s">
        <v>3059</v>
      </c>
      <c r="B920" s="104" t="s">
        <v>148</v>
      </c>
      <c r="C920" s="104" t="s">
        <v>535</v>
      </c>
      <c r="D920" s="104" t="s">
        <v>3060</v>
      </c>
      <c r="E920" s="104" t="s">
        <v>1300</v>
      </c>
      <c r="F920" s="104" t="s">
        <v>3061</v>
      </c>
      <c r="G920" s="104">
        <v>-2.0</v>
      </c>
      <c r="H920" s="104">
        <v>-2.0</v>
      </c>
    </row>
    <row r="921">
      <c r="A921" s="104" t="s">
        <v>3062</v>
      </c>
      <c r="B921" s="104" t="s">
        <v>129</v>
      </c>
      <c r="C921" s="104" t="s">
        <v>535</v>
      </c>
      <c r="D921" s="104" t="s">
        <v>3063</v>
      </c>
      <c r="E921" s="104" t="s">
        <v>1271</v>
      </c>
      <c r="F921" s="104" t="s">
        <v>3064</v>
      </c>
      <c r="G921" s="104" t="s">
        <v>1273</v>
      </c>
      <c r="H921" s="104">
        <v>0.0</v>
      </c>
    </row>
    <row r="922">
      <c r="A922" s="104" t="s">
        <v>3065</v>
      </c>
      <c r="B922" s="104" t="s">
        <v>151</v>
      </c>
      <c r="C922" s="104" t="s">
        <v>535</v>
      </c>
      <c r="D922" s="104" t="s">
        <v>3066</v>
      </c>
      <c r="E922" s="104" t="s">
        <v>1290</v>
      </c>
      <c r="F922" s="104" t="s">
        <v>3067</v>
      </c>
      <c r="G922" s="150">
        <f>+3</f>
        <v>3</v>
      </c>
      <c r="H922" s="104">
        <v>3.0</v>
      </c>
    </row>
    <row r="923">
      <c r="A923" s="104" t="s">
        <v>3068</v>
      </c>
      <c r="B923" s="104" t="s">
        <v>129</v>
      </c>
      <c r="C923" s="104" t="s">
        <v>535</v>
      </c>
      <c r="D923" s="104" t="s">
        <v>3069</v>
      </c>
      <c r="E923" s="104" t="s">
        <v>1276</v>
      </c>
      <c r="F923" s="104" t="s">
        <v>3070</v>
      </c>
      <c r="G923" s="150">
        <f>+1</f>
        <v>1</v>
      </c>
      <c r="H923" s="104">
        <v>1.0</v>
      </c>
    </row>
    <row r="924">
      <c r="A924" s="104" t="s">
        <v>3071</v>
      </c>
      <c r="B924" s="104" t="s">
        <v>131</v>
      </c>
      <c r="C924" s="104" t="s">
        <v>535</v>
      </c>
      <c r="D924" s="104" t="s">
        <v>3072</v>
      </c>
      <c r="E924" s="104" t="s">
        <v>1328</v>
      </c>
      <c r="F924" s="104" t="s">
        <v>3073</v>
      </c>
      <c r="G924" s="104">
        <v>-3.0</v>
      </c>
      <c r="H924" s="104">
        <v>-3.0</v>
      </c>
    </row>
    <row r="925">
      <c r="A925" s="104" t="s">
        <v>3074</v>
      </c>
      <c r="B925" s="104" t="s">
        <v>273</v>
      </c>
      <c r="C925" s="104" t="s">
        <v>535</v>
      </c>
      <c r="D925" s="104" t="s">
        <v>3075</v>
      </c>
      <c r="E925" s="104" t="s">
        <v>1283</v>
      </c>
      <c r="F925" s="104" t="s">
        <v>3076</v>
      </c>
      <c r="G925" s="104">
        <v>-1.0</v>
      </c>
      <c r="H925" s="104">
        <v>-1.0</v>
      </c>
    </row>
    <row r="926">
      <c r="A926" s="104" t="s">
        <v>3077</v>
      </c>
      <c r="B926" s="104" t="s">
        <v>223</v>
      </c>
      <c r="C926" s="104" t="s">
        <v>535</v>
      </c>
      <c r="D926" s="104" t="s">
        <v>3078</v>
      </c>
      <c r="E926" s="104" t="s">
        <v>1276</v>
      </c>
      <c r="F926" s="104" t="s">
        <v>3079</v>
      </c>
      <c r="G926" s="150">
        <f>+1</f>
        <v>1</v>
      </c>
      <c r="H926" s="104">
        <v>1.0</v>
      </c>
    </row>
    <row r="927">
      <c r="A927" s="104" t="s">
        <v>3080</v>
      </c>
      <c r="B927" s="104" t="s">
        <v>168</v>
      </c>
      <c r="C927" s="104" t="s">
        <v>535</v>
      </c>
      <c r="D927" s="104" t="s">
        <v>3081</v>
      </c>
      <c r="E927" s="104" t="s">
        <v>1335</v>
      </c>
      <c r="F927" s="104" t="s">
        <v>3082</v>
      </c>
      <c r="G927" s="150">
        <f>+2</f>
        <v>2</v>
      </c>
      <c r="H927" s="104">
        <v>2.0</v>
      </c>
    </row>
    <row r="928">
      <c r="A928" s="104" t="s">
        <v>3083</v>
      </c>
      <c r="B928" s="104" t="s">
        <v>224</v>
      </c>
      <c r="C928" s="104" t="s">
        <v>535</v>
      </c>
      <c r="D928" s="104" t="s">
        <v>3084</v>
      </c>
      <c r="E928" s="104" t="s">
        <v>1271</v>
      </c>
      <c r="F928" s="104" t="s">
        <v>3085</v>
      </c>
      <c r="G928" s="104" t="s">
        <v>1273</v>
      </c>
      <c r="H928" s="104">
        <v>0.0</v>
      </c>
    </row>
    <row r="929">
      <c r="A929" s="104" t="s">
        <v>3086</v>
      </c>
      <c r="B929" s="104" t="s">
        <v>237</v>
      </c>
      <c r="C929" s="104" t="s">
        <v>535</v>
      </c>
      <c r="D929" s="104" t="s">
        <v>3087</v>
      </c>
      <c r="E929" s="104" t="s">
        <v>1271</v>
      </c>
      <c r="F929" s="104" t="s">
        <v>3088</v>
      </c>
      <c r="G929" s="104" t="s">
        <v>1273</v>
      </c>
      <c r="H929" s="104">
        <v>0.0</v>
      </c>
    </row>
    <row r="930">
      <c r="A930" s="104" t="s">
        <v>3089</v>
      </c>
      <c r="B930" s="104" t="s">
        <v>284</v>
      </c>
      <c r="C930" s="104" t="s">
        <v>535</v>
      </c>
      <c r="D930" s="104" t="s">
        <v>3090</v>
      </c>
      <c r="E930" s="104" t="s">
        <v>1290</v>
      </c>
      <c r="F930" s="104" t="s">
        <v>3091</v>
      </c>
      <c r="G930" s="150">
        <f>+3</f>
        <v>3</v>
      </c>
      <c r="H930" s="104">
        <v>3.0</v>
      </c>
    </row>
    <row r="931">
      <c r="A931" s="104" t="s">
        <v>3092</v>
      </c>
      <c r="B931" s="104" t="s">
        <v>212</v>
      </c>
      <c r="C931" s="104" t="s">
        <v>535</v>
      </c>
      <c r="D931" s="104" t="s">
        <v>3093</v>
      </c>
      <c r="E931" s="104" t="s">
        <v>1271</v>
      </c>
      <c r="F931" s="104" t="s">
        <v>3094</v>
      </c>
      <c r="G931" s="104" t="s">
        <v>1273</v>
      </c>
      <c r="H931" s="104">
        <v>0.0</v>
      </c>
    </row>
    <row r="932">
      <c r="A932" s="104" t="s">
        <v>3095</v>
      </c>
      <c r="B932" s="104" t="s">
        <v>233</v>
      </c>
      <c r="C932" s="104" t="s">
        <v>535</v>
      </c>
      <c r="D932" s="104" t="s">
        <v>3096</v>
      </c>
      <c r="E932" s="104" t="s">
        <v>1328</v>
      </c>
      <c r="F932" s="104" t="s">
        <v>3097</v>
      </c>
      <c r="G932" s="104">
        <v>-3.0</v>
      </c>
      <c r="H932" s="104">
        <v>-3.0</v>
      </c>
    </row>
    <row r="933">
      <c r="A933" s="104" t="s">
        <v>3098</v>
      </c>
      <c r="B933" s="104" t="s">
        <v>190</v>
      </c>
      <c r="C933" s="104" t="s">
        <v>535</v>
      </c>
      <c r="D933" s="104" t="s">
        <v>3099</v>
      </c>
      <c r="E933" s="104" t="s">
        <v>1276</v>
      </c>
      <c r="F933" s="104" t="s">
        <v>3100</v>
      </c>
      <c r="G933" s="150">
        <f>+1</f>
        <v>1</v>
      </c>
      <c r="H933" s="104">
        <v>1.0</v>
      </c>
    </row>
    <row r="934">
      <c r="A934" s="104" t="s">
        <v>3101</v>
      </c>
      <c r="B934" s="104" t="s">
        <v>258</v>
      </c>
      <c r="C934" s="104" t="s">
        <v>535</v>
      </c>
      <c r="D934" s="104" t="s">
        <v>3102</v>
      </c>
      <c r="E934" s="104" t="s">
        <v>1328</v>
      </c>
      <c r="F934" s="104" t="s">
        <v>3103</v>
      </c>
      <c r="G934" s="104">
        <v>-3.0</v>
      </c>
      <c r="H934" s="104">
        <v>-3.0</v>
      </c>
    </row>
    <row r="935">
      <c r="A935" s="104" t="s">
        <v>3104</v>
      </c>
      <c r="B935" s="104" t="s">
        <v>279</v>
      </c>
      <c r="C935" s="104" t="s">
        <v>535</v>
      </c>
      <c r="D935" s="104" t="s">
        <v>3105</v>
      </c>
      <c r="E935" s="104" t="s">
        <v>1335</v>
      </c>
      <c r="F935" s="104" t="s">
        <v>3106</v>
      </c>
      <c r="G935" s="150">
        <f>+2</f>
        <v>2</v>
      </c>
      <c r="H935" s="104">
        <v>2.0</v>
      </c>
    </row>
    <row r="936">
      <c r="A936" s="104" t="s">
        <v>3107</v>
      </c>
      <c r="B936" s="104" t="s">
        <v>170</v>
      </c>
      <c r="C936" s="104" t="s">
        <v>535</v>
      </c>
      <c r="D936" s="104" t="s">
        <v>3108</v>
      </c>
      <c r="E936" s="104" t="s">
        <v>1276</v>
      </c>
      <c r="F936" s="104" t="s">
        <v>3109</v>
      </c>
      <c r="G936" s="150">
        <f>+1</f>
        <v>1</v>
      </c>
      <c r="H936" s="104">
        <v>1.0</v>
      </c>
    </row>
    <row r="937">
      <c r="A937" s="104" t="s">
        <v>3110</v>
      </c>
      <c r="B937" s="104" t="s">
        <v>195</v>
      </c>
      <c r="C937" s="104" t="s">
        <v>535</v>
      </c>
      <c r="D937" s="104" t="s">
        <v>3111</v>
      </c>
      <c r="E937" s="104" t="s">
        <v>1271</v>
      </c>
      <c r="F937" s="104" t="s">
        <v>3112</v>
      </c>
      <c r="G937" s="104" t="s">
        <v>1273</v>
      </c>
      <c r="H937" s="104">
        <v>0.0</v>
      </c>
    </row>
    <row r="938">
      <c r="A938" s="104" t="s">
        <v>3113</v>
      </c>
      <c r="B938" s="104" t="s">
        <v>285</v>
      </c>
      <c r="C938" s="104" t="s">
        <v>535</v>
      </c>
      <c r="D938" s="104" t="s">
        <v>3114</v>
      </c>
      <c r="E938" s="104" t="s">
        <v>1271</v>
      </c>
      <c r="F938" s="104" t="s">
        <v>3115</v>
      </c>
      <c r="G938" s="104" t="s">
        <v>1273</v>
      </c>
      <c r="H938" s="104">
        <v>0.0</v>
      </c>
    </row>
    <row r="939">
      <c r="A939" s="104" t="s">
        <v>3116</v>
      </c>
      <c r="B939" s="104" t="s">
        <v>237</v>
      </c>
      <c r="C939" s="104" t="s">
        <v>535</v>
      </c>
      <c r="D939" s="104" t="s">
        <v>3117</v>
      </c>
      <c r="E939" s="104" t="s">
        <v>1300</v>
      </c>
      <c r="F939" s="104" t="s">
        <v>3118</v>
      </c>
      <c r="G939" s="104">
        <v>-2.0</v>
      </c>
      <c r="H939" s="104">
        <v>-2.0</v>
      </c>
    </row>
    <row r="940">
      <c r="A940" s="104" t="s">
        <v>3119</v>
      </c>
      <c r="B940" s="104" t="s">
        <v>305</v>
      </c>
      <c r="C940" s="104" t="s">
        <v>535</v>
      </c>
      <c r="D940" s="104" t="s">
        <v>3120</v>
      </c>
      <c r="E940" s="104" t="s">
        <v>1276</v>
      </c>
      <c r="F940" s="104" t="s">
        <v>3121</v>
      </c>
      <c r="G940" s="150">
        <f>+1</f>
        <v>1</v>
      </c>
      <c r="H940" s="104">
        <v>1.0</v>
      </c>
    </row>
    <row r="941">
      <c r="A941" s="104" t="s">
        <v>3122</v>
      </c>
      <c r="B941" s="104" t="s">
        <v>263</v>
      </c>
      <c r="C941" s="104" t="s">
        <v>535</v>
      </c>
      <c r="D941" s="104" t="s">
        <v>3123</v>
      </c>
      <c r="E941" s="104" t="s">
        <v>1300</v>
      </c>
      <c r="F941" s="104" t="s">
        <v>3124</v>
      </c>
      <c r="G941" s="104">
        <v>-2.0</v>
      </c>
      <c r="H941" s="104">
        <v>-2.0</v>
      </c>
    </row>
    <row r="942">
      <c r="A942" s="104" t="s">
        <v>3125</v>
      </c>
      <c r="B942" s="104" t="s">
        <v>319</v>
      </c>
      <c r="C942" s="104" t="s">
        <v>535</v>
      </c>
      <c r="D942" s="104" t="s">
        <v>3126</v>
      </c>
      <c r="E942" s="104" t="s">
        <v>1271</v>
      </c>
      <c r="F942" s="104" t="s">
        <v>3127</v>
      </c>
      <c r="G942" s="104" t="s">
        <v>1273</v>
      </c>
      <c r="H942" s="104">
        <v>0.0</v>
      </c>
    </row>
    <row r="943">
      <c r="A943" s="104" t="s">
        <v>3128</v>
      </c>
      <c r="B943" s="104" t="s">
        <v>177</v>
      </c>
      <c r="C943" s="104" t="s">
        <v>535</v>
      </c>
      <c r="D943" s="104" t="s">
        <v>3129</v>
      </c>
      <c r="E943" s="104" t="s">
        <v>1271</v>
      </c>
      <c r="F943" s="104" t="s">
        <v>3130</v>
      </c>
      <c r="G943" s="104" t="s">
        <v>1273</v>
      </c>
      <c r="H943" s="104">
        <v>0.0</v>
      </c>
    </row>
    <row r="944">
      <c r="A944" s="104" t="s">
        <v>3131</v>
      </c>
      <c r="B944" s="104" t="s">
        <v>177</v>
      </c>
      <c r="C944" s="104" t="s">
        <v>535</v>
      </c>
      <c r="D944" s="104" t="s">
        <v>3132</v>
      </c>
      <c r="E944" s="104" t="s">
        <v>1335</v>
      </c>
      <c r="F944" s="104" t="s">
        <v>3133</v>
      </c>
      <c r="G944" s="150">
        <f>+2</f>
        <v>2</v>
      </c>
      <c r="H944" s="104">
        <v>2.0</v>
      </c>
    </row>
    <row r="945">
      <c r="A945" s="104" t="s">
        <v>3134</v>
      </c>
      <c r="B945" s="104" t="s">
        <v>204</v>
      </c>
      <c r="C945" s="104" t="s">
        <v>535</v>
      </c>
      <c r="D945" s="104" t="s">
        <v>3135</v>
      </c>
      <c r="E945" s="104" t="s">
        <v>1290</v>
      </c>
      <c r="F945" s="104" t="s">
        <v>3136</v>
      </c>
      <c r="G945" s="150">
        <f>+3</f>
        <v>3</v>
      </c>
      <c r="H945" s="104">
        <v>3.0</v>
      </c>
    </row>
    <row r="946">
      <c r="A946" s="104" t="s">
        <v>3137</v>
      </c>
      <c r="B946" s="104" t="s">
        <v>149</v>
      </c>
      <c r="C946" s="104" t="s">
        <v>535</v>
      </c>
      <c r="D946" s="104" t="s">
        <v>3138</v>
      </c>
      <c r="E946" s="104" t="s">
        <v>1271</v>
      </c>
      <c r="F946" s="104" t="s">
        <v>3139</v>
      </c>
      <c r="G946" s="104" t="s">
        <v>1273</v>
      </c>
      <c r="H946" s="104">
        <v>0.0</v>
      </c>
    </row>
    <row r="947">
      <c r="A947" s="104" t="s">
        <v>3140</v>
      </c>
      <c r="B947" s="104" t="s">
        <v>177</v>
      </c>
      <c r="C947" s="104" t="s">
        <v>535</v>
      </c>
      <c r="D947" s="104" t="s">
        <v>3141</v>
      </c>
      <c r="E947" s="104" t="s">
        <v>1271</v>
      </c>
      <c r="F947" s="104" t="s">
        <v>3142</v>
      </c>
      <c r="G947" s="104" t="s">
        <v>1273</v>
      </c>
      <c r="H947" s="104">
        <v>0.0</v>
      </c>
    </row>
    <row r="948">
      <c r="A948" s="104" t="s">
        <v>3143</v>
      </c>
      <c r="B948" s="104" t="s">
        <v>321</v>
      </c>
      <c r="C948" s="104" t="s">
        <v>535</v>
      </c>
      <c r="D948" s="104" t="s">
        <v>3144</v>
      </c>
      <c r="E948" s="104" t="s">
        <v>1300</v>
      </c>
      <c r="F948" s="104" t="s">
        <v>3145</v>
      </c>
      <c r="G948" s="104">
        <v>-2.0</v>
      </c>
      <c r="H948" s="104">
        <v>-2.0</v>
      </c>
    </row>
    <row r="949">
      <c r="A949" s="104" t="s">
        <v>3146</v>
      </c>
      <c r="B949" s="104" t="s">
        <v>291</v>
      </c>
      <c r="C949" s="104" t="s">
        <v>535</v>
      </c>
      <c r="D949" s="104" t="s">
        <v>3147</v>
      </c>
      <c r="E949" s="104" t="s">
        <v>1290</v>
      </c>
      <c r="F949" s="104" t="s">
        <v>3148</v>
      </c>
      <c r="G949" s="150">
        <f>+3</f>
        <v>3</v>
      </c>
      <c r="H949" s="104">
        <v>3.0</v>
      </c>
    </row>
    <row r="950">
      <c r="A950" s="104" t="s">
        <v>3149</v>
      </c>
      <c r="B950" s="104" t="s">
        <v>234</v>
      </c>
      <c r="C950" s="104" t="s">
        <v>535</v>
      </c>
      <c r="D950" s="104" t="s">
        <v>3150</v>
      </c>
      <c r="E950" s="104" t="s">
        <v>1300</v>
      </c>
      <c r="F950" s="104" t="s">
        <v>3151</v>
      </c>
      <c r="G950" s="104">
        <v>-2.0</v>
      </c>
      <c r="H950" s="104">
        <v>-2.0</v>
      </c>
    </row>
    <row r="951">
      <c r="A951" s="104" t="s">
        <v>3152</v>
      </c>
      <c r="B951" s="104" t="s">
        <v>228</v>
      </c>
      <c r="C951" s="104" t="s">
        <v>535</v>
      </c>
      <c r="D951" s="104" t="s">
        <v>3153</v>
      </c>
      <c r="E951" s="104" t="s">
        <v>1300</v>
      </c>
      <c r="F951" s="104" t="s">
        <v>3154</v>
      </c>
      <c r="G951" s="104">
        <v>-2.0</v>
      </c>
      <c r="H951" s="104">
        <v>-2.0</v>
      </c>
    </row>
    <row r="952">
      <c r="A952" s="104" t="s">
        <v>3155</v>
      </c>
      <c r="B952" s="104" t="s">
        <v>261</v>
      </c>
      <c r="C952" s="104" t="s">
        <v>535</v>
      </c>
      <c r="D952" s="104" t="s">
        <v>3156</v>
      </c>
      <c r="E952" s="104" t="s">
        <v>1335</v>
      </c>
      <c r="F952" s="104" t="s">
        <v>3157</v>
      </c>
      <c r="G952" s="150">
        <f>+2</f>
        <v>2</v>
      </c>
      <c r="H952" s="104">
        <v>2.0</v>
      </c>
    </row>
    <row r="953">
      <c r="A953" s="104" t="s">
        <v>3158</v>
      </c>
      <c r="B953" s="104" t="s">
        <v>149</v>
      </c>
      <c r="C953" s="104" t="s">
        <v>535</v>
      </c>
      <c r="D953" s="104" t="s">
        <v>3159</v>
      </c>
      <c r="E953" s="104" t="s">
        <v>1283</v>
      </c>
      <c r="F953" s="104" t="s">
        <v>3160</v>
      </c>
      <c r="G953" s="104">
        <v>-1.0</v>
      </c>
      <c r="H953" s="104">
        <v>-1.0</v>
      </c>
    </row>
    <row r="954">
      <c r="A954" s="104" t="s">
        <v>3161</v>
      </c>
      <c r="B954" s="104" t="s">
        <v>232</v>
      </c>
      <c r="C954" s="104" t="s">
        <v>535</v>
      </c>
      <c r="D954" s="104" t="s">
        <v>3162</v>
      </c>
      <c r="E954" s="104" t="s">
        <v>1300</v>
      </c>
      <c r="F954" s="104" t="s">
        <v>3163</v>
      </c>
      <c r="G954" s="104">
        <v>-2.0</v>
      </c>
      <c r="H954" s="104">
        <v>-2.0</v>
      </c>
    </row>
    <row r="955">
      <c r="A955" s="104" t="s">
        <v>3164</v>
      </c>
      <c r="B955" s="104" t="s">
        <v>177</v>
      </c>
      <c r="C955" s="104" t="s">
        <v>535</v>
      </c>
      <c r="D955" s="104" t="s">
        <v>3165</v>
      </c>
      <c r="E955" s="104" t="s">
        <v>1290</v>
      </c>
      <c r="F955" s="104" t="s">
        <v>3166</v>
      </c>
      <c r="G955" s="150">
        <f>+3</f>
        <v>3</v>
      </c>
      <c r="H955" s="104">
        <v>3.0</v>
      </c>
    </row>
    <row r="956">
      <c r="A956" s="104" t="s">
        <v>3167</v>
      </c>
      <c r="B956" s="104" t="s">
        <v>194</v>
      </c>
      <c r="C956" s="104" t="s">
        <v>535</v>
      </c>
      <c r="D956" s="104" t="s">
        <v>3168</v>
      </c>
      <c r="E956" s="104" t="s">
        <v>1271</v>
      </c>
      <c r="F956" s="104" t="s">
        <v>3169</v>
      </c>
      <c r="G956" s="104" t="s">
        <v>1273</v>
      </c>
      <c r="H956" s="104">
        <v>0.0</v>
      </c>
    </row>
    <row r="957">
      <c r="A957" s="104" t="s">
        <v>3170</v>
      </c>
      <c r="B957" s="104" t="s">
        <v>271</v>
      </c>
      <c r="C957" s="104" t="s">
        <v>535</v>
      </c>
      <c r="D957" s="104" t="s">
        <v>3171</v>
      </c>
      <c r="E957" s="104" t="s">
        <v>1290</v>
      </c>
      <c r="F957" s="104" t="s">
        <v>3172</v>
      </c>
      <c r="G957" s="150">
        <f>+3</f>
        <v>3</v>
      </c>
      <c r="H957" s="104">
        <v>3.0</v>
      </c>
    </row>
    <row r="958">
      <c r="A958" s="104" t="s">
        <v>3173</v>
      </c>
      <c r="B958" s="104" t="s">
        <v>215</v>
      </c>
      <c r="C958" s="104" t="s">
        <v>535</v>
      </c>
      <c r="D958" s="104" t="s">
        <v>3174</v>
      </c>
      <c r="E958" s="104" t="s">
        <v>1271</v>
      </c>
      <c r="F958" s="104" t="s">
        <v>3175</v>
      </c>
      <c r="G958" s="104" t="s">
        <v>1273</v>
      </c>
      <c r="H958" s="104">
        <v>0.0</v>
      </c>
    </row>
    <row r="959">
      <c r="A959" s="104" t="s">
        <v>3176</v>
      </c>
      <c r="B959" s="104" t="s">
        <v>274</v>
      </c>
      <c r="C959" s="104" t="s">
        <v>535</v>
      </c>
      <c r="D959" s="104" t="s">
        <v>3177</v>
      </c>
      <c r="E959" s="104" t="s">
        <v>1271</v>
      </c>
      <c r="F959" s="104" t="s">
        <v>3178</v>
      </c>
      <c r="G959" s="104" t="s">
        <v>1273</v>
      </c>
      <c r="H959" s="104">
        <v>0.0</v>
      </c>
    </row>
    <row r="960">
      <c r="A960" s="104" t="s">
        <v>3179</v>
      </c>
      <c r="B960" s="104" t="s">
        <v>263</v>
      </c>
      <c r="C960" s="104" t="s">
        <v>535</v>
      </c>
      <c r="D960" s="104" t="s">
        <v>3180</v>
      </c>
      <c r="E960" s="104" t="s">
        <v>1271</v>
      </c>
      <c r="F960" s="104" t="s">
        <v>3181</v>
      </c>
      <c r="G960" s="104" t="s">
        <v>1273</v>
      </c>
      <c r="H960" s="104">
        <v>0.0</v>
      </c>
    </row>
    <row r="961">
      <c r="A961" s="104" t="s">
        <v>3182</v>
      </c>
      <c r="B961" s="104" t="s">
        <v>263</v>
      </c>
      <c r="C961" s="104" t="s">
        <v>535</v>
      </c>
      <c r="D961" s="104" t="s">
        <v>3183</v>
      </c>
      <c r="E961" s="104" t="s">
        <v>1283</v>
      </c>
      <c r="F961" s="104" t="s">
        <v>3184</v>
      </c>
      <c r="G961" s="104">
        <v>-1.0</v>
      </c>
      <c r="H961" s="104">
        <v>-1.0</v>
      </c>
    </row>
    <row r="962">
      <c r="A962" s="104" t="s">
        <v>3185</v>
      </c>
      <c r="B962" s="104" t="s">
        <v>263</v>
      </c>
      <c r="C962" s="104" t="s">
        <v>535</v>
      </c>
      <c r="D962" s="104" t="s">
        <v>3186</v>
      </c>
      <c r="E962" s="104" t="s">
        <v>1271</v>
      </c>
      <c r="F962" s="104" t="s">
        <v>3187</v>
      </c>
      <c r="G962" s="104" t="s">
        <v>1273</v>
      </c>
      <c r="H962" s="104">
        <v>0.0</v>
      </c>
    </row>
    <row r="963">
      <c r="A963" s="104" t="s">
        <v>3188</v>
      </c>
      <c r="B963" s="104" t="s">
        <v>245</v>
      </c>
      <c r="C963" s="104" t="s">
        <v>535</v>
      </c>
      <c r="D963" s="104" t="s">
        <v>3189</v>
      </c>
      <c r="E963" s="104" t="s">
        <v>1271</v>
      </c>
      <c r="F963" s="104" t="s">
        <v>3190</v>
      </c>
      <c r="G963" s="104" t="s">
        <v>1273</v>
      </c>
      <c r="H963" s="104">
        <v>0.0</v>
      </c>
    </row>
    <row r="964">
      <c r="A964" s="104" t="s">
        <v>3191</v>
      </c>
      <c r="B964" s="104" t="s">
        <v>215</v>
      </c>
      <c r="C964" s="104" t="s">
        <v>535</v>
      </c>
      <c r="D964" s="104" t="s">
        <v>3192</v>
      </c>
      <c r="E964" s="104" t="s">
        <v>1290</v>
      </c>
      <c r="F964" s="104" t="s">
        <v>3193</v>
      </c>
      <c r="G964" s="150">
        <f>+3</f>
        <v>3</v>
      </c>
      <c r="H964" s="104">
        <v>3.0</v>
      </c>
    </row>
    <row r="965">
      <c r="A965" s="104" t="s">
        <v>3194</v>
      </c>
      <c r="B965" s="104" t="s">
        <v>282</v>
      </c>
      <c r="C965" s="104" t="s">
        <v>535</v>
      </c>
      <c r="D965" s="104" t="s">
        <v>3195</v>
      </c>
      <c r="E965" s="104" t="s">
        <v>1328</v>
      </c>
      <c r="F965" s="104" t="s">
        <v>3196</v>
      </c>
      <c r="G965" s="104">
        <v>-3.0</v>
      </c>
      <c r="H965" s="104">
        <v>-3.0</v>
      </c>
    </row>
    <row r="966">
      <c r="A966" s="104" t="s">
        <v>3197</v>
      </c>
      <c r="B966" s="104" t="s">
        <v>218</v>
      </c>
      <c r="C966" s="104" t="s">
        <v>535</v>
      </c>
      <c r="D966" s="104" t="s">
        <v>3198</v>
      </c>
      <c r="E966" s="104" t="s">
        <v>1283</v>
      </c>
      <c r="F966" s="104" t="s">
        <v>3199</v>
      </c>
      <c r="G966" s="104">
        <v>-1.0</v>
      </c>
      <c r="H966" s="104">
        <v>-1.0</v>
      </c>
    </row>
    <row r="967">
      <c r="A967" s="104" t="s">
        <v>3200</v>
      </c>
      <c r="B967" s="104" t="s">
        <v>282</v>
      </c>
      <c r="C967" s="104" t="s">
        <v>535</v>
      </c>
      <c r="D967" s="104" t="s">
        <v>3201</v>
      </c>
      <c r="E967" s="104" t="s">
        <v>1271</v>
      </c>
      <c r="F967" s="104" t="s">
        <v>3202</v>
      </c>
      <c r="G967" s="104" t="s">
        <v>1273</v>
      </c>
      <c r="H967" s="104">
        <v>0.0</v>
      </c>
    </row>
    <row r="968">
      <c r="A968" s="104" t="s">
        <v>3203</v>
      </c>
      <c r="B968" s="104" t="s">
        <v>179</v>
      </c>
      <c r="C968" s="104" t="s">
        <v>535</v>
      </c>
      <c r="D968" s="104" t="s">
        <v>3204</v>
      </c>
      <c r="E968" s="104" t="s">
        <v>1271</v>
      </c>
      <c r="F968" s="104" t="s">
        <v>3205</v>
      </c>
      <c r="G968" s="104" t="s">
        <v>1273</v>
      </c>
      <c r="H968" s="104">
        <v>0.0</v>
      </c>
    </row>
    <row r="969">
      <c r="A969" s="104" t="s">
        <v>3206</v>
      </c>
      <c r="B969" s="104" t="s">
        <v>302</v>
      </c>
      <c r="C969" s="104" t="s">
        <v>535</v>
      </c>
      <c r="D969" s="104" t="s">
        <v>3207</v>
      </c>
      <c r="E969" s="104" t="s">
        <v>1290</v>
      </c>
      <c r="F969" s="104" t="s">
        <v>3208</v>
      </c>
      <c r="G969" s="150">
        <f>+3</f>
        <v>3</v>
      </c>
      <c r="H969" s="104">
        <v>3.0</v>
      </c>
    </row>
    <row r="970">
      <c r="A970" s="104" t="s">
        <v>3209</v>
      </c>
      <c r="B970" s="104" t="s">
        <v>228</v>
      </c>
      <c r="C970" s="104" t="s">
        <v>535</v>
      </c>
      <c r="D970" s="104" t="s">
        <v>3210</v>
      </c>
      <c r="E970" s="104" t="s">
        <v>1276</v>
      </c>
      <c r="F970" s="104" t="s">
        <v>3211</v>
      </c>
      <c r="G970" s="150">
        <f t="shared" ref="G970:G971" si="32">+1</f>
        <v>1</v>
      </c>
      <c r="H970" s="104">
        <v>1.0</v>
      </c>
    </row>
    <row r="971">
      <c r="A971" s="104" t="s">
        <v>3212</v>
      </c>
      <c r="B971" s="104" t="s">
        <v>174</v>
      </c>
      <c r="C971" s="104" t="s">
        <v>535</v>
      </c>
      <c r="D971" s="104" t="s">
        <v>3213</v>
      </c>
      <c r="E971" s="104" t="s">
        <v>1276</v>
      </c>
      <c r="F971" s="104" t="s">
        <v>3214</v>
      </c>
      <c r="G971" s="150">
        <f t="shared" si="32"/>
        <v>1</v>
      </c>
      <c r="H971" s="104">
        <v>1.0</v>
      </c>
    </row>
    <row r="972">
      <c r="A972" s="104" t="s">
        <v>3215</v>
      </c>
      <c r="B972" s="104" t="s">
        <v>247</v>
      </c>
      <c r="C972" s="104" t="s">
        <v>535</v>
      </c>
      <c r="D972" s="104" t="s">
        <v>3216</v>
      </c>
      <c r="E972" s="104" t="s">
        <v>1300</v>
      </c>
      <c r="F972" s="104" t="s">
        <v>3217</v>
      </c>
      <c r="G972" s="104">
        <v>-2.0</v>
      </c>
      <c r="H972" s="104">
        <v>-2.0</v>
      </c>
    </row>
    <row r="973">
      <c r="A973" s="104" t="s">
        <v>3218</v>
      </c>
      <c r="B973" s="104" t="s">
        <v>179</v>
      </c>
      <c r="C973" s="104" t="s">
        <v>535</v>
      </c>
      <c r="D973" s="104" t="s">
        <v>3219</v>
      </c>
      <c r="E973" s="104" t="s">
        <v>1335</v>
      </c>
      <c r="F973" s="104" t="s">
        <v>3220</v>
      </c>
      <c r="G973" s="150">
        <f>+2</f>
        <v>2</v>
      </c>
      <c r="H973" s="104">
        <v>2.0</v>
      </c>
    </row>
    <row r="974">
      <c r="A974" s="104" t="s">
        <v>3221</v>
      </c>
      <c r="B974" s="104" t="s">
        <v>287</v>
      </c>
      <c r="C974" s="104" t="s">
        <v>535</v>
      </c>
      <c r="D974" s="104" t="s">
        <v>3222</v>
      </c>
      <c r="E974" s="104" t="s">
        <v>1271</v>
      </c>
      <c r="F974" s="104" t="s">
        <v>3223</v>
      </c>
      <c r="G974" s="104" t="s">
        <v>1273</v>
      </c>
      <c r="H974" s="104">
        <v>0.0</v>
      </c>
    </row>
    <row r="975">
      <c r="A975" s="104" t="s">
        <v>3224</v>
      </c>
      <c r="B975" s="104" t="s">
        <v>198</v>
      </c>
      <c r="C975" s="104" t="s">
        <v>535</v>
      </c>
      <c r="D975" s="104" t="s">
        <v>3225</v>
      </c>
      <c r="E975" s="104" t="s">
        <v>1271</v>
      </c>
      <c r="F975" s="104" t="s">
        <v>3226</v>
      </c>
      <c r="G975" s="104" t="s">
        <v>1273</v>
      </c>
      <c r="H975" s="104">
        <v>0.0</v>
      </c>
    </row>
    <row r="976">
      <c r="A976" s="104" t="s">
        <v>3227</v>
      </c>
      <c r="B976" s="104" t="s">
        <v>200</v>
      </c>
      <c r="C976" s="104" t="s">
        <v>535</v>
      </c>
      <c r="D976" s="104" t="s">
        <v>3228</v>
      </c>
      <c r="E976" s="104" t="s">
        <v>1276</v>
      </c>
      <c r="F976" s="104" t="s">
        <v>3229</v>
      </c>
      <c r="G976" s="150">
        <f>+1</f>
        <v>1</v>
      </c>
      <c r="H976" s="104">
        <v>1.0</v>
      </c>
    </row>
    <row r="977">
      <c r="A977" s="104" t="s">
        <v>3230</v>
      </c>
      <c r="B977" s="104" t="s">
        <v>244</v>
      </c>
      <c r="C977" s="104" t="s">
        <v>535</v>
      </c>
      <c r="D977" s="104" t="s">
        <v>3231</v>
      </c>
      <c r="E977" s="104" t="s">
        <v>1328</v>
      </c>
      <c r="F977" s="104" t="s">
        <v>3232</v>
      </c>
      <c r="G977" s="104">
        <v>-3.0</v>
      </c>
      <c r="H977" s="104">
        <v>-3.0</v>
      </c>
    </row>
    <row r="978">
      <c r="A978" s="104" t="s">
        <v>3233</v>
      </c>
      <c r="B978" s="104" t="s">
        <v>244</v>
      </c>
      <c r="C978" s="104" t="s">
        <v>535</v>
      </c>
      <c r="D978" s="104" t="s">
        <v>3234</v>
      </c>
      <c r="E978" s="104" t="s">
        <v>1300</v>
      </c>
      <c r="F978" s="104" t="s">
        <v>3235</v>
      </c>
      <c r="G978" s="104">
        <v>-2.0</v>
      </c>
      <c r="H978" s="104">
        <v>-2.0</v>
      </c>
    </row>
    <row r="979">
      <c r="A979" s="104" t="s">
        <v>3236</v>
      </c>
      <c r="B979" s="104" t="s">
        <v>199</v>
      </c>
      <c r="C979" s="104" t="s">
        <v>535</v>
      </c>
      <c r="D979" s="104" t="s">
        <v>3237</v>
      </c>
      <c r="E979" s="104" t="s">
        <v>1271</v>
      </c>
      <c r="F979" s="104" t="s">
        <v>3238</v>
      </c>
      <c r="G979" s="104" t="s">
        <v>1273</v>
      </c>
      <c r="H979" s="104">
        <v>0.0</v>
      </c>
    </row>
    <row r="980">
      <c r="A980" s="104" t="s">
        <v>3239</v>
      </c>
      <c r="B980" s="104" t="s">
        <v>222</v>
      </c>
      <c r="C980" s="104" t="s">
        <v>535</v>
      </c>
      <c r="D980" s="104" t="s">
        <v>3240</v>
      </c>
      <c r="E980" s="104" t="s">
        <v>1335</v>
      </c>
      <c r="F980" s="104" t="s">
        <v>3241</v>
      </c>
      <c r="G980" s="150">
        <f t="shared" ref="G980:G981" si="33">+2</f>
        <v>2</v>
      </c>
      <c r="H980" s="104">
        <v>2.0</v>
      </c>
    </row>
    <row r="981">
      <c r="A981" s="104" t="s">
        <v>3242</v>
      </c>
      <c r="B981" s="104" t="s">
        <v>214</v>
      </c>
      <c r="C981" s="104" t="s">
        <v>535</v>
      </c>
      <c r="D981" s="104" t="s">
        <v>3243</v>
      </c>
      <c r="E981" s="104" t="s">
        <v>1335</v>
      </c>
      <c r="F981" s="104" t="s">
        <v>3244</v>
      </c>
      <c r="G981" s="150">
        <f t="shared" si="33"/>
        <v>2</v>
      </c>
      <c r="H981" s="104">
        <v>2.0</v>
      </c>
    </row>
    <row r="982">
      <c r="A982" s="104" t="s">
        <v>3245</v>
      </c>
      <c r="B982" s="104" t="s">
        <v>174</v>
      </c>
      <c r="C982" s="104" t="s">
        <v>535</v>
      </c>
      <c r="D982" s="104" t="s">
        <v>3246</v>
      </c>
      <c r="E982" s="104" t="s">
        <v>1271</v>
      </c>
      <c r="F982" s="104" t="s">
        <v>3247</v>
      </c>
      <c r="G982" s="104" t="s">
        <v>1273</v>
      </c>
      <c r="H982" s="104">
        <v>0.0</v>
      </c>
    </row>
    <row r="983">
      <c r="A983" s="104" t="s">
        <v>3248</v>
      </c>
      <c r="B983" s="104" t="s">
        <v>222</v>
      </c>
      <c r="C983" s="104" t="s">
        <v>535</v>
      </c>
      <c r="D983" s="104" t="s">
        <v>3249</v>
      </c>
      <c r="E983" s="104" t="s">
        <v>1271</v>
      </c>
      <c r="F983" s="104" t="s">
        <v>3250</v>
      </c>
      <c r="G983" s="104" t="s">
        <v>1273</v>
      </c>
      <c r="H983" s="104">
        <v>0.0</v>
      </c>
    </row>
    <row r="984">
      <c r="A984" s="104" t="s">
        <v>3251</v>
      </c>
      <c r="B984" s="104" t="s">
        <v>272</v>
      </c>
      <c r="C984" s="104" t="s">
        <v>535</v>
      </c>
      <c r="D984" s="104" t="s">
        <v>3252</v>
      </c>
      <c r="E984" s="104" t="s">
        <v>1276</v>
      </c>
      <c r="F984" s="104" t="s">
        <v>3253</v>
      </c>
      <c r="G984" s="150">
        <f t="shared" ref="G984:G986" si="34">+1</f>
        <v>1</v>
      </c>
      <c r="H984" s="104">
        <v>1.0</v>
      </c>
    </row>
    <row r="985">
      <c r="A985" s="104" t="s">
        <v>3254</v>
      </c>
      <c r="B985" s="104" t="s">
        <v>311</v>
      </c>
      <c r="C985" s="104" t="s">
        <v>535</v>
      </c>
      <c r="D985" s="104" t="s">
        <v>3255</v>
      </c>
      <c r="E985" s="104" t="s">
        <v>1276</v>
      </c>
      <c r="F985" s="104" t="s">
        <v>3256</v>
      </c>
      <c r="G985" s="150">
        <f t="shared" si="34"/>
        <v>1</v>
      </c>
      <c r="H985" s="104">
        <v>1.0</v>
      </c>
    </row>
    <row r="986">
      <c r="A986" s="104" t="s">
        <v>3257</v>
      </c>
      <c r="B986" s="104" t="s">
        <v>214</v>
      </c>
      <c r="C986" s="104" t="s">
        <v>535</v>
      </c>
      <c r="D986" s="104" t="s">
        <v>3258</v>
      </c>
      <c r="E986" s="104" t="s">
        <v>1276</v>
      </c>
      <c r="F986" s="104" t="s">
        <v>3259</v>
      </c>
      <c r="G986" s="150">
        <f t="shared" si="34"/>
        <v>1</v>
      </c>
      <c r="H986" s="104">
        <v>1.0</v>
      </c>
    </row>
    <row r="987">
      <c r="A987" s="104" t="s">
        <v>3260</v>
      </c>
      <c r="B987" s="104" t="s">
        <v>272</v>
      </c>
      <c r="C987" s="104" t="s">
        <v>535</v>
      </c>
      <c r="D987" s="104" t="s">
        <v>3261</v>
      </c>
      <c r="E987" s="104" t="s">
        <v>1271</v>
      </c>
      <c r="F987" s="104" t="s">
        <v>3262</v>
      </c>
      <c r="G987" s="104" t="s">
        <v>1273</v>
      </c>
      <c r="H987" s="104">
        <v>0.0</v>
      </c>
    </row>
    <row r="988">
      <c r="A988" s="104" t="s">
        <v>3263</v>
      </c>
      <c r="B988" s="104" t="s">
        <v>320</v>
      </c>
      <c r="C988" s="104" t="s">
        <v>535</v>
      </c>
      <c r="D988" s="104" t="s">
        <v>3264</v>
      </c>
      <c r="E988" s="104" t="s">
        <v>1271</v>
      </c>
      <c r="F988" s="104" t="s">
        <v>3265</v>
      </c>
      <c r="G988" s="104" t="s">
        <v>1273</v>
      </c>
      <c r="H988" s="104">
        <v>0.0</v>
      </c>
    </row>
    <row r="989">
      <c r="A989" s="104" t="s">
        <v>3266</v>
      </c>
      <c r="B989" s="104" t="s">
        <v>314</v>
      </c>
      <c r="C989" s="104" t="s">
        <v>535</v>
      </c>
      <c r="D989" s="104" t="s">
        <v>3267</v>
      </c>
      <c r="E989" s="104" t="s">
        <v>1283</v>
      </c>
      <c r="F989" s="104" t="s">
        <v>3268</v>
      </c>
      <c r="G989" s="104">
        <v>-1.0</v>
      </c>
      <c r="H989" s="104">
        <v>-1.0</v>
      </c>
    </row>
    <row r="990">
      <c r="A990" s="104" t="s">
        <v>3269</v>
      </c>
      <c r="B990" s="104" t="s">
        <v>219</v>
      </c>
      <c r="C990" s="104" t="s">
        <v>535</v>
      </c>
      <c r="D990" s="104" t="s">
        <v>3270</v>
      </c>
      <c r="E990" s="104" t="s">
        <v>1271</v>
      </c>
      <c r="F990" s="104" t="s">
        <v>3271</v>
      </c>
      <c r="G990" s="104" t="s">
        <v>1273</v>
      </c>
      <c r="H990" s="104">
        <v>0.0</v>
      </c>
    </row>
    <row r="991">
      <c r="A991" s="104" t="s">
        <v>3272</v>
      </c>
      <c r="B991" s="104" t="s">
        <v>146</v>
      </c>
      <c r="C991" s="104" t="s">
        <v>535</v>
      </c>
      <c r="D991" s="104" t="s">
        <v>3273</v>
      </c>
      <c r="E991" s="104" t="s">
        <v>1271</v>
      </c>
      <c r="F991" s="104" t="s">
        <v>3274</v>
      </c>
      <c r="G991" s="104" t="s">
        <v>1273</v>
      </c>
      <c r="H991" s="104">
        <v>0.0</v>
      </c>
    </row>
    <row r="992">
      <c r="A992" s="104" t="s">
        <v>3275</v>
      </c>
      <c r="B992" s="104" t="s">
        <v>142</v>
      </c>
      <c r="C992" s="104" t="s">
        <v>535</v>
      </c>
      <c r="D992" s="104" t="s">
        <v>3276</v>
      </c>
      <c r="E992" s="104" t="s">
        <v>1276</v>
      </c>
      <c r="F992" s="104" t="s">
        <v>3277</v>
      </c>
      <c r="G992" s="150">
        <f>+1</f>
        <v>1</v>
      </c>
      <c r="H992" s="104">
        <v>1.0</v>
      </c>
    </row>
    <row r="993">
      <c r="A993" s="104" t="s">
        <v>3278</v>
      </c>
      <c r="B993" s="104" t="s">
        <v>218</v>
      </c>
      <c r="C993" s="104" t="s">
        <v>535</v>
      </c>
      <c r="D993" s="104" t="s">
        <v>3279</v>
      </c>
      <c r="E993" s="104" t="s">
        <v>1290</v>
      </c>
      <c r="F993" s="104" t="s">
        <v>3280</v>
      </c>
      <c r="G993" s="150">
        <f>+3</f>
        <v>3</v>
      </c>
      <c r="H993" s="104">
        <v>3.0</v>
      </c>
    </row>
    <row r="994">
      <c r="A994" s="104" t="s">
        <v>3281</v>
      </c>
      <c r="B994" s="104" t="s">
        <v>208</v>
      </c>
      <c r="C994" s="104" t="s">
        <v>535</v>
      </c>
      <c r="D994" s="104" t="s">
        <v>3282</v>
      </c>
      <c r="E994" s="104" t="s">
        <v>1328</v>
      </c>
      <c r="F994" s="104" t="s">
        <v>3283</v>
      </c>
      <c r="G994" s="104">
        <v>-3.0</v>
      </c>
      <c r="H994" s="104">
        <v>-3.0</v>
      </c>
    </row>
    <row r="995">
      <c r="A995" s="104" t="s">
        <v>3284</v>
      </c>
      <c r="B995" s="104" t="s">
        <v>214</v>
      </c>
      <c r="C995" s="104" t="s">
        <v>535</v>
      </c>
      <c r="D995" s="104" t="s">
        <v>3285</v>
      </c>
      <c r="E995" s="104" t="s">
        <v>1271</v>
      </c>
      <c r="F995" s="104" t="s">
        <v>3286</v>
      </c>
      <c r="G995" s="104" t="s">
        <v>1273</v>
      </c>
      <c r="H995" s="104">
        <v>0.0</v>
      </c>
    </row>
    <row r="996">
      <c r="A996" s="104" t="s">
        <v>3287</v>
      </c>
      <c r="B996" s="104" t="s">
        <v>243</v>
      </c>
      <c r="C996" s="104" t="s">
        <v>535</v>
      </c>
      <c r="D996" s="104" t="s">
        <v>3288</v>
      </c>
      <c r="E996" s="104" t="s">
        <v>1271</v>
      </c>
      <c r="F996" s="104" t="s">
        <v>3289</v>
      </c>
      <c r="G996" s="104" t="s">
        <v>1273</v>
      </c>
      <c r="H996" s="104">
        <v>0.0</v>
      </c>
    </row>
    <row r="997">
      <c r="A997" s="104" t="s">
        <v>3290</v>
      </c>
      <c r="B997" s="104" t="s">
        <v>280</v>
      </c>
      <c r="C997" s="104" t="s">
        <v>535</v>
      </c>
      <c r="D997" s="104" t="s">
        <v>3291</v>
      </c>
      <c r="E997" s="104" t="s">
        <v>1271</v>
      </c>
      <c r="F997" s="104" t="s">
        <v>3292</v>
      </c>
      <c r="G997" s="104" t="s">
        <v>1273</v>
      </c>
      <c r="H997" s="104">
        <v>0.0</v>
      </c>
    </row>
    <row r="998">
      <c r="A998" s="104" t="s">
        <v>3293</v>
      </c>
      <c r="B998" s="104" t="s">
        <v>278</v>
      </c>
      <c r="C998" s="104" t="s">
        <v>535</v>
      </c>
      <c r="D998" s="104" t="s">
        <v>3294</v>
      </c>
      <c r="E998" s="104" t="s">
        <v>1271</v>
      </c>
      <c r="F998" s="104" t="s">
        <v>3295</v>
      </c>
      <c r="G998" s="104" t="s">
        <v>1273</v>
      </c>
      <c r="H998" s="104">
        <v>0.0</v>
      </c>
    </row>
    <row r="999">
      <c r="A999" s="104" t="s">
        <v>3296</v>
      </c>
      <c r="B999" s="104" t="s">
        <v>294</v>
      </c>
      <c r="C999" s="104" t="s">
        <v>535</v>
      </c>
      <c r="D999" s="104" t="s">
        <v>3297</v>
      </c>
      <c r="E999" s="104" t="s">
        <v>1290</v>
      </c>
      <c r="F999" s="104" t="s">
        <v>3298</v>
      </c>
      <c r="G999" s="150">
        <f>+3</f>
        <v>3</v>
      </c>
      <c r="H999" s="104">
        <v>3.0</v>
      </c>
    </row>
    <row r="1000">
      <c r="A1000" s="104" t="s">
        <v>3299</v>
      </c>
      <c r="B1000" s="104" t="s">
        <v>233</v>
      </c>
      <c r="C1000" s="104" t="s">
        <v>535</v>
      </c>
      <c r="D1000" s="104" t="s">
        <v>3300</v>
      </c>
      <c r="E1000" s="104" t="s">
        <v>1271</v>
      </c>
      <c r="F1000" s="104" t="s">
        <v>3301</v>
      </c>
      <c r="G1000" s="104" t="s">
        <v>1273</v>
      </c>
      <c r="H1000" s="104">
        <v>0.0</v>
      </c>
    </row>
    <row r="1001">
      <c r="A1001" s="104" t="s">
        <v>3302</v>
      </c>
      <c r="B1001" s="104" t="s">
        <v>311</v>
      </c>
      <c r="C1001" s="104" t="s">
        <v>535</v>
      </c>
      <c r="D1001" s="104" t="s">
        <v>3303</v>
      </c>
      <c r="E1001" s="104" t="s">
        <v>1300</v>
      </c>
      <c r="F1001" s="104" t="s">
        <v>3304</v>
      </c>
      <c r="G1001" s="104">
        <v>-2.0</v>
      </c>
      <c r="H1001" s="104">
        <v>-2.0</v>
      </c>
    </row>
    <row r="1002">
      <c r="A1002" s="104" t="s">
        <v>3305</v>
      </c>
      <c r="B1002" s="104" t="s">
        <v>169</v>
      </c>
      <c r="C1002" s="104" t="s">
        <v>535</v>
      </c>
      <c r="D1002" s="104" t="s">
        <v>3306</v>
      </c>
      <c r="E1002" s="104" t="s">
        <v>1335</v>
      </c>
      <c r="F1002" s="104" t="s">
        <v>3307</v>
      </c>
      <c r="G1002" s="150">
        <f>+2</f>
        <v>2</v>
      </c>
      <c r="H1002" s="104">
        <v>2.0</v>
      </c>
    </row>
    <row r="1003">
      <c r="A1003" s="104" t="s">
        <v>3308</v>
      </c>
      <c r="B1003" s="104" t="s">
        <v>203</v>
      </c>
      <c r="C1003" s="104" t="s">
        <v>535</v>
      </c>
      <c r="D1003" s="104" t="s">
        <v>3309</v>
      </c>
      <c r="E1003" s="104" t="s">
        <v>1271</v>
      </c>
      <c r="F1003" s="104" t="s">
        <v>3310</v>
      </c>
      <c r="G1003" s="104" t="s">
        <v>1273</v>
      </c>
      <c r="H1003" s="104">
        <v>0.0</v>
      </c>
    </row>
    <row r="1004">
      <c r="A1004" s="104" t="s">
        <v>3311</v>
      </c>
      <c r="B1004" s="104" t="s">
        <v>305</v>
      </c>
      <c r="C1004" s="104" t="s">
        <v>535</v>
      </c>
      <c r="D1004" s="104" t="s">
        <v>3312</v>
      </c>
      <c r="E1004" s="104" t="s">
        <v>1328</v>
      </c>
      <c r="F1004" s="104" t="s">
        <v>3313</v>
      </c>
      <c r="G1004" s="104">
        <v>-3.0</v>
      </c>
      <c r="H1004" s="104">
        <v>-3.0</v>
      </c>
    </row>
    <row r="1005">
      <c r="A1005" s="104" t="s">
        <v>3314</v>
      </c>
      <c r="B1005" s="104" t="s">
        <v>133</v>
      </c>
      <c r="C1005" s="104" t="s">
        <v>535</v>
      </c>
      <c r="D1005" s="104" t="s">
        <v>3315</v>
      </c>
      <c r="E1005" s="104" t="s">
        <v>1300</v>
      </c>
      <c r="F1005" s="104" t="s">
        <v>3316</v>
      </c>
      <c r="G1005" s="104">
        <v>-2.0</v>
      </c>
      <c r="H1005" s="104">
        <v>-2.0</v>
      </c>
    </row>
    <row r="1006">
      <c r="A1006" s="104" t="s">
        <v>3317</v>
      </c>
      <c r="B1006" s="104" t="s">
        <v>256</v>
      </c>
      <c r="C1006" s="104" t="s">
        <v>535</v>
      </c>
      <c r="D1006" s="104" t="s">
        <v>3318</v>
      </c>
      <c r="E1006" s="104" t="s">
        <v>1328</v>
      </c>
      <c r="F1006" s="104" t="s">
        <v>3319</v>
      </c>
      <c r="G1006" s="104">
        <v>-3.0</v>
      </c>
      <c r="H1006" s="104">
        <v>-3.0</v>
      </c>
    </row>
    <row r="1007">
      <c r="A1007" s="104" t="s">
        <v>3320</v>
      </c>
      <c r="B1007" s="104" t="s">
        <v>110</v>
      </c>
      <c r="C1007" s="104" t="s">
        <v>535</v>
      </c>
      <c r="D1007" s="104" t="s">
        <v>3321</v>
      </c>
      <c r="E1007" s="104" t="s">
        <v>1271</v>
      </c>
      <c r="F1007" s="104" t="s">
        <v>3322</v>
      </c>
      <c r="G1007" s="104" t="s">
        <v>1273</v>
      </c>
      <c r="H1007" s="104">
        <v>0.0</v>
      </c>
    </row>
    <row r="1008">
      <c r="A1008" s="104" t="s">
        <v>3323</v>
      </c>
      <c r="B1008" s="104" t="s">
        <v>250</v>
      </c>
      <c r="C1008" s="104" t="s">
        <v>535</v>
      </c>
      <c r="D1008" s="104" t="s">
        <v>3324</v>
      </c>
      <c r="E1008" s="104" t="s">
        <v>1300</v>
      </c>
      <c r="F1008" s="104" t="s">
        <v>3325</v>
      </c>
      <c r="G1008" s="104">
        <v>-2.0</v>
      </c>
      <c r="H1008" s="104">
        <v>-2.0</v>
      </c>
    </row>
    <row r="1009">
      <c r="A1009" s="104" t="s">
        <v>3326</v>
      </c>
      <c r="B1009" s="104" t="s">
        <v>110</v>
      </c>
      <c r="C1009" s="104" t="s">
        <v>535</v>
      </c>
      <c r="D1009" s="104" t="s">
        <v>3327</v>
      </c>
      <c r="E1009" s="104" t="s">
        <v>1283</v>
      </c>
      <c r="F1009" s="104" t="s">
        <v>3328</v>
      </c>
      <c r="G1009" s="104">
        <v>-1.0</v>
      </c>
      <c r="H1009" s="104">
        <v>-1.0</v>
      </c>
    </row>
    <row r="1010">
      <c r="A1010" s="104" t="s">
        <v>3329</v>
      </c>
      <c r="B1010" s="104" t="s">
        <v>122</v>
      </c>
      <c r="C1010" s="104" t="s">
        <v>535</v>
      </c>
      <c r="D1010" s="104" t="s">
        <v>3330</v>
      </c>
      <c r="E1010" s="104" t="s">
        <v>1271</v>
      </c>
      <c r="F1010" s="104" t="s">
        <v>3331</v>
      </c>
      <c r="G1010" s="104" t="s">
        <v>1273</v>
      </c>
      <c r="H1010" s="104">
        <v>0.0</v>
      </c>
    </row>
    <row r="1011">
      <c r="A1011" s="104" t="s">
        <v>3332</v>
      </c>
      <c r="B1011" s="104" t="s">
        <v>179</v>
      </c>
      <c r="C1011" s="104" t="s">
        <v>535</v>
      </c>
      <c r="D1011" s="104" t="s">
        <v>3333</v>
      </c>
      <c r="E1011" s="104" t="s">
        <v>1271</v>
      </c>
      <c r="F1011" s="104" t="s">
        <v>3334</v>
      </c>
      <c r="G1011" s="104" t="s">
        <v>1273</v>
      </c>
      <c r="H1011" s="104">
        <v>0.0</v>
      </c>
    </row>
    <row r="1012">
      <c r="A1012" s="104" t="s">
        <v>3335</v>
      </c>
      <c r="B1012" s="104" t="s">
        <v>283</v>
      </c>
      <c r="C1012" s="104" t="s">
        <v>535</v>
      </c>
      <c r="D1012" s="104" t="s">
        <v>3336</v>
      </c>
      <c r="E1012" s="104" t="s">
        <v>1335</v>
      </c>
      <c r="F1012" s="104" t="s">
        <v>3337</v>
      </c>
      <c r="G1012" s="150">
        <f>+2</f>
        <v>2</v>
      </c>
      <c r="H1012" s="104">
        <v>2.0</v>
      </c>
    </row>
    <row r="1013">
      <c r="A1013" s="104" t="s">
        <v>3338</v>
      </c>
      <c r="B1013" s="104" t="s">
        <v>256</v>
      </c>
      <c r="C1013" s="104" t="s">
        <v>535</v>
      </c>
      <c r="D1013" s="104" t="s">
        <v>3339</v>
      </c>
      <c r="E1013" s="104" t="s">
        <v>1283</v>
      </c>
      <c r="F1013" s="104" t="s">
        <v>3340</v>
      </c>
      <c r="G1013" s="104">
        <v>-1.0</v>
      </c>
      <c r="H1013" s="104">
        <v>-1.0</v>
      </c>
    </row>
    <row r="1014">
      <c r="A1014" s="104" t="s">
        <v>3341</v>
      </c>
      <c r="B1014" s="104" t="s">
        <v>168</v>
      </c>
      <c r="C1014" s="104" t="s">
        <v>535</v>
      </c>
      <c r="D1014" s="104" t="s">
        <v>3342</v>
      </c>
      <c r="E1014" s="104" t="s">
        <v>1300</v>
      </c>
      <c r="F1014" s="104" t="s">
        <v>3343</v>
      </c>
      <c r="G1014" s="104">
        <v>-2.0</v>
      </c>
      <c r="H1014" s="104">
        <v>-2.0</v>
      </c>
    </row>
    <row r="1015">
      <c r="A1015" s="104" t="s">
        <v>3344</v>
      </c>
      <c r="B1015" s="104" t="s">
        <v>179</v>
      </c>
      <c r="C1015" s="104" t="s">
        <v>535</v>
      </c>
      <c r="D1015" s="104" t="s">
        <v>3345</v>
      </c>
      <c r="E1015" s="104" t="s">
        <v>1328</v>
      </c>
      <c r="F1015" s="104" t="s">
        <v>3346</v>
      </c>
      <c r="G1015" s="104">
        <v>-3.0</v>
      </c>
      <c r="H1015" s="104">
        <v>-3.0</v>
      </c>
    </row>
    <row r="1016">
      <c r="A1016" s="104" t="s">
        <v>3347</v>
      </c>
      <c r="B1016" s="104" t="s">
        <v>287</v>
      </c>
      <c r="C1016" s="104" t="s">
        <v>535</v>
      </c>
      <c r="D1016" s="104" t="s">
        <v>3348</v>
      </c>
      <c r="E1016" s="104" t="s">
        <v>1276</v>
      </c>
      <c r="F1016" s="104" t="s">
        <v>3349</v>
      </c>
      <c r="G1016" s="150">
        <f>+1</f>
        <v>1</v>
      </c>
      <c r="H1016" s="104">
        <v>1.0</v>
      </c>
    </row>
    <row r="1017">
      <c r="A1017" s="104" t="s">
        <v>3350</v>
      </c>
      <c r="B1017" s="104" t="s">
        <v>265</v>
      </c>
      <c r="C1017" s="104" t="s">
        <v>535</v>
      </c>
      <c r="D1017" s="104" t="s">
        <v>3351</v>
      </c>
      <c r="E1017" s="104" t="s">
        <v>1271</v>
      </c>
      <c r="F1017" s="104" t="s">
        <v>3352</v>
      </c>
      <c r="G1017" s="104" t="s">
        <v>1273</v>
      </c>
      <c r="H1017" s="104">
        <v>0.0</v>
      </c>
    </row>
    <row r="1018">
      <c r="A1018" s="104" t="s">
        <v>3353</v>
      </c>
      <c r="B1018" s="104" t="s">
        <v>200</v>
      </c>
      <c r="C1018" s="104" t="s">
        <v>535</v>
      </c>
      <c r="D1018" s="104" t="s">
        <v>3354</v>
      </c>
      <c r="E1018" s="104" t="s">
        <v>1271</v>
      </c>
      <c r="F1018" s="104" t="s">
        <v>3355</v>
      </c>
      <c r="G1018" s="104" t="s">
        <v>1273</v>
      </c>
      <c r="H1018" s="104">
        <v>0.0</v>
      </c>
    </row>
    <row r="1019">
      <c r="A1019" s="104" t="s">
        <v>3356</v>
      </c>
      <c r="B1019" s="104" t="s">
        <v>133</v>
      </c>
      <c r="C1019" s="104" t="s">
        <v>535</v>
      </c>
      <c r="D1019" s="104" t="s">
        <v>3357</v>
      </c>
      <c r="E1019" s="104" t="s">
        <v>1271</v>
      </c>
      <c r="F1019" s="104" t="s">
        <v>3358</v>
      </c>
      <c r="G1019" s="104" t="s">
        <v>1273</v>
      </c>
      <c r="H1019" s="104">
        <v>0.0</v>
      </c>
    </row>
    <row r="1020">
      <c r="A1020" s="104" t="s">
        <v>3359</v>
      </c>
      <c r="B1020" s="104" t="s">
        <v>279</v>
      </c>
      <c r="C1020" s="104" t="s">
        <v>535</v>
      </c>
      <c r="D1020" s="104" t="s">
        <v>3360</v>
      </c>
      <c r="E1020" s="104" t="s">
        <v>1271</v>
      </c>
      <c r="F1020" s="104" t="s">
        <v>3361</v>
      </c>
      <c r="G1020" s="104" t="s">
        <v>1273</v>
      </c>
      <c r="H1020" s="104">
        <v>0.0</v>
      </c>
    </row>
    <row r="1021">
      <c r="A1021" s="104" t="s">
        <v>3362</v>
      </c>
      <c r="B1021" s="104" t="s">
        <v>279</v>
      </c>
      <c r="C1021" s="104" t="s">
        <v>535</v>
      </c>
      <c r="D1021" s="104" t="s">
        <v>3363</v>
      </c>
      <c r="E1021" s="104" t="s">
        <v>1290</v>
      </c>
      <c r="F1021" s="104" t="s">
        <v>3364</v>
      </c>
      <c r="G1021" s="150">
        <f t="shared" ref="G1021:G1022" si="35">+3</f>
        <v>3</v>
      </c>
      <c r="H1021" s="104">
        <v>3.0</v>
      </c>
    </row>
    <row r="1022">
      <c r="A1022" s="104" t="s">
        <v>3365</v>
      </c>
      <c r="B1022" s="104" t="s">
        <v>133</v>
      </c>
      <c r="C1022" s="104" t="s">
        <v>535</v>
      </c>
      <c r="D1022" s="104" t="s">
        <v>3366</v>
      </c>
      <c r="E1022" s="104" t="s">
        <v>1290</v>
      </c>
      <c r="F1022" s="104" t="s">
        <v>3367</v>
      </c>
      <c r="G1022" s="150">
        <f t="shared" si="35"/>
        <v>3</v>
      </c>
      <c r="H1022" s="104">
        <v>3.0</v>
      </c>
    </row>
    <row r="1023">
      <c r="A1023" s="104" t="s">
        <v>3368</v>
      </c>
      <c r="B1023" s="104" t="s">
        <v>186</v>
      </c>
      <c r="C1023" s="104" t="s">
        <v>535</v>
      </c>
      <c r="D1023" s="104" t="s">
        <v>3369</v>
      </c>
      <c r="E1023" s="104" t="s">
        <v>1300</v>
      </c>
      <c r="F1023" s="104" t="s">
        <v>3370</v>
      </c>
      <c r="G1023" s="104">
        <v>-2.0</v>
      </c>
      <c r="H1023" s="104">
        <v>-2.0</v>
      </c>
    </row>
    <row r="1024">
      <c r="A1024" s="104" t="s">
        <v>3371</v>
      </c>
      <c r="B1024" s="104" t="s">
        <v>186</v>
      </c>
      <c r="C1024" s="104" t="s">
        <v>535</v>
      </c>
      <c r="D1024" s="104" t="s">
        <v>3372</v>
      </c>
      <c r="E1024" s="104" t="s">
        <v>1271</v>
      </c>
      <c r="F1024" s="104" t="s">
        <v>3373</v>
      </c>
      <c r="G1024" s="104" t="s">
        <v>1273</v>
      </c>
      <c r="H1024" s="104">
        <v>0.0</v>
      </c>
    </row>
    <row r="1025">
      <c r="A1025" s="104" t="s">
        <v>3374</v>
      </c>
      <c r="B1025" s="104" t="s">
        <v>155</v>
      </c>
      <c r="C1025" s="104" t="s">
        <v>535</v>
      </c>
      <c r="D1025" s="104" t="s">
        <v>3375</v>
      </c>
      <c r="E1025" s="104" t="s">
        <v>1328</v>
      </c>
      <c r="F1025" s="104" t="s">
        <v>3376</v>
      </c>
      <c r="G1025" s="104">
        <v>-3.0</v>
      </c>
      <c r="H1025" s="104">
        <v>-3.0</v>
      </c>
    </row>
    <row r="1026">
      <c r="A1026" s="104" t="s">
        <v>3377</v>
      </c>
      <c r="B1026" s="104" t="s">
        <v>305</v>
      </c>
      <c r="C1026" s="104" t="s">
        <v>535</v>
      </c>
      <c r="D1026" s="104" t="s">
        <v>3378</v>
      </c>
      <c r="E1026" s="104" t="s">
        <v>1271</v>
      </c>
      <c r="F1026" s="104" t="s">
        <v>3379</v>
      </c>
      <c r="G1026" s="104" t="s">
        <v>1273</v>
      </c>
      <c r="H1026" s="104">
        <v>0.0</v>
      </c>
    </row>
    <row r="1027">
      <c r="A1027" s="104" t="s">
        <v>3380</v>
      </c>
      <c r="B1027" s="104" t="s">
        <v>182</v>
      </c>
      <c r="C1027" s="104" t="s">
        <v>535</v>
      </c>
      <c r="D1027" s="104" t="s">
        <v>3381</v>
      </c>
      <c r="E1027" s="104" t="s">
        <v>1328</v>
      </c>
      <c r="F1027" s="104" t="s">
        <v>3382</v>
      </c>
      <c r="G1027" s="104">
        <v>-3.0</v>
      </c>
      <c r="H1027" s="104">
        <v>-3.0</v>
      </c>
    </row>
    <row r="1028">
      <c r="A1028" s="104" t="s">
        <v>3383</v>
      </c>
      <c r="B1028" s="104" t="s">
        <v>265</v>
      </c>
      <c r="C1028" s="104" t="s">
        <v>535</v>
      </c>
      <c r="D1028" s="104" t="s">
        <v>3384</v>
      </c>
      <c r="E1028" s="104" t="s">
        <v>1283</v>
      </c>
      <c r="F1028" s="104" t="s">
        <v>3385</v>
      </c>
      <c r="G1028" s="104">
        <v>-1.0</v>
      </c>
      <c r="H1028" s="104">
        <v>-1.0</v>
      </c>
    </row>
    <row r="1029">
      <c r="A1029" s="104" t="s">
        <v>3386</v>
      </c>
      <c r="B1029" s="104" t="s">
        <v>291</v>
      </c>
      <c r="C1029" s="104" t="s">
        <v>535</v>
      </c>
      <c r="D1029" s="104" t="s">
        <v>3387</v>
      </c>
      <c r="E1029" s="104" t="s">
        <v>1300</v>
      </c>
      <c r="F1029" s="104" t="s">
        <v>3388</v>
      </c>
      <c r="G1029" s="104">
        <v>-2.0</v>
      </c>
      <c r="H1029" s="104">
        <v>-2.0</v>
      </c>
    </row>
    <row r="1030">
      <c r="A1030" s="104" t="s">
        <v>3389</v>
      </c>
      <c r="B1030" s="104" t="s">
        <v>115</v>
      </c>
      <c r="C1030" s="104" t="s">
        <v>535</v>
      </c>
      <c r="D1030" s="104" t="s">
        <v>3390</v>
      </c>
      <c r="E1030" s="104" t="s">
        <v>1335</v>
      </c>
      <c r="F1030" s="104" t="s">
        <v>3391</v>
      </c>
      <c r="G1030" s="150">
        <f>+2</f>
        <v>2</v>
      </c>
      <c r="H1030" s="104">
        <v>2.0</v>
      </c>
    </row>
    <row r="1031">
      <c r="A1031" s="104" t="s">
        <v>3392</v>
      </c>
      <c r="B1031" s="104" t="s">
        <v>311</v>
      </c>
      <c r="C1031" s="104" t="s">
        <v>535</v>
      </c>
      <c r="D1031" s="104" t="s">
        <v>3393</v>
      </c>
      <c r="E1031" s="104" t="s">
        <v>1283</v>
      </c>
      <c r="F1031" s="104" t="s">
        <v>3394</v>
      </c>
      <c r="G1031" s="104">
        <v>-1.0</v>
      </c>
      <c r="H1031" s="104">
        <v>-1.0</v>
      </c>
    </row>
    <row r="1032">
      <c r="A1032" s="104" t="s">
        <v>3395</v>
      </c>
      <c r="B1032" s="104" t="s">
        <v>265</v>
      </c>
      <c r="C1032" s="104" t="s">
        <v>535</v>
      </c>
      <c r="D1032" s="104" t="s">
        <v>3396</v>
      </c>
      <c r="E1032" s="104" t="s">
        <v>1271</v>
      </c>
      <c r="F1032" s="104" t="s">
        <v>3397</v>
      </c>
      <c r="G1032" s="104" t="s">
        <v>1273</v>
      </c>
      <c r="H1032" s="104">
        <v>0.0</v>
      </c>
    </row>
    <row r="1033">
      <c r="A1033" s="104" t="s">
        <v>3398</v>
      </c>
      <c r="B1033" s="104" t="s">
        <v>311</v>
      </c>
      <c r="C1033" s="104" t="s">
        <v>535</v>
      </c>
      <c r="D1033" s="104" t="s">
        <v>3399</v>
      </c>
      <c r="E1033" s="104" t="s">
        <v>1335</v>
      </c>
      <c r="F1033" s="104" t="s">
        <v>3400</v>
      </c>
      <c r="G1033" s="150">
        <f t="shared" ref="G1033:G1034" si="36">+2</f>
        <v>2</v>
      </c>
      <c r="H1033" s="104">
        <v>2.0</v>
      </c>
    </row>
    <row r="1034">
      <c r="A1034" s="104" t="s">
        <v>3401</v>
      </c>
      <c r="B1034" s="104" t="s">
        <v>265</v>
      </c>
      <c r="C1034" s="104" t="s">
        <v>535</v>
      </c>
      <c r="D1034" s="104" t="s">
        <v>3402</v>
      </c>
      <c r="E1034" s="104" t="s">
        <v>1335</v>
      </c>
      <c r="F1034" s="104" t="s">
        <v>3403</v>
      </c>
      <c r="G1034" s="150">
        <f t="shared" si="36"/>
        <v>2</v>
      </c>
      <c r="H1034" s="104">
        <v>2.0</v>
      </c>
    </row>
    <row r="1035">
      <c r="A1035" s="104" t="s">
        <v>3404</v>
      </c>
      <c r="B1035" s="104" t="s">
        <v>303</v>
      </c>
      <c r="C1035" s="104" t="s">
        <v>535</v>
      </c>
      <c r="D1035" s="104" t="s">
        <v>3405</v>
      </c>
      <c r="E1035" s="104" t="s">
        <v>1300</v>
      </c>
      <c r="F1035" s="104" t="s">
        <v>3406</v>
      </c>
      <c r="G1035" s="104">
        <v>-2.0</v>
      </c>
      <c r="H1035" s="104">
        <v>-2.0</v>
      </c>
    </row>
    <row r="1036">
      <c r="A1036" s="104" t="s">
        <v>3407</v>
      </c>
      <c r="B1036" s="104" t="s">
        <v>314</v>
      </c>
      <c r="C1036" s="104" t="s">
        <v>535</v>
      </c>
      <c r="D1036" s="104" t="s">
        <v>3408</v>
      </c>
      <c r="E1036" s="104" t="s">
        <v>1271</v>
      </c>
      <c r="F1036" s="104" t="s">
        <v>3409</v>
      </c>
      <c r="G1036" s="104" t="s">
        <v>1273</v>
      </c>
      <c r="H1036" s="104">
        <v>0.0</v>
      </c>
    </row>
    <row r="1037">
      <c r="A1037" s="104" t="s">
        <v>3410</v>
      </c>
      <c r="B1037" s="104" t="s">
        <v>265</v>
      </c>
      <c r="C1037" s="104" t="s">
        <v>535</v>
      </c>
      <c r="D1037" s="104" t="s">
        <v>3411</v>
      </c>
      <c r="E1037" s="104" t="s">
        <v>1271</v>
      </c>
      <c r="F1037" s="104" t="s">
        <v>3412</v>
      </c>
      <c r="G1037" s="104" t="s">
        <v>1273</v>
      </c>
      <c r="H1037" s="104">
        <v>0.0</v>
      </c>
    </row>
    <row r="1038">
      <c r="A1038" s="104" t="s">
        <v>3413</v>
      </c>
      <c r="B1038" s="104" t="s">
        <v>313</v>
      </c>
      <c r="C1038" s="104" t="s">
        <v>535</v>
      </c>
      <c r="D1038" s="104" t="s">
        <v>3414</v>
      </c>
      <c r="E1038" s="104" t="s">
        <v>1335</v>
      </c>
      <c r="F1038" s="104" t="s">
        <v>3415</v>
      </c>
      <c r="G1038" s="150">
        <f>+2</f>
        <v>2</v>
      </c>
      <c r="H1038" s="104">
        <v>2.0</v>
      </c>
    </row>
    <row r="1039">
      <c r="A1039" s="104" t="s">
        <v>3416</v>
      </c>
      <c r="B1039" s="104" t="s">
        <v>161</v>
      </c>
      <c r="C1039" s="104" t="s">
        <v>535</v>
      </c>
      <c r="D1039" s="104" t="s">
        <v>3417</v>
      </c>
      <c r="E1039" s="104" t="s">
        <v>1328</v>
      </c>
      <c r="F1039" s="104" t="s">
        <v>3418</v>
      </c>
      <c r="G1039" s="104">
        <v>-3.0</v>
      </c>
      <c r="H1039" s="104">
        <v>-3.0</v>
      </c>
    </row>
    <row r="1040">
      <c r="A1040" s="104" t="s">
        <v>3419</v>
      </c>
      <c r="B1040" s="104" t="s">
        <v>282</v>
      </c>
      <c r="C1040" s="104" t="s">
        <v>535</v>
      </c>
      <c r="D1040" s="104" t="s">
        <v>3420</v>
      </c>
      <c r="E1040" s="104" t="s">
        <v>1300</v>
      </c>
      <c r="F1040" s="104" t="s">
        <v>3421</v>
      </c>
      <c r="G1040" s="104">
        <v>-2.0</v>
      </c>
      <c r="H1040" s="104">
        <v>-2.0</v>
      </c>
    </row>
    <row r="1041">
      <c r="A1041" s="104" t="s">
        <v>3422</v>
      </c>
      <c r="B1041" s="104" t="s">
        <v>229</v>
      </c>
      <c r="C1041" s="104" t="s">
        <v>535</v>
      </c>
      <c r="D1041" s="104" t="s">
        <v>3423</v>
      </c>
      <c r="E1041" s="104" t="s">
        <v>1271</v>
      </c>
      <c r="F1041" s="104" t="s">
        <v>3424</v>
      </c>
      <c r="G1041" s="104" t="s">
        <v>1273</v>
      </c>
      <c r="H1041" s="104">
        <v>0.0</v>
      </c>
    </row>
    <row r="1042">
      <c r="A1042" s="104" t="s">
        <v>3425</v>
      </c>
      <c r="B1042" s="104" t="s">
        <v>313</v>
      </c>
      <c r="C1042" s="104" t="s">
        <v>535</v>
      </c>
      <c r="D1042" s="104" t="s">
        <v>3426</v>
      </c>
      <c r="E1042" s="104" t="s">
        <v>1271</v>
      </c>
      <c r="F1042" s="104" t="s">
        <v>3427</v>
      </c>
      <c r="G1042" s="104" t="s">
        <v>1273</v>
      </c>
      <c r="H1042" s="104">
        <v>0.0</v>
      </c>
    </row>
    <row r="1043">
      <c r="A1043" s="104" t="s">
        <v>3428</v>
      </c>
      <c r="B1043" s="104" t="s">
        <v>265</v>
      </c>
      <c r="C1043" s="104" t="s">
        <v>535</v>
      </c>
      <c r="D1043" s="104" t="s">
        <v>3429</v>
      </c>
      <c r="E1043" s="104" t="s">
        <v>1290</v>
      </c>
      <c r="F1043" s="104" t="s">
        <v>3430</v>
      </c>
      <c r="G1043" s="150">
        <f>+3</f>
        <v>3</v>
      </c>
      <c r="H1043" s="104">
        <v>3.0</v>
      </c>
    </row>
    <row r="1044">
      <c r="A1044" s="104" t="s">
        <v>3431</v>
      </c>
      <c r="B1044" s="104" t="s">
        <v>229</v>
      </c>
      <c r="C1044" s="104" t="s">
        <v>535</v>
      </c>
      <c r="D1044" s="104" t="s">
        <v>3432</v>
      </c>
      <c r="E1044" s="104" t="s">
        <v>1335</v>
      </c>
      <c r="F1044" s="104" t="s">
        <v>3433</v>
      </c>
      <c r="G1044" s="150">
        <f>+2</f>
        <v>2</v>
      </c>
      <c r="H1044" s="104">
        <v>2.0</v>
      </c>
    </row>
    <row r="1045">
      <c r="A1045" s="104" t="s">
        <v>3434</v>
      </c>
      <c r="B1045" s="104" t="s">
        <v>272</v>
      </c>
      <c r="C1045" s="104" t="s">
        <v>535</v>
      </c>
      <c r="D1045" s="104" t="s">
        <v>3435</v>
      </c>
      <c r="E1045" s="104" t="s">
        <v>1300</v>
      </c>
      <c r="F1045" s="104" t="s">
        <v>3436</v>
      </c>
      <c r="G1045" s="104">
        <v>-2.0</v>
      </c>
      <c r="H1045" s="104">
        <v>-2.0</v>
      </c>
    </row>
    <row r="1046">
      <c r="A1046" s="104" t="s">
        <v>3437</v>
      </c>
      <c r="B1046" s="104" t="s">
        <v>265</v>
      </c>
      <c r="C1046" s="104" t="s">
        <v>535</v>
      </c>
      <c r="D1046" s="104" t="s">
        <v>3438</v>
      </c>
      <c r="E1046" s="104" t="s">
        <v>1271</v>
      </c>
      <c r="F1046" s="104" t="s">
        <v>3439</v>
      </c>
      <c r="G1046" s="104" t="s">
        <v>1273</v>
      </c>
      <c r="H1046" s="104">
        <v>0.0</v>
      </c>
    </row>
    <row r="1047">
      <c r="A1047" s="104" t="s">
        <v>3440</v>
      </c>
      <c r="B1047" s="104" t="s">
        <v>273</v>
      </c>
      <c r="C1047" s="104" t="s">
        <v>535</v>
      </c>
      <c r="D1047" s="104" t="s">
        <v>3441</v>
      </c>
      <c r="E1047" s="104" t="s">
        <v>1271</v>
      </c>
      <c r="F1047" s="104" t="s">
        <v>3442</v>
      </c>
      <c r="G1047" s="104" t="s">
        <v>1273</v>
      </c>
      <c r="H1047" s="104">
        <v>0.0</v>
      </c>
    </row>
    <row r="1048">
      <c r="A1048" s="104" t="s">
        <v>3443</v>
      </c>
      <c r="B1048" s="104" t="s">
        <v>89</v>
      </c>
      <c r="C1048" s="104" t="s">
        <v>535</v>
      </c>
      <c r="D1048" s="104" t="s">
        <v>3444</v>
      </c>
      <c r="E1048" s="104" t="s">
        <v>1271</v>
      </c>
      <c r="F1048" s="104" t="s">
        <v>3445</v>
      </c>
      <c r="G1048" s="104" t="s">
        <v>1273</v>
      </c>
      <c r="H1048" s="104">
        <v>0.0</v>
      </c>
    </row>
    <row r="1049">
      <c r="A1049" s="104" t="s">
        <v>3446</v>
      </c>
      <c r="B1049" s="104" t="s">
        <v>91</v>
      </c>
      <c r="C1049" s="104" t="s">
        <v>535</v>
      </c>
      <c r="D1049" s="104" t="s">
        <v>3447</v>
      </c>
      <c r="E1049" s="104" t="s">
        <v>1271</v>
      </c>
      <c r="F1049" s="104" t="s">
        <v>3448</v>
      </c>
      <c r="G1049" s="104" t="s">
        <v>1273</v>
      </c>
      <c r="H1049" s="104">
        <v>0.0</v>
      </c>
    </row>
    <row r="1050">
      <c r="A1050" s="104" t="s">
        <v>3449</v>
      </c>
      <c r="B1050" s="104" t="s">
        <v>188</v>
      </c>
      <c r="C1050" s="104" t="s">
        <v>535</v>
      </c>
      <c r="D1050" s="104" t="s">
        <v>3450</v>
      </c>
      <c r="E1050" s="104" t="s">
        <v>1335</v>
      </c>
      <c r="F1050" s="104" t="s">
        <v>3451</v>
      </c>
      <c r="G1050" s="150">
        <f>+2</f>
        <v>2</v>
      </c>
      <c r="H1050" s="104">
        <v>2.0</v>
      </c>
    </row>
    <row r="1051">
      <c r="A1051" s="104" t="s">
        <v>3452</v>
      </c>
      <c r="B1051" s="104" t="s">
        <v>199</v>
      </c>
      <c r="C1051" s="104" t="s">
        <v>535</v>
      </c>
      <c r="D1051" s="104" t="s">
        <v>3453</v>
      </c>
      <c r="E1051" s="104" t="s">
        <v>1283</v>
      </c>
      <c r="F1051" s="104" t="s">
        <v>3454</v>
      </c>
      <c r="G1051" s="104">
        <v>-1.0</v>
      </c>
      <c r="H1051" s="104">
        <v>-1.0</v>
      </c>
    </row>
    <row r="1052">
      <c r="A1052" s="104" t="s">
        <v>3455</v>
      </c>
      <c r="B1052" s="104" t="s">
        <v>194</v>
      </c>
      <c r="C1052" s="104" t="s">
        <v>535</v>
      </c>
      <c r="D1052" s="104" t="s">
        <v>3456</v>
      </c>
      <c r="E1052" s="104" t="s">
        <v>1290</v>
      </c>
      <c r="F1052" s="104" t="s">
        <v>3457</v>
      </c>
      <c r="G1052" s="150">
        <f>+3</f>
        <v>3</v>
      </c>
      <c r="H1052" s="104">
        <v>3.0</v>
      </c>
    </row>
    <row r="1053">
      <c r="A1053" s="104" t="s">
        <v>3458</v>
      </c>
      <c r="B1053" s="104" t="s">
        <v>188</v>
      </c>
      <c r="C1053" s="104" t="s">
        <v>535</v>
      </c>
      <c r="D1053" s="104" t="s">
        <v>3459</v>
      </c>
      <c r="E1053" s="104" t="s">
        <v>1271</v>
      </c>
      <c r="F1053" s="104" t="s">
        <v>3460</v>
      </c>
      <c r="G1053" s="104" t="s">
        <v>1273</v>
      </c>
      <c r="H1053" s="104">
        <v>0.0</v>
      </c>
    </row>
    <row r="1054">
      <c r="A1054" s="104" t="s">
        <v>3461</v>
      </c>
      <c r="B1054" s="104" t="s">
        <v>250</v>
      </c>
      <c r="C1054" s="104" t="s">
        <v>535</v>
      </c>
      <c r="D1054" s="104" t="s">
        <v>3462</v>
      </c>
      <c r="E1054" s="104" t="s">
        <v>1276</v>
      </c>
      <c r="F1054" s="104" t="s">
        <v>3463</v>
      </c>
      <c r="G1054" s="150">
        <f>+1</f>
        <v>1</v>
      </c>
      <c r="H1054" s="104">
        <v>1.0</v>
      </c>
    </row>
    <row r="1055">
      <c r="A1055" s="104" t="s">
        <v>3464</v>
      </c>
      <c r="B1055" s="104" t="s">
        <v>235</v>
      </c>
      <c r="C1055" s="104" t="s">
        <v>535</v>
      </c>
      <c r="D1055" s="104" t="s">
        <v>3465</v>
      </c>
      <c r="E1055" s="104" t="s">
        <v>1290</v>
      </c>
      <c r="F1055" s="104" t="s">
        <v>3466</v>
      </c>
      <c r="G1055" s="150">
        <f t="shared" ref="G1055:G1056" si="37">+3</f>
        <v>3</v>
      </c>
      <c r="H1055" s="104">
        <v>3.0</v>
      </c>
    </row>
    <row r="1056">
      <c r="A1056" s="104" t="s">
        <v>3467</v>
      </c>
      <c r="B1056" s="104" t="s">
        <v>91</v>
      </c>
      <c r="C1056" s="104" t="s">
        <v>535</v>
      </c>
      <c r="D1056" s="104" t="s">
        <v>3468</v>
      </c>
      <c r="E1056" s="104" t="s">
        <v>1290</v>
      </c>
      <c r="F1056" s="104" t="s">
        <v>3469</v>
      </c>
      <c r="G1056" s="150">
        <f t="shared" si="37"/>
        <v>3</v>
      </c>
      <c r="H1056" s="104">
        <v>3.0</v>
      </c>
    </row>
    <row r="1057">
      <c r="A1057" s="104" t="s">
        <v>3470</v>
      </c>
      <c r="B1057" s="104" t="s">
        <v>234</v>
      </c>
      <c r="C1057" s="104" t="s">
        <v>535</v>
      </c>
      <c r="D1057" s="104" t="s">
        <v>3471</v>
      </c>
      <c r="E1057" s="104" t="s">
        <v>1335</v>
      </c>
      <c r="F1057" s="104" t="s">
        <v>3472</v>
      </c>
      <c r="G1057" s="150">
        <f>+2</f>
        <v>2</v>
      </c>
      <c r="H1057" s="104">
        <v>2.0</v>
      </c>
    </row>
    <row r="1058">
      <c r="A1058" s="104" t="s">
        <v>3473</v>
      </c>
      <c r="B1058" s="104" t="s">
        <v>298</v>
      </c>
      <c r="C1058" s="104" t="s">
        <v>535</v>
      </c>
      <c r="D1058" s="104" t="s">
        <v>3474</v>
      </c>
      <c r="E1058" s="104" t="s">
        <v>1271</v>
      </c>
      <c r="F1058" s="104" t="s">
        <v>3475</v>
      </c>
      <c r="G1058" s="104" t="s">
        <v>1273</v>
      </c>
      <c r="H1058" s="104">
        <v>0.0</v>
      </c>
    </row>
    <row r="1059">
      <c r="A1059" s="104" t="s">
        <v>3476</v>
      </c>
      <c r="B1059" s="104" t="s">
        <v>200</v>
      </c>
      <c r="C1059" s="104" t="s">
        <v>535</v>
      </c>
      <c r="D1059" s="104" t="s">
        <v>3477</v>
      </c>
      <c r="E1059" s="104" t="s">
        <v>1276</v>
      </c>
      <c r="F1059" s="104" t="s">
        <v>3478</v>
      </c>
      <c r="G1059" s="150">
        <f>+1</f>
        <v>1</v>
      </c>
      <c r="H1059" s="104">
        <v>1.0</v>
      </c>
    </row>
    <row r="1060">
      <c r="A1060" s="104" t="s">
        <v>3479</v>
      </c>
      <c r="B1060" s="104" t="s">
        <v>194</v>
      </c>
      <c r="C1060" s="104" t="s">
        <v>535</v>
      </c>
      <c r="D1060" s="104" t="s">
        <v>3480</v>
      </c>
      <c r="E1060" s="104" t="s">
        <v>1328</v>
      </c>
      <c r="F1060" s="104" t="s">
        <v>3481</v>
      </c>
      <c r="G1060" s="104">
        <v>-3.0</v>
      </c>
      <c r="H1060" s="104">
        <v>-3.0</v>
      </c>
    </row>
    <row r="1061">
      <c r="A1061" s="104" t="s">
        <v>3482</v>
      </c>
      <c r="B1061" s="104" t="s">
        <v>281</v>
      </c>
      <c r="C1061" s="104" t="s">
        <v>535</v>
      </c>
      <c r="D1061" s="104" t="s">
        <v>3483</v>
      </c>
      <c r="E1061" s="104" t="s">
        <v>1271</v>
      </c>
      <c r="F1061" s="104" t="s">
        <v>3484</v>
      </c>
      <c r="G1061" s="104" t="s">
        <v>1273</v>
      </c>
      <c r="H1061" s="104">
        <v>0.0</v>
      </c>
    </row>
    <row r="1062">
      <c r="A1062" s="104" t="s">
        <v>3485</v>
      </c>
      <c r="B1062" s="104" t="s">
        <v>286</v>
      </c>
      <c r="C1062" s="104" t="s">
        <v>535</v>
      </c>
      <c r="D1062" s="104" t="s">
        <v>3486</v>
      </c>
      <c r="E1062" s="104" t="s">
        <v>1271</v>
      </c>
      <c r="F1062" s="104" t="s">
        <v>3487</v>
      </c>
      <c r="G1062" s="104" t="s">
        <v>1273</v>
      </c>
      <c r="H1062" s="104">
        <v>0.0</v>
      </c>
    </row>
    <row r="1063">
      <c r="A1063" s="104" t="s">
        <v>3488</v>
      </c>
      <c r="B1063" s="104" t="s">
        <v>281</v>
      </c>
      <c r="C1063" s="104" t="s">
        <v>535</v>
      </c>
      <c r="D1063" s="104" t="s">
        <v>3489</v>
      </c>
      <c r="E1063" s="104" t="s">
        <v>1335</v>
      </c>
      <c r="F1063" s="104" t="s">
        <v>3490</v>
      </c>
      <c r="G1063" s="150">
        <f>+2</f>
        <v>2</v>
      </c>
      <c r="H1063" s="104">
        <v>2.0</v>
      </c>
    </row>
    <row r="1064">
      <c r="A1064" s="104" t="s">
        <v>3491</v>
      </c>
      <c r="B1064" s="104" t="s">
        <v>199</v>
      </c>
      <c r="C1064" s="104" t="s">
        <v>535</v>
      </c>
      <c r="D1064" s="104" t="s">
        <v>3492</v>
      </c>
      <c r="E1064" s="104" t="s">
        <v>1271</v>
      </c>
      <c r="F1064" s="104" t="s">
        <v>3493</v>
      </c>
      <c r="G1064" s="104" t="s">
        <v>1273</v>
      </c>
      <c r="H1064" s="104">
        <v>0.0</v>
      </c>
    </row>
    <row r="1065">
      <c r="A1065" s="104" t="s">
        <v>3494</v>
      </c>
      <c r="B1065" s="104" t="s">
        <v>258</v>
      </c>
      <c r="C1065" s="104" t="s">
        <v>535</v>
      </c>
      <c r="D1065" s="104" t="s">
        <v>3495</v>
      </c>
      <c r="E1065" s="104" t="s">
        <v>1271</v>
      </c>
      <c r="F1065" s="104" t="s">
        <v>3496</v>
      </c>
      <c r="G1065" s="104" t="s">
        <v>1273</v>
      </c>
      <c r="H1065" s="104">
        <v>0.0</v>
      </c>
    </row>
    <row r="1066">
      <c r="A1066" s="104" t="s">
        <v>3497</v>
      </c>
      <c r="B1066" s="104" t="s">
        <v>281</v>
      </c>
      <c r="C1066" s="104" t="s">
        <v>535</v>
      </c>
      <c r="D1066" s="104" t="s">
        <v>3498</v>
      </c>
      <c r="E1066" s="104" t="s">
        <v>1271</v>
      </c>
      <c r="F1066" s="104" t="s">
        <v>3499</v>
      </c>
      <c r="G1066" s="104" t="s">
        <v>1273</v>
      </c>
      <c r="H1066" s="104">
        <v>0.0</v>
      </c>
    </row>
    <row r="1067">
      <c r="A1067" s="104" t="s">
        <v>3500</v>
      </c>
      <c r="B1067" s="104" t="s">
        <v>146</v>
      </c>
      <c r="C1067" s="104" t="s">
        <v>535</v>
      </c>
      <c r="D1067" s="104" t="s">
        <v>3501</v>
      </c>
      <c r="E1067" s="104" t="s">
        <v>1283</v>
      </c>
      <c r="F1067" s="104" t="s">
        <v>3502</v>
      </c>
      <c r="G1067" s="104">
        <v>-1.0</v>
      </c>
      <c r="H1067" s="104">
        <v>-1.0</v>
      </c>
    </row>
    <row r="1068">
      <c r="A1068" s="104" t="s">
        <v>3503</v>
      </c>
      <c r="B1068" s="104" t="s">
        <v>285</v>
      </c>
      <c r="C1068" s="104" t="s">
        <v>535</v>
      </c>
      <c r="D1068" s="104" t="s">
        <v>3504</v>
      </c>
      <c r="E1068" s="104" t="s">
        <v>1328</v>
      </c>
      <c r="F1068" s="104" t="s">
        <v>3505</v>
      </c>
      <c r="G1068" s="104">
        <v>-3.0</v>
      </c>
      <c r="H1068" s="104">
        <v>-3.0</v>
      </c>
    </row>
    <row r="1069">
      <c r="A1069" s="104" t="s">
        <v>3506</v>
      </c>
      <c r="B1069" s="104" t="s">
        <v>146</v>
      </c>
      <c r="C1069" s="104" t="s">
        <v>535</v>
      </c>
      <c r="D1069" s="104" t="s">
        <v>3507</v>
      </c>
      <c r="E1069" s="104" t="s">
        <v>1290</v>
      </c>
      <c r="F1069" s="104" t="s">
        <v>3508</v>
      </c>
      <c r="G1069" s="150">
        <f>+3</f>
        <v>3</v>
      </c>
      <c r="H1069" s="104">
        <v>3.0</v>
      </c>
    </row>
    <row r="1070">
      <c r="A1070" s="104" t="s">
        <v>3509</v>
      </c>
      <c r="B1070" s="104" t="s">
        <v>262</v>
      </c>
      <c r="C1070" s="104" t="s">
        <v>535</v>
      </c>
      <c r="D1070" s="104" t="s">
        <v>3510</v>
      </c>
      <c r="E1070" s="104" t="s">
        <v>1271</v>
      </c>
      <c r="F1070" s="104" t="s">
        <v>3511</v>
      </c>
      <c r="G1070" s="104" t="s">
        <v>1273</v>
      </c>
      <c r="H1070" s="104">
        <v>0.0</v>
      </c>
    </row>
    <row r="1071">
      <c r="A1071" s="104" t="s">
        <v>3512</v>
      </c>
      <c r="B1071" s="104" t="s">
        <v>262</v>
      </c>
      <c r="C1071" s="104" t="s">
        <v>535</v>
      </c>
      <c r="D1071" s="104" t="s">
        <v>3513</v>
      </c>
      <c r="E1071" s="104" t="s">
        <v>1290</v>
      </c>
      <c r="F1071" s="104" t="s">
        <v>3514</v>
      </c>
      <c r="G1071" s="150">
        <f>+3</f>
        <v>3</v>
      </c>
      <c r="H1071" s="104">
        <v>3.0</v>
      </c>
    </row>
    <row r="1072">
      <c r="A1072" s="104" t="s">
        <v>3515</v>
      </c>
      <c r="B1072" s="104" t="s">
        <v>149</v>
      </c>
      <c r="C1072" s="104" t="s">
        <v>535</v>
      </c>
      <c r="D1072" s="104" t="s">
        <v>3516</v>
      </c>
      <c r="E1072" s="104" t="s">
        <v>1271</v>
      </c>
      <c r="F1072" s="104" t="s">
        <v>3517</v>
      </c>
      <c r="G1072" s="104" t="s">
        <v>1273</v>
      </c>
      <c r="H1072" s="104">
        <v>0.0</v>
      </c>
    </row>
    <row r="1073">
      <c r="A1073" s="104" t="s">
        <v>3518</v>
      </c>
      <c r="B1073" s="104" t="s">
        <v>89</v>
      </c>
      <c r="C1073" s="104" t="s">
        <v>535</v>
      </c>
      <c r="D1073" s="104" t="s">
        <v>3519</v>
      </c>
      <c r="E1073" s="104" t="s">
        <v>1335</v>
      </c>
      <c r="F1073" s="104" t="s">
        <v>3520</v>
      </c>
      <c r="G1073" s="150">
        <f>+2</f>
        <v>2</v>
      </c>
      <c r="H1073" s="104">
        <v>2.0</v>
      </c>
    </row>
    <row r="1074">
      <c r="A1074" s="104" t="s">
        <v>3521</v>
      </c>
      <c r="B1074" s="104" t="s">
        <v>113</v>
      </c>
      <c r="C1074" s="104" t="s">
        <v>535</v>
      </c>
      <c r="D1074" s="104" t="s">
        <v>3522</v>
      </c>
      <c r="E1074" s="104" t="s">
        <v>1328</v>
      </c>
      <c r="F1074" s="104" t="s">
        <v>3523</v>
      </c>
      <c r="G1074" s="104">
        <v>-3.0</v>
      </c>
      <c r="H1074" s="104">
        <v>-3.0</v>
      </c>
    </row>
    <row r="1075">
      <c r="A1075" s="104" t="s">
        <v>3524</v>
      </c>
      <c r="B1075" s="104" t="s">
        <v>217</v>
      </c>
      <c r="C1075" s="104" t="s">
        <v>535</v>
      </c>
      <c r="D1075" s="104" t="s">
        <v>3525</v>
      </c>
      <c r="E1075" s="104" t="s">
        <v>1276</v>
      </c>
      <c r="F1075" s="104" t="s">
        <v>3526</v>
      </c>
      <c r="G1075" s="150">
        <f>+1</f>
        <v>1</v>
      </c>
      <c r="H1075" s="104">
        <v>1.0</v>
      </c>
    </row>
    <row r="1076">
      <c r="A1076" s="104" t="s">
        <v>3527</v>
      </c>
      <c r="B1076" s="104" t="s">
        <v>239</v>
      </c>
      <c r="C1076" s="104" t="s">
        <v>535</v>
      </c>
      <c r="D1076" s="104" t="s">
        <v>3528</v>
      </c>
      <c r="E1076" s="104" t="s">
        <v>1300</v>
      </c>
      <c r="F1076" s="104" t="s">
        <v>3529</v>
      </c>
      <c r="G1076" s="104">
        <v>-2.0</v>
      </c>
      <c r="H1076" s="104">
        <v>-2.0</v>
      </c>
    </row>
    <row r="1077">
      <c r="A1077" s="104" t="s">
        <v>3530</v>
      </c>
      <c r="B1077" s="104" t="s">
        <v>319</v>
      </c>
      <c r="C1077" s="104" t="s">
        <v>535</v>
      </c>
      <c r="D1077" s="104" t="s">
        <v>3531</v>
      </c>
      <c r="E1077" s="104" t="s">
        <v>1300</v>
      </c>
      <c r="F1077" s="104" t="s">
        <v>3532</v>
      </c>
      <c r="G1077" s="104">
        <v>-2.0</v>
      </c>
      <c r="H1077" s="104">
        <v>-2.0</v>
      </c>
    </row>
    <row r="1078">
      <c r="A1078" s="104" t="s">
        <v>3533</v>
      </c>
      <c r="B1078" s="104" t="s">
        <v>298</v>
      </c>
      <c r="C1078" s="104" t="s">
        <v>535</v>
      </c>
      <c r="D1078" s="104" t="s">
        <v>3534</v>
      </c>
      <c r="E1078" s="104" t="s">
        <v>1335</v>
      </c>
      <c r="F1078" s="104" t="s">
        <v>3535</v>
      </c>
      <c r="G1078" s="150">
        <f>+2</f>
        <v>2</v>
      </c>
      <c r="H1078" s="104">
        <v>2.0</v>
      </c>
    </row>
    <row r="1079">
      <c r="A1079" s="104" t="s">
        <v>3536</v>
      </c>
      <c r="B1079" s="104" t="s">
        <v>256</v>
      </c>
      <c r="C1079" s="104" t="s">
        <v>535</v>
      </c>
      <c r="D1079" s="104" t="s">
        <v>3537</v>
      </c>
      <c r="E1079" s="104" t="s">
        <v>1328</v>
      </c>
      <c r="F1079" s="104" t="s">
        <v>3538</v>
      </c>
      <c r="G1079" s="104">
        <v>-3.0</v>
      </c>
      <c r="H1079" s="104">
        <v>-3.0</v>
      </c>
    </row>
    <row r="1080">
      <c r="A1080" s="104" t="s">
        <v>3539</v>
      </c>
      <c r="B1080" s="104" t="s">
        <v>232</v>
      </c>
      <c r="C1080" s="104" t="s">
        <v>535</v>
      </c>
      <c r="D1080" s="104" t="s">
        <v>3540</v>
      </c>
      <c r="E1080" s="104" t="s">
        <v>1290</v>
      </c>
      <c r="F1080" s="104" t="s">
        <v>3541</v>
      </c>
      <c r="G1080" s="150">
        <f>+3</f>
        <v>3</v>
      </c>
      <c r="H1080" s="104">
        <v>3.0</v>
      </c>
    </row>
    <row r="1081">
      <c r="A1081" s="104" t="s">
        <v>3542</v>
      </c>
      <c r="B1081" s="104" t="s">
        <v>122</v>
      </c>
      <c r="C1081" s="104" t="s">
        <v>535</v>
      </c>
      <c r="D1081" s="104" t="s">
        <v>3543</v>
      </c>
      <c r="E1081" s="104" t="s">
        <v>1335</v>
      </c>
      <c r="F1081" s="104" t="s">
        <v>3544</v>
      </c>
      <c r="G1081" s="150">
        <f>+2</f>
        <v>2</v>
      </c>
      <c r="H1081" s="104">
        <v>2.0</v>
      </c>
    </row>
    <row r="1082">
      <c r="A1082" s="104" t="s">
        <v>3545</v>
      </c>
      <c r="B1082" s="104" t="s">
        <v>239</v>
      </c>
      <c r="C1082" s="104" t="s">
        <v>535</v>
      </c>
      <c r="D1082" s="104" t="s">
        <v>3546</v>
      </c>
      <c r="E1082" s="104" t="s">
        <v>1271</v>
      </c>
      <c r="F1082" s="104" t="s">
        <v>3547</v>
      </c>
      <c r="G1082" s="104" t="s">
        <v>1273</v>
      </c>
      <c r="H1082" s="104">
        <v>0.0</v>
      </c>
    </row>
    <row r="1083">
      <c r="A1083" s="104" t="s">
        <v>3548</v>
      </c>
      <c r="B1083" s="104" t="s">
        <v>264</v>
      </c>
      <c r="C1083" s="104" t="s">
        <v>535</v>
      </c>
      <c r="D1083" s="104" t="s">
        <v>3549</v>
      </c>
      <c r="E1083" s="104" t="s">
        <v>1328</v>
      </c>
      <c r="F1083" s="104" t="s">
        <v>3550</v>
      </c>
      <c r="G1083" s="104">
        <v>-3.0</v>
      </c>
      <c r="H1083" s="104">
        <v>-3.0</v>
      </c>
    </row>
    <row r="1084">
      <c r="A1084" s="104" t="s">
        <v>3551</v>
      </c>
      <c r="B1084" s="104" t="s">
        <v>288</v>
      </c>
      <c r="C1084" s="104" t="s">
        <v>535</v>
      </c>
      <c r="D1084" s="104" t="s">
        <v>3552</v>
      </c>
      <c r="E1084" s="104" t="s">
        <v>1283</v>
      </c>
      <c r="F1084" s="104" t="s">
        <v>3553</v>
      </c>
      <c r="G1084" s="104">
        <v>-1.0</v>
      </c>
      <c r="H1084" s="104">
        <v>-1.0</v>
      </c>
    </row>
    <row r="1085">
      <c r="A1085" s="104" t="s">
        <v>3554</v>
      </c>
      <c r="B1085" s="104" t="s">
        <v>105</v>
      </c>
      <c r="C1085" s="104" t="s">
        <v>535</v>
      </c>
      <c r="D1085" s="104" t="s">
        <v>3555</v>
      </c>
      <c r="E1085" s="104" t="s">
        <v>1271</v>
      </c>
      <c r="F1085" s="104" t="s">
        <v>3556</v>
      </c>
      <c r="G1085" s="104" t="s">
        <v>1273</v>
      </c>
      <c r="H1085" s="104">
        <v>0.0</v>
      </c>
    </row>
    <row r="1086">
      <c r="A1086" s="104" t="s">
        <v>3557</v>
      </c>
      <c r="B1086" s="104" t="s">
        <v>239</v>
      </c>
      <c r="C1086" s="104" t="s">
        <v>535</v>
      </c>
      <c r="D1086" s="104" t="s">
        <v>3558</v>
      </c>
      <c r="E1086" s="104" t="s">
        <v>1335</v>
      </c>
      <c r="F1086" s="104" t="s">
        <v>3559</v>
      </c>
      <c r="G1086" s="150">
        <f>+2</f>
        <v>2</v>
      </c>
      <c r="H1086" s="104">
        <v>2.0</v>
      </c>
    </row>
    <row r="1087">
      <c r="A1087" s="104" t="s">
        <v>3560</v>
      </c>
      <c r="B1087" s="104" t="s">
        <v>264</v>
      </c>
      <c r="C1087" s="104" t="s">
        <v>535</v>
      </c>
      <c r="D1087" s="104" t="s">
        <v>3561</v>
      </c>
      <c r="E1087" s="104" t="s">
        <v>1300</v>
      </c>
      <c r="F1087" s="104" t="s">
        <v>3562</v>
      </c>
      <c r="G1087" s="104">
        <v>-2.0</v>
      </c>
      <c r="H1087" s="104">
        <v>-2.0</v>
      </c>
    </row>
    <row r="1088">
      <c r="A1088" s="104" t="s">
        <v>3563</v>
      </c>
      <c r="B1088" s="104" t="s">
        <v>320</v>
      </c>
      <c r="C1088" s="104" t="s">
        <v>535</v>
      </c>
      <c r="D1088" s="104" t="s">
        <v>3564</v>
      </c>
      <c r="E1088" s="104" t="s">
        <v>1283</v>
      </c>
      <c r="F1088" s="104" t="s">
        <v>3565</v>
      </c>
      <c r="G1088" s="104">
        <v>-1.0</v>
      </c>
      <c r="H1088" s="104">
        <v>-1.0</v>
      </c>
    </row>
    <row r="1089">
      <c r="A1089" s="104" t="s">
        <v>3566</v>
      </c>
      <c r="B1089" s="104" t="s">
        <v>221</v>
      </c>
      <c r="C1089" s="104" t="s">
        <v>535</v>
      </c>
      <c r="D1089" s="104" t="s">
        <v>3567</v>
      </c>
      <c r="E1089" s="104" t="s">
        <v>1335</v>
      </c>
      <c r="F1089" s="104" t="s">
        <v>3568</v>
      </c>
      <c r="G1089" s="150">
        <f>+2</f>
        <v>2</v>
      </c>
      <c r="H1089" s="104">
        <v>2.0</v>
      </c>
    </row>
    <row r="1090">
      <c r="A1090" s="104" t="s">
        <v>3569</v>
      </c>
      <c r="B1090" s="104" t="s">
        <v>251</v>
      </c>
      <c r="C1090" s="104" t="s">
        <v>535</v>
      </c>
      <c r="D1090" s="104" t="s">
        <v>3570</v>
      </c>
      <c r="E1090" s="104" t="s">
        <v>1328</v>
      </c>
      <c r="F1090" s="104" t="s">
        <v>3571</v>
      </c>
      <c r="G1090" s="104">
        <v>-3.0</v>
      </c>
      <c r="H1090" s="104">
        <v>-3.0</v>
      </c>
    </row>
    <row r="1091">
      <c r="A1091" s="104" t="s">
        <v>3572</v>
      </c>
      <c r="B1091" s="104" t="s">
        <v>221</v>
      </c>
      <c r="C1091" s="104" t="s">
        <v>535</v>
      </c>
      <c r="D1091" s="104" t="s">
        <v>3573</v>
      </c>
      <c r="E1091" s="104" t="s">
        <v>1271</v>
      </c>
      <c r="F1091" s="104" t="s">
        <v>3574</v>
      </c>
      <c r="G1091" s="104" t="s">
        <v>1273</v>
      </c>
      <c r="H1091" s="104">
        <v>0.0</v>
      </c>
    </row>
    <row r="1092">
      <c r="A1092" s="104" t="s">
        <v>3575</v>
      </c>
      <c r="B1092" s="104" t="s">
        <v>281</v>
      </c>
      <c r="C1092" s="104" t="s">
        <v>535</v>
      </c>
      <c r="D1092" s="104" t="s">
        <v>3576</v>
      </c>
      <c r="E1092" s="104" t="s">
        <v>1276</v>
      </c>
      <c r="F1092" s="104" t="s">
        <v>3577</v>
      </c>
      <c r="G1092" s="150">
        <f>+1</f>
        <v>1</v>
      </c>
      <c r="H1092" s="104">
        <v>1.0</v>
      </c>
    </row>
    <row r="1093">
      <c r="A1093" s="104" t="s">
        <v>3578</v>
      </c>
      <c r="B1093" s="104" t="s">
        <v>221</v>
      </c>
      <c r="C1093" s="104" t="s">
        <v>535</v>
      </c>
      <c r="D1093" s="104" t="s">
        <v>3579</v>
      </c>
      <c r="E1093" s="104" t="s">
        <v>1328</v>
      </c>
      <c r="F1093" s="104" t="s">
        <v>3580</v>
      </c>
      <c r="G1093" s="104">
        <v>-3.0</v>
      </c>
      <c r="H1093" s="104">
        <v>-3.0</v>
      </c>
    </row>
    <row r="1094">
      <c r="A1094" s="104" t="s">
        <v>3581</v>
      </c>
      <c r="B1094" s="104" t="s">
        <v>304</v>
      </c>
      <c r="C1094" s="104" t="s">
        <v>535</v>
      </c>
      <c r="D1094" s="104" t="s">
        <v>3582</v>
      </c>
      <c r="E1094" s="104" t="s">
        <v>1283</v>
      </c>
      <c r="F1094" s="104" t="s">
        <v>3583</v>
      </c>
      <c r="G1094" s="104">
        <v>-1.0</v>
      </c>
      <c r="H1094" s="104">
        <v>-1.0</v>
      </c>
    </row>
    <row r="1095">
      <c r="A1095" s="104" t="s">
        <v>3584</v>
      </c>
      <c r="B1095" s="104" t="s">
        <v>306</v>
      </c>
      <c r="C1095" s="104" t="s">
        <v>535</v>
      </c>
      <c r="D1095" s="104" t="s">
        <v>3585</v>
      </c>
      <c r="E1095" s="104" t="s">
        <v>1271</v>
      </c>
      <c r="F1095" s="104" t="s">
        <v>3586</v>
      </c>
      <c r="G1095" s="104" t="s">
        <v>1273</v>
      </c>
      <c r="H1095" s="104">
        <v>0.0</v>
      </c>
    </row>
    <row r="1096">
      <c r="A1096" s="104" t="s">
        <v>3587</v>
      </c>
      <c r="B1096" s="104" t="s">
        <v>94</v>
      </c>
      <c r="C1096" s="104" t="s">
        <v>535</v>
      </c>
      <c r="D1096" s="104" t="s">
        <v>3588</v>
      </c>
      <c r="E1096" s="104" t="s">
        <v>1328</v>
      </c>
      <c r="F1096" s="104" t="s">
        <v>3589</v>
      </c>
      <c r="G1096" s="104">
        <v>-3.0</v>
      </c>
      <c r="H1096" s="104">
        <v>-3.0</v>
      </c>
    </row>
    <row r="1097">
      <c r="A1097" s="104" t="s">
        <v>3590</v>
      </c>
      <c r="B1097" s="104" t="s">
        <v>306</v>
      </c>
      <c r="C1097" s="104" t="s">
        <v>535</v>
      </c>
      <c r="D1097" s="104" t="s">
        <v>3591</v>
      </c>
      <c r="E1097" s="104" t="s">
        <v>1335</v>
      </c>
      <c r="F1097" s="104" t="s">
        <v>3592</v>
      </c>
      <c r="G1097" s="150">
        <f>+2</f>
        <v>2</v>
      </c>
      <c r="H1097" s="104">
        <v>2.0</v>
      </c>
    </row>
    <row r="1098">
      <c r="A1098" s="104" t="s">
        <v>3593</v>
      </c>
      <c r="B1098" s="104" t="s">
        <v>100</v>
      </c>
      <c r="C1098" s="104" t="s">
        <v>535</v>
      </c>
      <c r="D1098" s="104" t="s">
        <v>3594</v>
      </c>
      <c r="E1098" s="104" t="s">
        <v>1300</v>
      </c>
      <c r="F1098" s="104" t="s">
        <v>3595</v>
      </c>
      <c r="G1098" s="104">
        <v>-2.0</v>
      </c>
      <c r="H1098" s="104">
        <v>-2.0</v>
      </c>
    </row>
    <row r="1099">
      <c r="A1099" s="104" t="s">
        <v>3596</v>
      </c>
      <c r="B1099" s="104" t="s">
        <v>94</v>
      </c>
      <c r="C1099" s="104" t="s">
        <v>535</v>
      </c>
      <c r="D1099" s="104" t="s">
        <v>3597</v>
      </c>
      <c r="E1099" s="104" t="s">
        <v>1283</v>
      </c>
      <c r="F1099" s="104" t="s">
        <v>3598</v>
      </c>
      <c r="G1099" s="104">
        <v>-1.0</v>
      </c>
      <c r="H1099" s="104">
        <v>-1.0</v>
      </c>
    </row>
    <row r="1100">
      <c r="A1100" s="104" t="s">
        <v>3599</v>
      </c>
      <c r="B1100" s="104" t="s">
        <v>122</v>
      </c>
      <c r="C1100" s="104" t="s">
        <v>535</v>
      </c>
      <c r="D1100" s="104" t="s">
        <v>3600</v>
      </c>
      <c r="E1100" s="104" t="s">
        <v>1335</v>
      </c>
      <c r="F1100" s="104" t="s">
        <v>3601</v>
      </c>
      <c r="G1100" s="150">
        <f>+2</f>
        <v>2</v>
      </c>
      <c r="H1100" s="104">
        <v>2.0</v>
      </c>
    </row>
    <row r="1101">
      <c r="A1101" s="104" t="s">
        <v>3602</v>
      </c>
      <c r="B1101" s="104" t="s">
        <v>75</v>
      </c>
      <c r="C1101" s="104" t="s">
        <v>535</v>
      </c>
      <c r="D1101" s="104" t="s">
        <v>3603</v>
      </c>
      <c r="E1101" s="104" t="s">
        <v>1328</v>
      </c>
      <c r="F1101" s="104" t="s">
        <v>3604</v>
      </c>
      <c r="G1101" s="104">
        <v>-3.0</v>
      </c>
      <c r="H1101" s="104">
        <v>-3.0</v>
      </c>
    </row>
    <row r="1102">
      <c r="A1102" s="104" t="s">
        <v>3605</v>
      </c>
      <c r="B1102" s="104" t="s">
        <v>134</v>
      </c>
      <c r="C1102" s="104" t="s">
        <v>535</v>
      </c>
      <c r="D1102" s="104" t="s">
        <v>3606</v>
      </c>
      <c r="E1102" s="104" t="s">
        <v>1271</v>
      </c>
      <c r="F1102" s="104" t="s">
        <v>3607</v>
      </c>
      <c r="G1102" s="104" t="s">
        <v>1273</v>
      </c>
      <c r="H1102" s="104">
        <v>0.0</v>
      </c>
    </row>
    <row r="1103">
      <c r="A1103" s="104" t="s">
        <v>3608</v>
      </c>
      <c r="B1103" s="104" t="s">
        <v>75</v>
      </c>
      <c r="C1103" s="104" t="s">
        <v>535</v>
      </c>
      <c r="D1103" s="104" t="s">
        <v>3609</v>
      </c>
      <c r="E1103" s="104" t="s">
        <v>1271</v>
      </c>
      <c r="F1103" s="104" t="s">
        <v>3610</v>
      </c>
      <c r="G1103" s="104" t="s">
        <v>1273</v>
      </c>
      <c r="H1103" s="104">
        <v>0.0</v>
      </c>
    </row>
    <row r="1104">
      <c r="A1104" s="104" t="s">
        <v>3611</v>
      </c>
      <c r="B1104" s="104" t="s">
        <v>140</v>
      </c>
      <c r="C1104" s="104" t="s">
        <v>535</v>
      </c>
      <c r="D1104" s="104" t="s">
        <v>3612</v>
      </c>
      <c r="E1104" s="104" t="s">
        <v>1335</v>
      </c>
      <c r="F1104" s="104" t="s">
        <v>3613</v>
      </c>
      <c r="G1104" s="150">
        <f>+2</f>
        <v>2</v>
      </c>
      <c r="H1104" s="104">
        <v>2.0</v>
      </c>
    </row>
    <row r="1105">
      <c r="A1105" s="104" t="s">
        <v>3614</v>
      </c>
      <c r="B1105" s="104" t="s">
        <v>117</v>
      </c>
      <c r="C1105" s="104" t="s">
        <v>535</v>
      </c>
      <c r="D1105" s="104" t="s">
        <v>3615</v>
      </c>
      <c r="E1105" s="104" t="s">
        <v>1300</v>
      </c>
      <c r="F1105" s="104" t="s">
        <v>3616</v>
      </c>
      <c r="G1105" s="104">
        <v>-2.0</v>
      </c>
      <c r="H1105" s="104">
        <v>-2.0</v>
      </c>
    </row>
    <row r="1106">
      <c r="A1106" s="104" t="s">
        <v>3617</v>
      </c>
      <c r="B1106" s="104" t="s">
        <v>193</v>
      </c>
      <c r="C1106" s="104" t="s">
        <v>535</v>
      </c>
      <c r="D1106" s="104" t="s">
        <v>3618</v>
      </c>
      <c r="E1106" s="104" t="s">
        <v>1290</v>
      </c>
      <c r="F1106" s="104" t="s">
        <v>3619</v>
      </c>
      <c r="G1106" s="150">
        <f>+3</f>
        <v>3</v>
      </c>
      <c r="H1106" s="104">
        <v>3.0</v>
      </c>
    </row>
    <row r="1107">
      <c r="A1107" s="104" t="s">
        <v>3620</v>
      </c>
      <c r="B1107" s="104" t="s">
        <v>145</v>
      </c>
      <c r="C1107" s="104" t="s">
        <v>535</v>
      </c>
      <c r="D1107" s="104" t="s">
        <v>3621</v>
      </c>
      <c r="E1107" s="104" t="s">
        <v>1328</v>
      </c>
      <c r="F1107" s="104" t="s">
        <v>3622</v>
      </c>
      <c r="G1107" s="104">
        <v>-3.0</v>
      </c>
      <c r="H1107" s="104">
        <v>-3.0</v>
      </c>
    </row>
    <row r="1108">
      <c r="A1108" s="104" t="s">
        <v>3623</v>
      </c>
      <c r="B1108" s="104" t="s">
        <v>200</v>
      </c>
      <c r="C1108" s="104" t="s">
        <v>535</v>
      </c>
      <c r="D1108" s="104" t="s">
        <v>3624</v>
      </c>
      <c r="E1108" s="104" t="s">
        <v>1290</v>
      </c>
      <c r="F1108" s="104" t="s">
        <v>3625</v>
      </c>
      <c r="G1108" s="150">
        <f>+3</f>
        <v>3</v>
      </c>
      <c r="H1108" s="104">
        <v>3.0</v>
      </c>
    </row>
    <row r="1109">
      <c r="A1109" s="104" t="s">
        <v>3626</v>
      </c>
      <c r="B1109" s="104" t="s">
        <v>133</v>
      </c>
      <c r="C1109" s="104" t="s">
        <v>535</v>
      </c>
      <c r="D1109" s="104" t="s">
        <v>3627</v>
      </c>
      <c r="E1109" s="104" t="s">
        <v>1271</v>
      </c>
      <c r="F1109" s="104" t="s">
        <v>3628</v>
      </c>
      <c r="G1109" s="104" t="s">
        <v>1273</v>
      </c>
      <c r="H1109" s="104">
        <v>0.0</v>
      </c>
    </row>
    <row r="1110">
      <c r="A1110" s="104" t="s">
        <v>3629</v>
      </c>
      <c r="B1110" s="104" t="s">
        <v>248</v>
      </c>
      <c r="C1110" s="104" t="s">
        <v>535</v>
      </c>
      <c r="D1110" s="104" t="s">
        <v>3630</v>
      </c>
      <c r="E1110" s="104" t="s">
        <v>1271</v>
      </c>
      <c r="F1110" s="104" t="s">
        <v>3631</v>
      </c>
      <c r="G1110" s="104" t="s">
        <v>1273</v>
      </c>
      <c r="H1110" s="104">
        <v>0.0</v>
      </c>
    </row>
    <row r="1111">
      <c r="A1111" s="104" t="s">
        <v>3632</v>
      </c>
      <c r="B1111" s="104" t="s">
        <v>115</v>
      </c>
      <c r="C1111" s="104" t="s">
        <v>535</v>
      </c>
      <c r="D1111" s="104" t="s">
        <v>3633</v>
      </c>
      <c r="E1111" s="104" t="s">
        <v>1271</v>
      </c>
      <c r="F1111" s="104" t="s">
        <v>3634</v>
      </c>
      <c r="G1111" s="104" t="s">
        <v>1273</v>
      </c>
      <c r="H1111" s="104">
        <v>0.0</v>
      </c>
    </row>
    <row r="1112">
      <c r="A1112" s="104" t="s">
        <v>3635</v>
      </c>
      <c r="B1112" s="104" t="s">
        <v>172</v>
      </c>
      <c r="C1112" s="104" t="s">
        <v>535</v>
      </c>
      <c r="D1112" s="104" t="s">
        <v>3636</v>
      </c>
      <c r="E1112" s="104" t="s">
        <v>1276</v>
      </c>
      <c r="F1112" s="104" t="s">
        <v>3637</v>
      </c>
      <c r="G1112" s="150">
        <f>+1</f>
        <v>1</v>
      </c>
      <c r="H1112" s="104">
        <v>1.0</v>
      </c>
    </row>
    <row r="1113">
      <c r="A1113" s="104" t="s">
        <v>3638</v>
      </c>
      <c r="B1113" s="104" t="s">
        <v>134</v>
      </c>
      <c r="C1113" s="104" t="s">
        <v>535</v>
      </c>
      <c r="D1113" s="104" t="s">
        <v>3639</v>
      </c>
      <c r="E1113" s="104" t="s">
        <v>1290</v>
      </c>
      <c r="F1113" s="104" t="s">
        <v>3640</v>
      </c>
      <c r="G1113" s="150">
        <f>+3</f>
        <v>3</v>
      </c>
      <c r="H1113" s="104">
        <v>3.0</v>
      </c>
    </row>
    <row r="1114">
      <c r="A1114" s="104" t="s">
        <v>3641</v>
      </c>
      <c r="B1114" s="104" t="s">
        <v>140</v>
      </c>
      <c r="C1114" s="104" t="s">
        <v>535</v>
      </c>
      <c r="D1114" s="104" t="s">
        <v>3642</v>
      </c>
      <c r="E1114" s="104" t="s">
        <v>1271</v>
      </c>
      <c r="F1114" s="104" t="s">
        <v>3643</v>
      </c>
      <c r="G1114" s="104" t="s">
        <v>1273</v>
      </c>
      <c r="H1114" s="104">
        <v>0.0</v>
      </c>
    </row>
    <row r="1115">
      <c r="A1115" s="104" t="s">
        <v>3644</v>
      </c>
      <c r="B1115" s="104" t="s">
        <v>248</v>
      </c>
      <c r="C1115" s="104" t="s">
        <v>535</v>
      </c>
      <c r="D1115" s="104" t="s">
        <v>3645</v>
      </c>
      <c r="E1115" s="104" t="s">
        <v>1276</v>
      </c>
      <c r="F1115" s="104" t="s">
        <v>3646</v>
      </c>
      <c r="G1115" s="150">
        <f>+1</f>
        <v>1</v>
      </c>
      <c r="H1115" s="104">
        <v>1.0</v>
      </c>
    </row>
    <row r="1116">
      <c r="A1116" s="104" t="s">
        <v>3647</v>
      </c>
      <c r="B1116" s="104" t="s">
        <v>164</v>
      </c>
      <c r="C1116" s="104" t="s">
        <v>535</v>
      </c>
      <c r="D1116" s="104" t="s">
        <v>3648</v>
      </c>
      <c r="E1116" s="104" t="s">
        <v>1271</v>
      </c>
      <c r="F1116" s="104" t="s">
        <v>3649</v>
      </c>
      <c r="G1116" s="104" t="s">
        <v>1273</v>
      </c>
      <c r="H1116" s="104">
        <v>0.0</v>
      </c>
    </row>
    <row r="1117">
      <c r="A1117" s="104" t="s">
        <v>3650</v>
      </c>
      <c r="B1117" s="104" t="s">
        <v>281</v>
      </c>
      <c r="C1117" s="104" t="s">
        <v>535</v>
      </c>
      <c r="D1117" s="104" t="s">
        <v>3651</v>
      </c>
      <c r="E1117" s="104" t="s">
        <v>1271</v>
      </c>
      <c r="F1117" s="104" t="s">
        <v>3652</v>
      </c>
      <c r="G1117" s="104" t="s">
        <v>1273</v>
      </c>
      <c r="H1117" s="104">
        <v>0.0</v>
      </c>
    </row>
    <row r="1118">
      <c r="A1118" s="104" t="s">
        <v>3653</v>
      </c>
      <c r="B1118" s="104" t="s">
        <v>94</v>
      </c>
      <c r="C1118" s="104" t="s">
        <v>535</v>
      </c>
      <c r="D1118" s="104" t="s">
        <v>3654</v>
      </c>
      <c r="E1118" s="104" t="s">
        <v>1271</v>
      </c>
      <c r="F1118" s="104" t="s">
        <v>3655</v>
      </c>
      <c r="G1118" s="104" t="s">
        <v>1273</v>
      </c>
      <c r="H1118" s="104">
        <v>0.0</v>
      </c>
    </row>
    <row r="1119">
      <c r="A1119" s="104" t="s">
        <v>3656</v>
      </c>
      <c r="B1119" s="104" t="s">
        <v>137</v>
      </c>
      <c r="C1119" s="104" t="s">
        <v>535</v>
      </c>
      <c r="D1119" s="104" t="s">
        <v>3657</v>
      </c>
      <c r="E1119" s="104" t="s">
        <v>1271</v>
      </c>
      <c r="F1119" s="104" t="s">
        <v>3658</v>
      </c>
      <c r="G1119" s="104" t="s">
        <v>1273</v>
      </c>
      <c r="H1119" s="104">
        <v>0.0</v>
      </c>
    </row>
    <row r="1120">
      <c r="A1120" s="104" t="s">
        <v>3659</v>
      </c>
      <c r="B1120" s="104" t="s">
        <v>191</v>
      </c>
      <c r="C1120" s="104" t="s">
        <v>535</v>
      </c>
      <c r="D1120" s="104" t="s">
        <v>3660</v>
      </c>
      <c r="E1120" s="104" t="s">
        <v>1271</v>
      </c>
      <c r="F1120" s="104" t="s">
        <v>3661</v>
      </c>
      <c r="G1120" s="104" t="s">
        <v>1273</v>
      </c>
      <c r="H1120" s="104">
        <v>0.0</v>
      </c>
    </row>
    <row r="1121">
      <c r="A1121" s="104" t="s">
        <v>3662</v>
      </c>
      <c r="B1121" s="104" t="s">
        <v>274</v>
      </c>
      <c r="C1121" s="104" t="s">
        <v>535</v>
      </c>
      <c r="D1121" s="104" t="s">
        <v>3663</v>
      </c>
      <c r="E1121" s="104" t="s">
        <v>1300</v>
      </c>
      <c r="F1121" s="104" t="s">
        <v>3664</v>
      </c>
      <c r="G1121" s="104">
        <v>-2.0</v>
      </c>
      <c r="H1121" s="104">
        <v>-2.0</v>
      </c>
    </row>
    <row r="1122">
      <c r="A1122" s="104" t="s">
        <v>3665</v>
      </c>
      <c r="B1122" s="104" t="s">
        <v>133</v>
      </c>
      <c r="C1122" s="104" t="s">
        <v>535</v>
      </c>
      <c r="D1122" s="104" t="s">
        <v>3666</v>
      </c>
      <c r="E1122" s="104" t="s">
        <v>1290</v>
      </c>
      <c r="F1122" s="104" t="s">
        <v>3667</v>
      </c>
      <c r="G1122" s="150">
        <f t="shared" ref="G1122:G1123" si="38">+3</f>
        <v>3</v>
      </c>
      <c r="H1122" s="104">
        <v>3.0</v>
      </c>
    </row>
    <row r="1123">
      <c r="A1123" s="104" t="s">
        <v>3668</v>
      </c>
      <c r="B1123" s="104" t="s">
        <v>154</v>
      </c>
      <c r="C1123" s="104" t="s">
        <v>535</v>
      </c>
      <c r="D1123" s="104" t="s">
        <v>3669</v>
      </c>
      <c r="E1123" s="104" t="s">
        <v>1290</v>
      </c>
      <c r="F1123" s="104" t="s">
        <v>3670</v>
      </c>
      <c r="G1123" s="150">
        <f t="shared" si="38"/>
        <v>3</v>
      </c>
      <c r="H1123" s="104">
        <v>3.0</v>
      </c>
    </row>
    <row r="1124">
      <c r="A1124" s="104" t="s">
        <v>3671</v>
      </c>
      <c r="B1124" s="104" t="s">
        <v>94</v>
      </c>
      <c r="C1124" s="104" t="s">
        <v>535</v>
      </c>
      <c r="D1124" s="104" t="s">
        <v>3672</v>
      </c>
      <c r="E1124" s="104" t="s">
        <v>1328</v>
      </c>
      <c r="F1124" s="104" t="s">
        <v>3673</v>
      </c>
      <c r="G1124" s="104">
        <v>-3.0</v>
      </c>
      <c r="H1124" s="104">
        <v>-3.0</v>
      </c>
    </row>
    <row r="1125">
      <c r="A1125" s="104" t="s">
        <v>3674</v>
      </c>
      <c r="B1125" s="104" t="s">
        <v>135</v>
      </c>
      <c r="C1125" s="104" t="s">
        <v>535</v>
      </c>
      <c r="D1125" s="104" t="s">
        <v>3675</v>
      </c>
      <c r="E1125" s="104" t="s">
        <v>1328</v>
      </c>
      <c r="F1125" s="104" t="s">
        <v>3676</v>
      </c>
      <c r="G1125" s="104">
        <v>-3.0</v>
      </c>
      <c r="H1125" s="104">
        <v>-3.0</v>
      </c>
    </row>
    <row r="1126">
      <c r="A1126" s="104" t="s">
        <v>3677</v>
      </c>
      <c r="B1126" s="104" t="s">
        <v>185</v>
      </c>
      <c r="C1126" s="104" t="s">
        <v>535</v>
      </c>
      <c r="D1126" s="104" t="s">
        <v>3678</v>
      </c>
      <c r="E1126" s="104" t="s">
        <v>1271</v>
      </c>
      <c r="F1126" s="104" t="s">
        <v>3679</v>
      </c>
      <c r="G1126" s="104" t="s">
        <v>1273</v>
      </c>
      <c r="H1126" s="104">
        <v>0.0</v>
      </c>
    </row>
    <row r="1127">
      <c r="A1127" s="104" t="s">
        <v>3680</v>
      </c>
      <c r="B1127" s="104" t="s">
        <v>166</v>
      </c>
      <c r="C1127" s="104" t="s">
        <v>535</v>
      </c>
      <c r="D1127" s="104" t="s">
        <v>3681</v>
      </c>
      <c r="E1127" s="104" t="s">
        <v>1276</v>
      </c>
      <c r="F1127" s="104" t="s">
        <v>3682</v>
      </c>
      <c r="G1127" s="150">
        <f>+1</f>
        <v>1</v>
      </c>
      <c r="H1127" s="104">
        <v>1.0</v>
      </c>
    </row>
    <row r="1128">
      <c r="A1128" s="104" t="s">
        <v>3683</v>
      </c>
      <c r="B1128" s="104" t="s">
        <v>170</v>
      </c>
      <c r="C1128" s="104" t="s">
        <v>535</v>
      </c>
      <c r="D1128" s="104" t="s">
        <v>3684</v>
      </c>
      <c r="E1128" s="104" t="s">
        <v>1271</v>
      </c>
      <c r="F1128" s="104" t="s">
        <v>3685</v>
      </c>
      <c r="G1128" s="104" t="s">
        <v>1273</v>
      </c>
      <c r="H1128" s="104">
        <v>0.0</v>
      </c>
    </row>
    <row r="1129">
      <c r="A1129" s="104" t="s">
        <v>3686</v>
      </c>
      <c r="B1129" s="104" t="s">
        <v>131</v>
      </c>
      <c r="C1129" s="104" t="s">
        <v>535</v>
      </c>
      <c r="D1129" s="104" t="s">
        <v>3687</v>
      </c>
      <c r="E1129" s="104" t="s">
        <v>1335</v>
      </c>
      <c r="F1129" s="104" t="s">
        <v>3688</v>
      </c>
      <c r="G1129" s="150">
        <f t="shared" ref="G1129:G1130" si="39">+2</f>
        <v>2</v>
      </c>
      <c r="H1129" s="104">
        <v>2.0</v>
      </c>
    </row>
    <row r="1130">
      <c r="A1130" s="104" t="s">
        <v>3689</v>
      </c>
      <c r="B1130" s="104" t="s">
        <v>154</v>
      </c>
      <c r="C1130" s="104" t="s">
        <v>535</v>
      </c>
      <c r="D1130" s="104" t="s">
        <v>3690</v>
      </c>
      <c r="E1130" s="104" t="s">
        <v>1335</v>
      </c>
      <c r="F1130" s="104" t="s">
        <v>3691</v>
      </c>
      <c r="G1130" s="150">
        <f t="shared" si="39"/>
        <v>2</v>
      </c>
      <c r="H1130" s="104">
        <v>2.0</v>
      </c>
    </row>
    <row r="1131">
      <c r="A1131" s="104" t="s">
        <v>3692</v>
      </c>
      <c r="B1131" s="104" t="s">
        <v>241</v>
      </c>
      <c r="C1131" s="104" t="s">
        <v>535</v>
      </c>
      <c r="D1131" s="104" t="s">
        <v>3693</v>
      </c>
      <c r="E1131" s="104" t="s">
        <v>1328</v>
      </c>
      <c r="F1131" s="104" t="s">
        <v>3694</v>
      </c>
      <c r="G1131" s="104">
        <v>-3.0</v>
      </c>
      <c r="H1131" s="104">
        <v>-3.0</v>
      </c>
    </row>
    <row r="1132">
      <c r="A1132" s="104" t="s">
        <v>3695</v>
      </c>
      <c r="B1132" s="104" t="s">
        <v>128</v>
      </c>
      <c r="C1132" s="104" t="s">
        <v>535</v>
      </c>
      <c r="D1132" s="104" t="s">
        <v>3696</v>
      </c>
      <c r="E1132" s="104" t="s">
        <v>1283</v>
      </c>
      <c r="F1132" s="104" t="s">
        <v>3697</v>
      </c>
      <c r="G1132" s="104">
        <v>-1.0</v>
      </c>
      <c r="H1132" s="104">
        <v>-1.0</v>
      </c>
    </row>
    <row r="1133">
      <c r="A1133" s="104" t="s">
        <v>3698</v>
      </c>
      <c r="B1133" s="104" t="s">
        <v>75</v>
      </c>
      <c r="C1133" s="104" t="s">
        <v>535</v>
      </c>
      <c r="D1133" s="104" t="s">
        <v>3699</v>
      </c>
      <c r="E1133" s="104" t="s">
        <v>1335</v>
      </c>
      <c r="F1133" s="104" t="s">
        <v>3700</v>
      </c>
      <c r="G1133" s="150">
        <f>+2</f>
        <v>2</v>
      </c>
      <c r="H1133" s="104">
        <v>2.0</v>
      </c>
    </row>
    <row r="1134">
      <c r="A1134" s="104" t="s">
        <v>3701</v>
      </c>
      <c r="B1134" s="104" t="s">
        <v>75</v>
      </c>
      <c r="C1134" s="104" t="s">
        <v>535</v>
      </c>
      <c r="D1134" s="104" t="s">
        <v>3702</v>
      </c>
      <c r="E1134" s="104" t="s">
        <v>1271</v>
      </c>
      <c r="F1134" s="104" t="s">
        <v>3703</v>
      </c>
      <c r="G1134" s="104" t="s">
        <v>1273</v>
      </c>
      <c r="H1134" s="104">
        <v>0.0</v>
      </c>
    </row>
    <row r="1135">
      <c r="A1135" s="104" t="s">
        <v>3704</v>
      </c>
      <c r="B1135" s="104" t="s">
        <v>75</v>
      </c>
      <c r="C1135" s="104" t="s">
        <v>535</v>
      </c>
      <c r="D1135" s="104" t="s">
        <v>3705</v>
      </c>
      <c r="E1135" s="104" t="s">
        <v>1328</v>
      </c>
      <c r="F1135" s="104" t="s">
        <v>3706</v>
      </c>
      <c r="G1135" s="104">
        <v>-3.0</v>
      </c>
      <c r="H1135" s="104">
        <v>-3.0</v>
      </c>
    </row>
    <row r="1136">
      <c r="A1136" s="104" t="s">
        <v>3707</v>
      </c>
      <c r="B1136" s="104" t="s">
        <v>164</v>
      </c>
      <c r="C1136" s="104" t="s">
        <v>535</v>
      </c>
      <c r="D1136" s="104" t="s">
        <v>3708</v>
      </c>
      <c r="E1136" s="104" t="s">
        <v>1290</v>
      </c>
      <c r="F1136" s="104" t="s">
        <v>3709</v>
      </c>
      <c r="G1136" s="150">
        <f>+3</f>
        <v>3</v>
      </c>
      <c r="H1136" s="104">
        <v>3.0</v>
      </c>
    </row>
    <row r="1137">
      <c r="A1137" s="104" t="s">
        <v>3710</v>
      </c>
      <c r="B1137" s="104" t="s">
        <v>105</v>
      </c>
      <c r="C1137" s="104" t="s">
        <v>535</v>
      </c>
      <c r="D1137" s="104" t="s">
        <v>3711</v>
      </c>
      <c r="E1137" s="104" t="s">
        <v>1276</v>
      </c>
      <c r="F1137" s="104" t="s">
        <v>3712</v>
      </c>
      <c r="G1137" s="150">
        <f>+1</f>
        <v>1</v>
      </c>
      <c r="H1137" s="104">
        <v>1.0</v>
      </c>
    </row>
    <row r="1138">
      <c r="A1138" s="104" t="s">
        <v>3713</v>
      </c>
      <c r="B1138" s="104" t="s">
        <v>105</v>
      </c>
      <c r="C1138" s="104" t="s">
        <v>535</v>
      </c>
      <c r="D1138" s="104" t="s">
        <v>3714</v>
      </c>
      <c r="E1138" s="104" t="s">
        <v>1328</v>
      </c>
      <c r="F1138" s="104" t="s">
        <v>3715</v>
      </c>
      <c r="G1138" s="104">
        <v>-3.0</v>
      </c>
      <c r="H1138" s="104">
        <v>-3.0</v>
      </c>
    </row>
    <row r="1139">
      <c r="A1139" s="104" t="s">
        <v>3716</v>
      </c>
      <c r="B1139" s="104" t="s">
        <v>198</v>
      </c>
      <c r="C1139" s="104" t="s">
        <v>535</v>
      </c>
      <c r="D1139" s="104" t="s">
        <v>3717</v>
      </c>
      <c r="E1139" s="104" t="s">
        <v>1335</v>
      </c>
      <c r="F1139" s="104" t="s">
        <v>3718</v>
      </c>
      <c r="G1139" s="150">
        <f>+2</f>
        <v>2</v>
      </c>
      <c r="H1139" s="104">
        <v>2.0</v>
      </c>
    </row>
    <row r="1140">
      <c r="A1140" s="104" t="s">
        <v>3719</v>
      </c>
      <c r="B1140" s="104" t="s">
        <v>208</v>
      </c>
      <c r="C1140" s="104" t="s">
        <v>535</v>
      </c>
      <c r="D1140" s="104" t="s">
        <v>3720</v>
      </c>
      <c r="E1140" s="104" t="s">
        <v>1328</v>
      </c>
      <c r="F1140" s="104" t="s">
        <v>3721</v>
      </c>
      <c r="G1140" s="104">
        <v>-3.0</v>
      </c>
      <c r="H1140" s="104">
        <v>-3.0</v>
      </c>
    </row>
    <row r="1141">
      <c r="A1141" s="104" t="s">
        <v>3722</v>
      </c>
      <c r="B1141" s="104" t="s">
        <v>152</v>
      </c>
      <c r="C1141" s="104" t="s">
        <v>535</v>
      </c>
      <c r="D1141" s="104" t="s">
        <v>3723</v>
      </c>
      <c r="E1141" s="104" t="s">
        <v>1271</v>
      </c>
      <c r="F1141" s="104" t="s">
        <v>3724</v>
      </c>
      <c r="G1141" s="104" t="s">
        <v>1273</v>
      </c>
      <c r="H1141" s="104">
        <v>0.0</v>
      </c>
    </row>
    <row r="1142">
      <c r="A1142" s="104" t="s">
        <v>3725</v>
      </c>
      <c r="B1142" s="104" t="s">
        <v>166</v>
      </c>
      <c r="C1142" s="104" t="s">
        <v>535</v>
      </c>
      <c r="D1142" s="104" t="s">
        <v>3726</v>
      </c>
      <c r="E1142" s="104" t="s">
        <v>1271</v>
      </c>
      <c r="F1142" s="104" t="s">
        <v>3727</v>
      </c>
      <c r="G1142" s="104" t="s">
        <v>1273</v>
      </c>
      <c r="H1142" s="104">
        <v>0.0</v>
      </c>
    </row>
    <row r="1143">
      <c r="A1143" s="104" t="s">
        <v>3728</v>
      </c>
      <c r="B1143" s="104" t="s">
        <v>241</v>
      </c>
      <c r="C1143" s="104" t="s">
        <v>535</v>
      </c>
      <c r="D1143" s="104" t="s">
        <v>3729</v>
      </c>
      <c r="E1143" s="104" t="s">
        <v>1328</v>
      </c>
      <c r="F1143" s="104" t="s">
        <v>3730</v>
      </c>
      <c r="G1143" s="104">
        <v>-3.0</v>
      </c>
      <c r="H1143" s="104">
        <v>-3.0</v>
      </c>
    </row>
    <row r="1144">
      <c r="A1144" s="104" t="s">
        <v>3731</v>
      </c>
      <c r="B1144" s="104" t="s">
        <v>198</v>
      </c>
      <c r="C1144" s="104" t="s">
        <v>535</v>
      </c>
      <c r="D1144" s="104" t="s">
        <v>3732</v>
      </c>
      <c r="E1144" s="104" t="s">
        <v>1271</v>
      </c>
      <c r="F1144" s="104" t="s">
        <v>3733</v>
      </c>
      <c r="G1144" s="104" t="s">
        <v>1273</v>
      </c>
      <c r="H1144" s="104">
        <v>0.0</v>
      </c>
    </row>
    <row r="1145">
      <c r="A1145" s="104" t="s">
        <v>3734</v>
      </c>
      <c r="B1145" s="104" t="s">
        <v>206</v>
      </c>
      <c r="C1145" s="104" t="s">
        <v>535</v>
      </c>
      <c r="D1145" s="104" t="s">
        <v>3735</v>
      </c>
      <c r="E1145" s="104" t="s">
        <v>1271</v>
      </c>
      <c r="F1145" s="104" t="s">
        <v>3736</v>
      </c>
      <c r="G1145" s="104" t="s">
        <v>1273</v>
      </c>
      <c r="H1145" s="104">
        <v>0.0</v>
      </c>
    </row>
    <row r="1146">
      <c r="A1146" s="104" t="s">
        <v>3737</v>
      </c>
      <c r="B1146" s="104" t="s">
        <v>193</v>
      </c>
      <c r="C1146" s="104" t="s">
        <v>535</v>
      </c>
      <c r="D1146" s="104" t="s">
        <v>3738</v>
      </c>
      <c r="E1146" s="104" t="s">
        <v>1271</v>
      </c>
      <c r="F1146" s="104" t="s">
        <v>3739</v>
      </c>
      <c r="G1146" s="104" t="s">
        <v>1273</v>
      </c>
      <c r="H1146" s="104">
        <v>0.0</v>
      </c>
    </row>
    <row r="1147">
      <c r="A1147" s="104" t="s">
        <v>3740</v>
      </c>
      <c r="B1147" s="104" t="s">
        <v>206</v>
      </c>
      <c r="C1147" s="104" t="s">
        <v>535</v>
      </c>
      <c r="D1147" s="104" t="s">
        <v>3741</v>
      </c>
      <c r="E1147" s="104" t="s">
        <v>1300</v>
      </c>
      <c r="F1147" s="104" t="s">
        <v>3742</v>
      </c>
      <c r="G1147" s="104">
        <v>-2.0</v>
      </c>
      <c r="H1147" s="104">
        <v>-2.0</v>
      </c>
    </row>
    <row r="1148">
      <c r="A1148" s="104" t="s">
        <v>3743</v>
      </c>
      <c r="B1148" s="104" t="s">
        <v>131</v>
      </c>
      <c r="C1148" s="104" t="s">
        <v>535</v>
      </c>
      <c r="D1148" s="104" t="s">
        <v>3744</v>
      </c>
      <c r="E1148" s="104" t="s">
        <v>1271</v>
      </c>
      <c r="F1148" s="104" t="s">
        <v>3745</v>
      </c>
      <c r="G1148" s="104" t="s">
        <v>1273</v>
      </c>
      <c r="H1148" s="104">
        <v>0.0</v>
      </c>
    </row>
    <row r="1149">
      <c r="A1149" s="104" t="s">
        <v>3746</v>
      </c>
      <c r="B1149" s="104" t="s">
        <v>172</v>
      </c>
      <c r="C1149" s="104" t="s">
        <v>535</v>
      </c>
      <c r="D1149" s="104" t="s">
        <v>3747</v>
      </c>
      <c r="E1149" s="104" t="s">
        <v>1271</v>
      </c>
      <c r="F1149" s="104" t="s">
        <v>3748</v>
      </c>
      <c r="G1149" s="104" t="s">
        <v>1273</v>
      </c>
      <c r="H1149" s="104">
        <v>0.0</v>
      </c>
    </row>
    <row r="1150">
      <c r="A1150" s="104" t="s">
        <v>3749</v>
      </c>
      <c r="B1150" s="104" t="s">
        <v>174</v>
      </c>
      <c r="C1150" s="104" t="s">
        <v>535</v>
      </c>
      <c r="D1150" s="104" t="s">
        <v>3750</v>
      </c>
      <c r="E1150" s="104" t="s">
        <v>1290</v>
      </c>
      <c r="F1150" s="104" t="s">
        <v>3751</v>
      </c>
      <c r="G1150" s="150">
        <f>+3</f>
        <v>3</v>
      </c>
      <c r="H1150" s="104">
        <v>3.0</v>
      </c>
    </row>
    <row r="1151">
      <c r="A1151" s="104" t="s">
        <v>3752</v>
      </c>
      <c r="B1151" s="104" t="s">
        <v>267</v>
      </c>
      <c r="C1151" s="104" t="s">
        <v>535</v>
      </c>
      <c r="D1151" s="104" t="s">
        <v>3753</v>
      </c>
      <c r="E1151" s="104" t="s">
        <v>1283</v>
      </c>
      <c r="F1151" s="104" t="s">
        <v>3754</v>
      </c>
      <c r="G1151" s="104">
        <v>-1.0</v>
      </c>
      <c r="H1151" s="104">
        <v>-1.0</v>
      </c>
    </row>
    <row r="1152">
      <c r="A1152" s="104" t="s">
        <v>3755</v>
      </c>
      <c r="B1152" s="104" t="s">
        <v>298</v>
      </c>
      <c r="C1152" s="104" t="s">
        <v>535</v>
      </c>
      <c r="D1152" s="104" t="s">
        <v>3756</v>
      </c>
      <c r="E1152" s="104" t="s">
        <v>1328</v>
      </c>
      <c r="F1152" s="104" t="s">
        <v>3757</v>
      </c>
      <c r="G1152" s="104">
        <v>-3.0</v>
      </c>
      <c r="H1152" s="104">
        <v>-3.0</v>
      </c>
    </row>
    <row r="1153">
      <c r="A1153" s="104" t="s">
        <v>3758</v>
      </c>
      <c r="B1153" s="104" t="s">
        <v>203</v>
      </c>
      <c r="C1153" s="104" t="s">
        <v>535</v>
      </c>
      <c r="D1153" s="104" t="s">
        <v>3759</v>
      </c>
      <c r="E1153" s="104" t="s">
        <v>1276</v>
      </c>
      <c r="F1153" s="104" t="s">
        <v>3760</v>
      </c>
      <c r="G1153" s="150">
        <f>+1</f>
        <v>1</v>
      </c>
      <c r="H1153" s="104">
        <v>1.0</v>
      </c>
    </row>
    <row r="1154">
      <c r="A1154" s="104" t="s">
        <v>3761</v>
      </c>
      <c r="B1154" s="104" t="s">
        <v>163</v>
      </c>
      <c r="C1154" s="104" t="s">
        <v>535</v>
      </c>
      <c r="D1154" s="104" t="s">
        <v>3762</v>
      </c>
      <c r="E1154" s="104" t="s">
        <v>1300</v>
      </c>
      <c r="F1154" s="104" t="s">
        <v>3763</v>
      </c>
      <c r="G1154" s="104">
        <v>-2.0</v>
      </c>
      <c r="H1154" s="104">
        <v>-2.0</v>
      </c>
    </row>
    <row r="1155">
      <c r="A1155" s="104" t="s">
        <v>3764</v>
      </c>
      <c r="B1155" s="104" t="s">
        <v>171</v>
      </c>
      <c r="C1155" s="104" t="s">
        <v>535</v>
      </c>
      <c r="D1155" s="104" t="s">
        <v>3765</v>
      </c>
      <c r="E1155" s="104" t="s">
        <v>1335</v>
      </c>
      <c r="F1155" s="104" t="s">
        <v>3766</v>
      </c>
      <c r="G1155" s="150">
        <f>+2</f>
        <v>2</v>
      </c>
      <c r="H1155" s="104">
        <v>2.0</v>
      </c>
    </row>
    <row r="1156">
      <c r="A1156" s="104" t="s">
        <v>3767</v>
      </c>
      <c r="B1156" s="104" t="s">
        <v>197</v>
      </c>
      <c r="C1156" s="104" t="s">
        <v>535</v>
      </c>
      <c r="D1156" s="104" t="s">
        <v>3768</v>
      </c>
      <c r="E1156" s="104" t="s">
        <v>1290</v>
      </c>
      <c r="F1156" s="104" t="s">
        <v>3769</v>
      </c>
      <c r="G1156" s="150">
        <f>+3</f>
        <v>3</v>
      </c>
      <c r="H1156" s="104">
        <v>3.0</v>
      </c>
    </row>
    <row r="1157">
      <c r="A1157" s="104" t="s">
        <v>3770</v>
      </c>
      <c r="B1157" s="104" t="s">
        <v>170</v>
      </c>
      <c r="C1157" s="104" t="s">
        <v>535</v>
      </c>
      <c r="D1157" s="104" t="s">
        <v>3771</v>
      </c>
      <c r="E1157" s="104" t="s">
        <v>1276</v>
      </c>
      <c r="F1157" s="104" t="s">
        <v>3772</v>
      </c>
      <c r="G1157" s="150">
        <f>+1</f>
        <v>1</v>
      </c>
      <c r="H1157" s="104">
        <v>1.0</v>
      </c>
    </row>
    <row r="1158">
      <c r="A1158" s="104" t="s">
        <v>3773</v>
      </c>
      <c r="B1158" s="104" t="s">
        <v>168</v>
      </c>
      <c r="C1158" s="104" t="s">
        <v>535</v>
      </c>
      <c r="D1158" s="104" t="s">
        <v>3774</v>
      </c>
      <c r="E1158" s="104" t="s">
        <v>1271</v>
      </c>
      <c r="F1158" s="104" t="s">
        <v>3775</v>
      </c>
      <c r="G1158" s="104" t="s">
        <v>1273</v>
      </c>
      <c r="H1158" s="104">
        <v>0.0</v>
      </c>
    </row>
    <row r="1159">
      <c r="A1159" s="104" t="s">
        <v>3776</v>
      </c>
      <c r="B1159" s="104" t="s">
        <v>190</v>
      </c>
      <c r="C1159" s="104" t="s">
        <v>535</v>
      </c>
      <c r="D1159" s="104" t="s">
        <v>3777</v>
      </c>
      <c r="E1159" s="104" t="s">
        <v>1335</v>
      </c>
      <c r="F1159" s="104" t="s">
        <v>3778</v>
      </c>
      <c r="G1159" s="150">
        <f>+2</f>
        <v>2</v>
      </c>
      <c r="H1159" s="104">
        <v>2.0</v>
      </c>
    </row>
    <row r="1160">
      <c r="A1160" s="104" t="s">
        <v>3779</v>
      </c>
      <c r="B1160" s="104" t="s">
        <v>197</v>
      </c>
      <c r="C1160" s="104" t="s">
        <v>535</v>
      </c>
      <c r="D1160" s="104" t="s">
        <v>3780</v>
      </c>
      <c r="E1160" s="104" t="s">
        <v>1271</v>
      </c>
      <c r="F1160" s="104" t="s">
        <v>3781</v>
      </c>
      <c r="G1160" s="104" t="s">
        <v>1273</v>
      </c>
      <c r="H1160" s="104">
        <v>0.0</v>
      </c>
    </row>
    <row r="1161">
      <c r="A1161" s="104" t="s">
        <v>3782</v>
      </c>
      <c r="B1161" s="104" t="s">
        <v>230</v>
      </c>
      <c r="C1161" s="104" t="s">
        <v>535</v>
      </c>
      <c r="D1161" s="104" t="s">
        <v>3783</v>
      </c>
      <c r="E1161" s="104" t="s">
        <v>1290</v>
      </c>
      <c r="F1161" s="104" t="s">
        <v>3784</v>
      </c>
      <c r="G1161" s="150">
        <f>+3</f>
        <v>3</v>
      </c>
      <c r="H1161" s="104">
        <v>3.0</v>
      </c>
    </row>
    <row r="1162">
      <c r="A1162" s="104" t="s">
        <v>3785</v>
      </c>
      <c r="B1162" s="104" t="s">
        <v>163</v>
      </c>
      <c r="C1162" s="104" t="s">
        <v>535</v>
      </c>
      <c r="D1162" s="104" t="s">
        <v>3786</v>
      </c>
      <c r="E1162" s="104" t="s">
        <v>1271</v>
      </c>
      <c r="F1162" s="104" t="s">
        <v>3787</v>
      </c>
      <c r="G1162" s="104" t="s">
        <v>1273</v>
      </c>
      <c r="H1162" s="104">
        <v>0.0</v>
      </c>
    </row>
    <row r="1163">
      <c r="A1163" s="104" t="s">
        <v>3788</v>
      </c>
      <c r="B1163" s="104" t="s">
        <v>206</v>
      </c>
      <c r="C1163" s="104" t="s">
        <v>535</v>
      </c>
      <c r="D1163" s="104" t="s">
        <v>3789</v>
      </c>
      <c r="E1163" s="104" t="s">
        <v>1300</v>
      </c>
      <c r="F1163" s="104" t="s">
        <v>3790</v>
      </c>
      <c r="G1163" s="104">
        <v>-2.0</v>
      </c>
      <c r="H1163" s="104">
        <v>-2.0</v>
      </c>
    </row>
    <row r="1164">
      <c r="A1164" s="104" t="s">
        <v>3791</v>
      </c>
      <c r="B1164" s="104" t="s">
        <v>203</v>
      </c>
      <c r="C1164" s="104" t="s">
        <v>535</v>
      </c>
      <c r="D1164" s="104" t="s">
        <v>3792</v>
      </c>
      <c r="E1164" s="104" t="s">
        <v>1271</v>
      </c>
      <c r="F1164" s="104" t="s">
        <v>3793</v>
      </c>
      <c r="G1164" s="104" t="s">
        <v>1273</v>
      </c>
      <c r="H1164" s="104">
        <v>0.0</v>
      </c>
    </row>
    <row r="1165">
      <c r="A1165" s="104" t="s">
        <v>3794</v>
      </c>
      <c r="B1165" s="104" t="s">
        <v>283</v>
      </c>
      <c r="C1165" s="104" t="s">
        <v>535</v>
      </c>
      <c r="D1165" s="104" t="s">
        <v>3795</v>
      </c>
      <c r="E1165" s="104" t="s">
        <v>1271</v>
      </c>
      <c r="F1165" s="104" t="s">
        <v>3796</v>
      </c>
      <c r="G1165" s="104" t="s">
        <v>1273</v>
      </c>
      <c r="H1165" s="104">
        <v>0.0</v>
      </c>
    </row>
    <row r="1166">
      <c r="A1166" s="104" t="s">
        <v>3797</v>
      </c>
      <c r="B1166" s="104" t="s">
        <v>205</v>
      </c>
      <c r="C1166" s="104" t="s">
        <v>535</v>
      </c>
      <c r="D1166" s="104" t="s">
        <v>3798</v>
      </c>
      <c r="E1166" s="104" t="s">
        <v>1300</v>
      </c>
      <c r="F1166" s="104" t="s">
        <v>3799</v>
      </c>
      <c r="G1166" s="104">
        <v>-2.0</v>
      </c>
      <c r="H1166" s="104">
        <v>-2.0</v>
      </c>
    </row>
    <row r="1167">
      <c r="A1167" s="104" t="s">
        <v>3800</v>
      </c>
      <c r="B1167" s="104" t="s">
        <v>230</v>
      </c>
      <c r="C1167" s="104" t="s">
        <v>535</v>
      </c>
      <c r="D1167" s="104" t="s">
        <v>3801</v>
      </c>
      <c r="E1167" s="104" t="s">
        <v>1271</v>
      </c>
      <c r="F1167" s="104" t="s">
        <v>3802</v>
      </c>
      <c r="G1167" s="104" t="s">
        <v>1273</v>
      </c>
      <c r="H1167" s="104">
        <v>0.0</v>
      </c>
    </row>
    <row r="1168">
      <c r="A1168" s="104" t="s">
        <v>3803</v>
      </c>
      <c r="B1168" s="104" t="s">
        <v>112</v>
      </c>
      <c r="C1168" s="104" t="s">
        <v>535</v>
      </c>
      <c r="D1168" s="104" t="s">
        <v>3804</v>
      </c>
      <c r="E1168" s="104" t="s">
        <v>1276</v>
      </c>
      <c r="F1168" s="104" t="s">
        <v>3805</v>
      </c>
      <c r="G1168" s="150">
        <f t="shared" ref="G1168:G1169" si="40">+1</f>
        <v>1</v>
      </c>
      <c r="H1168" s="104">
        <v>1.0</v>
      </c>
    </row>
    <row r="1169">
      <c r="A1169" s="104" t="s">
        <v>3806</v>
      </c>
      <c r="B1169" s="104" t="s">
        <v>283</v>
      </c>
      <c r="C1169" s="104" t="s">
        <v>535</v>
      </c>
      <c r="D1169" s="104" t="s">
        <v>3807</v>
      </c>
      <c r="E1169" s="104" t="s">
        <v>1276</v>
      </c>
      <c r="F1169" s="104" t="s">
        <v>3808</v>
      </c>
      <c r="G1169" s="150">
        <f t="shared" si="40"/>
        <v>1</v>
      </c>
      <c r="H1169" s="104">
        <v>1.0</v>
      </c>
    </row>
    <row r="1170">
      <c r="A1170" s="104" t="s">
        <v>3809</v>
      </c>
      <c r="B1170" s="104" t="s">
        <v>101</v>
      </c>
      <c r="C1170" s="104" t="s">
        <v>535</v>
      </c>
      <c r="D1170" s="104" t="s">
        <v>3810</v>
      </c>
      <c r="E1170" s="104" t="s">
        <v>1335</v>
      </c>
      <c r="F1170" s="104" t="s">
        <v>3811</v>
      </c>
      <c r="G1170" s="150">
        <f>+2</f>
        <v>2</v>
      </c>
      <c r="H1170" s="104">
        <v>2.0</v>
      </c>
    </row>
    <row r="1171">
      <c r="A1171" s="104" t="s">
        <v>3812</v>
      </c>
      <c r="B1171" s="104" t="s">
        <v>101</v>
      </c>
      <c r="C1171" s="104" t="s">
        <v>535</v>
      </c>
      <c r="D1171" s="104" t="s">
        <v>3813</v>
      </c>
      <c r="E1171" s="104" t="s">
        <v>1290</v>
      </c>
      <c r="F1171" s="104" t="s">
        <v>3814</v>
      </c>
      <c r="G1171" s="150">
        <f>+3</f>
        <v>3</v>
      </c>
      <c r="H1171" s="104">
        <v>3.0</v>
      </c>
    </row>
    <row r="1172">
      <c r="A1172" s="104" t="s">
        <v>3815</v>
      </c>
      <c r="B1172" s="104" t="s">
        <v>101</v>
      </c>
      <c r="C1172" s="104" t="s">
        <v>535</v>
      </c>
      <c r="D1172" s="104" t="s">
        <v>3816</v>
      </c>
      <c r="E1172" s="104" t="s">
        <v>1276</v>
      </c>
      <c r="F1172" s="104" t="s">
        <v>3817</v>
      </c>
      <c r="G1172" s="150">
        <f>+1</f>
        <v>1</v>
      </c>
      <c r="H1172" s="104">
        <v>1.0</v>
      </c>
    </row>
    <row r="1173">
      <c r="A1173" s="104" t="s">
        <v>3818</v>
      </c>
      <c r="B1173" s="104" t="s">
        <v>101</v>
      </c>
      <c r="C1173" s="104" t="s">
        <v>535</v>
      </c>
      <c r="D1173" s="104" t="s">
        <v>3819</v>
      </c>
      <c r="E1173" s="104" t="s">
        <v>1290</v>
      </c>
      <c r="F1173" s="104" t="s">
        <v>3820</v>
      </c>
      <c r="G1173" s="150">
        <f>+3</f>
        <v>3</v>
      </c>
      <c r="H1173" s="104">
        <v>3.0</v>
      </c>
    </row>
    <row r="1174">
      <c r="A1174" s="104" t="s">
        <v>3821</v>
      </c>
      <c r="B1174" s="104" t="s">
        <v>101</v>
      </c>
      <c r="C1174" s="104" t="s">
        <v>535</v>
      </c>
      <c r="D1174" s="104" t="s">
        <v>3822</v>
      </c>
      <c r="E1174" s="104" t="s">
        <v>1335</v>
      </c>
      <c r="F1174" s="104" t="s">
        <v>3823</v>
      </c>
      <c r="G1174" s="150">
        <f>+2</f>
        <v>2</v>
      </c>
      <c r="H1174" s="104">
        <v>2.0</v>
      </c>
    </row>
    <row r="1175">
      <c r="A1175" s="104" t="s">
        <v>3824</v>
      </c>
      <c r="B1175" s="104" t="s">
        <v>294</v>
      </c>
      <c r="C1175" s="104" t="s">
        <v>535</v>
      </c>
      <c r="D1175" s="104" t="s">
        <v>3825</v>
      </c>
      <c r="E1175" s="104" t="s">
        <v>1271</v>
      </c>
      <c r="F1175" s="104" t="s">
        <v>3826</v>
      </c>
      <c r="G1175" s="104" t="s">
        <v>1273</v>
      </c>
      <c r="H1175" s="104">
        <v>0.0</v>
      </c>
    </row>
    <row r="1176">
      <c r="A1176" s="104" t="s">
        <v>3827</v>
      </c>
      <c r="B1176" s="104" t="s">
        <v>164</v>
      </c>
      <c r="C1176" s="104" t="s">
        <v>535</v>
      </c>
      <c r="D1176" s="104" t="s">
        <v>3828</v>
      </c>
      <c r="E1176" s="104" t="s">
        <v>1271</v>
      </c>
      <c r="F1176" s="104" t="s">
        <v>3829</v>
      </c>
      <c r="G1176" s="104" t="s">
        <v>1273</v>
      </c>
      <c r="H1176" s="104">
        <v>0.0</v>
      </c>
    </row>
    <row r="1177">
      <c r="A1177" s="104" t="s">
        <v>3830</v>
      </c>
      <c r="B1177" s="104" t="s">
        <v>145</v>
      </c>
      <c r="C1177" s="104" t="s">
        <v>535</v>
      </c>
      <c r="D1177" s="104" t="s">
        <v>3831</v>
      </c>
      <c r="E1177" s="104" t="s">
        <v>1271</v>
      </c>
      <c r="F1177" s="104" t="s">
        <v>3832</v>
      </c>
      <c r="G1177" s="104" t="s">
        <v>1273</v>
      </c>
      <c r="H1177" s="104">
        <v>0.0</v>
      </c>
    </row>
    <row r="1178">
      <c r="A1178" s="104" t="s">
        <v>3833</v>
      </c>
      <c r="B1178" s="104" t="s">
        <v>110</v>
      </c>
      <c r="C1178" s="104" t="s">
        <v>535</v>
      </c>
      <c r="D1178" s="104" t="s">
        <v>3834</v>
      </c>
      <c r="E1178" s="104" t="s">
        <v>1271</v>
      </c>
      <c r="F1178" s="104" t="s">
        <v>3835</v>
      </c>
      <c r="G1178" s="104" t="s">
        <v>1273</v>
      </c>
      <c r="H1178" s="104">
        <v>0.0</v>
      </c>
    </row>
    <row r="1179">
      <c r="A1179" s="104" t="s">
        <v>3836</v>
      </c>
      <c r="B1179" s="104" t="s">
        <v>160</v>
      </c>
      <c r="C1179" s="104" t="s">
        <v>535</v>
      </c>
      <c r="D1179" s="104" t="s">
        <v>3837</v>
      </c>
      <c r="E1179" s="104" t="s">
        <v>1300</v>
      </c>
      <c r="F1179" s="104" t="s">
        <v>3838</v>
      </c>
      <c r="G1179" s="104">
        <v>-2.0</v>
      </c>
      <c r="H1179" s="104">
        <v>-2.0</v>
      </c>
    </row>
    <row r="1180">
      <c r="A1180" s="104" t="s">
        <v>3839</v>
      </c>
      <c r="B1180" s="104" t="s">
        <v>160</v>
      </c>
      <c r="C1180" s="104" t="s">
        <v>535</v>
      </c>
      <c r="D1180" s="104" t="s">
        <v>3840</v>
      </c>
      <c r="E1180" s="104" t="s">
        <v>1290</v>
      </c>
      <c r="F1180" s="104" t="s">
        <v>3841</v>
      </c>
      <c r="G1180" s="150">
        <f t="shared" ref="G1180:G1181" si="41">+3</f>
        <v>3</v>
      </c>
      <c r="H1180" s="104">
        <v>3.0</v>
      </c>
    </row>
    <row r="1181">
      <c r="A1181" s="104" t="s">
        <v>3842</v>
      </c>
      <c r="B1181" s="104" t="s">
        <v>160</v>
      </c>
      <c r="C1181" s="104" t="s">
        <v>535</v>
      </c>
      <c r="D1181" s="104" t="s">
        <v>3843</v>
      </c>
      <c r="E1181" s="104" t="s">
        <v>1290</v>
      </c>
      <c r="F1181" s="104" t="s">
        <v>3844</v>
      </c>
      <c r="G1181" s="150">
        <f t="shared" si="41"/>
        <v>3</v>
      </c>
      <c r="H1181" s="104">
        <v>3.0</v>
      </c>
    </row>
    <row r="1182">
      <c r="A1182" s="104" t="s">
        <v>3845</v>
      </c>
      <c r="B1182" s="104" t="s">
        <v>244</v>
      </c>
      <c r="C1182" s="104" t="s">
        <v>535</v>
      </c>
      <c r="D1182" s="104" t="s">
        <v>3846</v>
      </c>
      <c r="E1182" s="104" t="s">
        <v>1276</v>
      </c>
      <c r="F1182" s="104" t="s">
        <v>3847</v>
      </c>
      <c r="G1182" s="150">
        <f>+1</f>
        <v>1</v>
      </c>
      <c r="H1182" s="104">
        <v>1.0</v>
      </c>
    </row>
    <row r="1183">
      <c r="A1183" s="104" t="s">
        <v>3848</v>
      </c>
      <c r="B1183" s="104" t="s">
        <v>244</v>
      </c>
      <c r="C1183" s="104" t="s">
        <v>535</v>
      </c>
      <c r="D1183" s="104" t="s">
        <v>3849</v>
      </c>
      <c r="E1183" s="104" t="s">
        <v>1271</v>
      </c>
      <c r="F1183" s="104" t="s">
        <v>3850</v>
      </c>
      <c r="G1183" s="104" t="s">
        <v>1273</v>
      </c>
      <c r="H1183" s="104">
        <v>0.0</v>
      </c>
    </row>
    <row r="1184">
      <c r="A1184" s="104" t="s">
        <v>3851</v>
      </c>
      <c r="B1184" s="104" t="s">
        <v>135</v>
      </c>
      <c r="C1184" s="104" t="s">
        <v>535</v>
      </c>
      <c r="D1184" s="104" t="s">
        <v>3852</v>
      </c>
      <c r="E1184" s="104" t="s">
        <v>1335</v>
      </c>
      <c r="F1184" s="104" t="s">
        <v>3853</v>
      </c>
      <c r="G1184" s="150">
        <f>+2</f>
        <v>2</v>
      </c>
      <c r="H1184" s="104">
        <v>2.0</v>
      </c>
    </row>
    <row r="1185">
      <c r="A1185" s="104" t="s">
        <v>3854</v>
      </c>
      <c r="B1185" s="104" t="s">
        <v>177</v>
      </c>
      <c r="C1185" s="104" t="s">
        <v>535</v>
      </c>
      <c r="D1185" s="104" t="s">
        <v>3855</v>
      </c>
      <c r="E1185" s="104" t="s">
        <v>1271</v>
      </c>
      <c r="F1185" s="104" t="s">
        <v>3856</v>
      </c>
      <c r="G1185" s="104" t="s">
        <v>1273</v>
      </c>
      <c r="H1185" s="104">
        <v>0.0</v>
      </c>
    </row>
    <row r="1186">
      <c r="A1186" s="104" t="s">
        <v>3857</v>
      </c>
      <c r="B1186" s="104" t="s">
        <v>116</v>
      </c>
      <c r="C1186" s="104" t="s">
        <v>535</v>
      </c>
      <c r="D1186" s="104" t="s">
        <v>3858</v>
      </c>
      <c r="E1186" s="104" t="s">
        <v>1290</v>
      </c>
      <c r="F1186" s="104" t="s">
        <v>3859</v>
      </c>
      <c r="G1186" s="150">
        <f>+3</f>
        <v>3</v>
      </c>
      <c r="H1186" s="104">
        <v>3.0</v>
      </c>
    </row>
    <row r="1187">
      <c r="A1187" s="104" t="s">
        <v>3860</v>
      </c>
      <c r="B1187" s="104" t="s">
        <v>141</v>
      </c>
      <c r="C1187" s="104" t="s">
        <v>535</v>
      </c>
      <c r="D1187" s="104" t="s">
        <v>3861</v>
      </c>
      <c r="E1187" s="104" t="s">
        <v>1271</v>
      </c>
      <c r="F1187" s="104" t="s">
        <v>3862</v>
      </c>
      <c r="G1187" s="104" t="s">
        <v>1273</v>
      </c>
      <c r="H1187" s="104">
        <v>0.0</v>
      </c>
    </row>
    <row r="1188">
      <c r="A1188" s="104" t="s">
        <v>3863</v>
      </c>
      <c r="B1188" s="104" t="s">
        <v>131</v>
      </c>
      <c r="C1188" s="104" t="s">
        <v>535</v>
      </c>
      <c r="D1188" s="104" t="s">
        <v>3864</v>
      </c>
      <c r="E1188" s="104" t="s">
        <v>1335</v>
      </c>
      <c r="F1188" s="104" t="s">
        <v>3865</v>
      </c>
      <c r="G1188" s="150">
        <f>+2</f>
        <v>2</v>
      </c>
      <c r="H1188" s="104">
        <v>2.0</v>
      </c>
    </row>
    <row r="1189">
      <c r="A1189" s="104" t="s">
        <v>3866</v>
      </c>
      <c r="B1189" s="104" t="s">
        <v>133</v>
      </c>
      <c r="C1189" s="104" t="s">
        <v>535</v>
      </c>
      <c r="D1189" s="104" t="s">
        <v>3867</v>
      </c>
      <c r="E1189" s="104" t="s">
        <v>1271</v>
      </c>
      <c r="F1189" s="104" t="s">
        <v>3868</v>
      </c>
      <c r="G1189" s="104" t="s">
        <v>1273</v>
      </c>
      <c r="H1189" s="104">
        <v>0.0</v>
      </c>
    </row>
    <row r="1190">
      <c r="A1190" s="104" t="s">
        <v>3869</v>
      </c>
      <c r="B1190" s="104" t="s">
        <v>169</v>
      </c>
      <c r="C1190" s="104" t="s">
        <v>535</v>
      </c>
      <c r="D1190" s="104" t="s">
        <v>3870</v>
      </c>
      <c r="E1190" s="104" t="s">
        <v>1335</v>
      </c>
      <c r="F1190" s="104" t="s">
        <v>3871</v>
      </c>
      <c r="G1190" s="150">
        <f>+2</f>
        <v>2</v>
      </c>
      <c r="H1190" s="104">
        <v>2.0</v>
      </c>
    </row>
    <row r="1191">
      <c r="A1191" s="104" t="s">
        <v>3872</v>
      </c>
      <c r="B1191" s="104" t="s">
        <v>229</v>
      </c>
      <c r="C1191" s="104" t="s">
        <v>535</v>
      </c>
      <c r="D1191" s="104" t="s">
        <v>3873</v>
      </c>
      <c r="E1191" s="104" t="s">
        <v>1271</v>
      </c>
      <c r="F1191" s="104" t="s">
        <v>3874</v>
      </c>
      <c r="G1191" s="104" t="s">
        <v>1273</v>
      </c>
      <c r="H1191" s="104">
        <v>0.0</v>
      </c>
    </row>
    <row r="1192">
      <c r="A1192" s="104" t="s">
        <v>3875</v>
      </c>
      <c r="B1192" s="104" t="s">
        <v>212</v>
      </c>
      <c r="C1192" s="104" t="s">
        <v>535</v>
      </c>
      <c r="D1192" s="104" t="s">
        <v>3876</v>
      </c>
      <c r="E1192" s="104" t="s">
        <v>1335</v>
      </c>
      <c r="F1192" s="104" t="s">
        <v>3877</v>
      </c>
      <c r="G1192" s="150">
        <f t="shared" ref="G1192:G1193" si="42">+2</f>
        <v>2</v>
      </c>
      <c r="H1192" s="104">
        <v>2.0</v>
      </c>
    </row>
    <row r="1193">
      <c r="A1193" s="104" t="s">
        <v>3878</v>
      </c>
      <c r="B1193" s="104" t="s">
        <v>169</v>
      </c>
      <c r="C1193" s="104" t="s">
        <v>535</v>
      </c>
      <c r="D1193" s="104" t="s">
        <v>3879</v>
      </c>
      <c r="E1193" s="104" t="s">
        <v>1335</v>
      </c>
      <c r="F1193" s="104" t="s">
        <v>3880</v>
      </c>
      <c r="G1193" s="150">
        <f t="shared" si="42"/>
        <v>2</v>
      </c>
      <c r="H1193" s="104">
        <v>2.0</v>
      </c>
    </row>
    <row r="1194">
      <c r="A1194" s="104" t="s">
        <v>3881</v>
      </c>
      <c r="B1194" s="104" t="s">
        <v>160</v>
      </c>
      <c r="C1194" s="104" t="s">
        <v>535</v>
      </c>
      <c r="D1194" s="104" t="s">
        <v>3882</v>
      </c>
      <c r="E1194" s="104" t="s">
        <v>1290</v>
      </c>
      <c r="F1194" s="104" t="s">
        <v>3883</v>
      </c>
      <c r="G1194" s="150">
        <f>+3</f>
        <v>3</v>
      </c>
      <c r="H1194" s="104">
        <v>3.0</v>
      </c>
    </row>
    <row r="1195">
      <c r="A1195" s="104" t="s">
        <v>3884</v>
      </c>
      <c r="B1195" s="104" t="s">
        <v>302</v>
      </c>
      <c r="C1195" s="104" t="s">
        <v>535</v>
      </c>
      <c r="D1195" s="104" t="s">
        <v>3885</v>
      </c>
      <c r="E1195" s="104" t="s">
        <v>1271</v>
      </c>
      <c r="F1195" s="104" t="s">
        <v>3886</v>
      </c>
      <c r="G1195" s="104" t="s">
        <v>1273</v>
      </c>
      <c r="H1195" s="104">
        <v>0.0</v>
      </c>
    </row>
    <row r="1196">
      <c r="A1196" s="104" t="s">
        <v>3887</v>
      </c>
      <c r="B1196" s="104" t="s">
        <v>283</v>
      </c>
      <c r="C1196" s="104" t="s">
        <v>535</v>
      </c>
      <c r="D1196" s="104" t="s">
        <v>3888</v>
      </c>
      <c r="E1196" s="104" t="s">
        <v>1271</v>
      </c>
      <c r="F1196" s="104" t="s">
        <v>3889</v>
      </c>
      <c r="G1196" s="104" t="s">
        <v>1273</v>
      </c>
      <c r="H1196" s="104">
        <v>0.0</v>
      </c>
    </row>
    <row r="1197">
      <c r="A1197" s="104" t="s">
        <v>3890</v>
      </c>
      <c r="B1197" s="104" t="s">
        <v>257</v>
      </c>
      <c r="C1197" s="104" t="s">
        <v>535</v>
      </c>
      <c r="D1197" s="104" t="s">
        <v>3891</v>
      </c>
      <c r="E1197" s="104" t="s">
        <v>1283</v>
      </c>
      <c r="F1197" s="104" t="s">
        <v>3892</v>
      </c>
      <c r="G1197" s="104">
        <v>-1.0</v>
      </c>
      <c r="H1197" s="104">
        <v>-1.0</v>
      </c>
    </row>
    <row r="1198">
      <c r="A1198" s="104" t="s">
        <v>3893</v>
      </c>
      <c r="B1198" s="104" t="s">
        <v>178</v>
      </c>
      <c r="C1198" s="104" t="s">
        <v>535</v>
      </c>
      <c r="D1198" s="104" t="s">
        <v>3894</v>
      </c>
      <c r="E1198" s="104" t="s">
        <v>1335</v>
      </c>
      <c r="F1198" s="104" t="s">
        <v>3895</v>
      </c>
      <c r="G1198" s="150">
        <f>+2</f>
        <v>2</v>
      </c>
      <c r="H1198" s="104">
        <v>2.0</v>
      </c>
    </row>
    <row r="1199">
      <c r="A1199" s="104" t="s">
        <v>3896</v>
      </c>
      <c r="B1199" s="104" t="s">
        <v>320</v>
      </c>
      <c r="C1199" s="104" t="s">
        <v>535</v>
      </c>
      <c r="D1199" s="104" t="s">
        <v>3897</v>
      </c>
      <c r="E1199" s="104" t="s">
        <v>1271</v>
      </c>
      <c r="F1199" s="104" t="s">
        <v>3898</v>
      </c>
      <c r="G1199" s="104" t="s">
        <v>1273</v>
      </c>
      <c r="H1199" s="104">
        <v>0.0</v>
      </c>
    </row>
    <row r="1200">
      <c r="A1200" s="104" t="s">
        <v>3899</v>
      </c>
      <c r="B1200" s="104" t="s">
        <v>184</v>
      </c>
      <c r="C1200" s="104" t="s">
        <v>535</v>
      </c>
      <c r="D1200" s="104" t="s">
        <v>3900</v>
      </c>
      <c r="E1200" s="104" t="s">
        <v>1328</v>
      </c>
      <c r="F1200" s="104" t="s">
        <v>3901</v>
      </c>
      <c r="G1200" s="104">
        <v>-3.0</v>
      </c>
      <c r="H1200" s="104">
        <v>-3.0</v>
      </c>
    </row>
    <row r="1201">
      <c r="A1201" s="104" t="s">
        <v>3902</v>
      </c>
      <c r="B1201" s="104" t="s">
        <v>244</v>
      </c>
      <c r="C1201" s="104" t="s">
        <v>535</v>
      </c>
      <c r="D1201" s="104" t="s">
        <v>3903</v>
      </c>
      <c r="E1201" s="104" t="s">
        <v>1283</v>
      </c>
      <c r="F1201" s="104" t="s">
        <v>3904</v>
      </c>
      <c r="G1201" s="104">
        <v>-1.0</v>
      </c>
      <c r="H1201" s="104">
        <v>-1.0</v>
      </c>
    </row>
    <row r="1202">
      <c r="A1202" s="104" t="s">
        <v>3905</v>
      </c>
      <c r="B1202" s="104" t="s">
        <v>129</v>
      </c>
      <c r="C1202" s="104" t="s">
        <v>535</v>
      </c>
      <c r="D1202" s="104" t="s">
        <v>3906</v>
      </c>
      <c r="E1202" s="104" t="s">
        <v>1271</v>
      </c>
      <c r="F1202" s="104" t="s">
        <v>3907</v>
      </c>
      <c r="G1202" s="104" t="s">
        <v>1273</v>
      </c>
      <c r="H1202" s="104">
        <v>0.0</v>
      </c>
    </row>
    <row r="1203">
      <c r="A1203" s="104" t="s">
        <v>3908</v>
      </c>
      <c r="B1203" s="104" t="s">
        <v>184</v>
      </c>
      <c r="C1203" s="104" t="s">
        <v>535</v>
      </c>
      <c r="D1203" s="104" t="s">
        <v>3909</v>
      </c>
      <c r="E1203" s="104" t="s">
        <v>1283</v>
      </c>
      <c r="F1203" s="104" t="s">
        <v>3910</v>
      </c>
      <c r="G1203" s="104">
        <v>-1.0</v>
      </c>
      <c r="H1203" s="104">
        <v>-1.0</v>
      </c>
    </row>
    <row r="1204">
      <c r="A1204" s="104" t="s">
        <v>3911</v>
      </c>
      <c r="B1204" s="104" t="s">
        <v>168</v>
      </c>
      <c r="C1204" s="104" t="s">
        <v>535</v>
      </c>
      <c r="D1204" s="104" t="s">
        <v>3912</v>
      </c>
      <c r="E1204" s="104" t="s">
        <v>1335</v>
      </c>
      <c r="F1204" s="104" t="s">
        <v>3913</v>
      </c>
      <c r="G1204" s="150">
        <f>+2</f>
        <v>2</v>
      </c>
      <c r="H1204" s="104">
        <v>2.0</v>
      </c>
    </row>
    <row r="1205">
      <c r="A1205" s="104" t="s">
        <v>3914</v>
      </c>
      <c r="B1205" s="104" t="s">
        <v>197</v>
      </c>
      <c r="C1205" s="104" t="s">
        <v>535</v>
      </c>
      <c r="D1205" s="104" t="s">
        <v>3915</v>
      </c>
      <c r="E1205" s="104" t="s">
        <v>1290</v>
      </c>
      <c r="F1205" s="104" t="s">
        <v>3916</v>
      </c>
      <c r="G1205" s="150">
        <f>+3</f>
        <v>3</v>
      </c>
      <c r="H1205" s="104">
        <v>3.0</v>
      </c>
    </row>
    <row r="1206">
      <c r="A1206" s="104" t="s">
        <v>3917</v>
      </c>
      <c r="B1206" s="104" t="s">
        <v>194</v>
      </c>
      <c r="C1206" s="104" t="s">
        <v>535</v>
      </c>
      <c r="D1206" s="104" t="s">
        <v>3918</v>
      </c>
      <c r="E1206" s="104" t="s">
        <v>1271</v>
      </c>
      <c r="F1206" s="104" t="s">
        <v>3919</v>
      </c>
      <c r="G1206" s="104" t="s">
        <v>1273</v>
      </c>
      <c r="H1206" s="104">
        <v>0.0</v>
      </c>
    </row>
    <row r="1207">
      <c r="A1207" s="104" t="s">
        <v>3920</v>
      </c>
      <c r="B1207" s="104" t="s">
        <v>132</v>
      </c>
      <c r="C1207" s="104" t="s">
        <v>535</v>
      </c>
      <c r="D1207" s="104" t="s">
        <v>3921</v>
      </c>
      <c r="E1207" s="104" t="s">
        <v>1271</v>
      </c>
      <c r="F1207" s="104" t="s">
        <v>3922</v>
      </c>
      <c r="G1207" s="104" t="s">
        <v>1273</v>
      </c>
      <c r="H1207" s="104">
        <v>0.0</v>
      </c>
    </row>
    <row r="1208">
      <c r="A1208" s="104" t="s">
        <v>3923</v>
      </c>
      <c r="B1208" s="104" t="s">
        <v>195</v>
      </c>
      <c r="C1208" s="104" t="s">
        <v>535</v>
      </c>
      <c r="D1208" s="104" t="s">
        <v>3924</v>
      </c>
      <c r="E1208" s="104" t="s">
        <v>1300</v>
      </c>
      <c r="F1208" s="104" t="s">
        <v>3925</v>
      </c>
      <c r="G1208" s="104">
        <v>-2.0</v>
      </c>
      <c r="H1208" s="104">
        <v>-2.0</v>
      </c>
    </row>
    <row r="1209">
      <c r="A1209" s="104" t="s">
        <v>3926</v>
      </c>
      <c r="B1209" s="104" t="s">
        <v>271</v>
      </c>
      <c r="C1209" s="104" t="s">
        <v>535</v>
      </c>
      <c r="D1209" s="104" t="s">
        <v>3927</v>
      </c>
      <c r="E1209" s="104" t="s">
        <v>1271</v>
      </c>
      <c r="F1209" s="104" t="s">
        <v>3928</v>
      </c>
      <c r="G1209" s="104" t="s">
        <v>1273</v>
      </c>
      <c r="H1209" s="104">
        <v>0.0</v>
      </c>
    </row>
    <row r="1210">
      <c r="A1210" s="104" t="s">
        <v>3929</v>
      </c>
      <c r="B1210" s="104" t="s">
        <v>210</v>
      </c>
      <c r="C1210" s="104" t="s">
        <v>535</v>
      </c>
      <c r="D1210" s="104" t="s">
        <v>3930</v>
      </c>
      <c r="E1210" s="104" t="s">
        <v>1271</v>
      </c>
      <c r="F1210" s="104" t="s">
        <v>3931</v>
      </c>
      <c r="G1210" s="104" t="s">
        <v>1273</v>
      </c>
      <c r="H1210" s="104">
        <v>0.0</v>
      </c>
    </row>
    <row r="1211">
      <c r="A1211" s="104" t="s">
        <v>3932</v>
      </c>
      <c r="B1211" s="104" t="s">
        <v>271</v>
      </c>
      <c r="C1211" s="104" t="s">
        <v>535</v>
      </c>
      <c r="D1211" s="104" t="s">
        <v>3933</v>
      </c>
      <c r="E1211" s="104" t="s">
        <v>1300</v>
      </c>
      <c r="F1211" s="104" t="s">
        <v>3934</v>
      </c>
      <c r="G1211" s="104">
        <v>-2.0</v>
      </c>
      <c r="H1211" s="104">
        <v>-2.0</v>
      </c>
    </row>
    <row r="1212">
      <c r="A1212" s="104" t="s">
        <v>3935</v>
      </c>
      <c r="B1212" s="104" t="s">
        <v>138</v>
      </c>
      <c r="C1212" s="104" t="s">
        <v>535</v>
      </c>
      <c r="D1212" s="104" t="s">
        <v>3936</v>
      </c>
      <c r="E1212" s="104" t="s">
        <v>1290</v>
      </c>
      <c r="F1212" s="104" t="s">
        <v>3937</v>
      </c>
      <c r="G1212" s="150">
        <f>+3</f>
        <v>3</v>
      </c>
      <c r="H1212" s="104">
        <v>3.0</v>
      </c>
    </row>
    <row r="1213">
      <c r="A1213" s="104" t="s">
        <v>3938</v>
      </c>
      <c r="B1213" s="104" t="s">
        <v>155</v>
      </c>
      <c r="C1213" s="104" t="s">
        <v>535</v>
      </c>
      <c r="D1213" s="104" t="s">
        <v>3939</v>
      </c>
      <c r="E1213" s="104" t="s">
        <v>1271</v>
      </c>
      <c r="F1213" s="104" t="s">
        <v>3940</v>
      </c>
      <c r="G1213" s="104" t="s">
        <v>1273</v>
      </c>
      <c r="H1213" s="104">
        <v>0.0</v>
      </c>
    </row>
    <row r="1214">
      <c r="A1214" s="104" t="s">
        <v>3941</v>
      </c>
      <c r="B1214" s="104" t="s">
        <v>210</v>
      </c>
      <c r="C1214" s="104" t="s">
        <v>535</v>
      </c>
      <c r="D1214" s="104" t="s">
        <v>3942</v>
      </c>
      <c r="E1214" s="104" t="s">
        <v>1283</v>
      </c>
      <c r="F1214" s="104" t="s">
        <v>3943</v>
      </c>
      <c r="G1214" s="104">
        <v>-1.0</v>
      </c>
      <c r="H1214" s="104">
        <v>-1.0</v>
      </c>
    </row>
    <row r="1215">
      <c r="A1215" s="104" t="s">
        <v>3944</v>
      </c>
      <c r="B1215" s="104" t="s">
        <v>145</v>
      </c>
      <c r="C1215" s="104" t="s">
        <v>535</v>
      </c>
      <c r="D1215" s="104" t="s">
        <v>3945</v>
      </c>
      <c r="E1215" s="104" t="s">
        <v>1276</v>
      </c>
      <c r="F1215" s="104" t="s">
        <v>3946</v>
      </c>
      <c r="G1215" s="150">
        <f>+1</f>
        <v>1</v>
      </c>
      <c r="H1215" s="104">
        <v>1.0</v>
      </c>
    </row>
    <row r="1216">
      <c r="A1216" s="104" t="s">
        <v>3947</v>
      </c>
      <c r="B1216" s="104" t="s">
        <v>150</v>
      </c>
      <c r="C1216" s="104" t="s">
        <v>535</v>
      </c>
      <c r="D1216" s="104" t="s">
        <v>3948</v>
      </c>
      <c r="E1216" s="104" t="s">
        <v>1335</v>
      </c>
      <c r="F1216" s="104" t="s">
        <v>3949</v>
      </c>
      <c r="G1216" s="150">
        <f t="shared" ref="G1216:G1218" si="43">+2</f>
        <v>2</v>
      </c>
      <c r="H1216" s="104">
        <v>2.0</v>
      </c>
    </row>
    <row r="1217">
      <c r="A1217" s="104" t="s">
        <v>3950</v>
      </c>
      <c r="B1217" s="104" t="s">
        <v>280</v>
      </c>
      <c r="C1217" s="104" t="s">
        <v>535</v>
      </c>
      <c r="D1217" s="104" t="s">
        <v>3951</v>
      </c>
      <c r="E1217" s="104" t="s">
        <v>1335</v>
      </c>
      <c r="F1217" s="104" t="s">
        <v>3952</v>
      </c>
      <c r="G1217" s="150">
        <f t="shared" si="43"/>
        <v>2</v>
      </c>
      <c r="H1217" s="104">
        <v>2.0</v>
      </c>
    </row>
    <row r="1218">
      <c r="A1218" s="104" t="s">
        <v>3953</v>
      </c>
      <c r="B1218" s="104" t="s">
        <v>152</v>
      </c>
      <c r="C1218" s="104" t="s">
        <v>535</v>
      </c>
      <c r="D1218" s="104" t="s">
        <v>3954</v>
      </c>
      <c r="E1218" s="104" t="s">
        <v>1335</v>
      </c>
      <c r="F1218" s="104" t="s">
        <v>3955</v>
      </c>
      <c r="G1218" s="150">
        <f t="shared" si="43"/>
        <v>2</v>
      </c>
      <c r="H1218" s="104">
        <v>2.0</v>
      </c>
    </row>
    <row r="1219">
      <c r="A1219" s="104" t="s">
        <v>3956</v>
      </c>
      <c r="B1219" s="104" t="s">
        <v>290</v>
      </c>
      <c r="C1219" s="104" t="s">
        <v>535</v>
      </c>
      <c r="D1219" s="104" t="s">
        <v>3957</v>
      </c>
      <c r="E1219" s="104" t="s">
        <v>1271</v>
      </c>
      <c r="F1219" s="104" t="s">
        <v>3958</v>
      </c>
      <c r="G1219" s="104" t="s">
        <v>1273</v>
      </c>
      <c r="H1219" s="104">
        <v>0.0</v>
      </c>
    </row>
    <row r="1220">
      <c r="A1220" s="104" t="s">
        <v>3959</v>
      </c>
      <c r="B1220" s="104" t="s">
        <v>290</v>
      </c>
      <c r="C1220" s="104" t="s">
        <v>535</v>
      </c>
      <c r="D1220" s="104" t="s">
        <v>3960</v>
      </c>
      <c r="E1220" s="104" t="s">
        <v>1283</v>
      </c>
      <c r="F1220" s="104" t="s">
        <v>3961</v>
      </c>
      <c r="G1220" s="104">
        <v>-1.0</v>
      </c>
      <c r="H1220" s="104">
        <v>-1.0</v>
      </c>
    </row>
    <row r="1221">
      <c r="A1221" s="104" t="s">
        <v>3962</v>
      </c>
      <c r="B1221" s="104" t="s">
        <v>132</v>
      </c>
      <c r="C1221" s="104" t="s">
        <v>535</v>
      </c>
      <c r="D1221" s="104" t="s">
        <v>3963</v>
      </c>
      <c r="E1221" s="104" t="s">
        <v>1283</v>
      </c>
      <c r="F1221" s="104" t="s">
        <v>3964</v>
      </c>
      <c r="G1221" s="104">
        <v>-1.0</v>
      </c>
      <c r="H1221" s="104">
        <v>-1.0</v>
      </c>
    </row>
    <row r="1222">
      <c r="A1222" s="104" t="s">
        <v>3965</v>
      </c>
      <c r="B1222" s="104" t="s">
        <v>110</v>
      </c>
      <c r="C1222" s="104" t="s">
        <v>535</v>
      </c>
      <c r="D1222" s="104" t="s">
        <v>3966</v>
      </c>
      <c r="E1222" s="104" t="s">
        <v>1283</v>
      </c>
      <c r="F1222" s="104" t="s">
        <v>3967</v>
      </c>
      <c r="G1222" s="104">
        <v>-1.0</v>
      </c>
      <c r="H1222" s="104">
        <v>-1.0</v>
      </c>
    </row>
    <row r="1223">
      <c r="A1223" s="104" t="s">
        <v>3968</v>
      </c>
      <c r="B1223" s="104" t="s">
        <v>242</v>
      </c>
      <c r="C1223" s="104" t="s">
        <v>535</v>
      </c>
      <c r="D1223" s="104" t="s">
        <v>3969</v>
      </c>
      <c r="E1223" s="104" t="s">
        <v>1271</v>
      </c>
      <c r="F1223" s="104" t="s">
        <v>3970</v>
      </c>
      <c r="G1223" s="104" t="s">
        <v>1273</v>
      </c>
      <c r="H1223" s="104">
        <v>0.0</v>
      </c>
    </row>
    <row r="1224">
      <c r="A1224" s="104" t="s">
        <v>3971</v>
      </c>
      <c r="B1224" s="104" t="s">
        <v>290</v>
      </c>
      <c r="C1224" s="104" t="s">
        <v>535</v>
      </c>
      <c r="D1224" s="104" t="s">
        <v>3972</v>
      </c>
      <c r="E1224" s="104" t="s">
        <v>1271</v>
      </c>
      <c r="F1224" s="104" t="s">
        <v>3973</v>
      </c>
      <c r="G1224" s="104" t="s">
        <v>1273</v>
      </c>
      <c r="H1224" s="104">
        <v>0.0</v>
      </c>
    </row>
    <row r="1225">
      <c r="A1225" s="104" t="s">
        <v>3974</v>
      </c>
      <c r="B1225" s="104" t="s">
        <v>303</v>
      </c>
      <c r="C1225" s="104" t="s">
        <v>535</v>
      </c>
      <c r="D1225" s="104" t="s">
        <v>3975</v>
      </c>
      <c r="E1225" s="104" t="s">
        <v>1271</v>
      </c>
      <c r="F1225" s="104" t="s">
        <v>3976</v>
      </c>
      <c r="G1225" s="104" t="s">
        <v>1273</v>
      </c>
      <c r="H1225" s="104">
        <v>0.0</v>
      </c>
    </row>
    <row r="1226">
      <c r="A1226" s="104" t="s">
        <v>3977</v>
      </c>
      <c r="B1226" s="104" t="s">
        <v>319</v>
      </c>
      <c r="C1226" s="104" t="s">
        <v>535</v>
      </c>
      <c r="D1226" s="104" t="s">
        <v>3978</v>
      </c>
      <c r="E1226" s="104" t="s">
        <v>1335</v>
      </c>
      <c r="F1226" s="104" t="s">
        <v>3979</v>
      </c>
      <c r="G1226" s="150">
        <f>+2</f>
        <v>2</v>
      </c>
      <c r="H1226" s="104">
        <v>2.0</v>
      </c>
    </row>
    <row r="1227">
      <c r="A1227" s="104" t="s">
        <v>3980</v>
      </c>
      <c r="B1227" s="104" t="s">
        <v>184</v>
      </c>
      <c r="C1227" s="104" t="s">
        <v>535</v>
      </c>
      <c r="D1227" s="104" t="s">
        <v>3981</v>
      </c>
      <c r="E1227" s="104" t="s">
        <v>1300</v>
      </c>
      <c r="F1227" s="104" t="s">
        <v>3982</v>
      </c>
      <c r="G1227" s="104">
        <v>-2.0</v>
      </c>
      <c r="H1227" s="104">
        <v>-2.0</v>
      </c>
    </row>
    <row r="1228">
      <c r="A1228" s="104" t="s">
        <v>3983</v>
      </c>
      <c r="B1228" s="104" t="s">
        <v>116</v>
      </c>
      <c r="C1228" s="104" t="s">
        <v>535</v>
      </c>
      <c r="D1228" s="104" t="s">
        <v>3984</v>
      </c>
      <c r="E1228" s="104" t="s">
        <v>1335</v>
      </c>
      <c r="F1228" s="104" t="s">
        <v>3985</v>
      </c>
      <c r="G1228" s="150">
        <f t="shared" ref="G1228:G1229" si="44">+2</f>
        <v>2</v>
      </c>
      <c r="H1228" s="104">
        <v>2.0</v>
      </c>
    </row>
    <row r="1229">
      <c r="A1229" s="104" t="s">
        <v>3986</v>
      </c>
      <c r="B1229" s="104" t="s">
        <v>278</v>
      </c>
      <c r="C1229" s="104" t="s">
        <v>535</v>
      </c>
      <c r="D1229" s="104" t="s">
        <v>3987</v>
      </c>
      <c r="E1229" s="104" t="s">
        <v>1335</v>
      </c>
      <c r="F1229" s="104" t="s">
        <v>3988</v>
      </c>
      <c r="G1229" s="150">
        <f t="shared" si="44"/>
        <v>2</v>
      </c>
      <c r="H1229" s="104">
        <v>2.0</v>
      </c>
    </row>
    <row r="1230">
      <c r="A1230" s="104" t="s">
        <v>3989</v>
      </c>
      <c r="B1230" s="104" t="s">
        <v>159</v>
      </c>
      <c r="C1230" s="104" t="s">
        <v>535</v>
      </c>
      <c r="D1230" s="104" t="s">
        <v>3990</v>
      </c>
      <c r="E1230" s="104" t="s">
        <v>1271</v>
      </c>
      <c r="F1230" s="104" t="s">
        <v>3991</v>
      </c>
      <c r="G1230" s="104" t="s">
        <v>1273</v>
      </c>
      <c r="H1230" s="104">
        <v>0.0</v>
      </c>
    </row>
    <row r="1231">
      <c r="A1231" s="104" t="s">
        <v>3992</v>
      </c>
      <c r="B1231" s="104" t="s">
        <v>129</v>
      </c>
      <c r="C1231" s="104" t="s">
        <v>535</v>
      </c>
      <c r="D1231" s="104" t="s">
        <v>3993</v>
      </c>
      <c r="E1231" s="104" t="s">
        <v>1328</v>
      </c>
      <c r="F1231" s="104" t="s">
        <v>3994</v>
      </c>
      <c r="G1231" s="104">
        <v>-3.0</v>
      </c>
      <c r="H1231" s="104">
        <v>-3.0</v>
      </c>
    </row>
    <row r="1232">
      <c r="A1232" s="104" t="s">
        <v>3995</v>
      </c>
      <c r="B1232" s="104" t="s">
        <v>319</v>
      </c>
      <c r="C1232" s="104" t="s">
        <v>535</v>
      </c>
      <c r="D1232" s="104" t="s">
        <v>3996</v>
      </c>
      <c r="E1232" s="104" t="s">
        <v>1335</v>
      </c>
      <c r="F1232" s="104" t="s">
        <v>3997</v>
      </c>
      <c r="G1232" s="150">
        <f>+2</f>
        <v>2</v>
      </c>
      <c r="H1232" s="104">
        <v>2.0</v>
      </c>
    </row>
    <row r="1233">
      <c r="A1233" s="104" t="s">
        <v>3998</v>
      </c>
      <c r="B1233" s="104" t="s">
        <v>128</v>
      </c>
      <c r="C1233" s="104" t="s">
        <v>535</v>
      </c>
      <c r="D1233" s="104" t="s">
        <v>3999</v>
      </c>
      <c r="E1233" s="104" t="s">
        <v>1271</v>
      </c>
      <c r="F1233" s="104" t="s">
        <v>4000</v>
      </c>
      <c r="G1233" s="104" t="s">
        <v>1273</v>
      </c>
      <c r="H1233" s="104">
        <v>0.0</v>
      </c>
    </row>
    <row r="1234">
      <c r="A1234" s="104" t="s">
        <v>4001</v>
      </c>
      <c r="B1234" s="104" t="s">
        <v>257</v>
      </c>
      <c r="C1234" s="104" t="s">
        <v>535</v>
      </c>
      <c r="D1234" s="104" t="s">
        <v>4002</v>
      </c>
      <c r="E1234" s="104" t="s">
        <v>1300</v>
      </c>
      <c r="F1234" s="104" t="s">
        <v>4003</v>
      </c>
      <c r="G1234" s="104">
        <v>-2.0</v>
      </c>
      <c r="H1234" s="104">
        <v>-2.0</v>
      </c>
    </row>
    <row r="1235">
      <c r="A1235" s="104" t="s">
        <v>4004</v>
      </c>
      <c r="B1235" s="104" t="s">
        <v>253</v>
      </c>
      <c r="C1235" s="104" t="s">
        <v>535</v>
      </c>
      <c r="D1235" s="104" t="s">
        <v>4005</v>
      </c>
      <c r="E1235" s="104" t="s">
        <v>1290</v>
      </c>
      <c r="F1235" s="104" t="s">
        <v>4006</v>
      </c>
      <c r="G1235" s="150">
        <f t="shared" ref="G1235:G1236" si="45">+3</f>
        <v>3</v>
      </c>
      <c r="H1235" s="104">
        <v>3.0</v>
      </c>
    </row>
    <row r="1236">
      <c r="A1236" s="104" t="s">
        <v>4007</v>
      </c>
      <c r="B1236" s="104" t="s">
        <v>225</v>
      </c>
      <c r="C1236" s="104" t="s">
        <v>535</v>
      </c>
      <c r="D1236" s="104" t="s">
        <v>4008</v>
      </c>
      <c r="E1236" s="104" t="s">
        <v>1290</v>
      </c>
      <c r="F1236" s="104" t="s">
        <v>4009</v>
      </c>
      <c r="G1236" s="150">
        <f t="shared" si="45"/>
        <v>3</v>
      </c>
      <c r="H1236" s="104">
        <v>3.0</v>
      </c>
    </row>
    <row r="1237">
      <c r="A1237" s="104" t="s">
        <v>4010</v>
      </c>
      <c r="B1237" s="104" t="s">
        <v>228</v>
      </c>
      <c r="C1237" s="104" t="s">
        <v>535</v>
      </c>
      <c r="D1237" s="104" t="s">
        <v>4011</v>
      </c>
      <c r="E1237" s="104" t="s">
        <v>1271</v>
      </c>
      <c r="F1237" s="104" t="s">
        <v>4012</v>
      </c>
      <c r="G1237" s="104" t="s">
        <v>1273</v>
      </c>
      <c r="H1237" s="104">
        <v>0.0</v>
      </c>
    </row>
    <row r="1238">
      <c r="A1238" s="104" t="s">
        <v>4013</v>
      </c>
      <c r="B1238" s="104" t="s">
        <v>159</v>
      </c>
      <c r="C1238" s="104" t="s">
        <v>535</v>
      </c>
      <c r="D1238" s="104" t="s">
        <v>4014</v>
      </c>
      <c r="E1238" s="104" t="s">
        <v>1335</v>
      </c>
      <c r="F1238" s="104" t="s">
        <v>4015</v>
      </c>
      <c r="G1238" s="150">
        <f>+2</f>
        <v>2</v>
      </c>
      <c r="H1238" s="104">
        <v>2.0</v>
      </c>
    </row>
    <row r="1239">
      <c r="A1239" s="104" t="s">
        <v>4016</v>
      </c>
      <c r="B1239" s="104" t="s">
        <v>271</v>
      </c>
      <c r="C1239" s="104" t="s">
        <v>535</v>
      </c>
      <c r="D1239" s="104" t="s">
        <v>4017</v>
      </c>
      <c r="E1239" s="104" t="s">
        <v>1271</v>
      </c>
      <c r="F1239" s="104" t="s">
        <v>4018</v>
      </c>
      <c r="G1239" s="104" t="s">
        <v>1273</v>
      </c>
      <c r="H1239" s="104">
        <v>0.0</v>
      </c>
    </row>
    <row r="1240">
      <c r="A1240" s="104" t="s">
        <v>4019</v>
      </c>
      <c r="B1240" s="104" t="s">
        <v>225</v>
      </c>
      <c r="C1240" s="104" t="s">
        <v>535</v>
      </c>
      <c r="D1240" s="104" t="s">
        <v>4020</v>
      </c>
      <c r="E1240" s="104" t="s">
        <v>1328</v>
      </c>
      <c r="F1240" s="104" t="s">
        <v>4021</v>
      </c>
      <c r="G1240" s="104">
        <v>-3.0</v>
      </c>
      <c r="H1240" s="104">
        <v>-3.0</v>
      </c>
    </row>
    <row r="1241">
      <c r="A1241" s="104" t="s">
        <v>4022</v>
      </c>
      <c r="B1241" s="104" t="s">
        <v>184</v>
      </c>
      <c r="C1241" s="104" t="s">
        <v>535</v>
      </c>
      <c r="D1241" s="104" t="s">
        <v>4023</v>
      </c>
      <c r="E1241" s="104" t="s">
        <v>1328</v>
      </c>
      <c r="F1241" s="104" t="s">
        <v>4024</v>
      </c>
      <c r="G1241" s="104">
        <v>-3.0</v>
      </c>
      <c r="H1241" s="104">
        <v>-3.0</v>
      </c>
    </row>
    <row r="1242">
      <c r="A1242" s="104" t="s">
        <v>4025</v>
      </c>
      <c r="B1242" s="104" t="s">
        <v>233</v>
      </c>
      <c r="C1242" s="104" t="s">
        <v>535</v>
      </c>
      <c r="D1242" s="104" t="s">
        <v>4026</v>
      </c>
      <c r="E1242" s="104" t="s">
        <v>1290</v>
      </c>
      <c r="F1242" s="104" t="s">
        <v>4027</v>
      </c>
      <c r="G1242" s="150">
        <f>+3</f>
        <v>3</v>
      </c>
      <c r="H1242" s="104">
        <v>3.0</v>
      </c>
    </row>
    <row r="1243">
      <c r="A1243" s="104" t="s">
        <v>4028</v>
      </c>
      <c r="B1243" s="104" t="s">
        <v>271</v>
      </c>
      <c r="C1243" s="104" t="s">
        <v>535</v>
      </c>
      <c r="D1243" s="104" t="s">
        <v>4029</v>
      </c>
      <c r="E1243" s="104" t="s">
        <v>1328</v>
      </c>
      <c r="F1243" s="104" t="s">
        <v>4030</v>
      </c>
      <c r="G1243" s="104">
        <v>-3.0</v>
      </c>
      <c r="H1243" s="104">
        <v>-3.0</v>
      </c>
    </row>
    <row r="1244">
      <c r="A1244" s="104" t="s">
        <v>4031</v>
      </c>
      <c r="B1244" s="104" t="s">
        <v>200</v>
      </c>
      <c r="C1244" s="104" t="s">
        <v>535</v>
      </c>
      <c r="D1244" s="104" t="s">
        <v>4032</v>
      </c>
      <c r="E1244" s="104" t="s">
        <v>1276</v>
      </c>
      <c r="F1244" s="104" t="s">
        <v>4033</v>
      </c>
      <c r="G1244" s="150">
        <f>+1</f>
        <v>1</v>
      </c>
      <c r="H1244" s="104">
        <v>1.0</v>
      </c>
    </row>
    <row r="1245">
      <c r="A1245" s="104" t="s">
        <v>4034</v>
      </c>
      <c r="B1245" s="104" t="s">
        <v>101</v>
      </c>
      <c r="C1245" s="104" t="s">
        <v>535</v>
      </c>
      <c r="D1245" s="104" t="s">
        <v>4035</v>
      </c>
      <c r="E1245" s="104" t="s">
        <v>1290</v>
      </c>
      <c r="F1245" s="104" t="s">
        <v>4036</v>
      </c>
      <c r="G1245" s="150">
        <f>+3</f>
        <v>3</v>
      </c>
      <c r="H1245" s="104">
        <v>3.0</v>
      </c>
    </row>
    <row r="1246">
      <c r="A1246" s="104" t="s">
        <v>4037</v>
      </c>
      <c r="B1246" s="104" t="s">
        <v>214</v>
      </c>
      <c r="C1246" s="104" t="s">
        <v>535</v>
      </c>
      <c r="D1246" s="104" t="s">
        <v>4038</v>
      </c>
      <c r="E1246" s="104" t="s">
        <v>1300</v>
      </c>
      <c r="F1246" s="104" t="s">
        <v>4039</v>
      </c>
      <c r="G1246" s="104">
        <v>-2.0</v>
      </c>
      <c r="H1246" s="104">
        <v>-2.0</v>
      </c>
    </row>
    <row r="1247">
      <c r="A1247" s="104" t="s">
        <v>4040</v>
      </c>
      <c r="B1247" s="104" t="s">
        <v>233</v>
      </c>
      <c r="C1247" s="104" t="s">
        <v>535</v>
      </c>
      <c r="D1247" s="104" t="s">
        <v>4041</v>
      </c>
      <c r="E1247" s="104" t="s">
        <v>1271</v>
      </c>
      <c r="F1247" s="104" t="s">
        <v>4042</v>
      </c>
      <c r="G1247" s="104" t="s">
        <v>1273</v>
      </c>
      <c r="H1247" s="104">
        <v>0.0</v>
      </c>
    </row>
    <row r="1248">
      <c r="A1248" s="104" t="s">
        <v>4043</v>
      </c>
      <c r="B1248" s="104" t="s">
        <v>181</v>
      </c>
      <c r="C1248" s="104" t="s">
        <v>535</v>
      </c>
      <c r="D1248" s="104" t="s">
        <v>4044</v>
      </c>
      <c r="E1248" s="104" t="s">
        <v>1300</v>
      </c>
      <c r="F1248" s="104" t="s">
        <v>4045</v>
      </c>
      <c r="G1248" s="104">
        <v>-2.0</v>
      </c>
      <c r="H1248" s="104">
        <v>-2.0</v>
      </c>
    </row>
    <row r="1249">
      <c r="A1249" s="104" t="s">
        <v>4046</v>
      </c>
      <c r="B1249" s="104" t="s">
        <v>101</v>
      </c>
      <c r="C1249" s="104" t="s">
        <v>535</v>
      </c>
      <c r="D1249" s="104" t="s">
        <v>4047</v>
      </c>
      <c r="E1249" s="104" t="s">
        <v>1290</v>
      </c>
      <c r="F1249" s="104" t="s">
        <v>4048</v>
      </c>
      <c r="G1249" s="150">
        <f>+3</f>
        <v>3</v>
      </c>
      <c r="H1249" s="104">
        <v>3.0</v>
      </c>
    </row>
    <row r="1250">
      <c r="A1250" s="104" t="s">
        <v>4049</v>
      </c>
      <c r="B1250" s="104" t="s">
        <v>168</v>
      </c>
      <c r="C1250" s="104" t="s">
        <v>535</v>
      </c>
      <c r="D1250" s="104" t="s">
        <v>4050</v>
      </c>
      <c r="E1250" s="104" t="s">
        <v>1276</v>
      </c>
      <c r="F1250" s="104" t="s">
        <v>4051</v>
      </c>
      <c r="G1250" s="150">
        <f>+1</f>
        <v>1</v>
      </c>
      <c r="H1250" s="104">
        <v>1.0</v>
      </c>
    </row>
    <row r="1251">
      <c r="A1251" s="104" t="s">
        <v>4052</v>
      </c>
      <c r="B1251" s="104" t="s">
        <v>261</v>
      </c>
      <c r="C1251" s="104" t="s">
        <v>535</v>
      </c>
      <c r="D1251" s="104" t="s">
        <v>4053</v>
      </c>
      <c r="E1251" s="104" t="s">
        <v>1290</v>
      </c>
      <c r="F1251" s="104" t="s">
        <v>4054</v>
      </c>
      <c r="G1251" s="150">
        <f>+3</f>
        <v>3</v>
      </c>
      <c r="H1251" s="104">
        <v>3.0</v>
      </c>
    </row>
    <row r="1252">
      <c r="A1252" s="104" t="s">
        <v>4055</v>
      </c>
      <c r="B1252" s="104" t="s">
        <v>137</v>
      </c>
      <c r="C1252" s="104" t="s">
        <v>535</v>
      </c>
      <c r="D1252" s="104" t="s">
        <v>4056</v>
      </c>
      <c r="E1252" s="104" t="s">
        <v>1335</v>
      </c>
      <c r="F1252" s="104" t="s">
        <v>4057</v>
      </c>
      <c r="G1252" s="150">
        <f>+2</f>
        <v>2</v>
      </c>
      <c r="H1252" s="104">
        <v>2.0</v>
      </c>
    </row>
    <row r="1253">
      <c r="A1253" s="104" t="s">
        <v>4058</v>
      </c>
      <c r="B1253" s="104" t="s">
        <v>237</v>
      </c>
      <c r="C1253" s="104" t="s">
        <v>535</v>
      </c>
      <c r="D1253" s="104" t="s">
        <v>4059</v>
      </c>
      <c r="E1253" s="104" t="s">
        <v>1271</v>
      </c>
      <c r="F1253" s="104" t="s">
        <v>4060</v>
      </c>
      <c r="G1253" s="104" t="s">
        <v>1273</v>
      </c>
      <c r="H1253" s="104">
        <v>0.0</v>
      </c>
    </row>
    <row r="1254">
      <c r="A1254" s="104" t="s">
        <v>4061</v>
      </c>
      <c r="B1254" s="104" t="s">
        <v>288</v>
      </c>
      <c r="C1254" s="104" t="s">
        <v>535</v>
      </c>
      <c r="D1254" s="104" t="s">
        <v>4062</v>
      </c>
      <c r="E1254" s="104" t="s">
        <v>1328</v>
      </c>
      <c r="F1254" s="104" t="s">
        <v>4063</v>
      </c>
      <c r="G1254" s="104">
        <v>-3.0</v>
      </c>
      <c r="H1254" s="104">
        <v>-3.0</v>
      </c>
    </row>
    <row r="1255">
      <c r="A1255" s="104" t="s">
        <v>4064</v>
      </c>
      <c r="B1255" s="104" t="s">
        <v>190</v>
      </c>
      <c r="C1255" s="104" t="s">
        <v>535</v>
      </c>
      <c r="D1255" s="104" t="s">
        <v>4065</v>
      </c>
      <c r="E1255" s="104" t="s">
        <v>1271</v>
      </c>
      <c r="F1255" s="104" t="s">
        <v>4066</v>
      </c>
      <c r="G1255" s="104" t="s">
        <v>1273</v>
      </c>
      <c r="H1255" s="104">
        <v>0.0</v>
      </c>
    </row>
    <row r="1256">
      <c r="A1256" s="104" t="s">
        <v>4067</v>
      </c>
      <c r="B1256" s="104" t="s">
        <v>132</v>
      </c>
      <c r="C1256" s="104" t="s">
        <v>535</v>
      </c>
      <c r="D1256" s="104" t="s">
        <v>4068</v>
      </c>
      <c r="E1256" s="104" t="s">
        <v>1271</v>
      </c>
      <c r="F1256" s="104" t="s">
        <v>4069</v>
      </c>
      <c r="G1256" s="104" t="s">
        <v>1273</v>
      </c>
      <c r="H1256" s="104">
        <v>0.0</v>
      </c>
    </row>
    <row r="1257">
      <c r="A1257" s="104" t="s">
        <v>4070</v>
      </c>
      <c r="B1257" s="104" t="s">
        <v>212</v>
      </c>
      <c r="C1257" s="104" t="s">
        <v>535</v>
      </c>
      <c r="D1257" s="104" t="s">
        <v>4071</v>
      </c>
      <c r="E1257" s="104" t="s">
        <v>1271</v>
      </c>
      <c r="F1257" s="104" t="s">
        <v>4072</v>
      </c>
      <c r="G1257" s="104" t="s">
        <v>1273</v>
      </c>
      <c r="H1257" s="104">
        <v>0.0</v>
      </c>
    </row>
    <row r="1258">
      <c r="A1258" s="104" t="s">
        <v>4073</v>
      </c>
      <c r="B1258" s="104" t="s">
        <v>143</v>
      </c>
      <c r="C1258" s="104" t="s">
        <v>535</v>
      </c>
      <c r="D1258" s="104" t="s">
        <v>4074</v>
      </c>
      <c r="E1258" s="104" t="s">
        <v>1283</v>
      </c>
      <c r="F1258" s="104" t="s">
        <v>4075</v>
      </c>
      <c r="G1258" s="104">
        <v>-1.0</v>
      </c>
      <c r="H1258" s="104">
        <v>-1.0</v>
      </c>
    </row>
    <row r="1259">
      <c r="A1259" s="104" t="s">
        <v>4076</v>
      </c>
      <c r="B1259" s="104" t="s">
        <v>288</v>
      </c>
      <c r="C1259" s="104" t="s">
        <v>535</v>
      </c>
      <c r="D1259" s="104" t="s">
        <v>4077</v>
      </c>
      <c r="E1259" s="104" t="s">
        <v>1271</v>
      </c>
      <c r="F1259" s="104" t="s">
        <v>4078</v>
      </c>
      <c r="G1259" s="104" t="s">
        <v>1273</v>
      </c>
      <c r="H1259" s="104">
        <v>0.0</v>
      </c>
    </row>
    <row r="1260">
      <c r="A1260" s="104" t="s">
        <v>4079</v>
      </c>
      <c r="B1260" s="104" t="s">
        <v>285</v>
      </c>
      <c r="C1260" s="104" t="s">
        <v>535</v>
      </c>
      <c r="D1260" s="104" t="s">
        <v>4080</v>
      </c>
      <c r="E1260" s="104" t="s">
        <v>1328</v>
      </c>
      <c r="F1260" s="104" t="s">
        <v>4081</v>
      </c>
      <c r="G1260" s="104">
        <v>-3.0</v>
      </c>
      <c r="H1260" s="104">
        <v>-3.0</v>
      </c>
    </row>
    <row r="1261">
      <c r="A1261" s="104" t="s">
        <v>4082</v>
      </c>
      <c r="B1261" s="104" t="s">
        <v>253</v>
      </c>
      <c r="C1261" s="104" t="s">
        <v>535</v>
      </c>
      <c r="D1261" s="104" t="s">
        <v>4083</v>
      </c>
      <c r="E1261" s="104" t="s">
        <v>1271</v>
      </c>
      <c r="F1261" s="104" t="s">
        <v>4084</v>
      </c>
      <c r="G1261" s="104" t="s">
        <v>1273</v>
      </c>
      <c r="H1261" s="104">
        <v>0.0</v>
      </c>
    </row>
    <row r="1262">
      <c r="A1262" s="104" t="s">
        <v>4085</v>
      </c>
      <c r="B1262" s="104" t="s">
        <v>138</v>
      </c>
      <c r="C1262" s="104" t="s">
        <v>535</v>
      </c>
      <c r="D1262" s="104" t="s">
        <v>4086</v>
      </c>
      <c r="E1262" s="104" t="s">
        <v>1271</v>
      </c>
      <c r="F1262" s="104" t="s">
        <v>4087</v>
      </c>
      <c r="G1262" s="104" t="s">
        <v>1273</v>
      </c>
      <c r="H1262" s="104">
        <v>0.0</v>
      </c>
    </row>
    <row r="1263">
      <c r="A1263" s="104" t="s">
        <v>4088</v>
      </c>
      <c r="B1263" s="104" t="s">
        <v>183</v>
      </c>
      <c r="C1263" s="104" t="s">
        <v>535</v>
      </c>
      <c r="D1263" s="104" t="s">
        <v>4089</v>
      </c>
      <c r="E1263" s="104" t="s">
        <v>1290</v>
      </c>
      <c r="F1263" s="104" t="s">
        <v>4090</v>
      </c>
      <c r="G1263" s="150">
        <f>+3</f>
        <v>3</v>
      </c>
      <c r="H1263" s="104">
        <v>3.0</v>
      </c>
    </row>
    <row r="1264">
      <c r="A1264" s="104" t="s">
        <v>4091</v>
      </c>
      <c r="B1264" s="104" t="s">
        <v>261</v>
      </c>
      <c r="C1264" s="104" t="s">
        <v>535</v>
      </c>
      <c r="D1264" s="104" t="s">
        <v>4092</v>
      </c>
      <c r="E1264" s="104" t="s">
        <v>1271</v>
      </c>
      <c r="F1264" s="104" t="s">
        <v>4093</v>
      </c>
      <c r="G1264" s="104" t="s">
        <v>1273</v>
      </c>
      <c r="H1264" s="104">
        <v>0.0</v>
      </c>
    </row>
    <row r="1265">
      <c r="A1265" s="104" t="s">
        <v>4094</v>
      </c>
      <c r="B1265" s="104" t="s">
        <v>196</v>
      </c>
      <c r="C1265" s="104" t="s">
        <v>535</v>
      </c>
      <c r="D1265" s="104" t="s">
        <v>4095</v>
      </c>
      <c r="E1265" s="104" t="s">
        <v>1290</v>
      </c>
      <c r="F1265" s="104" t="s">
        <v>4096</v>
      </c>
      <c r="G1265" s="150">
        <f>+3</f>
        <v>3</v>
      </c>
      <c r="H1265" s="104">
        <v>3.0</v>
      </c>
    </row>
    <row r="1266">
      <c r="A1266" s="104" t="s">
        <v>4097</v>
      </c>
      <c r="B1266" s="104" t="s">
        <v>269</v>
      </c>
      <c r="C1266" s="104" t="s">
        <v>535</v>
      </c>
      <c r="D1266" s="104" t="s">
        <v>4098</v>
      </c>
      <c r="E1266" s="104" t="s">
        <v>1328</v>
      </c>
      <c r="F1266" s="104" t="s">
        <v>4099</v>
      </c>
      <c r="G1266" s="104">
        <v>-3.0</v>
      </c>
      <c r="H1266" s="104">
        <v>-3.0</v>
      </c>
    </row>
    <row r="1267">
      <c r="A1267" s="104" t="s">
        <v>4100</v>
      </c>
      <c r="B1267" s="104" t="s">
        <v>128</v>
      </c>
      <c r="C1267" s="104" t="s">
        <v>535</v>
      </c>
      <c r="D1267" s="104" t="s">
        <v>4101</v>
      </c>
      <c r="E1267" s="104" t="s">
        <v>1283</v>
      </c>
      <c r="F1267" s="104" t="s">
        <v>4102</v>
      </c>
      <c r="G1267" s="104">
        <v>-1.0</v>
      </c>
      <c r="H1267" s="104">
        <v>-1.0</v>
      </c>
    </row>
    <row r="1268">
      <c r="A1268" s="104" t="s">
        <v>4103</v>
      </c>
      <c r="B1268" s="104" t="s">
        <v>219</v>
      </c>
      <c r="C1268" s="104" t="s">
        <v>535</v>
      </c>
      <c r="D1268" s="104" t="s">
        <v>4104</v>
      </c>
      <c r="E1268" s="104" t="s">
        <v>1276</v>
      </c>
      <c r="F1268" s="104" t="s">
        <v>4105</v>
      </c>
      <c r="G1268" s="150">
        <f t="shared" ref="G1268:G1269" si="46">+1</f>
        <v>1</v>
      </c>
      <c r="H1268" s="104">
        <v>1.0</v>
      </c>
    </row>
    <row r="1269">
      <c r="A1269" s="104" t="s">
        <v>4106</v>
      </c>
      <c r="B1269" s="104" t="s">
        <v>289</v>
      </c>
      <c r="C1269" s="104" t="s">
        <v>535</v>
      </c>
      <c r="D1269" s="104" t="s">
        <v>4107</v>
      </c>
      <c r="E1269" s="104" t="s">
        <v>1276</v>
      </c>
      <c r="F1269" s="104" t="s">
        <v>4108</v>
      </c>
      <c r="G1269" s="150">
        <f t="shared" si="46"/>
        <v>1</v>
      </c>
      <c r="H1269" s="104">
        <v>1.0</v>
      </c>
    </row>
    <row r="1270">
      <c r="A1270" s="104" t="s">
        <v>4109</v>
      </c>
      <c r="B1270" s="104" t="s">
        <v>293</v>
      </c>
      <c r="C1270" s="104" t="s">
        <v>535</v>
      </c>
      <c r="D1270" s="104" t="s">
        <v>4110</v>
      </c>
      <c r="E1270" s="104" t="s">
        <v>1335</v>
      </c>
      <c r="F1270" s="104" t="s">
        <v>4111</v>
      </c>
      <c r="G1270" s="150">
        <f>+2</f>
        <v>2</v>
      </c>
      <c r="H1270" s="104">
        <v>2.0</v>
      </c>
    </row>
    <row r="1271">
      <c r="A1271" s="104" t="s">
        <v>4112</v>
      </c>
      <c r="B1271" s="104" t="s">
        <v>150</v>
      </c>
      <c r="C1271" s="104" t="s">
        <v>535</v>
      </c>
      <c r="D1271" s="104" t="s">
        <v>4113</v>
      </c>
      <c r="E1271" s="104" t="s">
        <v>1276</v>
      </c>
      <c r="F1271" s="104" t="s">
        <v>4114</v>
      </c>
      <c r="G1271" s="150">
        <f>+1</f>
        <v>1</v>
      </c>
      <c r="H1271" s="104">
        <v>1.0</v>
      </c>
    </row>
    <row r="1272">
      <c r="A1272" s="104" t="s">
        <v>4115</v>
      </c>
      <c r="B1272" s="104" t="s">
        <v>243</v>
      </c>
      <c r="C1272" s="104" t="s">
        <v>535</v>
      </c>
      <c r="D1272" s="104" t="s">
        <v>4116</v>
      </c>
      <c r="E1272" s="104" t="s">
        <v>1328</v>
      </c>
      <c r="F1272" s="104" t="s">
        <v>4117</v>
      </c>
      <c r="G1272" s="104">
        <v>-3.0</v>
      </c>
      <c r="H1272" s="104">
        <v>-3.0</v>
      </c>
    </row>
    <row r="1273">
      <c r="A1273" s="104" t="s">
        <v>4118</v>
      </c>
      <c r="B1273" s="104" t="s">
        <v>253</v>
      </c>
      <c r="C1273" s="104" t="s">
        <v>535</v>
      </c>
      <c r="D1273" s="104" t="s">
        <v>4119</v>
      </c>
      <c r="E1273" s="104" t="s">
        <v>1335</v>
      </c>
      <c r="F1273" s="104" t="s">
        <v>4120</v>
      </c>
      <c r="G1273" s="150">
        <f>+2</f>
        <v>2</v>
      </c>
      <c r="H1273" s="104">
        <v>2.0</v>
      </c>
    </row>
    <row r="1274">
      <c r="A1274" s="104" t="s">
        <v>4121</v>
      </c>
      <c r="B1274" s="104" t="s">
        <v>226</v>
      </c>
      <c r="C1274" s="104" t="s">
        <v>535</v>
      </c>
      <c r="D1274" s="104" t="s">
        <v>4122</v>
      </c>
      <c r="E1274" s="104" t="s">
        <v>1271</v>
      </c>
      <c r="F1274" s="104" t="s">
        <v>4123</v>
      </c>
      <c r="G1274" s="104" t="s">
        <v>1273</v>
      </c>
      <c r="H1274" s="104">
        <v>0.0</v>
      </c>
    </row>
    <row r="1275">
      <c r="A1275" s="104" t="s">
        <v>4124</v>
      </c>
      <c r="B1275" s="104" t="s">
        <v>269</v>
      </c>
      <c r="C1275" s="104" t="s">
        <v>535</v>
      </c>
      <c r="D1275" s="104" t="s">
        <v>4125</v>
      </c>
      <c r="E1275" s="104" t="s">
        <v>1271</v>
      </c>
      <c r="F1275" s="104" t="s">
        <v>4126</v>
      </c>
      <c r="G1275" s="104" t="s">
        <v>1273</v>
      </c>
      <c r="H1275" s="104">
        <v>0.0</v>
      </c>
    </row>
    <row r="1276">
      <c r="A1276" s="104" t="s">
        <v>4127</v>
      </c>
      <c r="B1276" s="104" t="s">
        <v>196</v>
      </c>
      <c r="C1276" s="104" t="s">
        <v>535</v>
      </c>
      <c r="D1276" s="104" t="s">
        <v>4128</v>
      </c>
      <c r="E1276" s="104" t="s">
        <v>1271</v>
      </c>
      <c r="F1276" s="104" t="s">
        <v>4129</v>
      </c>
      <c r="G1276" s="104" t="s">
        <v>1273</v>
      </c>
      <c r="H1276" s="104">
        <v>0.0</v>
      </c>
    </row>
    <row r="1277">
      <c r="A1277" s="104" t="s">
        <v>4130</v>
      </c>
      <c r="B1277" s="104" t="s">
        <v>228</v>
      </c>
      <c r="C1277" s="104" t="s">
        <v>535</v>
      </c>
      <c r="D1277" s="104" t="s">
        <v>4131</v>
      </c>
      <c r="E1277" s="104" t="s">
        <v>1328</v>
      </c>
      <c r="F1277" s="104" t="s">
        <v>4132</v>
      </c>
      <c r="G1277" s="104">
        <v>-3.0</v>
      </c>
      <c r="H1277" s="104">
        <v>-3.0</v>
      </c>
    </row>
    <row r="1278">
      <c r="A1278" s="104" t="s">
        <v>4133</v>
      </c>
      <c r="B1278" s="104" t="s">
        <v>294</v>
      </c>
      <c r="C1278" s="104" t="s">
        <v>535</v>
      </c>
      <c r="D1278" s="104" t="s">
        <v>4134</v>
      </c>
      <c r="E1278" s="104" t="s">
        <v>1283</v>
      </c>
      <c r="F1278" s="104" t="s">
        <v>4135</v>
      </c>
      <c r="G1278" s="104">
        <v>-1.0</v>
      </c>
      <c r="H1278" s="104">
        <v>-1.0</v>
      </c>
    </row>
    <row r="1279">
      <c r="A1279" s="104" t="s">
        <v>4136</v>
      </c>
      <c r="B1279" s="104" t="s">
        <v>269</v>
      </c>
      <c r="C1279" s="104" t="s">
        <v>535</v>
      </c>
      <c r="D1279" s="104" t="s">
        <v>4137</v>
      </c>
      <c r="E1279" s="104" t="s">
        <v>1300</v>
      </c>
      <c r="F1279" s="104" t="s">
        <v>4138</v>
      </c>
      <c r="G1279" s="104">
        <v>-2.0</v>
      </c>
      <c r="H1279" s="104">
        <v>-2.0</v>
      </c>
    </row>
    <row r="1280">
      <c r="A1280" s="104" t="s">
        <v>4139</v>
      </c>
      <c r="B1280" s="104" t="s">
        <v>293</v>
      </c>
      <c r="C1280" s="104" t="s">
        <v>535</v>
      </c>
      <c r="D1280" s="104" t="s">
        <v>4140</v>
      </c>
      <c r="E1280" s="104" t="s">
        <v>1271</v>
      </c>
      <c r="F1280" s="104" t="s">
        <v>4141</v>
      </c>
      <c r="G1280" s="104" t="s">
        <v>1273</v>
      </c>
      <c r="H1280" s="104">
        <v>0.0</v>
      </c>
    </row>
    <row r="1281">
      <c r="A1281" s="104" t="s">
        <v>4142</v>
      </c>
      <c r="B1281" s="104" t="s">
        <v>269</v>
      </c>
      <c r="C1281" s="104" t="s">
        <v>535</v>
      </c>
      <c r="D1281" s="104" t="s">
        <v>4143</v>
      </c>
      <c r="E1281" s="104" t="s">
        <v>1271</v>
      </c>
      <c r="F1281" s="104" t="s">
        <v>4144</v>
      </c>
      <c r="G1281" s="104" t="s">
        <v>1273</v>
      </c>
      <c r="H1281" s="104">
        <v>0.0</v>
      </c>
    </row>
    <row r="1282">
      <c r="A1282" s="104" t="s">
        <v>4145</v>
      </c>
      <c r="B1282" s="104" t="s">
        <v>294</v>
      </c>
      <c r="C1282" s="104" t="s">
        <v>535</v>
      </c>
      <c r="D1282" s="104" t="s">
        <v>4146</v>
      </c>
      <c r="E1282" s="104" t="s">
        <v>1300</v>
      </c>
      <c r="F1282" s="104" t="s">
        <v>4147</v>
      </c>
      <c r="G1282" s="104">
        <v>-2.0</v>
      </c>
      <c r="H1282" s="104">
        <v>-2.0</v>
      </c>
    </row>
    <row r="1283">
      <c r="A1283" s="104" t="s">
        <v>4148</v>
      </c>
      <c r="B1283" s="104" t="s">
        <v>150</v>
      </c>
      <c r="C1283" s="104" t="s">
        <v>535</v>
      </c>
      <c r="D1283" s="104" t="s">
        <v>4149</v>
      </c>
      <c r="E1283" s="104" t="s">
        <v>1276</v>
      </c>
      <c r="F1283" s="104" t="s">
        <v>4150</v>
      </c>
      <c r="G1283" s="150">
        <f>+1</f>
        <v>1</v>
      </c>
      <c r="H1283" s="104">
        <v>1.0</v>
      </c>
    </row>
    <row r="1284">
      <c r="A1284" s="104" t="s">
        <v>4151</v>
      </c>
      <c r="B1284" s="104" t="s">
        <v>159</v>
      </c>
      <c r="C1284" s="104" t="s">
        <v>535</v>
      </c>
      <c r="D1284" s="104" t="s">
        <v>4152</v>
      </c>
      <c r="E1284" s="104" t="s">
        <v>1271</v>
      </c>
      <c r="F1284" s="104" t="s">
        <v>4153</v>
      </c>
      <c r="G1284" s="104" t="s">
        <v>1273</v>
      </c>
      <c r="H1284" s="104">
        <v>0.0</v>
      </c>
    </row>
    <row r="1285">
      <c r="A1285" s="104" t="s">
        <v>4154</v>
      </c>
      <c r="B1285" s="104" t="s">
        <v>150</v>
      </c>
      <c r="C1285" s="104" t="s">
        <v>535</v>
      </c>
      <c r="D1285" s="104" t="s">
        <v>4155</v>
      </c>
      <c r="E1285" s="104" t="s">
        <v>1300</v>
      </c>
      <c r="F1285" s="104" t="s">
        <v>4156</v>
      </c>
      <c r="G1285" s="104">
        <v>-2.0</v>
      </c>
      <c r="H1285" s="104">
        <v>-2.0</v>
      </c>
    </row>
    <row r="1286">
      <c r="A1286" s="104" t="s">
        <v>4157</v>
      </c>
      <c r="B1286" s="104" t="s">
        <v>231</v>
      </c>
      <c r="C1286" s="104" t="s">
        <v>535</v>
      </c>
      <c r="D1286" s="104" t="s">
        <v>4158</v>
      </c>
      <c r="E1286" s="104" t="s">
        <v>1271</v>
      </c>
      <c r="F1286" s="104" t="s">
        <v>4159</v>
      </c>
      <c r="G1286" s="104" t="s">
        <v>1273</v>
      </c>
      <c r="H1286" s="104">
        <v>0.0</v>
      </c>
    </row>
    <row r="1287">
      <c r="A1287" s="104" t="s">
        <v>4160</v>
      </c>
      <c r="B1287" s="104" t="s">
        <v>231</v>
      </c>
      <c r="C1287" s="104" t="s">
        <v>535</v>
      </c>
      <c r="D1287" s="104" t="s">
        <v>4161</v>
      </c>
      <c r="E1287" s="104" t="s">
        <v>1300</v>
      </c>
      <c r="F1287" s="104" t="s">
        <v>4162</v>
      </c>
      <c r="G1287" s="104">
        <v>-2.0</v>
      </c>
      <c r="H1287" s="104">
        <v>-2.0</v>
      </c>
    </row>
    <row r="1288">
      <c r="A1288" s="104" t="s">
        <v>4163</v>
      </c>
      <c r="B1288" s="104" t="s">
        <v>159</v>
      </c>
      <c r="C1288" s="104" t="s">
        <v>535</v>
      </c>
      <c r="D1288" s="104" t="s">
        <v>4164</v>
      </c>
      <c r="E1288" s="104" t="s">
        <v>1300</v>
      </c>
      <c r="F1288" s="104" t="s">
        <v>4165</v>
      </c>
      <c r="G1288" s="104">
        <v>-2.0</v>
      </c>
      <c r="H1288" s="104">
        <v>-2.0</v>
      </c>
    </row>
    <row r="1289">
      <c r="A1289" s="104" t="s">
        <v>4166</v>
      </c>
      <c r="B1289" s="104" t="s">
        <v>289</v>
      </c>
      <c r="C1289" s="104" t="s">
        <v>535</v>
      </c>
      <c r="D1289" s="104" t="s">
        <v>4167</v>
      </c>
      <c r="E1289" s="104" t="s">
        <v>1271</v>
      </c>
      <c r="F1289" s="104" t="s">
        <v>4168</v>
      </c>
      <c r="G1289" s="104" t="s">
        <v>1273</v>
      </c>
      <c r="H1289" s="104">
        <v>0.0</v>
      </c>
    </row>
    <row r="1290">
      <c r="A1290" s="104" t="s">
        <v>4169</v>
      </c>
      <c r="B1290" s="104" t="s">
        <v>204</v>
      </c>
      <c r="C1290" s="104" t="s">
        <v>535</v>
      </c>
      <c r="D1290" s="104" t="s">
        <v>4170</v>
      </c>
      <c r="E1290" s="104" t="s">
        <v>1271</v>
      </c>
      <c r="F1290" s="104" t="s">
        <v>4171</v>
      </c>
      <c r="G1290" s="104" t="s">
        <v>1273</v>
      </c>
      <c r="H1290" s="104">
        <v>0.0</v>
      </c>
    </row>
    <row r="1291">
      <c r="A1291" s="104" t="s">
        <v>4172</v>
      </c>
      <c r="B1291" s="104" t="s">
        <v>208</v>
      </c>
      <c r="C1291" s="104" t="s">
        <v>535</v>
      </c>
      <c r="D1291" s="104" t="s">
        <v>4173</v>
      </c>
      <c r="E1291" s="104" t="s">
        <v>1271</v>
      </c>
      <c r="F1291" s="104" t="s">
        <v>4174</v>
      </c>
      <c r="G1291" s="104" t="s">
        <v>1273</v>
      </c>
      <c r="H1291" s="104">
        <v>0.0</v>
      </c>
    </row>
    <row r="1292">
      <c r="A1292" s="104" t="s">
        <v>4175</v>
      </c>
      <c r="B1292" s="104" t="s">
        <v>231</v>
      </c>
      <c r="C1292" s="104" t="s">
        <v>535</v>
      </c>
      <c r="D1292" s="104" t="s">
        <v>4176</v>
      </c>
      <c r="E1292" s="104" t="s">
        <v>1271</v>
      </c>
      <c r="F1292" s="104" t="s">
        <v>4177</v>
      </c>
      <c r="G1292" s="104" t="s">
        <v>1273</v>
      </c>
      <c r="H1292" s="104">
        <v>0.0</v>
      </c>
    </row>
    <row r="1293">
      <c r="A1293" s="104" t="s">
        <v>4178</v>
      </c>
      <c r="B1293" s="104" t="s">
        <v>222</v>
      </c>
      <c r="C1293" s="104" t="s">
        <v>535</v>
      </c>
      <c r="D1293" s="104" t="s">
        <v>4179</v>
      </c>
      <c r="E1293" s="104" t="s">
        <v>1276</v>
      </c>
      <c r="F1293" s="104" t="s">
        <v>4180</v>
      </c>
      <c r="G1293" s="150">
        <f>+1</f>
        <v>1</v>
      </c>
      <c r="H1293" s="104">
        <v>1.0</v>
      </c>
    </row>
    <row r="1294">
      <c r="A1294" s="104" t="s">
        <v>4181</v>
      </c>
      <c r="B1294" s="104" t="s">
        <v>144</v>
      </c>
      <c r="C1294" s="104" t="s">
        <v>535</v>
      </c>
      <c r="D1294" s="104" t="s">
        <v>4182</v>
      </c>
      <c r="E1294" s="104" t="s">
        <v>1271</v>
      </c>
      <c r="F1294" s="104" t="s">
        <v>4183</v>
      </c>
      <c r="G1294" s="104" t="s">
        <v>1273</v>
      </c>
      <c r="H1294" s="104">
        <v>0.0</v>
      </c>
    </row>
    <row r="1295">
      <c r="A1295" s="104" t="s">
        <v>4184</v>
      </c>
      <c r="B1295" s="104" t="s">
        <v>146</v>
      </c>
      <c r="C1295" s="104" t="s">
        <v>535</v>
      </c>
      <c r="D1295" s="104" t="s">
        <v>4185</v>
      </c>
      <c r="E1295" s="104" t="s">
        <v>1271</v>
      </c>
      <c r="F1295" s="104" t="s">
        <v>4186</v>
      </c>
      <c r="G1295" s="104" t="s">
        <v>1273</v>
      </c>
      <c r="H1295" s="104">
        <v>0.0</v>
      </c>
    </row>
    <row r="1296">
      <c r="A1296" s="104" t="s">
        <v>4187</v>
      </c>
      <c r="B1296" s="104" t="s">
        <v>222</v>
      </c>
      <c r="C1296" s="104" t="s">
        <v>535</v>
      </c>
      <c r="D1296" s="104" t="s">
        <v>4188</v>
      </c>
      <c r="E1296" s="104" t="s">
        <v>1271</v>
      </c>
      <c r="F1296" s="104" t="s">
        <v>4189</v>
      </c>
      <c r="G1296" s="104" t="s">
        <v>1273</v>
      </c>
      <c r="H1296" s="104">
        <v>0.0</v>
      </c>
    </row>
    <row r="1297">
      <c r="A1297" s="104" t="s">
        <v>4190</v>
      </c>
      <c r="B1297" s="104" t="s">
        <v>226</v>
      </c>
      <c r="C1297" s="104" t="s">
        <v>535</v>
      </c>
      <c r="D1297" s="104" t="s">
        <v>4191</v>
      </c>
      <c r="E1297" s="104" t="s">
        <v>1335</v>
      </c>
      <c r="F1297" s="104" t="s">
        <v>4192</v>
      </c>
      <c r="G1297" s="150">
        <f>+2</f>
        <v>2</v>
      </c>
      <c r="H1297" s="104">
        <v>2.0</v>
      </c>
    </row>
    <row r="1298">
      <c r="A1298" s="104" t="s">
        <v>4193</v>
      </c>
      <c r="B1298" s="104" t="s">
        <v>219</v>
      </c>
      <c r="C1298" s="104" t="s">
        <v>535</v>
      </c>
      <c r="D1298" s="104" t="s">
        <v>4194</v>
      </c>
      <c r="E1298" s="104" t="s">
        <v>1271</v>
      </c>
      <c r="F1298" s="104" t="s">
        <v>4195</v>
      </c>
      <c r="G1298" s="104" t="s">
        <v>1273</v>
      </c>
      <c r="H1298" s="104">
        <v>0.0</v>
      </c>
    </row>
    <row r="1299">
      <c r="A1299" s="104" t="s">
        <v>4196</v>
      </c>
      <c r="B1299" s="104" t="s">
        <v>257</v>
      </c>
      <c r="C1299" s="104" t="s">
        <v>535</v>
      </c>
      <c r="D1299" s="104" t="s">
        <v>4197</v>
      </c>
      <c r="E1299" s="104" t="s">
        <v>1283</v>
      </c>
      <c r="F1299" s="104" t="s">
        <v>4198</v>
      </c>
      <c r="G1299" s="104">
        <v>-1.0</v>
      </c>
      <c r="H1299" s="104">
        <v>-1.0</v>
      </c>
    </row>
    <row r="1300">
      <c r="A1300" s="104" t="s">
        <v>4199</v>
      </c>
      <c r="B1300" s="104" t="s">
        <v>115</v>
      </c>
      <c r="C1300" s="104" t="s">
        <v>535</v>
      </c>
      <c r="D1300" s="104" t="s">
        <v>4200</v>
      </c>
      <c r="E1300" s="104" t="s">
        <v>1335</v>
      </c>
      <c r="F1300" s="104" t="s">
        <v>4201</v>
      </c>
      <c r="G1300" s="150">
        <f>+2</f>
        <v>2</v>
      </c>
      <c r="H1300" s="104">
        <v>2.0</v>
      </c>
    </row>
    <row r="1301">
      <c r="A1301" s="104" t="s">
        <v>4202</v>
      </c>
      <c r="B1301" s="104" t="s">
        <v>280</v>
      </c>
      <c r="C1301" s="104" t="s">
        <v>535</v>
      </c>
      <c r="D1301" s="104" t="s">
        <v>4203</v>
      </c>
      <c r="E1301" s="104" t="s">
        <v>1271</v>
      </c>
      <c r="F1301" s="104" t="s">
        <v>4204</v>
      </c>
      <c r="G1301" s="104" t="s">
        <v>1273</v>
      </c>
      <c r="H1301" s="104">
        <v>0.0</v>
      </c>
    </row>
    <row r="1302">
      <c r="A1302" s="104" t="s">
        <v>4205</v>
      </c>
      <c r="B1302" s="104" t="s">
        <v>281</v>
      </c>
      <c r="C1302" s="104" t="s">
        <v>535</v>
      </c>
      <c r="D1302" s="104" t="s">
        <v>4206</v>
      </c>
      <c r="E1302" s="104" t="s">
        <v>1276</v>
      </c>
      <c r="F1302" s="104" t="s">
        <v>4207</v>
      </c>
      <c r="G1302" s="150">
        <f>+1</f>
        <v>1</v>
      </c>
      <c r="H1302" s="104">
        <v>1.0</v>
      </c>
    </row>
    <row r="1303">
      <c r="A1303" s="104" t="s">
        <v>4208</v>
      </c>
      <c r="B1303" s="104" t="s">
        <v>89</v>
      </c>
      <c r="C1303" s="104" t="s">
        <v>535</v>
      </c>
      <c r="D1303" s="104" t="s">
        <v>4209</v>
      </c>
      <c r="E1303" s="104" t="s">
        <v>1271</v>
      </c>
      <c r="F1303" s="104" t="s">
        <v>4210</v>
      </c>
      <c r="G1303" s="104" t="s">
        <v>1273</v>
      </c>
      <c r="H1303" s="104">
        <v>0.0</v>
      </c>
    </row>
    <row r="1304">
      <c r="A1304" s="104" t="s">
        <v>4211</v>
      </c>
      <c r="B1304" s="104" t="s">
        <v>89</v>
      </c>
      <c r="C1304" s="104" t="s">
        <v>535</v>
      </c>
      <c r="D1304" s="104" t="s">
        <v>4212</v>
      </c>
      <c r="E1304" s="104" t="s">
        <v>1328</v>
      </c>
      <c r="F1304" s="104" t="s">
        <v>4213</v>
      </c>
      <c r="G1304" s="104">
        <v>-3.0</v>
      </c>
      <c r="H1304" s="104">
        <v>-3.0</v>
      </c>
    </row>
    <row r="1305">
      <c r="A1305" s="104" t="s">
        <v>4214</v>
      </c>
      <c r="B1305" s="104" t="s">
        <v>302</v>
      </c>
      <c r="C1305" s="104" t="s">
        <v>535</v>
      </c>
      <c r="D1305" s="104" t="s">
        <v>4215</v>
      </c>
      <c r="E1305" s="104" t="s">
        <v>1335</v>
      </c>
      <c r="F1305" s="104" t="s">
        <v>4216</v>
      </c>
      <c r="G1305" s="150">
        <f>+2</f>
        <v>2</v>
      </c>
      <c r="H1305" s="104">
        <v>2.0</v>
      </c>
    </row>
    <row r="1306">
      <c r="A1306" s="104" t="s">
        <v>4217</v>
      </c>
      <c r="B1306" s="104" t="s">
        <v>235</v>
      </c>
      <c r="C1306" s="104" t="s">
        <v>535</v>
      </c>
      <c r="D1306" s="104" t="s">
        <v>4218</v>
      </c>
      <c r="E1306" s="104" t="s">
        <v>1271</v>
      </c>
      <c r="F1306" s="104" t="s">
        <v>4219</v>
      </c>
      <c r="G1306" s="104" t="s">
        <v>1273</v>
      </c>
      <c r="H1306" s="104">
        <v>0.0</v>
      </c>
    </row>
    <row r="1307">
      <c r="A1307" s="104" t="s">
        <v>4220</v>
      </c>
      <c r="B1307" s="104" t="s">
        <v>198</v>
      </c>
      <c r="C1307" s="104" t="s">
        <v>535</v>
      </c>
      <c r="D1307" s="104" t="s">
        <v>4221</v>
      </c>
      <c r="E1307" s="104" t="s">
        <v>1335</v>
      </c>
      <c r="F1307" s="104" t="s">
        <v>4222</v>
      </c>
      <c r="G1307" s="150">
        <f>+2</f>
        <v>2</v>
      </c>
      <c r="H1307" s="104">
        <v>2.0</v>
      </c>
    </row>
    <row r="1308">
      <c r="A1308" s="104" t="s">
        <v>4223</v>
      </c>
      <c r="B1308" s="104" t="s">
        <v>302</v>
      </c>
      <c r="C1308" s="104" t="s">
        <v>535</v>
      </c>
      <c r="D1308" s="104" t="s">
        <v>4224</v>
      </c>
      <c r="E1308" s="104" t="s">
        <v>1271</v>
      </c>
      <c r="F1308" s="104" t="s">
        <v>4225</v>
      </c>
      <c r="G1308" s="104" t="s">
        <v>1273</v>
      </c>
      <c r="H1308" s="104">
        <v>0.0</v>
      </c>
    </row>
    <row r="1309">
      <c r="A1309" s="104" t="s">
        <v>4226</v>
      </c>
      <c r="B1309" s="104" t="s">
        <v>232</v>
      </c>
      <c r="C1309" s="104" t="s">
        <v>535</v>
      </c>
      <c r="D1309" s="104" t="s">
        <v>4227</v>
      </c>
      <c r="E1309" s="104" t="s">
        <v>1271</v>
      </c>
      <c r="F1309" s="104" t="s">
        <v>4228</v>
      </c>
      <c r="G1309" s="104" t="s">
        <v>1273</v>
      </c>
      <c r="H1309" s="104">
        <v>0.0</v>
      </c>
    </row>
    <row r="1310">
      <c r="A1310" s="104" t="s">
        <v>4229</v>
      </c>
      <c r="B1310" s="104" t="s">
        <v>198</v>
      </c>
      <c r="C1310" s="104" t="s">
        <v>535</v>
      </c>
      <c r="D1310" s="104" t="s">
        <v>4230</v>
      </c>
      <c r="E1310" s="104" t="s">
        <v>1271</v>
      </c>
      <c r="F1310" s="104" t="s">
        <v>4231</v>
      </c>
      <c r="G1310" s="104" t="s">
        <v>1273</v>
      </c>
      <c r="H1310" s="104">
        <v>0.0</v>
      </c>
    </row>
    <row r="1311">
      <c r="A1311" s="104" t="s">
        <v>4232</v>
      </c>
      <c r="B1311" s="104" t="s">
        <v>278</v>
      </c>
      <c r="C1311" s="104" t="s">
        <v>535</v>
      </c>
      <c r="D1311" s="104" t="s">
        <v>4233</v>
      </c>
      <c r="E1311" s="104" t="s">
        <v>1283</v>
      </c>
      <c r="F1311" s="104" t="s">
        <v>4234</v>
      </c>
      <c r="G1311" s="104">
        <v>-1.0</v>
      </c>
      <c r="H1311" s="104">
        <v>-1.0</v>
      </c>
    </row>
    <row r="1312">
      <c r="A1312" s="104" t="s">
        <v>4235</v>
      </c>
      <c r="B1312" s="104" t="s">
        <v>200</v>
      </c>
      <c r="C1312" s="104" t="s">
        <v>535</v>
      </c>
      <c r="D1312" s="104" t="s">
        <v>4236</v>
      </c>
      <c r="E1312" s="104" t="s">
        <v>1271</v>
      </c>
      <c r="F1312" s="104" t="s">
        <v>4237</v>
      </c>
      <c r="G1312" s="104" t="s">
        <v>1273</v>
      </c>
      <c r="H1312" s="104">
        <v>0.0</v>
      </c>
    </row>
    <row r="1313">
      <c r="A1313" s="104" t="s">
        <v>4238</v>
      </c>
      <c r="B1313" s="104" t="s">
        <v>285</v>
      </c>
      <c r="C1313" s="104" t="s">
        <v>535</v>
      </c>
      <c r="D1313" s="104" t="s">
        <v>4239</v>
      </c>
      <c r="E1313" s="104" t="s">
        <v>1300</v>
      </c>
      <c r="F1313" s="104" t="s">
        <v>4240</v>
      </c>
      <c r="G1313" s="104">
        <v>-2.0</v>
      </c>
      <c r="H1313" s="104">
        <v>-2.0</v>
      </c>
    </row>
    <row r="1314">
      <c r="A1314" s="104" t="s">
        <v>4241</v>
      </c>
      <c r="B1314" s="104" t="s">
        <v>296</v>
      </c>
      <c r="C1314" s="104" t="s">
        <v>535</v>
      </c>
      <c r="D1314" s="104" t="s">
        <v>4242</v>
      </c>
      <c r="E1314" s="104" t="s">
        <v>1271</v>
      </c>
      <c r="F1314" s="104" t="s">
        <v>4243</v>
      </c>
      <c r="G1314" s="104" t="s">
        <v>1273</v>
      </c>
      <c r="H1314" s="104">
        <v>0.0</v>
      </c>
    </row>
    <row r="1315">
      <c r="A1315" s="104" t="s">
        <v>4244</v>
      </c>
      <c r="B1315" s="104" t="s">
        <v>293</v>
      </c>
      <c r="C1315" s="104" t="s">
        <v>535</v>
      </c>
      <c r="D1315" s="104" t="s">
        <v>4245</v>
      </c>
      <c r="E1315" s="104" t="s">
        <v>1283</v>
      </c>
      <c r="F1315" s="104" t="s">
        <v>4246</v>
      </c>
      <c r="G1315" s="104">
        <v>-1.0</v>
      </c>
      <c r="H1315" s="104">
        <v>-1.0</v>
      </c>
    </row>
    <row r="1316">
      <c r="A1316" s="104" t="s">
        <v>4247</v>
      </c>
      <c r="B1316" s="104" t="s">
        <v>291</v>
      </c>
      <c r="C1316" s="104" t="s">
        <v>535</v>
      </c>
      <c r="D1316" s="104" t="s">
        <v>4248</v>
      </c>
      <c r="E1316" s="104" t="s">
        <v>1271</v>
      </c>
      <c r="F1316" s="104" t="s">
        <v>4249</v>
      </c>
      <c r="G1316" s="104" t="s">
        <v>1273</v>
      </c>
      <c r="H1316" s="104">
        <v>0.0</v>
      </c>
    </row>
    <row r="1317">
      <c r="A1317" s="104" t="s">
        <v>4250</v>
      </c>
      <c r="B1317" s="104" t="s">
        <v>115</v>
      </c>
      <c r="C1317" s="104" t="s">
        <v>535</v>
      </c>
      <c r="D1317" s="104" t="s">
        <v>4252</v>
      </c>
      <c r="E1317" s="104" t="s">
        <v>1271</v>
      </c>
      <c r="F1317" s="104" t="s">
        <v>4253</v>
      </c>
      <c r="G1317" s="104" t="s">
        <v>1273</v>
      </c>
      <c r="H1317" s="104">
        <v>0.0</v>
      </c>
    </row>
    <row r="1318">
      <c r="A1318" s="104" t="s">
        <v>4254</v>
      </c>
      <c r="B1318" s="104" t="s">
        <v>291</v>
      </c>
      <c r="C1318" s="104" t="s">
        <v>535</v>
      </c>
      <c r="D1318" s="104" t="s">
        <v>4255</v>
      </c>
      <c r="E1318" s="104" t="s">
        <v>1276</v>
      </c>
      <c r="F1318" s="104" t="s">
        <v>4256</v>
      </c>
      <c r="G1318" s="150">
        <f>+1</f>
        <v>1</v>
      </c>
      <c r="H1318" s="104">
        <v>1.0</v>
      </c>
    </row>
    <row r="1319">
      <c r="A1319" s="104" t="s">
        <v>4257</v>
      </c>
      <c r="B1319" s="104" t="s">
        <v>291</v>
      </c>
      <c r="C1319" s="104" t="s">
        <v>535</v>
      </c>
      <c r="D1319" s="104" t="s">
        <v>4258</v>
      </c>
      <c r="E1319" s="104" t="s">
        <v>1271</v>
      </c>
      <c r="F1319" s="104" t="s">
        <v>4259</v>
      </c>
      <c r="G1319" s="104" t="s">
        <v>1273</v>
      </c>
      <c r="H1319" s="104">
        <v>0.0</v>
      </c>
    </row>
    <row r="1320">
      <c r="A1320" s="104" t="s">
        <v>4260</v>
      </c>
      <c r="B1320" s="104" t="s">
        <v>307</v>
      </c>
      <c r="C1320" s="104" t="s">
        <v>535</v>
      </c>
      <c r="D1320" s="104" t="s">
        <v>4261</v>
      </c>
      <c r="E1320" s="104" t="s">
        <v>1271</v>
      </c>
      <c r="F1320" s="104" t="s">
        <v>4262</v>
      </c>
      <c r="G1320" s="104" t="s">
        <v>1273</v>
      </c>
      <c r="H1320" s="104">
        <v>0.0</v>
      </c>
    </row>
    <row r="1321">
      <c r="A1321" s="104" t="s">
        <v>4264</v>
      </c>
      <c r="B1321" s="104" t="s">
        <v>178</v>
      </c>
      <c r="C1321" s="104" t="s">
        <v>535</v>
      </c>
      <c r="D1321" s="104" t="s">
        <v>4265</v>
      </c>
      <c r="E1321" s="104" t="s">
        <v>1335</v>
      </c>
      <c r="F1321" s="104" t="s">
        <v>4266</v>
      </c>
      <c r="G1321" s="150">
        <f>+2</f>
        <v>2</v>
      </c>
      <c r="H1321" s="104">
        <v>2.0</v>
      </c>
    </row>
    <row r="1322">
      <c r="A1322" s="104" t="s">
        <v>4267</v>
      </c>
      <c r="B1322" s="104" t="s">
        <v>272</v>
      </c>
      <c r="C1322" s="104" t="s">
        <v>535</v>
      </c>
      <c r="D1322" s="104" t="s">
        <v>4269</v>
      </c>
      <c r="E1322" s="104" t="s">
        <v>1271</v>
      </c>
      <c r="F1322" s="104" t="s">
        <v>4270</v>
      </c>
      <c r="G1322" s="104" t="s">
        <v>1273</v>
      </c>
      <c r="H1322" s="104">
        <v>0.0</v>
      </c>
    </row>
    <row r="1323">
      <c r="A1323" s="104" t="s">
        <v>4271</v>
      </c>
      <c r="B1323" s="104" t="s">
        <v>303</v>
      </c>
      <c r="C1323" s="104" t="s">
        <v>535</v>
      </c>
      <c r="D1323" s="104" t="s">
        <v>4273</v>
      </c>
      <c r="E1323" s="104" t="s">
        <v>1328</v>
      </c>
      <c r="F1323" s="104" t="s">
        <v>4274</v>
      </c>
      <c r="G1323" s="104">
        <v>-3.0</v>
      </c>
      <c r="H1323" s="104">
        <v>-3.0</v>
      </c>
    </row>
    <row r="1324">
      <c r="A1324" s="104" t="s">
        <v>4275</v>
      </c>
      <c r="B1324" s="104" t="s">
        <v>182</v>
      </c>
      <c r="C1324" s="104" t="s">
        <v>535</v>
      </c>
      <c r="D1324" s="104" t="s">
        <v>4276</v>
      </c>
      <c r="E1324" s="104" t="s">
        <v>1271</v>
      </c>
      <c r="F1324" s="104" t="s">
        <v>4277</v>
      </c>
      <c r="G1324" s="104" t="s">
        <v>1273</v>
      </c>
      <c r="H1324" s="104">
        <v>0.0</v>
      </c>
    </row>
    <row r="1325">
      <c r="A1325" s="104" t="s">
        <v>4278</v>
      </c>
      <c r="B1325" s="104" t="s">
        <v>307</v>
      </c>
      <c r="C1325" s="104" t="s">
        <v>535</v>
      </c>
      <c r="D1325" s="104" t="s">
        <v>4279</v>
      </c>
      <c r="E1325" s="104" t="s">
        <v>1276</v>
      </c>
      <c r="F1325" s="104" t="s">
        <v>4280</v>
      </c>
      <c r="G1325" s="150">
        <f>+1</f>
        <v>1</v>
      </c>
      <c r="H1325" s="104">
        <v>1.0</v>
      </c>
    </row>
    <row r="1326">
      <c r="A1326" s="104" t="s">
        <v>4281</v>
      </c>
      <c r="B1326" s="104" t="s">
        <v>307</v>
      </c>
      <c r="C1326" s="104" t="s">
        <v>535</v>
      </c>
      <c r="D1326" s="104" t="s">
        <v>4282</v>
      </c>
      <c r="E1326" s="104" t="s">
        <v>1271</v>
      </c>
      <c r="F1326" s="104" t="s">
        <v>4283</v>
      </c>
      <c r="G1326" s="104" t="s">
        <v>1273</v>
      </c>
      <c r="H1326" s="104">
        <v>0.0</v>
      </c>
    </row>
    <row r="1327">
      <c r="A1327" s="104" t="s">
        <v>4284</v>
      </c>
      <c r="B1327" s="104" t="s">
        <v>183</v>
      </c>
      <c r="C1327" s="104" t="s">
        <v>535</v>
      </c>
      <c r="D1327" s="104" t="s">
        <v>4285</v>
      </c>
      <c r="E1327" s="104" t="s">
        <v>1271</v>
      </c>
      <c r="F1327" s="104" t="s">
        <v>4286</v>
      </c>
      <c r="G1327" s="104" t="s">
        <v>1273</v>
      </c>
      <c r="H1327" s="104">
        <v>0.0</v>
      </c>
    </row>
    <row r="1328">
      <c r="A1328" s="104" t="s">
        <v>4287</v>
      </c>
      <c r="B1328" s="104" t="s">
        <v>148</v>
      </c>
      <c r="C1328" s="104" t="s">
        <v>535</v>
      </c>
      <c r="D1328" s="104" t="s">
        <v>4288</v>
      </c>
      <c r="E1328" s="104" t="s">
        <v>1335</v>
      </c>
      <c r="F1328" s="104" t="s">
        <v>4289</v>
      </c>
      <c r="G1328" s="150">
        <f>+2</f>
        <v>2</v>
      </c>
      <c r="H1328" s="104">
        <v>2.0</v>
      </c>
    </row>
    <row r="1329">
      <c r="A1329" s="104" t="s">
        <v>4291</v>
      </c>
      <c r="B1329" s="104" t="s">
        <v>296</v>
      </c>
      <c r="C1329" s="104" t="s">
        <v>535</v>
      </c>
      <c r="D1329" s="104" t="s">
        <v>4292</v>
      </c>
      <c r="E1329" s="104" t="s">
        <v>1328</v>
      </c>
      <c r="F1329" s="104" t="s">
        <v>4293</v>
      </c>
      <c r="G1329" s="104">
        <v>-3.0</v>
      </c>
      <c r="H1329" s="104">
        <v>-3.0</v>
      </c>
    </row>
    <row r="1330">
      <c r="A1330" s="104" t="s">
        <v>4294</v>
      </c>
      <c r="B1330" s="104" t="s">
        <v>307</v>
      </c>
      <c r="C1330" s="104" t="s">
        <v>535</v>
      </c>
      <c r="D1330" s="104" t="s">
        <v>4295</v>
      </c>
      <c r="E1330" s="104" t="s">
        <v>1328</v>
      </c>
      <c r="F1330" s="104" t="s">
        <v>4296</v>
      </c>
      <c r="G1330" s="104">
        <v>-3.0</v>
      </c>
      <c r="H1330" s="104">
        <v>-3.0</v>
      </c>
    </row>
    <row r="1331">
      <c r="A1331" s="104" t="s">
        <v>4297</v>
      </c>
      <c r="B1331" s="104" t="s">
        <v>134</v>
      </c>
      <c r="C1331" s="104" t="s">
        <v>535</v>
      </c>
      <c r="D1331" s="104" t="s">
        <v>4299</v>
      </c>
      <c r="E1331" s="104" t="s">
        <v>1271</v>
      </c>
      <c r="F1331" s="104" t="s">
        <v>4300</v>
      </c>
      <c r="G1331" s="104" t="s">
        <v>1273</v>
      </c>
      <c r="H1331" s="104">
        <v>0.0</v>
      </c>
    </row>
    <row r="1332">
      <c r="A1332" s="104" t="s">
        <v>4301</v>
      </c>
      <c r="B1332" s="104" t="s">
        <v>146</v>
      </c>
      <c r="C1332" s="104" t="s">
        <v>535</v>
      </c>
      <c r="D1332" s="104" t="s">
        <v>4302</v>
      </c>
      <c r="E1332" s="104" t="s">
        <v>1328</v>
      </c>
      <c r="F1332" s="104" t="s">
        <v>4303</v>
      </c>
      <c r="G1332" s="104">
        <v>-3.0</v>
      </c>
      <c r="H1332" s="104">
        <v>-3.0</v>
      </c>
    </row>
    <row r="1333">
      <c r="A1333" s="104" t="s">
        <v>4305</v>
      </c>
      <c r="B1333" s="104" t="s">
        <v>115</v>
      </c>
      <c r="C1333" s="104" t="s">
        <v>535</v>
      </c>
      <c r="D1333" s="104" t="s">
        <v>4306</v>
      </c>
      <c r="E1333" s="104" t="s">
        <v>1276</v>
      </c>
      <c r="F1333" s="104" t="s">
        <v>4307</v>
      </c>
      <c r="G1333" s="150">
        <f>+1</f>
        <v>1</v>
      </c>
      <c r="H1333" s="104">
        <v>1.0</v>
      </c>
    </row>
    <row r="1334">
      <c r="A1334" s="104" t="s">
        <v>4308</v>
      </c>
      <c r="B1334" s="104" t="s">
        <v>210</v>
      </c>
      <c r="C1334" s="104" t="s">
        <v>535</v>
      </c>
      <c r="D1334" s="104" t="s">
        <v>4309</v>
      </c>
      <c r="E1334" s="104" t="s">
        <v>1271</v>
      </c>
      <c r="F1334" s="104" t="s">
        <v>4310</v>
      </c>
      <c r="G1334" s="104" t="s">
        <v>1273</v>
      </c>
      <c r="H1334" s="104">
        <v>0.0</v>
      </c>
    </row>
    <row r="1335">
      <c r="A1335" s="104" t="s">
        <v>4311</v>
      </c>
      <c r="B1335" s="104" t="s">
        <v>208</v>
      </c>
      <c r="C1335" s="104" t="s">
        <v>535</v>
      </c>
      <c r="D1335" s="104" t="s">
        <v>4312</v>
      </c>
      <c r="E1335" s="104" t="s">
        <v>1283</v>
      </c>
      <c r="F1335" s="104" t="s">
        <v>4313</v>
      </c>
      <c r="G1335" s="104">
        <v>-1.0</v>
      </c>
      <c r="H1335" s="104">
        <v>-1.0</v>
      </c>
    </row>
    <row r="1336">
      <c r="A1336" s="104" t="s">
        <v>4314</v>
      </c>
      <c r="B1336" s="104" t="s">
        <v>146</v>
      </c>
      <c r="C1336" s="104" t="s">
        <v>535</v>
      </c>
      <c r="D1336" s="104" t="s">
        <v>4316</v>
      </c>
      <c r="E1336" s="104" t="s">
        <v>1271</v>
      </c>
      <c r="F1336" s="104" t="s">
        <v>4317</v>
      </c>
      <c r="G1336" s="104" t="s">
        <v>1273</v>
      </c>
      <c r="H1336" s="104">
        <v>0.0</v>
      </c>
    </row>
    <row r="1337">
      <c r="A1337" s="104" t="s">
        <v>4318</v>
      </c>
      <c r="B1337" s="104" t="s">
        <v>210</v>
      </c>
      <c r="C1337" s="104" t="s">
        <v>535</v>
      </c>
      <c r="D1337" s="104" t="s">
        <v>4319</v>
      </c>
      <c r="E1337" s="104" t="s">
        <v>1283</v>
      </c>
      <c r="F1337" s="104" t="s">
        <v>4320</v>
      </c>
      <c r="G1337" s="104">
        <v>-1.0</v>
      </c>
      <c r="H1337" s="104">
        <v>-1.0</v>
      </c>
    </row>
    <row r="1338">
      <c r="A1338" s="104" t="s">
        <v>4321</v>
      </c>
      <c r="B1338" s="104" t="s">
        <v>134</v>
      </c>
      <c r="C1338" s="104" t="s">
        <v>535</v>
      </c>
      <c r="D1338" s="104" t="s">
        <v>4322</v>
      </c>
      <c r="E1338" s="104" t="s">
        <v>1283</v>
      </c>
      <c r="F1338" s="104" t="s">
        <v>4323</v>
      </c>
      <c r="G1338" s="104">
        <v>-1.0</v>
      </c>
      <c r="H1338" s="104">
        <v>-1.0</v>
      </c>
    </row>
    <row r="1339">
      <c r="A1339" s="104" t="s">
        <v>4325</v>
      </c>
      <c r="B1339" s="104" t="s">
        <v>284</v>
      </c>
      <c r="C1339" s="104" t="s">
        <v>535</v>
      </c>
      <c r="D1339" s="104" t="s">
        <v>4326</v>
      </c>
      <c r="E1339" s="104" t="s">
        <v>1271</v>
      </c>
      <c r="F1339" s="104" t="s">
        <v>4327</v>
      </c>
      <c r="G1339" s="104" t="s">
        <v>1273</v>
      </c>
      <c r="H1339" s="104">
        <v>0.0</v>
      </c>
    </row>
    <row r="1340">
      <c r="A1340" s="104" t="s">
        <v>4328</v>
      </c>
      <c r="B1340" s="104" t="s">
        <v>176</v>
      </c>
      <c r="C1340" s="104" t="s">
        <v>535</v>
      </c>
      <c r="D1340" s="104" t="s">
        <v>4329</v>
      </c>
      <c r="E1340" s="104" t="s">
        <v>1271</v>
      </c>
      <c r="F1340" s="104" t="s">
        <v>4330</v>
      </c>
      <c r="G1340" s="104" t="s">
        <v>1273</v>
      </c>
      <c r="H1340" s="104">
        <v>0.0</v>
      </c>
    </row>
    <row r="1341">
      <c r="A1341" s="104" t="s">
        <v>4331</v>
      </c>
      <c r="B1341" s="104" t="s">
        <v>155</v>
      </c>
      <c r="C1341" s="104" t="s">
        <v>535</v>
      </c>
      <c r="D1341" s="104" t="s">
        <v>4332</v>
      </c>
      <c r="E1341" s="104" t="s">
        <v>1283</v>
      </c>
      <c r="F1341" s="104" t="s">
        <v>4333</v>
      </c>
      <c r="G1341" s="104">
        <v>-1.0</v>
      </c>
      <c r="H1341" s="104">
        <v>-1.0</v>
      </c>
    </row>
    <row r="1342">
      <c r="A1342" s="104" t="s">
        <v>4334</v>
      </c>
      <c r="B1342" s="104" t="s">
        <v>281</v>
      </c>
      <c r="C1342" s="104" t="s">
        <v>535</v>
      </c>
      <c r="D1342" s="104" t="s">
        <v>4335</v>
      </c>
      <c r="E1342" s="104" t="s">
        <v>1271</v>
      </c>
      <c r="F1342" s="104" t="s">
        <v>4336</v>
      </c>
      <c r="G1342" s="104" t="s">
        <v>1273</v>
      </c>
      <c r="H1342" s="104">
        <v>0.0</v>
      </c>
    </row>
    <row r="1343">
      <c r="A1343" s="104" t="s">
        <v>4338</v>
      </c>
      <c r="B1343" s="104" t="s">
        <v>251</v>
      </c>
      <c r="C1343" s="104" t="s">
        <v>535</v>
      </c>
      <c r="D1343" s="104" t="s">
        <v>4339</v>
      </c>
      <c r="E1343" s="104" t="s">
        <v>1328</v>
      </c>
      <c r="F1343" s="104" t="s">
        <v>4340</v>
      </c>
      <c r="G1343" s="104">
        <v>-3.0</v>
      </c>
      <c r="H1343" s="104">
        <v>-3.0</v>
      </c>
    </row>
    <row r="1344">
      <c r="A1344" s="104" t="s">
        <v>4341</v>
      </c>
      <c r="B1344" s="104" t="s">
        <v>275</v>
      </c>
      <c r="C1344" s="104" t="s">
        <v>535</v>
      </c>
      <c r="D1344" s="104" t="s">
        <v>4342</v>
      </c>
      <c r="E1344" s="104" t="s">
        <v>1271</v>
      </c>
      <c r="F1344" s="104" t="s">
        <v>4343</v>
      </c>
      <c r="G1344" s="104" t="s">
        <v>1273</v>
      </c>
      <c r="H1344" s="104">
        <v>0.0</v>
      </c>
    </row>
    <row r="1345">
      <c r="A1345" s="104" t="s">
        <v>4344</v>
      </c>
      <c r="B1345" s="104" t="s">
        <v>281</v>
      </c>
      <c r="C1345" s="104" t="s">
        <v>535</v>
      </c>
      <c r="D1345" s="104" t="s">
        <v>4345</v>
      </c>
      <c r="E1345" s="104" t="s">
        <v>1276</v>
      </c>
      <c r="F1345" s="104" t="s">
        <v>4346</v>
      </c>
      <c r="G1345" s="150">
        <f t="shared" ref="G1345:G1346" si="47">+1</f>
        <v>1</v>
      </c>
      <c r="H1345" s="104">
        <v>1.0</v>
      </c>
    </row>
    <row r="1346">
      <c r="A1346" s="104" t="s">
        <v>4347</v>
      </c>
      <c r="B1346" s="104" t="s">
        <v>212</v>
      </c>
      <c r="C1346" s="104" t="s">
        <v>535</v>
      </c>
      <c r="D1346" s="104" t="s">
        <v>4348</v>
      </c>
      <c r="E1346" s="104" t="s">
        <v>1276</v>
      </c>
      <c r="F1346" s="104" t="s">
        <v>4349</v>
      </c>
      <c r="G1346" s="150">
        <f t="shared" si="47"/>
        <v>1</v>
      </c>
      <c r="H1346" s="104">
        <v>1.0</v>
      </c>
    </row>
    <row r="1347">
      <c r="A1347" s="104" t="s">
        <v>4350</v>
      </c>
      <c r="B1347" s="104" t="s">
        <v>176</v>
      </c>
      <c r="C1347" s="104" t="s">
        <v>535</v>
      </c>
      <c r="D1347" s="104" t="s">
        <v>4351</v>
      </c>
      <c r="E1347" s="104" t="s">
        <v>1283</v>
      </c>
      <c r="F1347" s="104" t="s">
        <v>4352</v>
      </c>
      <c r="G1347" s="104">
        <v>-1.0</v>
      </c>
      <c r="H1347" s="104">
        <v>-1.0</v>
      </c>
    </row>
    <row r="1348">
      <c r="A1348" s="104" t="s">
        <v>4353</v>
      </c>
      <c r="B1348" s="104" t="s">
        <v>89</v>
      </c>
      <c r="C1348" s="104" t="s">
        <v>535</v>
      </c>
      <c r="D1348" s="104" t="s">
        <v>4354</v>
      </c>
      <c r="E1348" s="104" t="s">
        <v>1271</v>
      </c>
      <c r="F1348" s="104" t="s">
        <v>4355</v>
      </c>
      <c r="G1348" s="104" t="s">
        <v>1273</v>
      </c>
      <c r="H1348" s="104">
        <v>0.0</v>
      </c>
    </row>
    <row r="1349">
      <c r="A1349" s="104" t="s">
        <v>4356</v>
      </c>
      <c r="B1349" s="104" t="s">
        <v>183</v>
      </c>
      <c r="C1349" s="104" t="s">
        <v>535</v>
      </c>
      <c r="D1349" s="104" t="s">
        <v>4357</v>
      </c>
      <c r="E1349" s="104" t="s">
        <v>1328</v>
      </c>
      <c r="F1349" s="104" t="s">
        <v>4358</v>
      </c>
      <c r="G1349" s="104">
        <v>-3.0</v>
      </c>
      <c r="H1349" s="104">
        <v>-3.0</v>
      </c>
    </row>
    <row r="1350">
      <c r="A1350" s="104" t="s">
        <v>4359</v>
      </c>
      <c r="B1350" s="104" t="s">
        <v>258</v>
      </c>
      <c r="C1350" s="104" t="s">
        <v>535</v>
      </c>
      <c r="D1350" s="104" t="s">
        <v>4360</v>
      </c>
      <c r="E1350" s="104" t="s">
        <v>1300</v>
      </c>
      <c r="F1350" s="104" t="s">
        <v>4361</v>
      </c>
      <c r="G1350" s="104">
        <v>-2.0</v>
      </c>
      <c r="H1350" s="104">
        <v>-2.0</v>
      </c>
    </row>
    <row r="1351">
      <c r="A1351" s="104" t="s">
        <v>4362</v>
      </c>
      <c r="B1351" s="104" t="s">
        <v>179</v>
      </c>
      <c r="C1351" s="104" t="s">
        <v>535</v>
      </c>
      <c r="D1351" s="104" t="s">
        <v>4363</v>
      </c>
      <c r="E1351" s="104" t="s">
        <v>1271</v>
      </c>
      <c r="F1351" s="104" t="s">
        <v>4364</v>
      </c>
      <c r="G1351" s="104" t="s">
        <v>1273</v>
      </c>
      <c r="H1351" s="104">
        <v>0.0</v>
      </c>
    </row>
    <row r="1352">
      <c r="A1352" s="104" t="s">
        <v>4365</v>
      </c>
      <c r="B1352" s="104" t="s">
        <v>232</v>
      </c>
      <c r="C1352" s="104" t="s">
        <v>535</v>
      </c>
      <c r="D1352" s="104" t="s">
        <v>4366</v>
      </c>
      <c r="E1352" s="104" t="s">
        <v>1283</v>
      </c>
      <c r="F1352" s="104" t="s">
        <v>4367</v>
      </c>
      <c r="G1352" s="104">
        <v>-1.0</v>
      </c>
      <c r="H1352" s="104">
        <v>-1.0</v>
      </c>
    </row>
    <row r="1353">
      <c r="A1353" s="104" t="s">
        <v>4368</v>
      </c>
      <c r="B1353" s="104" t="s">
        <v>258</v>
      </c>
      <c r="C1353" s="104" t="s">
        <v>535</v>
      </c>
      <c r="D1353" s="104" t="s">
        <v>4369</v>
      </c>
      <c r="E1353" s="104" t="s">
        <v>1271</v>
      </c>
      <c r="F1353" s="104" t="s">
        <v>4370</v>
      </c>
      <c r="G1353" s="104" t="s">
        <v>1273</v>
      </c>
      <c r="H1353" s="104">
        <v>0.0</v>
      </c>
    </row>
    <row r="1354">
      <c r="A1354" s="104" t="s">
        <v>4371</v>
      </c>
      <c r="B1354" s="104" t="s">
        <v>195</v>
      </c>
      <c r="C1354" s="104" t="s">
        <v>535</v>
      </c>
      <c r="D1354" s="104" t="s">
        <v>4372</v>
      </c>
      <c r="E1354" s="104" t="s">
        <v>1271</v>
      </c>
      <c r="F1354" s="104" t="s">
        <v>4373</v>
      </c>
      <c r="G1354" s="104" t="s">
        <v>1273</v>
      </c>
      <c r="H1354" s="104">
        <v>0.0</v>
      </c>
    </row>
    <row r="1355">
      <c r="A1355" s="104" t="s">
        <v>4374</v>
      </c>
      <c r="B1355" s="104" t="s">
        <v>199</v>
      </c>
      <c r="C1355" s="104" t="s">
        <v>535</v>
      </c>
      <c r="D1355" s="104" t="s">
        <v>4375</v>
      </c>
      <c r="E1355" s="104" t="s">
        <v>1276</v>
      </c>
      <c r="F1355" s="104" t="s">
        <v>4376</v>
      </c>
      <c r="G1355" s="150">
        <f>+1</f>
        <v>1</v>
      </c>
      <c r="H1355" s="104">
        <v>1.0</v>
      </c>
    </row>
    <row r="1356">
      <c r="A1356" s="104" t="s">
        <v>4377</v>
      </c>
      <c r="B1356" s="104" t="s">
        <v>155</v>
      </c>
      <c r="C1356" s="104" t="s">
        <v>535</v>
      </c>
      <c r="D1356" s="104" t="s">
        <v>4378</v>
      </c>
      <c r="E1356" s="104" t="s">
        <v>1271</v>
      </c>
      <c r="F1356" s="104" t="s">
        <v>4379</v>
      </c>
      <c r="G1356" s="104" t="s">
        <v>1273</v>
      </c>
      <c r="H1356" s="104">
        <v>0.0</v>
      </c>
    </row>
    <row r="1357">
      <c r="A1357" s="104" t="s">
        <v>4380</v>
      </c>
      <c r="B1357" s="104" t="s">
        <v>156</v>
      </c>
      <c r="C1357" s="104" t="s">
        <v>535</v>
      </c>
      <c r="D1357" s="104" t="s">
        <v>4381</v>
      </c>
      <c r="E1357" s="104" t="s">
        <v>1271</v>
      </c>
      <c r="F1357" s="104" t="s">
        <v>4382</v>
      </c>
      <c r="G1357" s="104" t="s">
        <v>1273</v>
      </c>
      <c r="H1357" s="104">
        <v>0.0</v>
      </c>
    </row>
    <row r="1358">
      <c r="A1358" s="104" t="s">
        <v>4383</v>
      </c>
      <c r="B1358" s="104" t="s">
        <v>179</v>
      </c>
      <c r="C1358" s="104" t="s">
        <v>535</v>
      </c>
      <c r="D1358" s="104" t="s">
        <v>4384</v>
      </c>
      <c r="E1358" s="104" t="s">
        <v>1328</v>
      </c>
      <c r="F1358" s="104" t="s">
        <v>4385</v>
      </c>
      <c r="G1358" s="104">
        <v>-3.0</v>
      </c>
      <c r="H1358" s="104">
        <v>-3.0</v>
      </c>
    </row>
    <row r="1359">
      <c r="A1359" s="104" t="s">
        <v>4386</v>
      </c>
      <c r="B1359" s="104" t="s">
        <v>293</v>
      </c>
      <c r="C1359" s="104" t="s">
        <v>535</v>
      </c>
      <c r="D1359" s="104" t="s">
        <v>4387</v>
      </c>
      <c r="E1359" s="104" t="s">
        <v>1300</v>
      </c>
      <c r="F1359" s="104" t="s">
        <v>4388</v>
      </c>
      <c r="G1359" s="104">
        <v>-2.0</v>
      </c>
      <c r="H1359" s="104">
        <v>-2.0</v>
      </c>
    </row>
    <row r="1360">
      <c r="A1360" s="104" t="s">
        <v>4389</v>
      </c>
      <c r="B1360" s="104" t="s">
        <v>219</v>
      </c>
      <c r="C1360" s="104" t="s">
        <v>535</v>
      </c>
      <c r="D1360" s="104" t="s">
        <v>4390</v>
      </c>
      <c r="E1360" s="104" t="s">
        <v>1290</v>
      </c>
      <c r="F1360" s="104" t="s">
        <v>4391</v>
      </c>
      <c r="G1360" s="150">
        <f>+3</f>
        <v>3</v>
      </c>
      <c r="H1360" s="104">
        <v>3.0</v>
      </c>
    </row>
    <row r="1361">
      <c r="A1361" s="104" t="s">
        <v>4392</v>
      </c>
      <c r="B1361" s="104" t="s">
        <v>219</v>
      </c>
      <c r="C1361" s="104" t="s">
        <v>535</v>
      </c>
      <c r="D1361" s="104" t="s">
        <v>4393</v>
      </c>
      <c r="E1361" s="104" t="s">
        <v>1271</v>
      </c>
      <c r="F1361" s="104" t="s">
        <v>4394</v>
      </c>
      <c r="G1361" s="104" t="s">
        <v>1273</v>
      </c>
      <c r="H1361" s="104">
        <v>0.0</v>
      </c>
    </row>
    <row r="1362">
      <c r="A1362" s="104" t="s">
        <v>4395</v>
      </c>
      <c r="B1362" s="104" t="s">
        <v>142</v>
      </c>
      <c r="C1362" s="104" t="s">
        <v>535</v>
      </c>
      <c r="D1362" s="104" t="s">
        <v>4396</v>
      </c>
      <c r="E1362" s="104" t="s">
        <v>1290</v>
      </c>
      <c r="F1362" s="104" t="s">
        <v>4397</v>
      </c>
      <c r="G1362" s="150">
        <f>+3</f>
        <v>3</v>
      </c>
      <c r="H1362" s="104">
        <v>3.0</v>
      </c>
    </row>
    <row r="1363">
      <c r="A1363" s="104" t="s">
        <v>4398</v>
      </c>
      <c r="B1363" s="104" t="s">
        <v>182</v>
      </c>
      <c r="C1363" s="104" t="s">
        <v>535</v>
      </c>
      <c r="D1363" s="104" t="s">
        <v>4399</v>
      </c>
      <c r="E1363" s="104" t="s">
        <v>1276</v>
      </c>
      <c r="F1363" s="104" t="s">
        <v>4400</v>
      </c>
      <c r="G1363" s="150">
        <f>+1</f>
        <v>1</v>
      </c>
      <c r="H1363" s="104">
        <v>1.0</v>
      </c>
    </row>
    <row r="1364">
      <c r="A1364" s="104" t="s">
        <v>4401</v>
      </c>
      <c r="B1364" s="104" t="s">
        <v>194</v>
      </c>
      <c r="C1364" s="104" t="s">
        <v>535</v>
      </c>
      <c r="D1364" s="104" t="s">
        <v>4402</v>
      </c>
      <c r="E1364" s="104" t="s">
        <v>1328</v>
      </c>
      <c r="F1364" s="104" t="s">
        <v>4403</v>
      </c>
      <c r="G1364" s="104">
        <v>-3.0</v>
      </c>
      <c r="H1364" s="104">
        <v>-3.0</v>
      </c>
    </row>
    <row r="1365">
      <c r="A1365" s="104" t="s">
        <v>4404</v>
      </c>
      <c r="B1365" s="104" t="s">
        <v>204</v>
      </c>
      <c r="C1365" s="104" t="s">
        <v>535</v>
      </c>
      <c r="D1365" s="104" t="s">
        <v>4405</v>
      </c>
      <c r="E1365" s="104" t="s">
        <v>1290</v>
      </c>
      <c r="F1365" s="104" t="s">
        <v>4406</v>
      </c>
      <c r="G1365" s="150">
        <f>+3</f>
        <v>3</v>
      </c>
      <c r="H1365" s="104">
        <v>3.0</v>
      </c>
    </row>
    <row r="1366">
      <c r="A1366" s="104" t="s">
        <v>4407</v>
      </c>
      <c r="B1366" s="104" t="s">
        <v>204</v>
      </c>
      <c r="C1366" s="104" t="s">
        <v>535</v>
      </c>
      <c r="D1366" s="104" t="s">
        <v>4408</v>
      </c>
      <c r="E1366" s="104" t="s">
        <v>1271</v>
      </c>
      <c r="F1366" s="104" t="s">
        <v>4409</v>
      </c>
      <c r="G1366" s="104" t="s">
        <v>1273</v>
      </c>
      <c r="H1366" s="104">
        <v>0.0</v>
      </c>
    </row>
    <row r="1367">
      <c r="A1367" s="72" t="s">
        <v>4410</v>
      </c>
      <c r="B1367" s="72" t="s">
        <v>174</v>
      </c>
      <c r="C1367" s="72" t="s">
        <v>535</v>
      </c>
      <c r="D1367" s="72" t="s">
        <v>4411</v>
      </c>
      <c r="E1367" s="72" t="s">
        <v>1271</v>
      </c>
      <c r="F1367" s="72" t="s">
        <v>4412</v>
      </c>
      <c r="G1367" s="72" t="s">
        <v>1273</v>
      </c>
      <c r="H1367" s="127">
        <v>0.0</v>
      </c>
      <c r="I1367" s="1"/>
      <c r="J1367" s="1"/>
      <c r="K1367" s="1"/>
      <c r="L1367" s="1"/>
      <c r="M1367" s="1"/>
      <c r="N1367" s="1"/>
      <c r="O1367" s="1"/>
      <c r="P1367" s="1"/>
      <c r="Q1367" s="1"/>
      <c r="R1367" s="1"/>
      <c r="S1367" s="1"/>
      <c r="T1367" s="1"/>
      <c r="U1367" s="1"/>
      <c r="V1367" s="1"/>
      <c r="W1367" s="1"/>
      <c r="X1367" s="1"/>
      <c r="Y1367" s="1"/>
      <c r="Z1367" s="1"/>
    </row>
    <row r="1368">
      <c r="A1368" s="72" t="s">
        <v>4413</v>
      </c>
      <c r="B1368" s="72" t="s">
        <v>263</v>
      </c>
      <c r="C1368" s="72" t="s">
        <v>535</v>
      </c>
      <c r="D1368" s="72" t="s">
        <v>4414</v>
      </c>
      <c r="E1368" s="72" t="s">
        <v>1328</v>
      </c>
      <c r="F1368" s="72" t="s">
        <v>4415</v>
      </c>
      <c r="G1368" s="72">
        <v>-3.0</v>
      </c>
      <c r="H1368" s="127">
        <v>-3.0</v>
      </c>
      <c r="I1368" s="1"/>
      <c r="J1368" s="1"/>
      <c r="K1368" s="1"/>
      <c r="L1368" s="1"/>
      <c r="M1368" s="1"/>
      <c r="N1368" s="1"/>
      <c r="O1368" s="1"/>
      <c r="P1368" s="1"/>
      <c r="Q1368" s="1"/>
      <c r="R1368" s="1"/>
      <c r="S1368" s="1"/>
      <c r="T1368" s="1"/>
      <c r="U1368" s="1"/>
      <c r="V1368" s="1"/>
      <c r="W1368" s="1"/>
      <c r="X1368" s="1"/>
      <c r="Y1368" s="1"/>
      <c r="Z1368" s="1"/>
    </row>
    <row r="1369">
      <c r="A1369" s="72" t="s">
        <v>4416</v>
      </c>
      <c r="B1369" s="72" t="s">
        <v>263</v>
      </c>
      <c r="C1369" s="72" t="s">
        <v>535</v>
      </c>
      <c r="D1369" s="72" t="s">
        <v>4417</v>
      </c>
      <c r="E1369" s="72" t="s">
        <v>1271</v>
      </c>
      <c r="F1369" s="72" t="s">
        <v>4418</v>
      </c>
      <c r="G1369" s="72" t="s">
        <v>1273</v>
      </c>
      <c r="H1369" s="127">
        <v>0.0</v>
      </c>
      <c r="I1369" s="1"/>
      <c r="J1369" s="1"/>
      <c r="K1369" s="1"/>
      <c r="L1369" s="1"/>
      <c r="M1369" s="1"/>
      <c r="N1369" s="1"/>
      <c r="O1369" s="1"/>
      <c r="P1369" s="1"/>
      <c r="Q1369" s="1"/>
      <c r="R1369" s="1"/>
      <c r="S1369" s="1"/>
      <c r="T1369" s="1"/>
      <c r="U1369" s="1"/>
      <c r="V1369" s="1"/>
      <c r="W1369" s="1"/>
      <c r="X1369" s="1"/>
      <c r="Y1369" s="1"/>
      <c r="Z1369" s="1"/>
    </row>
    <row r="1370">
      <c r="A1370" s="72" t="s">
        <v>4419</v>
      </c>
      <c r="B1370" s="72" t="s">
        <v>272</v>
      </c>
      <c r="C1370" s="72" t="s">
        <v>535</v>
      </c>
      <c r="D1370" s="72" t="s">
        <v>4420</v>
      </c>
      <c r="E1370" s="72" t="s">
        <v>1290</v>
      </c>
      <c r="F1370" s="72" t="s">
        <v>4421</v>
      </c>
      <c r="G1370" s="1">
        <f>+3</f>
        <v>3</v>
      </c>
      <c r="H1370" s="127">
        <v>3.0</v>
      </c>
      <c r="I1370" s="1"/>
      <c r="J1370" s="1"/>
      <c r="K1370" s="1"/>
      <c r="L1370" s="1"/>
      <c r="M1370" s="1"/>
      <c r="N1370" s="1"/>
      <c r="O1370" s="1"/>
      <c r="P1370" s="1"/>
      <c r="Q1370" s="1"/>
      <c r="R1370" s="1"/>
      <c r="S1370" s="1"/>
      <c r="T1370" s="1"/>
      <c r="U1370" s="1"/>
      <c r="V1370" s="1"/>
      <c r="W1370" s="1"/>
      <c r="X1370" s="1"/>
      <c r="Y1370" s="1"/>
      <c r="Z1370" s="1"/>
    </row>
    <row r="1371">
      <c r="A1371" s="72" t="s">
        <v>4422</v>
      </c>
      <c r="B1371" s="72" t="s">
        <v>278</v>
      </c>
      <c r="C1371" s="72" t="s">
        <v>535</v>
      </c>
      <c r="D1371" s="72" t="s">
        <v>4423</v>
      </c>
      <c r="E1371" s="72" t="s">
        <v>1271</v>
      </c>
      <c r="F1371" s="72" t="s">
        <v>4424</v>
      </c>
      <c r="G1371" s="72" t="s">
        <v>1273</v>
      </c>
      <c r="H1371" s="127">
        <v>0.0</v>
      </c>
      <c r="I1371" s="1"/>
      <c r="J1371" s="1"/>
      <c r="K1371" s="1"/>
      <c r="L1371" s="1"/>
      <c r="M1371" s="1"/>
      <c r="N1371" s="1"/>
      <c r="O1371" s="1"/>
      <c r="P1371" s="1"/>
      <c r="Q1371" s="1"/>
      <c r="R1371" s="1"/>
      <c r="S1371" s="1"/>
      <c r="T1371" s="1"/>
      <c r="U1371" s="1"/>
      <c r="V1371" s="1"/>
      <c r="W1371" s="1"/>
      <c r="X1371" s="1"/>
      <c r="Y1371" s="1"/>
      <c r="Z1371" s="1"/>
    </row>
    <row r="1372">
      <c r="A1372" s="72" t="s">
        <v>4425</v>
      </c>
      <c r="B1372" s="72" t="s">
        <v>273</v>
      </c>
      <c r="C1372" s="72" t="s">
        <v>535</v>
      </c>
      <c r="D1372" s="72" t="s">
        <v>4426</v>
      </c>
      <c r="E1372" s="72" t="s">
        <v>1283</v>
      </c>
      <c r="F1372" s="72" t="s">
        <v>4427</v>
      </c>
      <c r="G1372" s="72">
        <v>-1.0</v>
      </c>
      <c r="H1372" s="127">
        <v>-1.0</v>
      </c>
      <c r="I1372" s="1"/>
      <c r="J1372" s="1"/>
      <c r="K1372" s="1"/>
      <c r="L1372" s="1"/>
      <c r="M1372" s="1"/>
      <c r="N1372" s="1"/>
      <c r="O1372" s="1"/>
      <c r="P1372" s="1"/>
      <c r="Q1372" s="1"/>
      <c r="R1372" s="1"/>
      <c r="S1372" s="1"/>
      <c r="T1372" s="1"/>
      <c r="U1372" s="1"/>
      <c r="V1372" s="1"/>
      <c r="W1372" s="1"/>
      <c r="X1372" s="1"/>
      <c r="Y1372" s="1"/>
      <c r="Z1372" s="1"/>
    </row>
    <row r="1373">
      <c r="A1373" s="72" t="s">
        <v>4428</v>
      </c>
      <c r="B1373" s="72" t="s">
        <v>321</v>
      </c>
      <c r="C1373" s="72" t="s">
        <v>535</v>
      </c>
      <c r="D1373" s="72" t="s">
        <v>4429</v>
      </c>
      <c r="E1373" s="72" t="s">
        <v>1276</v>
      </c>
      <c r="F1373" s="72" t="s">
        <v>4430</v>
      </c>
      <c r="G1373" s="1">
        <f>+1</f>
        <v>1</v>
      </c>
      <c r="H1373" s="127">
        <v>1.0</v>
      </c>
      <c r="I1373" s="1"/>
      <c r="J1373" s="1"/>
      <c r="K1373" s="1"/>
      <c r="L1373" s="1"/>
      <c r="M1373" s="1"/>
      <c r="N1373" s="1"/>
      <c r="O1373" s="1"/>
      <c r="P1373" s="1"/>
      <c r="Q1373" s="1"/>
      <c r="R1373" s="1"/>
      <c r="S1373" s="1"/>
      <c r="T1373" s="1"/>
      <c r="U1373" s="1"/>
      <c r="V1373" s="1"/>
      <c r="W1373" s="1"/>
      <c r="X1373" s="1"/>
      <c r="Y1373" s="1"/>
      <c r="Z1373" s="1"/>
    </row>
    <row r="1374">
      <c r="A1374" s="72" t="s">
        <v>4431</v>
      </c>
      <c r="B1374" s="72" t="s">
        <v>180</v>
      </c>
      <c r="C1374" s="72" t="s">
        <v>535</v>
      </c>
      <c r="D1374" s="72" t="s">
        <v>4432</v>
      </c>
      <c r="E1374" s="72" t="s">
        <v>1271</v>
      </c>
      <c r="F1374" s="72" t="s">
        <v>4433</v>
      </c>
      <c r="G1374" s="72" t="s">
        <v>1273</v>
      </c>
      <c r="H1374" s="127">
        <v>0.0</v>
      </c>
      <c r="I1374" s="1"/>
      <c r="J1374" s="1"/>
      <c r="K1374" s="1"/>
      <c r="L1374" s="1"/>
      <c r="M1374" s="1"/>
      <c r="N1374" s="1"/>
      <c r="O1374" s="1"/>
      <c r="P1374" s="1"/>
      <c r="Q1374" s="1"/>
      <c r="R1374" s="1"/>
      <c r="S1374" s="1"/>
      <c r="T1374" s="1"/>
      <c r="U1374" s="1"/>
      <c r="V1374" s="1"/>
      <c r="W1374" s="1"/>
      <c r="X1374" s="1"/>
      <c r="Y1374" s="1"/>
      <c r="Z1374" s="1"/>
    </row>
    <row r="1375">
      <c r="A1375" s="72" t="s">
        <v>4434</v>
      </c>
      <c r="B1375" s="72" t="s">
        <v>235</v>
      </c>
      <c r="C1375" s="72" t="s">
        <v>535</v>
      </c>
      <c r="D1375" s="72" t="s">
        <v>4435</v>
      </c>
      <c r="E1375" s="72" t="s">
        <v>1276</v>
      </c>
      <c r="F1375" s="72" t="s">
        <v>4436</v>
      </c>
      <c r="G1375" s="1">
        <f>+1</f>
        <v>1</v>
      </c>
      <c r="H1375" s="127">
        <v>1.0</v>
      </c>
      <c r="I1375" s="1"/>
      <c r="J1375" s="1"/>
      <c r="K1375" s="1"/>
      <c r="L1375" s="1"/>
      <c r="M1375" s="1"/>
      <c r="N1375" s="1"/>
      <c r="O1375" s="1"/>
      <c r="P1375" s="1"/>
      <c r="Q1375" s="1"/>
      <c r="R1375" s="1"/>
      <c r="S1375" s="1"/>
      <c r="T1375" s="1"/>
      <c r="U1375" s="1"/>
      <c r="V1375" s="1"/>
      <c r="W1375" s="1"/>
      <c r="X1375" s="1"/>
      <c r="Y1375" s="1"/>
      <c r="Z1375" s="1"/>
    </row>
    <row r="1376">
      <c r="A1376" s="72" t="s">
        <v>4437</v>
      </c>
      <c r="B1376" s="72" t="s">
        <v>287</v>
      </c>
      <c r="C1376" s="72" t="s">
        <v>535</v>
      </c>
      <c r="D1376" s="72" t="s">
        <v>4438</v>
      </c>
      <c r="E1376" s="72" t="s">
        <v>1271</v>
      </c>
      <c r="F1376" s="72" t="s">
        <v>4439</v>
      </c>
      <c r="G1376" s="72" t="s">
        <v>1273</v>
      </c>
      <c r="H1376" s="127">
        <v>0.0</v>
      </c>
      <c r="I1376" s="1"/>
      <c r="J1376" s="1"/>
      <c r="K1376" s="1"/>
      <c r="L1376" s="1"/>
      <c r="M1376" s="1"/>
      <c r="N1376" s="1"/>
      <c r="O1376" s="1"/>
      <c r="P1376" s="1"/>
      <c r="Q1376" s="1"/>
      <c r="R1376" s="1"/>
      <c r="S1376" s="1"/>
      <c r="T1376" s="1"/>
      <c r="U1376" s="1"/>
      <c r="V1376" s="1"/>
      <c r="W1376" s="1"/>
      <c r="X1376" s="1"/>
      <c r="Y1376" s="1"/>
      <c r="Z1376" s="1"/>
    </row>
    <row r="1377">
      <c r="A1377" s="72" t="s">
        <v>4440</v>
      </c>
      <c r="B1377" s="72" t="s">
        <v>179</v>
      </c>
      <c r="C1377" s="72" t="s">
        <v>535</v>
      </c>
      <c r="D1377" s="72" t="s">
        <v>4441</v>
      </c>
      <c r="E1377" s="72" t="s">
        <v>1271</v>
      </c>
      <c r="F1377" s="72" t="s">
        <v>4442</v>
      </c>
      <c r="G1377" s="72" t="s">
        <v>1273</v>
      </c>
      <c r="H1377" s="127">
        <v>0.0</v>
      </c>
      <c r="I1377" s="1"/>
      <c r="J1377" s="1"/>
      <c r="K1377" s="1"/>
      <c r="L1377" s="1"/>
      <c r="M1377" s="1"/>
      <c r="N1377" s="1"/>
      <c r="O1377" s="1"/>
      <c r="P1377" s="1"/>
      <c r="Q1377" s="1"/>
      <c r="R1377" s="1"/>
      <c r="S1377" s="1"/>
      <c r="T1377" s="1"/>
      <c r="U1377" s="1"/>
      <c r="V1377" s="1"/>
      <c r="W1377" s="1"/>
      <c r="X1377" s="1"/>
      <c r="Y1377" s="1"/>
      <c r="Z1377" s="1"/>
    </row>
    <row r="1378">
      <c r="A1378" s="72" t="s">
        <v>4443</v>
      </c>
      <c r="B1378" s="72" t="s">
        <v>180</v>
      </c>
      <c r="C1378" s="72" t="s">
        <v>535</v>
      </c>
      <c r="D1378" s="72" t="s">
        <v>4444</v>
      </c>
      <c r="E1378" s="72" t="s">
        <v>1328</v>
      </c>
      <c r="F1378" s="72" t="s">
        <v>4445</v>
      </c>
      <c r="G1378" s="72">
        <v>-3.0</v>
      </c>
      <c r="H1378" s="127">
        <v>-3.0</v>
      </c>
      <c r="I1378" s="1"/>
      <c r="J1378" s="1"/>
      <c r="K1378" s="1"/>
      <c r="L1378" s="1"/>
      <c r="M1378" s="1"/>
      <c r="N1378" s="1"/>
      <c r="O1378" s="1"/>
      <c r="P1378" s="1"/>
      <c r="Q1378" s="1"/>
      <c r="R1378" s="1"/>
      <c r="S1378" s="1"/>
      <c r="T1378" s="1"/>
      <c r="U1378" s="1"/>
      <c r="V1378" s="1"/>
      <c r="W1378" s="1"/>
      <c r="X1378" s="1"/>
      <c r="Y1378" s="1"/>
      <c r="Z1378" s="1"/>
    </row>
    <row r="1379">
      <c r="A1379" s="72" t="s">
        <v>4446</v>
      </c>
      <c r="B1379" s="72" t="s">
        <v>191</v>
      </c>
      <c r="C1379" s="72" t="s">
        <v>535</v>
      </c>
      <c r="D1379" s="72" t="s">
        <v>4447</v>
      </c>
      <c r="E1379" s="72" t="s">
        <v>1328</v>
      </c>
      <c r="F1379" s="72" t="s">
        <v>4448</v>
      </c>
      <c r="G1379" s="72">
        <v>-3.0</v>
      </c>
      <c r="H1379" s="127">
        <v>-3.0</v>
      </c>
      <c r="I1379" s="1"/>
      <c r="J1379" s="1"/>
      <c r="K1379" s="1"/>
      <c r="L1379" s="1"/>
      <c r="M1379" s="1"/>
      <c r="N1379" s="1"/>
      <c r="O1379" s="1"/>
      <c r="P1379" s="1"/>
      <c r="Q1379" s="1"/>
      <c r="R1379" s="1"/>
      <c r="S1379" s="1"/>
      <c r="T1379" s="1"/>
      <c r="U1379" s="1"/>
      <c r="V1379" s="1"/>
      <c r="W1379" s="1"/>
      <c r="X1379" s="1"/>
      <c r="Y1379" s="1"/>
      <c r="Z1379" s="1"/>
    </row>
    <row r="1380">
      <c r="A1380" s="72" t="s">
        <v>4449</v>
      </c>
      <c r="B1380" s="72" t="s">
        <v>163</v>
      </c>
      <c r="C1380" s="72" t="s">
        <v>535</v>
      </c>
      <c r="D1380" s="72" t="s">
        <v>4450</v>
      </c>
      <c r="E1380" s="72" t="s">
        <v>1290</v>
      </c>
      <c r="F1380" s="72" t="s">
        <v>4451</v>
      </c>
      <c r="G1380" s="1">
        <f>+3</f>
        <v>3</v>
      </c>
      <c r="H1380" s="127">
        <v>3.0</v>
      </c>
      <c r="I1380" s="1"/>
      <c r="J1380" s="1"/>
      <c r="K1380" s="1"/>
      <c r="L1380" s="1"/>
      <c r="M1380" s="1"/>
      <c r="N1380" s="1"/>
      <c r="O1380" s="1"/>
      <c r="P1380" s="1"/>
      <c r="Q1380" s="1"/>
      <c r="R1380" s="1"/>
      <c r="S1380" s="1"/>
      <c r="T1380" s="1"/>
      <c r="U1380" s="1"/>
      <c r="V1380" s="1"/>
      <c r="W1380" s="1"/>
      <c r="X1380" s="1"/>
      <c r="Y1380" s="1"/>
      <c r="Z1380" s="1"/>
    </row>
    <row r="1381">
      <c r="A1381" s="72" t="s">
        <v>4452</v>
      </c>
      <c r="B1381" s="72" t="s">
        <v>190</v>
      </c>
      <c r="C1381" s="72" t="s">
        <v>535</v>
      </c>
      <c r="D1381" s="72" t="s">
        <v>4453</v>
      </c>
      <c r="E1381" s="72" t="s">
        <v>1335</v>
      </c>
      <c r="F1381" s="72" t="s">
        <v>4454</v>
      </c>
      <c r="G1381" s="1">
        <f>+2</f>
        <v>2</v>
      </c>
      <c r="H1381" s="127">
        <v>2.0</v>
      </c>
      <c r="I1381" s="1"/>
      <c r="J1381" s="1"/>
      <c r="K1381" s="1"/>
      <c r="L1381" s="1"/>
      <c r="M1381" s="1"/>
      <c r="N1381" s="1"/>
      <c r="O1381" s="1"/>
      <c r="P1381" s="1"/>
      <c r="Q1381" s="1"/>
      <c r="R1381" s="1"/>
      <c r="S1381" s="1"/>
      <c r="T1381" s="1"/>
      <c r="U1381" s="1"/>
      <c r="V1381" s="1"/>
      <c r="W1381" s="1"/>
      <c r="X1381" s="1"/>
      <c r="Y1381" s="1"/>
      <c r="Z1381" s="1"/>
    </row>
    <row r="1382">
      <c r="A1382" s="72" t="s">
        <v>4455</v>
      </c>
      <c r="B1382" s="72" t="s">
        <v>298</v>
      </c>
      <c r="C1382" s="72" t="s">
        <v>535</v>
      </c>
      <c r="D1382" s="72" t="s">
        <v>4456</v>
      </c>
      <c r="E1382" s="72" t="s">
        <v>1271</v>
      </c>
      <c r="F1382" s="72" t="s">
        <v>4457</v>
      </c>
      <c r="G1382" s="72" t="s">
        <v>1273</v>
      </c>
      <c r="H1382" s="127">
        <v>0.0</v>
      </c>
      <c r="I1382" s="1"/>
      <c r="J1382" s="1"/>
      <c r="K1382" s="1"/>
      <c r="L1382" s="1"/>
      <c r="M1382" s="1"/>
      <c r="N1382" s="1"/>
      <c r="O1382" s="1"/>
      <c r="P1382" s="1"/>
      <c r="Q1382" s="1"/>
      <c r="R1382" s="1"/>
      <c r="S1382" s="1"/>
      <c r="T1382" s="1"/>
      <c r="U1382" s="1"/>
      <c r="V1382" s="1"/>
      <c r="W1382" s="1"/>
      <c r="X1382" s="1"/>
      <c r="Y1382" s="1"/>
      <c r="Z1382" s="1"/>
    </row>
    <row r="1383">
      <c r="A1383" s="72" t="s">
        <v>4458</v>
      </c>
      <c r="B1383" s="72" t="s">
        <v>149</v>
      </c>
      <c r="C1383" s="72" t="s">
        <v>535</v>
      </c>
      <c r="D1383" s="72" t="s">
        <v>4459</v>
      </c>
      <c r="E1383" s="72" t="s">
        <v>1300</v>
      </c>
      <c r="F1383" s="72" t="s">
        <v>4460</v>
      </c>
      <c r="G1383" s="72">
        <v>-2.0</v>
      </c>
      <c r="H1383" s="127">
        <v>-2.0</v>
      </c>
      <c r="I1383" s="1"/>
      <c r="J1383" s="1"/>
      <c r="K1383" s="1"/>
      <c r="L1383" s="1"/>
      <c r="M1383" s="1"/>
      <c r="N1383" s="1"/>
      <c r="O1383" s="1"/>
      <c r="P1383" s="1"/>
      <c r="Q1383" s="1"/>
      <c r="R1383" s="1"/>
      <c r="S1383" s="1"/>
      <c r="T1383" s="1"/>
      <c r="U1383" s="1"/>
      <c r="V1383" s="1"/>
      <c r="W1383" s="1"/>
      <c r="X1383" s="1"/>
      <c r="Y1383" s="1"/>
      <c r="Z1383" s="1"/>
    </row>
    <row r="1384">
      <c r="A1384" s="72" t="s">
        <v>4461</v>
      </c>
      <c r="B1384" s="72" t="s">
        <v>113</v>
      </c>
      <c r="C1384" s="72" t="s">
        <v>535</v>
      </c>
      <c r="D1384" s="72" t="s">
        <v>4462</v>
      </c>
      <c r="E1384" s="72" t="s">
        <v>1271</v>
      </c>
      <c r="F1384" s="72" t="s">
        <v>4463</v>
      </c>
      <c r="G1384" s="72" t="s">
        <v>1273</v>
      </c>
      <c r="H1384" s="127">
        <v>0.0</v>
      </c>
      <c r="I1384" s="1"/>
      <c r="J1384" s="1"/>
      <c r="K1384" s="1"/>
      <c r="L1384" s="1"/>
      <c r="M1384" s="1"/>
      <c r="N1384" s="1"/>
      <c r="O1384" s="1"/>
      <c r="P1384" s="1"/>
      <c r="Q1384" s="1"/>
      <c r="R1384" s="1"/>
      <c r="S1384" s="1"/>
      <c r="T1384" s="1"/>
      <c r="U1384" s="1"/>
      <c r="V1384" s="1"/>
      <c r="W1384" s="1"/>
      <c r="X1384" s="1"/>
      <c r="Y1384" s="1"/>
      <c r="Z1384" s="1"/>
    </row>
    <row r="1385">
      <c r="A1385" s="72" t="s">
        <v>4464</v>
      </c>
      <c r="B1385" s="72" t="s">
        <v>298</v>
      </c>
      <c r="C1385" s="72" t="s">
        <v>535</v>
      </c>
      <c r="D1385" s="72" t="s">
        <v>4465</v>
      </c>
      <c r="E1385" s="72" t="s">
        <v>1300</v>
      </c>
      <c r="F1385" s="72" t="s">
        <v>4466</v>
      </c>
      <c r="G1385" s="72">
        <v>-2.0</v>
      </c>
      <c r="H1385" s="127">
        <v>-2.0</v>
      </c>
      <c r="I1385" s="1"/>
      <c r="J1385" s="1"/>
      <c r="K1385" s="1"/>
      <c r="L1385" s="1"/>
      <c r="M1385" s="1"/>
      <c r="N1385" s="1"/>
      <c r="O1385" s="1"/>
      <c r="P1385" s="1"/>
      <c r="Q1385" s="1"/>
      <c r="R1385" s="1"/>
      <c r="S1385" s="1"/>
      <c r="T1385" s="1"/>
      <c r="U1385" s="1"/>
      <c r="V1385" s="1"/>
      <c r="W1385" s="1"/>
      <c r="X1385" s="1"/>
      <c r="Y1385" s="1"/>
      <c r="Z1385" s="1"/>
    </row>
    <row r="1386">
      <c r="A1386" s="72" t="s">
        <v>4467</v>
      </c>
      <c r="B1386" s="72" t="s">
        <v>178</v>
      </c>
      <c r="C1386" s="72" t="s">
        <v>535</v>
      </c>
      <c r="D1386" s="72" t="s">
        <v>4468</v>
      </c>
      <c r="E1386" s="72" t="s">
        <v>1271</v>
      </c>
      <c r="F1386" s="72" t="s">
        <v>4469</v>
      </c>
      <c r="G1386" s="72" t="s">
        <v>1273</v>
      </c>
      <c r="H1386" s="127">
        <v>0.0</v>
      </c>
      <c r="I1386" s="1"/>
      <c r="J1386" s="1"/>
      <c r="K1386" s="1"/>
      <c r="L1386" s="1"/>
      <c r="M1386" s="1"/>
      <c r="N1386" s="1"/>
      <c r="O1386" s="1"/>
      <c r="P1386" s="1"/>
      <c r="Q1386" s="1"/>
      <c r="R1386" s="1"/>
      <c r="S1386" s="1"/>
      <c r="T1386" s="1"/>
      <c r="U1386" s="1"/>
      <c r="V1386" s="1"/>
      <c r="W1386" s="1"/>
      <c r="X1386" s="1"/>
      <c r="Y1386" s="1"/>
      <c r="Z1386" s="1"/>
    </row>
    <row r="1387">
      <c r="A1387" s="72" t="s">
        <v>4470</v>
      </c>
      <c r="B1387" s="72" t="s">
        <v>138</v>
      </c>
      <c r="C1387" s="72" t="s">
        <v>535</v>
      </c>
      <c r="D1387" s="72" t="s">
        <v>4471</v>
      </c>
      <c r="E1387" s="72" t="s">
        <v>1335</v>
      </c>
      <c r="F1387" s="72" t="s">
        <v>4472</v>
      </c>
      <c r="G1387" s="1">
        <f>+2</f>
        <v>2</v>
      </c>
      <c r="H1387" s="127">
        <v>2.0</v>
      </c>
      <c r="I1387" s="1"/>
      <c r="J1387" s="1"/>
      <c r="K1387" s="1"/>
      <c r="L1387" s="1"/>
      <c r="M1387" s="1"/>
      <c r="N1387" s="1"/>
      <c r="O1387" s="1"/>
      <c r="P1387" s="1"/>
      <c r="Q1387" s="1"/>
      <c r="R1387" s="1"/>
      <c r="S1387" s="1"/>
      <c r="T1387" s="1"/>
      <c r="U1387" s="1"/>
      <c r="V1387" s="1"/>
      <c r="W1387" s="1"/>
      <c r="X1387" s="1"/>
      <c r="Y1387" s="1"/>
      <c r="Z1387" s="1"/>
    </row>
    <row r="1388">
      <c r="A1388" s="72" t="s">
        <v>4473</v>
      </c>
      <c r="B1388" s="72" t="s">
        <v>275</v>
      </c>
      <c r="C1388" s="72" t="s">
        <v>535</v>
      </c>
      <c r="D1388" s="72" t="s">
        <v>4474</v>
      </c>
      <c r="E1388" s="72" t="s">
        <v>1283</v>
      </c>
      <c r="F1388" s="72" t="s">
        <v>4475</v>
      </c>
      <c r="G1388" s="72">
        <v>-1.0</v>
      </c>
      <c r="H1388" s="127">
        <v>-1.0</v>
      </c>
      <c r="I1388" s="1"/>
      <c r="J1388" s="1"/>
      <c r="K1388" s="1"/>
      <c r="L1388" s="1"/>
      <c r="M1388" s="1"/>
      <c r="N1388" s="1"/>
      <c r="O1388" s="1"/>
      <c r="P1388" s="1"/>
      <c r="Q1388" s="1"/>
      <c r="R1388" s="1"/>
      <c r="S1388" s="1"/>
      <c r="T1388" s="1"/>
      <c r="U1388" s="1"/>
      <c r="V1388" s="1"/>
      <c r="W1388" s="1"/>
      <c r="X1388" s="1"/>
      <c r="Y1388" s="1"/>
      <c r="Z1388" s="1"/>
    </row>
    <row r="1389">
      <c r="A1389" s="72" t="s">
        <v>4476</v>
      </c>
      <c r="B1389" s="72" t="s">
        <v>319</v>
      </c>
      <c r="C1389" s="72" t="s">
        <v>535</v>
      </c>
      <c r="D1389" s="72" t="s">
        <v>4477</v>
      </c>
      <c r="E1389" s="72" t="s">
        <v>1290</v>
      </c>
      <c r="F1389" s="72" t="s">
        <v>4478</v>
      </c>
      <c r="G1389" s="1">
        <f>+3</f>
        <v>3</v>
      </c>
      <c r="H1389" s="127">
        <v>3.0</v>
      </c>
      <c r="I1389" s="1"/>
      <c r="J1389" s="1"/>
      <c r="K1389" s="1"/>
      <c r="L1389" s="1"/>
      <c r="M1389" s="1"/>
      <c r="N1389" s="1"/>
      <c r="O1389" s="1"/>
      <c r="P1389" s="1"/>
      <c r="Q1389" s="1"/>
      <c r="R1389" s="1"/>
      <c r="S1389" s="1"/>
      <c r="T1389" s="1"/>
      <c r="U1389" s="1"/>
      <c r="V1389" s="1"/>
      <c r="W1389" s="1"/>
      <c r="X1389" s="1"/>
      <c r="Y1389" s="1"/>
      <c r="Z1389" s="1"/>
    </row>
    <row r="1390">
      <c r="A1390" s="72" t="s">
        <v>4479</v>
      </c>
      <c r="B1390" s="72" t="s">
        <v>275</v>
      </c>
      <c r="C1390" s="72" t="s">
        <v>535</v>
      </c>
      <c r="D1390" s="72" t="s">
        <v>4480</v>
      </c>
      <c r="E1390" s="72" t="s">
        <v>1271</v>
      </c>
      <c r="F1390" s="72" t="s">
        <v>4481</v>
      </c>
      <c r="G1390" s="72" t="s">
        <v>1273</v>
      </c>
      <c r="H1390" s="127">
        <v>0.0</v>
      </c>
      <c r="I1390" s="1"/>
      <c r="J1390" s="1"/>
      <c r="K1390" s="1"/>
      <c r="L1390" s="1"/>
      <c r="M1390" s="1"/>
      <c r="N1390" s="1"/>
      <c r="O1390" s="1"/>
      <c r="P1390" s="1"/>
      <c r="Q1390" s="1"/>
      <c r="R1390" s="1"/>
      <c r="S1390" s="1"/>
      <c r="T1390" s="1"/>
      <c r="U1390" s="1"/>
      <c r="V1390" s="1"/>
      <c r="W1390" s="1"/>
      <c r="X1390" s="1"/>
      <c r="Y1390" s="1"/>
      <c r="Z1390" s="1"/>
    </row>
    <row r="1391">
      <c r="A1391" s="72" t="s">
        <v>4482</v>
      </c>
      <c r="B1391" s="72" t="s">
        <v>156</v>
      </c>
      <c r="C1391" s="72" t="s">
        <v>535</v>
      </c>
      <c r="D1391" s="72" t="s">
        <v>4483</v>
      </c>
      <c r="E1391" s="72" t="s">
        <v>1300</v>
      </c>
      <c r="F1391" s="72" t="s">
        <v>4484</v>
      </c>
      <c r="G1391" s="72">
        <v>-2.0</v>
      </c>
      <c r="H1391" s="127">
        <v>-2.0</v>
      </c>
      <c r="I1391" s="1"/>
      <c r="J1391" s="1"/>
      <c r="K1391" s="1"/>
      <c r="L1391" s="1"/>
      <c r="M1391" s="1"/>
      <c r="N1391" s="1"/>
      <c r="O1391" s="1"/>
      <c r="P1391" s="1"/>
      <c r="Q1391" s="1"/>
      <c r="R1391" s="1"/>
      <c r="S1391" s="1"/>
      <c r="T1391" s="1"/>
      <c r="U1391" s="1"/>
      <c r="V1391" s="1"/>
      <c r="W1391" s="1"/>
      <c r="X1391" s="1"/>
      <c r="Y1391" s="1"/>
      <c r="Z1391" s="1"/>
    </row>
    <row r="1392">
      <c r="A1392" s="72" t="s">
        <v>4485</v>
      </c>
      <c r="B1392" s="72" t="s">
        <v>256</v>
      </c>
      <c r="C1392" s="72" t="s">
        <v>535</v>
      </c>
      <c r="D1392" s="72" t="s">
        <v>4486</v>
      </c>
      <c r="E1392" s="72" t="s">
        <v>1283</v>
      </c>
      <c r="F1392" s="72" t="s">
        <v>4487</v>
      </c>
      <c r="G1392" s="72">
        <v>-1.0</v>
      </c>
      <c r="H1392" s="127">
        <v>-1.0</v>
      </c>
      <c r="I1392" s="1"/>
      <c r="J1392" s="1"/>
      <c r="K1392" s="1"/>
      <c r="L1392" s="1"/>
      <c r="M1392" s="1"/>
      <c r="N1392" s="1"/>
      <c r="O1392" s="1"/>
      <c r="P1392" s="1"/>
      <c r="Q1392" s="1"/>
      <c r="R1392" s="1"/>
      <c r="S1392" s="1"/>
      <c r="T1392" s="1"/>
      <c r="U1392" s="1"/>
      <c r="V1392" s="1"/>
      <c r="W1392" s="1"/>
      <c r="X1392" s="1"/>
      <c r="Y1392" s="1"/>
      <c r="Z1392" s="1"/>
    </row>
    <row r="1393">
      <c r="A1393" s="72" t="s">
        <v>4488</v>
      </c>
      <c r="B1393" s="72" t="s">
        <v>313</v>
      </c>
      <c r="C1393" s="72" t="s">
        <v>535</v>
      </c>
      <c r="D1393" s="72" t="s">
        <v>4489</v>
      </c>
      <c r="E1393" s="72" t="s">
        <v>1276</v>
      </c>
      <c r="F1393" s="72" t="s">
        <v>4490</v>
      </c>
      <c r="G1393" s="1">
        <f>+1</f>
        <v>1</v>
      </c>
      <c r="H1393" s="127">
        <v>1.0</v>
      </c>
      <c r="I1393" s="1"/>
      <c r="J1393" s="1"/>
      <c r="K1393" s="1"/>
      <c r="L1393" s="1"/>
      <c r="M1393" s="1"/>
      <c r="N1393" s="1"/>
      <c r="O1393" s="1"/>
      <c r="P1393" s="1"/>
      <c r="Q1393" s="1"/>
      <c r="R1393" s="1"/>
      <c r="S1393" s="1"/>
      <c r="T1393" s="1"/>
      <c r="U1393" s="1"/>
      <c r="V1393" s="1"/>
      <c r="W1393" s="1"/>
      <c r="X1393" s="1"/>
      <c r="Y1393" s="1"/>
      <c r="Z1393" s="1"/>
    </row>
    <row r="1394">
      <c r="A1394" s="72" t="s">
        <v>4491</v>
      </c>
      <c r="B1394" s="72" t="s">
        <v>288</v>
      </c>
      <c r="C1394" s="72" t="s">
        <v>535</v>
      </c>
      <c r="D1394" s="72" t="s">
        <v>4492</v>
      </c>
      <c r="E1394" s="72" t="s">
        <v>1335</v>
      </c>
      <c r="F1394" s="72" t="s">
        <v>4493</v>
      </c>
      <c r="G1394" s="1">
        <f t="shared" ref="G1394:G1395" si="48">+2</f>
        <v>2</v>
      </c>
      <c r="H1394" s="127">
        <v>2.0</v>
      </c>
      <c r="I1394" s="1"/>
      <c r="J1394" s="1"/>
      <c r="K1394" s="1"/>
      <c r="L1394" s="1"/>
      <c r="M1394" s="1"/>
      <c r="N1394" s="1"/>
      <c r="O1394" s="1"/>
      <c r="P1394" s="1"/>
      <c r="Q1394" s="1"/>
      <c r="R1394" s="1"/>
      <c r="S1394" s="1"/>
      <c r="T1394" s="1"/>
      <c r="U1394" s="1"/>
      <c r="V1394" s="1"/>
      <c r="W1394" s="1"/>
      <c r="X1394" s="1"/>
      <c r="Y1394" s="1"/>
      <c r="Z1394" s="1"/>
    </row>
    <row r="1395">
      <c r="A1395" s="72" t="s">
        <v>4494</v>
      </c>
      <c r="B1395" s="72" t="s">
        <v>321</v>
      </c>
      <c r="C1395" s="72" t="s">
        <v>535</v>
      </c>
      <c r="D1395" s="72" t="s">
        <v>4495</v>
      </c>
      <c r="E1395" s="72" t="s">
        <v>1335</v>
      </c>
      <c r="F1395" s="72" t="s">
        <v>4496</v>
      </c>
      <c r="G1395" s="1">
        <f t="shared" si="48"/>
        <v>2</v>
      </c>
      <c r="H1395" s="127">
        <v>2.0</v>
      </c>
      <c r="I1395" s="1"/>
      <c r="J1395" s="1"/>
      <c r="K1395" s="1"/>
      <c r="L1395" s="1"/>
      <c r="M1395" s="1"/>
      <c r="N1395" s="1"/>
      <c r="O1395" s="1"/>
      <c r="P1395" s="1"/>
      <c r="Q1395" s="1"/>
      <c r="R1395" s="1"/>
      <c r="S1395" s="1"/>
      <c r="T1395" s="1"/>
      <c r="U1395" s="1"/>
      <c r="V1395" s="1"/>
      <c r="W1395" s="1"/>
      <c r="X1395" s="1"/>
      <c r="Y1395" s="1"/>
      <c r="Z1395" s="1"/>
    </row>
    <row r="1396">
      <c r="A1396" s="72" t="s">
        <v>4497</v>
      </c>
      <c r="B1396" s="72" t="s">
        <v>152</v>
      </c>
      <c r="C1396" s="72" t="s">
        <v>535</v>
      </c>
      <c r="D1396" s="72" t="s">
        <v>4498</v>
      </c>
      <c r="E1396" s="72" t="s">
        <v>1271</v>
      </c>
      <c r="F1396" s="72" t="s">
        <v>4499</v>
      </c>
      <c r="G1396" s="72" t="s">
        <v>1273</v>
      </c>
      <c r="H1396" s="127">
        <v>0.0</v>
      </c>
      <c r="I1396" s="1"/>
      <c r="J1396" s="1"/>
      <c r="K1396" s="1"/>
      <c r="L1396" s="1"/>
      <c r="M1396" s="1"/>
      <c r="N1396" s="1"/>
      <c r="O1396" s="1"/>
      <c r="P1396" s="1"/>
      <c r="Q1396" s="1"/>
      <c r="R1396" s="1"/>
      <c r="S1396" s="1"/>
      <c r="T1396" s="1"/>
      <c r="U1396" s="1"/>
      <c r="V1396" s="1"/>
      <c r="W1396" s="1"/>
      <c r="X1396" s="1"/>
      <c r="Y1396" s="1"/>
      <c r="Z1396" s="1"/>
    </row>
    <row r="1397">
      <c r="A1397" s="72" t="s">
        <v>4500</v>
      </c>
      <c r="B1397" s="72" t="s">
        <v>117</v>
      </c>
      <c r="C1397" s="72" t="s">
        <v>535</v>
      </c>
      <c r="D1397" s="72" t="s">
        <v>4501</v>
      </c>
      <c r="E1397" s="72" t="s">
        <v>1283</v>
      </c>
      <c r="F1397" s="72" t="s">
        <v>4502</v>
      </c>
      <c r="G1397" s="72">
        <v>-1.0</v>
      </c>
      <c r="H1397" s="127">
        <v>-1.0</v>
      </c>
      <c r="I1397" s="1"/>
      <c r="J1397" s="1"/>
      <c r="K1397" s="1"/>
      <c r="L1397" s="1"/>
      <c r="M1397" s="1"/>
      <c r="N1397" s="1"/>
      <c r="O1397" s="1"/>
      <c r="P1397" s="1"/>
      <c r="Q1397" s="1"/>
      <c r="R1397" s="1"/>
      <c r="S1397" s="1"/>
      <c r="T1397" s="1"/>
      <c r="U1397" s="1"/>
      <c r="V1397" s="1"/>
      <c r="W1397" s="1"/>
      <c r="X1397" s="1"/>
      <c r="Y1397" s="1"/>
      <c r="Z1397" s="1"/>
    </row>
    <row r="1398">
      <c r="A1398" s="72" t="s">
        <v>4503</v>
      </c>
      <c r="B1398" s="72" t="s">
        <v>208</v>
      </c>
      <c r="C1398" s="72" t="s">
        <v>535</v>
      </c>
      <c r="D1398" s="72" t="s">
        <v>4504</v>
      </c>
      <c r="E1398" s="72" t="s">
        <v>1271</v>
      </c>
      <c r="F1398" s="72" t="s">
        <v>4505</v>
      </c>
      <c r="G1398" s="72" t="s">
        <v>1273</v>
      </c>
      <c r="H1398" s="127">
        <v>0.0</v>
      </c>
      <c r="I1398" s="1"/>
      <c r="J1398" s="1"/>
      <c r="K1398" s="1"/>
      <c r="L1398" s="1"/>
      <c r="M1398" s="1"/>
      <c r="N1398" s="1"/>
      <c r="O1398" s="1"/>
      <c r="P1398" s="1"/>
      <c r="Q1398" s="1"/>
      <c r="R1398" s="1"/>
      <c r="S1398" s="1"/>
      <c r="T1398" s="1"/>
      <c r="U1398" s="1"/>
      <c r="V1398" s="1"/>
      <c r="W1398" s="1"/>
      <c r="X1398" s="1"/>
      <c r="Y1398" s="1"/>
      <c r="Z1398" s="1"/>
    </row>
    <row r="1399">
      <c r="A1399" s="72" t="s">
        <v>4506</v>
      </c>
      <c r="B1399" s="72" t="s">
        <v>305</v>
      </c>
      <c r="C1399" s="72" t="s">
        <v>535</v>
      </c>
      <c r="D1399" s="72" t="s">
        <v>4507</v>
      </c>
      <c r="E1399" s="72" t="s">
        <v>1283</v>
      </c>
      <c r="F1399" s="72" t="s">
        <v>4508</v>
      </c>
      <c r="G1399" s="72">
        <v>-1.0</v>
      </c>
      <c r="H1399" s="127">
        <v>-1.0</v>
      </c>
      <c r="I1399" s="1"/>
      <c r="J1399" s="1"/>
      <c r="K1399" s="1"/>
      <c r="L1399" s="1"/>
      <c r="M1399" s="1"/>
      <c r="N1399" s="1"/>
      <c r="O1399" s="1"/>
      <c r="P1399" s="1"/>
      <c r="Q1399" s="1"/>
      <c r="R1399" s="1"/>
      <c r="S1399" s="1"/>
      <c r="T1399" s="1"/>
      <c r="U1399" s="1"/>
      <c r="V1399" s="1"/>
      <c r="W1399" s="1"/>
      <c r="X1399" s="1"/>
      <c r="Y1399" s="1"/>
      <c r="Z1399" s="1"/>
    </row>
    <row r="1400">
      <c r="A1400" s="72" t="s">
        <v>4509</v>
      </c>
      <c r="B1400" s="72" t="s">
        <v>117</v>
      </c>
      <c r="C1400" s="72" t="s">
        <v>535</v>
      </c>
      <c r="D1400" s="72" t="s">
        <v>4510</v>
      </c>
      <c r="E1400" s="72" t="s">
        <v>1283</v>
      </c>
      <c r="F1400" s="72" t="s">
        <v>4511</v>
      </c>
      <c r="G1400" s="72">
        <v>-1.0</v>
      </c>
      <c r="H1400" s="127">
        <v>-1.0</v>
      </c>
      <c r="I1400" s="1"/>
      <c r="J1400" s="1"/>
      <c r="K1400" s="1"/>
      <c r="L1400" s="1"/>
      <c r="M1400" s="1"/>
      <c r="N1400" s="1"/>
      <c r="O1400" s="1"/>
      <c r="P1400" s="1"/>
      <c r="Q1400" s="1"/>
      <c r="R1400" s="1"/>
      <c r="S1400" s="1"/>
      <c r="T1400" s="1"/>
      <c r="U1400" s="1"/>
      <c r="V1400" s="1"/>
      <c r="W1400" s="1"/>
      <c r="X1400" s="1"/>
      <c r="Y1400" s="1"/>
      <c r="Z1400" s="1"/>
    </row>
    <row r="1401">
      <c r="A1401" s="72" t="s">
        <v>4512</v>
      </c>
      <c r="B1401" s="72" t="s">
        <v>229</v>
      </c>
      <c r="C1401" s="72" t="s">
        <v>535</v>
      </c>
      <c r="D1401" s="72" t="s">
        <v>4513</v>
      </c>
      <c r="E1401" s="72" t="s">
        <v>1300</v>
      </c>
      <c r="F1401" s="72" t="s">
        <v>4514</v>
      </c>
      <c r="G1401" s="72">
        <v>-2.0</v>
      </c>
      <c r="H1401" s="127">
        <v>-2.0</v>
      </c>
      <c r="I1401" s="1"/>
      <c r="J1401" s="1"/>
      <c r="K1401" s="1"/>
      <c r="L1401" s="1"/>
      <c r="M1401" s="1"/>
      <c r="N1401" s="1"/>
      <c r="O1401" s="1"/>
      <c r="P1401" s="1"/>
      <c r="Q1401" s="1"/>
      <c r="R1401" s="1"/>
      <c r="S1401" s="1"/>
      <c r="T1401" s="1"/>
      <c r="U1401" s="1"/>
      <c r="V1401" s="1"/>
      <c r="W1401" s="1"/>
      <c r="X1401" s="1"/>
      <c r="Y1401" s="1"/>
      <c r="Z1401" s="1"/>
    </row>
    <row r="1402">
      <c r="A1402" s="72" t="s">
        <v>4515</v>
      </c>
      <c r="B1402" s="72" t="s">
        <v>315</v>
      </c>
      <c r="C1402" s="72" t="s">
        <v>535</v>
      </c>
      <c r="D1402" s="72" t="s">
        <v>4516</v>
      </c>
      <c r="E1402" s="72" t="s">
        <v>1271</v>
      </c>
      <c r="F1402" s="72" t="s">
        <v>4517</v>
      </c>
      <c r="G1402" s="72" t="s">
        <v>1273</v>
      </c>
      <c r="H1402" s="127">
        <v>0.0</v>
      </c>
      <c r="I1402" s="1"/>
      <c r="J1402" s="1"/>
      <c r="K1402" s="1"/>
      <c r="L1402" s="1"/>
      <c r="M1402" s="1"/>
      <c r="N1402" s="1"/>
      <c r="O1402" s="1"/>
      <c r="P1402" s="1"/>
      <c r="Q1402" s="1"/>
      <c r="R1402" s="1"/>
      <c r="S1402" s="1"/>
      <c r="T1402" s="1"/>
      <c r="U1402" s="1"/>
      <c r="V1402" s="1"/>
      <c r="W1402" s="1"/>
      <c r="X1402" s="1"/>
      <c r="Y1402" s="1"/>
      <c r="Z1402" s="1"/>
    </row>
    <row r="1403">
      <c r="A1403" s="72" t="s">
        <v>4518</v>
      </c>
      <c r="B1403" s="72" t="s">
        <v>148</v>
      </c>
      <c r="C1403" s="72" t="s">
        <v>535</v>
      </c>
      <c r="D1403" s="72" t="s">
        <v>4519</v>
      </c>
      <c r="E1403" s="72" t="s">
        <v>1300</v>
      </c>
      <c r="F1403" s="72" t="s">
        <v>4520</v>
      </c>
      <c r="G1403" s="72">
        <v>-2.0</v>
      </c>
      <c r="H1403" s="127">
        <v>-2.0</v>
      </c>
      <c r="I1403" s="1"/>
      <c r="J1403" s="1"/>
      <c r="K1403" s="1"/>
      <c r="L1403" s="1"/>
      <c r="M1403" s="1"/>
      <c r="N1403" s="1"/>
      <c r="O1403" s="1"/>
      <c r="P1403" s="1"/>
      <c r="Q1403" s="1"/>
      <c r="R1403" s="1"/>
      <c r="S1403" s="1"/>
      <c r="T1403" s="1"/>
      <c r="U1403" s="1"/>
      <c r="V1403" s="1"/>
      <c r="W1403" s="1"/>
      <c r="X1403" s="1"/>
      <c r="Y1403" s="1"/>
      <c r="Z1403" s="1"/>
    </row>
    <row r="1404">
      <c r="A1404" s="72" t="s">
        <v>4521</v>
      </c>
      <c r="B1404" s="72" t="s">
        <v>117</v>
      </c>
      <c r="C1404" s="72" t="s">
        <v>535</v>
      </c>
      <c r="D1404" s="72" t="s">
        <v>4522</v>
      </c>
      <c r="E1404" s="72" t="s">
        <v>1328</v>
      </c>
      <c r="F1404" s="72" t="s">
        <v>4523</v>
      </c>
      <c r="G1404" s="72">
        <v>-3.0</v>
      </c>
      <c r="H1404" s="127">
        <v>-3.0</v>
      </c>
      <c r="I1404" s="1"/>
      <c r="J1404" s="1"/>
      <c r="K1404" s="1"/>
      <c r="L1404" s="1"/>
      <c r="M1404" s="1"/>
      <c r="N1404" s="1"/>
      <c r="O1404" s="1"/>
      <c r="P1404" s="1"/>
      <c r="Q1404" s="1"/>
      <c r="R1404" s="1"/>
      <c r="S1404" s="1"/>
      <c r="T1404" s="1"/>
      <c r="U1404" s="1"/>
      <c r="V1404" s="1"/>
      <c r="W1404" s="1"/>
      <c r="X1404" s="1"/>
      <c r="Y1404" s="1"/>
      <c r="Z1404" s="1"/>
    </row>
    <row r="1405">
      <c r="A1405" s="72" t="s">
        <v>4524</v>
      </c>
      <c r="B1405" s="72" t="s">
        <v>186</v>
      </c>
      <c r="C1405" s="72" t="s">
        <v>535</v>
      </c>
      <c r="D1405" s="72" t="s">
        <v>4525</v>
      </c>
      <c r="E1405" s="72" t="s">
        <v>1276</v>
      </c>
      <c r="F1405" s="72" t="s">
        <v>4526</v>
      </c>
      <c r="G1405" s="1">
        <f>+1</f>
        <v>1</v>
      </c>
      <c r="H1405" s="127">
        <v>1.0</v>
      </c>
      <c r="I1405" s="1"/>
      <c r="J1405" s="1"/>
      <c r="K1405" s="1"/>
      <c r="L1405" s="1"/>
      <c r="M1405" s="1"/>
      <c r="N1405" s="1"/>
      <c r="O1405" s="1"/>
      <c r="P1405" s="1"/>
      <c r="Q1405" s="1"/>
      <c r="R1405" s="1"/>
      <c r="S1405" s="1"/>
      <c r="T1405" s="1"/>
      <c r="U1405" s="1"/>
      <c r="V1405" s="1"/>
      <c r="W1405" s="1"/>
      <c r="X1405" s="1"/>
      <c r="Y1405" s="1"/>
      <c r="Z1405" s="1"/>
    </row>
    <row r="1406">
      <c r="A1406" s="72" t="s">
        <v>4527</v>
      </c>
      <c r="B1406" s="72" t="s">
        <v>229</v>
      </c>
      <c r="C1406" s="72" t="s">
        <v>535</v>
      </c>
      <c r="D1406" s="72" t="s">
        <v>4528</v>
      </c>
      <c r="E1406" s="72" t="s">
        <v>1271</v>
      </c>
      <c r="F1406" s="72" t="s">
        <v>4529</v>
      </c>
      <c r="G1406" s="72" t="s">
        <v>1273</v>
      </c>
      <c r="H1406" s="127">
        <v>0.0</v>
      </c>
      <c r="I1406" s="1"/>
      <c r="J1406" s="1"/>
      <c r="K1406" s="1"/>
      <c r="L1406" s="1"/>
      <c r="M1406" s="1"/>
      <c r="N1406" s="1"/>
      <c r="O1406" s="1"/>
      <c r="P1406" s="1"/>
      <c r="Q1406" s="1"/>
      <c r="R1406" s="1"/>
      <c r="S1406" s="1"/>
      <c r="T1406" s="1"/>
      <c r="U1406" s="1"/>
      <c r="V1406" s="1"/>
      <c r="W1406" s="1"/>
      <c r="X1406" s="1"/>
      <c r="Y1406" s="1"/>
      <c r="Z1406" s="1"/>
    </row>
    <row r="1407">
      <c r="A1407" s="72" t="s">
        <v>4530</v>
      </c>
      <c r="B1407" s="72" t="s">
        <v>250</v>
      </c>
      <c r="C1407" s="72" t="s">
        <v>535</v>
      </c>
      <c r="D1407" s="72" t="s">
        <v>4531</v>
      </c>
      <c r="E1407" s="72" t="s">
        <v>1271</v>
      </c>
      <c r="F1407" s="72" t="s">
        <v>4532</v>
      </c>
      <c r="G1407" s="72" t="s">
        <v>1273</v>
      </c>
      <c r="H1407" s="127">
        <v>0.0</v>
      </c>
      <c r="I1407" s="1"/>
      <c r="J1407" s="1"/>
      <c r="K1407" s="1"/>
      <c r="L1407" s="1"/>
      <c r="M1407" s="1"/>
      <c r="N1407" s="1"/>
      <c r="O1407" s="1"/>
      <c r="P1407" s="1"/>
      <c r="Q1407" s="1"/>
      <c r="R1407" s="1"/>
      <c r="S1407" s="1"/>
      <c r="T1407" s="1"/>
      <c r="U1407" s="1"/>
      <c r="V1407" s="1"/>
      <c r="W1407" s="1"/>
      <c r="X1407" s="1"/>
      <c r="Y1407" s="1"/>
      <c r="Z1407" s="1"/>
    </row>
    <row r="1408">
      <c r="A1408" s="72" t="s">
        <v>4533</v>
      </c>
      <c r="B1408" s="72" t="s">
        <v>286</v>
      </c>
      <c r="C1408" s="72" t="s">
        <v>535</v>
      </c>
      <c r="D1408" s="72" t="s">
        <v>4534</v>
      </c>
      <c r="E1408" s="72" t="s">
        <v>1283</v>
      </c>
      <c r="F1408" s="72" t="s">
        <v>4535</v>
      </c>
      <c r="G1408" s="72">
        <v>-1.0</v>
      </c>
      <c r="H1408" s="127">
        <v>-1.0</v>
      </c>
      <c r="I1408" s="1"/>
      <c r="J1408" s="1"/>
      <c r="K1408" s="1"/>
      <c r="L1408" s="1"/>
      <c r="M1408" s="1"/>
      <c r="N1408" s="1"/>
      <c r="O1408" s="1"/>
      <c r="P1408" s="1"/>
      <c r="Q1408" s="1"/>
      <c r="R1408" s="1"/>
      <c r="S1408" s="1"/>
      <c r="T1408" s="1"/>
      <c r="U1408" s="1"/>
      <c r="V1408" s="1"/>
      <c r="W1408" s="1"/>
      <c r="X1408" s="1"/>
      <c r="Y1408" s="1"/>
      <c r="Z1408" s="1"/>
    </row>
    <row r="1409">
      <c r="A1409" s="72" t="s">
        <v>4536</v>
      </c>
      <c r="B1409" s="72" t="s">
        <v>186</v>
      </c>
      <c r="C1409" s="72" t="s">
        <v>535</v>
      </c>
      <c r="D1409" s="72" t="s">
        <v>4537</v>
      </c>
      <c r="E1409" s="72" t="s">
        <v>1271</v>
      </c>
      <c r="F1409" s="72" t="s">
        <v>4538</v>
      </c>
      <c r="G1409" s="72" t="s">
        <v>1273</v>
      </c>
      <c r="H1409" s="127">
        <v>0.0</v>
      </c>
      <c r="I1409" s="1"/>
      <c r="J1409" s="1"/>
      <c r="K1409" s="1"/>
      <c r="L1409" s="1"/>
      <c r="M1409" s="1"/>
      <c r="N1409" s="1"/>
      <c r="O1409" s="1"/>
      <c r="P1409" s="1"/>
      <c r="Q1409" s="1"/>
      <c r="R1409" s="1"/>
      <c r="S1409" s="1"/>
      <c r="T1409" s="1"/>
      <c r="U1409" s="1"/>
      <c r="V1409" s="1"/>
      <c r="W1409" s="1"/>
      <c r="X1409" s="1"/>
      <c r="Y1409" s="1"/>
      <c r="Z1409" s="1"/>
    </row>
    <row r="1410">
      <c r="A1410" s="72" t="s">
        <v>4539</v>
      </c>
      <c r="B1410" s="72" t="s">
        <v>250</v>
      </c>
      <c r="C1410" s="72" t="s">
        <v>535</v>
      </c>
      <c r="D1410" s="72" t="s">
        <v>4540</v>
      </c>
      <c r="E1410" s="72" t="s">
        <v>1283</v>
      </c>
      <c r="F1410" s="72" t="s">
        <v>4541</v>
      </c>
      <c r="G1410" s="72">
        <v>-1.0</v>
      </c>
      <c r="H1410" s="127">
        <v>-1.0</v>
      </c>
      <c r="I1410" s="1"/>
      <c r="J1410" s="1"/>
      <c r="K1410" s="1"/>
      <c r="L1410" s="1"/>
      <c r="M1410" s="1"/>
      <c r="N1410" s="1"/>
      <c r="O1410" s="1"/>
      <c r="P1410" s="1"/>
      <c r="Q1410" s="1"/>
      <c r="R1410" s="1"/>
      <c r="S1410" s="1"/>
      <c r="T1410" s="1"/>
      <c r="U1410" s="1"/>
      <c r="V1410" s="1"/>
      <c r="W1410" s="1"/>
      <c r="X1410" s="1"/>
      <c r="Y1410" s="1"/>
      <c r="Z1410" s="1"/>
    </row>
    <row r="1411">
      <c r="A1411" s="72" t="s">
        <v>4542</v>
      </c>
      <c r="B1411" s="72" t="s">
        <v>214</v>
      </c>
      <c r="C1411" s="72" t="s">
        <v>535</v>
      </c>
      <c r="D1411" s="72" t="s">
        <v>4543</v>
      </c>
      <c r="E1411" s="72" t="s">
        <v>1290</v>
      </c>
      <c r="F1411" s="72" t="s">
        <v>4544</v>
      </c>
      <c r="G1411" s="1">
        <f>+3</f>
        <v>3</v>
      </c>
      <c r="H1411" s="127">
        <v>3.0</v>
      </c>
      <c r="I1411" s="1"/>
      <c r="J1411" s="1"/>
      <c r="K1411" s="1"/>
      <c r="L1411" s="1"/>
      <c r="M1411" s="1"/>
      <c r="N1411" s="1"/>
      <c r="O1411" s="1"/>
      <c r="P1411" s="1"/>
      <c r="Q1411" s="1"/>
      <c r="R1411" s="1"/>
      <c r="S1411" s="1"/>
      <c r="T1411" s="1"/>
      <c r="U1411" s="1"/>
      <c r="V1411" s="1"/>
      <c r="W1411" s="1"/>
      <c r="X1411" s="1"/>
      <c r="Y1411" s="1"/>
      <c r="Z1411" s="1"/>
    </row>
    <row r="1412">
      <c r="A1412" s="72" t="s">
        <v>4545</v>
      </c>
      <c r="B1412" s="72" t="s">
        <v>245</v>
      </c>
      <c r="C1412" s="72" t="s">
        <v>535</v>
      </c>
      <c r="D1412" s="72" t="s">
        <v>4546</v>
      </c>
      <c r="E1412" s="72" t="s">
        <v>1283</v>
      </c>
      <c r="F1412" s="72" t="s">
        <v>4547</v>
      </c>
      <c r="G1412" s="72">
        <v>-1.0</v>
      </c>
      <c r="H1412" s="127">
        <v>-1.0</v>
      </c>
      <c r="I1412" s="1"/>
      <c r="J1412" s="1"/>
      <c r="K1412" s="1"/>
      <c r="L1412" s="1"/>
      <c r="M1412" s="1"/>
      <c r="N1412" s="1"/>
      <c r="O1412" s="1"/>
      <c r="P1412" s="1"/>
      <c r="Q1412" s="1"/>
      <c r="R1412" s="1"/>
      <c r="S1412" s="1"/>
      <c r="T1412" s="1"/>
      <c r="U1412" s="1"/>
      <c r="V1412" s="1"/>
      <c r="W1412" s="1"/>
      <c r="X1412" s="1"/>
      <c r="Y1412" s="1"/>
      <c r="Z1412" s="1"/>
    </row>
    <row r="1413">
      <c r="A1413" s="72" t="s">
        <v>4548</v>
      </c>
      <c r="B1413" s="72" t="s">
        <v>286</v>
      </c>
      <c r="C1413" s="72" t="s">
        <v>535</v>
      </c>
      <c r="D1413" s="72" t="s">
        <v>4549</v>
      </c>
      <c r="E1413" s="72" t="s">
        <v>1271</v>
      </c>
      <c r="F1413" s="72" t="s">
        <v>4550</v>
      </c>
      <c r="G1413" s="72" t="s">
        <v>1273</v>
      </c>
      <c r="H1413" s="127">
        <v>0.0</v>
      </c>
      <c r="I1413" s="1"/>
      <c r="J1413" s="1"/>
      <c r="K1413" s="1"/>
      <c r="L1413" s="1"/>
      <c r="M1413" s="1"/>
      <c r="N1413" s="1"/>
      <c r="O1413" s="1"/>
      <c r="P1413" s="1"/>
      <c r="Q1413" s="1"/>
      <c r="R1413" s="1"/>
      <c r="S1413" s="1"/>
      <c r="T1413" s="1"/>
      <c r="U1413" s="1"/>
      <c r="V1413" s="1"/>
      <c r="W1413" s="1"/>
      <c r="X1413" s="1"/>
      <c r="Y1413" s="1"/>
      <c r="Z1413" s="1"/>
    </row>
    <row r="1414">
      <c r="A1414" s="72" t="s">
        <v>4551</v>
      </c>
      <c r="B1414" s="72" t="s">
        <v>250</v>
      </c>
      <c r="C1414" s="72" t="s">
        <v>535</v>
      </c>
      <c r="D1414" s="72" t="s">
        <v>4552</v>
      </c>
      <c r="E1414" s="72" t="s">
        <v>1335</v>
      </c>
      <c r="F1414" s="72" t="s">
        <v>4553</v>
      </c>
      <c r="G1414" s="1">
        <f>+2</f>
        <v>2</v>
      </c>
      <c r="H1414" s="127">
        <v>2.0</v>
      </c>
      <c r="I1414" s="1"/>
      <c r="J1414" s="1"/>
      <c r="K1414" s="1"/>
      <c r="L1414" s="1"/>
      <c r="M1414" s="1"/>
      <c r="N1414" s="1"/>
      <c r="O1414" s="1"/>
      <c r="P1414" s="1"/>
      <c r="Q1414" s="1"/>
      <c r="R1414" s="1"/>
      <c r="S1414" s="1"/>
      <c r="T1414" s="1"/>
      <c r="U1414" s="1"/>
      <c r="V1414" s="1"/>
      <c r="W1414" s="1"/>
      <c r="X1414" s="1"/>
      <c r="Y1414" s="1"/>
      <c r="Z1414" s="1"/>
    </row>
    <row r="1415">
      <c r="A1415" s="72" t="s">
        <v>4554</v>
      </c>
      <c r="B1415" s="72" t="s">
        <v>91</v>
      </c>
      <c r="C1415" s="72" t="s">
        <v>535</v>
      </c>
      <c r="D1415" s="72" t="s">
        <v>4555</v>
      </c>
      <c r="E1415" s="72" t="s">
        <v>1271</v>
      </c>
      <c r="F1415" s="72" t="s">
        <v>4556</v>
      </c>
      <c r="G1415" s="72" t="s">
        <v>1273</v>
      </c>
      <c r="H1415" s="127">
        <v>0.0</v>
      </c>
      <c r="I1415" s="1"/>
      <c r="J1415" s="1"/>
      <c r="K1415" s="1"/>
      <c r="L1415" s="1"/>
      <c r="M1415" s="1"/>
      <c r="N1415" s="1"/>
      <c r="O1415" s="1"/>
      <c r="P1415" s="1"/>
      <c r="Q1415" s="1"/>
      <c r="R1415" s="1"/>
      <c r="S1415" s="1"/>
      <c r="T1415" s="1"/>
      <c r="U1415" s="1"/>
      <c r="V1415" s="1"/>
      <c r="W1415" s="1"/>
      <c r="X1415" s="1"/>
      <c r="Y1415" s="1"/>
      <c r="Z1415" s="1"/>
    </row>
    <row r="1416">
      <c r="A1416" s="72" t="s">
        <v>4557</v>
      </c>
      <c r="B1416" s="72" t="s">
        <v>298</v>
      </c>
      <c r="C1416" s="72" t="s">
        <v>535</v>
      </c>
      <c r="D1416" s="72" t="s">
        <v>4558</v>
      </c>
      <c r="E1416" s="72" t="s">
        <v>1271</v>
      </c>
      <c r="F1416" s="72" t="s">
        <v>4559</v>
      </c>
      <c r="G1416" s="72" t="s">
        <v>1273</v>
      </c>
      <c r="H1416" s="127">
        <v>0.0</v>
      </c>
      <c r="I1416" s="1"/>
      <c r="J1416" s="1"/>
      <c r="K1416" s="1"/>
      <c r="L1416" s="1"/>
      <c r="M1416" s="1"/>
      <c r="N1416" s="1"/>
      <c r="O1416" s="1"/>
      <c r="P1416" s="1"/>
      <c r="Q1416" s="1"/>
      <c r="R1416" s="1"/>
      <c r="S1416" s="1"/>
      <c r="T1416" s="1"/>
      <c r="U1416" s="1"/>
      <c r="V1416" s="1"/>
      <c r="W1416" s="1"/>
      <c r="X1416" s="1"/>
      <c r="Y1416" s="1"/>
      <c r="Z1416" s="1"/>
    </row>
    <row r="1417">
      <c r="A1417" s="72" t="s">
        <v>4560</v>
      </c>
      <c r="B1417" s="72" t="s">
        <v>179</v>
      </c>
      <c r="C1417" s="72" t="s">
        <v>535</v>
      </c>
      <c r="D1417" s="72" t="s">
        <v>4561</v>
      </c>
      <c r="E1417" s="72" t="s">
        <v>1335</v>
      </c>
      <c r="F1417" s="72" t="s">
        <v>4562</v>
      </c>
      <c r="G1417" s="1">
        <f>+2</f>
        <v>2</v>
      </c>
      <c r="H1417" s="127">
        <v>2.0</v>
      </c>
      <c r="I1417" s="1"/>
      <c r="J1417" s="1"/>
      <c r="K1417" s="1"/>
      <c r="L1417" s="1"/>
      <c r="M1417" s="1"/>
      <c r="N1417" s="1"/>
      <c r="O1417" s="1"/>
      <c r="P1417" s="1"/>
      <c r="Q1417" s="1"/>
      <c r="R1417" s="1"/>
      <c r="S1417" s="1"/>
      <c r="T1417" s="1"/>
      <c r="U1417" s="1"/>
      <c r="V1417" s="1"/>
      <c r="W1417" s="1"/>
      <c r="X1417" s="1"/>
      <c r="Y1417" s="1"/>
      <c r="Z1417" s="1"/>
    </row>
    <row r="1418">
      <c r="A1418" s="72" t="s">
        <v>4563</v>
      </c>
      <c r="B1418" s="72" t="s">
        <v>137</v>
      </c>
      <c r="C1418" s="72" t="s">
        <v>535</v>
      </c>
      <c r="D1418" s="72" t="s">
        <v>4564</v>
      </c>
      <c r="E1418" s="72" t="s">
        <v>1271</v>
      </c>
      <c r="F1418" s="72" t="s">
        <v>4565</v>
      </c>
      <c r="G1418" s="72" t="s">
        <v>1273</v>
      </c>
      <c r="H1418" s="127">
        <v>0.0</v>
      </c>
      <c r="I1418" s="1"/>
      <c r="J1418" s="1"/>
      <c r="K1418" s="1"/>
      <c r="L1418" s="1"/>
      <c r="M1418" s="1"/>
      <c r="N1418" s="1"/>
      <c r="O1418" s="1"/>
      <c r="P1418" s="1"/>
      <c r="Q1418" s="1"/>
      <c r="R1418" s="1"/>
      <c r="S1418" s="1"/>
      <c r="T1418" s="1"/>
      <c r="U1418" s="1"/>
      <c r="V1418" s="1"/>
      <c r="W1418" s="1"/>
      <c r="X1418" s="1"/>
      <c r="Y1418" s="1"/>
      <c r="Z1418" s="1"/>
    </row>
    <row r="1419">
      <c r="A1419" s="72" t="s">
        <v>4566</v>
      </c>
      <c r="B1419" s="72" t="s">
        <v>217</v>
      </c>
      <c r="C1419" s="72" t="s">
        <v>535</v>
      </c>
      <c r="D1419" s="72" t="s">
        <v>4567</v>
      </c>
      <c r="E1419" s="72" t="s">
        <v>1271</v>
      </c>
      <c r="F1419" s="72" t="s">
        <v>4568</v>
      </c>
      <c r="G1419" s="72" t="s">
        <v>1273</v>
      </c>
      <c r="H1419" s="127">
        <v>0.0</v>
      </c>
      <c r="I1419" s="1"/>
      <c r="J1419" s="1"/>
      <c r="K1419" s="1"/>
      <c r="L1419" s="1"/>
      <c r="M1419" s="1"/>
      <c r="N1419" s="1"/>
      <c r="O1419" s="1"/>
      <c r="P1419" s="1"/>
      <c r="Q1419" s="1"/>
      <c r="R1419" s="1"/>
      <c r="S1419" s="1"/>
      <c r="T1419" s="1"/>
      <c r="U1419" s="1"/>
      <c r="V1419" s="1"/>
      <c r="W1419" s="1"/>
      <c r="X1419" s="1"/>
      <c r="Y1419" s="1"/>
      <c r="Z1419" s="1"/>
    </row>
    <row r="1420">
      <c r="A1420" s="72" t="s">
        <v>4569</v>
      </c>
      <c r="B1420" s="72" t="s">
        <v>286</v>
      </c>
      <c r="C1420" s="72" t="s">
        <v>535</v>
      </c>
      <c r="D1420" s="72" t="s">
        <v>4570</v>
      </c>
      <c r="E1420" s="72" t="s">
        <v>1283</v>
      </c>
      <c r="F1420" s="72" t="s">
        <v>4571</v>
      </c>
      <c r="G1420" s="72">
        <v>-1.0</v>
      </c>
      <c r="H1420" s="127">
        <v>-1.0</v>
      </c>
      <c r="I1420" s="1"/>
      <c r="J1420" s="1"/>
      <c r="K1420" s="1"/>
      <c r="L1420" s="1"/>
      <c r="M1420" s="1"/>
      <c r="N1420" s="1"/>
      <c r="O1420" s="1"/>
      <c r="P1420" s="1"/>
      <c r="Q1420" s="1"/>
      <c r="R1420" s="1"/>
      <c r="S1420" s="1"/>
      <c r="T1420" s="1"/>
      <c r="U1420" s="1"/>
      <c r="V1420" s="1"/>
      <c r="W1420" s="1"/>
      <c r="X1420" s="1"/>
      <c r="Y1420" s="1"/>
      <c r="Z1420" s="1"/>
    </row>
    <row r="1421">
      <c r="A1421" s="72" t="s">
        <v>4572</v>
      </c>
      <c r="B1421" s="72" t="s">
        <v>314</v>
      </c>
      <c r="C1421" s="72" t="s">
        <v>535</v>
      </c>
      <c r="D1421" s="72" t="s">
        <v>4573</v>
      </c>
      <c r="E1421" s="72" t="s">
        <v>1283</v>
      </c>
      <c r="F1421" s="72" t="s">
        <v>4574</v>
      </c>
      <c r="G1421" s="72">
        <v>-1.0</v>
      </c>
      <c r="H1421" s="127">
        <v>-1.0</v>
      </c>
      <c r="I1421" s="1"/>
      <c r="J1421" s="1"/>
      <c r="K1421" s="1"/>
      <c r="L1421" s="1"/>
      <c r="M1421" s="1"/>
      <c r="N1421" s="1"/>
      <c r="O1421" s="1"/>
      <c r="P1421" s="1"/>
      <c r="Q1421" s="1"/>
      <c r="R1421" s="1"/>
      <c r="S1421" s="1"/>
      <c r="T1421" s="1"/>
      <c r="U1421" s="1"/>
      <c r="V1421" s="1"/>
      <c r="W1421" s="1"/>
      <c r="X1421" s="1"/>
      <c r="Y1421" s="1"/>
      <c r="Z1421" s="1"/>
    </row>
    <row r="1422">
      <c r="A1422" s="72" t="s">
        <v>4575</v>
      </c>
      <c r="B1422" s="72" t="s">
        <v>304</v>
      </c>
      <c r="C1422" s="72" t="s">
        <v>535</v>
      </c>
      <c r="D1422" s="72" t="s">
        <v>4576</v>
      </c>
      <c r="E1422" s="72" t="s">
        <v>1276</v>
      </c>
      <c r="F1422" s="72" t="s">
        <v>4577</v>
      </c>
      <c r="G1422" s="1">
        <f>+1</f>
        <v>1</v>
      </c>
      <c r="H1422" s="127">
        <v>1.0</v>
      </c>
      <c r="I1422" s="1"/>
      <c r="J1422" s="1"/>
      <c r="K1422" s="1"/>
      <c r="L1422" s="1"/>
      <c r="M1422" s="1"/>
      <c r="N1422" s="1"/>
      <c r="O1422" s="1"/>
      <c r="P1422" s="1"/>
      <c r="Q1422" s="1"/>
      <c r="R1422" s="1"/>
      <c r="S1422" s="1"/>
      <c r="T1422" s="1"/>
      <c r="U1422" s="1"/>
      <c r="V1422" s="1"/>
      <c r="W1422" s="1"/>
      <c r="X1422" s="1"/>
      <c r="Y1422" s="1"/>
      <c r="Z1422" s="1"/>
    </row>
    <row r="1423">
      <c r="A1423" s="72" t="s">
        <v>4578</v>
      </c>
      <c r="B1423" s="72" t="s">
        <v>314</v>
      </c>
      <c r="C1423" s="72" t="s">
        <v>535</v>
      </c>
      <c r="D1423" s="72" t="s">
        <v>4579</v>
      </c>
      <c r="E1423" s="72" t="s">
        <v>1271</v>
      </c>
      <c r="F1423" s="72" t="s">
        <v>4580</v>
      </c>
      <c r="G1423" s="72" t="s">
        <v>1273</v>
      </c>
      <c r="H1423" s="127">
        <v>0.0</v>
      </c>
      <c r="I1423" s="1"/>
      <c r="J1423" s="1"/>
      <c r="K1423" s="1"/>
      <c r="L1423" s="1"/>
      <c r="M1423" s="1"/>
      <c r="N1423" s="1"/>
      <c r="O1423" s="1"/>
      <c r="P1423" s="1"/>
      <c r="Q1423" s="1"/>
      <c r="R1423" s="1"/>
      <c r="S1423" s="1"/>
      <c r="T1423" s="1"/>
      <c r="U1423" s="1"/>
      <c r="V1423" s="1"/>
      <c r="W1423" s="1"/>
      <c r="X1423" s="1"/>
      <c r="Y1423" s="1"/>
      <c r="Z1423" s="1"/>
    </row>
    <row r="1424">
      <c r="A1424" s="72" t="s">
        <v>4581</v>
      </c>
      <c r="B1424" s="72" t="s">
        <v>314</v>
      </c>
      <c r="C1424" s="72" t="s">
        <v>535</v>
      </c>
      <c r="D1424" s="72" t="s">
        <v>4582</v>
      </c>
      <c r="E1424" s="72" t="s">
        <v>1300</v>
      </c>
      <c r="F1424" s="72" t="s">
        <v>4583</v>
      </c>
      <c r="G1424" s="72">
        <v>-2.0</v>
      </c>
      <c r="H1424" s="127">
        <v>-2.0</v>
      </c>
      <c r="I1424" s="1"/>
      <c r="J1424" s="1"/>
      <c r="K1424" s="1"/>
      <c r="L1424" s="1"/>
      <c r="M1424" s="1"/>
      <c r="N1424" s="1"/>
      <c r="O1424" s="1"/>
      <c r="P1424" s="1"/>
      <c r="Q1424" s="1"/>
      <c r="R1424" s="1"/>
      <c r="S1424" s="1"/>
      <c r="T1424" s="1"/>
      <c r="U1424" s="1"/>
      <c r="V1424" s="1"/>
      <c r="W1424" s="1"/>
      <c r="X1424" s="1"/>
      <c r="Y1424" s="1"/>
      <c r="Z1424" s="1"/>
    </row>
    <row r="1425">
      <c r="A1425" s="72" t="s">
        <v>4584</v>
      </c>
      <c r="B1425" s="72" t="s">
        <v>320</v>
      </c>
      <c r="C1425" s="72" t="s">
        <v>535</v>
      </c>
      <c r="D1425" s="72" t="s">
        <v>4585</v>
      </c>
      <c r="E1425" s="72" t="s">
        <v>1335</v>
      </c>
      <c r="F1425" s="72" t="s">
        <v>4586</v>
      </c>
      <c r="G1425" s="1">
        <f>+2</f>
        <v>2</v>
      </c>
      <c r="H1425" s="127">
        <v>2.0</v>
      </c>
      <c r="I1425" s="1"/>
      <c r="J1425" s="1"/>
      <c r="K1425" s="1"/>
      <c r="L1425" s="1"/>
      <c r="M1425" s="1"/>
      <c r="N1425" s="1"/>
      <c r="O1425" s="1"/>
      <c r="P1425" s="1"/>
      <c r="Q1425" s="1"/>
      <c r="R1425" s="1"/>
      <c r="S1425" s="1"/>
      <c r="T1425" s="1"/>
      <c r="U1425" s="1"/>
      <c r="V1425" s="1"/>
      <c r="W1425" s="1"/>
      <c r="X1425" s="1"/>
      <c r="Y1425" s="1"/>
      <c r="Z1425" s="1"/>
    </row>
    <row r="1426">
      <c r="A1426" s="72" t="s">
        <v>4587</v>
      </c>
      <c r="B1426" s="72" t="s">
        <v>122</v>
      </c>
      <c r="C1426" s="72" t="s">
        <v>535</v>
      </c>
      <c r="D1426" s="72" t="s">
        <v>4588</v>
      </c>
      <c r="E1426" s="72" t="s">
        <v>1271</v>
      </c>
      <c r="F1426" s="72" t="s">
        <v>4589</v>
      </c>
      <c r="G1426" s="72" t="s">
        <v>1273</v>
      </c>
      <c r="H1426" s="127">
        <v>0.0</v>
      </c>
      <c r="I1426" s="1"/>
      <c r="J1426" s="1"/>
      <c r="K1426" s="1"/>
      <c r="L1426" s="1"/>
      <c r="M1426" s="1"/>
      <c r="N1426" s="1"/>
      <c r="O1426" s="1"/>
      <c r="P1426" s="1"/>
      <c r="Q1426" s="1"/>
      <c r="R1426" s="1"/>
      <c r="S1426" s="1"/>
      <c r="T1426" s="1"/>
      <c r="U1426" s="1"/>
      <c r="V1426" s="1"/>
      <c r="W1426" s="1"/>
      <c r="X1426" s="1"/>
      <c r="Y1426" s="1"/>
      <c r="Z1426" s="1"/>
    </row>
    <row r="1427">
      <c r="A1427" s="72" t="s">
        <v>4590</v>
      </c>
      <c r="B1427" s="72" t="s">
        <v>217</v>
      </c>
      <c r="C1427" s="72" t="s">
        <v>535</v>
      </c>
      <c r="D1427" s="72" t="s">
        <v>4591</v>
      </c>
      <c r="E1427" s="72" t="s">
        <v>1335</v>
      </c>
      <c r="F1427" s="72" t="s">
        <v>4592</v>
      </c>
      <c r="G1427" s="1">
        <f t="shared" ref="G1427:G1428" si="49">+2</f>
        <v>2</v>
      </c>
      <c r="H1427" s="127">
        <v>2.0</v>
      </c>
      <c r="I1427" s="1"/>
      <c r="J1427" s="1"/>
      <c r="K1427" s="1"/>
      <c r="L1427" s="1"/>
      <c r="M1427" s="1"/>
      <c r="N1427" s="1"/>
      <c r="O1427" s="1"/>
      <c r="P1427" s="1"/>
      <c r="Q1427" s="1"/>
      <c r="R1427" s="1"/>
      <c r="S1427" s="1"/>
      <c r="T1427" s="1"/>
      <c r="U1427" s="1"/>
      <c r="V1427" s="1"/>
      <c r="W1427" s="1"/>
      <c r="X1427" s="1"/>
      <c r="Y1427" s="1"/>
      <c r="Z1427" s="1"/>
    </row>
    <row r="1428">
      <c r="A1428" s="72" t="s">
        <v>4593</v>
      </c>
      <c r="B1428" s="72" t="s">
        <v>113</v>
      </c>
      <c r="C1428" s="72" t="s">
        <v>535</v>
      </c>
      <c r="D1428" s="72" t="s">
        <v>4594</v>
      </c>
      <c r="E1428" s="72" t="s">
        <v>1335</v>
      </c>
      <c r="F1428" s="72" t="s">
        <v>4595</v>
      </c>
      <c r="G1428" s="1">
        <f t="shared" si="49"/>
        <v>2</v>
      </c>
      <c r="H1428" s="127">
        <v>2.0</v>
      </c>
      <c r="I1428" s="1"/>
      <c r="J1428" s="1"/>
      <c r="K1428" s="1"/>
      <c r="L1428" s="1"/>
      <c r="M1428" s="1"/>
      <c r="N1428" s="1"/>
      <c r="O1428" s="1"/>
      <c r="P1428" s="1"/>
      <c r="Q1428" s="1"/>
      <c r="R1428" s="1"/>
      <c r="S1428" s="1"/>
      <c r="T1428" s="1"/>
      <c r="U1428" s="1"/>
      <c r="V1428" s="1"/>
      <c r="W1428" s="1"/>
      <c r="X1428" s="1"/>
      <c r="Y1428" s="1"/>
      <c r="Z1428" s="1"/>
    </row>
    <row r="1429">
      <c r="A1429" s="72" t="s">
        <v>4596</v>
      </c>
      <c r="B1429" s="72" t="s">
        <v>113</v>
      </c>
      <c r="C1429" s="72" t="s">
        <v>535</v>
      </c>
      <c r="D1429" s="72" t="s">
        <v>4597</v>
      </c>
      <c r="E1429" s="72" t="s">
        <v>1271</v>
      </c>
      <c r="F1429" s="72" t="s">
        <v>4598</v>
      </c>
      <c r="G1429" s="72" t="s">
        <v>1273</v>
      </c>
      <c r="H1429" s="127">
        <v>0.0</v>
      </c>
      <c r="I1429" s="1"/>
      <c r="J1429" s="1"/>
      <c r="K1429" s="1"/>
      <c r="L1429" s="1"/>
      <c r="M1429" s="1"/>
      <c r="N1429" s="1"/>
      <c r="O1429" s="1"/>
      <c r="P1429" s="1"/>
      <c r="Q1429" s="1"/>
      <c r="R1429" s="1"/>
      <c r="S1429" s="1"/>
      <c r="T1429" s="1"/>
      <c r="U1429" s="1"/>
      <c r="V1429" s="1"/>
      <c r="W1429" s="1"/>
      <c r="X1429" s="1"/>
      <c r="Y1429" s="1"/>
      <c r="Z1429" s="1"/>
    </row>
    <row r="1430">
      <c r="A1430" s="72" t="s">
        <v>4599</v>
      </c>
      <c r="B1430" s="72" t="s">
        <v>113</v>
      </c>
      <c r="C1430" s="72" t="s">
        <v>535</v>
      </c>
      <c r="D1430" s="72" t="s">
        <v>4600</v>
      </c>
      <c r="E1430" s="72" t="s">
        <v>1276</v>
      </c>
      <c r="F1430" s="72" t="s">
        <v>4601</v>
      </c>
      <c r="G1430" s="1">
        <f>+1</f>
        <v>1</v>
      </c>
      <c r="H1430" s="127">
        <v>1.0</v>
      </c>
      <c r="I1430" s="1"/>
      <c r="J1430" s="1"/>
      <c r="K1430" s="1"/>
      <c r="L1430" s="1"/>
      <c r="M1430" s="1"/>
      <c r="N1430" s="1"/>
      <c r="O1430" s="1"/>
      <c r="P1430" s="1"/>
      <c r="Q1430" s="1"/>
      <c r="R1430" s="1"/>
      <c r="S1430" s="1"/>
      <c r="T1430" s="1"/>
      <c r="U1430" s="1"/>
      <c r="V1430" s="1"/>
      <c r="W1430" s="1"/>
      <c r="X1430" s="1"/>
      <c r="Y1430" s="1"/>
      <c r="Z1430" s="1"/>
    </row>
    <row r="1431">
      <c r="A1431" s="72" t="s">
        <v>4602</v>
      </c>
      <c r="B1431" s="72" t="s">
        <v>122</v>
      </c>
      <c r="C1431" s="72" t="s">
        <v>535</v>
      </c>
      <c r="D1431" s="72" t="s">
        <v>4603</v>
      </c>
      <c r="E1431" s="72" t="s">
        <v>1335</v>
      </c>
      <c r="F1431" s="72" t="s">
        <v>4604</v>
      </c>
      <c r="G1431" s="1">
        <f>+2</f>
        <v>2</v>
      </c>
      <c r="H1431" s="127">
        <v>2.0</v>
      </c>
      <c r="I1431" s="1"/>
      <c r="J1431" s="1"/>
      <c r="K1431" s="1"/>
      <c r="L1431" s="1"/>
      <c r="M1431" s="1"/>
      <c r="N1431" s="1"/>
      <c r="O1431" s="1"/>
      <c r="P1431" s="1"/>
      <c r="Q1431" s="1"/>
      <c r="R1431" s="1"/>
      <c r="S1431" s="1"/>
      <c r="T1431" s="1"/>
      <c r="U1431" s="1"/>
      <c r="V1431" s="1"/>
      <c r="W1431" s="1"/>
      <c r="X1431" s="1"/>
      <c r="Y1431" s="1"/>
      <c r="Z1431" s="1"/>
    </row>
    <row r="1432">
      <c r="A1432" s="72" t="s">
        <v>4605</v>
      </c>
      <c r="B1432" s="72" t="s">
        <v>311</v>
      </c>
      <c r="C1432" s="72" t="s">
        <v>535</v>
      </c>
      <c r="D1432" s="72" t="s">
        <v>4606</v>
      </c>
      <c r="E1432" s="72" t="s">
        <v>1271</v>
      </c>
      <c r="F1432" s="72" t="s">
        <v>4607</v>
      </c>
      <c r="G1432" s="72" t="s">
        <v>1273</v>
      </c>
      <c r="H1432" s="127">
        <v>0.0</v>
      </c>
      <c r="I1432" s="1"/>
      <c r="J1432" s="1"/>
      <c r="K1432" s="1"/>
      <c r="L1432" s="1"/>
      <c r="M1432" s="1"/>
      <c r="N1432" s="1"/>
      <c r="O1432" s="1"/>
      <c r="P1432" s="1"/>
      <c r="Q1432" s="1"/>
      <c r="R1432" s="1"/>
      <c r="S1432" s="1"/>
      <c r="T1432" s="1"/>
      <c r="U1432" s="1"/>
      <c r="V1432" s="1"/>
      <c r="W1432" s="1"/>
      <c r="X1432" s="1"/>
      <c r="Y1432" s="1"/>
      <c r="Z1432" s="1"/>
    </row>
    <row r="1433">
      <c r="A1433" s="72" t="s">
        <v>4608</v>
      </c>
      <c r="B1433" s="72" t="s">
        <v>306</v>
      </c>
      <c r="C1433" s="72" t="s">
        <v>535</v>
      </c>
      <c r="D1433" s="72" t="s">
        <v>4609</v>
      </c>
      <c r="E1433" s="72" t="s">
        <v>1271</v>
      </c>
      <c r="F1433" s="72" t="s">
        <v>4610</v>
      </c>
      <c r="G1433" s="72" t="s">
        <v>1273</v>
      </c>
      <c r="H1433" s="127">
        <v>0.0</v>
      </c>
      <c r="I1433" s="1"/>
      <c r="J1433" s="1"/>
      <c r="K1433" s="1"/>
      <c r="L1433" s="1"/>
      <c r="M1433" s="1"/>
      <c r="N1433" s="1"/>
      <c r="O1433" s="1"/>
      <c r="P1433" s="1"/>
      <c r="Q1433" s="1"/>
      <c r="R1433" s="1"/>
      <c r="S1433" s="1"/>
      <c r="T1433" s="1"/>
      <c r="U1433" s="1"/>
      <c r="V1433" s="1"/>
      <c r="W1433" s="1"/>
      <c r="X1433" s="1"/>
      <c r="Y1433" s="1"/>
      <c r="Z1433" s="1"/>
    </row>
    <row r="1434">
      <c r="A1434" s="72" t="s">
        <v>4611</v>
      </c>
      <c r="B1434" s="72" t="s">
        <v>304</v>
      </c>
      <c r="C1434" s="72" t="s">
        <v>535</v>
      </c>
      <c r="D1434" s="72" t="s">
        <v>4612</v>
      </c>
      <c r="E1434" s="72" t="s">
        <v>1271</v>
      </c>
      <c r="F1434" s="72" t="s">
        <v>4613</v>
      </c>
      <c r="G1434" s="72" t="s">
        <v>1273</v>
      </c>
      <c r="H1434" s="127">
        <v>0.0</v>
      </c>
      <c r="I1434" s="1"/>
      <c r="J1434" s="1"/>
      <c r="K1434" s="1"/>
      <c r="L1434" s="1"/>
      <c r="M1434" s="1"/>
      <c r="N1434" s="1"/>
      <c r="O1434" s="1"/>
      <c r="P1434" s="1"/>
      <c r="Q1434" s="1"/>
      <c r="R1434" s="1"/>
      <c r="S1434" s="1"/>
      <c r="T1434" s="1"/>
      <c r="U1434" s="1"/>
      <c r="V1434" s="1"/>
      <c r="W1434" s="1"/>
      <c r="X1434" s="1"/>
      <c r="Y1434" s="1"/>
      <c r="Z1434" s="1"/>
    </row>
    <row r="1435">
      <c r="A1435" s="72" t="s">
        <v>4614</v>
      </c>
      <c r="B1435" s="72" t="s">
        <v>306</v>
      </c>
      <c r="C1435" s="72" t="s">
        <v>535</v>
      </c>
      <c r="D1435" s="72" t="s">
        <v>4615</v>
      </c>
      <c r="E1435" s="72" t="s">
        <v>1290</v>
      </c>
      <c r="F1435" s="72" t="s">
        <v>4616</v>
      </c>
      <c r="G1435" s="1">
        <f>+3</f>
        <v>3</v>
      </c>
      <c r="H1435" s="127">
        <v>3.0</v>
      </c>
      <c r="I1435" s="1"/>
      <c r="J1435" s="1"/>
      <c r="K1435" s="1"/>
      <c r="L1435" s="1"/>
      <c r="M1435" s="1"/>
      <c r="N1435" s="1"/>
      <c r="O1435" s="1"/>
      <c r="P1435" s="1"/>
      <c r="Q1435" s="1"/>
      <c r="R1435" s="1"/>
      <c r="S1435" s="1"/>
      <c r="T1435" s="1"/>
      <c r="U1435" s="1"/>
      <c r="V1435" s="1"/>
      <c r="W1435" s="1"/>
      <c r="X1435" s="1"/>
      <c r="Y1435" s="1"/>
      <c r="Z1435" s="1"/>
    </row>
    <row r="1436">
      <c r="A1436" s="72" t="s">
        <v>4617</v>
      </c>
      <c r="B1436" s="72" t="s">
        <v>311</v>
      </c>
      <c r="C1436" s="72" t="s">
        <v>535</v>
      </c>
      <c r="D1436" s="72" t="s">
        <v>4618</v>
      </c>
      <c r="E1436" s="72" t="s">
        <v>1283</v>
      </c>
      <c r="F1436" s="72" t="s">
        <v>4619</v>
      </c>
      <c r="G1436" s="72">
        <v>-1.0</v>
      </c>
      <c r="H1436" s="127">
        <v>-1.0</v>
      </c>
      <c r="I1436" s="1"/>
      <c r="J1436" s="1"/>
      <c r="K1436" s="1"/>
      <c r="L1436" s="1"/>
      <c r="M1436" s="1"/>
      <c r="N1436" s="1"/>
      <c r="O1436" s="1"/>
      <c r="P1436" s="1"/>
      <c r="Q1436" s="1"/>
      <c r="R1436" s="1"/>
      <c r="S1436" s="1"/>
      <c r="T1436" s="1"/>
      <c r="U1436" s="1"/>
      <c r="V1436" s="1"/>
      <c r="W1436" s="1"/>
      <c r="X1436" s="1"/>
      <c r="Y1436" s="1"/>
      <c r="Z1436" s="1"/>
    </row>
    <row r="1437">
      <c r="A1437" s="72" t="s">
        <v>4620</v>
      </c>
      <c r="B1437" s="72" t="s">
        <v>306</v>
      </c>
      <c r="C1437" s="72" t="s">
        <v>535</v>
      </c>
      <c r="D1437" s="72" t="s">
        <v>4621</v>
      </c>
      <c r="E1437" s="72" t="s">
        <v>1335</v>
      </c>
      <c r="F1437" s="72" t="s">
        <v>4622</v>
      </c>
      <c r="G1437" s="1">
        <f>+2</f>
        <v>2</v>
      </c>
      <c r="H1437" s="127">
        <v>2.0</v>
      </c>
      <c r="I1437" s="1"/>
      <c r="J1437" s="1"/>
      <c r="K1437" s="1"/>
      <c r="L1437" s="1"/>
      <c r="M1437" s="1"/>
      <c r="N1437" s="1"/>
      <c r="O1437" s="1"/>
      <c r="P1437" s="1"/>
      <c r="Q1437" s="1"/>
      <c r="R1437" s="1"/>
      <c r="S1437" s="1"/>
      <c r="T1437" s="1"/>
      <c r="U1437" s="1"/>
      <c r="V1437" s="1"/>
      <c r="W1437" s="1"/>
      <c r="X1437" s="1"/>
      <c r="Y1437" s="1"/>
      <c r="Z1437" s="1"/>
    </row>
    <row r="1438">
      <c r="A1438" s="72" t="s">
        <v>4623</v>
      </c>
      <c r="B1438" s="72" t="s">
        <v>251</v>
      </c>
      <c r="C1438" s="72" t="s">
        <v>535</v>
      </c>
      <c r="D1438" s="72" t="s">
        <v>4624</v>
      </c>
      <c r="E1438" s="72" t="s">
        <v>1300</v>
      </c>
      <c r="F1438" s="72" t="s">
        <v>4625</v>
      </c>
      <c r="G1438" s="72">
        <v>-2.0</v>
      </c>
      <c r="H1438" s="127">
        <v>-2.0</v>
      </c>
      <c r="I1438" s="1"/>
      <c r="J1438" s="1"/>
      <c r="K1438" s="1"/>
      <c r="L1438" s="1"/>
      <c r="M1438" s="1"/>
      <c r="N1438" s="1"/>
      <c r="O1438" s="1"/>
      <c r="P1438" s="1"/>
      <c r="Q1438" s="1"/>
      <c r="R1438" s="1"/>
      <c r="S1438" s="1"/>
      <c r="T1438" s="1"/>
      <c r="U1438" s="1"/>
      <c r="V1438" s="1"/>
      <c r="W1438" s="1"/>
      <c r="X1438" s="1"/>
      <c r="Y1438" s="1"/>
      <c r="Z1438" s="1"/>
    </row>
    <row r="1439">
      <c r="A1439" s="72" t="s">
        <v>4626</v>
      </c>
      <c r="B1439" s="72" t="s">
        <v>113</v>
      </c>
      <c r="C1439" s="72" t="s">
        <v>535</v>
      </c>
      <c r="D1439" s="72" t="s">
        <v>4627</v>
      </c>
      <c r="E1439" s="72" t="s">
        <v>1271</v>
      </c>
      <c r="F1439" s="72" t="s">
        <v>4628</v>
      </c>
      <c r="G1439" s="72" t="s">
        <v>1273</v>
      </c>
      <c r="H1439" s="127">
        <v>0.0</v>
      </c>
      <c r="I1439" s="1"/>
      <c r="J1439" s="1"/>
      <c r="K1439" s="1"/>
      <c r="L1439" s="1"/>
      <c r="M1439" s="1"/>
      <c r="N1439" s="1"/>
      <c r="O1439" s="1"/>
      <c r="P1439" s="1"/>
      <c r="Q1439" s="1"/>
      <c r="R1439" s="1"/>
      <c r="S1439" s="1"/>
      <c r="T1439" s="1"/>
      <c r="U1439" s="1"/>
      <c r="V1439" s="1"/>
      <c r="W1439" s="1"/>
      <c r="X1439" s="1"/>
      <c r="Y1439" s="1"/>
      <c r="Z1439" s="1"/>
    </row>
    <row r="1440">
      <c r="A1440" s="72" t="s">
        <v>4629</v>
      </c>
      <c r="B1440" s="72" t="s">
        <v>238</v>
      </c>
      <c r="C1440" s="72" t="s">
        <v>535</v>
      </c>
      <c r="D1440" s="72" t="s">
        <v>4630</v>
      </c>
      <c r="E1440" s="72" t="s">
        <v>1283</v>
      </c>
      <c r="F1440" s="72" t="s">
        <v>4631</v>
      </c>
      <c r="G1440" s="72">
        <v>-1.0</v>
      </c>
      <c r="H1440" s="127">
        <v>-1.0</v>
      </c>
      <c r="I1440" s="1"/>
      <c r="J1440" s="1"/>
      <c r="K1440" s="1"/>
      <c r="L1440" s="1"/>
      <c r="M1440" s="1"/>
      <c r="N1440" s="1"/>
      <c r="O1440" s="1"/>
      <c r="P1440" s="1"/>
      <c r="Q1440" s="1"/>
      <c r="R1440" s="1"/>
      <c r="S1440" s="1"/>
      <c r="T1440" s="1"/>
      <c r="U1440" s="1"/>
      <c r="V1440" s="1"/>
      <c r="W1440" s="1"/>
      <c r="X1440" s="1"/>
      <c r="Y1440" s="1"/>
      <c r="Z1440" s="1"/>
    </row>
    <row r="1441">
      <c r="A1441" s="72" t="s">
        <v>4632</v>
      </c>
      <c r="B1441" s="72" t="s">
        <v>155</v>
      </c>
      <c r="C1441" s="72" t="s">
        <v>535</v>
      </c>
      <c r="D1441" s="72" t="s">
        <v>4633</v>
      </c>
      <c r="E1441" s="72" t="s">
        <v>1328</v>
      </c>
      <c r="F1441" s="72" t="s">
        <v>4634</v>
      </c>
      <c r="G1441" s="72">
        <v>-3.0</v>
      </c>
      <c r="H1441" s="127">
        <v>-3.0</v>
      </c>
      <c r="I1441" s="1"/>
      <c r="J1441" s="1"/>
      <c r="K1441" s="1"/>
      <c r="L1441" s="1"/>
      <c r="M1441" s="1"/>
      <c r="N1441" s="1"/>
      <c r="O1441" s="1"/>
      <c r="P1441" s="1"/>
      <c r="Q1441" s="1"/>
      <c r="R1441" s="1"/>
      <c r="S1441" s="1"/>
      <c r="T1441" s="1"/>
      <c r="U1441" s="1"/>
      <c r="V1441" s="1"/>
      <c r="W1441" s="1"/>
      <c r="X1441" s="1"/>
      <c r="Y1441" s="1"/>
      <c r="Z1441" s="1"/>
    </row>
    <row r="1442">
      <c r="A1442" s="72" t="s">
        <v>4635</v>
      </c>
      <c r="B1442" s="72" t="s">
        <v>161</v>
      </c>
      <c r="C1442" s="72" t="s">
        <v>535</v>
      </c>
      <c r="D1442" s="72" t="s">
        <v>4636</v>
      </c>
      <c r="E1442" s="72" t="s">
        <v>1271</v>
      </c>
      <c r="F1442" s="72" t="s">
        <v>4637</v>
      </c>
      <c r="G1442" s="72" t="s">
        <v>1273</v>
      </c>
      <c r="H1442" s="127">
        <v>0.0</v>
      </c>
      <c r="I1442" s="1"/>
      <c r="J1442" s="1"/>
      <c r="K1442" s="1"/>
      <c r="L1442" s="1"/>
      <c r="M1442" s="1"/>
      <c r="N1442" s="1"/>
      <c r="O1442" s="1"/>
      <c r="P1442" s="1"/>
      <c r="Q1442" s="1"/>
      <c r="R1442" s="1"/>
      <c r="S1442" s="1"/>
      <c r="T1442" s="1"/>
      <c r="U1442" s="1"/>
      <c r="V1442" s="1"/>
      <c r="W1442" s="1"/>
      <c r="X1442" s="1"/>
      <c r="Y1442" s="1"/>
      <c r="Z1442" s="1"/>
    </row>
    <row r="1443">
      <c r="A1443" s="72" t="s">
        <v>4638</v>
      </c>
      <c r="B1443" s="72" t="s">
        <v>185</v>
      </c>
      <c r="C1443" s="72" t="s">
        <v>535</v>
      </c>
      <c r="D1443" s="72" t="s">
        <v>4639</v>
      </c>
      <c r="E1443" s="72" t="s">
        <v>1283</v>
      </c>
      <c r="F1443" s="72" t="s">
        <v>4640</v>
      </c>
      <c r="G1443" s="72">
        <v>-1.0</v>
      </c>
      <c r="H1443" s="127">
        <v>-1.0</v>
      </c>
      <c r="I1443" s="1"/>
      <c r="J1443" s="1"/>
      <c r="K1443" s="1"/>
      <c r="L1443" s="1"/>
      <c r="M1443" s="1"/>
      <c r="N1443" s="1"/>
      <c r="O1443" s="1"/>
      <c r="P1443" s="1"/>
      <c r="Q1443" s="1"/>
      <c r="R1443" s="1"/>
      <c r="S1443" s="1"/>
      <c r="T1443" s="1"/>
      <c r="U1443" s="1"/>
      <c r="V1443" s="1"/>
      <c r="W1443" s="1"/>
      <c r="X1443" s="1"/>
      <c r="Y1443" s="1"/>
      <c r="Z1443" s="1"/>
    </row>
    <row r="1444">
      <c r="A1444" s="72" t="s">
        <v>4641</v>
      </c>
      <c r="B1444" s="72" t="s">
        <v>185</v>
      </c>
      <c r="C1444" s="72" t="s">
        <v>535</v>
      </c>
      <c r="D1444" s="72" t="s">
        <v>4642</v>
      </c>
      <c r="E1444" s="72" t="s">
        <v>1271</v>
      </c>
      <c r="F1444" s="72" t="s">
        <v>4643</v>
      </c>
      <c r="G1444" s="72" t="s">
        <v>1273</v>
      </c>
      <c r="H1444" s="127">
        <v>0.0</v>
      </c>
      <c r="I1444" s="1"/>
      <c r="J1444" s="1"/>
      <c r="K1444" s="1"/>
      <c r="L1444" s="1"/>
      <c r="M1444" s="1"/>
      <c r="N1444" s="1"/>
      <c r="O1444" s="1"/>
      <c r="P1444" s="1"/>
      <c r="Q1444" s="1"/>
      <c r="R1444" s="1"/>
      <c r="S1444" s="1"/>
      <c r="T1444" s="1"/>
      <c r="U1444" s="1"/>
      <c r="V1444" s="1"/>
      <c r="W1444" s="1"/>
      <c r="X1444" s="1"/>
      <c r="Y1444" s="1"/>
      <c r="Z1444" s="1"/>
    </row>
    <row r="1445">
      <c r="A1445" s="72" t="s">
        <v>4644</v>
      </c>
      <c r="B1445" s="72" t="s">
        <v>241</v>
      </c>
      <c r="C1445" s="72" t="s">
        <v>535</v>
      </c>
      <c r="D1445" s="72" t="s">
        <v>4645</v>
      </c>
      <c r="E1445" s="72" t="s">
        <v>1271</v>
      </c>
      <c r="F1445" s="72" t="s">
        <v>4646</v>
      </c>
      <c r="G1445" s="72" t="s">
        <v>1273</v>
      </c>
      <c r="H1445" s="127">
        <v>0.0</v>
      </c>
      <c r="I1445" s="1"/>
      <c r="J1445" s="1"/>
      <c r="K1445" s="1"/>
      <c r="L1445" s="1"/>
      <c r="M1445" s="1"/>
      <c r="N1445" s="1"/>
      <c r="O1445" s="1"/>
      <c r="P1445" s="1"/>
      <c r="Q1445" s="1"/>
      <c r="R1445" s="1"/>
      <c r="S1445" s="1"/>
      <c r="T1445" s="1"/>
      <c r="U1445" s="1"/>
      <c r="V1445" s="1"/>
      <c r="W1445" s="1"/>
      <c r="X1445" s="1"/>
      <c r="Y1445" s="1"/>
      <c r="Z1445" s="1"/>
    </row>
    <row r="1446">
      <c r="A1446" s="72" t="s">
        <v>4647</v>
      </c>
      <c r="B1446" s="72" t="s">
        <v>161</v>
      </c>
      <c r="C1446" s="72" t="s">
        <v>535</v>
      </c>
      <c r="D1446" s="72" t="s">
        <v>4648</v>
      </c>
      <c r="E1446" s="72" t="s">
        <v>1300</v>
      </c>
      <c r="F1446" s="72" t="s">
        <v>4649</v>
      </c>
      <c r="G1446" s="72">
        <v>-2.0</v>
      </c>
      <c r="H1446" s="127">
        <v>-2.0</v>
      </c>
      <c r="I1446" s="1"/>
      <c r="J1446" s="1"/>
      <c r="K1446" s="1"/>
      <c r="L1446" s="1"/>
      <c r="M1446" s="1"/>
      <c r="N1446" s="1"/>
      <c r="O1446" s="1"/>
      <c r="P1446" s="1"/>
      <c r="Q1446" s="1"/>
      <c r="R1446" s="1"/>
      <c r="S1446" s="1"/>
      <c r="T1446" s="1"/>
      <c r="U1446" s="1"/>
      <c r="V1446" s="1"/>
      <c r="W1446" s="1"/>
      <c r="X1446" s="1"/>
      <c r="Y1446" s="1"/>
      <c r="Z1446" s="1"/>
    </row>
    <row r="1447">
      <c r="A1447" s="72" t="s">
        <v>4650</v>
      </c>
      <c r="B1447" s="72" t="s">
        <v>152</v>
      </c>
      <c r="C1447" s="72" t="s">
        <v>535</v>
      </c>
      <c r="D1447" s="72" t="s">
        <v>4651</v>
      </c>
      <c r="E1447" s="72" t="s">
        <v>1328</v>
      </c>
      <c r="F1447" s="72" t="s">
        <v>4652</v>
      </c>
      <c r="G1447" s="72">
        <v>-3.0</v>
      </c>
      <c r="H1447" s="127">
        <v>-3.0</v>
      </c>
      <c r="I1447" s="1"/>
      <c r="J1447" s="1"/>
      <c r="K1447" s="1"/>
      <c r="L1447" s="1"/>
      <c r="M1447" s="1"/>
      <c r="N1447" s="1"/>
      <c r="O1447" s="1"/>
      <c r="P1447" s="1"/>
      <c r="Q1447" s="1"/>
      <c r="R1447" s="1"/>
      <c r="S1447" s="1"/>
      <c r="T1447" s="1"/>
      <c r="U1447" s="1"/>
      <c r="V1447" s="1"/>
      <c r="W1447" s="1"/>
      <c r="X1447" s="1"/>
      <c r="Y1447" s="1"/>
      <c r="Z1447" s="1"/>
    </row>
    <row r="1448">
      <c r="A1448" s="72" t="s">
        <v>4653</v>
      </c>
      <c r="B1448" s="72" t="s">
        <v>122</v>
      </c>
      <c r="C1448" s="72" t="s">
        <v>535</v>
      </c>
      <c r="D1448" s="72" t="s">
        <v>4654</v>
      </c>
      <c r="E1448" s="72" t="s">
        <v>1335</v>
      </c>
      <c r="F1448" s="72" t="s">
        <v>4655</v>
      </c>
      <c r="G1448" s="1">
        <f>+2</f>
        <v>2</v>
      </c>
      <c r="H1448" s="127">
        <v>2.0</v>
      </c>
      <c r="I1448" s="1"/>
      <c r="J1448" s="1"/>
      <c r="K1448" s="1"/>
      <c r="L1448" s="1"/>
      <c r="M1448" s="1"/>
      <c r="N1448" s="1"/>
      <c r="O1448" s="1"/>
      <c r="P1448" s="1"/>
      <c r="Q1448" s="1"/>
      <c r="R1448" s="1"/>
      <c r="S1448" s="1"/>
      <c r="T1448" s="1"/>
      <c r="U1448" s="1"/>
      <c r="V1448" s="1"/>
      <c r="W1448" s="1"/>
      <c r="X1448" s="1"/>
      <c r="Y1448" s="1"/>
      <c r="Z1448" s="1"/>
    </row>
    <row r="1449">
      <c r="A1449" s="72" t="s">
        <v>4656</v>
      </c>
      <c r="B1449" s="72" t="s">
        <v>122</v>
      </c>
      <c r="C1449" s="72" t="s">
        <v>535</v>
      </c>
      <c r="D1449" s="72" t="s">
        <v>4657</v>
      </c>
      <c r="E1449" s="72" t="s">
        <v>1271</v>
      </c>
      <c r="F1449" s="72" t="s">
        <v>4658</v>
      </c>
      <c r="G1449" s="72" t="s">
        <v>1273</v>
      </c>
      <c r="H1449" s="127">
        <v>0.0</v>
      </c>
      <c r="I1449" s="1"/>
      <c r="J1449" s="1"/>
      <c r="K1449" s="1"/>
      <c r="L1449" s="1"/>
      <c r="M1449" s="1"/>
      <c r="N1449" s="1"/>
      <c r="O1449" s="1"/>
      <c r="P1449" s="1"/>
      <c r="Q1449" s="1"/>
      <c r="R1449" s="1"/>
      <c r="S1449" s="1"/>
      <c r="T1449" s="1"/>
      <c r="U1449" s="1"/>
      <c r="V1449" s="1"/>
      <c r="W1449" s="1"/>
      <c r="X1449" s="1"/>
      <c r="Y1449" s="1"/>
      <c r="Z1449" s="1"/>
    </row>
    <row r="1450">
      <c r="A1450" s="72" t="s">
        <v>4659</v>
      </c>
      <c r="B1450" s="72" t="s">
        <v>122</v>
      </c>
      <c r="C1450" s="72" t="s">
        <v>535</v>
      </c>
      <c r="D1450" s="72" t="s">
        <v>4660</v>
      </c>
      <c r="E1450" s="72" t="s">
        <v>1290</v>
      </c>
      <c r="F1450" s="72" t="s">
        <v>4661</v>
      </c>
      <c r="G1450" s="1">
        <f>+3</f>
        <v>3</v>
      </c>
      <c r="H1450" s="127">
        <v>3.0</v>
      </c>
      <c r="I1450" s="1"/>
      <c r="J1450" s="1"/>
      <c r="K1450" s="1"/>
      <c r="L1450" s="1"/>
      <c r="M1450" s="1"/>
      <c r="N1450" s="1"/>
      <c r="O1450" s="1"/>
      <c r="P1450" s="1"/>
      <c r="Q1450" s="1"/>
      <c r="R1450" s="1"/>
      <c r="S1450" s="1"/>
      <c r="T1450" s="1"/>
      <c r="U1450" s="1"/>
      <c r="V1450" s="1"/>
      <c r="W1450" s="1"/>
      <c r="X1450" s="1"/>
      <c r="Y1450" s="1"/>
      <c r="Z1450" s="1"/>
    </row>
    <row r="1451">
      <c r="A1451" s="72" t="s">
        <v>4662</v>
      </c>
      <c r="B1451" s="72" t="s">
        <v>185</v>
      </c>
      <c r="C1451" s="72" t="s">
        <v>535</v>
      </c>
      <c r="D1451" s="72" t="s">
        <v>4663</v>
      </c>
      <c r="E1451" s="72" t="s">
        <v>1328</v>
      </c>
      <c r="F1451" s="72" t="s">
        <v>4664</v>
      </c>
      <c r="G1451" s="72">
        <v>-3.0</v>
      </c>
      <c r="H1451" s="127">
        <v>-3.0</v>
      </c>
      <c r="I1451" s="1"/>
      <c r="J1451" s="1"/>
      <c r="K1451" s="1"/>
      <c r="L1451" s="1"/>
      <c r="M1451" s="1"/>
      <c r="N1451" s="1"/>
      <c r="O1451" s="1"/>
      <c r="P1451" s="1"/>
      <c r="Q1451" s="1"/>
      <c r="R1451" s="1"/>
      <c r="S1451" s="1"/>
      <c r="T1451" s="1"/>
      <c r="U1451" s="1"/>
      <c r="V1451" s="1"/>
      <c r="W1451" s="1"/>
      <c r="X1451" s="1"/>
      <c r="Y1451" s="1"/>
      <c r="Z1451" s="1"/>
    </row>
    <row r="1452">
      <c r="A1452" s="72" t="s">
        <v>4665</v>
      </c>
      <c r="B1452" s="72" t="s">
        <v>230</v>
      </c>
      <c r="C1452" s="72" t="s">
        <v>535</v>
      </c>
      <c r="D1452" s="72" t="s">
        <v>4666</v>
      </c>
      <c r="E1452" s="72" t="s">
        <v>1283</v>
      </c>
      <c r="F1452" s="72" t="s">
        <v>4667</v>
      </c>
      <c r="G1452" s="72">
        <v>-1.0</v>
      </c>
      <c r="H1452" s="127">
        <v>-1.0</v>
      </c>
      <c r="I1452" s="1"/>
      <c r="J1452" s="1"/>
      <c r="K1452" s="1"/>
      <c r="L1452" s="1"/>
      <c r="M1452" s="1"/>
      <c r="N1452" s="1"/>
      <c r="O1452" s="1"/>
      <c r="P1452" s="1"/>
      <c r="Q1452" s="1"/>
      <c r="R1452" s="1"/>
      <c r="S1452" s="1"/>
      <c r="T1452" s="1"/>
      <c r="U1452" s="1"/>
      <c r="V1452" s="1"/>
      <c r="W1452" s="1"/>
      <c r="X1452" s="1"/>
      <c r="Y1452" s="1"/>
      <c r="Z1452" s="1"/>
    </row>
    <row r="1453">
      <c r="A1453" s="72" t="s">
        <v>4668</v>
      </c>
      <c r="B1453" s="72" t="s">
        <v>128</v>
      </c>
      <c r="C1453" s="72" t="s">
        <v>535</v>
      </c>
      <c r="D1453" s="72" t="s">
        <v>4669</v>
      </c>
      <c r="E1453" s="72" t="s">
        <v>1271</v>
      </c>
      <c r="F1453" s="72" t="s">
        <v>4670</v>
      </c>
      <c r="G1453" s="72" t="s">
        <v>1273</v>
      </c>
      <c r="H1453" s="127">
        <v>0.0</v>
      </c>
      <c r="I1453" s="1"/>
      <c r="J1453" s="1"/>
      <c r="K1453" s="1"/>
      <c r="L1453" s="1"/>
      <c r="M1453" s="1"/>
      <c r="N1453" s="1"/>
      <c r="O1453" s="1"/>
      <c r="P1453" s="1"/>
      <c r="Q1453" s="1"/>
      <c r="R1453" s="1"/>
      <c r="S1453" s="1"/>
      <c r="T1453" s="1"/>
      <c r="U1453" s="1"/>
      <c r="V1453" s="1"/>
      <c r="W1453" s="1"/>
      <c r="X1453" s="1"/>
      <c r="Y1453" s="1"/>
      <c r="Z1453" s="1"/>
    </row>
    <row r="1454">
      <c r="A1454" s="72" t="s">
        <v>4671</v>
      </c>
      <c r="B1454" s="72" t="s">
        <v>94</v>
      </c>
      <c r="C1454" s="72" t="s">
        <v>535</v>
      </c>
      <c r="D1454" s="72" t="s">
        <v>4672</v>
      </c>
      <c r="E1454" s="72" t="s">
        <v>1271</v>
      </c>
      <c r="F1454" s="72" t="s">
        <v>4673</v>
      </c>
      <c r="G1454" s="72" t="s">
        <v>1273</v>
      </c>
      <c r="H1454" s="127">
        <v>0.0</v>
      </c>
      <c r="I1454" s="1"/>
      <c r="J1454" s="1"/>
      <c r="K1454" s="1"/>
      <c r="L1454" s="1"/>
      <c r="M1454" s="1"/>
      <c r="N1454" s="1"/>
      <c r="O1454" s="1"/>
      <c r="P1454" s="1"/>
      <c r="Q1454" s="1"/>
      <c r="R1454" s="1"/>
      <c r="S1454" s="1"/>
      <c r="T1454" s="1"/>
      <c r="U1454" s="1"/>
      <c r="V1454" s="1"/>
      <c r="W1454" s="1"/>
      <c r="X1454" s="1"/>
      <c r="Y1454" s="1"/>
      <c r="Z1454" s="1"/>
    </row>
    <row r="1455">
      <c r="A1455" s="72" t="s">
        <v>4674</v>
      </c>
      <c r="B1455" s="72" t="s">
        <v>152</v>
      </c>
      <c r="C1455" s="72" t="s">
        <v>535</v>
      </c>
      <c r="D1455" s="72" t="s">
        <v>4675</v>
      </c>
      <c r="E1455" s="72" t="s">
        <v>1271</v>
      </c>
      <c r="F1455" s="72" t="s">
        <v>4676</v>
      </c>
      <c r="G1455" s="72" t="s">
        <v>1273</v>
      </c>
      <c r="H1455" s="127">
        <v>0.0</v>
      </c>
      <c r="I1455" s="1"/>
      <c r="J1455" s="1"/>
      <c r="K1455" s="1"/>
      <c r="L1455" s="1"/>
      <c r="M1455" s="1"/>
      <c r="N1455" s="1"/>
      <c r="O1455" s="1"/>
      <c r="P1455" s="1"/>
      <c r="Q1455" s="1"/>
      <c r="R1455" s="1"/>
      <c r="S1455" s="1"/>
      <c r="T1455" s="1"/>
      <c r="U1455" s="1"/>
      <c r="V1455" s="1"/>
      <c r="W1455" s="1"/>
      <c r="X1455" s="1"/>
      <c r="Y1455" s="1"/>
      <c r="Z1455" s="1"/>
    </row>
    <row r="1456">
      <c r="A1456" s="72" t="s">
        <v>4677</v>
      </c>
      <c r="B1456" s="72" t="s">
        <v>229</v>
      </c>
      <c r="C1456" s="72" t="s">
        <v>535</v>
      </c>
      <c r="D1456" s="72" t="s">
        <v>4678</v>
      </c>
      <c r="E1456" s="72" t="s">
        <v>1300</v>
      </c>
      <c r="F1456" s="72" t="s">
        <v>4679</v>
      </c>
      <c r="G1456" s="72">
        <v>-2.0</v>
      </c>
      <c r="H1456" s="127">
        <v>-2.0</v>
      </c>
      <c r="I1456" s="1"/>
      <c r="J1456" s="1"/>
      <c r="K1456" s="1"/>
      <c r="L1456" s="1"/>
      <c r="M1456" s="1"/>
      <c r="N1456" s="1"/>
      <c r="O1456" s="1"/>
      <c r="P1456" s="1"/>
      <c r="Q1456" s="1"/>
      <c r="R1456" s="1"/>
      <c r="S1456" s="1"/>
      <c r="T1456" s="1"/>
      <c r="U1456" s="1"/>
      <c r="V1456" s="1"/>
      <c r="W1456" s="1"/>
      <c r="X1456" s="1"/>
      <c r="Y1456" s="1"/>
      <c r="Z1456" s="1"/>
    </row>
    <row r="1457">
      <c r="A1457" s="72" t="s">
        <v>4680</v>
      </c>
      <c r="B1457" s="72" t="s">
        <v>151</v>
      </c>
      <c r="C1457" s="72" t="s">
        <v>535</v>
      </c>
      <c r="D1457" s="72" t="s">
        <v>4681</v>
      </c>
      <c r="E1457" s="72" t="s">
        <v>1276</v>
      </c>
      <c r="F1457" s="72" t="s">
        <v>4682</v>
      </c>
      <c r="G1457" s="1">
        <f>+1</f>
        <v>1</v>
      </c>
      <c r="H1457" s="127">
        <v>1.0</v>
      </c>
      <c r="I1457" s="1"/>
      <c r="J1457" s="1"/>
      <c r="K1457" s="1"/>
      <c r="L1457" s="1"/>
      <c r="M1457" s="1"/>
      <c r="N1457" s="1"/>
      <c r="O1457" s="1"/>
      <c r="P1457" s="1"/>
      <c r="Q1457" s="1"/>
      <c r="R1457" s="1"/>
      <c r="S1457" s="1"/>
      <c r="T1457" s="1"/>
      <c r="U1457" s="1"/>
      <c r="V1457" s="1"/>
      <c r="W1457" s="1"/>
      <c r="X1457" s="1"/>
      <c r="Y1457" s="1"/>
      <c r="Z1457" s="1"/>
    </row>
    <row r="1458">
      <c r="A1458" s="72" t="s">
        <v>4683</v>
      </c>
      <c r="B1458" s="72" t="s">
        <v>194</v>
      </c>
      <c r="C1458" s="72" t="s">
        <v>535</v>
      </c>
      <c r="D1458" s="72" t="s">
        <v>4684</v>
      </c>
      <c r="E1458" s="72" t="s">
        <v>1271</v>
      </c>
      <c r="F1458" s="72" t="s">
        <v>4685</v>
      </c>
      <c r="G1458" s="72" t="s">
        <v>1273</v>
      </c>
      <c r="H1458" s="127">
        <v>0.0</v>
      </c>
      <c r="I1458" s="1"/>
      <c r="J1458" s="1"/>
      <c r="K1458" s="1"/>
      <c r="L1458" s="1"/>
      <c r="M1458" s="1"/>
      <c r="N1458" s="1"/>
      <c r="O1458" s="1"/>
      <c r="P1458" s="1"/>
      <c r="Q1458" s="1"/>
      <c r="R1458" s="1"/>
      <c r="S1458" s="1"/>
      <c r="T1458" s="1"/>
      <c r="U1458" s="1"/>
      <c r="V1458" s="1"/>
      <c r="W1458" s="1"/>
      <c r="X1458" s="1"/>
      <c r="Y1458" s="1"/>
      <c r="Z1458" s="1"/>
    </row>
    <row r="1459">
      <c r="A1459" s="72" t="s">
        <v>4686</v>
      </c>
      <c r="B1459" s="72" t="s">
        <v>151</v>
      </c>
      <c r="C1459" s="72" t="s">
        <v>535</v>
      </c>
      <c r="D1459" s="72" t="s">
        <v>4687</v>
      </c>
      <c r="E1459" s="72" t="s">
        <v>1335</v>
      </c>
      <c r="F1459" s="72" t="s">
        <v>4688</v>
      </c>
      <c r="G1459" s="1">
        <f t="shared" ref="G1459:G1460" si="50">+2</f>
        <v>2</v>
      </c>
      <c r="H1459" s="127">
        <v>2.0</v>
      </c>
      <c r="I1459" s="1"/>
      <c r="J1459" s="1"/>
      <c r="K1459" s="1"/>
      <c r="L1459" s="1"/>
      <c r="M1459" s="1"/>
      <c r="N1459" s="1"/>
      <c r="O1459" s="1"/>
      <c r="P1459" s="1"/>
      <c r="Q1459" s="1"/>
      <c r="R1459" s="1"/>
      <c r="S1459" s="1"/>
      <c r="T1459" s="1"/>
      <c r="U1459" s="1"/>
      <c r="V1459" s="1"/>
      <c r="W1459" s="1"/>
      <c r="X1459" s="1"/>
      <c r="Y1459" s="1"/>
      <c r="Z1459" s="1"/>
    </row>
    <row r="1460">
      <c r="A1460" s="72" t="s">
        <v>4689</v>
      </c>
      <c r="B1460" s="72" t="s">
        <v>151</v>
      </c>
      <c r="C1460" s="72" t="s">
        <v>535</v>
      </c>
      <c r="D1460" s="72" t="s">
        <v>4690</v>
      </c>
      <c r="E1460" s="72" t="s">
        <v>1335</v>
      </c>
      <c r="F1460" s="72" t="s">
        <v>4691</v>
      </c>
      <c r="G1460" s="1">
        <f t="shared" si="50"/>
        <v>2</v>
      </c>
      <c r="H1460" s="127">
        <v>2.0</v>
      </c>
      <c r="I1460" s="1"/>
      <c r="J1460" s="1"/>
      <c r="K1460" s="1"/>
      <c r="L1460" s="1"/>
      <c r="M1460" s="1"/>
      <c r="N1460" s="1"/>
      <c r="O1460" s="1"/>
      <c r="P1460" s="1"/>
      <c r="Q1460" s="1"/>
      <c r="R1460" s="1"/>
      <c r="S1460" s="1"/>
      <c r="T1460" s="1"/>
      <c r="U1460" s="1"/>
      <c r="V1460" s="1"/>
      <c r="W1460" s="1"/>
      <c r="X1460" s="1"/>
      <c r="Y1460" s="1"/>
      <c r="Z1460" s="1"/>
    </row>
    <row r="1461">
      <c r="A1461" s="72" t="s">
        <v>4692</v>
      </c>
      <c r="B1461" s="72" t="s">
        <v>151</v>
      </c>
      <c r="C1461" s="72" t="s">
        <v>535</v>
      </c>
      <c r="D1461" s="72" t="s">
        <v>4693</v>
      </c>
      <c r="E1461" s="72" t="s">
        <v>1276</v>
      </c>
      <c r="F1461" s="72" t="s">
        <v>4694</v>
      </c>
      <c r="G1461" s="1">
        <f>+1</f>
        <v>1</v>
      </c>
      <c r="H1461" s="127">
        <v>1.0</v>
      </c>
      <c r="I1461" s="1"/>
      <c r="J1461" s="1"/>
      <c r="K1461" s="1"/>
      <c r="L1461" s="1"/>
      <c r="M1461" s="1"/>
      <c r="N1461" s="1"/>
      <c r="O1461" s="1"/>
      <c r="P1461" s="1"/>
      <c r="Q1461" s="1"/>
      <c r="R1461" s="1"/>
      <c r="S1461" s="1"/>
      <c r="T1461" s="1"/>
      <c r="U1461" s="1"/>
      <c r="V1461" s="1"/>
      <c r="W1461" s="1"/>
      <c r="X1461" s="1"/>
      <c r="Y1461" s="1"/>
      <c r="Z1461" s="1"/>
    </row>
    <row r="1462">
      <c r="A1462" s="72" t="s">
        <v>4695</v>
      </c>
      <c r="B1462" s="72" t="s">
        <v>151</v>
      </c>
      <c r="C1462" s="72" t="s">
        <v>535</v>
      </c>
      <c r="D1462" s="72" t="s">
        <v>4696</v>
      </c>
      <c r="E1462" s="72" t="s">
        <v>1271</v>
      </c>
      <c r="F1462" s="72" t="s">
        <v>4697</v>
      </c>
      <c r="G1462" s="72" t="s">
        <v>1273</v>
      </c>
      <c r="H1462" s="127">
        <v>0.0</v>
      </c>
      <c r="I1462" s="1"/>
      <c r="J1462" s="1"/>
      <c r="K1462" s="1"/>
      <c r="L1462" s="1"/>
      <c r="M1462" s="1"/>
      <c r="N1462" s="1"/>
      <c r="O1462" s="1"/>
      <c r="P1462" s="1"/>
      <c r="Q1462" s="1"/>
      <c r="R1462" s="1"/>
      <c r="S1462" s="1"/>
      <c r="T1462" s="1"/>
      <c r="U1462" s="1"/>
      <c r="V1462" s="1"/>
      <c r="W1462" s="1"/>
      <c r="X1462" s="1"/>
      <c r="Y1462" s="1"/>
      <c r="Z1462" s="1"/>
    </row>
    <row r="1463">
      <c r="A1463" s="72" t="s">
        <v>4698</v>
      </c>
      <c r="B1463" s="72" t="s">
        <v>238</v>
      </c>
      <c r="C1463" s="72" t="s">
        <v>535</v>
      </c>
      <c r="D1463" s="72" t="s">
        <v>4699</v>
      </c>
      <c r="E1463" s="72" t="s">
        <v>1271</v>
      </c>
      <c r="F1463" s="72" t="s">
        <v>4700</v>
      </c>
      <c r="G1463" s="72" t="s">
        <v>1273</v>
      </c>
      <c r="H1463" s="127">
        <v>0.0</v>
      </c>
      <c r="I1463" s="1"/>
      <c r="J1463" s="1"/>
      <c r="K1463" s="1"/>
      <c r="L1463" s="1"/>
      <c r="M1463" s="1"/>
      <c r="N1463" s="1"/>
      <c r="O1463" s="1"/>
      <c r="P1463" s="1"/>
      <c r="Q1463" s="1"/>
      <c r="R1463" s="1"/>
      <c r="S1463" s="1"/>
      <c r="T1463" s="1"/>
      <c r="U1463" s="1"/>
      <c r="V1463" s="1"/>
      <c r="W1463" s="1"/>
      <c r="X1463" s="1"/>
      <c r="Y1463" s="1"/>
      <c r="Z1463" s="1"/>
    </row>
    <row r="1464">
      <c r="A1464" s="72" t="s">
        <v>4701</v>
      </c>
      <c r="B1464" s="72" t="s">
        <v>271</v>
      </c>
      <c r="C1464" s="72" t="s">
        <v>535</v>
      </c>
      <c r="D1464" s="72" t="s">
        <v>4702</v>
      </c>
      <c r="E1464" s="72" t="s">
        <v>1271</v>
      </c>
      <c r="F1464" s="72" t="s">
        <v>4703</v>
      </c>
      <c r="G1464" s="72" t="s">
        <v>1273</v>
      </c>
      <c r="H1464" s="127">
        <v>0.0</v>
      </c>
      <c r="I1464" s="1"/>
      <c r="J1464" s="1"/>
      <c r="K1464" s="1"/>
      <c r="L1464" s="1"/>
      <c r="M1464" s="1"/>
      <c r="N1464" s="1"/>
      <c r="O1464" s="1"/>
      <c r="P1464" s="1"/>
      <c r="Q1464" s="1"/>
      <c r="R1464" s="1"/>
      <c r="S1464" s="1"/>
      <c r="T1464" s="1"/>
      <c r="U1464" s="1"/>
      <c r="V1464" s="1"/>
      <c r="W1464" s="1"/>
      <c r="X1464" s="1"/>
      <c r="Y1464" s="1"/>
      <c r="Z1464" s="1"/>
    </row>
    <row r="1465">
      <c r="A1465" s="72" t="s">
        <v>4704</v>
      </c>
      <c r="B1465" s="72" t="s">
        <v>186</v>
      </c>
      <c r="C1465" s="72" t="s">
        <v>535</v>
      </c>
      <c r="D1465" s="72" t="s">
        <v>4705</v>
      </c>
      <c r="E1465" s="72" t="s">
        <v>1335</v>
      </c>
      <c r="F1465" s="72" t="s">
        <v>4706</v>
      </c>
      <c r="G1465" s="1">
        <f>+2</f>
        <v>2</v>
      </c>
      <c r="H1465" s="127">
        <v>2.0</v>
      </c>
      <c r="I1465" s="1"/>
      <c r="J1465" s="1"/>
      <c r="K1465" s="1"/>
      <c r="L1465" s="1"/>
      <c r="M1465" s="1"/>
      <c r="N1465" s="1"/>
      <c r="O1465" s="1"/>
      <c r="P1465" s="1"/>
      <c r="Q1465" s="1"/>
      <c r="R1465" s="1"/>
      <c r="S1465" s="1"/>
      <c r="T1465" s="1"/>
      <c r="U1465" s="1"/>
      <c r="V1465" s="1"/>
      <c r="W1465" s="1"/>
      <c r="X1465" s="1"/>
      <c r="Y1465" s="1"/>
      <c r="Z1465" s="1"/>
    </row>
    <row r="1466">
      <c r="A1466" s="72" t="s">
        <v>4707</v>
      </c>
      <c r="B1466" s="72" t="s">
        <v>206</v>
      </c>
      <c r="C1466" s="72" t="s">
        <v>535</v>
      </c>
      <c r="D1466" s="72" t="s">
        <v>4708</v>
      </c>
      <c r="E1466" s="72" t="s">
        <v>1271</v>
      </c>
      <c r="F1466" s="72" t="s">
        <v>4709</v>
      </c>
      <c r="G1466" s="72" t="s">
        <v>1273</v>
      </c>
      <c r="H1466" s="127">
        <v>0.0</v>
      </c>
      <c r="I1466" s="1"/>
      <c r="J1466" s="1"/>
      <c r="K1466" s="1"/>
      <c r="L1466" s="1"/>
      <c r="M1466" s="1"/>
      <c r="N1466" s="1"/>
      <c r="O1466" s="1"/>
      <c r="P1466" s="1"/>
      <c r="Q1466" s="1"/>
      <c r="R1466" s="1"/>
      <c r="S1466" s="1"/>
      <c r="T1466" s="1"/>
      <c r="U1466" s="1"/>
      <c r="V1466" s="1"/>
      <c r="W1466" s="1"/>
      <c r="X1466" s="1"/>
      <c r="Y1466" s="1"/>
      <c r="Z1466" s="1"/>
    </row>
    <row r="1467">
      <c r="A1467" s="72" t="s">
        <v>4710</v>
      </c>
      <c r="B1467" s="72" t="s">
        <v>185</v>
      </c>
      <c r="C1467" s="72" t="s">
        <v>535</v>
      </c>
      <c r="D1467" s="72" t="s">
        <v>4711</v>
      </c>
      <c r="E1467" s="72" t="s">
        <v>1271</v>
      </c>
      <c r="F1467" s="72" t="s">
        <v>4712</v>
      </c>
      <c r="G1467" s="72" t="s">
        <v>1273</v>
      </c>
      <c r="H1467" s="127">
        <v>0.0</v>
      </c>
      <c r="I1467" s="1"/>
      <c r="J1467" s="1"/>
      <c r="K1467" s="1"/>
      <c r="L1467" s="1"/>
      <c r="M1467" s="1"/>
      <c r="N1467" s="1"/>
      <c r="O1467" s="1"/>
      <c r="P1467" s="1"/>
      <c r="Q1467" s="1"/>
      <c r="R1467" s="1"/>
      <c r="S1467" s="1"/>
      <c r="T1467" s="1"/>
      <c r="U1467" s="1"/>
      <c r="V1467" s="1"/>
      <c r="W1467" s="1"/>
      <c r="X1467" s="1"/>
      <c r="Y1467" s="1"/>
      <c r="Z1467" s="1"/>
    </row>
    <row r="1468">
      <c r="A1468" s="72" t="s">
        <v>4713</v>
      </c>
      <c r="B1468" s="72" t="s">
        <v>235</v>
      </c>
      <c r="C1468" s="72" t="s">
        <v>535</v>
      </c>
      <c r="D1468" s="72" t="s">
        <v>4714</v>
      </c>
      <c r="E1468" s="72" t="s">
        <v>1271</v>
      </c>
      <c r="F1468" s="72" t="s">
        <v>4715</v>
      </c>
      <c r="G1468" s="72" t="s">
        <v>1273</v>
      </c>
      <c r="H1468" s="127">
        <v>0.0</v>
      </c>
      <c r="I1468" s="1"/>
      <c r="J1468" s="1"/>
      <c r="K1468" s="1"/>
      <c r="L1468" s="1"/>
      <c r="M1468" s="1"/>
      <c r="N1468" s="1"/>
      <c r="O1468" s="1"/>
      <c r="P1468" s="1"/>
      <c r="Q1468" s="1"/>
      <c r="R1468" s="1"/>
      <c r="S1468" s="1"/>
      <c r="T1468" s="1"/>
      <c r="U1468" s="1"/>
      <c r="V1468" s="1"/>
      <c r="W1468" s="1"/>
      <c r="X1468" s="1"/>
      <c r="Y1468" s="1"/>
      <c r="Z1468" s="1"/>
    </row>
    <row r="1469">
      <c r="A1469" s="72" t="s">
        <v>4716</v>
      </c>
      <c r="B1469" s="72" t="s">
        <v>271</v>
      </c>
      <c r="C1469" s="72" t="s">
        <v>535</v>
      </c>
      <c r="D1469" s="72" t="s">
        <v>4717</v>
      </c>
      <c r="E1469" s="72" t="s">
        <v>1328</v>
      </c>
      <c r="F1469" s="72" t="s">
        <v>4718</v>
      </c>
      <c r="G1469" s="72">
        <v>-3.0</v>
      </c>
      <c r="H1469" s="127">
        <v>-3.0</v>
      </c>
      <c r="I1469" s="1"/>
      <c r="J1469" s="1"/>
      <c r="K1469" s="1"/>
      <c r="L1469" s="1"/>
      <c r="M1469" s="1"/>
      <c r="N1469" s="1"/>
      <c r="O1469" s="1"/>
      <c r="P1469" s="1"/>
      <c r="Q1469" s="1"/>
      <c r="R1469" s="1"/>
      <c r="S1469" s="1"/>
      <c r="T1469" s="1"/>
      <c r="U1469" s="1"/>
      <c r="V1469" s="1"/>
      <c r="W1469" s="1"/>
      <c r="X1469" s="1"/>
      <c r="Y1469" s="1"/>
      <c r="Z1469" s="1"/>
    </row>
    <row r="1470">
      <c r="A1470" s="72" t="s">
        <v>4719</v>
      </c>
      <c r="B1470" s="72" t="s">
        <v>134</v>
      </c>
      <c r="C1470" s="72" t="s">
        <v>535</v>
      </c>
      <c r="D1470" s="72" t="s">
        <v>4720</v>
      </c>
      <c r="E1470" s="72" t="s">
        <v>1271</v>
      </c>
      <c r="F1470" s="72" t="s">
        <v>4721</v>
      </c>
      <c r="G1470" s="72" t="s">
        <v>1273</v>
      </c>
      <c r="H1470" s="127">
        <v>0.0</v>
      </c>
      <c r="I1470" s="1"/>
      <c r="J1470" s="1"/>
      <c r="K1470" s="1"/>
      <c r="L1470" s="1"/>
      <c r="M1470" s="1"/>
      <c r="N1470" s="1"/>
      <c r="O1470" s="1"/>
      <c r="P1470" s="1"/>
      <c r="Q1470" s="1"/>
      <c r="R1470" s="1"/>
      <c r="S1470" s="1"/>
      <c r="T1470" s="1"/>
      <c r="U1470" s="1"/>
      <c r="V1470" s="1"/>
      <c r="W1470" s="1"/>
      <c r="X1470" s="1"/>
      <c r="Y1470" s="1"/>
      <c r="Z1470" s="1"/>
    </row>
    <row r="1471">
      <c r="A1471" s="72" t="s">
        <v>4722</v>
      </c>
      <c r="B1471" s="72" t="s">
        <v>184</v>
      </c>
      <c r="C1471" s="72" t="s">
        <v>535</v>
      </c>
      <c r="D1471" s="72" t="s">
        <v>4723</v>
      </c>
      <c r="E1471" s="72" t="s">
        <v>1271</v>
      </c>
      <c r="F1471" s="72" t="s">
        <v>4724</v>
      </c>
      <c r="G1471" s="72" t="s">
        <v>1273</v>
      </c>
      <c r="H1471" s="127">
        <v>0.0</v>
      </c>
      <c r="I1471" s="1"/>
      <c r="J1471" s="1"/>
      <c r="K1471" s="1"/>
      <c r="L1471" s="1"/>
      <c r="M1471" s="1"/>
      <c r="N1471" s="1"/>
      <c r="O1471" s="1"/>
      <c r="P1471" s="1"/>
      <c r="Q1471" s="1"/>
      <c r="R1471" s="1"/>
      <c r="S1471" s="1"/>
      <c r="T1471" s="1"/>
      <c r="U1471" s="1"/>
      <c r="V1471" s="1"/>
      <c r="W1471" s="1"/>
      <c r="X1471" s="1"/>
      <c r="Y1471" s="1"/>
      <c r="Z1471" s="1"/>
    </row>
    <row r="1472">
      <c r="A1472" s="72" t="s">
        <v>4725</v>
      </c>
      <c r="B1472" s="72" t="s">
        <v>110</v>
      </c>
      <c r="C1472" s="72" t="s">
        <v>535</v>
      </c>
      <c r="D1472" s="72" t="s">
        <v>4726</v>
      </c>
      <c r="E1472" s="72" t="s">
        <v>1271</v>
      </c>
      <c r="F1472" s="72" t="s">
        <v>4727</v>
      </c>
      <c r="G1472" s="72" t="s">
        <v>1273</v>
      </c>
      <c r="H1472" s="127">
        <v>0.0</v>
      </c>
      <c r="I1472" s="1"/>
      <c r="J1472" s="1"/>
      <c r="K1472" s="1"/>
      <c r="L1472" s="1"/>
      <c r="M1472" s="1"/>
      <c r="N1472" s="1"/>
      <c r="O1472" s="1"/>
      <c r="P1472" s="1"/>
      <c r="Q1472" s="1"/>
      <c r="R1472" s="1"/>
      <c r="S1472" s="1"/>
      <c r="T1472" s="1"/>
      <c r="U1472" s="1"/>
      <c r="V1472" s="1"/>
      <c r="W1472" s="1"/>
      <c r="X1472" s="1"/>
      <c r="Y1472" s="1"/>
      <c r="Z1472" s="1"/>
    </row>
    <row r="1473">
      <c r="A1473" s="72" t="s">
        <v>4728</v>
      </c>
      <c r="B1473" s="72" t="s">
        <v>235</v>
      </c>
      <c r="C1473" s="72" t="s">
        <v>535</v>
      </c>
      <c r="D1473" s="72" t="s">
        <v>4729</v>
      </c>
      <c r="E1473" s="72" t="s">
        <v>1335</v>
      </c>
      <c r="F1473" s="72" t="s">
        <v>4730</v>
      </c>
      <c r="G1473" s="1">
        <f>+2</f>
        <v>2</v>
      </c>
      <c r="H1473" s="127">
        <v>2.0</v>
      </c>
      <c r="I1473" s="1"/>
      <c r="J1473" s="1"/>
      <c r="K1473" s="1"/>
      <c r="L1473" s="1"/>
      <c r="M1473" s="1"/>
      <c r="N1473" s="1"/>
      <c r="O1473" s="1"/>
      <c r="P1473" s="1"/>
      <c r="Q1473" s="1"/>
      <c r="R1473" s="1"/>
      <c r="S1473" s="1"/>
      <c r="T1473" s="1"/>
      <c r="U1473" s="1"/>
      <c r="V1473" s="1"/>
      <c r="W1473" s="1"/>
      <c r="X1473" s="1"/>
      <c r="Y1473" s="1"/>
      <c r="Z1473" s="1"/>
    </row>
    <row r="1474">
      <c r="A1474" s="72" t="s">
        <v>4731</v>
      </c>
      <c r="B1474" s="72" t="s">
        <v>257</v>
      </c>
      <c r="C1474" s="72" t="s">
        <v>535</v>
      </c>
      <c r="D1474" s="72" t="s">
        <v>4732</v>
      </c>
      <c r="E1474" s="72" t="s">
        <v>1283</v>
      </c>
      <c r="F1474" s="72" t="s">
        <v>4733</v>
      </c>
      <c r="G1474" s="72">
        <v>-1.0</v>
      </c>
      <c r="H1474" s="127">
        <v>-1.0</v>
      </c>
      <c r="I1474" s="1"/>
      <c r="J1474" s="1"/>
      <c r="K1474" s="1"/>
      <c r="L1474" s="1"/>
      <c r="M1474" s="1"/>
      <c r="N1474" s="1"/>
      <c r="O1474" s="1"/>
      <c r="P1474" s="1"/>
      <c r="Q1474" s="1"/>
      <c r="R1474" s="1"/>
      <c r="S1474" s="1"/>
      <c r="T1474" s="1"/>
      <c r="U1474" s="1"/>
      <c r="V1474" s="1"/>
      <c r="W1474" s="1"/>
      <c r="X1474" s="1"/>
      <c r="Y1474" s="1"/>
      <c r="Z1474" s="1"/>
    </row>
    <row r="1475">
      <c r="A1475" s="72" t="s">
        <v>4734</v>
      </c>
      <c r="B1475" s="72" t="s">
        <v>184</v>
      </c>
      <c r="C1475" s="72" t="s">
        <v>535</v>
      </c>
      <c r="D1475" s="72" t="s">
        <v>4735</v>
      </c>
      <c r="E1475" s="72" t="s">
        <v>1328</v>
      </c>
      <c r="F1475" s="72" t="s">
        <v>4736</v>
      </c>
      <c r="G1475" s="72">
        <v>-3.0</v>
      </c>
      <c r="H1475" s="127">
        <v>-3.0</v>
      </c>
      <c r="I1475" s="1"/>
      <c r="J1475" s="1"/>
      <c r="K1475" s="1"/>
      <c r="L1475" s="1"/>
      <c r="M1475" s="1"/>
      <c r="N1475" s="1"/>
      <c r="O1475" s="1"/>
      <c r="P1475" s="1"/>
      <c r="Q1475" s="1"/>
      <c r="R1475" s="1"/>
      <c r="S1475" s="1"/>
      <c r="T1475" s="1"/>
      <c r="U1475" s="1"/>
      <c r="V1475" s="1"/>
      <c r="W1475" s="1"/>
      <c r="X1475" s="1"/>
      <c r="Y1475" s="1"/>
      <c r="Z1475" s="1"/>
    </row>
    <row r="1476">
      <c r="A1476" s="72" t="s">
        <v>4737</v>
      </c>
      <c r="B1476" s="72" t="s">
        <v>271</v>
      </c>
      <c r="C1476" s="72" t="s">
        <v>535</v>
      </c>
      <c r="D1476" s="72" t="s">
        <v>4738</v>
      </c>
      <c r="E1476" s="72" t="s">
        <v>1335</v>
      </c>
      <c r="F1476" s="72" t="s">
        <v>4739</v>
      </c>
      <c r="G1476" s="1">
        <f>+2</f>
        <v>2</v>
      </c>
      <c r="H1476" s="127">
        <v>2.0</v>
      </c>
      <c r="I1476" s="1"/>
      <c r="J1476" s="1"/>
      <c r="K1476" s="1"/>
      <c r="L1476" s="1"/>
      <c r="M1476" s="1"/>
      <c r="N1476" s="1"/>
      <c r="O1476" s="1"/>
      <c r="P1476" s="1"/>
      <c r="Q1476" s="1"/>
      <c r="R1476" s="1"/>
      <c r="S1476" s="1"/>
      <c r="T1476" s="1"/>
      <c r="U1476" s="1"/>
      <c r="V1476" s="1"/>
      <c r="W1476" s="1"/>
      <c r="X1476" s="1"/>
      <c r="Y1476" s="1"/>
      <c r="Z1476" s="1"/>
    </row>
    <row r="1477">
      <c r="A1477" s="72" t="s">
        <v>4740</v>
      </c>
      <c r="B1477" s="72" t="s">
        <v>155</v>
      </c>
      <c r="C1477" s="72" t="s">
        <v>535</v>
      </c>
      <c r="D1477" s="72" t="s">
        <v>4741</v>
      </c>
      <c r="E1477" s="72" t="s">
        <v>1271</v>
      </c>
      <c r="F1477" s="72" t="s">
        <v>4742</v>
      </c>
      <c r="G1477" s="72" t="s">
        <v>1273</v>
      </c>
      <c r="H1477" s="127">
        <v>0.0</v>
      </c>
      <c r="I1477" s="1"/>
      <c r="J1477" s="1"/>
      <c r="K1477" s="1"/>
      <c r="L1477" s="1"/>
      <c r="M1477" s="1"/>
      <c r="N1477" s="1"/>
      <c r="O1477" s="1"/>
      <c r="P1477" s="1"/>
      <c r="Q1477" s="1"/>
      <c r="R1477" s="1"/>
      <c r="S1477" s="1"/>
      <c r="T1477" s="1"/>
      <c r="U1477" s="1"/>
      <c r="V1477" s="1"/>
      <c r="W1477" s="1"/>
      <c r="X1477" s="1"/>
      <c r="Y1477" s="1"/>
      <c r="Z1477" s="1"/>
    </row>
    <row r="1478">
      <c r="A1478" s="72" t="s">
        <v>4743</v>
      </c>
      <c r="B1478" s="72" t="s">
        <v>186</v>
      </c>
      <c r="C1478" s="72" t="s">
        <v>535</v>
      </c>
      <c r="D1478" s="72" t="s">
        <v>4744</v>
      </c>
      <c r="E1478" s="72" t="s">
        <v>1271</v>
      </c>
      <c r="F1478" s="72" t="s">
        <v>4745</v>
      </c>
      <c r="G1478" s="72" t="s">
        <v>1273</v>
      </c>
      <c r="H1478" s="127">
        <v>0.0</v>
      </c>
      <c r="I1478" s="1"/>
      <c r="J1478" s="1"/>
      <c r="K1478" s="1"/>
      <c r="L1478" s="1"/>
      <c r="M1478" s="1"/>
      <c r="N1478" s="1"/>
      <c r="O1478" s="1"/>
      <c r="P1478" s="1"/>
      <c r="Q1478" s="1"/>
      <c r="R1478" s="1"/>
      <c r="S1478" s="1"/>
      <c r="T1478" s="1"/>
      <c r="U1478" s="1"/>
      <c r="V1478" s="1"/>
      <c r="W1478" s="1"/>
      <c r="X1478" s="1"/>
      <c r="Y1478" s="1"/>
      <c r="Z1478" s="1"/>
    </row>
    <row r="1479">
      <c r="A1479" s="72" t="s">
        <v>4746</v>
      </c>
      <c r="B1479" s="72" t="s">
        <v>110</v>
      </c>
      <c r="C1479" s="72" t="s">
        <v>535</v>
      </c>
      <c r="D1479" s="72" t="s">
        <v>4747</v>
      </c>
      <c r="E1479" s="72" t="s">
        <v>1335</v>
      </c>
      <c r="F1479" s="72" t="s">
        <v>4748</v>
      </c>
      <c r="G1479" s="1">
        <f>+2</f>
        <v>2</v>
      </c>
      <c r="H1479" s="127">
        <v>2.0</v>
      </c>
      <c r="I1479" s="1"/>
      <c r="J1479" s="1"/>
      <c r="K1479" s="1"/>
      <c r="L1479" s="1"/>
      <c r="M1479" s="1"/>
      <c r="N1479" s="1"/>
      <c r="O1479" s="1"/>
      <c r="P1479" s="1"/>
      <c r="Q1479" s="1"/>
      <c r="R1479" s="1"/>
      <c r="S1479" s="1"/>
      <c r="T1479" s="1"/>
      <c r="U1479" s="1"/>
      <c r="V1479" s="1"/>
      <c r="W1479" s="1"/>
      <c r="X1479" s="1"/>
      <c r="Y1479" s="1"/>
      <c r="Z1479" s="1"/>
    </row>
    <row r="1480">
      <c r="A1480" s="72" t="s">
        <v>4749</v>
      </c>
      <c r="B1480" s="72" t="s">
        <v>110</v>
      </c>
      <c r="C1480" s="72" t="s">
        <v>535</v>
      </c>
      <c r="D1480" s="72" t="s">
        <v>4750</v>
      </c>
      <c r="E1480" s="72" t="s">
        <v>1271</v>
      </c>
      <c r="F1480" s="72" t="s">
        <v>4751</v>
      </c>
      <c r="G1480" s="72" t="s">
        <v>1273</v>
      </c>
      <c r="H1480" s="127">
        <v>0.0</v>
      </c>
      <c r="I1480" s="1"/>
      <c r="J1480" s="1"/>
      <c r="K1480" s="1"/>
      <c r="L1480" s="1"/>
      <c r="M1480" s="1"/>
      <c r="N1480" s="1"/>
      <c r="O1480" s="1"/>
      <c r="P1480" s="1"/>
      <c r="Q1480" s="1"/>
      <c r="R1480" s="1"/>
      <c r="S1480" s="1"/>
      <c r="T1480" s="1"/>
      <c r="U1480" s="1"/>
      <c r="V1480" s="1"/>
      <c r="W1480" s="1"/>
      <c r="X1480" s="1"/>
      <c r="Y1480" s="1"/>
      <c r="Z1480" s="1"/>
    </row>
    <row r="1481">
      <c r="A1481" s="72" t="s">
        <v>4752</v>
      </c>
      <c r="B1481" s="72" t="s">
        <v>140</v>
      </c>
      <c r="C1481" s="72" t="s">
        <v>535</v>
      </c>
      <c r="D1481" s="72" t="s">
        <v>4753</v>
      </c>
      <c r="E1481" s="72" t="s">
        <v>1328</v>
      </c>
      <c r="F1481" s="72" t="s">
        <v>4754</v>
      </c>
      <c r="G1481" s="72">
        <v>-3.0</v>
      </c>
      <c r="H1481" s="127">
        <v>-3.0</v>
      </c>
      <c r="I1481" s="1"/>
      <c r="J1481" s="1"/>
      <c r="K1481" s="1"/>
      <c r="L1481" s="1"/>
      <c r="M1481" s="1"/>
      <c r="N1481" s="1"/>
      <c r="O1481" s="1"/>
      <c r="P1481" s="1"/>
      <c r="Q1481" s="1"/>
      <c r="R1481" s="1"/>
      <c r="S1481" s="1"/>
      <c r="T1481" s="1"/>
      <c r="U1481" s="1"/>
      <c r="V1481" s="1"/>
      <c r="W1481" s="1"/>
      <c r="X1481" s="1"/>
      <c r="Y1481" s="1"/>
      <c r="Z1481" s="1"/>
    </row>
    <row r="1482">
      <c r="A1482" s="72" t="s">
        <v>4755</v>
      </c>
      <c r="B1482" s="72" t="s">
        <v>110</v>
      </c>
      <c r="C1482" s="72" t="s">
        <v>535</v>
      </c>
      <c r="D1482" s="72" t="s">
        <v>4756</v>
      </c>
      <c r="E1482" s="72" t="s">
        <v>1283</v>
      </c>
      <c r="F1482" s="72" t="s">
        <v>4757</v>
      </c>
      <c r="G1482" s="72">
        <v>-1.0</v>
      </c>
      <c r="H1482" s="127">
        <v>-1.0</v>
      </c>
      <c r="I1482" s="1"/>
      <c r="J1482" s="1"/>
      <c r="K1482" s="1"/>
      <c r="L1482" s="1"/>
      <c r="M1482" s="1"/>
      <c r="N1482" s="1"/>
      <c r="O1482" s="1"/>
      <c r="P1482" s="1"/>
      <c r="Q1482" s="1"/>
      <c r="R1482" s="1"/>
      <c r="S1482" s="1"/>
      <c r="T1482" s="1"/>
      <c r="U1482" s="1"/>
      <c r="V1482" s="1"/>
      <c r="W1482" s="1"/>
      <c r="X1482" s="1"/>
      <c r="Y1482" s="1"/>
      <c r="Z1482" s="1"/>
    </row>
    <row r="1483">
      <c r="A1483" s="72" t="s">
        <v>4758</v>
      </c>
      <c r="B1483" s="72" t="s">
        <v>181</v>
      </c>
      <c r="C1483" s="72" t="s">
        <v>535</v>
      </c>
      <c r="D1483" s="72" t="s">
        <v>4759</v>
      </c>
      <c r="E1483" s="72" t="s">
        <v>1290</v>
      </c>
      <c r="F1483" s="72" t="s">
        <v>4760</v>
      </c>
      <c r="G1483" s="1">
        <f>+3</f>
        <v>3</v>
      </c>
      <c r="H1483" s="127">
        <v>3.0</v>
      </c>
      <c r="I1483" s="1"/>
      <c r="J1483" s="1"/>
      <c r="K1483" s="1"/>
      <c r="L1483" s="1"/>
      <c r="M1483" s="1"/>
      <c r="N1483" s="1"/>
      <c r="O1483" s="1"/>
      <c r="P1483" s="1"/>
      <c r="Q1483" s="1"/>
      <c r="R1483" s="1"/>
      <c r="S1483" s="1"/>
      <c r="T1483" s="1"/>
      <c r="U1483" s="1"/>
      <c r="V1483" s="1"/>
      <c r="W1483" s="1"/>
      <c r="X1483" s="1"/>
      <c r="Y1483" s="1"/>
      <c r="Z1483" s="1"/>
    </row>
    <row r="1484">
      <c r="A1484" s="72" t="s">
        <v>4761</v>
      </c>
      <c r="B1484" s="72" t="s">
        <v>176</v>
      </c>
      <c r="C1484" s="72" t="s">
        <v>535</v>
      </c>
      <c r="D1484" s="72" t="s">
        <v>4762</v>
      </c>
      <c r="E1484" s="72" t="s">
        <v>1271</v>
      </c>
      <c r="F1484" s="72" t="s">
        <v>4763</v>
      </c>
      <c r="G1484" s="72" t="s">
        <v>1273</v>
      </c>
      <c r="H1484" s="127">
        <v>0.0</v>
      </c>
      <c r="I1484" s="1"/>
      <c r="J1484" s="1"/>
      <c r="K1484" s="1"/>
      <c r="L1484" s="1"/>
      <c r="M1484" s="1"/>
      <c r="N1484" s="1"/>
      <c r="O1484" s="1"/>
      <c r="P1484" s="1"/>
      <c r="Q1484" s="1"/>
      <c r="R1484" s="1"/>
      <c r="S1484" s="1"/>
      <c r="T1484" s="1"/>
      <c r="U1484" s="1"/>
      <c r="V1484" s="1"/>
      <c r="W1484" s="1"/>
      <c r="X1484" s="1"/>
      <c r="Y1484" s="1"/>
      <c r="Z1484" s="1"/>
    </row>
    <row r="1485">
      <c r="A1485" s="72" t="s">
        <v>4764</v>
      </c>
      <c r="B1485" s="72" t="s">
        <v>134</v>
      </c>
      <c r="C1485" s="72" t="s">
        <v>535</v>
      </c>
      <c r="D1485" s="72" t="s">
        <v>4765</v>
      </c>
      <c r="E1485" s="72" t="s">
        <v>1328</v>
      </c>
      <c r="F1485" s="72" t="s">
        <v>4766</v>
      </c>
      <c r="G1485" s="72">
        <v>-3.0</v>
      </c>
      <c r="H1485" s="127">
        <v>-3.0</v>
      </c>
      <c r="I1485" s="1"/>
      <c r="J1485" s="1"/>
      <c r="K1485" s="1"/>
      <c r="L1485" s="1"/>
      <c r="M1485" s="1"/>
      <c r="N1485" s="1"/>
      <c r="O1485" s="1"/>
      <c r="P1485" s="1"/>
      <c r="Q1485" s="1"/>
      <c r="R1485" s="1"/>
      <c r="S1485" s="1"/>
      <c r="T1485" s="1"/>
      <c r="U1485" s="1"/>
      <c r="V1485" s="1"/>
      <c r="W1485" s="1"/>
      <c r="X1485" s="1"/>
      <c r="Y1485" s="1"/>
      <c r="Z1485" s="1"/>
    </row>
    <row r="1486">
      <c r="A1486" s="72" t="s">
        <v>4767</v>
      </c>
      <c r="B1486" s="72" t="s">
        <v>235</v>
      </c>
      <c r="C1486" s="72" t="s">
        <v>535</v>
      </c>
      <c r="D1486" s="72" t="s">
        <v>4768</v>
      </c>
      <c r="E1486" s="72" t="s">
        <v>1290</v>
      </c>
      <c r="F1486" s="72" t="s">
        <v>4769</v>
      </c>
      <c r="G1486" s="1">
        <f>+3</f>
        <v>3</v>
      </c>
      <c r="H1486" s="127">
        <v>3.0</v>
      </c>
      <c r="I1486" s="1"/>
      <c r="J1486" s="1"/>
      <c r="K1486" s="1"/>
      <c r="L1486" s="1"/>
      <c r="M1486" s="1"/>
      <c r="N1486" s="1"/>
      <c r="O1486" s="1"/>
      <c r="P1486" s="1"/>
      <c r="Q1486" s="1"/>
      <c r="R1486" s="1"/>
      <c r="S1486" s="1"/>
      <c r="T1486" s="1"/>
      <c r="U1486" s="1"/>
      <c r="V1486" s="1"/>
      <c r="W1486" s="1"/>
      <c r="X1486" s="1"/>
      <c r="Y1486" s="1"/>
      <c r="Z1486" s="1"/>
    </row>
    <row r="1487">
      <c r="A1487" s="72" t="s">
        <v>4770</v>
      </c>
      <c r="B1487" s="72" t="s">
        <v>218</v>
      </c>
      <c r="C1487" s="72" t="s">
        <v>535</v>
      </c>
      <c r="D1487" s="72" t="s">
        <v>4771</v>
      </c>
      <c r="E1487" s="72" t="s">
        <v>1271</v>
      </c>
      <c r="F1487" s="72" t="s">
        <v>4772</v>
      </c>
      <c r="G1487" s="72" t="s">
        <v>1273</v>
      </c>
      <c r="H1487" s="127">
        <v>0.0</v>
      </c>
      <c r="I1487" s="1"/>
      <c r="J1487" s="1"/>
      <c r="K1487" s="1"/>
      <c r="L1487" s="1"/>
      <c r="M1487" s="1"/>
      <c r="N1487" s="1"/>
      <c r="O1487" s="1"/>
      <c r="P1487" s="1"/>
      <c r="Q1487" s="1"/>
      <c r="R1487" s="1"/>
      <c r="S1487" s="1"/>
      <c r="T1487" s="1"/>
      <c r="U1487" s="1"/>
      <c r="V1487" s="1"/>
      <c r="W1487" s="1"/>
      <c r="X1487" s="1"/>
      <c r="Y1487" s="1"/>
      <c r="Z1487" s="1"/>
    </row>
    <row r="1488">
      <c r="A1488" s="72" t="s">
        <v>4773</v>
      </c>
      <c r="B1488" s="72" t="s">
        <v>154</v>
      </c>
      <c r="C1488" s="72" t="s">
        <v>535</v>
      </c>
      <c r="D1488" s="72" t="s">
        <v>4774</v>
      </c>
      <c r="E1488" s="72" t="s">
        <v>1335</v>
      </c>
      <c r="F1488" s="72" t="s">
        <v>4775</v>
      </c>
      <c r="G1488" s="1">
        <f>+2</f>
        <v>2</v>
      </c>
      <c r="H1488" s="127">
        <v>2.0</v>
      </c>
      <c r="I1488" s="1"/>
      <c r="J1488" s="1"/>
      <c r="K1488" s="1"/>
      <c r="L1488" s="1"/>
      <c r="M1488" s="1"/>
      <c r="N1488" s="1"/>
      <c r="O1488" s="1"/>
      <c r="P1488" s="1"/>
      <c r="Q1488" s="1"/>
      <c r="R1488" s="1"/>
      <c r="S1488" s="1"/>
      <c r="T1488" s="1"/>
      <c r="U1488" s="1"/>
      <c r="V1488" s="1"/>
      <c r="W1488" s="1"/>
      <c r="X1488" s="1"/>
      <c r="Y1488" s="1"/>
      <c r="Z1488" s="1"/>
    </row>
    <row r="1489">
      <c r="A1489" s="72" t="s">
        <v>4776</v>
      </c>
      <c r="B1489" s="72" t="s">
        <v>196</v>
      </c>
      <c r="C1489" s="72" t="s">
        <v>535</v>
      </c>
      <c r="D1489" s="72" t="s">
        <v>4777</v>
      </c>
      <c r="E1489" s="72" t="s">
        <v>1328</v>
      </c>
      <c r="F1489" s="72" t="s">
        <v>4778</v>
      </c>
      <c r="G1489" s="72">
        <v>-3.0</v>
      </c>
      <c r="H1489" s="127">
        <v>-3.0</v>
      </c>
      <c r="I1489" s="1"/>
      <c r="J1489" s="1"/>
      <c r="K1489" s="1"/>
      <c r="L1489" s="1"/>
      <c r="M1489" s="1"/>
      <c r="N1489" s="1"/>
      <c r="O1489" s="1"/>
      <c r="P1489" s="1"/>
      <c r="Q1489" s="1"/>
      <c r="R1489" s="1"/>
      <c r="S1489" s="1"/>
      <c r="T1489" s="1"/>
      <c r="U1489" s="1"/>
      <c r="V1489" s="1"/>
      <c r="W1489" s="1"/>
      <c r="X1489" s="1"/>
      <c r="Y1489" s="1"/>
      <c r="Z1489" s="1"/>
    </row>
    <row r="1490">
      <c r="A1490" s="72" t="s">
        <v>4779</v>
      </c>
      <c r="B1490" s="72" t="s">
        <v>193</v>
      </c>
      <c r="C1490" s="72" t="s">
        <v>535</v>
      </c>
      <c r="D1490" s="72" t="s">
        <v>4780</v>
      </c>
      <c r="E1490" s="72" t="s">
        <v>1328</v>
      </c>
      <c r="F1490" s="72" t="s">
        <v>4781</v>
      </c>
      <c r="G1490" s="72">
        <v>-3.0</v>
      </c>
      <c r="H1490" s="127">
        <v>-3.0</v>
      </c>
      <c r="I1490" s="1"/>
      <c r="J1490" s="1"/>
      <c r="K1490" s="1"/>
      <c r="L1490" s="1"/>
      <c r="M1490" s="1"/>
      <c r="N1490" s="1"/>
      <c r="O1490" s="1"/>
      <c r="P1490" s="1"/>
      <c r="Q1490" s="1"/>
      <c r="R1490" s="1"/>
      <c r="S1490" s="1"/>
      <c r="T1490" s="1"/>
      <c r="U1490" s="1"/>
      <c r="V1490" s="1"/>
      <c r="W1490" s="1"/>
      <c r="X1490" s="1"/>
      <c r="Y1490" s="1"/>
      <c r="Z1490" s="1"/>
    </row>
    <row r="1491">
      <c r="A1491" s="72" t="s">
        <v>4782</v>
      </c>
      <c r="B1491" s="72" t="s">
        <v>230</v>
      </c>
      <c r="C1491" s="72" t="s">
        <v>535</v>
      </c>
      <c r="D1491" s="72" t="s">
        <v>4783</v>
      </c>
      <c r="E1491" s="72" t="s">
        <v>1271</v>
      </c>
      <c r="F1491" s="72" t="s">
        <v>4784</v>
      </c>
      <c r="G1491" s="72" t="s">
        <v>1273</v>
      </c>
      <c r="H1491" s="127">
        <v>0.0</v>
      </c>
      <c r="I1491" s="1"/>
      <c r="J1491" s="1"/>
      <c r="K1491" s="1"/>
      <c r="L1491" s="1"/>
      <c r="M1491" s="1"/>
      <c r="N1491" s="1"/>
      <c r="O1491" s="1"/>
      <c r="P1491" s="1"/>
      <c r="Q1491" s="1"/>
      <c r="R1491" s="1"/>
      <c r="S1491" s="1"/>
      <c r="T1491" s="1"/>
      <c r="U1491" s="1"/>
      <c r="V1491" s="1"/>
      <c r="W1491" s="1"/>
      <c r="X1491" s="1"/>
      <c r="Y1491" s="1"/>
      <c r="Z1491" s="1"/>
    </row>
    <row r="1492">
      <c r="A1492" s="72" t="s">
        <v>4785</v>
      </c>
      <c r="B1492" s="72" t="s">
        <v>247</v>
      </c>
      <c r="C1492" s="72" t="s">
        <v>535</v>
      </c>
      <c r="D1492" s="72" t="s">
        <v>4786</v>
      </c>
      <c r="E1492" s="72" t="s">
        <v>1300</v>
      </c>
      <c r="F1492" s="72" t="s">
        <v>4787</v>
      </c>
      <c r="G1492" s="72">
        <v>-2.0</v>
      </c>
      <c r="H1492" s="127">
        <v>-2.0</v>
      </c>
      <c r="I1492" s="1"/>
      <c r="J1492" s="1"/>
      <c r="K1492" s="1"/>
      <c r="L1492" s="1"/>
      <c r="M1492" s="1"/>
      <c r="N1492" s="1"/>
      <c r="O1492" s="1"/>
      <c r="P1492" s="1"/>
      <c r="Q1492" s="1"/>
      <c r="R1492" s="1"/>
      <c r="S1492" s="1"/>
      <c r="T1492" s="1"/>
      <c r="U1492" s="1"/>
      <c r="V1492" s="1"/>
      <c r="W1492" s="1"/>
      <c r="X1492" s="1"/>
      <c r="Y1492" s="1"/>
      <c r="Z1492" s="1"/>
    </row>
    <row r="1493">
      <c r="A1493" s="72" t="s">
        <v>4788</v>
      </c>
      <c r="B1493" s="72" t="s">
        <v>193</v>
      </c>
      <c r="C1493" s="72" t="s">
        <v>535</v>
      </c>
      <c r="D1493" s="72" t="s">
        <v>4789</v>
      </c>
      <c r="E1493" s="72" t="s">
        <v>1283</v>
      </c>
      <c r="F1493" s="72" t="s">
        <v>4790</v>
      </c>
      <c r="G1493" s="72">
        <v>-1.0</v>
      </c>
      <c r="H1493" s="127">
        <v>-1.0</v>
      </c>
      <c r="I1493" s="1"/>
      <c r="J1493" s="1"/>
      <c r="K1493" s="1"/>
      <c r="L1493" s="1"/>
      <c r="M1493" s="1"/>
      <c r="N1493" s="1"/>
      <c r="O1493" s="1"/>
      <c r="P1493" s="1"/>
      <c r="Q1493" s="1"/>
      <c r="R1493" s="1"/>
      <c r="S1493" s="1"/>
      <c r="T1493" s="1"/>
      <c r="U1493" s="1"/>
      <c r="V1493" s="1"/>
      <c r="W1493" s="1"/>
      <c r="X1493" s="1"/>
      <c r="Y1493" s="1"/>
      <c r="Z1493" s="1"/>
    </row>
    <row r="1494">
      <c r="A1494" s="72" t="s">
        <v>4791</v>
      </c>
      <c r="B1494" s="72" t="s">
        <v>275</v>
      </c>
      <c r="C1494" s="72" t="s">
        <v>535</v>
      </c>
      <c r="D1494" s="72" t="s">
        <v>4792</v>
      </c>
      <c r="E1494" s="72" t="s">
        <v>1328</v>
      </c>
      <c r="F1494" s="72" t="s">
        <v>4793</v>
      </c>
      <c r="G1494" s="72">
        <v>-3.0</v>
      </c>
      <c r="H1494" s="127">
        <v>-3.0</v>
      </c>
      <c r="I1494" s="1"/>
      <c r="J1494" s="1"/>
      <c r="K1494" s="1"/>
      <c r="L1494" s="1"/>
      <c r="M1494" s="1"/>
      <c r="N1494" s="1"/>
      <c r="O1494" s="1"/>
      <c r="P1494" s="1"/>
      <c r="Q1494" s="1"/>
      <c r="R1494" s="1"/>
      <c r="S1494" s="1"/>
      <c r="T1494" s="1"/>
      <c r="U1494" s="1"/>
      <c r="V1494" s="1"/>
      <c r="W1494" s="1"/>
      <c r="X1494" s="1"/>
      <c r="Y1494" s="1"/>
      <c r="Z1494" s="1"/>
    </row>
    <row r="1495">
      <c r="A1495" s="72" t="s">
        <v>4794</v>
      </c>
      <c r="B1495" s="72" t="s">
        <v>247</v>
      </c>
      <c r="C1495" s="72" t="s">
        <v>535</v>
      </c>
      <c r="D1495" s="72" t="s">
        <v>4795</v>
      </c>
      <c r="E1495" s="72" t="s">
        <v>1276</v>
      </c>
      <c r="F1495" s="72" t="s">
        <v>4796</v>
      </c>
      <c r="G1495" s="1">
        <f>+1</f>
        <v>1</v>
      </c>
      <c r="H1495" s="127">
        <v>1.0</v>
      </c>
      <c r="I1495" s="1"/>
      <c r="J1495" s="1"/>
      <c r="K1495" s="1"/>
      <c r="L1495" s="1"/>
      <c r="M1495" s="1"/>
      <c r="N1495" s="1"/>
      <c r="O1495" s="1"/>
      <c r="P1495" s="1"/>
      <c r="Q1495" s="1"/>
      <c r="R1495" s="1"/>
      <c r="S1495" s="1"/>
      <c r="T1495" s="1"/>
      <c r="U1495" s="1"/>
      <c r="V1495" s="1"/>
      <c r="W1495" s="1"/>
      <c r="X1495" s="1"/>
      <c r="Y1495" s="1"/>
      <c r="Z1495" s="1"/>
    </row>
    <row r="1496">
      <c r="A1496" s="72" t="s">
        <v>4797</v>
      </c>
      <c r="B1496" s="72" t="s">
        <v>275</v>
      </c>
      <c r="C1496" s="72" t="s">
        <v>535</v>
      </c>
      <c r="D1496" s="72" t="s">
        <v>4798</v>
      </c>
      <c r="E1496" s="72" t="s">
        <v>1271</v>
      </c>
      <c r="F1496" s="72" t="s">
        <v>4799</v>
      </c>
      <c r="G1496" s="72" t="s">
        <v>1273</v>
      </c>
      <c r="H1496" s="127">
        <v>0.0</v>
      </c>
      <c r="I1496" s="1"/>
      <c r="J1496" s="1"/>
      <c r="K1496" s="1"/>
      <c r="L1496" s="1"/>
      <c r="M1496" s="1"/>
      <c r="N1496" s="1"/>
      <c r="O1496" s="1"/>
      <c r="P1496" s="1"/>
      <c r="Q1496" s="1"/>
      <c r="R1496" s="1"/>
      <c r="S1496" s="1"/>
      <c r="T1496" s="1"/>
      <c r="U1496" s="1"/>
      <c r="V1496" s="1"/>
      <c r="W1496" s="1"/>
      <c r="X1496" s="1"/>
      <c r="Y1496" s="1"/>
      <c r="Z1496" s="1"/>
    </row>
    <row r="1497">
      <c r="A1497" s="72" t="s">
        <v>4800</v>
      </c>
      <c r="B1497" s="72" t="s">
        <v>171</v>
      </c>
      <c r="C1497" s="72" t="s">
        <v>535</v>
      </c>
      <c r="D1497" s="72" t="s">
        <v>4801</v>
      </c>
      <c r="E1497" s="72" t="s">
        <v>1271</v>
      </c>
      <c r="F1497" s="72" t="s">
        <v>4802</v>
      </c>
      <c r="G1497" s="72" t="s">
        <v>1273</v>
      </c>
      <c r="H1497" s="127">
        <v>0.0</v>
      </c>
      <c r="I1497" s="1"/>
      <c r="J1497" s="1"/>
      <c r="K1497" s="1"/>
      <c r="L1497" s="1"/>
      <c r="M1497" s="1"/>
      <c r="N1497" s="1"/>
      <c r="O1497" s="1"/>
      <c r="P1497" s="1"/>
      <c r="Q1497" s="1"/>
      <c r="R1497" s="1"/>
      <c r="S1497" s="1"/>
      <c r="T1497" s="1"/>
      <c r="U1497" s="1"/>
      <c r="V1497" s="1"/>
      <c r="W1497" s="1"/>
      <c r="X1497" s="1"/>
      <c r="Y1497" s="1"/>
      <c r="Z1497" s="1"/>
    </row>
    <row r="1498">
      <c r="A1498" s="72" t="s">
        <v>4803</v>
      </c>
      <c r="B1498" s="72" t="s">
        <v>140</v>
      </c>
      <c r="C1498" s="72" t="s">
        <v>535</v>
      </c>
      <c r="D1498" s="72" t="s">
        <v>4804</v>
      </c>
      <c r="E1498" s="72" t="s">
        <v>1271</v>
      </c>
      <c r="F1498" s="72" t="s">
        <v>4805</v>
      </c>
      <c r="G1498" s="72" t="s">
        <v>1273</v>
      </c>
      <c r="H1498" s="127">
        <v>0.0</v>
      </c>
      <c r="I1498" s="1"/>
      <c r="J1498" s="1"/>
      <c r="K1498" s="1"/>
      <c r="L1498" s="1"/>
      <c r="M1498" s="1"/>
      <c r="N1498" s="1"/>
      <c r="O1498" s="1"/>
      <c r="P1498" s="1"/>
      <c r="Q1498" s="1"/>
      <c r="R1498" s="1"/>
      <c r="S1498" s="1"/>
      <c r="T1498" s="1"/>
      <c r="U1498" s="1"/>
      <c r="V1498" s="1"/>
      <c r="W1498" s="1"/>
      <c r="X1498" s="1"/>
      <c r="Y1498" s="1"/>
      <c r="Z1498" s="1"/>
    </row>
    <row r="1499">
      <c r="A1499" s="72" t="s">
        <v>4806</v>
      </c>
      <c r="B1499" s="72" t="s">
        <v>196</v>
      </c>
      <c r="C1499" s="72" t="s">
        <v>535</v>
      </c>
      <c r="D1499" s="72" t="s">
        <v>4807</v>
      </c>
      <c r="E1499" s="72" t="s">
        <v>1271</v>
      </c>
      <c r="F1499" s="72" t="s">
        <v>4808</v>
      </c>
      <c r="G1499" s="72" t="s">
        <v>1273</v>
      </c>
      <c r="H1499" s="127">
        <v>0.0</v>
      </c>
      <c r="I1499" s="1"/>
      <c r="J1499" s="1"/>
      <c r="K1499" s="1"/>
      <c r="L1499" s="1"/>
      <c r="M1499" s="1"/>
      <c r="N1499" s="1"/>
      <c r="O1499" s="1"/>
      <c r="P1499" s="1"/>
      <c r="Q1499" s="1"/>
      <c r="R1499" s="1"/>
      <c r="S1499" s="1"/>
      <c r="T1499" s="1"/>
      <c r="U1499" s="1"/>
      <c r="V1499" s="1"/>
      <c r="W1499" s="1"/>
      <c r="X1499" s="1"/>
      <c r="Y1499" s="1"/>
      <c r="Z1499" s="1"/>
    </row>
    <row r="1500">
      <c r="A1500" s="72" t="s">
        <v>4809</v>
      </c>
      <c r="B1500" s="72" t="s">
        <v>154</v>
      </c>
      <c r="C1500" s="72" t="s">
        <v>535</v>
      </c>
      <c r="D1500" s="72" t="s">
        <v>4810</v>
      </c>
      <c r="E1500" s="72" t="s">
        <v>1335</v>
      </c>
      <c r="F1500" s="72" t="s">
        <v>4811</v>
      </c>
      <c r="G1500" s="1">
        <f>+2</f>
        <v>2</v>
      </c>
      <c r="H1500" s="127">
        <v>2.0</v>
      </c>
      <c r="I1500" s="1"/>
      <c r="J1500" s="1"/>
      <c r="K1500" s="1"/>
      <c r="L1500" s="1"/>
      <c r="M1500" s="1"/>
      <c r="N1500" s="1"/>
      <c r="O1500" s="1"/>
      <c r="P1500" s="1"/>
      <c r="Q1500" s="1"/>
      <c r="R1500" s="1"/>
      <c r="S1500" s="1"/>
      <c r="T1500" s="1"/>
      <c r="U1500" s="1"/>
      <c r="V1500" s="1"/>
      <c r="W1500" s="1"/>
      <c r="X1500" s="1"/>
      <c r="Y1500" s="1"/>
      <c r="Z1500" s="1"/>
    </row>
    <row r="1501">
      <c r="A1501" s="72" t="s">
        <v>4812</v>
      </c>
      <c r="B1501" s="72" t="s">
        <v>275</v>
      </c>
      <c r="C1501" s="72" t="s">
        <v>535</v>
      </c>
      <c r="D1501" s="72" t="s">
        <v>4813</v>
      </c>
      <c r="E1501" s="72" t="s">
        <v>1328</v>
      </c>
      <c r="F1501" s="72" t="s">
        <v>4814</v>
      </c>
      <c r="G1501" s="72">
        <v>-3.0</v>
      </c>
      <c r="H1501" s="127">
        <v>-3.0</v>
      </c>
      <c r="I1501" s="1"/>
      <c r="J1501" s="1"/>
      <c r="K1501" s="1"/>
      <c r="L1501" s="1"/>
      <c r="M1501" s="1"/>
      <c r="N1501" s="1"/>
      <c r="O1501" s="1"/>
      <c r="P1501" s="1"/>
      <c r="Q1501" s="1"/>
      <c r="R1501" s="1"/>
      <c r="S1501" s="1"/>
      <c r="T1501" s="1"/>
      <c r="U1501" s="1"/>
      <c r="V1501" s="1"/>
      <c r="W1501" s="1"/>
      <c r="X1501" s="1"/>
      <c r="Y1501" s="1"/>
      <c r="Z1501" s="1"/>
    </row>
    <row r="1502">
      <c r="A1502" s="72" t="s">
        <v>4815</v>
      </c>
      <c r="B1502" s="72" t="s">
        <v>164</v>
      </c>
      <c r="C1502" s="72" t="s">
        <v>535</v>
      </c>
      <c r="D1502" s="72" t="s">
        <v>4816</v>
      </c>
      <c r="E1502" s="72" t="s">
        <v>1300</v>
      </c>
      <c r="F1502" s="72" t="s">
        <v>4817</v>
      </c>
      <c r="G1502" s="72">
        <v>-2.0</v>
      </c>
      <c r="H1502" s="127">
        <v>-2.0</v>
      </c>
      <c r="I1502" s="1"/>
      <c r="J1502" s="1"/>
      <c r="K1502" s="1"/>
      <c r="L1502" s="1"/>
      <c r="M1502" s="1"/>
      <c r="N1502" s="1"/>
      <c r="O1502" s="1"/>
      <c r="P1502" s="1"/>
      <c r="Q1502" s="1"/>
      <c r="R1502" s="1"/>
      <c r="S1502" s="1"/>
      <c r="T1502" s="1"/>
      <c r="U1502" s="1"/>
      <c r="V1502" s="1"/>
      <c r="W1502" s="1"/>
      <c r="X1502" s="1"/>
      <c r="Y1502" s="1"/>
      <c r="Z1502" s="1"/>
    </row>
    <row r="1503">
      <c r="A1503" s="72" t="s">
        <v>4818</v>
      </c>
      <c r="B1503" s="72" t="s">
        <v>160</v>
      </c>
      <c r="C1503" s="72" t="s">
        <v>535</v>
      </c>
      <c r="D1503" s="72" t="s">
        <v>4819</v>
      </c>
      <c r="E1503" s="72" t="s">
        <v>1290</v>
      </c>
      <c r="F1503" s="72" t="s">
        <v>4820</v>
      </c>
      <c r="G1503" s="1">
        <f t="shared" ref="G1503:G1504" si="51">+3</f>
        <v>3</v>
      </c>
      <c r="H1503" s="127">
        <v>3.0</v>
      </c>
      <c r="I1503" s="1"/>
      <c r="J1503" s="1"/>
      <c r="K1503" s="1"/>
      <c r="L1503" s="1"/>
      <c r="M1503" s="1"/>
      <c r="N1503" s="1"/>
      <c r="O1503" s="1"/>
      <c r="P1503" s="1"/>
      <c r="Q1503" s="1"/>
      <c r="R1503" s="1"/>
      <c r="S1503" s="1"/>
      <c r="T1503" s="1"/>
      <c r="U1503" s="1"/>
      <c r="V1503" s="1"/>
      <c r="W1503" s="1"/>
      <c r="X1503" s="1"/>
      <c r="Y1503" s="1"/>
      <c r="Z1503" s="1"/>
    </row>
    <row r="1504">
      <c r="A1504" s="72" t="s">
        <v>4821</v>
      </c>
      <c r="B1504" s="72" t="s">
        <v>280</v>
      </c>
      <c r="C1504" s="72" t="s">
        <v>535</v>
      </c>
      <c r="D1504" s="72" t="s">
        <v>4822</v>
      </c>
      <c r="E1504" s="72" t="s">
        <v>1290</v>
      </c>
      <c r="F1504" s="72" t="s">
        <v>4823</v>
      </c>
      <c r="G1504" s="1">
        <f t="shared" si="51"/>
        <v>3</v>
      </c>
      <c r="H1504" s="127">
        <v>3.0</v>
      </c>
      <c r="I1504" s="1"/>
      <c r="J1504" s="1"/>
      <c r="K1504" s="1"/>
      <c r="L1504" s="1"/>
      <c r="M1504" s="1"/>
      <c r="N1504" s="1"/>
      <c r="O1504" s="1"/>
      <c r="P1504" s="1"/>
      <c r="Q1504" s="1"/>
      <c r="R1504" s="1"/>
      <c r="S1504" s="1"/>
      <c r="T1504" s="1"/>
      <c r="U1504" s="1"/>
      <c r="V1504" s="1"/>
      <c r="W1504" s="1"/>
      <c r="X1504" s="1"/>
      <c r="Y1504" s="1"/>
      <c r="Z1504" s="1"/>
    </row>
    <row r="1505">
      <c r="A1505" s="72" t="s">
        <v>4824</v>
      </c>
      <c r="B1505" s="72" t="s">
        <v>150</v>
      </c>
      <c r="C1505" s="72" t="s">
        <v>535</v>
      </c>
      <c r="D1505" s="72" t="s">
        <v>4825</v>
      </c>
      <c r="E1505" s="72" t="s">
        <v>1300</v>
      </c>
      <c r="F1505" s="72" t="s">
        <v>4826</v>
      </c>
      <c r="G1505" s="72">
        <v>-2.0</v>
      </c>
      <c r="H1505" s="127">
        <v>-2.0</v>
      </c>
      <c r="I1505" s="1"/>
      <c r="J1505" s="1"/>
      <c r="K1505" s="1"/>
      <c r="L1505" s="1"/>
      <c r="M1505" s="1"/>
      <c r="N1505" s="1"/>
      <c r="O1505" s="1"/>
      <c r="P1505" s="1"/>
      <c r="Q1505" s="1"/>
      <c r="R1505" s="1"/>
      <c r="S1505" s="1"/>
      <c r="T1505" s="1"/>
      <c r="U1505" s="1"/>
      <c r="V1505" s="1"/>
      <c r="W1505" s="1"/>
      <c r="X1505" s="1"/>
      <c r="Y1505" s="1"/>
      <c r="Z1505" s="1"/>
    </row>
    <row r="1506">
      <c r="A1506" s="72" t="s">
        <v>4827</v>
      </c>
      <c r="B1506" s="72" t="s">
        <v>141</v>
      </c>
      <c r="C1506" s="72" t="s">
        <v>535</v>
      </c>
      <c r="D1506" s="72" t="s">
        <v>4828</v>
      </c>
      <c r="E1506" s="72" t="s">
        <v>1300</v>
      </c>
      <c r="F1506" s="72" t="s">
        <v>4829</v>
      </c>
      <c r="G1506" s="72">
        <v>-2.0</v>
      </c>
      <c r="H1506" s="127">
        <v>-2.0</v>
      </c>
      <c r="I1506" s="1"/>
      <c r="J1506" s="1"/>
      <c r="K1506" s="1"/>
      <c r="L1506" s="1"/>
      <c r="M1506" s="1"/>
      <c r="N1506" s="1"/>
      <c r="O1506" s="1"/>
      <c r="P1506" s="1"/>
      <c r="Q1506" s="1"/>
      <c r="R1506" s="1"/>
      <c r="S1506" s="1"/>
      <c r="T1506" s="1"/>
      <c r="U1506" s="1"/>
      <c r="V1506" s="1"/>
      <c r="W1506" s="1"/>
      <c r="X1506" s="1"/>
      <c r="Y1506" s="1"/>
      <c r="Z1506" s="1"/>
    </row>
    <row r="1507">
      <c r="A1507" s="72" t="s">
        <v>4830</v>
      </c>
      <c r="B1507" s="72" t="s">
        <v>129</v>
      </c>
      <c r="C1507" s="72" t="s">
        <v>535</v>
      </c>
      <c r="D1507" s="72" t="s">
        <v>4831</v>
      </c>
      <c r="E1507" s="72" t="s">
        <v>1271</v>
      </c>
      <c r="F1507" s="72" t="s">
        <v>4832</v>
      </c>
      <c r="G1507" s="72" t="s">
        <v>1273</v>
      </c>
      <c r="H1507" s="127">
        <v>0.0</v>
      </c>
      <c r="I1507" s="1"/>
      <c r="J1507" s="1"/>
      <c r="K1507" s="1"/>
      <c r="L1507" s="1"/>
      <c r="M1507" s="1"/>
      <c r="N1507" s="1"/>
      <c r="O1507" s="1"/>
      <c r="P1507" s="1"/>
      <c r="Q1507" s="1"/>
      <c r="R1507" s="1"/>
      <c r="S1507" s="1"/>
      <c r="T1507" s="1"/>
      <c r="U1507" s="1"/>
      <c r="V1507" s="1"/>
      <c r="W1507" s="1"/>
      <c r="X1507" s="1"/>
      <c r="Y1507" s="1"/>
      <c r="Z1507" s="1"/>
    </row>
    <row r="1508">
      <c r="A1508" s="72" t="s">
        <v>4833</v>
      </c>
      <c r="B1508" s="72" t="s">
        <v>237</v>
      </c>
      <c r="C1508" s="72" t="s">
        <v>535</v>
      </c>
      <c r="D1508" s="72" t="s">
        <v>4834</v>
      </c>
      <c r="E1508" s="72" t="s">
        <v>1283</v>
      </c>
      <c r="F1508" s="72" t="s">
        <v>4835</v>
      </c>
      <c r="G1508" s="72">
        <v>-1.0</v>
      </c>
      <c r="H1508" s="127">
        <v>-1.0</v>
      </c>
      <c r="I1508" s="1"/>
      <c r="J1508" s="1"/>
      <c r="K1508" s="1"/>
      <c r="L1508" s="1"/>
      <c r="M1508" s="1"/>
      <c r="N1508" s="1"/>
      <c r="O1508" s="1"/>
      <c r="P1508" s="1"/>
      <c r="Q1508" s="1"/>
      <c r="R1508" s="1"/>
      <c r="S1508" s="1"/>
      <c r="T1508" s="1"/>
      <c r="U1508" s="1"/>
      <c r="V1508" s="1"/>
      <c r="W1508" s="1"/>
      <c r="X1508" s="1"/>
      <c r="Y1508" s="1"/>
      <c r="Z1508" s="1"/>
    </row>
    <row r="1509">
      <c r="A1509" s="72" t="s">
        <v>4836</v>
      </c>
      <c r="B1509" s="72" t="s">
        <v>218</v>
      </c>
      <c r="C1509" s="72" t="s">
        <v>535</v>
      </c>
      <c r="D1509" s="72" t="s">
        <v>4837</v>
      </c>
      <c r="E1509" s="72" t="s">
        <v>1283</v>
      </c>
      <c r="F1509" s="72" t="s">
        <v>4838</v>
      </c>
      <c r="G1509" s="72">
        <v>-1.0</v>
      </c>
      <c r="H1509" s="127">
        <v>-1.0</v>
      </c>
      <c r="I1509" s="1"/>
      <c r="J1509" s="1"/>
      <c r="K1509" s="1"/>
      <c r="L1509" s="1"/>
      <c r="M1509" s="1"/>
      <c r="N1509" s="1"/>
      <c r="O1509" s="1"/>
      <c r="P1509" s="1"/>
      <c r="Q1509" s="1"/>
      <c r="R1509" s="1"/>
      <c r="S1509" s="1"/>
      <c r="T1509" s="1"/>
      <c r="U1509" s="1"/>
      <c r="V1509" s="1"/>
      <c r="W1509" s="1"/>
      <c r="X1509" s="1"/>
      <c r="Y1509" s="1"/>
      <c r="Z1509" s="1"/>
    </row>
    <row r="1510">
      <c r="A1510" s="72" t="s">
        <v>4839</v>
      </c>
      <c r="B1510" s="72" t="s">
        <v>133</v>
      </c>
      <c r="C1510" s="72" t="s">
        <v>535</v>
      </c>
      <c r="D1510" s="72" t="s">
        <v>4840</v>
      </c>
      <c r="E1510" s="72" t="s">
        <v>1290</v>
      </c>
      <c r="F1510" s="72" t="s">
        <v>4841</v>
      </c>
      <c r="G1510" s="1">
        <f>+3</f>
        <v>3</v>
      </c>
      <c r="H1510" s="127">
        <v>3.0</v>
      </c>
      <c r="I1510" s="1"/>
      <c r="J1510" s="1"/>
      <c r="K1510" s="1"/>
      <c r="L1510" s="1"/>
      <c r="M1510" s="1"/>
      <c r="N1510" s="1"/>
      <c r="O1510" s="1"/>
      <c r="P1510" s="1"/>
      <c r="Q1510" s="1"/>
      <c r="R1510" s="1"/>
      <c r="S1510" s="1"/>
      <c r="T1510" s="1"/>
      <c r="U1510" s="1"/>
      <c r="V1510" s="1"/>
      <c r="W1510" s="1"/>
      <c r="X1510" s="1"/>
      <c r="Y1510" s="1"/>
      <c r="Z1510" s="1"/>
    </row>
    <row r="1511">
      <c r="A1511" s="72" t="s">
        <v>4842</v>
      </c>
      <c r="B1511" s="72" t="s">
        <v>321</v>
      </c>
      <c r="C1511" s="72" t="s">
        <v>535</v>
      </c>
      <c r="D1511" s="72" t="s">
        <v>4843</v>
      </c>
      <c r="E1511" s="72" t="s">
        <v>1276</v>
      </c>
      <c r="F1511" s="72" t="s">
        <v>4844</v>
      </c>
      <c r="G1511" s="1">
        <f>+1</f>
        <v>1</v>
      </c>
      <c r="H1511" s="127">
        <v>1.0</v>
      </c>
      <c r="I1511" s="1"/>
      <c r="J1511" s="1"/>
      <c r="K1511" s="1"/>
      <c r="L1511" s="1"/>
      <c r="M1511" s="1"/>
      <c r="N1511" s="1"/>
      <c r="O1511" s="1"/>
      <c r="P1511" s="1"/>
      <c r="Q1511" s="1"/>
      <c r="R1511" s="1"/>
      <c r="S1511" s="1"/>
      <c r="T1511" s="1"/>
      <c r="U1511" s="1"/>
      <c r="V1511" s="1"/>
      <c r="W1511" s="1"/>
      <c r="X1511" s="1"/>
      <c r="Y1511" s="1"/>
      <c r="Z1511" s="1"/>
    </row>
    <row r="1512">
      <c r="A1512" s="72" t="s">
        <v>4845</v>
      </c>
      <c r="B1512" s="72" t="s">
        <v>161</v>
      </c>
      <c r="C1512" s="72" t="s">
        <v>535</v>
      </c>
      <c r="D1512" s="72" t="s">
        <v>4846</v>
      </c>
      <c r="E1512" s="72" t="s">
        <v>1271</v>
      </c>
      <c r="F1512" s="72" t="s">
        <v>4847</v>
      </c>
      <c r="G1512" s="72" t="s">
        <v>1273</v>
      </c>
      <c r="H1512" s="127">
        <v>0.0</v>
      </c>
      <c r="I1512" s="1"/>
      <c r="J1512" s="1"/>
      <c r="K1512" s="1"/>
      <c r="L1512" s="1"/>
      <c r="M1512" s="1"/>
      <c r="N1512" s="1"/>
      <c r="O1512" s="1"/>
      <c r="P1512" s="1"/>
      <c r="Q1512" s="1"/>
      <c r="R1512" s="1"/>
      <c r="S1512" s="1"/>
      <c r="T1512" s="1"/>
      <c r="U1512" s="1"/>
      <c r="V1512" s="1"/>
      <c r="W1512" s="1"/>
      <c r="X1512" s="1"/>
      <c r="Y1512" s="1"/>
      <c r="Z1512" s="1"/>
    </row>
    <row r="1513">
      <c r="A1513" s="72" t="s">
        <v>4848</v>
      </c>
      <c r="B1513" s="72" t="s">
        <v>161</v>
      </c>
      <c r="C1513" s="72" t="s">
        <v>535</v>
      </c>
      <c r="D1513" s="72" t="s">
        <v>4849</v>
      </c>
      <c r="E1513" s="72" t="s">
        <v>1283</v>
      </c>
      <c r="F1513" s="72" t="s">
        <v>4850</v>
      </c>
      <c r="G1513" s="72">
        <v>-1.0</v>
      </c>
      <c r="H1513" s="127">
        <v>-1.0</v>
      </c>
      <c r="I1513" s="1"/>
      <c r="J1513" s="1"/>
      <c r="K1513" s="1"/>
      <c r="L1513" s="1"/>
      <c r="M1513" s="1"/>
      <c r="N1513" s="1"/>
      <c r="O1513" s="1"/>
      <c r="P1513" s="1"/>
      <c r="Q1513" s="1"/>
      <c r="R1513" s="1"/>
      <c r="S1513" s="1"/>
      <c r="T1513" s="1"/>
      <c r="U1513" s="1"/>
      <c r="V1513" s="1"/>
      <c r="W1513" s="1"/>
      <c r="X1513" s="1"/>
      <c r="Y1513" s="1"/>
      <c r="Z1513" s="1"/>
    </row>
    <row r="1514">
      <c r="A1514" s="72" t="s">
        <v>4851</v>
      </c>
      <c r="B1514" s="72" t="s">
        <v>142</v>
      </c>
      <c r="C1514" s="72" t="s">
        <v>535</v>
      </c>
      <c r="D1514" s="72" t="s">
        <v>4852</v>
      </c>
      <c r="E1514" s="72" t="s">
        <v>1290</v>
      </c>
      <c r="F1514" s="72" t="s">
        <v>4853</v>
      </c>
      <c r="G1514" s="1">
        <f>+3</f>
        <v>3</v>
      </c>
      <c r="H1514" s="127">
        <v>3.0</v>
      </c>
      <c r="I1514" s="1"/>
      <c r="J1514" s="1"/>
      <c r="K1514" s="1"/>
      <c r="L1514" s="1"/>
      <c r="M1514" s="1"/>
      <c r="N1514" s="1"/>
      <c r="O1514" s="1"/>
      <c r="P1514" s="1"/>
      <c r="Q1514" s="1"/>
      <c r="R1514" s="1"/>
      <c r="S1514" s="1"/>
      <c r="T1514" s="1"/>
      <c r="U1514" s="1"/>
      <c r="V1514" s="1"/>
      <c r="W1514" s="1"/>
      <c r="X1514" s="1"/>
      <c r="Y1514" s="1"/>
      <c r="Z1514" s="1"/>
    </row>
    <row r="1515">
      <c r="A1515" s="72" t="s">
        <v>4854</v>
      </c>
      <c r="B1515" s="72" t="s">
        <v>178</v>
      </c>
      <c r="C1515" s="72" t="s">
        <v>535</v>
      </c>
      <c r="D1515" s="72" t="s">
        <v>4855</v>
      </c>
      <c r="E1515" s="72" t="s">
        <v>1328</v>
      </c>
      <c r="F1515" s="72" t="s">
        <v>4856</v>
      </c>
      <c r="G1515" s="72">
        <v>-3.0</v>
      </c>
      <c r="H1515" s="127">
        <v>-3.0</v>
      </c>
      <c r="I1515" s="1"/>
      <c r="J1515" s="1"/>
      <c r="K1515" s="1"/>
      <c r="L1515" s="1"/>
      <c r="M1515" s="1"/>
      <c r="N1515" s="1"/>
      <c r="O1515" s="1"/>
      <c r="P1515" s="1"/>
      <c r="Q1515" s="1"/>
      <c r="R1515" s="1"/>
      <c r="S1515" s="1"/>
      <c r="T1515" s="1"/>
      <c r="U1515" s="1"/>
      <c r="V1515" s="1"/>
      <c r="W1515" s="1"/>
      <c r="X1515" s="1"/>
      <c r="Y1515" s="1"/>
      <c r="Z1515" s="1"/>
    </row>
    <row r="1516">
      <c r="A1516" s="72" t="s">
        <v>4857</v>
      </c>
      <c r="B1516" s="72" t="s">
        <v>142</v>
      </c>
      <c r="C1516" s="72" t="s">
        <v>535</v>
      </c>
      <c r="D1516" s="72" t="s">
        <v>4858</v>
      </c>
      <c r="E1516" s="72" t="s">
        <v>1271</v>
      </c>
      <c r="F1516" s="72" t="s">
        <v>4859</v>
      </c>
      <c r="G1516" s="72" t="s">
        <v>1273</v>
      </c>
      <c r="H1516" s="127">
        <v>0.0</v>
      </c>
      <c r="I1516" s="1"/>
      <c r="J1516" s="1"/>
      <c r="K1516" s="1"/>
      <c r="L1516" s="1"/>
      <c r="M1516" s="1"/>
      <c r="N1516" s="1"/>
      <c r="O1516" s="1"/>
      <c r="P1516" s="1"/>
      <c r="Q1516" s="1"/>
      <c r="R1516" s="1"/>
      <c r="S1516" s="1"/>
      <c r="T1516" s="1"/>
      <c r="U1516" s="1"/>
      <c r="V1516" s="1"/>
      <c r="W1516" s="1"/>
      <c r="X1516" s="1"/>
      <c r="Y1516" s="1"/>
      <c r="Z1516" s="1"/>
    </row>
    <row r="1517">
      <c r="A1517" s="72" t="s">
        <v>4860</v>
      </c>
      <c r="B1517" s="72" t="s">
        <v>195</v>
      </c>
      <c r="C1517" s="72" t="s">
        <v>535</v>
      </c>
      <c r="D1517" s="72" t="s">
        <v>4861</v>
      </c>
      <c r="E1517" s="72" t="s">
        <v>1328</v>
      </c>
      <c r="F1517" s="72" t="s">
        <v>4862</v>
      </c>
      <c r="G1517" s="72">
        <v>-3.0</v>
      </c>
      <c r="H1517" s="127">
        <v>-3.0</v>
      </c>
      <c r="I1517" s="1"/>
      <c r="J1517" s="1"/>
      <c r="K1517" s="1"/>
      <c r="L1517" s="1"/>
      <c r="M1517" s="1"/>
      <c r="N1517" s="1"/>
      <c r="O1517" s="1"/>
      <c r="P1517" s="1"/>
      <c r="Q1517" s="1"/>
      <c r="R1517" s="1"/>
      <c r="S1517" s="1"/>
      <c r="T1517" s="1"/>
      <c r="U1517" s="1"/>
      <c r="V1517" s="1"/>
      <c r="W1517" s="1"/>
      <c r="X1517" s="1"/>
      <c r="Y1517" s="1"/>
      <c r="Z1517" s="1"/>
    </row>
    <row r="1518">
      <c r="A1518" s="72" t="s">
        <v>4863</v>
      </c>
      <c r="B1518" s="72" t="s">
        <v>205</v>
      </c>
      <c r="C1518" s="72" t="s">
        <v>535</v>
      </c>
      <c r="D1518" s="72" t="s">
        <v>4864</v>
      </c>
      <c r="E1518" s="72" t="s">
        <v>1328</v>
      </c>
      <c r="F1518" s="72" t="s">
        <v>4865</v>
      </c>
      <c r="G1518" s="72">
        <v>-3.0</v>
      </c>
      <c r="H1518" s="127">
        <v>-3.0</v>
      </c>
      <c r="I1518" s="1"/>
      <c r="J1518" s="1"/>
      <c r="K1518" s="1"/>
      <c r="L1518" s="1"/>
      <c r="M1518" s="1"/>
      <c r="N1518" s="1"/>
      <c r="O1518" s="1"/>
      <c r="P1518" s="1"/>
      <c r="Q1518" s="1"/>
      <c r="R1518" s="1"/>
      <c r="S1518" s="1"/>
      <c r="T1518" s="1"/>
      <c r="U1518" s="1"/>
      <c r="V1518" s="1"/>
      <c r="W1518" s="1"/>
      <c r="X1518" s="1"/>
      <c r="Y1518" s="1"/>
      <c r="Z1518" s="1"/>
    </row>
    <row r="1519">
      <c r="A1519" s="72" t="s">
        <v>4866</v>
      </c>
      <c r="B1519" s="72" t="s">
        <v>205</v>
      </c>
      <c r="C1519" s="72" t="s">
        <v>535</v>
      </c>
      <c r="D1519" s="72" t="s">
        <v>4867</v>
      </c>
      <c r="E1519" s="72" t="s">
        <v>1271</v>
      </c>
      <c r="F1519" s="72" t="s">
        <v>4868</v>
      </c>
      <c r="G1519" s="72" t="s">
        <v>1273</v>
      </c>
      <c r="H1519" s="127">
        <v>0.0</v>
      </c>
      <c r="I1519" s="1"/>
      <c r="J1519" s="1"/>
      <c r="K1519" s="1"/>
      <c r="L1519" s="1"/>
      <c r="M1519" s="1"/>
      <c r="N1519" s="1"/>
      <c r="O1519" s="1"/>
      <c r="P1519" s="1"/>
      <c r="Q1519" s="1"/>
      <c r="R1519" s="1"/>
      <c r="S1519" s="1"/>
      <c r="T1519" s="1"/>
      <c r="U1519" s="1"/>
      <c r="V1519" s="1"/>
      <c r="W1519" s="1"/>
      <c r="X1519" s="1"/>
      <c r="Y1519" s="1"/>
      <c r="Z1519" s="1"/>
    </row>
    <row r="1520">
      <c r="A1520" s="72" t="s">
        <v>4869</v>
      </c>
      <c r="B1520" s="72" t="s">
        <v>145</v>
      </c>
      <c r="C1520" s="72" t="s">
        <v>535</v>
      </c>
      <c r="D1520" s="72" t="s">
        <v>4870</v>
      </c>
      <c r="E1520" s="72" t="s">
        <v>1271</v>
      </c>
      <c r="F1520" s="72" t="s">
        <v>4871</v>
      </c>
      <c r="G1520" s="72" t="s">
        <v>1273</v>
      </c>
      <c r="H1520" s="127">
        <v>0.0</v>
      </c>
      <c r="I1520" s="1"/>
      <c r="J1520" s="1"/>
      <c r="K1520" s="1"/>
      <c r="L1520" s="1"/>
      <c r="M1520" s="1"/>
      <c r="N1520" s="1"/>
      <c r="O1520" s="1"/>
      <c r="P1520" s="1"/>
      <c r="Q1520" s="1"/>
      <c r="R1520" s="1"/>
      <c r="S1520" s="1"/>
      <c r="T1520" s="1"/>
      <c r="U1520" s="1"/>
      <c r="V1520" s="1"/>
      <c r="W1520" s="1"/>
      <c r="X1520" s="1"/>
      <c r="Y1520" s="1"/>
      <c r="Z1520" s="1"/>
    </row>
    <row r="1521">
      <c r="A1521" s="72" t="s">
        <v>4872</v>
      </c>
      <c r="B1521" s="72" t="s">
        <v>247</v>
      </c>
      <c r="C1521" s="72" t="s">
        <v>535</v>
      </c>
      <c r="D1521" s="72" t="s">
        <v>4873</v>
      </c>
      <c r="E1521" s="72" t="s">
        <v>1300</v>
      </c>
      <c r="F1521" s="72" t="s">
        <v>4874</v>
      </c>
      <c r="G1521" s="72">
        <v>-2.0</v>
      </c>
      <c r="H1521" s="127">
        <v>-2.0</v>
      </c>
      <c r="I1521" s="1"/>
      <c r="J1521" s="1"/>
      <c r="K1521" s="1"/>
      <c r="L1521" s="1"/>
      <c r="M1521" s="1"/>
      <c r="N1521" s="1"/>
      <c r="O1521" s="1"/>
      <c r="P1521" s="1"/>
      <c r="Q1521" s="1"/>
      <c r="R1521" s="1"/>
      <c r="S1521" s="1"/>
      <c r="T1521" s="1"/>
      <c r="U1521" s="1"/>
      <c r="V1521" s="1"/>
      <c r="W1521" s="1"/>
      <c r="X1521" s="1"/>
      <c r="Y1521" s="1"/>
      <c r="Z1521" s="1"/>
    </row>
    <row r="1522">
      <c r="A1522" s="72" t="s">
        <v>4875</v>
      </c>
      <c r="B1522" s="72" t="s">
        <v>142</v>
      </c>
      <c r="C1522" s="72" t="s">
        <v>535</v>
      </c>
      <c r="D1522" s="72" t="s">
        <v>4876</v>
      </c>
      <c r="E1522" s="72" t="s">
        <v>1335</v>
      </c>
      <c r="F1522" s="72" t="s">
        <v>4877</v>
      </c>
      <c r="G1522" s="1">
        <f>+2</f>
        <v>2</v>
      </c>
      <c r="H1522" s="127">
        <v>2.0</v>
      </c>
      <c r="I1522" s="1"/>
      <c r="J1522" s="1"/>
      <c r="K1522" s="1"/>
      <c r="L1522" s="1"/>
      <c r="M1522" s="1"/>
      <c r="N1522" s="1"/>
      <c r="O1522" s="1"/>
      <c r="P1522" s="1"/>
      <c r="Q1522" s="1"/>
      <c r="R1522" s="1"/>
      <c r="S1522" s="1"/>
      <c r="T1522" s="1"/>
      <c r="U1522" s="1"/>
      <c r="V1522" s="1"/>
      <c r="W1522" s="1"/>
      <c r="X1522" s="1"/>
      <c r="Y1522" s="1"/>
      <c r="Z1522" s="1"/>
    </row>
    <row r="1523">
      <c r="A1523" s="72" t="s">
        <v>4878</v>
      </c>
      <c r="B1523" s="72" t="s">
        <v>205</v>
      </c>
      <c r="C1523" s="72" t="s">
        <v>535</v>
      </c>
      <c r="D1523" s="72" t="s">
        <v>4879</v>
      </c>
      <c r="E1523" s="72" t="s">
        <v>1300</v>
      </c>
      <c r="F1523" s="72" t="s">
        <v>4880</v>
      </c>
      <c r="G1523" s="72">
        <v>-2.0</v>
      </c>
      <c r="H1523" s="127">
        <v>-2.0</v>
      </c>
      <c r="I1523" s="1"/>
      <c r="J1523" s="1"/>
      <c r="K1523" s="1"/>
      <c r="L1523" s="1"/>
      <c r="M1523" s="1"/>
      <c r="N1523" s="1"/>
      <c r="O1523" s="1"/>
      <c r="P1523" s="1"/>
      <c r="Q1523" s="1"/>
      <c r="R1523" s="1"/>
      <c r="S1523" s="1"/>
      <c r="T1523" s="1"/>
      <c r="U1523" s="1"/>
      <c r="V1523" s="1"/>
      <c r="W1523" s="1"/>
      <c r="X1523" s="1"/>
      <c r="Y1523" s="1"/>
      <c r="Z1523" s="1"/>
    </row>
    <row r="1524">
      <c r="A1524" s="72" t="s">
        <v>4881</v>
      </c>
      <c r="B1524" s="72" t="s">
        <v>138</v>
      </c>
      <c r="C1524" s="72" t="s">
        <v>535</v>
      </c>
      <c r="D1524" s="72" t="s">
        <v>4882</v>
      </c>
      <c r="E1524" s="72" t="s">
        <v>1271</v>
      </c>
      <c r="F1524" s="72" t="s">
        <v>4883</v>
      </c>
      <c r="G1524" s="72" t="s">
        <v>1273</v>
      </c>
      <c r="H1524" s="127">
        <v>0.0</v>
      </c>
      <c r="I1524" s="1"/>
      <c r="J1524" s="1"/>
      <c r="K1524" s="1"/>
      <c r="L1524" s="1"/>
      <c r="M1524" s="1"/>
      <c r="N1524" s="1"/>
      <c r="O1524" s="1"/>
      <c r="P1524" s="1"/>
      <c r="Q1524" s="1"/>
      <c r="R1524" s="1"/>
      <c r="S1524" s="1"/>
      <c r="T1524" s="1"/>
      <c r="U1524" s="1"/>
      <c r="V1524" s="1"/>
      <c r="W1524" s="1"/>
      <c r="X1524" s="1"/>
      <c r="Y1524" s="1"/>
      <c r="Z1524" s="1"/>
    </row>
    <row r="1525">
      <c r="A1525" s="72" t="s">
        <v>4884</v>
      </c>
      <c r="B1525" s="72" t="s">
        <v>138</v>
      </c>
      <c r="C1525" s="72" t="s">
        <v>535</v>
      </c>
      <c r="D1525" s="72" t="s">
        <v>4885</v>
      </c>
      <c r="E1525" s="72" t="s">
        <v>1290</v>
      </c>
      <c r="F1525" s="72" t="s">
        <v>4886</v>
      </c>
      <c r="G1525" s="1">
        <f>+3</f>
        <v>3</v>
      </c>
      <c r="H1525" s="127">
        <v>3.0</v>
      </c>
      <c r="I1525" s="1"/>
      <c r="J1525" s="1"/>
      <c r="K1525" s="1"/>
      <c r="L1525" s="1"/>
      <c r="M1525" s="1"/>
      <c r="N1525" s="1"/>
      <c r="O1525" s="1"/>
      <c r="P1525" s="1"/>
      <c r="Q1525" s="1"/>
      <c r="R1525" s="1"/>
      <c r="S1525" s="1"/>
      <c r="T1525" s="1"/>
      <c r="U1525" s="1"/>
      <c r="V1525" s="1"/>
      <c r="W1525" s="1"/>
      <c r="X1525" s="1"/>
      <c r="Y1525" s="1"/>
      <c r="Z1525" s="1"/>
    </row>
    <row r="1526">
      <c r="A1526" s="72" t="s">
        <v>4887</v>
      </c>
      <c r="B1526" s="72" t="s">
        <v>89</v>
      </c>
      <c r="C1526" s="72" t="s">
        <v>535</v>
      </c>
      <c r="D1526" s="72" t="s">
        <v>4888</v>
      </c>
      <c r="E1526" s="72" t="s">
        <v>1300</v>
      </c>
      <c r="F1526" s="72" t="s">
        <v>4889</v>
      </c>
      <c r="G1526" s="72">
        <v>-2.0</v>
      </c>
      <c r="H1526" s="127">
        <v>-2.0</v>
      </c>
      <c r="I1526" s="1"/>
      <c r="J1526" s="1"/>
      <c r="K1526" s="1"/>
      <c r="L1526" s="1"/>
      <c r="M1526" s="1"/>
      <c r="N1526" s="1"/>
      <c r="O1526" s="1"/>
      <c r="P1526" s="1"/>
      <c r="Q1526" s="1"/>
      <c r="R1526" s="1"/>
      <c r="S1526" s="1"/>
      <c r="T1526" s="1"/>
      <c r="U1526" s="1"/>
      <c r="V1526" s="1"/>
      <c r="W1526" s="1"/>
      <c r="X1526" s="1"/>
      <c r="Y1526" s="1"/>
      <c r="Z1526" s="1"/>
    </row>
    <row r="1527">
      <c r="A1527" s="72" t="s">
        <v>4890</v>
      </c>
      <c r="B1527" s="72" t="s">
        <v>169</v>
      </c>
      <c r="C1527" s="72" t="s">
        <v>535</v>
      </c>
      <c r="D1527" s="72" t="s">
        <v>4891</v>
      </c>
      <c r="E1527" s="72" t="s">
        <v>1335</v>
      </c>
      <c r="F1527" s="72" t="s">
        <v>4892</v>
      </c>
      <c r="G1527" s="1">
        <f>+2</f>
        <v>2</v>
      </c>
      <c r="H1527" s="127">
        <v>2.0</v>
      </c>
      <c r="I1527" s="1"/>
      <c r="J1527" s="1"/>
      <c r="K1527" s="1"/>
      <c r="L1527" s="1"/>
      <c r="M1527" s="1"/>
      <c r="N1527" s="1"/>
      <c r="O1527" s="1"/>
      <c r="P1527" s="1"/>
      <c r="Q1527" s="1"/>
      <c r="R1527" s="1"/>
      <c r="S1527" s="1"/>
      <c r="T1527" s="1"/>
      <c r="U1527" s="1"/>
      <c r="V1527" s="1"/>
      <c r="W1527" s="1"/>
      <c r="X1527" s="1"/>
      <c r="Y1527" s="1"/>
      <c r="Z1527" s="1"/>
    </row>
    <row r="1528">
      <c r="A1528" s="72" t="s">
        <v>4893</v>
      </c>
      <c r="B1528" s="72" t="s">
        <v>169</v>
      </c>
      <c r="C1528" s="72" t="s">
        <v>535</v>
      </c>
      <c r="D1528" s="72" t="s">
        <v>4894</v>
      </c>
      <c r="E1528" s="72" t="s">
        <v>1276</v>
      </c>
      <c r="F1528" s="72" t="s">
        <v>4895</v>
      </c>
      <c r="G1528" s="1">
        <f>+1</f>
        <v>1</v>
      </c>
      <c r="H1528" s="127">
        <v>1.0</v>
      </c>
      <c r="I1528" s="1"/>
      <c r="J1528" s="1"/>
      <c r="K1528" s="1"/>
      <c r="L1528" s="1"/>
      <c r="M1528" s="1"/>
      <c r="N1528" s="1"/>
      <c r="O1528" s="1"/>
      <c r="P1528" s="1"/>
      <c r="Q1528" s="1"/>
      <c r="R1528" s="1"/>
      <c r="S1528" s="1"/>
      <c r="T1528" s="1"/>
      <c r="U1528" s="1"/>
      <c r="V1528" s="1"/>
      <c r="W1528" s="1"/>
      <c r="X1528" s="1"/>
      <c r="Y1528" s="1"/>
      <c r="Z1528" s="1"/>
    </row>
    <row r="1529">
      <c r="A1529" s="72" t="s">
        <v>4896</v>
      </c>
      <c r="B1529" s="72" t="s">
        <v>237</v>
      </c>
      <c r="C1529" s="72" t="s">
        <v>535</v>
      </c>
      <c r="D1529" s="72" t="s">
        <v>4897</v>
      </c>
      <c r="E1529" s="72" t="s">
        <v>1271</v>
      </c>
      <c r="F1529" s="72" t="s">
        <v>4898</v>
      </c>
      <c r="G1529" s="72" t="s">
        <v>1273</v>
      </c>
      <c r="H1529" s="127">
        <v>0.0</v>
      </c>
      <c r="I1529" s="1"/>
      <c r="J1529" s="1"/>
      <c r="K1529" s="1"/>
      <c r="L1529" s="1"/>
      <c r="M1529" s="1"/>
      <c r="N1529" s="1"/>
      <c r="O1529" s="1"/>
      <c r="P1529" s="1"/>
      <c r="Q1529" s="1"/>
      <c r="R1529" s="1"/>
      <c r="S1529" s="1"/>
      <c r="T1529" s="1"/>
      <c r="U1529" s="1"/>
      <c r="V1529" s="1"/>
      <c r="W1529" s="1"/>
      <c r="X1529" s="1"/>
      <c r="Y1529" s="1"/>
      <c r="Z1529" s="1"/>
    </row>
    <row r="1530">
      <c r="A1530" s="72" t="s">
        <v>4899</v>
      </c>
      <c r="B1530" s="72" t="s">
        <v>163</v>
      </c>
      <c r="C1530" s="72" t="s">
        <v>535</v>
      </c>
      <c r="D1530" s="72" t="s">
        <v>4900</v>
      </c>
      <c r="E1530" s="72" t="s">
        <v>1271</v>
      </c>
      <c r="F1530" s="72" t="s">
        <v>4901</v>
      </c>
      <c r="G1530" s="72" t="s">
        <v>1273</v>
      </c>
      <c r="H1530" s="127">
        <v>0.0</v>
      </c>
      <c r="I1530" s="1"/>
      <c r="J1530" s="1"/>
      <c r="K1530" s="1"/>
      <c r="L1530" s="1"/>
      <c r="M1530" s="1"/>
      <c r="N1530" s="1"/>
      <c r="O1530" s="1"/>
      <c r="P1530" s="1"/>
      <c r="Q1530" s="1"/>
      <c r="R1530" s="1"/>
      <c r="S1530" s="1"/>
      <c r="T1530" s="1"/>
      <c r="U1530" s="1"/>
      <c r="V1530" s="1"/>
      <c r="W1530" s="1"/>
      <c r="X1530" s="1"/>
      <c r="Y1530" s="1"/>
      <c r="Z1530" s="1"/>
    </row>
    <row r="1531">
      <c r="A1531" s="72" t="s">
        <v>4902</v>
      </c>
      <c r="B1531" s="72" t="s">
        <v>161</v>
      </c>
      <c r="C1531" s="72" t="s">
        <v>535</v>
      </c>
      <c r="D1531" s="72" t="s">
        <v>4903</v>
      </c>
      <c r="E1531" s="72" t="s">
        <v>1271</v>
      </c>
      <c r="F1531" s="72" t="s">
        <v>4904</v>
      </c>
      <c r="G1531" s="72" t="s">
        <v>1273</v>
      </c>
      <c r="H1531" s="127">
        <v>0.0</v>
      </c>
      <c r="I1531" s="1"/>
      <c r="J1531" s="1"/>
      <c r="K1531" s="1"/>
      <c r="L1531" s="1"/>
      <c r="M1531" s="1"/>
      <c r="N1531" s="1"/>
      <c r="O1531" s="1"/>
      <c r="P1531" s="1"/>
      <c r="Q1531" s="1"/>
      <c r="R1531" s="1"/>
      <c r="S1531" s="1"/>
      <c r="T1531" s="1"/>
      <c r="U1531" s="1"/>
      <c r="V1531" s="1"/>
      <c r="W1531" s="1"/>
      <c r="X1531" s="1"/>
      <c r="Y1531" s="1"/>
      <c r="Z1531" s="1"/>
    </row>
    <row r="1532">
      <c r="A1532" s="72" t="s">
        <v>4905</v>
      </c>
      <c r="B1532" s="72" t="s">
        <v>279</v>
      </c>
      <c r="C1532" s="72" t="s">
        <v>535</v>
      </c>
      <c r="D1532" s="72" t="s">
        <v>4906</v>
      </c>
      <c r="E1532" s="72" t="s">
        <v>1271</v>
      </c>
      <c r="F1532" s="72" t="s">
        <v>4907</v>
      </c>
      <c r="G1532" s="72" t="s">
        <v>1273</v>
      </c>
      <c r="H1532" s="127">
        <v>0.0</v>
      </c>
      <c r="I1532" s="1"/>
      <c r="J1532" s="1"/>
      <c r="K1532" s="1"/>
      <c r="L1532" s="1"/>
      <c r="M1532" s="1"/>
      <c r="N1532" s="1"/>
      <c r="O1532" s="1"/>
      <c r="P1532" s="1"/>
      <c r="Q1532" s="1"/>
      <c r="R1532" s="1"/>
      <c r="S1532" s="1"/>
      <c r="T1532" s="1"/>
      <c r="U1532" s="1"/>
      <c r="V1532" s="1"/>
      <c r="W1532" s="1"/>
      <c r="X1532" s="1"/>
      <c r="Y1532" s="1"/>
      <c r="Z1532" s="1"/>
    </row>
    <row r="1533">
      <c r="A1533" s="72" t="s">
        <v>4908</v>
      </c>
      <c r="B1533" s="72" t="s">
        <v>195</v>
      </c>
      <c r="C1533" s="72" t="s">
        <v>535</v>
      </c>
      <c r="D1533" s="72" t="s">
        <v>4909</v>
      </c>
      <c r="E1533" s="72" t="s">
        <v>1271</v>
      </c>
      <c r="F1533" s="72" t="s">
        <v>4910</v>
      </c>
      <c r="G1533" s="72" t="s">
        <v>1273</v>
      </c>
      <c r="H1533" s="127">
        <v>0.0</v>
      </c>
      <c r="I1533" s="1"/>
      <c r="J1533" s="1"/>
      <c r="K1533" s="1"/>
      <c r="L1533" s="1"/>
      <c r="M1533" s="1"/>
      <c r="N1533" s="1"/>
      <c r="O1533" s="1"/>
      <c r="P1533" s="1"/>
      <c r="Q1533" s="1"/>
      <c r="R1533" s="1"/>
      <c r="S1533" s="1"/>
      <c r="T1533" s="1"/>
      <c r="U1533" s="1"/>
      <c r="V1533" s="1"/>
      <c r="W1533" s="1"/>
      <c r="X1533" s="1"/>
      <c r="Y1533" s="1"/>
      <c r="Z1533" s="1"/>
    </row>
    <row r="1534">
      <c r="A1534" s="72" t="s">
        <v>4911</v>
      </c>
      <c r="B1534" s="72" t="s">
        <v>168</v>
      </c>
      <c r="C1534" s="72" t="s">
        <v>535</v>
      </c>
      <c r="D1534" s="72" t="s">
        <v>4912</v>
      </c>
      <c r="E1534" s="72" t="s">
        <v>1276</v>
      </c>
      <c r="F1534" s="72" t="s">
        <v>4913</v>
      </c>
      <c r="G1534" s="1">
        <f>+1</f>
        <v>1</v>
      </c>
      <c r="H1534" s="127">
        <v>1.0</v>
      </c>
      <c r="I1534" s="1"/>
      <c r="J1534" s="1"/>
      <c r="K1534" s="1"/>
      <c r="L1534" s="1"/>
      <c r="M1534" s="1"/>
      <c r="N1534" s="1"/>
      <c r="O1534" s="1"/>
      <c r="P1534" s="1"/>
      <c r="Q1534" s="1"/>
      <c r="R1534" s="1"/>
      <c r="S1534" s="1"/>
      <c r="T1534" s="1"/>
      <c r="U1534" s="1"/>
      <c r="V1534" s="1"/>
      <c r="W1534" s="1"/>
      <c r="X1534" s="1"/>
      <c r="Y1534" s="1"/>
      <c r="Z1534" s="1"/>
    </row>
    <row r="1535">
      <c r="A1535" s="72" t="s">
        <v>4914</v>
      </c>
      <c r="B1535" s="72" t="s">
        <v>131</v>
      </c>
      <c r="C1535" s="72" t="s">
        <v>535</v>
      </c>
      <c r="D1535" s="72" t="s">
        <v>4915</v>
      </c>
      <c r="E1535" s="72" t="s">
        <v>1271</v>
      </c>
      <c r="F1535" s="72" t="s">
        <v>4916</v>
      </c>
      <c r="G1535" s="72" t="s">
        <v>1273</v>
      </c>
      <c r="H1535" s="127">
        <v>0.0</v>
      </c>
      <c r="I1535" s="1"/>
      <c r="J1535" s="1"/>
      <c r="K1535" s="1"/>
      <c r="L1535" s="1"/>
      <c r="M1535" s="1"/>
      <c r="N1535" s="1"/>
      <c r="O1535" s="1"/>
      <c r="P1535" s="1"/>
      <c r="Q1535" s="1"/>
      <c r="R1535" s="1"/>
      <c r="S1535" s="1"/>
      <c r="T1535" s="1"/>
      <c r="U1535" s="1"/>
      <c r="V1535" s="1"/>
      <c r="W1535" s="1"/>
      <c r="X1535" s="1"/>
      <c r="Y1535" s="1"/>
      <c r="Z1535" s="1"/>
    </row>
    <row r="1536">
      <c r="A1536" s="72" t="s">
        <v>4917</v>
      </c>
      <c r="B1536" s="72" t="s">
        <v>194</v>
      </c>
      <c r="C1536" s="72" t="s">
        <v>535</v>
      </c>
      <c r="D1536" s="72" t="s">
        <v>4918</v>
      </c>
      <c r="E1536" s="72" t="s">
        <v>1328</v>
      </c>
      <c r="F1536" s="72" t="s">
        <v>4919</v>
      </c>
      <c r="G1536" s="72">
        <v>-3.0</v>
      </c>
      <c r="H1536" s="127">
        <v>-3.0</v>
      </c>
      <c r="I1536" s="1"/>
      <c r="J1536" s="1"/>
      <c r="K1536" s="1"/>
      <c r="L1536" s="1"/>
      <c r="M1536" s="1"/>
      <c r="N1536" s="1"/>
      <c r="O1536" s="1"/>
      <c r="P1536" s="1"/>
      <c r="Q1536" s="1"/>
      <c r="R1536" s="1"/>
      <c r="S1536" s="1"/>
      <c r="T1536" s="1"/>
      <c r="U1536" s="1"/>
      <c r="V1536" s="1"/>
      <c r="W1536" s="1"/>
      <c r="X1536" s="1"/>
      <c r="Y1536" s="1"/>
      <c r="Z1536" s="1"/>
    </row>
    <row r="1537">
      <c r="A1537" s="72" t="s">
        <v>4920</v>
      </c>
      <c r="B1537" s="72" t="s">
        <v>132</v>
      </c>
      <c r="C1537" s="72" t="s">
        <v>535</v>
      </c>
      <c r="D1537" s="72" t="s">
        <v>4921</v>
      </c>
      <c r="E1537" s="72" t="s">
        <v>1283</v>
      </c>
      <c r="F1537" s="72" t="s">
        <v>4922</v>
      </c>
      <c r="G1537" s="72">
        <v>-1.0</v>
      </c>
      <c r="H1537" s="127">
        <v>-1.0</v>
      </c>
      <c r="I1537" s="1"/>
      <c r="J1537" s="1"/>
      <c r="K1537" s="1"/>
      <c r="L1537" s="1"/>
      <c r="M1537" s="1"/>
      <c r="N1537" s="1"/>
      <c r="O1537" s="1"/>
      <c r="P1537" s="1"/>
      <c r="Q1537" s="1"/>
      <c r="R1537" s="1"/>
      <c r="S1537" s="1"/>
      <c r="T1537" s="1"/>
      <c r="U1537" s="1"/>
      <c r="V1537" s="1"/>
      <c r="W1537" s="1"/>
      <c r="X1537" s="1"/>
      <c r="Y1537" s="1"/>
      <c r="Z1537" s="1"/>
    </row>
    <row r="1538">
      <c r="A1538" s="72" t="s">
        <v>4923</v>
      </c>
      <c r="B1538" s="72" t="s">
        <v>181</v>
      </c>
      <c r="C1538" s="72" t="s">
        <v>535</v>
      </c>
      <c r="D1538" s="72" t="s">
        <v>4924</v>
      </c>
      <c r="E1538" s="72" t="s">
        <v>1335</v>
      </c>
      <c r="F1538" s="72" t="s">
        <v>4925</v>
      </c>
      <c r="G1538" s="1">
        <f>+2</f>
        <v>2</v>
      </c>
      <c r="H1538" s="127">
        <v>2.0</v>
      </c>
      <c r="I1538" s="1"/>
      <c r="J1538" s="1"/>
      <c r="K1538" s="1"/>
      <c r="L1538" s="1"/>
      <c r="M1538" s="1"/>
      <c r="N1538" s="1"/>
      <c r="O1538" s="1"/>
      <c r="P1538" s="1"/>
      <c r="Q1538" s="1"/>
      <c r="R1538" s="1"/>
      <c r="S1538" s="1"/>
      <c r="T1538" s="1"/>
      <c r="U1538" s="1"/>
      <c r="V1538" s="1"/>
      <c r="W1538" s="1"/>
      <c r="X1538" s="1"/>
      <c r="Y1538" s="1"/>
      <c r="Z1538" s="1"/>
    </row>
    <row r="1539">
      <c r="A1539" s="72" t="s">
        <v>4926</v>
      </c>
      <c r="B1539" s="72" t="s">
        <v>228</v>
      </c>
      <c r="C1539" s="72" t="s">
        <v>535</v>
      </c>
      <c r="D1539" s="72" t="s">
        <v>4927</v>
      </c>
      <c r="E1539" s="72" t="s">
        <v>1276</v>
      </c>
      <c r="F1539" s="72" t="s">
        <v>4928</v>
      </c>
      <c r="G1539" s="1">
        <f>+1</f>
        <v>1</v>
      </c>
      <c r="H1539" s="127">
        <v>1.0</v>
      </c>
      <c r="I1539" s="1"/>
      <c r="J1539" s="1"/>
      <c r="K1539" s="1"/>
      <c r="L1539" s="1"/>
      <c r="M1539" s="1"/>
      <c r="N1539" s="1"/>
      <c r="O1539" s="1"/>
      <c r="P1539" s="1"/>
      <c r="Q1539" s="1"/>
      <c r="R1539" s="1"/>
      <c r="S1539" s="1"/>
      <c r="T1539" s="1"/>
      <c r="U1539" s="1"/>
      <c r="V1539" s="1"/>
      <c r="W1539" s="1"/>
      <c r="X1539" s="1"/>
      <c r="Y1539" s="1"/>
      <c r="Z1539" s="1"/>
    </row>
    <row r="1540">
      <c r="A1540" s="72" t="s">
        <v>4929</v>
      </c>
      <c r="B1540" s="72" t="s">
        <v>223</v>
      </c>
      <c r="C1540" s="72" t="s">
        <v>535</v>
      </c>
      <c r="D1540" s="72" t="s">
        <v>4930</v>
      </c>
      <c r="E1540" s="72" t="s">
        <v>1271</v>
      </c>
      <c r="F1540" s="72" t="s">
        <v>4931</v>
      </c>
      <c r="G1540" s="72" t="s">
        <v>1273</v>
      </c>
      <c r="H1540" s="127">
        <v>0.0</v>
      </c>
      <c r="I1540" s="1"/>
      <c r="J1540" s="1"/>
      <c r="K1540" s="1"/>
      <c r="L1540" s="1"/>
      <c r="M1540" s="1"/>
      <c r="N1540" s="1"/>
      <c r="O1540" s="1"/>
      <c r="P1540" s="1"/>
      <c r="Q1540" s="1"/>
      <c r="R1540" s="1"/>
      <c r="S1540" s="1"/>
      <c r="T1540" s="1"/>
      <c r="U1540" s="1"/>
      <c r="V1540" s="1"/>
      <c r="W1540" s="1"/>
      <c r="X1540" s="1"/>
      <c r="Y1540" s="1"/>
      <c r="Z1540" s="1"/>
    </row>
    <row r="1541">
      <c r="A1541" s="72" t="s">
        <v>4932</v>
      </c>
      <c r="B1541" s="72" t="s">
        <v>298</v>
      </c>
      <c r="C1541" s="72" t="s">
        <v>535</v>
      </c>
      <c r="D1541" s="72" t="s">
        <v>4933</v>
      </c>
      <c r="E1541" s="72" t="s">
        <v>1283</v>
      </c>
      <c r="F1541" s="72" t="s">
        <v>4934</v>
      </c>
      <c r="G1541" s="72">
        <v>-1.0</v>
      </c>
      <c r="H1541" s="127">
        <v>-1.0</v>
      </c>
      <c r="I1541" s="1"/>
      <c r="J1541" s="1"/>
      <c r="K1541" s="1"/>
      <c r="L1541" s="1"/>
      <c r="M1541" s="1"/>
      <c r="N1541" s="1"/>
      <c r="O1541" s="1"/>
      <c r="P1541" s="1"/>
      <c r="Q1541" s="1"/>
      <c r="R1541" s="1"/>
      <c r="S1541" s="1"/>
      <c r="T1541" s="1"/>
      <c r="U1541" s="1"/>
      <c r="V1541" s="1"/>
      <c r="W1541" s="1"/>
      <c r="X1541" s="1"/>
      <c r="Y1541" s="1"/>
      <c r="Z1541" s="1"/>
    </row>
    <row r="1542">
      <c r="A1542" s="72" t="s">
        <v>4935</v>
      </c>
      <c r="B1542" s="72" t="s">
        <v>296</v>
      </c>
      <c r="C1542" s="72" t="s">
        <v>535</v>
      </c>
      <c r="D1542" s="72" t="s">
        <v>4936</v>
      </c>
      <c r="E1542" s="72" t="s">
        <v>1300</v>
      </c>
      <c r="F1542" s="72" t="s">
        <v>4937</v>
      </c>
      <c r="G1542" s="72">
        <v>-2.0</v>
      </c>
      <c r="H1542" s="127">
        <v>-2.0</v>
      </c>
      <c r="I1542" s="1"/>
      <c r="J1542" s="1"/>
      <c r="K1542" s="1"/>
      <c r="L1542" s="1"/>
      <c r="M1542" s="1"/>
      <c r="N1542" s="1"/>
      <c r="O1542" s="1"/>
      <c r="P1542" s="1"/>
      <c r="Q1542" s="1"/>
      <c r="R1542" s="1"/>
      <c r="S1542" s="1"/>
      <c r="T1542" s="1"/>
      <c r="U1542" s="1"/>
      <c r="V1542" s="1"/>
      <c r="W1542" s="1"/>
      <c r="X1542" s="1"/>
      <c r="Y1542" s="1"/>
      <c r="Z1542" s="1"/>
    </row>
    <row r="1543">
      <c r="A1543" s="72" t="s">
        <v>4938</v>
      </c>
      <c r="B1543" s="72" t="s">
        <v>212</v>
      </c>
      <c r="C1543" s="72" t="s">
        <v>535</v>
      </c>
      <c r="D1543" s="72" t="s">
        <v>4939</v>
      </c>
      <c r="E1543" s="72" t="s">
        <v>1271</v>
      </c>
      <c r="F1543" s="72" t="s">
        <v>4940</v>
      </c>
      <c r="G1543" s="72" t="s">
        <v>1273</v>
      </c>
      <c r="H1543" s="127">
        <v>0.0</v>
      </c>
      <c r="I1543" s="1"/>
      <c r="J1543" s="1"/>
      <c r="K1543" s="1"/>
      <c r="L1543" s="1"/>
      <c r="M1543" s="1"/>
      <c r="N1543" s="1"/>
      <c r="O1543" s="1"/>
      <c r="P1543" s="1"/>
      <c r="Q1543" s="1"/>
      <c r="R1543" s="1"/>
      <c r="S1543" s="1"/>
      <c r="T1543" s="1"/>
      <c r="U1543" s="1"/>
      <c r="V1543" s="1"/>
      <c r="W1543" s="1"/>
      <c r="X1543" s="1"/>
      <c r="Y1543" s="1"/>
      <c r="Z1543" s="1"/>
    </row>
    <row r="1544">
      <c r="A1544" s="72" t="s">
        <v>4941</v>
      </c>
      <c r="B1544" s="72" t="s">
        <v>269</v>
      </c>
      <c r="C1544" s="72" t="s">
        <v>535</v>
      </c>
      <c r="D1544" s="72" t="s">
        <v>4942</v>
      </c>
      <c r="E1544" s="72" t="s">
        <v>1283</v>
      </c>
      <c r="F1544" s="72" t="s">
        <v>4943</v>
      </c>
      <c r="G1544" s="72">
        <v>-1.0</v>
      </c>
      <c r="H1544" s="127">
        <v>-1.0</v>
      </c>
      <c r="I1544" s="1"/>
      <c r="J1544" s="1"/>
      <c r="K1544" s="1"/>
      <c r="L1544" s="1"/>
      <c r="M1544" s="1"/>
      <c r="N1544" s="1"/>
      <c r="O1544" s="1"/>
      <c r="P1544" s="1"/>
      <c r="Q1544" s="1"/>
      <c r="R1544" s="1"/>
      <c r="S1544" s="1"/>
      <c r="T1544" s="1"/>
      <c r="U1544" s="1"/>
      <c r="V1544" s="1"/>
      <c r="W1544" s="1"/>
      <c r="X1544" s="1"/>
      <c r="Y1544" s="1"/>
      <c r="Z1544" s="1"/>
    </row>
    <row r="1545">
      <c r="A1545" s="72" t="s">
        <v>4944</v>
      </c>
      <c r="B1545" s="72" t="s">
        <v>194</v>
      </c>
      <c r="C1545" s="72" t="s">
        <v>535</v>
      </c>
      <c r="D1545" s="72" t="s">
        <v>4945</v>
      </c>
      <c r="E1545" s="72" t="s">
        <v>1271</v>
      </c>
      <c r="F1545" s="72" t="s">
        <v>4946</v>
      </c>
      <c r="G1545" s="72" t="s">
        <v>1273</v>
      </c>
      <c r="H1545" s="127">
        <v>0.0</v>
      </c>
      <c r="I1545" s="1"/>
      <c r="J1545" s="1"/>
      <c r="K1545" s="1"/>
      <c r="L1545" s="1"/>
      <c r="M1545" s="1"/>
      <c r="N1545" s="1"/>
      <c r="O1545" s="1"/>
      <c r="P1545" s="1"/>
      <c r="Q1545" s="1"/>
      <c r="R1545" s="1"/>
      <c r="S1545" s="1"/>
      <c r="T1545" s="1"/>
      <c r="U1545" s="1"/>
      <c r="V1545" s="1"/>
      <c r="W1545" s="1"/>
      <c r="X1545" s="1"/>
      <c r="Y1545" s="1"/>
      <c r="Z1545" s="1"/>
    </row>
    <row r="1546">
      <c r="A1546" s="72" t="s">
        <v>4947</v>
      </c>
      <c r="B1546" s="72" t="s">
        <v>172</v>
      </c>
      <c r="C1546" s="72" t="s">
        <v>535</v>
      </c>
      <c r="D1546" s="72" t="s">
        <v>4948</v>
      </c>
      <c r="E1546" s="72" t="s">
        <v>1328</v>
      </c>
      <c r="F1546" s="72" t="s">
        <v>4949</v>
      </c>
      <c r="G1546" s="72">
        <v>-3.0</v>
      </c>
      <c r="H1546" s="127">
        <v>-3.0</v>
      </c>
      <c r="I1546" s="1"/>
      <c r="J1546" s="1"/>
      <c r="K1546" s="1"/>
      <c r="L1546" s="1"/>
      <c r="M1546" s="1"/>
      <c r="N1546" s="1"/>
      <c r="O1546" s="1"/>
      <c r="P1546" s="1"/>
      <c r="Q1546" s="1"/>
      <c r="R1546" s="1"/>
      <c r="S1546" s="1"/>
      <c r="T1546" s="1"/>
      <c r="U1546" s="1"/>
      <c r="V1546" s="1"/>
      <c r="W1546" s="1"/>
      <c r="X1546" s="1"/>
      <c r="Y1546" s="1"/>
      <c r="Z1546" s="1"/>
    </row>
    <row r="1547">
      <c r="A1547" s="72" t="s">
        <v>4950</v>
      </c>
      <c r="B1547" s="72" t="s">
        <v>172</v>
      </c>
      <c r="C1547" s="72" t="s">
        <v>535</v>
      </c>
      <c r="D1547" s="72" t="s">
        <v>4951</v>
      </c>
      <c r="E1547" s="72" t="s">
        <v>1276</v>
      </c>
      <c r="F1547" s="72" t="s">
        <v>4952</v>
      </c>
      <c r="G1547" s="1">
        <f t="shared" ref="G1547:G1548" si="52">+1</f>
        <v>1</v>
      </c>
      <c r="H1547" s="127">
        <v>1.0</v>
      </c>
      <c r="I1547" s="1"/>
      <c r="J1547" s="1"/>
      <c r="K1547" s="1"/>
      <c r="L1547" s="1"/>
      <c r="M1547" s="1"/>
      <c r="N1547" s="1"/>
      <c r="O1547" s="1"/>
      <c r="P1547" s="1"/>
      <c r="Q1547" s="1"/>
      <c r="R1547" s="1"/>
      <c r="S1547" s="1"/>
      <c r="T1547" s="1"/>
      <c r="U1547" s="1"/>
      <c r="V1547" s="1"/>
      <c r="W1547" s="1"/>
      <c r="X1547" s="1"/>
      <c r="Y1547" s="1"/>
      <c r="Z1547" s="1"/>
    </row>
    <row r="1548">
      <c r="A1548" s="72" t="s">
        <v>4953</v>
      </c>
      <c r="B1548" s="72" t="s">
        <v>169</v>
      </c>
      <c r="C1548" s="72" t="s">
        <v>535</v>
      </c>
      <c r="D1548" s="72" t="s">
        <v>4954</v>
      </c>
      <c r="E1548" s="72" t="s">
        <v>1276</v>
      </c>
      <c r="F1548" s="72" t="s">
        <v>4955</v>
      </c>
      <c r="G1548" s="1">
        <f t="shared" si="52"/>
        <v>1</v>
      </c>
      <c r="H1548" s="127">
        <v>1.0</v>
      </c>
      <c r="I1548" s="1"/>
      <c r="J1548" s="1"/>
      <c r="K1548" s="1"/>
      <c r="L1548" s="1"/>
      <c r="M1548" s="1"/>
      <c r="N1548" s="1"/>
      <c r="O1548" s="1"/>
      <c r="P1548" s="1"/>
      <c r="Q1548" s="1"/>
      <c r="R1548" s="1"/>
      <c r="S1548" s="1"/>
      <c r="T1548" s="1"/>
      <c r="U1548" s="1"/>
      <c r="V1548" s="1"/>
      <c r="W1548" s="1"/>
      <c r="X1548" s="1"/>
      <c r="Y1548" s="1"/>
      <c r="Z1548" s="1"/>
    </row>
    <row r="1549">
      <c r="A1549" s="72" t="s">
        <v>4956</v>
      </c>
      <c r="B1549" s="72" t="s">
        <v>156</v>
      </c>
      <c r="C1549" s="72" t="s">
        <v>535</v>
      </c>
      <c r="D1549" s="72" t="s">
        <v>4957</v>
      </c>
      <c r="E1549" s="72" t="s">
        <v>1271</v>
      </c>
      <c r="F1549" s="72" t="s">
        <v>4958</v>
      </c>
      <c r="G1549" s="72" t="s">
        <v>1273</v>
      </c>
      <c r="H1549" s="127">
        <v>0.0</v>
      </c>
      <c r="I1549" s="1"/>
      <c r="J1549" s="1"/>
      <c r="K1549" s="1"/>
      <c r="L1549" s="1"/>
      <c r="M1549" s="1"/>
      <c r="N1549" s="1"/>
      <c r="O1549" s="1"/>
      <c r="P1549" s="1"/>
      <c r="Q1549" s="1"/>
      <c r="R1549" s="1"/>
      <c r="S1549" s="1"/>
      <c r="T1549" s="1"/>
      <c r="U1549" s="1"/>
      <c r="V1549" s="1"/>
      <c r="W1549" s="1"/>
      <c r="X1549" s="1"/>
      <c r="Y1549" s="1"/>
      <c r="Z1549" s="1"/>
    </row>
    <row r="1550">
      <c r="A1550" s="72" t="s">
        <v>4959</v>
      </c>
      <c r="B1550" s="72" t="s">
        <v>307</v>
      </c>
      <c r="C1550" s="72" t="s">
        <v>535</v>
      </c>
      <c r="D1550" s="72" t="s">
        <v>4960</v>
      </c>
      <c r="E1550" s="72" t="s">
        <v>1271</v>
      </c>
      <c r="F1550" s="72" t="s">
        <v>4961</v>
      </c>
      <c r="G1550" s="72" t="s">
        <v>1273</v>
      </c>
      <c r="H1550" s="127">
        <v>0.0</v>
      </c>
      <c r="I1550" s="1"/>
      <c r="J1550" s="1"/>
      <c r="K1550" s="1"/>
      <c r="L1550" s="1"/>
      <c r="M1550" s="1"/>
      <c r="N1550" s="1"/>
      <c r="O1550" s="1"/>
      <c r="P1550" s="1"/>
      <c r="Q1550" s="1"/>
      <c r="R1550" s="1"/>
      <c r="S1550" s="1"/>
      <c r="T1550" s="1"/>
      <c r="U1550" s="1"/>
      <c r="V1550" s="1"/>
      <c r="W1550" s="1"/>
      <c r="X1550" s="1"/>
      <c r="Y1550" s="1"/>
      <c r="Z1550" s="1"/>
    </row>
    <row r="1551">
      <c r="A1551" s="72" t="s">
        <v>4962</v>
      </c>
      <c r="B1551" s="72" t="s">
        <v>183</v>
      </c>
      <c r="C1551" s="72" t="s">
        <v>535</v>
      </c>
      <c r="D1551" s="72" t="s">
        <v>4963</v>
      </c>
      <c r="E1551" s="72" t="s">
        <v>1276</v>
      </c>
      <c r="F1551" s="72" t="s">
        <v>4964</v>
      </c>
      <c r="G1551" s="1">
        <f>+1</f>
        <v>1</v>
      </c>
      <c r="H1551" s="127">
        <v>1.0</v>
      </c>
      <c r="I1551" s="1"/>
      <c r="J1551" s="1"/>
      <c r="K1551" s="1"/>
      <c r="L1551" s="1"/>
      <c r="M1551" s="1"/>
      <c r="N1551" s="1"/>
      <c r="O1551" s="1"/>
      <c r="P1551" s="1"/>
      <c r="Q1551" s="1"/>
      <c r="R1551" s="1"/>
      <c r="S1551" s="1"/>
      <c r="T1551" s="1"/>
      <c r="U1551" s="1"/>
      <c r="V1551" s="1"/>
      <c r="W1551" s="1"/>
      <c r="X1551" s="1"/>
      <c r="Y1551" s="1"/>
      <c r="Z1551" s="1"/>
    </row>
    <row r="1552">
      <c r="A1552" s="72" t="s">
        <v>4965</v>
      </c>
      <c r="B1552" s="72" t="s">
        <v>242</v>
      </c>
      <c r="C1552" s="72" t="s">
        <v>535</v>
      </c>
      <c r="D1552" s="72" t="s">
        <v>4966</v>
      </c>
      <c r="E1552" s="72" t="s">
        <v>1328</v>
      </c>
      <c r="F1552" s="72" t="s">
        <v>4967</v>
      </c>
      <c r="G1552" s="72">
        <v>-3.0</v>
      </c>
      <c r="H1552" s="127">
        <v>-3.0</v>
      </c>
      <c r="I1552" s="1"/>
      <c r="J1552" s="1"/>
      <c r="K1552" s="1"/>
      <c r="L1552" s="1"/>
      <c r="M1552" s="1"/>
      <c r="N1552" s="1"/>
      <c r="O1552" s="1"/>
      <c r="P1552" s="1"/>
      <c r="Q1552" s="1"/>
      <c r="R1552" s="1"/>
      <c r="S1552" s="1"/>
      <c r="T1552" s="1"/>
      <c r="U1552" s="1"/>
      <c r="V1552" s="1"/>
      <c r="W1552" s="1"/>
      <c r="X1552" s="1"/>
      <c r="Y1552" s="1"/>
      <c r="Z1552" s="1"/>
    </row>
    <row r="1553">
      <c r="A1553" s="72" t="s">
        <v>4968</v>
      </c>
      <c r="B1553" s="72" t="s">
        <v>91</v>
      </c>
      <c r="C1553" s="72" t="s">
        <v>535</v>
      </c>
      <c r="D1553" s="72" t="s">
        <v>4969</v>
      </c>
      <c r="E1553" s="72" t="s">
        <v>1300</v>
      </c>
      <c r="F1553" s="72" t="s">
        <v>4970</v>
      </c>
      <c r="G1553" s="72">
        <v>-2.0</v>
      </c>
      <c r="H1553" s="127">
        <v>-2.0</v>
      </c>
      <c r="I1553" s="1"/>
      <c r="J1553" s="1"/>
      <c r="K1553" s="1"/>
      <c r="L1553" s="1"/>
      <c r="M1553" s="1"/>
      <c r="N1553" s="1"/>
      <c r="O1553" s="1"/>
      <c r="P1553" s="1"/>
      <c r="Q1553" s="1"/>
      <c r="R1553" s="1"/>
      <c r="S1553" s="1"/>
      <c r="T1553" s="1"/>
      <c r="U1553" s="1"/>
      <c r="V1553" s="1"/>
      <c r="W1553" s="1"/>
      <c r="X1553" s="1"/>
      <c r="Y1553" s="1"/>
      <c r="Z1553" s="1"/>
    </row>
    <row r="1554">
      <c r="A1554" s="72" t="s">
        <v>4971</v>
      </c>
      <c r="B1554" s="72" t="s">
        <v>193</v>
      </c>
      <c r="C1554" s="72" t="s">
        <v>535</v>
      </c>
      <c r="D1554" s="72" t="s">
        <v>4972</v>
      </c>
      <c r="E1554" s="72" t="s">
        <v>1328</v>
      </c>
      <c r="F1554" s="72" t="s">
        <v>4973</v>
      </c>
      <c r="G1554" s="72">
        <v>-3.0</v>
      </c>
      <c r="H1554" s="127">
        <v>-3.0</v>
      </c>
      <c r="I1554" s="1"/>
      <c r="J1554" s="1"/>
      <c r="K1554" s="1"/>
      <c r="L1554" s="1"/>
      <c r="M1554" s="1"/>
      <c r="N1554" s="1"/>
      <c r="O1554" s="1"/>
      <c r="P1554" s="1"/>
      <c r="Q1554" s="1"/>
      <c r="R1554" s="1"/>
      <c r="S1554" s="1"/>
      <c r="T1554" s="1"/>
      <c r="U1554" s="1"/>
      <c r="V1554" s="1"/>
      <c r="W1554" s="1"/>
      <c r="X1554" s="1"/>
      <c r="Y1554" s="1"/>
      <c r="Z1554" s="1"/>
    </row>
    <row r="1555">
      <c r="A1555" s="72" t="s">
        <v>4974</v>
      </c>
      <c r="B1555" s="72" t="s">
        <v>253</v>
      </c>
      <c r="C1555" s="72" t="s">
        <v>535</v>
      </c>
      <c r="D1555" s="72" t="s">
        <v>4975</v>
      </c>
      <c r="E1555" s="72" t="s">
        <v>1271</v>
      </c>
      <c r="F1555" s="72" t="s">
        <v>4976</v>
      </c>
      <c r="G1555" s="72" t="s">
        <v>1273</v>
      </c>
      <c r="H1555" s="127">
        <v>0.0</v>
      </c>
      <c r="I1555" s="1"/>
      <c r="J1555" s="1"/>
      <c r="K1555" s="1"/>
      <c r="L1555" s="1"/>
      <c r="M1555" s="1"/>
      <c r="N1555" s="1"/>
      <c r="O1555" s="1"/>
      <c r="P1555" s="1"/>
      <c r="Q1555" s="1"/>
      <c r="R1555" s="1"/>
      <c r="S1555" s="1"/>
      <c r="T1555" s="1"/>
      <c r="U1555" s="1"/>
      <c r="V1555" s="1"/>
      <c r="W1555" s="1"/>
      <c r="X1555" s="1"/>
      <c r="Y1555" s="1"/>
      <c r="Z1555" s="1"/>
    </row>
    <row r="1556">
      <c r="A1556" s="72" t="s">
        <v>4977</v>
      </c>
      <c r="B1556" s="72" t="s">
        <v>148</v>
      </c>
      <c r="C1556" s="72" t="s">
        <v>535</v>
      </c>
      <c r="D1556" s="72" t="s">
        <v>4978</v>
      </c>
      <c r="E1556" s="72" t="s">
        <v>1283</v>
      </c>
      <c r="F1556" s="72" t="s">
        <v>4979</v>
      </c>
      <c r="G1556" s="72">
        <v>-1.0</v>
      </c>
      <c r="H1556" s="127">
        <v>-1.0</v>
      </c>
      <c r="I1556" s="1"/>
      <c r="J1556" s="1"/>
      <c r="K1556" s="1"/>
      <c r="L1556" s="1"/>
      <c r="M1556" s="1"/>
      <c r="N1556" s="1"/>
      <c r="O1556" s="1"/>
      <c r="P1556" s="1"/>
      <c r="Q1556" s="1"/>
      <c r="R1556" s="1"/>
      <c r="S1556" s="1"/>
      <c r="T1556" s="1"/>
      <c r="U1556" s="1"/>
      <c r="V1556" s="1"/>
      <c r="W1556" s="1"/>
      <c r="X1556" s="1"/>
      <c r="Y1556" s="1"/>
      <c r="Z1556" s="1"/>
    </row>
    <row r="1557">
      <c r="A1557" s="72" t="s">
        <v>4980</v>
      </c>
      <c r="B1557" s="72" t="s">
        <v>171</v>
      </c>
      <c r="C1557" s="72" t="s">
        <v>535</v>
      </c>
      <c r="D1557" s="72" t="s">
        <v>4981</v>
      </c>
      <c r="E1557" s="72" t="s">
        <v>1276</v>
      </c>
      <c r="F1557" s="72" t="s">
        <v>4982</v>
      </c>
      <c r="G1557" s="1">
        <f>+1</f>
        <v>1</v>
      </c>
      <c r="H1557" s="127">
        <v>1.0</v>
      </c>
      <c r="I1557" s="1"/>
      <c r="J1557" s="1"/>
      <c r="K1557" s="1"/>
      <c r="L1557" s="1"/>
      <c r="M1557" s="1"/>
      <c r="N1557" s="1"/>
      <c r="O1557" s="1"/>
      <c r="P1557" s="1"/>
      <c r="Q1557" s="1"/>
      <c r="R1557" s="1"/>
      <c r="S1557" s="1"/>
      <c r="T1557" s="1"/>
      <c r="U1557" s="1"/>
      <c r="V1557" s="1"/>
      <c r="W1557" s="1"/>
      <c r="X1557" s="1"/>
      <c r="Y1557" s="1"/>
      <c r="Z1557" s="1"/>
    </row>
    <row r="1558">
      <c r="A1558" s="72" t="s">
        <v>4983</v>
      </c>
      <c r="B1558" s="72" t="s">
        <v>131</v>
      </c>
      <c r="C1558" s="72" t="s">
        <v>535</v>
      </c>
      <c r="D1558" s="72" t="s">
        <v>4984</v>
      </c>
      <c r="E1558" s="72" t="s">
        <v>1335</v>
      </c>
      <c r="F1558" s="72" t="s">
        <v>4985</v>
      </c>
      <c r="G1558" s="1">
        <f t="shared" ref="G1558:G1559" si="53">+2</f>
        <v>2</v>
      </c>
      <c r="H1558" s="127">
        <v>2.0</v>
      </c>
      <c r="I1558" s="1"/>
      <c r="J1558" s="1"/>
      <c r="K1558" s="1"/>
      <c r="L1558" s="1"/>
      <c r="M1558" s="1"/>
      <c r="N1558" s="1"/>
      <c r="O1558" s="1"/>
      <c r="P1558" s="1"/>
      <c r="Q1558" s="1"/>
      <c r="R1558" s="1"/>
      <c r="S1558" s="1"/>
      <c r="T1558" s="1"/>
      <c r="U1558" s="1"/>
      <c r="V1558" s="1"/>
      <c r="W1558" s="1"/>
      <c r="X1558" s="1"/>
      <c r="Y1558" s="1"/>
      <c r="Z1558" s="1"/>
    </row>
    <row r="1559">
      <c r="A1559" s="72" t="s">
        <v>4986</v>
      </c>
      <c r="B1559" s="72" t="s">
        <v>279</v>
      </c>
      <c r="C1559" s="72" t="s">
        <v>535</v>
      </c>
      <c r="D1559" s="72" t="s">
        <v>4987</v>
      </c>
      <c r="E1559" s="72" t="s">
        <v>1335</v>
      </c>
      <c r="F1559" s="72" t="s">
        <v>4988</v>
      </c>
      <c r="G1559" s="1">
        <f t="shared" si="53"/>
        <v>2</v>
      </c>
      <c r="H1559" s="127">
        <v>2.0</v>
      </c>
      <c r="I1559" s="1"/>
      <c r="J1559" s="1"/>
      <c r="K1559" s="1"/>
      <c r="L1559" s="1"/>
      <c r="M1559" s="1"/>
      <c r="N1559" s="1"/>
      <c r="O1559" s="1"/>
      <c r="P1559" s="1"/>
      <c r="Q1559" s="1"/>
      <c r="R1559" s="1"/>
      <c r="S1559" s="1"/>
      <c r="T1559" s="1"/>
      <c r="U1559" s="1"/>
      <c r="V1559" s="1"/>
      <c r="W1559" s="1"/>
      <c r="X1559" s="1"/>
      <c r="Y1559" s="1"/>
      <c r="Z1559" s="1"/>
    </row>
    <row r="1560">
      <c r="A1560" s="72" t="s">
        <v>4989</v>
      </c>
      <c r="B1560" s="72" t="s">
        <v>217</v>
      </c>
      <c r="C1560" s="72" t="s">
        <v>535</v>
      </c>
      <c r="D1560" s="72" t="s">
        <v>4990</v>
      </c>
      <c r="E1560" s="72" t="s">
        <v>1271</v>
      </c>
      <c r="F1560" s="72" t="s">
        <v>4991</v>
      </c>
      <c r="G1560" s="72" t="s">
        <v>1273</v>
      </c>
      <c r="H1560" s="127">
        <v>0.0</v>
      </c>
      <c r="I1560" s="1"/>
      <c r="J1560" s="1"/>
      <c r="K1560" s="1"/>
      <c r="L1560" s="1"/>
      <c r="M1560" s="1"/>
      <c r="N1560" s="1"/>
      <c r="O1560" s="1"/>
      <c r="P1560" s="1"/>
      <c r="Q1560" s="1"/>
      <c r="R1560" s="1"/>
      <c r="S1560" s="1"/>
      <c r="T1560" s="1"/>
      <c r="U1560" s="1"/>
      <c r="V1560" s="1"/>
      <c r="W1560" s="1"/>
      <c r="X1560" s="1"/>
      <c r="Y1560" s="1"/>
      <c r="Z1560" s="1"/>
    </row>
    <row r="1561">
      <c r="A1561" s="72" t="s">
        <v>4992</v>
      </c>
      <c r="B1561" s="72" t="s">
        <v>155</v>
      </c>
      <c r="C1561" s="72" t="s">
        <v>535</v>
      </c>
      <c r="D1561" s="72" t="s">
        <v>4993</v>
      </c>
      <c r="E1561" s="72" t="s">
        <v>1283</v>
      </c>
      <c r="F1561" s="72" t="s">
        <v>4994</v>
      </c>
      <c r="G1561" s="72">
        <v>-1.0</v>
      </c>
      <c r="H1561" s="127">
        <v>-1.0</v>
      </c>
      <c r="I1561" s="1"/>
      <c r="J1561" s="1"/>
      <c r="K1561" s="1"/>
      <c r="L1561" s="1"/>
      <c r="M1561" s="1"/>
      <c r="N1561" s="1"/>
      <c r="O1561" s="1"/>
      <c r="P1561" s="1"/>
      <c r="Q1561" s="1"/>
      <c r="R1561" s="1"/>
      <c r="S1561" s="1"/>
      <c r="T1561" s="1"/>
      <c r="U1561" s="1"/>
      <c r="V1561" s="1"/>
      <c r="W1561" s="1"/>
      <c r="X1561" s="1"/>
      <c r="Y1561" s="1"/>
      <c r="Z1561" s="1"/>
    </row>
    <row r="1562">
      <c r="A1562" s="72" t="s">
        <v>4995</v>
      </c>
      <c r="B1562" s="72" t="s">
        <v>163</v>
      </c>
      <c r="C1562" s="72" t="s">
        <v>535</v>
      </c>
      <c r="D1562" s="72" t="s">
        <v>4996</v>
      </c>
      <c r="E1562" s="72" t="s">
        <v>1328</v>
      </c>
      <c r="F1562" s="72" t="s">
        <v>4997</v>
      </c>
      <c r="G1562" s="72">
        <v>-3.0</v>
      </c>
      <c r="H1562" s="127">
        <v>-3.0</v>
      </c>
      <c r="I1562" s="1"/>
      <c r="J1562" s="1"/>
      <c r="K1562" s="1"/>
      <c r="L1562" s="1"/>
      <c r="M1562" s="1"/>
      <c r="N1562" s="1"/>
      <c r="O1562" s="1"/>
      <c r="P1562" s="1"/>
      <c r="Q1562" s="1"/>
      <c r="R1562" s="1"/>
      <c r="S1562" s="1"/>
      <c r="T1562" s="1"/>
      <c r="U1562" s="1"/>
      <c r="V1562" s="1"/>
      <c r="W1562" s="1"/>
      <c r="X1562" s="1"/>
      <c r="Y1562" s="1"/>
      <c r="Z1562" s="1"/>
    </row>
    <row r="1563">
      <c r="A1563" s="72" t="s">
        <v>4998</v>
      </c>
      <c r="B1563" s="72" t="s">
        <v>155</v>
      </c>
      <c r="C1563" s="72" t="s">
        <v>535</v>
      </c>
      <c r="D1563" s="72" t="s">
        <v>4999</v>
      </c>
      <c r="E1563" s="72" t="s">
        <v>1271</v>
      </c>
      <c r="F1563" s="72" t="s">
        <v>5000</v>
      </c>
      <c r="G1563" s="72" t="s">
        <v>1273</v>
      </c>
      <c r="H1563" s="127">
        <v>0.0</v>
      </c>
      <c r="I1563" s="1"/>
      <c r="J1563" s="1"/>
      <c r="K1563" s="1"/>
      <c r="L1563" s="1"/>
      <c r="M1563" s="1"/>
      <c r="N1563" s="1"/>
      <c r="O1563" s="1"/>
      <c r="P1563" s="1"/>
      <c r="Q1563" s="1"/>
      <c r="R1563" s="1"/>
      <c r="S1563" s="1"/>
      <c r="T1563" s="1"/>
      <c r="U1563" s="1"/>
      <c r="V1563" s="1"/>
      <c r="W1563" s="1"/>
      <c r="X1563" s="1"/>
      <c r="Y1563" s="1"/>
      <c r="Z1563" s="1"/>
    </row>
    <row r="1564">
      <c r="A1564" s="72" t="s">
        <v>5001</v>
      </c>
      <c r="B1564" s="72" t="s">
        <v>226</v>
      </c>
      <c r="C1564" s="72" t="s">
        <v>535</v>
      </c>
      <c r="D1564" s="72" t="s">
        <v>5002</v>
      </c>
      <c r="E1564" s="72" t="s">
        <v>1271</v>
      </c>
      <c r="F1564" s="72" t="s">
        <v>5003</v>
      </c>
      <c r="G1564" s="72" t="s">
        <v>1273</v>
      </c>
      <c r="H1564" s="127">
        <v>0.0</v>
      </c>
      <c r="I1564" s="1"/>
      <c r="J1564" s="1"/>
      <c r="K1564" s="1"/>
      <c r="L1564" s="1"/>
      <c r="M1564" s="1"/>
      <c r="N1564" s="1"/>
      <c r="O1564" s="1"/>
      <c r="P1564" s="1"/>
      <c r="Q1564" s="1"/>
      <c r="R1564" s="1"/>
      <c r="S1564" s="1"/>
      <c r="T1564" s="1"/>
      <c r="U1564" s="1"/>
      <c r="V1564" s="1"/>
      <c r="W1564" s="1"/>
      <c r="X1564" s="1"/>
      <c r="Y1564" s="1"/>
      <c r="Z1564" s="1"/>
    </row>
    <row r="1565">
      <c r="A1565" s="72" t="s">
        <v>5004</v>
      </c>
      <c r="B1565" s="72" t="s">
        <v>148</v>
      </c>
      <c r="C1565" s="72" t="s">
        <v>535</v>
      </c>
      <c r="D1565" s="72" t="s">
        <v>5005</v>
      </c>
      <c r="E1565" s="72" t="s">
        <v>1328</v>
      </c>
      <c r="F1565" s="72" t="s">
        <v>5006</v>
      </c>
      <c r="G1565" s="72">
        <v>-3.0</v>
      </c>
      <c r="H1565" s="127">
        <v>-3.0</v>
      </c>
      <c r="I1565" s="1"/>
      <c r="J1565" s="1"/>
      <c r="K1565" s="1"/>
      <c r="L1565" s="1"/>
      <c r="M1565" s="1"/>
      <c r="N1565" s="1"/>
      <c r="O1565" s="1"/>
      <c r="P1565" s="1"/>
      <c r="Q1565" s="1"/>
      <c r="R1565" s="1"/>
      <c r="S1565" s="1"/>
      <c r="T1565" s="1"/>
      <c r="U1565" s="1"/>
      <c r="V1565" s="1"/>
      <c r="W1565" s="1"/>
      <c r="X1565" s="1"/>
      <c r="Y1565" s="1"/>
      <c r="Z1565" s="1"/>
    </row>
    <row r="1566">
      <c r="A1566" s="72" t="s">
        <v>5007</v>
      </c>
      <c r="B1566" s="72" t="s">
        <v>296</v>
      </c>
      <c r="C1566" s="72" t="s">
        <v>535</v>
      </c>
      <c r="D1566" s="72" t="s">
        <v>5008</v>
      </c>
      <c r="E1566" s="72" t="s">
        <v>1283</v>
      </c>
      <c r="F1566" s="72" t="s">
        <v>5009</v>
      </c>
      <c r="G1566" s="72">
        <v>-1.0</v>
      </c>
      <c r="H1566" s="127">
        <v>-1.0</v>
      </c>
      <c r="I1566" s="1"/>
      <c r="J1566" s="1"/>
      <c r="K1566" s="1"/>
      <c r="L1566" s="1"/>
      <c r="M1566" s="1"/>
      <c r="N1566" s="1"/>
      <c r="O1566" s="1"/>
      <c r="P1566" s="1"/>
      <c r="Q1566" s="1"/>
      <c r="R1566" s="1"/>
      <c r="S1566" s="1"/>
      <c r="T1566" s="1"/>
      <c r="U1566" s="1"/>
      <c r="V1566" s="1"/>
      <c r="W1566" s="1"/>
      <c r="X1566" s="1"/>
      <c r="Y1566" s="1"/>
      <c r="Z1566" s="1"/>
    </row>
    <row r="1567">
      <c r="A1567" s="72" t="s">
        <v>5010</v>
      </c>
      <c r="B1567" s="72" t="s">
        <v>307</v>
      </c>
      <c r="C1567" s="72" t="s">
        <v>535</v>
      </c>
      <c r="D1567" s="72" t="s">
        <v>5011</v>
      </c>
      <c r="E1567" s="72" t="s">
        <v>1300</v>
      </c>
      <c r="F1567" s="72" t="s">
        <v>5012</v>
      </c>
      <c r="G1567" s="72">
        <v>-2.0</v>
      </c>
      <c r="H1567" s="127">
        <v>-2.0</v>
      </c>
      <c r="I1567" s="1"/>
      <c r="J1567" s="1"/>
      <c r="K1567" s="1"/>
      <c r="L1567" s="1"/>
      <c r="M1567" s="1"/>
      <c r="N1567" s="1"/>
      <c r="O1567" s="1"/>
      <c r="P1567" s="1"/>
      <c r="Q1567" s="1"/>
      <c r="R1567" s="1"/>
      <c r="S1567" s="1"/>
      <c r="T1567" s="1"/>
      <c r="U1567" s="1"/>
      <c r="V1567" s="1"/>
      <c r="W1567" s="1"/>
      <c r="X1567" s="1"/>
      <c r="Y1567" s="1"/>
      <c r="Z1567" s="1"/>
    </row>
    <row r="1568">
      <c r="A1568" s="72" t="s">
        <v>5013</v>
      </c>
      <c r="B1568" s="72" t="s">
        <v>205</v>
      </c>
      <c r="C1568" s="72" t="s">
        <v>535</v>
      </c>
      <c r="D1568" s="72" t="s">
        <v>5014</v>
      </c>
      <c r="E1568" s="72" t="s">
        <v>1328</v>
      </c>
      <c r="F1568" s="72" t="s">
        <v>5015</v>
      </c>
      <c r="G1568" s="72">
        <v>-3.0</v>
      </c>
      <c r="H1568" s="127">
        <v>-3.0</v>
      </c>
      <c r="I1568" s="1"/>
      <c r="J1568" s="1"/>
      <c r="K1568" s="1"/>
      <c r="L1568" s="1"/>
      <c r="M1568" s="1"/>
      <c r="N1568" s="1"/>
      <c r="O1568" s="1"/>
      <c r="P1568" s="1"/>
      <c r="Q1568" s="1"/>
      <c r="R1568" s="1"/>
      <c r="S1568" s="1"/>
      <c r="T1568" s="1"/>
      <c r="U1568" s="1"/>
      <c r="V1568" s="1"/>
      <c r="W1568" s="1"/>
      <c r="X1568" s="1"/>
      <c r="Y1568" s="1"/>
      <c r="Z1568" s="1"/>
    </row>
    <row r="1569">
      <c r="A1569" s="72" t="s">
        <v>5016</v>
      </c>
      <c r="B1569" s="72" t="s">
        <v>307</v>
      </c>
      <c r="C1569" s="72" t="s">
        <v>535</v>
      </c>
      <c r="D1569" s="72" t="s">
        <v>5017</v>
      </c>
      <c r="E1569" s="72" t="s">
        <v>1283</v>
      </c>
      <c r="F1569" s="72" t="s">
        <v>5018</v>
      </c>
      <c r="G1569" s="72">
        <v>-1.0</v>
      </c>
      <c r="H1569" s="127">
        <v>-1.0</v>
      </c>
      <c r="I1569" s="1"/>
      <c r="J1569" s="1"/>
      <c r="K1569" s="1"/>
      <c r="L1569" s="1"/>
      <c r="M1569" s="1"/>
      <c r="N1569" s="1"/>
      <c r="O1569" s="1"/>
      <c r="P1569" s="1"/>
      <c r="Q1569" s="1"/>
      <c r="R1569" s="1"/>
      <c r="S1569" s="1"/>
      <c r="T1569" s="1"/>
      <c r="U1569" s="1"/>
      <c r="V1569" s="1"/>
      <c r="W1569" s="1"/>
      <c r="X1569" s="1"/>
      <c r="Y1569" s="1"/>
      <c r="Z1569" s="1"/>
    </row>
    <row r="1570">
      <c r="A1570" s="72" t="s">
        <v>5019</v>
      </c>
      <c r="B1570" s="72" t="s">
        <v>164</v>
      </c>
      <c r="C1570" s="72" t="s">
        <v>535</v>
      </c>
      <c r="D1570" s="72" t="s">
        <v>5020</v>
      </c>
      <c r="E1570" s="72" t="s">
        <v>1271</v>
      </c>
      <c r="F1570" s="72" t="s">
        <v>5021</v>
      </c>
      <c r="G1570" s="72" t="s">
        <v>1273</v>
      </c>
      <c r="H1570" s="127">
        <v>0.0</v>
      </c>
      <c r="I1570" s="1"/>
      <c r="J1570" s="1"/>
      <c r="K1570" s="1"/>
      <c r="L1570" s="1"/>
      <c r="M1570" s="1"/>
      <c r="N1570" s="1"/>
      <c r="O1570" s="1"/>
      <c r="P1570" s="1"/>
      <c r="Q1570" s="1"/>
      <c r="R1570" s="1"/>
      <c r="S1570" s="1"/>
      <c r="T1570" s="1"/>
      <c r="U1570" s="1"/>
      <c r="V1570" s="1"/>
      <c r="W1570" s="1"/>
      <c r="X1570" s="1"/>
      <c r="Y1570" s="1"/>
      <c r="Z1570" s="1"/>
    </row>
    <row r="1571">
      <c r="A1571" s="72" t="s">
        <v>5022</v>
      </c>
      <c r="B1571" s="72" t="s">
        <v>163</v>
      </c>
      <c r="C1571" s="72" t="s">
        <v>535</v>
      </c>
      <c r="D1571" s="72" t="s">
        <v>5023</v>
      </c>
      <c r="E1571" s="72" t="s">
        <v>1271</v>
      </c>
      <c r="F1571" s="72" t="s">
        <v>5024</v>
      </c>
      <c r="G1571" s="72" t="s">
        <v>1273</v>
      </c>
      <c r="H1571" s="127">
        <v>0.0</v>
      </c>
      <c r="I1571" s="1"/>
      <c r="J1571" s="1"/>
      <c r="K1571" s="1"/>
      <c r="L1571" s="1"/>
      <c r="M1571" s="1"/>
      <c r="N1571" s="1"/>
      <c r="O1571" s="1"/>
      <c r="P1571" s="1"/>
      <c r="Q1571" s="1"/>
      <c r="R1571" s="1"/>
      <c r="S1571" s="1"/>
      <c r="T1571" s="1"/>
      <c r="U1571" s="1"/>
      <c r="V1571" s="1"/>
      <c r="W1571" s="1"/>
      <c r="X1571" s="1"/>
      <c r="Y1571" s="1"/>
      <c r="Z1571" s="1"/>
    </row>
    <row r="1572">
      <c r="A1572" s="72" t="s">
        <v>5025</v>
      </c>
      <c r="B1572" s="72" t="s">
        <v>164</v>
      </c>
      <c r="C1572" s="72" t="s">
        <v>535</v>
      </c>
      <c r="D1572" s="72" t="s">
        <v>5026</v>
      </c>
      <c r="E1572" s="72" t="s">
        <v>1276</v>
      </c>
      <c r="F1572" s="72" t="s">
        <v>5027</v>
      </c>
      <c r="G1572" s="1">
        <f>+1</f>
        <v>1</v>
      </c>
      <c r="H1572" s="127">
        <v>1.0</v>
      </c>
      <c r="I1572" s="1"/>
      <c r="J1572" s="1"/>
      <c r="K1572" s="1"/>
      <c r="L1572" s="1"/>
      <c r="M1572" s="1"/>
      <c r="N1572" s="1"/>
      <c r="O1572" s="1"/>
      <c r="P1572" s="1"/>
      <c r="Q1572" s="1"/>
      <c r="R1572" s="1"/>
      <c r="S1572" s="1"/>
      <c r="T1572" s="1"/>
      <c r="U1572" s="1"/>
      <c r="V1572" s="1"/>
      <c r="W1572" s="1"/>
      <c r="X1572" s="1"/>
      <c r="Y1572" s="1"/>
      <c r="Z1572" s="1"/>
    </row>
    <row r="1573">
      <c r="A1573" s="72" t="s">
        <v>5028</v>
      </c>
      <c r="B1573" s="72" t="s">
        <v>172</v>
      </c>
      <c r="C1573" s="72" t="s">
        <v>535</v>
      </c>
      <c r="D1573" s="72" t="s">
        <v>5029</v>
      </c>
      <c r="E1573" s="72" t="s">
        <v>1271</v>
      </c>
      <c r="F1573" s="72" t="s">
        <v>5030</v>
      </c>
      <c r="G1573" s="72" t="s">
        <v>1273</v>
      </c>
      <c r="H1573" s="127">
        <v>0.0</v>
      </c>
      <c r="I1573" s="1"/>
      <c r="J1573" s="1"/>
      <c r="K1573" s="1"/>
      <c r="L1573" s="1"/>
      <c r="M1573" s="1"/>
      <c r="N1573" s="1"/>
      <c r="O1573" s="1"/>
      <c r="P1573" s="1"/>
      <c r="Q1573" s="1"/>
      <c r="R1573" s="1"/>
      <c r="S1573" s="1"/>
      <c r="T1573" s="1"/>
      <c r="U1573" s="1"/>
      <c r="V1573" s="1"/>
      <c r="W1573" s="1"/>
      <c r="X1573" s="1"/>
      <c r="Y1573" s="1"/>
      <c r="Z1573" s="1"/>
    </row>
    <row r="1574">
      <c r="A1574" s="72" t="s">
        <v>5031</v>
      </c>
      <c r="B1574" s="72" t="s">
        <v>307</v>
      </c>
      <c r="C1574" s="72" t="s">
        <v>535</v>
      </c>
      <c r="D1574" s="72" t="s">
        <v>5032</v>
      </c>
      <c r="E1574" s="72" t="s">
        <v>1271</v>
      </c>
      <c r="F1574" s="72" t="s">
        <v>5033</v>
      </c>
      <c r="G1574" s="72" t="s">
        <v>1273</v>
      </c>
      <c r="H1574" s="127">
        <v>0.0</v>
      </c>
      <c r="I1574" s="1"/>
      <c r="J1574" s="1"/>
      <c r="K1574" s="1"/>
      <c r="L1574" s="1"/>
      <c r="M1574" s="1"/>
      <c r="N1574" s="1"/>
      <c r="O1574" s="1"/>
      <c r="P1574" s="1"/>
      <c r="Q1574" s="1"/>
      <c r="R1574" s="1"/>
      <c r="S1574" s="1"/>
      <c r="T1574" s="1"/>
      <c r="U1574" s="1"/>
      <c r="V1574" s="1"/>
      <c r="W1574" s="1"/>
      <c r="X1574" s="1"/>
      <c r="Y1574" s="1"/>
      <c r="Z1574" s="1"/>
    </row>
    <row r="1575">
      <c r="A1575" s="72" t="s">
        <v>5034</v>
      </c>
      <c r="B1575" s="72" t="s">
        <v>242</v>
      </c>
      <c r="C1575" s="72" t="s">
        <v>535</v>
      </c>
      <c r="D1575" s="72" t="s">
        <v>5035</v>
      </c>
      <c r="E1575" s="72" t="s">
        <v>1271</v>
      </c>
      <c r="F1575" s="72" t="s">
        <v>5036</v>
      </c>
      <c r="G1575" s="72" t="s">
        <v>1273</v>
      </c>
      <c r="H1575" s="127">
        <v>0.0</v>
      </c>
      <c r="I1575" s="1"/>
      <c r="J1575" s="1"/>
      <c r="K1575" s="1"/>
      <c r="L1575" s="1"/>
      <c r="M1575" s="1"/>
      <c r="N1575" s="1"/>
      <c r="O1575" s="1"/>
      <c r="P1575" s="1"/>
      <c r="Q1575" s="1"/>
      <c r="R1575" s="1"/>
      <c r="S1575" s="1"/>
      <c r="T1575" s="1"/>
      <c r="U1575" s="1"/>
      <c r="V1575" s="1"/>
      <c r="W1575" s="1"/>
      <c r="X1575" s="1"/>
      <c r="Y1575" s="1"/>
      <c r="Z1575" s="1"/>
    </row>
    <row r="1576">
      <c r="A1576" s="72" t="s">
        <v>5037</v>
      </c>
      <c r="B1576" s="72" t="s">
        <v>291</v>
      </c>
      <c r="C1576" s="72" t="s">
        <v>535</v>
      </c>
      <c r="D1576" s="72" t="s">
        <v>5038</v>
      </c>
      <c r="E1576" s="72" t="s">
        <v>1290</v>
      </c>
      <c r="F1576" s="72" t="s">
        <v>5039</v>
      </c>
      <c r="G1576" s="1">
        <f>+3</f>
        <v>3</v>
      </c>
      <c r="H1576" s="127">
        <v>3.0</v>
      </c>
      <c r="I1576" s="1"/>
      <c r="J1576" s="1"/>
      <c r="K1576" s="1"/>
      <c r="L1576" s="1"/>
      <c r="M1576" s="1"/>
      <c r="N1576" s="1"/>
      <c r="O1576" s="1"/>
      <c r="P1576" s="1"/>
      <c r="Q1576" s="1"/>
      <c r="R1576" s="1"/>
      <c r="S1576" s="1"/>
      <c r="T1576" s="1"/>
      <c r="U1576" s="1"/>
      <c r="V1576" s="1"/>
      <c r="W1576" s="1"/>
      <c r="X1576" s="1"/>
      <c r="Y1576" s="1"/>
      <c r="Z1576" s="1"/>
    </row>
    <row r="1577">
      <c r="A1577" s="72" t="s">
        <v>5040</v>
      </c>
      <c r="B1577" s="72" t="s">
        <v>269</v>
      </c>
      <c r="C1577" s="72" t="s">
        <v>535</v>
      </c>
      <c r="D1577" s="72" t="s">
        <v>5041</v>
      </c>
      <c r="E1577" s="72" t="s">
        <v>1283</v>
      </c>
      <c r="F1577" s="72" t="s">
        <v>5042</v>
      </c>
      <c r="G1577" s="72">
        <v>-1.0</v>
      </c>
      <c r="H1577" s="127">
        <v>-1.0</v>
      </c>
      <c r="I1577" s="1"/>
      <c r="J1577" s="1"/>
      <c r="K1577" s="1"/>
      <c r="L1577" s="1"/>
      <c r="M1577" s="1"/>
      <c r="N1577" s="1"/>
      <c r="O1577" s="1"/>
      <c r="P1577" s="1"/>
      <c r="Q1577" s="1"/>
      <c r="R1577" s="1"/>
      <c r="S1577" s="1"/>
      <c r="T1577" s="1"/>
      <c r="U1577" s="1"/>
      <c r="V1577" s="1"/>
      <c r="W1577" s="1"/>
      <c r="X1577" s="1"/>
      <c r="Y1577" s="1"/>
      <c r="Z1577" s="1"/>
    </row>
    <row r="1578">
      <c r="A1578" s="72" t="s">
        <v>5043</v>
      </c>
      <c r="B1578" s="72" t="s">
        <v>179</v>
      </c>
      <c r="C1578" s="72" t="s">
        <v>535</v>
      </c>
      <c r="D1578" s="72" t="s">
        <v>5044</v>
      </c>
      <c r="E1578" s="72" t="s">
        <v>1271</v>
      </c>
      <c r="F1578" s="72" t="s">
        <v>5045</v>
      </c>
      <c r="G1578" s="72" t="s">
        <v>1273</v>
      </c>
      <c r="H1578" s="127">
        <v>0.0</v>
      </c>
      <c r="I1578" s="1"/>
      <c r="J1578" s="1"/>
      <c r="K1578" s="1"/>
      <c r="L1578" s="1"/>
      <c r="M1578" s="1"/>
      <c r="N1578" s="1"/>
      <c r="O1578" s="1"/>
      <c r="P1578" s="1"/>
      <c r="Q1578" s="1"/>
      <c r="R1578" s="1"/>
      <c r="S1578" s="1"/>
      <c r="T1578" s="1"/>
      <c r="U1578" s="1"/>
      <c r="V1578" s="1"/>
      <c r="W1578" s="1"/>
      <c r="X1578" s="1"/>
      <c r="Y1578" s="1"/>
      <c r="Z1578" s="1"/>
    </row>
    <row r="1579">
      <c r="A1579" s="72" t="s">
        <v>5046</v>
      </c>
      <c r="B1579" s="72" t="s">
        <v>290</v>
      </c>
      <c r="C1579" s="72" t="s">
        <v>535</v>
      </c>
      <c r="D1579" s="72" t="s">
        <v>5047</v>
      </c>
      <c r="E1579" s="72" t="s">
        <v>1335</v>
      </c>
      <c r="F1579" s="72" t="s">
        <v>5048</v>
      </c>
      <c r="G1579" s="1">
        <f>+2</f>
        <v>2</v>
      </c>
      <c r="H1579" s="127">
        <v>2.0</v>
      </c>
      <c r="I1579" s="1"/>
      <c r="J1579" s="1"/>
      <c r="K1579" s="1"/>
      <c r="L1579" s="1"/>
      <c r="M1579" s="1"/>
      <c r="N1579" s="1"/>
      <c r="O1579" s="1"/>
      <c r="P1579" s="1"/>
      <c r="Q1579" s="1"/>
      <c r="R1579" s="1"/>
      <c r="S1579" s="1"/>
      <c r="T1579" s="1"/>
      <c r="U1579" s="1"/>
      <c r="V1579" s="1"/>
      <c r="W1579" s="1"/>
      <c r="X1579" s="1"/>
      <c r="Y1579" s="1"/>
      <c r="Z1579" s="1"/>
    </row>
    <row r="1580">
      <c r="A1580" s="72" t="s">
        <v>5049</v>
      </c>
      <c r="B1580" s="72" t="s">
        <v>296</v>
      </c>
      <c r="C1580" s="72" t="s">
        <v>535</v>
      </c>
      <c r="D1580" s="72" t="s">
        <v>5050</v>
      </c>
      <c r="E1580" s="72" t="s">
        <v>1271</v>
      </c>
      <c r="F1580" s="72" t="s">
        <v>5051</v>
      </c>
      <c r="G1580" s="72" t="s">
        <v>1273</v>
      </c>
      <c r="H1580" s="127">
        <v>0.0</v>
      </c>
      <c r="I1580" s="1"/>
      <c r="J1580" s="1"/>
      <c r="K1580" s="1"/>
      <c r="L1580" s="1"/>
      <c r="M1580" s="1"/>
      <c r="N1580" s="1"/>
      <c r="O1580" s="1"/>
      <c r="P1580" s="1"/>
      <c r="Q1580" s="1"/>
      <c r="R1580" s="1"/>
      <c r="S1580" s="1"/>
      <c r="T1580" s="1"/>
      <c r="U1580" s="1"/>
      <c r="V1580" s="1"/>
      <c r="W1580" s="1"/>
      <c r="X1580" s="1"/>
      <c r="Y1580" s="1"/>
      <c r="Z1580" s="1"/>
    </row>
    <row r="1581">
      <c r="A1581" s="72" t="s">
        <v>5052</v>
      </c>
      <c r="B1581" s="72" t="s">
        <v>261</v>
      </c>
      <c r="C1581" s="72" t="s">
        <v>535</v>
      </c>
      <c r="D1581" s="72" t="s">
        <v>5053</v>
      </c>
      <c r="E1581" s="72" t="s">
        <v>1335</v>
      </c>
      <c r="F1581" s="72" t="s">
        <v>5054</v>
      </c>
      <c r="G1581" s="1">
        <f>+2</f>
        <v>2</v>
      </c>
      <c r="H1581" s="127">
        <v>2.0</v>
      </c>
      <c r="I1581" s="1"/>
      <c r="J1581" s="1"/>
      <c r="K1581" s="1"/>
      <c r="L1581" s="1"/>
      <c r="M1581" s="1"/>
      <c r="N1581" s="1"/>
      <c r="O1581" s="1"/>
      <c r="P1581" s="1"/>
      <c r="Q1581" s="1"/>
      <c r="R1581" s="1"/>
      <c r="S1581" s="1"/>
      <c r="T1581" s="1"/>
      <c r="U1581" s="1"/>
      <c r="V1581" s="1"/>
      <c r="W1581" s="1"/>
      <c r="X1581" s="1"/>
      <c r="Y1581" s="1"/>
      <c r="Z1581" s="1"/>
    </row>
    <row r="1582">
      <c r="A1582" s="72" t="s">
        <v>5055</v>
      </c>
      <c r="B1582" s="72" t="s">
        <v>145</v>
      </c>
      <c r="C1582" s="72" t="s">
        <v>535</v>
      </c>
      <c r="D1582" s="72" t="s">
        <v>5056</v>
      </c>
      <c r="E1582" s="72" t="s">
        <v>1328</v>
      </c>
      <c r="F1582" s="72" t="s">
        <v>5057</v>
      </c>
      <c r="G1582" s="72">
        <v>-3.0</v>
      </c>
      <c r="H1582" s="127">
        <v>-3.0</v>
      </c>
      <c r="I1582" s="1"/>
      <c r="J1582" s="1"/>
      <c r="K1582" s="1"/>
      <c r="L1582" s="1"/>
      <c r="M1582" s="1"/>
      <c r="N1582" s="1"/>
      <c r="O1582" s="1"/>
      <c r="P1582" s="1"/>
      <c r="Q1582" s="1"/>
      <c r="R1582" s="1"/>
      <c r="S1582" s="1"/>
      <c r="T1582" s="1"/>
      <c r="U1582" s="1"/>
      <c r="V1582" s="1"/>
      <c r="W1582" s="1"/>
      <c r="X1582" s="1"/>
      <c r="Y1582" s="1"/>
      <c r="Z1582" s="1"/>
    </row>
    <row r="1583">
      <c r="A1583" s="72" t="s">
        <v>5058</v>
      </c>
      <c r="B1583" s="72" t="s">
        <v>180</v>
      </c>
      <c r="C1583" s="72" t="s">
        <v>535</v>
      </c>
      <c r="D1583" s="72" t="s">
        <v>5059</v>
      </c>
      <c r="E1583" s="72" t="s">
        <v>1271</v>
      </c>
      <c r="F1583" s="72" t="s">
        <v>5060</v>
      </c>
      <c r="G1583" s="72" t="s">
        <v>1273</v>
      </c>
      <c r="H1583" s="127">
        <v>0.0</v>
      </c>
      <c r="I1583" s="1"/>
      <c r="J1583" s="1"/>
      <c r="K1583" s="1"/>
      <c r="L1583" s="1"/>
      <c r="M1583" s="1"/>
      <c r="N1583" s="1"/>
      <c r="O1583" s="1"/>
      <c r="P1583" s="1"/>
      <c r="Q1583" s="1"/>
      <c r="R1583" s="1"/>
      <c r="S1583" s="1"/>
      <c r="T1583" s="1"/>
      <c r="U1583" s="1"/>
      <c r="V1583" s="1"/>
      <c r="W1583" s="1"/>
      <c r="X1583" s="1"/>
      <c r="Y1583" s="1"/>
      <c r="Z1583" s="1"/>
    </row>
    <row r="1584">
      <c r="A1584" s="72" t="s">
        <v>5061</v>
      </c>
      <c r="B1584" s="72" t="s">
        <v>245</v>
      </c>
      <c r="C1584" s="72" t="s">
        <v>535</v>
      </c>
      <c r="D1584" s="72" t="s">
        <v>5062</v>
      </c>
      <c r="E1584" s="72" t="s">
        <v>1328</v>
      </c>
      <c r="F1584" s="72" t="s">
        <v>5063</v>
      </c>
      <c r="G1584" s="72">
        <v>-3.0</v>
      </c>
      <c r="H1584" s="127">
        <v>-3.0</v>
      </c>
      <c r="I1584" s="1"/>
      <c r="J1584" s="1"/>
      <c r="K1584" s="1"/>
      <c r="L1584" s="1"/>
      <c r="M1584" s="1"/>
      <c r="N1584" s="1"/>
      <c r="O1584" s="1"/>
      <c r="P1584" s="1"/>
      <c r="Q1584" s="1"/>
      <c r="R1584" s="1"/>
      <c r="S1584" s="1"/>
      <c r="T1584" s="1"/>
      <c r="U1584" s="1"/>
      <c r="V1584" s="1"/>
      <c r="W1584" s="1"/>
      <c r="X1584" s="1"/>
      <c r="Y1584" s="1"/>
      <c r="Z1584" s="1"/>
    </row>
    <row r="1585">
      <c r="A1585" s="72" t="s">
        <v>5064</v>
      </c>
      <c r="B1585" s="72" t="s">
        <v>215</v>
      </c>
      <c r="C1585" s="72" t="s">
        <v>535</v>
      </c>
      <c r="D1585" s="72" t="s">
        <v>5065</v>
      </c>
      <c r="E1585" s="72" t="s">
        <v>1271</v>
      </c>
      <c r="F1585" s="72" t="s">
        <v>5066</v>
      </c>
      <c r="G1585" s="72" t="s">
        <v>1273</v>
      </c>
      <c r="H1585" s="127">
        <v>0.0</v>
      </c>
      <c r="I1585" s="1"/>
      <c r="J1585" s="1"/>
      <c r="K1585" s="1"/>
      <c r="L1585" s="1"/>
      <c r="M1585" s="1"/>
      <c r="N1585" s="1"/>
      <c r="O1585" s="1"/>
      <c r="P1585" s="1"/>
      <c r="Q1585" s="1"/>
      <c r="R1585" s="1"/>
      <c r="S1585" s="1"/>
      <c r="T1585" s="1"/>
      <c r="U1585" s="1"/>
      <c r="V1585" s="1"/>
      <c r="W1585" s="1"/>
      <c r="X1585" s="1"/>
      <c r="Y1585" s="1"/>
      <c r="Z1585" s="1"/>
    </row>
    <row r="1586">
      <c r="A1586" s="72" t="s">
        <v>5067</v>
      </c>
      <c r="B1586" s="72" t="s">
        <v>180</v>
      </c>
      <c r="C1586" s="72" t="s">
        <v>535</v>
      </c>
      <c r="D1586" s="72" t="s">
        <v>5068</v>
      </c>
      <c r="E1586" s="72" t="s">
        <v>1328</v>
      </c>
      <c r="F1586" s="72" t="s">
        <v>5069</v>
      </c>
      <c r="G1586" s="72">
        <v>-3.0</v>
      </c>
      <c r="H1586" s="127">
        <v>-3.0</v>
      </c>
      <c r="I1586" s="1"/>
      <c r="J1586" s="1"/>
      <c r="K1586" s="1"/>
      <c r="L1586" s="1"/>
      <c r="M1586" s="1"/>
      <c r="N1586" s="1"/>
      <c r="O1586" s="1"/>
      <c r="P1586" s="1"/>
      <c r="Q1586" s="1"/>
      <c r="R1586" s="1"/>
      <c r="S1586" s="1"/>
      <c r="T1586" s="1"/>
      <c r="U1586" s="1"/>
      <c r="V1586" s="1"/>
      <c r="W1586" s="1"/>
      <c r="X1586" s="1"/>
      <c r="Y1586" s="1"/>
      <c r="Z1586" s="1"/>
    </row>
    <row r="1587">
      <c r="A1587" s="72" t="s">
        <v>5070</v>
      </c>
      <c r="B1587" s="72" t="s">
        <v>152</v>
      </c>
      <c r="C1587" s="72" t="s">
        <v>535</v>
      </c>
      <c r="D1587" s="72" t="s">
        <v>5071</v>
      </c>
      <c r="E1587" s="72" t="s">
        <v>1283</v>
      </c>
      <c r="F1587" s="72" t="s">
        <v>5072</v>
      </c>
      <c r="G1587" s="72">
        <v>-1.0</v>
      </c>
      <c r="H1587" s="127">
        <v>-1.0</v>
      </c>
      <c r="I1587" s="1"/>
      <c r="J1587" s="1"/>
      <c r="K1587" s="1"/>
      <c r="L1587" s="1"/>
      <c r="M1587" s="1"/>
      <c r="N1587" s="1"/>
      <c r="O1587" s="1"/>
      <c r="P1587" s="1"/>
      <c r="Q1587" s="1"/>
      <c r="R1587" s="1"/>
      <c r="S1587" s="1"/>
      <c r="T1587" s="1"/>
      <c r="U1587" s="1"/>
      <c r="V1587" s="1"/>
      <c r="W1587" s="1"/>
      <c r="X1587" s="1"/>
      <c r="Y1587" s="1"/>
      <c r="Z1587" s="1"/>
    </row>
    <row r="1588">
      <c r="A1588" s="72" t="s">
        <v>5073</v>
      </c>
      <c r="B1588" s="72" t="s">
        <v>243</v>
      </c>
      <c r="C1588" s="72" t="s">
        <v>535</v>
      </c>
      <c r="D1588" s="72" t="s">
        <v>5074</v>
      </c>
      <c r="E1588" s="72" t="s">
        <v>1271</v>
      </c>
      <c r="F1588" s="72" t="s">
        <v>5075</v>
      </c>
      <c r="G1588" s="72" t="s">
        <v>1273</v>
      </c>
      <c r="H1588" s="127">
        <v>0.0</v>
      </c>
      <c r="I1588" s="1"/>
      <c r="J1588" s="1"/>
      <c r="K1588" s="1"/>
      <c r="L1588" s="1"/>
      <c r="M1588" s="1"/>
      <c r="N1588" s="1"/>
      <c r="O1588" s="1"/>
      <c r="P1588" s="1"/>
      <c r="Q1588" s="1"/>
      <c r="R1588" s="1"/>
      <c r="S1588" s="1"/>
      <c r="T1588" s="1"/>
      <c r="U1588" s="1"/>
      <c r="V1588" s="1"/>
      <c r="W1588" s="1"/>
      <c r="X1588" s="1"/>
      <c r="Y1588" s="1"/>
      <c r="Z1588" s="1"/>
    </row>
    <row r="1589">
      <c r="A1589" s="72" t="s">
        <v>5076</v>
      </c>
      <c r="B1589" s="72" t="s">
        <v>128</v>
      </c>
      <c r="C1589" s="72" t="s">
        <v>535</v>
      </c>
      <c r="D1589" s="72" t="s">
        <v>5077</v>
      </c>
      <c r="E1589" s="72" t="s">
        <v>1276</v>
      </c>
      <c r="F1589" s="72" t="s">
        <v>5078</v>
      </c>
      <c r="G1589" s="1">
        <f>+1</f>
        <v>1</v>
      </c>
      <c r="H1589" s="127">
        <v>1.0</v>
      </c>
      <c r="I1589" s="1"/>
      <c r="J1589" s="1"/>
      <c r="K1589" s="1"/>
      <c r="L1589" s="1"/>
      <c r="M1589" s="1"/>
      <c r="N1589" s="1"/>
      <c r="O1589" s="1"/>
      <c r="P1589" s="1"/>
      <c r="Q1589" s="1"/>
      <c r="R1589" s="1"/>
      <c r="S1589" s="1"/>
      <c r="T1589" s="1"/>
      <c r="U1589" s="1"/>
      <c r="V1589" s="1"/>
      <c r="W1589" s="1"/>
      <c r="X1589" s="1"/>
      <c r="Y1589" s="1"/>
      <c r="Z1589" s="1"/>
    </row>
    <row r="1590">
      <c r="A1590" s="72" t="s">
        <v>5079</v>
      </c>
      <c r="B1590" s="72" t="s">
        <v>251</v>
      </c>
      <c r="C1590" s="72" t="s">
        <v>535</v>
      </c>
      <c r="D1590" s="72" t="s">
        <v>5080</v>
      </c>
      <c r="E1590" s="72" t="s">
        <v>1300</v>
      </c>
      <c r="F1590" s="72" t="s">
        <v>5081</v>
      </c>
      <c r="G1590" s="72">
        <v>-2.0</v>
      </c>
      <c r="H1590" s="127">
        <v>-2.0</v>
      </c>
      <c r="I1590" s="1"/>
      <c r="J1590" s="1"/>
      <c r="K1590" s="1"/>
      <c r="L1590" s="1"/>
      <c r="M1590" s="1"/>
      <c r="N1590" s="1"/>
      <c r="O1590" s="1"/>
      <c r="P1590" s="1"/>
      <c r="Q1590" s="1"/>
      <c r="R1590" s="1"/>
      <c r="S1590" s="1"/>
      <c r="T1590" s="1"/>
      <c r="U1590" s="1"/>
      <c r="V1590" s="1"/>
      <c r="W1590" s="1"/>
      <c r="X1590" s="1"/>
      <c r="Y1590" s="1"/>
      <c r="Z1590" s="1"/>
    </row>
    <row r="1591">
      <c r="A1591" s="72" t="s">
        <v>5082</v>
      </c>
      <c r="B1591" s="72" t="s">
        <v>244</v>
      </c>
      <c r="C1591" s="72" t="s">
        <v>535</v>
      </c>
      <c r="D1591" s="72" t="s">
        <v>5083</v>
      </c>
      <c r="E1591" s="72" t="s">
        <v>1271</v>
      </c>
      <c r="F1591" s="72" t="s">
        <v>5084</v>
      </c>
      <c r="G1591" s="72" t="s">
        <v>1273</v>
      </c>
      <c r="H1591" s="127">
        <v>0.0</v>
      </c>
      <c r="I1591" s="1"/>
      <c r="J1591" s="1"/>
      <c r="K1591" s="1"/>
      <c r="L1591" s="1"/>
      <c r="M1591" s="1"/>
      <c r="N1591" s="1"/>
      <c r="O1591" s="1"/>
      <c r="P1591" s="1"/>
      <c r="Q1591" s="1"/>
      <c r="R1591" s="1"/>
      <c r="S1591" s="1"/>
      <c r="T1591" s="1"/>
      <c r="U1591" s="1"/>
      <c r="V1591" s="1"/>
      <c r="W1591" s="1"/>
      <c r="X1591" s="1"/>
      <c r="Y1591" s="1"/>
      <c r="Z1591" s="1"/>
    </row>
    <row r="1592">
      <c r="A1592" s="72" t="s">
        <v>5085</v>
      </c>
      <c r="B1592" s="72" t="s">
        <v>273</v>
      </c>
      <c r="C1592" s="72" t="s">
        <v>535</v>
      </c>
      <c r="D1592" s="72" t="s">
        <v>5086</v>
      </c>
      <c r="E1592" s="72" t="s">
        <v>1335</v>
      </c>
      <c r="F1592" s="72" t="s">
        <v>5087</v>
      </c>
      <c r="G1592" s="1">
        <f>+2</f>
        <v>2</v>
      </c>
      <c r="H1592" s="127">
        <v>2.0</v>
      </c>
      <c r="I1592" s="1"/>
      <c r="J1592" s="1"/>
      <c r="K1592" s="1"/>
      <c r="L1592" s="1"/>
      <c r="M1592" s="1"/>
      <c r="N1592" s="1"/>
      <c r="O1592" s="1"/>
      <c r="P1592" s="1"/>
      <c r="Q1592" s="1"/>
      <c r="R1592" s="1"/>
      <c r="S1592" s="1"/>
      <c r="T1592" s="1"/>
      <c r="U1592" s="1"/>
      <c r="V1592" s="1"/>
      <c r="W1592" s="1"/>
      <c r="X1592" s="1"/>
      <c r="Y1592" s="1"/>
      <c r="Z1592" s="1"/>
    </row>
    <row r="1593">
      <c r="A1593" s="72" t="s">
        <v>5088</v>
      </c>
      <c r="B1593" s="72" t="s">
        <v>159</v>
      </c>
      <c r="C1593" s="72" t="s">
        <v>535</v>
      </c>
      <c r="D1593" s="72" t="s">
        <v>5089</v>
      </c>
      <c r="E1593" s="72" t="s">
        <v>1283</v>
      </c>
      <c r="F1593" s="72" t="s">
        <v>5090</v>
      </c>
      <c r="G1593" s="72">
        <v>-1.0</v>
      </c>
      <c r="H1593" s="127">
        <v>-1.0</v>
      </c>
      <c r="I1593" s="1"/>
      <c r="J1593" s="1"/>
      <c r="K1593" s="1"/>
      <c r="L1593" s="1"/>
      <c r="M1593" s="1"/>
      <c r="N1593" s="1"/>
      <c r="O1593" s="1"/>
      <c r="P1593" s="1"/>
      <c r="Q1593" s="1"/>
      <c r="R1593" s="1"/>
      <c r="S1593" s="1"/>
      <c r="T1593" s="1"/>
      <c r="U1593" s="1"/>
      <c r="V1593" s="1"/>
      <c r="W1593" s="1"/>
      <c r="X1593" s="1"/>
      <c r="Y1593" s="1"/>
      <c r="Z1593" s="1"/>
    </row>
    <row r="1594">
      <c r="A1594" s="72" t="s">
        <v>5091</v>
      </c>
      <c r="B1594" s="72" t="s">
        <v>273</v>
      </c>
      <c r="C1594" s="72" t="s">
        <v>535</v>
      </c>
      <c r="D1594" s="72" t="s">
        <v>5092</v>
      </c>
      <c r="E1594" s="72" t="s">
        <v>1271</v>
      </c>
      <c r="F1594" s="72" t="s">
        <v>5093</v>
      </c>
      <c r="G1594" s="72" t="s">
        <v>1273</v>
      </c>
      <c r="H1594" s="127">
        <v>0.0</v>
      </c>
      <c r="I1594" s="1"/>
      <c r="J1594" s="1"/>
      <c r="K1594" s="1"/>
      <c r="L1594" s="1"/>
      <c r="M1594" s="1"/>
      <c r="N1594" s="1"/>
      <c r="O1594" s="1"/>
      <c r="P1594" s="1"/>
      <c r="Q1594" s="1"/>
      <c r="R1594" s="1"/>
      <c r="S1594" s="1"/>
      <c r="T1594" s="1"/>
      <c r="U1594" s="1"/>
      <c r="V1594" s="1"/>
      <c r="W1594" s="1"/>
      <c r="X1594" s="1"/>
      <c r="Y1594" s="1"/>
      <c r="Z1594" s="1"/>
    </row>
    <row r="1595">
      <c r="A1595" s="72" t="s">
        <v>5094</v>
      </c>
      <c r="B1595" s="72" t="s">
        <v>232</v>
      </c>
      <c r="C1595" s="72" t="s">
        <v>535</v>
      </c>
      <c r="D1595" s="72" t="s">
        <v>5095</v>
      </c>
      <c r="E1595" s="72" t="s">
        <v>1300</v>
      </c>
      <c r="F1595" s="72" t="s">
        <v>5096</v>
      </c>
      <c r="G1595" s="72">
        <v>-2.0</v>
      </c>
      <c r="H1595" s="127">
        <v>-2.0</v>
      </c>
      <c r="I1595" s="1"/>
      <c r="J1595" s="1"/>
      <c r="K1595" s="1"/>
      <c r="L1595" s="1"/>
      <c r="M1595" s="1"/>
      <c r="N1595" s="1"/>
      <c r="O1595" s="1"/>
      <c r="P1595" s="1"/>
      <c r="Q1595" s="1"/>
      <c r="R1595" s="1"/>
      <c r="S1595" s="1"/>
      <c r="T1595" s="1"/>
      <c r="U1595" s="1"/>
      <c r="V1595" s="1"/>
      <c r="W1595" s="1"/>
      <c r="X1595" s="1"/>
      <c r="Y1595" s="1"/>
      <c r="Z1595" s="1"/>
    </row>
    <row r="1596">
      <c r="A1596" s="72" t="s">
        <v>5097</v>
      </c>
      <c r="B1596" s="72" t="s">
        <v>190</v>
      </c>
      <c r="C1596" s="72" t="s">
        <v>535</v>
      </c>
      <c r="D1596" s="72" t="s">
        <v>5098</v>
      </c>
      <c r="E1596" s="72" t="s">
        <v>1271</v>
      </c>
      <c r="F1596" s="72" t="s">
        <v>5099</v>
      </c>
      <c r="G1596" s="72" t="s">
        <v>1273</v>
      </c>
      <c r="H1596" s="127">
        <v>0.0</v>
      </c>
      <c r="I1596" s="1"/>
      <c r="J1596" s="1"/>
      <c r="K1596" s="1"/>
      <c r="L1596" s="1"/>
      <c r="M1596" s="1"/>
      <c r="N1596" s="1"/>
      <c r="O1596" s="1"/>
      <c r="P1596" s="1"/>
      <c r="Q1596" s="1"/>
      <c r="R1596" s="1"/>
      <c r="S1596" s="1"/>
      <c r="T1596" s="1"/>
      <c r="U1596" s="1"/>
      <c r="V1596" s="1"/>
      <c r="W1596" s="1"/>
      <c r="X1596" s="1"/>
      <c r="Y1596" s="1"/>
      <c r="Z1596" s="1"/>
    </row>
    <row r="1597">
      <c r="A1597" s="72" t="s">
        <v>5100</v>
      </c>
      <c r="B1597" s="72" t="s">
        <v>180</v>
      </c>
      <c r="C1597" s="72" t="s">
        <v>535</v>
      </c>
      <c r="D1597" s="72" t="s">
        <v>5101</v>
      </c>
      <c r="E1597" s="72" t="s">
        <v>1271</v>
      </c>
      <c r="F1597" s="72" t="s">
        <v>5102</v>
      </c>
      <c r="G1597" s="72" t="s">
        <v>1273</v>
      </c>
      <c r="H1597" s="127">
        <v>0.0</v>
      </c>
      <c r="I1597" s="1"/>
      <c r="J1597" s="1"/>
      <c r="K1597" s="1"/>
      <c r="L1597" s="1"/>
      <c r="M1597" s="1"/>
      <c r="N1597" s="1"/>
      <c r="O1597" s="1"/>
      <c r="P1597" s="1"/>
      <c r="Q1597" s="1"/>
      <c r="R1597" s="1"/>
      <c r="S1597" s="1"/>
      <c r="T1597" s="1"/>
      <c r="U1597" s="1"/>
      <c r="V1597" s="1"/>
      <c r="W1597" s="1"/>
      <c r="X1597" s="1"/>
      <c r="Y1597" s="1"/>
      <c r="Z1597" s="1"/>
    </row>
    <row r="1598">
      <c r="A1598" s="72" t="s">
        <v>5103</v>
      </c>
      <c r="B1598" s="72" t="s">
        <v>289</v>
      </c>
      <c r="C1598" s="72" t="s">
        <v>535</v>
      </c>
      <c r="D1598" s="72" t="s">
        <v>5104</v>
      </c>
      <c r="E1598" s="72" t="s">
        <v>1335</v>
      </c>
      <c r="F1598" s="72" t="s">
        <v>5105</v>
      </c>
      <c r="G1598" s="1">
        <f t="shared" ref="G1598:G1600" si="54">+2</f>
        <v>2</v>
      </c>
      <c r="H1598" s="127">
        <v>2.0</v>
      </c>
      <c r="I1598" s="1"/>
      <c r="J1598" s="1"/>
      <c r="K1598" s="1"/>
      <c r="L1598" s="1"/>
      <c r="M1598" s="1"/>
      <c r="N1598" s="1"/>
      <c r="O1598" s="1"/>
      <c r="P1598" s="1"/>
      <c r="Q1598" s="1"/>
      <c r="R1598" s="1"/>
      <c r="S1598" s="1"/>
      <c r="T1598" s="1"/>
      <c r="U1598" s="1"/>
      <c r="V1598" s="1"/>
      <c r="W1598" s="1"/>
      <c r="X1598" s="1"/>
      <c r="Y1598" s="1"/>
      <c r="Z1598" s="1"/>
    </row>
    <row r="1599">
      <c r="A1599" s="72" t="s">
        <v>5106</v>
      </c>
      <c r="B1599" s="72" t="s">
        <v>190</v>
      </c>
      <c r="C1599" s="72" t="s">
        <v>535</v>
      </c>
      <c r="D1599" s="72" t="s">
        <v>5107</v>
      </c>
      <c r="E1599" s="72" t="s">
        <v>1335</v>
      </c>
      <c r="F1599" s="72" t="s">
        <v>5108</v>
      </c>
      <c r="G1599" s="1">
        <f t="shared" si="54"/>
        <v>2</v>
      </c>
      <c r="H1599" s="127">
        <v>2.0</v>
      </c>
      <c r="I1599" s="1"/>
      <c r="J1599" s="1"/>
      <c r="K1599" s="1"/>
      <c r="L1599" s="1"/>
      <c r="M1599" s="1"/>
      <c r="N1599" s="1"/>
      <c r="O1599" s="1"/>
      <c r="P1599" s="1"/>
      <c r="Q1599" s="1"/>
      <c r="R1599" s="1"/>
      <c r="S1599" s="1"/>
      <c r="T1599" s="1"/>
      <c r="U1599" s="1"/>
      <c r="V1599" s="1"/>
      <c r="W1599" s="1"/>
      <c r="X1599" s="1"/>
      <c r="Y1599" s="1"/>
      <c r="Z1599" s="1"/>
    </row>
    <row r="1600">
      <c r="A1600" s="72" t="s">
        <v>5109</v>
      </c>
      <c r="B1600" s="72" t="s">
        <v>267</v>
      </c>
      <c r="C1600" s="72" t="s">
        <v>535</v>
      </c>
      <c r="D1600" s="72" t="s">
        <v>5110</v>
      </c>
      <c r="E1600" s="72" t="s">
        <v>1335</v>
      </c>
      <c r="F1600" s="72" t="s">
        <v>5111</v>
      </c>
      <c r="G1600" s="1">
        <f t="shared" si="54"/>
        <v>2</v>
      </c>
      <c r="H1600" s="127">
        <v>2.0</v>
      </c>
      <c r="I1600" s="1"/>
      <c r="J1600" s="1"/>
      <c r="K1600" s="1"/>
      <c r="L1600" s="1"/>
      <c r="M1600" s="1"/>
      <c r="N1600" s="1"/>
      <c r="O1600" s="1"/>
      <c r="P1600" s="1"/>
      <c r="Q1600" s="1"/>
      <c r="R1600" s="1"/>
      <c r="S1600" s="1"/>
      <c r="T1600" s="1"/>
      <c r="U1600" s="1"/>
      <c r="V1600" s="1"/>
      <c r="W1600" s="1"/>
      <c r="X1600" s="1"/>
      <c r="Y1600" s="1"/>
      <c r="Z1600" s="1"/>
    </row>
    <row r="1601">
      <c r="A1601" s="72" t="s">
        <v>5112</v>
      </c>
      <c r="B1601" s="72" t="s">
        <v>212</v>
      </c>
      <c r="C1601" s="72" t="s">
        <v>535</v>
      </c>
      <c r="D1601" s="72" t="s">
        <v>5113</v>
      </c>
      <c r="E1601" s="72" t="s">
        <v>1290</v>
      </c>
      <c r="F1601" s="72" t="s">
        <v>5114</v>
      </c>
      <c r="G1601" s="1">
        <f>+3</f>
        <v>3</v>
      </c>
      <c r="H1601" s="127">
        <v>3.0</v>
      </c>
      <c r="I1601" s="1"/>
      <c r="J1601" s="1"/>
      <c r="K1601" s="1"/>
      <c r="L1601" s="1"/>
      <c r="M1601" s="1"/>
      <c r="N1601" s="1"/>
      <c r="O1601" s="1"/>
      <c r="P1601" s="1"/>
      <c r="Q1601" s="1"/>
      <c r="R1601" s="1"/>
      <c r="S1601" s="1"/>
      <c r="T1601" s="1"/>
      <c r="U1601" s="1"/>
      <c r="V1601" s="1"/>
      <c r="W1601" s="1"/>
      <c r="X1601" s="1"/>
      <c r="Y1601" s="1"/>
      <c r="Z1601" s="1"/>
    </row>
    <row r="1602">
      <c r="A1602" s="72" t="s">
        <v>5115</v>
      </c>
      <c r="B1602" s="72" t="s">
        <v>190</v>
      </c>
      <c r="C1602" s="72" t="s">
        <v>535</v>
      </c>
      <c r="D1602" s="72" t="s">
        <v>5116</v>
      </c>
      <c r="E1602" s="72" t="s">
        <v>1271</v>
      </c>
      <c r="F1602" s="72" t="s">
        <v>5117</v>
      </c>
      <c r="G1602" s="72" t="s">
        <v>1273</v>
      </c>
      <c r="H1602" s="127">
        <v>0.0</v>
      </c>
      <c r="I1602" s="1"/>
      <c r="J1602" s="1"/>
      <c r="K1602" s="1"/>
      <c r="L1602" s="1"/>
      <c r="M1602" s="1"/>
      <c r="N1602" s="1"/>
      <c r="O1602" s="1"/>
      <c r="P1602" s="1"/>
      <c r="Q1602" s="1"/>
      <c r="R1602" s="1"/>
      <c r="S1602" s="1"/>
      <c r="T1602" s="1"/>
      <c r="U1602" s="1"/>
      <c r="V1602" s="1"/>
      <c r="W1602" s="1"/>
      <c r="X1602" s="1"/>
      <c r="Y1602" s="1"/>
      <c r="Z1602" s="1"/>
    </row>
    <row r="1603">
      <c r="A1603" s="72" t="s">
        <v>5118</v>
      </c>
      <c r="B1603" s="72" t="s">
        <v>284</v>
      </c>
      <c r="C1603" s="72" t="s">
        <v>535</v>
      </c>
      <c r="D1603" s="72" t="s">
        <v>5119</v>
      </c>
      <c r="E1603" s="72" t="s">
        <v>1276</v>
      </c>
      <c r="F1603" s="72" t="s">
        <v>5120</v>
      </c>
      <c r="G1603" s="1">
        <f>+1</f>
        <v>1</v>
      </c>
      <c r="H1603" s="127">
        <v>1.0</v>
      </c>
      <c r="I1603" s="1"/>
      <c r="J1603" s="1"/>
      <c r="K1603" s="1"/>
      <c r="L1603" s="1"/>
      <c r="M1603" s="1"/>
      <c r="N1603" s="1"/>
      <c r="O1603" s="1"/>
      <c r="P1603" s="1"/>
      <c r="Q1603" s="1"/>
      <c r="R1603" s="1"/>
      <c r="S1603" s="1"/>
      <c r="T1603" s="1"/>
      <c r="U1603" s="1"/>
      <c r="V1603" s="1"/>
      <c r="W1603" s="1"/>
      <c r="X1603" s="1"/>
      <c r="Y1603" s="1"/>
      <c r="Z1603" s="1"/>
    </row>
    <row r="1604">
      <c r="A1604" s="72" t="s">
        <v>5121</v>
      </c>
      <c r="B1604" s="72" t="s">
        <v>294</v>
      </c>
      <c r="C1604" s="72" t="s">
        <v>535</v>
      </c>
      <c r="D1604" s="72" t="s">
        <v>5122</v>
      </c>
      <c r="E1604" s="72" t="s">
        <v>1271</v>
      </c>
      <c r="F1604" s="72" t="s">
        <v>5123</v>
      </c>
      <c r="G1604" s="72" t="s">
        <v>1273</v>
      </c>
      <c r="H1604" s="127">
        <v>0.0</v>
      </c>
      <c r="I1604" s="1"/>
      <c r="J1604" s="1"/>
      <c r="K1604" s="1"/>
      <c r="L1604" s="1"/>
      <c r="M1604" s="1"/>
      <c r="N1604" s="1"/>
      <c r="O1604" s="1"/>
      <c r="P1604" s="1"/>
      <c r="Q1604" s="1"/>
      <c r="R1604" s="1"/>
      <c r="S1604" s="1"/>
      <c r="T1604" s="1"/>
      <c r="U1604" s="1"/>
      <c r="V1604" s="1"/>
      <c r="W1604" s="1"/>
      <c r="X1604" s="1"/>
      <c r="Y1604" s="1"/>
      <c r="Z1604" s="1"/>
    </row>
    <row r="1605">
      <c r="A1605" s="72" t="s">
        <v>5124</v>
      </c>
      <c r="B1605" s="72" t="s">
        <v>162</v>
      </c>
      <c r="C1605" s="72" t="s">
        <v>535</v>
      </c>
      <c r="D1605" s="72" t="s">
        <v>5125</v>
      </c>
      <c r="E1605" s="72" t="s">
        <v>1328</v>
      </c>
      <c r="F1605" s="72" t="s">
        <v>5126</v>
      </c>
      <c r="G1605" s="72">
        <v>-3.0</v>
      </c>
      <c r="H1605" s="127">
        <v>-3.0</v>
      </c>
      <c r="I1605" s="1"/>
      <c r="J1605" s="1"/>
      <c r="K1605" s="1"/>
      <c r="L1605" s="1"/>
      <c r="M1605" s="1"/>
      <c r="N1605" s="1"/>
      <c r="O1605" s="1"/>
      <c r="P1605" s="1"/>
      <c r="Q1605" s="1"/>
      <c r="R1605" s="1"/>
      <c r="S1605" s="1"/>
      <c r="T1605" s="1"/>
      <c r="U1605" s="1"/>
      <c r="V1605" s="1"/>
      <c r="W1605" s="1"/>
      <c r="X1605" s="1"/>
      <c r="Y1605" s="1"/>
      <c r="Z1605" s="1"/>
    </row>
    <row r="1606">
      <c r="A1606" s="72" t="s">
        <v>5127</v>
      </c>
      <c r="B1606" s="72" t="s">
        <v>272</v>
      </c>
      <c r="C1606" s="72" t="s">
        <v>535</v>
      </c>
      <c r="D1606" s="72" t="s">
        <v>5128</v>
      </c>
      <c r="E1606" s="72" t="s">
        <v>1271</v>
      </c>
      <c r="F1606" s="72" t="s">
        <v>5129</v>
      </c>
      <c r="G1606" s="72" t="s">
        <v>1273</v>
      </c>
      <c r="H1606" s="127">
        <v>0.0</v>
      </c>
      <c r="I1606" s="1"/>
      <c r="J1606" s="1"/>
      <c r="K1606" s="1"/>
      <c r="L1606" s="1"/>
      <c r="M1606" s="1"/>
      <c r="N1606" s="1"/>
      <c r="O1606" s="1"/>
      <c r="P1606" s="1"/>
      <c r="Q1606" s="1"/>
      <c r="R1606" s="1"/>
      <c r="S1606" s="1"/>
      <c r="T1606" s="1"/>
      <c r="U1606" s="1"/>
      <c r="V1606" s="1"/>
      <c r="W1606" s="1"/>
      <c r="X1606" s="1"/>
      <c r="Y1606" s="1"/>
      <c r="Z1606" s="1"/>
    </row>
    <row r="1607">
      <c r="A1607" s="72" t="s">
        <v>5130</v>
      </c>
      <c r="B1607" s="72" t="s">
        <v>159</v>
      </c>
      <c r="C1607" s="72" t="s">
        <v>535</v>
      </c>
      <c r="D1607" s="72" t="s">
        <v>5131</v>
      </c>
      <c r="E1607" s="72" t="s">
        <v>1328</v>
      </c>
      <c r="F1607" s="72" t="s">
        <v>5132</v>
      </c>
      <c r="G1607" s="72">
        <v>-3.0</v>
      </c>
      <c r="H1607" s="127">
        <v>-3.0</v>
      </c>
      <c r="I1607" s="1"/>
      <c r="J1607" s="1"/>
      <c r="K1607" s="1"/>
      <c r="L1607" s="1"/>
      <c r="M1607" s="1"/>
      <c r="N1607" s="1"/>
      <c r="O1607" s="1"/>
      <c r="P1607" s="1"/>
      <c r="Q1607" s="1"/>
      <c r="R1607" s="1"/>
      <c r="S1607" s="1"/>
      <c r="T1607" s="1"/>
      <c r="U1607" s="1"/>
      <c r="V1607" s="1"/>
      <c r="W1607" s="1"/>
      <c r="X1607" s="1"/>
      <c r="Y1607" s="1"/>
      <c r="Z1607" s="1"/>
    </row>
    <row r="1608">
      <c r="A1608" s="72" t="s">
        <v>5133</v>
      </c>
      <c r="B1608" s="72" t="s">
        <v>303</v>
      </c>
      <c r="C1608" s="72" t="s">
        <v>535</v>
      </c>
      <c r="D1608" s="72" t="s">
        <v>5134</v>
      </c>
      <c r="E1608" s="72" t="s">
        <v>1271</v>
      </c>
      <c r="F1608" s="72" t="s">
        <v>5135</v>
      </c>
      <c r="G1608" s="72" t="s">
        <v>1273</v>
      </c>
      <c r="H1608" s="127">
        <v>0.0</v>
      </c>
      <c r="I1608" s="1"/>
      <c r="J1608" s="1"/>
      <c r="K1608" s="1"/>
      <c r="L1608" s="1"/>
      <c r="M1608" s="1"/>
      <c r="N1608" s="1"/>
      <c r="O1608" s="1"/>
      <c r="P1608" s="1"/>
      <c r="Q1608" s="1"/>
      <c r="R1608" s="1"/>
      <c r="S1608" s="1"/>
      <c r="T1608" s="1"/>
      <c r="U1608" s="1"/>
      <c r="V1608" s="1"/>
      <c r="W1608" s="1"/>
      <c r="X1608" s="1"/>
      <c r="Y1608" s="1"/>
      <c r="Z1608" s="1"/>
    </row>
    <row r="1609">
      <c r="A1609" s="72" t="s">
        <v>5136</v>
      </c>
      <c r="B1609" s="72" t="s">
        <v>263</v>
      </c>
      <c r="C1609" s="72" t="s">
        <v>535</v>
      </c>
      <c r="D1609" s="72" t="s">
        <v>5137</v>
      </c>
      <c r="E1609" s="72" t="s">
        <v>1328</v>
      </c>
      <c r="F1609" s="72" t="s">
        <v>5138</v>
      </c>
      <c r="G1609" s="72">
        <v>-3.0</v>
      </c>
      <c r="H1609" s="127">
        <v>-3.0</v>
      </c>
      <c r="I1609" s="1"/>
      <c r="J1609" s="1"/>
      <c r="K1609" s="1"/>
      <c r="L1609" s="1"/>
      <c r="M1609" s="1"/>
      <c r="N1609" s="1"/>
      <c r="O1609" s="1"/>
      <c r="P1609" s="1"/>
      <c r="Q1609" s="1"/>
      <c r="R1609" s="1"/>
      <c r="S1609" s="1"/>
      <c r="T1609" s="1"/>
      <c r="U1609" s="1"/>
      <c r="V1609" s="1"/>
      <c r="W1609" s="1"/>
      <c r="X1609" s="1"/>
      <c r="Y1609" s="1"/>
      <c r="Z1609" s="1"/>
    </row>
    <row r="1610">
      <c r="A1610" s="72" t="s">
        <v>5139</v>
      </c>
      <c r="B1610" s="72" t="s">
        <v>143</v>
      </c>
      <c r="C1610" s="72" t="s">
        <v>535</v>
      </c>
      <c r="D1610" s="72" t="s">
        <v>5140</v>
      </c>
      <c r="E1610" s="72" t="s">
        <v>1276</v>
      </c>
      <c r="F1610" s="72" t="s">
        <v>5141</v>
      </c>
      <c r="G1610" s="1">
        <f>+1</f>
        <v>1</v>
      </c>
      <c r="H1610" s="127">
        <v>1.0</v>
      </c>
      <c r="I1610" s="1"/>
      <c r="J1610" s="1"/>
      <c r="K1610" s="1"/>
      <c r="L1610" s="1"/>
      <c r="M1610" s="1"/>
      <c r="N1610" s="1"/>
      <c r="O1610" s="1"/>
      <c r="P1610" s="1"/>
      <c r="Q1610" s="1"/>
      <c r="R1610" s="1"/>
      <c r="S1610" s="1"/>
      <c r="T1610" s="1"/>
      <c r="U1610" s="1"/>
      <c r="V1610" s="1"/>
      <c r="W1610" s="1"/>
      <c r="X1610" s="1"/>
      <c r="Y1610" s="1"/>
      <c r="Z1610" s="1"/>
    </row>
    <row r="1611">
      <c r="A1611" s="72" t="s">
        <v>5142</v>
      </c>
      <c r="B1611" s="72" t="s">
        <v>149</v>
      </c>
      <c r="C1611" s="72" t="s">
        <v>535</v>
      </c>
      <c r="D1611" s="72" t="s">
        <v>5143</v>
      </c>
      <c r="E1611" s="72" t="s">
        <v>1283</v>
      </c>
      <c r="F1611" s="72" t="s">
        <v>5144</v>
      </c>
      <c r="G1611" s="72">
        <v>-1.0</v>
      </c>
      <c r="H1611" s="127">
        <v>-1.0</v>
      </c>
      <c r="I1611" s="1"/>
      <c r="J1611" s="1"/>
      <c r="K1611" s="1"/>
      <c r="L1611" s="1"/>
      <c r="M1611" s="1"/>
      <c r="N1611" s="1"/>
      <c r="O1611" s="1"/>
      <c r="P1611" s="1"/>
      <c r="Q1611" s="1"/>
      <c r="R1611" s="1"/>
      <c r="S1611" s="1"/>
      <c r="T1611" s="1"/>
      <c r="U1611" s="1"/>
      <c r="V1611" s="1"/>
      <c r="W1611" s="1"/>
      <c r="X1611" s="1"/>
      <c r="Y1611" s="1"/>
      <c r="Z1611" s="1"/>
    </row>
    <row r="1612">
      <c r="A1612" s="72" t="s">
        <v>5145</v>
      </c>
      <c r="B1612" s="72" t="s">
        <v>234</v>
      </c>
      <c r="C1612" s="72" t="s">
        <v>535</v>
      </c>
      <c r="D1612" s="72" t="s">
        <v>5146</v>
      </c>
      <c r="E1612" s="72" t="s">
        <v>1271</v>
      </c>
      <c r="F1612" s="72" t="s">
        <v>5147</v>
      </c>
      <c r="G1612" s="72" t="s">
        <v>1273</v>
      </c>
      <c r="H1612" s="127">
        <v>0.0</v>
      </c>
      <c r="I1612" s="1"/>
      <c r="J1612" s="1"/>
      <c r="K1612" s="1"/>
      <c r="L1612" s="1"/>
      <c r="M1612" s="1"/>
      <c r="N1612" s="1"/>
      <c r="O1612" s="1"/>
      <c r="P1612" s="1"/>
      <c r="Q1612" s="1"/>
      <c r="R1612" s="1"/>
      <c r="S1612" s="1"/>
      <c r="T1612" s="1"/>
      <c r="U1612" s="1"/>
      <c r="V1612" s="1"/>
      <c r="W1612" s="1"/>
      <c r="X1612" s="1"/>
      <c r="Y1612" s="1"/>
      <c r="Z1612" s="1"/>
    </row>
    <row r="1613">
      <c r="A1613" s="72" t="s">
        <v>5148</v>
      </c>
      <c r="B1613" s="72" t="s">
        <v>208</v>
      </c>
      <c r="C1613" s="72" t="s">
        <v>535</v>
      </c>
      <c r="D1613" s="72" t="s">
        <v>5149</v>
      </c>
      <c r="E1613" s="72" t="s">
        <v>1300</v>
      </c>
      <c r="F1613" s="72" t="s">
        <v>5150</v>
      </c>
      <c r="G1613" s="72">
        <v>-2.0</v>
      </c>
      <c r="H1613" s="127">
        <v>-2.0</v>
      </c>
      <c r="I1613" s="1"/>
      <c r="J1613" s="1"/>
      <c r="K1613" s="1"/>
      <c r="L1613" s="1"/>
      <c r="M1613" s="1"/>
      <c r="N1613" s="1"/>
      <c r="O1613" s="1"/>
      <c r="P1613" s="1"/>
      <c r="Q1613" s="1"/>
      <c r="R1613" s="1"/>
      <c r="S1613" s="1"/>
      <c r="T1613" s="1"/>
      <c r="U1613" s="1"/>
      <c r="V1613" s="1"/>
      <c r="W1613" s="1"/>
      <c r="X1613" s="1"/>
      <c r="Y1613" s="1"/>
      <c r="Z1613" s="1"/>
    </row>
    <row r="1614">
      <c r="A1614" s="72" t="s">
        <v>5151</v>
      </c>
      <c r="B1614" s="72" t="s">
        <v>149</v>
      </c>
      <c r="C1614" s="72" t="s">
        <v>535</v>
      </c>
      <c r="D1614" s="72" t="s">
        <v>5152</v>
      </c>
      <c r="E1614" s="72" t="s">
        <v>1335</v>
      </c>
      <c r="F1614" s="72" t="s">
        <v>5153</v>
      </c>
      <c r="G1614" s="1">
        <f t="shared" ref="G1614:G1616" si="55">+2</f>
        <v>2</v>
      </c>
      <c r="H1614" s="127">
        <v>2.0</v>
      </c>
      <c r="I1614" s="1"/>
      <c r="J1614" s="1"/>
      <c r="K1614" s="1"/>
      <c r="L1614" s="1"/>
      <c r="M1614" s="1"/>
      <c r="N1614" s="1"/>
      <c r="O1614" s="1"/>
      <c r="P1614" s="1"/>
      <c r="Q1614" s="1"/>
      <c r="R1614" s="1"/>
      <c r="S1614" s="1"/>
      <c r="T1614" s="1"/>
      <c r="U1614" s="1"/>
      <c r="V1614" s="1"/>
      <c r="W1614" s="1"/>
      <c r="X1614" s="1"/>
      <c r="Y1614" s="1"/>
      <c r="Z1614" s="1"/>
    </row>
    <row r="1615">
      <c r="A1615" s="72" t="s">
        <v>5154</v>
      </c>
      <c r="B1615" s="72" t="s">
        <v>219</v>
      </c>
      <c r="C1615" s="72" t="s">
        <v>535</v>
      </c>
      <c r="D1615" s="72" t="s">
        <v>5155</v>
      </c>
      <c r="E1615" s="72" t="s">
        <v>1335</v>
      </c>
      <c r="F1615" s="72" t="s">
        <v>5156</v>
      </c>
      <c r="G1615" s="1">
        <f t="shared" si="55"/>
        <v>2</v>
      </c>
      <c r="H1615" s="127">
        <v>2.0</v>
      </c>
      <c r="I1615" s="1"/>
      <c r="J1615" s="1"/>
      <c r="K1615" s="1"/>
      <c r="L1615" s="1"/>
      <c r="M1615" s="1"/>
      <c r="N1615" s="1"/>
      <c r="O1615" s="1"/>
      <c r="P1615" s="1"/>
      <c r="Q1615" s="1"/>
      <c r="R1615" s="1"/>
      <c r="S1615" s="1"/>
      <c r="T1615" s="1"/>
      <c r="U1615" s="1"/>
      <c r="V1615" s="1"/>
      <c r="W1615" s="1"/>
      <c r="X1615" s="1"/>
      <c r="Y1615" s="1"/>
      <c r="Z1615" s="1"/>
    </row>
    <row r="1616">
      <c r="A1616" s="72" t="s">
        <v>5157</v>
      </c>
      <c r="B1616" s="72" t="s">
        <v>278</v>
      </c>
      <c r="C1616" s="72" t="s">
        <v>535</v>
      </c>
      <c r="D1616" s="72" t="s">
        <v>5158</v>
      </c>
      <c r="E1616" s="72" t="s">
        <v>1335</v>
      </c>
      <c r="F1616" s="72" t="s">
        <v>5159</v>
      </c>
      <c r="G1616" s="1">
        <f t="shared" si="55"/>
        <v>2</v>
      </c>
      <c r="H1616" s="127">
        <v>2.0</v>
      </c>
      <c r="I1616" s="1"/>
      <c r="J1616" s="1"/>
      <c r="K1616" s="1"/>
      <c r="L1616" s="1"/>
      <c r="M1616" s="1"/>
      <c r="N1616" s="1"/>
      <c r="O1616" s="1"/>
      <c r="P1616" s="1"/>
      <c r="Q1616" s="1"/>
      <c r="R1616" s="1"/>
      <c r="S1616" s="1"/>
      <c r="T1616" s="1"/>
      <c r="U1616" s="1"/>
      <c r="V1616" s="1"/>
      <c r="W1616" s="1"/>
      <c r="X1616" s="1"/>
      <c r="Y1616" s="1"/>
      <c r="Z1616" s="1"/>
    </row>
    <row r="1617">
      <c r="A1617" s="72" t="s">
        <v>5160</v>
      </c>
      <c r="B1617" s="72" t="s">
        <v>203</v>
      </c>
      <c r="C1617" s="72" t="s">
        <v>535</v>
      </c>
      <c r="D1617" s="72" t="s">
        <v>5161</v>
      </c>
      <c r="E1617" s="72" t="s">
        <v>1276</v>
      </c>
      <c r="F1617" s="72" t="s">
        <v>5162</v>
      </c>
      <c r="G1617" s="1">
        <f>+1</f>
        <v>1</v>
      </c>
      <c r="H1617" s="127">
        <v>1.0</v>
      </c>
      <c r="I1617" s="1"/>
      <c r="J1617" s="1"/>
      <c r="K1617" s="1"/>
      <c r="L1617" s="1"/>
      <c r="M1617" s="1"/>
      <c r="N1617" s="1"/>
      <c r="O1617" s="1"/>
      <c r="P1617" s="1"/>
      <c r="Q1617" s="1"/>
      <c r="R1617" s="1"/>
      <c r="S1617" s="1"/>
      <c r="T1617" s="1"/>
      <c r="U1617" s="1"/>
      <c r="V1617" s="1"/>
      <c r="W1617" s="1"/>
      <c r="X1617" s="1"/>
      <c r="Y1617" s="1"/>
      <c r="Z1617" s="1"/>
    </row>
    <row r="1618">
      <c r="A1618" s="72" t="s">
        <v>5163</v>
      </c>
      <c r="B1618" s="72" t="s">
        <v>289</v>
      </c>
      <c r="C1618" s="72" t="s">
        <v>535</v>
      </c>
      <c r="D1618" s="72" t="s">
        <v>5164</v>
      </c>
      <c r="E1618" s="72" t="s">
        <v>1271</v>
      </c>
      <c r="F1618" s="72" t="s">
        <v>5165</v>
      </c>
      <c r="G1618" s="72" t="s">
        <v>1273</v>
      </c>
      <c r="H1618" s="127">
        <v>0.0</v>
      </c>
      <c r="I1618" s="1"/>
      <c r="J1618" s="1"/>
      <c r="K1618" s="1"/>
      <c r="L1618" s="1"/>
      <c r="M1618" s="1"/>
      <c r="N1618" s="1"/>
      <c r="O1618" s="1"/>
      <c r="P1618" s="1"/>
      <c r="Q1618" s="1"/>
      <c r="R1618" s="1"/>
      <c r="S1618" s="1"/>
      <c r="T1618" s="1"/>
      <c r="U1618" s="1"/>
      <c r="V1618" s="1"/>
      <c r="W1618" s="1"/>
      <c r="X1618" s="1"/>
      <c r="Y1618" s="1"/>
      <c r="Z1618" s="1"/>
    </row>
    <row r="1619">
      <c r="A1619" s="72" t="s">
        <v>5166</v>
      </c>
      <c r="B1619" s="72" t="s">
        <v>224</v>
      </c>
      <c r="C1619" s="72" t="s">
        <v>535</v>
      </c>
      <c r="D1619" s="72" t="s">
        <v>5167</v>
      </c>
      <c r="E1619" s="72" t="s">
        <v>1283</v>
      </c>
      <c r="F1619" s="72" t="s">
        <v>5168</v>
      </c>
      <c r="G1619" s="72">
        <v>-1.0</v>
      </c>
      <c r="H1619" s="127">
        <v>-1.0</v>
      </c>
      <c r="I1619" s="1"/>
      <c r="J1619" s="1"/>
      <c r="K1619" s="1"/>
      <c r="L1619" s="1"/>
      <c r="M1619" s="1"/>
      <c r="N1619" s="1"/>
      <c r="O1619" s="1"/>
      <c r="P1619" s="1"/>
      <c r="Q1619" s="1"/>
      <c r="R1619" s="1"/>
      <c r="S1619" s="1"/>
      <c r="T1619" s="1"/>
      <c r="U1619" s="1"/>
      <c r="V1619" s="1"/>
      <c r="W1619" s="1"/>
      <c r="X1619" s="1"/>
      <c r="Y1619" s="1"/>
      <c r="Z1619" s="1"/>
    </row>
    <row r="1620">
      <c r="A1620" s="72" t="s">
        <v>5169</v>
      </c>
      <c r="B1620" s="72" t="s">
        <v>89</v>
      </c>
      <c r="C1620" s="72" t="s">
        <v>535</v>
      </c>
      <c r="D1620" s="72" t="s">
        <v>5170</v>
      </c>
      <c r="E1620" s="72" t="s">
        <v>1300</v>
      </c>
      <c r="F1620" s="72" t="s">
        <v>5171</v>
      </c>
      <c r="G1620" s="72">
        <v>-2.0</v>
      </c>
      <c r="H1620" s="127">
        <v>-2.0</v>
      </c>
      <c r="I1620" s="1"/>
      <c r="J1620" s="1"/>
      <c r="K1620" s="1"/>
      <c r="L1620" s="1"/>
      <c r="M1620" s="1"/>
      <c r="N1620" s="1"/>
      <c r="O1620" s="1"/>
      <c r="P1620" s="1"/>
      <c r="Q1620" s="1"/>
      <c r="R1620" s="1"/>
      <c r="S1620" s="1"/>
      <c r="T1620" s="1"/>
      <c r="U1620" s="1"/>
      <c r="V1620" s="1"/>
      <c r="W1620" s="1"/>
      <c r="X1620" s="1"/>
      <c r="Y1620" s="1"/>
      <c r="Z1620" s="1"/>
    </row>
    <row r="1621">
      <c r="A1621" s="72" t="s">
        <v>5172</v>
      </c>
      <c r="B1621" s="72" t="s">
        <v>203</v>
      </c>
      <c r="C1621" s="72" t="s">
        <v>535</v>
      </c>
      <c r="D1621" s="72" t="s">
        <v>5173</v>
      </c>
      <c r="E1621" s="72" t="s">
        <v>1300</v>
      </c>
      <c r="F1621" s="72" t="s">
        <v>5174</v>
      </c>
      <c r="G1621" s="72">
        <v>-2.0</v>
      </c>
      <c r="H1621" s="127">
        <v>-2.0</v>
      </c>
      <c r="I1621" s="1"/>
      <c r="J1621" s="1"/>
      <c r="K1621" s="1"/>
      <c r="L1621" s="1"/>
      <c r="M1621" s="1"/>
      <c r="N1621" s="1"/>
      <c r="O1621" s="1"/>
      <c r="P1621" s="1"/>
      <c r="Q1621" s="1"/>
      <c r="R1621" s="1"/>
      <c r="S1621" s="1"/>
      <c r="T1621" s="1"/>
      <c r="U1621" s="1"/>
      <c r="V1621" s="1"/>
      <c r="W1621" s="1"/>
      <c r="X1621" s="1"/>
      <c r="Y1621" s="1"/>
      <c r="Z1621" s="1"/>
    </row>
    <row r="1622">
      <c r="A1622" s="72" t="s">
        <v>5175</v>
      </c>
      <c r="B1622" s="72" t="s">
        <v>224</v>
      </c>
      <c r="C1622" s="72" t="s">
        <v>535</v>
      </c>
      <c r="D1622" s="72" t="s">
        <v>5176</v>
      </c>
      <c r="E1622" s="72" t="s">
        <v>1271</v>
      </c>
      <c r="F1622" s="72" t="s">
        <v>5177</v>
      </c>
      <c r="G1622" s="72" t="s">
        <v>1273</v>
      </c>
      <c r="H1622" s="127">
        <v>0.0</v>
      </c>
      <c r="I1622" s="1"/>
      <c r="J1622" s="1"/>
      <c r="K1622" s="1"/>
      <c r="L1622" s="1"/>
      <c r="M1622" s="1"/>
      <c r="N1622" s="1"/>
      <c r="O1622" s="1"/>
      <c r="P1622" s="1"/>
      <c r="Q1622" s="1"/>
      <c r="R1622" s="1"/>
      <c r="S1622" s="1"/>
      <c r="T1622" s="1"/>
      <c r="U1622" s="1"/>
      <c r="V1622" s="1"/>
      <c r="W1622" s="1"/>
      <c r="X1622" s="1"/>
      <c r="Y1622" s="1"/>
      <c r="Z1622" s="1"/>
    </row>
    <row r="1623">
      <c r="A1623" s="72" t="s">
        <v>5178</v>
      </c>
      <c r="B1623" s="72" t="s">
        <v>298</v>
      </c>
      <c r="C1623" s="72" t="s">
        <v>535</v>
      </c>
      <c r="D1623" s="72" t="s">
        <v>5179</v>
      </c>
      <c r="E1623" s="72" t="s">
        <v>1271</v>
      </c>
      <c r="F1623" s="72" t="s">
        <v>5180</v>
      </c>
      <c r="G1623" s="72" t="s">
        <v>1273</v>
      </c>
      <c r="H1623" s="127">
        <v>0.0</v>
      </c>
      <c r="I1623" s="1"/>
      <c r="J1623" s="1"/>
      <c r="K1623" s="1"/>
      <c r="L1623" s="1"/>
      <c r="M1623" s="1"/>
      <c r="N1623" s="1"/>
      <c r="O1623" s="1"/>
      <c r="P1623" s="1"/>
      <c r="Q1623" s="1"/>
      <c r="R1623" s="1"/>
      <c r="S1623" s="1"/>
      <c r="T1623" s="1"/>
      <c r="U1623" s="1"/>
      <c r="V1623" s="1"/>
      <c r="W1623" s="1"/>
      <c r="X1623" s="1"/>
      <c r="Y1623" s="1"/>
      <c r="Z1623" s="1"/>
    </row>
    <row r="1624">
      <c r="A1624" s="72" t="s">
        <v>5181</v>
      </c>
      <c r="B1624" s="72" t="s">
        <v>156</v>
      </c>
      <c r="C1624" s="72" t="s">
        <v>535</v>
      </c>
      <c r="D1624" s="72" t="s">
        <v>5182</v>
      </c>
      <c r="E1624" s="72" t="s">
        <v>1290</v>
      </c>
      <c r="F1624" s="72" t="s">
        <v>5183</v>
      </c>
      <c r="G1624" s="1">
        <f>+3</f>
        <v>3</v>
      </c>
      <c r="H1624" s="127">
        <v>3.0</v>
      </c>
      <c r="I1624" s="1"/>
      <c r="J1624" s="1"/>
      <c r="K1624" s="1"/>
      <c r="L1624" s="1"/>
      <c r="M1624" s="1"/>
      <c r="N1624" s="1"/>
      <c r="O1624" s="1"/>
      <c r="P1624" s="1"/>
      <c r="Q1624" s="1"/>
      <c r="R1624" s="1"/>
      <c r="S1624" s="1"/>
      <c r="T1624" s="1"/>
      <c r="U1624" s="1"/>
      <c r="V1624" s="1"/>
      <c r="W1624" s="1"/>
      <c r="X1624" s="1"/>
      <c r="Y1624" s="1"/>
      <c r="Z1624" s="1"/>
    </row>
    <row r="1625">
      <c r="A1625" s="72" t="s">
        <v>5184</v>
      </c>
      <c r="B1625" s="72" t="s">
        <v>223</v>
      </c>
      <c r="C1625" s="72" t="s">
        <v>535</v>
      </c>
      <c r="D1625" s="72" t="s">
        <v>5185</v>
      </c>
      <c r="E1625" s="72" t="s">
        <v>1276</v>
      </c>
      <c r="F1625" s="72" t="s">
        <v>5186</v>
      </c>
      <c r="G1625" s="1">
        <f>+1</f>
        <v>1</v>
      </c>
      <c r="H1625" s="127">
        <v>1.0</v>
      </c>
      <c r="I1625" s="1"/>
      <c r="J1625" s="1"/>
      <c r="K1625" s="1"/>
      <c r="L1625" s="1"/>
      <c r="M1625" s="1"/>
      <c r="N1625" s="1"/>
      <c r="O1625" s="1"/>
      <c r="P1625" s="1"/>
      <c r="Q1625" s="1"/>
      <c r="R1625" s="1"/>
      <c r="S1625" s="1"/>
      <c r="T1625" s="1"/>
      <c r="U1625" s="1"/>
      <c r="V1625" s="1"/>
      <c r="W1625" s="1"/>
      <c r="X1625" s="1"/>
      <c r="Y1625" s="1"/>
      <c r="Z1625" s="1"/>
    </row>
    <row r="1626">
      <c r="A1626" s="72" t="s">
        <v>5187</v>
      </c>
      <c r="B1626" s="72" t="s">
        <v>287</v>
      </c>
      <c r="C1626" s="72" t="s">
        <v>535</v>
      </c>
      <c r="D1626" s="72" t="s">
        <v>5188</v>
      </c>
      <c r="E1626" s="72" t="s">
        <v>1335</v>
      </c>
      <c r="F1626" s="72" t="s">
        <v>5189</v>
      </c>
      <c r="G1626" s="1">
        <f>+2</f>
        <v>2</v>
      </c>
      <c r="H1626" s="127">
        <v>2.0</v>
      </c>
      <c r="I1626" s="1"/>
      <c r="J1626" s="1"/>
      <c r="K1626" s="1"/>
      <c r="L1626" s="1"/>
      <c r="M1626" s="1"/>
      <c r="N1626" s="1"/>
      <c r="O1626" s="1"/>
      <c r="P1626" s="1"/>
      <c r="Q1626" s="1"/>
      <c r="R1626" s="1"/>
      <c r="S1626" s="1"/>
      <c r="T1626" s="1"/>
      <c r="U1626" s="1"/>
      <c r="V1626" s="1"/>
      <c r="W1626" s="1"/>
      <c r="X1626" s="1"/>
      <c r="Y1626" s="1"/>
      <c r="Z1626" s="1"/>
    </row>
    <row r="1627">
      <c r="A1627" s="72" t="s">
        <v>5190</v>
      </c>
      <c r="B1627" s="72" t="s">
        <v>190</v>
      </c>
      <c r="C1627" s="72" t="s">
        <v>535</v>
      </c>
      <c r="D1627" s="72" t="s">
        <v>5191</v>
      </c>
      <c r="E1627" s="72" t="s">
        <v>1276</v>
      </c>
      <c r="F1627" s="72" t="s">
        <v>5192</v>
      </c>
      <c r="G1627" s="1">
        <f>+1</f>
        <v>1</v>
      </c>
      <c r="H1627" s="127">
        <v>1.0</v>
      </c>
      <c r="I1627" s="1"/>
      <c r="J1627" s="1"/>
      <c r="K1627" s="1"/>
      <c r="L1627" s="1"/>
      <c r="M1627" s="1"/>
      <c r="N1627" s="1"/>
      <c r="O1627" s="1"/>
      <c r="P1627" s="1"/>
      <c r="Q1627" s="1"/>
      <c r="R1627" s="1"/>
      <c r="S1627" s="1"/>
      <c r="T1627" s="1"/>
      <c r="U1627" s="1"/>
      <c r="V1627" s="1"/>
      <c r="W1627" s="1"/>
      <c r="X1627" s="1"/>
      <c r="Y1627" s="1"/>
      <c r="Z1627" s="1"/>
    </row>
    <row r="1628">
      <c r="A1628" s="72" t="s">
        <v>5193</v>
      </c>
      <c r="B1628" s="72" t="s">
        <v>149</v>
      </c>
      <c r="C1628" s="72" t="s">
        <v>535</v>
      </c>
      <c r="D1628" s="72" t="s">
        <v>5194</v>
      </c>
      <c r="E1628" s="72" t="s">
        <v>1283</v>
      </c>
      <c r="F1628" s="72" t="s">
        <v>5195</v>
      </c>
      <c r="G1628" s="72">
        <v>-1.0</v>
      </c>
      <c r="H1628" s="127">
        <v>-1.0</v>
      </c>
      <c r="I1628" s="1"/>
      <c r="J1628" s="1"/>
      <c r="K1628" s="1"/>
      <c r="L1628" s="1"/>
      <c r="M1628" s="1"/>
      <c r="N1628" s="1"/>
      <c r="O1628" s="1"/>
      <c r="P1628" s="1"/>
      <c r="Q1628" s="1"/>
      <c r="R1628" s="1"/>
      <c r="S1628" s="1"/>
      <c r="T1628" s="1"/>
      <c r="U1628" s="1"/>
      <c r="V1628" s="1"/>
      <c r="W1628" s="1"/>
      <c r="X1628" s="1"/>
      <c r="Y1628" s="1"/>
      <c r="Z1628" s="1"/>
    </row>
    <row r="1629">
      <c r="A1629" s="72" t="s">
        <v>5196</v>
      </c>
      <c r="B1629" s="72" t="s">
        <v>238</v>
      </c>
      <c r="C1629" s="72" t="s">
        <v>535</v>
      </c>
      <c r="D1629" s="72" t="s">
        <v>5197</v>
      </c>
      <c r="E1629" s="72" t="s">
        <v>1300</v>
      </c>
      <c r="F1629" s="72" t="s">
        <v>5198</v>
      </c>
      <c r="G1629" s="72">
        <v>-2.0</v>
      </c>
      <c r="H1629" s="127">
        <v>-2.0</v>
      </c>
      <c r="I1629" s="1"/>
      <c r="J1629" s="1"/>
      <c r="K1629" s="1"/>
      <c r="L1629" s="1"/>
      <c r="M1629" s="1"/>
      <c r="N1629" s="1"/>
      <c r="O1629" s="1"/>
      <c r="P1629" s="1"/>
      <c r="Q1629" s="1"/>
      <c r="R1629" s="1"/>
      <c r="S1629" s="1"/>
      <c r="T1629" s="1"/>
      <c r="U1629" s="1"/>
      <c r="V1629" s="1"/>
      <c r="W1629" s="1"/>
      <c r="X1629" s="1"/>
      <c r="Y1629" s="1"/>
      <c r="Z1629" s="1"/>
    </row>
    <row r="1630">
      <c r="A1630" s="72" t="s">
        <v>5199</v>
      </c>
      <c r="B1630" s="72" t="s">
        <v>225</v>
      </c>
      <c r="C1630" s="72" t="s">
        <v>535</v>
      </c>
      <c r="D1630" s="72" t="s">
        <v>5200</v>
      </c>
      <c r="E1630" s="72" t="s">
        <v>1335</v>
      </c>
      <c r="F1630" s="72" t="s">
        <v>5201</v>
      </c>
      <c r="G1630" s="1">
        <f t="shared" ref="G1630:G1632" si="56">+2</f>
        <v>2</v>
      </c>
      <c r="H1630" s="127">
        <v>2.0</v>
      </c>
      <c r="I1630" s="1"/>
      <c r="J1630" s="1"/>
      <c r="K1630" s="1"/>
      <c r="L1630" s="1"/>
      <c r="M1630" s="1"/>
      <c r="N1630" s="1"/>
      <c r="O1630" s="1"/>
      <c r="P1630" s="1"/>
      <c r="Q1630" s="1"/>
      <c r="R1630" s="1"/>
      <c r="S1630" s="1"/>
      <c r="T1630" s="1"/>
      <c r="U1630" s="1"/>
      <c r="V1630" s="1"/>
      <c r="W1630" s="1"/>
      <c r="X1630" s="1"/>
      <c r="Y1630" s="1"/>
      <c r="Z1630" s="1"/>
    </row>
    <row r="1631">
      <c r="A1631" s="72" t="s">
        <v>5202</v>
      </c>
      <c r="B1631" s="72" t="s">
        <v>234</v>
      </c>
      <c r="C1631" s="72" t="s">
        <v>535</v>
      </c>
      <c r="D1631" s="72" t="s">
        <v>5203</v>
      </c>
      <c r="E1631" s="72" t="s">
        <v>1335</v>
      </c>
      <c r="F1631" s="72" t="s">
        <v>5204</v>
      </c>
      <c r="G1631" s="1">
        <f t="shared" si="56"/>
        <v>2</v>
      </c>
      <c r="H1631" s="127">
        <v>2.0</v>
      </c>
      <c r="I1631" s="1"/>
      <c r="J1631" s="1"/>
      <c r="K1631" s="1"/>
      <c r="L1631" s="1"/>
      <c r="M1631" s="1"/>
      <c r="N1631" s="1"/>
      <c r="O1631" s="1"/>
      <c r="P1631" s="1"/>
      <c r="Q1631" s="1"/>
      <c r="R1631" s="1"/>
      <c r="S1631" s="1"/>
      <c r="T1631" s="1"/>
      <c r="U1631" s="1"/>
      <c r="V1631" s="1"/>
      <c r="W1631" s="1"/>
      <c r="X1631" s="1"/>
      <c r="Y1631" s="1"/>
      <c r="Z1631" s="1"/>
    </row>
    <row r="1632">
      <c r="A1632" s="72" t="s">
        <v>5205</v>
      </c>
      <c r="B1632" s="72" t="s">
        <v>272</v>
      </c>
      <c r="C1632" s="72" t="s">
        <v>535</v>
      </c>
      <c r="D1632" s="72" t="s">
        <v>5206</v>
      </c>
      <c r="E1632" s="72" t="s">
        <v>1335</v>
      </c>
      <c r="F1632" s="72" t="s">
        <v>5207</v>
      </c>
      <c r="G1632" s="1">
        <f t="shared" si="56"/>
        <v>2</v>
      </c>
      <c r="H1632" s="127">
        <v>2.0</v>
      </c>
      <c r="I1632" s="1"/>
      <c r="J1632" s="1"/>
      <c r="K1632" s="1"/>
      <c r="L1632" s="1"/>
      <c r="M1632" s="1"/>
      <c r="N1632" s="1"/>
      <c r="O1632" s="1"/>
      <c r="P1632" s="1"/>
      <c r="Q1632" s="1"/>
      <c r="R1632" s="1"/>
      <c r="S1632" s="1"/>
      <c r="T1632" s="1"/>
      <c r="U1632" s="1"/>
      <c r="V1632" s="1"/>
      <c r="W1632" s="1"/>
      <c r="X1632" s="1"/>
      <c r="Y1632" s="1"/>
      <c r="Z1632" s="1"/>
    </row>
    <row r="1633">
      <c r="A1633" s="72" t="s">
        <v>5208</v>
      </c>
      <c r="B1633" s="72" t="s">
        <v>320</v>
      </c>
      <c r="C1633" s="72" t="s">
        <v>535</v>
      </c>
      <c r="D1633" s="72" t="s">
        <v>5209</v>
      </c>
      <c r="E1633" s="72" t="s">
        <v>1271</v>
      </c>
      <c r="F1633" s="72" t="s">
        <v>5210</v>
      </c>
      <c r="G1633" s="72" t="s">
        <v>1273</v>
      </c>
      <c r="H1633" s="127">
        <v>0.0</v>
      </c>
      <c r="I1633" s="1"/>
      <c r="J1633" s="1"/>
      <c r="K1633" s="1"/>
      <c r="L1633" s="1"/>
      <c r="M1633" s="1"/>
      <c r="N1633" s="1"/>
      <c r="O1633" s="1"/>
      <c r="P1633" s="1"/>
      <c r="Q1633" s="1"/>
      <c r="R1633" s="1"/>
      <c r="S1633" s="1"/>
      <c r="T1633" s="1"/>
      <c r="U1633" s="1"/>
      <c r="V1633" s="1"/>
      <c r="W1633" s="1"/>
      <c r="X1633" s="1"/>
      <c r="Y1633" s="1"/>
      <c r="Z1633" s="1"/>
    </row>
    <row r="1634">
      <c r="A1634" s="72" t="s">
        <v>5211</v>
      </c>
      <c r="B1634" s="72" t="s">
        <v>174</v>
      </c>
      <c r="C1634" s="72" t="s">
        <v>535</v>
      </c>
      <c r="D1634" s="72" t="s">
        <v>5212</v>
      </c>
      <c r="E1634" s="72" t="s">
        <v>1290</v>
      </c>
      <c r="F1634" s="72" t="s">
        <v>5213</v>
      </c>
      <c r="G1634" s="1">
        <f>+3</f>
        <v>3</v>
      </c>
      <c r="H1634" s="127">
        <v>3.0</v>
      </c>
      <c r="I1634" s="1"/>
      <c r="J1634" s="1"/>
      <c r="K1634" s="1"/>
      <c r="L1634" s="1"/>
      <c r="M1634" s="1"/>
      <c r="N1634" s="1"/>
      <c r="O1634" s="1"/>
      <c r="P1634" s="1"/>
      <c r="Q1634" s="1"/>
      <c r="R1634" s="1"/>
      <c r="S1634" s="1"/>
      <c r="T1634" s="1"/>
      <c r="U1634" s="1"/>
      <c r="V1634" s="1"/>
      <c r="W1634" s="1"/>
      <c r="X1634" s="1"/>
      <c r="Y1634" s="1"/>
      <c r="Z1634" s="1"/>
    </row>
    <row r="1635">
      <c r="A1635" s="72" t="s">
        <v>5214</v>
      </c>
      <c r="B1635" s="72" t="s">
        <v>149</v>
      </c>
      <c r="C1635" s="72" t="s">
        <v>535</v>
      </c>
      <c r="D1635" s="72" t="s">
        <v>5215</v>
      </c>
      <c r="E1635" s="72" t="s">
        <v>1300</v>
      </c>
      <c r="F1635" s="72" t="s">
        <v>5216</v>
      </c>
      <c r="G1635" s="72">
        <v>-2.0</v>
      </c>
      <c r="H1635" s="127">
        <v>-2.0</v>
      </c>
      <c r="I1635" s="1"/>
      <c r="J1635" s="1"/>
      <c r="K1635" s="1"/>
      <c r="L1635" s="1"/>
      <c r="M1635" s="1"/>
      <c r="N1635" s="1"/>
      <c r="O1635" s="1"/>
      <c r="P1635" s="1"/>
      <c r="Q1635" s="1"/>
      <c r="R1635" s="1"/>
      <c r="S1635" s="1"/>
      <c r="T1635" s="1"/>
      <c r="U1635" s="1"/>
      <c r="V1635" s="1"/>
      <c r="W1635" s="1"/>
      <c r="X1635" s="1"/>
      <c r="Y1635" s="1"/>
      <c r="Z1635" s="1"/>
    </row>
    <row r="1636">
      <c r="A1636" s="72" t="s">
        <v>5217</v>
      </c>
      <c r="B1636" s="72" t="s">
        <v>182</v>
      </c>
      <c r="C1636" s="72" t="s">
        <v>535</v>
      </c>
      <c r="D1636" s="72" t="s">
        <v>5218</v>
      </c>
      <c r="E1636" s="72" t="s">
        <v>1271</v>
      </c>
      <c r="F1636" s="72" t="s">
        <v>5219</v>
      </c>
      <c r="G1636" s="72" t="s">
        <v>1273</v>
      </c>
      <c r="H1636" s="127">
        <v>0.0</v>
      </c>
      <c r="I1636" s="1"/>
      <c r="J1636" s="1"/>
      <c r="K1636" s="1"/>
      <c r="L1636" s="1"/>
      <c r="M1636" s="1"/>
      <c r="N1636" s="1"/>
      <c r="O1636" s="1"/>
      <c r="P1636" s="1"/>
      <c r="Q1636" s="1"/>
      <c r="R1636" s="1"/>
      <c r="S1636" s="1"/>
      <c r="T1636" s="1"/>
      <c r="U1636" s="1"/>
      <c r="V1636" s="1"/>
      <c r="W1636" s="1"/>
      <c r="X1636" s="1"/>
      <c r="Y1636" s="1"/>
      <c r="Z1636" s="1"/>
    </row>
    <row r="1637">
      <c r="A1637" s="72" t="s">
        <v>5220</v>
      </c>
      <c r="B1637" s="72" t="s">
        <v>182</v>
      </c>
      <c r="C1637" s="72" t="s">
        <v>535</v>
      </c>
      <c r="D1637" s="72" t="s">
        <v>5221</v>
      </c>
      <c r="E1637" s="72" t="s">
        <v>1290</v>
      </c>
      <c r="F1637" s="72" t="s">
        <v>5222</v>
      </c>
      <c r="G1637" s="1">
        <f>+3</f>
        <v>3</v>
      </c>
      <c r="H1637" s="127">
        <v>3.0</v>
      </c>
      <c r="I1637" s="1"/>
      <c r="J1637" s="1"/>
      <c r="K1637" s="1"/>
      <c r="L1637" s="1"/>
      <c r="M1637" s="1"/>
      <c r="N1637" s="1"/>
      <c r="O1637" s="1"/>
      <c r="P1637" s="1"/>
      <c r="Q1637" s="1"/>
      <c r="R1637" s="1"/>
      <c r="S1637" s="1"/>
      <c r="T1637" s="1"/>
      <c r="U1637" s="1"/>
      <c r="V1637" s="1"/>
      <c r="W1637" s="1"/>
      <c r="X1637" s="1"/>
      <c r="Y1637" s="1"/>
      <c r="Z1637" s="1"/>
    </row>
    <row r="1638">
      <c r="A1638" s="72" t="s">
        <v>5223</v>
      </c>
      <c r="B1638" s="72" t="s">
        <v>294</v>
      </c>
      <c r="C1638" s="72" t="s">
        <v>535</v>
      </c>
      <c r="D1638" s="72" t="s">
        <v>5224</v>
      </c>
      <c r="E1638" s="72" t="s">
        <v>1328</v>
      </c>
      <c r="F1638" s="72" t="s">
        <v>5225</v>
      </c>
      <c r="G1638" s="72">
        <v>-3.0</v>
      </c>
      <c r="H1638" s="127">
        <v>-3.0</v>
      </c>
      <c r="I1638" s="1"/>
      <c r="J1638" s="1"/>
      <c r="K1638" s="1"/>
      <c r="L1638" s="1"/>
      <c r="M1638" s="1"/>
      <c r="N1638" s="1"/>
      <c r="O1638" s="1"/>
      <c r="P1638" s="1"/>
      <c r="Q1638" s="1"/>
      <c r="R1638" s="1"/>
      <c r="S1638" s="1"/>
      <c r="T1638" s="1"/>
      <c r="U1638" s="1"/>
      <c r="V1638" s="1"/>
      <c r="W1638" s="1"/>
      <c r="X1638" s="1"/>
      <c r="Y1638" s="1"/>
      <c r="Z1638" s="1"/>
    </row>
    <row r="1639">
      <c r="A1639" s="72" t="s">
        <v>5226</v>
      </c>
      <c r="B1639" s="72" t="s">
        <v>294</v>
      </c>
      <c r="C1639" s="72" t="s">
        <v>535</v>
      </c>
      <c r="D1639" s="72" t="s">
        <v>5227</v>
      </c>
      <c r="E1639" s="72" t="s">
        <v>1271</v>
      </c>
      <c r="F1639" s="72" t="s">
        <v>5228</v>
      </c>
      <c r="G1639" s="72" t="s">
        <v>1273</v>
      </c>
      <c r="H1639" s="127">
        <v>0.0</v>
      </c>
      <c r="I1639" s="1"/>
      <c r="J1639" s="1"/>
      <c r="K1639" s="1"/>
      <c r="L1639" s="1"/>
      <c r="M1639" s="1"/>
      <c r="N1639" s="1"/>
      <c r="O1639" s="1"/>
      <c r="P1639" s="1"/>
      <c r="Q1639" s="1"/>
      <c r="R1639" s="1"/>
      <c r="S1639" s="1"/>
      <c r="T1639" s="1"/>
      <c r="U1639" s="1"/>
      <c r="V1639" s="1"/>
      <c r="W1639" s="1"/>
      <c r="X1639" s="1"/>
      <c r="Y1639" s="1"/>
      <c r="Z1639" s="1"/>
    </row>
    <row r="1640">
      <c r="A1640" s="72" t="s">
        <v>5229</v>
      </c>
      <c r="B1640" s="72" t="s">
        <v>243</v>
      </c>
      <c r="C1640" s="72" t="s">
        <v>535</v>
      </c>
      <c r="D1640" s="72" t="s">
        <v>5230</v>
      </c>
      <c r="E1640" s="72" t="s">
        <v>1283</v>
      </c>
      <c r="F1640" s="72" t="s">
        <v>5231</v>
      </c>
      <c r="G1640" s="72">
        <v>-1.0</v>
      </c>
      <c r="H1640" s="127">
        <v>-1.0</v>
      </c>
      <c r="I1640" s="1"/>
      <c r="J1640" s="1"/>
      <c r="K1640" s="1"/>
      <c r="L1640" s="1"/>
      <c r="M1640" s="1"/>
      <c r="N1640" s="1"/>
      <c r="O1640" s="1"/>
      <c r="P1640" s="1"/>
      <c r="Q1640" s="1"/>
      <c r="R1640" s="1"/>
      <c r="S1640" s="1"/>
      <c r="T1640" s="1"/>
      <c r="U1640" s="1"/>
      <c r="V1640" s="1"/>
      <c r="W1640" s="1"/>
      <c r="X1640" s="1"/>
      <c r="Y1640" s="1"/>
      <c r="Z1640" s="1"/>
    </row>
    <row r="1641">
      <c r="A1641" s="72" t="s">
        <v>5232</v>
      </c>
      <c r="B1641" s="72" t="s">
        <v>233</v>
      </c>
      <c r="C1641" s="72" t="s">
        <v>535</v>
      </c>
      <c r="D1641" s="72" t="s">
        <v>5233</v>
      </c>
      <c r="E1641" s="72" t="s">
        <v>1328</v>
      </c>
      <c r="F1641" s="72" t="s">
        <v>5234</v>
      </c>
      <c r="G1641" s="72">
        <v>-3.0</v>
      </c>
      <c r="H1641" s="127">
        <v>-3.0</v>
      </c>
      <c r="I1641" s="1"/>
      <c r="J1641" s="1"/>
      <c r="K1641" s="1"/>
      <c r="L1641" s="1"/>
      <c r="M1641" s="1"/>
      <c r="N1641" s="1"/>
      <c r="O1641" s="1"/>
      <c r="P1641" s="1"/>
      <c r="Q1641" s="1"/>
      <c r="R1641" s="1"/>
      <c r="S1641" s="1"/>
      <c r="T1641" s="1"/>
      <c r="U1641" s="1"/>
      <c r="V1641" s="1"/>
      <c r="W1641" s="1"/>
      <c r="X1641" s="1"/>
      <c r="Y1641" s="1"/>
      <c r="Z1641" s="1"/>
    </row>
    <row r="1642">
      <c r="A1642" s="72" t="s">
        <v>5235</v>
      </c>
      <c r="B1642" s="72" t="s">
        <v>303</v>
      </c>
      <c r="C1642" s="72" t="s">
        <v>535</v>
      </c>
      <c r="D1642" s="72" t="s">
        <v>5236</v>
      </c>
      <c r="E1642" s="72" t="s">
        <v>1276</v>
      </c>
      <c r="F1642" s="72" t="s">
        <v>5237</v>
      </c>
      <c r="G1642" s="1">
        <f>+1</f>
        <v>1</v>
      </c>
      <c r="H1642" s="127">
        <v>1.0</v>
      </c>
      <c r="I1642" s="1"/>
      <c r="J1642" s="1"/>
      <c r="K1642" s="1"/>
      <c r="L1642" s="1"/>
      <c r="M1642" s="1"/>
      <c r="N1642" s="1"/>
      <c r="O1642" s="1"/>
      <c r="P1642" s="1"/>
      <c r="Q1642" s="1"/>
      <c r="R1642" s="1"/>
      <c r="S1642" s="1"/>
      <c r="T1642" s="1"/>
      <c r="U1642" s="1"/>
      <c r="V1642" s="1"/>
      <c r="W1642" s="1"/>
      <c r="X1642" s="1"/>
      <c r="Y1642" s="1"/>
      <c r="Z1642" s="1"/>
    </row>
    <row r="1643">
      <c r="A1643" s="72" t="s">
        <v>5238</v>
      </c>
      <c r="B1643" s="72" t="s">
        <v>91</v>
      </c>
      <c r="C1643" s="72" t="s">
        <v>535</v>
      </c>
      <c r="D1643" s="72" t="s">
        <v>5239</v>
      </c>
      <c r="E1643" s="72" t="s">
        <v>1271</v>
      </c>
      <c r="F1643" s="72" t="s">
        <v>5240</v>
      </c>
      <c r="G1643" s="72" t="s">
        <v>1273</v>
      </c>
      <c r="H1643" s="127">
        <v>0.0</v>
      </c>
      <c r="I1643" s="1"/>
      <c r="J1643" s="1"/>
      <c r="K1643" s="1"/>
      <c r="L1643" s="1"/>
      <c r="M1643" s="1"/>
      <c r="N1643" s="1"/>
      <c r="O1643" s="1"/>
      <c r="P1643" s="1"/>
      <c r="Q1643" s="1"/>
      <c r="R1643" s="1"/>
      <c r="S1643" s="1"/>
      <c r="T1643" s="1"/>
      <c r="U1643" s="1"/>
      <c r="V1643" s="1"/>
      <c r="W1643" s="1"/>
      <c r="X1643" s="1"/>
      <c r="Y1643" s="1"/>
      <c r="Z1643" s="1"/>
    </row>
    <row r="1644">
      <c r="A1644" s="72" t="s">
        <v>5241</v>
      </c>
      <c r="B1644" s="72" t="s">
        <v>212</v>
      </c>
      <c r="C1644" s="72" t="s">
        <v>535</v>
      </c>
      <c r="D1644" s="72" t="s">
        <v>5242</v>
      </c>
      <c r="E1644" s="72" t="s">
        <v>1300</v>
      </c>
      <c r="F1644" s="72" t="s">
        <v>5243</v>
      </c>
      <c r="G1644" s="72">
        <v>-2.0</v>
      </c>
      <c r="H1644" s="127">
        <v>-2.0</v>
      </c>
      <c r="I1644" s="1"/>
      <c r="J1644" s="1"/>
      <c r="K1644" s="1"/>
      <c r="L1644" s="1"/>
      <c r="M1644" s="1"/>
      <c r="N1644" s="1"/>
      <c r="O1644" s="1"/>
      <c r="P1644" s="1"/>
      <c r="Q1644" s="1"/>
      <c r="R1644" s="1"/>
      <c r="S1644" s="1"/>
      <c r="T1644" s="1"/>
      <c r="U1644" s="1"/>
      <c r="V1644" s="1"/>
      <c r="W1644" s="1"/>
      <c r="X1644" s="1"/>
      <c r="Y1644" s="1"/>
      <c r="Z1644" s="1"/>
    </row>
    <row r="1645">
      <c r="A1645" s="72" t="s">
        <v>5244</v>
      </c>
      <c r="B1645" s="72" t="s">
        <v>302</v>
      </c>
      <c r="C1645" s="72" t="s">
        <v>535</v>
      </c>
      <c r="D1645" s="72" t="s">
        <v>5245</v>
      </c>
      <c r="E1645" s="72" t="s">
        <v>1290</v>
      </c>
      <c r="F1645" s="72" t="s">
        <v>5246</v>
      </c>
      <c r="G1645" s="1">
        <f>+3</f>
        <v>3</v>
      </c>
      <c r="H1645" s="127">
        <v>3.0</v>
      </c>
      <c r="I1645" s="1"/>
      <c r="J1645" s="1"/>
      <c r="K1645" s="1"/>
      <c r="L1645" s="1"/>
      <c r="M1645" s="1"/>
      <c r="N1645" s="1"/>
      <c r="O1645" s="1"/>
      <c r="P1645" s="1"/>
      <c r="Q1645" s="1"/>
      <c r="R1645" s="1"/>
      <c r="S1645" s="1"/>
      <c r="T1645" s="1"/>
      <c r="U1645" s="1"/>
      <c r="V1645" s="1"/>
      <c r="W1645" s="1"/>
      <c r="X1645" s="1"/>
      <c r="Y1645" s="1"/>
      <c r="Z1645" s="1"/>
    </row>
    <row r="1646">
      <c r="A1646" s="72" t="s">
        <v>5247</v>
      </c>
      <c r="B1646" s="72" t="s">
        <v>91</v>
      </c>
      <c r="C1646" s="72" t="s">
        <v>535</v>
      </c>
      <c r="D1646" s="72" t="s">
        <v>5248</v>
      </c>
      <c r="E1646" s="72" t="s">
        <v>1335</v>
      </c>
      <c r="F1646" s="72" t="s">
        <v>5249</v>
      </c>
      <c r="G1646" s="1">
        <f>+2</f>
        <v>2</v>
      </c>
      <c r="H1646" s="127">
        <v>2.0</v>
      </c>
      <c r="I1646" s="1"/>
      <c r="J1646" s="1"/>
      <c r="K1646" s="1"/>
      <c r="L1646" s="1"/>
      <c r="M1646" s="1"/>
      <c r="N1646" s="1"/>
      <c r="O1646" s="1"/>
      <c r="P1646" s="1"/>
      <c r="Q1646" s="1"/>
      <c r="R1646" s="1"/>
      <c r="S1646" s="1"/>
      <c r="T1646" s="1"/>
      <c r="U1646" s="1"/>
      <c r="V1646" s="1"/>
      <c r="W1646" s="1"/>
      <c r="X1646" s="1"/>
      <c r="Y1646" s="1"/>
      <c r="Z1646" s="1"/>
    </row>
    <row r="1647">
      <c r="A1647" s="72" t="s">
        <v>5250</v>
      </c>
      <c r="B1647" s="72" t="s">
        <v>267</v>
      </c>
      <c r="C1647" s="72" t="s">
        <v>535</v>
      </c>
      <c r="D1647" s="72" t="s">
        <v>5251</v>
      </c>
      <c r="E1647" s="72" t="s">
        <v>1271</v>
      </c>
      <c r="F1647" s="72" t="s">
        <v>5252</v>
      </c>
      <c r="G1647" s="72" t="s">
        <v>1273</v>
      </c>
      <c r="H1647" s="127">
        <v>0.0</v>
      </c>
      <c r="I1647" s="1"/>
      <c r="J1647" s="1"/>
      <c r="K1647" s="1"/>
      <c r="L1647" s="1"/>
      <c r="M1647" s="1"/>
      <c r="N1647" s="1"/>
      <c r="O1647" s="1"/>
      <c r="P1647" s="1"/>
      <c r="Q1647" s="1"/>
      <c r="R1647" s="1"/>
      <c r="S1647" s="1"/>
      <c r="T1647" s="1"/>
      <c r="U1647" s="1"/>
      <c r="V1647" s="1"/>
      <c r="W1647" s="1"/>
      <c r="X1647" s="1"/>
      <c r="Y1647" s="1"/>
      <c r="Z1647" s="1"/>
    </row>
    <row r="1648">
      <c r="A1648" s="72" t="s">
        <v>5253</v>
      </c>
      <c r="B1648" s="72" t="s">
        <v>178</v>
      </c>
      <c r="C1648" s="72" t="s">
        <v>535</v>
      </c>
      <c r="D1648" s="72" t="s">
        <v>5254</v>
      </c>
      <c r="E1648" s="72" t="s">
        <v>1283</v>
      </c>
      <c r="F1648" s="72" t="s">
        <v>5255</v>
      </c>
      <c r="G1648" s="72">
        <v>-1.0</v>
      </c>
      <c r="H1648" s="127">
        <v>-1.0</v>
      </c>
      <c r="I1648" s="1"/>
      <c r="J1648" s="1"/>
      <c r="K1648" s="1"/>
      <c r="L1648" s="1"/>
      <c r="M1648" s="1"/>
      <c r="N1648" s="1"/>
      <c r="O1648" s="1"/>
      <c r="P1648" s="1"/>
      <c r="Q1648" s="1"/>
      <c r="R1648" s="1"/>
      <c r="S1648" s="1"/>
      <c r="T1648" s="1"/>
      <c r="U1648" s="1"/>
      <c r="V1648" s="1"/>
      <c r="W1648" s="1"/>
      <c r="X1648" s="1"/>
      <c r="Y1648" s="1"/>
      <c r="Z1648" s="1"/>
    </row>
    <row r="1649">
      <c r="A1649" s="72" t="s">
        <v>5256</v>
      </c>
      <c r="B1649" s="72" t="s">
        <v>156</v>
      </c>
      <c r="C1649" s="72" t="s">
        <v>535</v>
      </c>
      <c r="D1649" s="72" t="s">
        <v>5257</v>
      </c>
      <c r="E1649" s="72" t="s">
        <v>1300</v>
      </c>
      <c r="F1649" s="72" t="s">
        <v>5258</v>
      </c>
      <c r="G1649" s="72">
        <v>-2.0</v>
      </c>
      <c r="H1649" s="127">
        <v>-2.0</v>
      </c>
      <c r="I1649" s="1"/>
      <c r="J1649" s="1"/>
      <c r="K1649" s="1"/>
      <c r="L1649" s="1"/>
      <c r="M1649" s="1"/>
      <c r="N1649" s="1"/>
      <c r="O1649" s="1"/>
      <c r="P1649" s="1"/>
      <c r="Q1649" s="1"/>
      <c r="R1649" s="1"/>
      <c r="S1649" s="1"/>
      <c r="T1649" s="1"/>
      <c r="U1649" s="1"/>
      <c r="V1649" s="1"/>
      <c r="W1649" s="1"/>
      <c r="X1649" s="1"/>
      <c r="Y1649" s="1"/>
      <c r="Z1649" s="1"/>
    </row>
    <row r="1650">
      <c r="A1650" s="72" t="s">
        <v>5259</v>
      </c>
      <c r="B1650" s="72" t="s">
        <v>224</v>
      </c>
      <c r="C1650" s="72" t="s">
        <v>535</v>
      </c>
      <c r="D1650" s="72" t="s">
        <v>5260</v>
      </c>
      <c r="E1650" s="72" t="s">
        <v>1300</v>
      </c>
      <c r="F1650" s="72" t="s">
        <v>5261</v>
      </c>
      <c r="G1650" s="72">
        <v>-2.0</v>
      </c>
      <c r="H1650" s="127">
        <v>-2.0</v>
      </c>
      <c r="I1650" s="1"/>
      <c r="J1650" s="1"/>
      <c r="K1650" s="1"/>
      <c r="L1650" s="1"/>
      <c r="M1650" s="1"/>
      <c r="N1650" s="1"/>
      <c r="O1650" s="1"/>
      <c r="P1650" s="1"/>
      <c r="Q1650" s="1"/>
      <c r="R1650" s="1"/>
      <c r="S1650" s="1"/>
      <c r="T1650" s="1"/>
      <c r="U1650" s="1"/>
      <c r="V1650" s="1"/>
      <c r="W1650" s="1"/>
      <c r="X1650" s="1"/>
      <c r="Y1650" s="1"/>
      <c r="Z1650" s="1"/>
    </row>
    <row r="1651">
      <c r="A1651" s="72" t="s">
        <v>5262</v>
      </c>
      <c r="B1651" s="72" t="s">
        <v>234</v>
      </c>
      <c r="C1651" s="72" t="s">
        <v>535</v>
      </c>
      <c r="D1651" s="72" t="s">
        <v>5263</v>
      </c>
      <c r="E1651" s="72" t="s">
        <v>1271</v>
      </c>
      <c r="F1651" s="72" t="s">
        <v>5264</v>
      </c>
      <c r="G1651" s="72" t="s">
        <v>1273</v>
      </c>
      <c r="H1651" s="127">
        <v>0.0</v>
      </c>
      <c r="I1651" s="1"/>
      <c r="J1651" s="1"/>
      <c r="K1651" s="1"/>
      <c r="L1651" s="1"/>
      <c r="M1651" s="1"/>
      <c r="N1651" s="1"/>
      <c r="O1651" s="1"/>
      <c r="P1651" s="1"/>
      <c r="Q1651" s="1"/>
      <c r="R1651" s="1"/>
      <c r="S1651" s="1"/>
      <c r="T1651" s="1"/>
      <c r="U1651" s="1"/>
      <c r="V1651" s="1"/>
      <c r="W1651" s="1"/>
      <c r="X1651" s="1"/>
      <c r="Y1651" s="1"/>
      <c r="Z1651" s="1"/>
    </row>
    <row r="1652">
      <c r="A1652" s="72" t="s">
        <v>5265</v>
      </c>
      <c r="B1652" s="72" t="s">
        <v>217</v>
      </c>
      <c r="C1652" s="72" t="s">
        <v>535</v>
      </c>
      <c r="D1652" s="72" t="s">
        <v>5266</v>
      </c>
      <c r="E1652" s="72" t="s">
        <v>1283</v>
      </c>
      <c r="F1652" s="72" t="s">
        <v>5267</v>
      </c>
      <c r="G1652" s="72">
        <v>-1.0</v>
      </c>
      <c r="H1652" s="127">
        <v>-1.0</v>
      </c>
      <c r="I1652" s="1"/>
      <c r="J1652" s="1"/>
      <c r="K1652" s="1"/>
      <c r="L1652" s="1"/>
      <c r="M1652" s="1"/>
      <c r="N1652" s="1"/>
      <c r="O1652" s="1"/>
      <c r="P1652" s="1"/>
      <c r="Q1652" s="1"/>
      <c r="R1652" s="1"/>
      <c r="S1652" s="1"/>
      <c r="T1652" s="1"/>
      <c r="U1652" s="1"/>
      <c r="V1652" s="1"/>
      <c r="W1652" s="1"/>
      <c r="X1652" s="1"/>
      <c r="Y1652" s="1"/>
      <c r="Z1652" s="1"/>
    </row>
    <row r="1653">
      <c r="A1653" s="72" t="s">
        <v>5268</v>
      </c>
      <c r="B1653" s="72" t="s">
        <v>256</v>
      </c>
      <c r="C1653" s="72" t="s">
        <v>535</v>
      </c>
      <c r="D1653" s="72" t="s">
        <v>5269</v>
      </c>
      <c r="E1653" s="72" t="s">
        <v>1328</v>
      </c>
      <c r="F1653" s="72" t="s">
        <v>5270</v>
      </c>
      <c r="G1653" s="72">
        <v>-3.0</v>
      </c>
      <c r="H1653" s="127">
        <v>-3.0</v>
      </c>
      <c r="I1653" s="1"/>
      <c r="J1653" s="1"/>
      <c r="K1653" s="1"/>
      <c r="L1653" s="1"/>
      <c r="M1653" s="1"/>
      <c r="N1653" s="1"/>
      <c r="O1653" s="1"/>
      <c r="P1653" s="1"/>
      <c r="Q1653" s="1"/>
      <c r="R1653" s="1"/>
      <c r="S1653" s="1"/>
      <c r="T1653" s="1"/>
      <c r="U1653" s="1"/>
      <c r="V1653" s="1"/>
      <c r="W1653" s="1"/>
      <c r="X1653" s="1"/>
      <c r="Y1653" s="1"/>
      <c r="Z1653" s="1"/>
    </row>
    <row r="1654">
      <c r="A1654" s="72" t="s">
        <v>5271</v>
      </c>
      <c r="B1654" s="72" t="s">
        <v>304</v>
      </c>
      <c r="C1654" s="72" t="s">
        <v>535</v>
      </c>
      <c r="D1654" s="72" t="s">
        <v>5272</v>
      </c>
      <c r="E1654" s="72" t="s">
        <v>1328</v>
      </c>
      <c r="F1654" s="72" t="s">
        <v>5273</v>
      </c>
      <c r="G1654" s="72">
        <v>-3.0</v>
      </c>
      <c r="H1654" s="127">
        <v>-3.0</v>
      </c>
      <c r="I1654" s="1"/>
      <c r="J1654" s="1"/>
      <c r="K1654" s="1"/>
      <c r="L1654" s="1"/>
      <c r="M1654" s="1"/>
      <c r="N1654" s="1"/>
      <c r="O1654" s="1"/>
      <c r="P1654" s="1"/>
      <c r="Q1654" s="1"/>
      <c r="R1654" s="1"/>
      <c r="S1654" s="1"/>
      <c r="T1654" s="1"/>
      <c r="U1654" s="1"/>
      <c r="V1654" s="1"/>
      <c r="W1654" s="1"/>
      <c r="X1654" s="1"/>
      <c r="Y1654" s="1"/>
      <c r="Z1654" s="1"/>
    </row>
    <row r="1655">
      <c r="A1655" s="72" t="s">
        <v>5274</v>
      </c>
      <c r="B1655" s="72" t="s">
        <v>279</v>
      </c>
      <c r="C1655" s="72" t="s">
        <v>535</v>
      </c>
      <c r="D1655" s="72" t="s">
        <v>5275</v>
      </c>
      <c r="E1655" s="72" t="s">
        <v>1271</v>
      </c>
      <c r="F1655" s="72" t="s">
        <v>5276</v>
      </c>
      <c r="G1655" s="72" t="s">
        <v>1273</v>
      </c>
      <c r="H1655" s="127">
        <v>0.0</v>
      </c>
      <c r="I1655" s="1"/>
      <c r="J1655" s="1"/>
      <c r="K1655" s="1"/>
      <c r="L1655" s="1"/>
      <c r="M1655" s="1"/>
      <c r="N1655" s="1"/>
      <c r="O1655" s="1"/>
      <c r="P1655" s="1"/>
      <c r="Q1655" s="1"/>
      <c r="R1655" s="1"/>
      <c r="S1655" s="1"/>
      <c r="T1655" s="1"/>
      <c r="U1655" s="1"/>
      <c r="V1655" s="1"/>
      <c r="W1655" s="1"/>
      <c r="X1655" s="1"/>
      <c r="Y1655" s="1"/>
      <c r="Z1655" s="1"/>
    </row>
    <row r="1656">
      <c r="A1656" s="72" t="s">
        <v>5277</v>
      </c>
      <c r="B1656" s="72" t="s">
        <v>199</v>
      </c>
      <c r="C1656" s="72" t="s">
        <v>535</v>
      </c>
      <c r="D1656" s="72" t="s">
        <v>5278</v>
      </c>
      <c r="E1656" s="72" t="s">
        <v>1271</v>
      </c>
      <c r="F1656" s="72" t="s">
        <v>5279</v>
      </c>
      <c r="G1656" s="72" t="s">
        <v>1273</v>
      </c>
      <c r="H1656" s="127">
        <v>0.0</v>
      </c>
      <c r="I1656" s="1"/>
      <c r="J1656" s="1"/>
      <c r="K1656" s="1"/>
      <c r="L1656" s="1"/>
      <c r="M1656" s="1"/>
      <c r="N1656" s="1"/>
      <c r="O1656" s="1"/>
      <c r="P1656" s="1"/>
      <c r="Q1656" s="1"/>
      <c r="R1656" s="1"/>
      <c r="S1656" s="1"/>
      <c r="T1656" s="1"/>
      <c r="U1656" s="1"/>
      <c r="V1656" s="1"/>
      <c r="W1656" s="1"/>
      <c r="X1656" s="1"/>
      <c r="Y1656" s="1"/>
      <c r="Z1656" s="1"/>
    </row>
    <row r="1657">
      <c r="A1657" s="72" t="s">
        <v>5280</v>
      </c>
      <c r="B1657" s="72" t="s">
        <v>182</v>
      </c>
      <c r="C1657" s="72" t="s">
        <v>535</v>
      </c>
      <c r="D1657" s="72" t="s">
        <v>5281</v>
      </c>
      <c r="E1657" s="72" t="s">
        <v>1271</v>
      </c>
      <c r="F1657" s="72" t="s">
        <v>5282</v>
      </c>
      <c r="G1657" s="72" t="s">
        <v>1273</v>
      </c>
      <c r="H1657" s="127">
        <v>0.0</v>
      </c>
      <c r="I1657" s="1"/>
      <c r="J1657" s="1"/>
      <c r="K1657" s="1"/>
      <c r="L1657" s="1"/>
      <c r="M1657" s="1"/>
      <c r="N1657" s="1"/>
      <c r="O1657" s="1"/>
      <c r="P1657" s="1"/>
      <c r="Q1657" s="1"/>
      <c r="R1657" s="1"/>
      <c r="S1657" s="1"/>
      <c r="T1657" s="1"/>
      <c r="U1657" s="1"/>
      <c r="V1657" s="1"/>
      <c r="W1657" s="1"/>
      <c r="X1657" s="1"/>
      <c r="Y1657" s="1"/>
      <c r="Z1657" s="1"/>
    </row>
    <row r="1658">
      <c r="A1658" s="72" t="s">
        <v>5283</v>
      </c>
      <c r="B1658" s="72" t="s">
        <v>256</v>
      </c>
      <c r="C1658" s="72" t="s">
        <v>535</v>
      </c>
      <c r="D1658" s="72" t="s">
        <v>5284</v>
      </c>
      <c r="E1658" s="72" t="s">
        <v>1328</v>
      </c>
      <c r="F1658" s="72" t="s">
        <v>5285</v>
      </c>
      <c r="G1658" s="72">
        <v>-3.0</v>
      </c>
      <c r="H1658" s="127">
        <v>-3.0</v>
      </c>
      <c r="I1658" s="1"/>
      <c r="J1658" s="1"/>
      <c r="K1658" s="1"/>
      <c r="L1658" s="1"/>
      <c r="M1658" s="1"/>
      <c r="N1658" s="1"/>
      <c r="O1658" s="1"/>
      <c r="P1658" s="1"/>
      <c r="Q1658" s="1"/>
      <c r="R1658" s="1"/>
      <c r="S1658" s="1"/>
      <c r="T1658" s="1"/>
      <c r="U1658" s="1"/>
      <c r="V1658" s="1"/>
      <c r="W1658" s="1"/>
      <c r="X1658" s="1"/>
      <c r="Y1658" s="1"/>
      <c r="Z1658" s="1"/>
    </row>
    <row r="1659">
      <c r="A1659" s="72" t="s">
        <v>5286</v>
      </c>
      <c r="B1659" s="72" t="s">
        <v>138</v>
      </c>
      <c r="C1659" s="72" t="s">
        <v>535</v>
      </c>
      <c r="D1659" s="72" t="s">
        <v>5287</v>
      </c>
      <c r="E1659" s="72" t="s">
        <v>1271</v>
      </c>
      <c r="F1659" s="72" t="s">
        <v>5288</v>
      </c>
      <c r="G1659" s="72" t="s">
        <v>1273</v>
      </c>
      <c r="H1659" s="127">
        <v>0.0</v>
      </c>
      <c r="I1659" s="1"/>
      <c r="J1659" s="1"/>
      <c r="K1659" s="1"/>
      <c r="L1659" s="1"/>
      <c r="M1659" s="1"/>
      <c r="N1659" s="1"/>
      <c r="O1659" s="1"/>
      <c r="P1659" s="1"/>
      <c r="Q1659" s="1"/>
      <c r="R1659" s="1"/>
      <c r="S1659" s="1"/>
      <c r="T1659" s="1"/>
      <c r="U1659" s="1"/>
      <c r="V1659" s="1"/>
      <c r="W1659" s="1"/>
      <c r="X1659" s="1"/>
      <c r="Y1659" s="1"/>
      <c r="Z1659" s="1"/>
    </row>
    <row r="1660">
      <c r="A1660" s="72" t="s">
        <v>5289</v>
      </c>
      <c r="B1660" s="72" t="s">
        <v>243</v>
      </c>
      <c r="C1660" s="72" t="s">
        <v>535</v>
      </c>
      <c r="D1660" s="72" t="s">
        <v>5290</v>
      </c>
      <c r="E1660" s="72" t="s">
        <v>1271</v>
      </c>
      <c r="F1660" s="72" t="s">
        <v>5291</v>
      </c>
      <c r="G1660" s="72" t="s">
        <v>1273</v>
      </c>
      <c r="H1660" s="127">
        <v>0.0</v>
      </c>
      <c r="I1660" s="1"/>
      <c r="J1660" s="1"/>
      <c r="K1660" s="1"/>
      <c r="L1660" s="1"/>
      <c r="M1660" s="1"/>
      <c r="N1660" s="1"/>
      <c r="O1660" s="1"/>
      <c r="P1660" s="1"/>
      <c r="Q1660" s="1"/>
      <c r="R1660" s="1"/>
      <c r="S1660" s="1"/>
      <c r="T1660" s="1"/>
      <c r="U1660" s="1"/>
      <c r="V1660" s="1"/>
      <c r="W1660" s="1"/>
      <c r="X1660" s="1"/>
      <c r="Y1660" s="1"/>
      <c r="Z1660" s="1"/>
    </row>
    <row r="1661">
      <c r="A1661" s="72" t="s">
        <v>5292</v>
      </c>
      <c r="B1661" s="72" t="s">
        <v>219</v>
      </c>
      <c r="C1661" s="72" t="s">
        <v>535</v>
      </c>
      <c r="D1661" s="72" t="s">
        <v>5293</v>
      </c>
      <c r="E1661" s="72" t="s">
        <v>1335</v>
      </c>
      <c r="F1661" s="72" t="s">
        <v>5294</v>
      </c>
      <c r="G1661" s="1">
        <f>+2</f>
        <v>2</v>
      </c>
      <c r="H1661" s="127">
        <v>2.0</v>
      </c>
      <c r="I1661" s="1"/>
      <c r="J1661" s="1"/>
      <c r="K1661" s="1"/>
      <c r="L1661" s="1"/>
      <c r="M1661" s="1"/>
      <c r="N1661" s="1"/>
      <c r="O1661" s="1"/>
      <c r="P1661" s="1"/>
      <c r="Q1661" s="1"/>
      <c r="R1661" s="1"/>
      <c r="S1661" s="1"/>
      <c r="T1661" s="1"/>
      <c r="U1661" s="1"/>
      <c r="V1661" s="1"/>
      <c r="W1661" s="1"/>
      <c r="X1661" s="1"/>
      <c r="Y1661" s="1"/>
      <c r="Z1661" s="1"/>
    </row>
    <row r="1662">
      <c r="A1662" s="72" t="s">
        <v>5295</v>
      </c>
      <c r="B1662" s="72" t="s">
        <v>311</v>
      </c>
      <c r="C1662" s="72" t="s">
        <v>535</v>
      </c>
      <c r="D1662" s="72" t="s">
        <v>5296</v>
      </c>
      <c r="E1662" s="72" t="s">
        <v>1283</v>
      </c>
      <c r="F1662" s="72" t="s">
        <v>5297</v>
      </c>
      <c r="G1662" s="72">
        <v>-1.0</v>
      </c>
      <c r="H1662" s="127">
        <v>-1.0</v>
      </c>
      <c r="I1662" s="1"/>
      <c r="J1662" s="1"/>
      <c r="K1662" s="1"/>
      <c r="L1662" s="1"/>
      <c r="M1662" s="1"/>
      <c r="N1662" s="1"/>
      <c r="O1662" s="1"/>
      <c r="P1662" s="1"/>
      <c r="Q1662" s="1"/>
      <c r="R1662" s="1"/>
      <c r="S1662" s="1"/>
      <c r="T1662" s="1"/>
      <c r="U1662" s="1"/>
      <c r="V1662" s="1"/>
      <c r="W1662" s="1"/>
      <c r="X1662" s="1"/>
      <c r="Y1662" s="1"/>
      <c r="Z1662" s="1"/>
    </row>
    <row r="1663">
      <c r="A1663" s="72" t="s">
        <v>5298</v>
      </c>
      <c r="B1663" s="72" t="s">
        <v>256</v>
      </c>
      <c r="C1663" s="72" t="s">
        <v>535</v>
      </c>
      <c r="D1663" s="72" t="s">
        <v>5299</v>
      </c>
      <c r="E1663" s="72" t="s">
        <v>1328</v>
      </c>
      <c r="F1663" s="72" t="s">
        <v>5300</v>
      </c>
      <c r="G1663" s="72">
        <v>-3.0</v>
      </c>
      <c r="H1663" s="127">
        <v>-3.0</v>
      </c>
      <c r="I1663" s="1"/>
      <c r="J1663" s="1"/>
      <c r="K1663" s="1"/>
      <c r="L1663" s="1"/>
      <c r="M1663" s="1"/>
      <c r="N1663" s="1"/>
      <c r="O1663" s="1"/>
      <c r="P1663" s="1"/>
      <c r="Q1663" s="1"/>
      <c r="R1663" s="1"/>
      <c r="S1663" s="1"/>
      <c r="T1663" s="1"/>
      <c r="U1663" s="1"/>
      <c r="V1663" s="1"/>
      <c r="W1663" s="1"/>
      <c r="X1663" s="1"/>
      <c r="Y1663" s="1"/>
      <c r="Z1663" s="1"/>
    </row>
    <row r="1664">
      <c r="A1664" s="72" t="s">
        <v>5301</v>
      </c>
      <c r="B1664" s="72" t="s">
        <v>178</v>
      </c>
      <c r="C1664" s="72" t="s">
        <v>535</v>
      </c>
      <c r="D1664" s="72" t="s">
        <v>5302</v>
      </c>
      <c r="E1664" s="72" t="s">
        <v>1271</v>
      </c>
      <c r="F1664" s="72" t="s">
        <v>5303</v>
      </c>
      <c r="G1664" s="72" t="s">
        <v>1273</v>
      </c>
      <c r="H1664" s="127">
        <v>0.0</v>
      </c>
      <c r="I1664" s="1"/>
      <c r="J1664" s="1"/>
      <c r="K1664" s="1"/>
      <c r="L1664" s="1"/>
      <c r="M1664" s="1"/>
      <c r="N1664" s="1"/>
      <c r="O1664" s="1"/>
      <c r="P1664" s="1"/>
      <c r="Q1664" s="1"/>
      <c r="R1664" s="1"/>
      <c r="S1664" s="1"/>
      <c r="T1664" s="1"/>
      <c r="U1664" s="1"/>
      <c r="V1664" s="1"/>
      <c r="W1664" s="1"/>
      <c r="X1664" s="1"/>
      <c r="Y1664" s="1"/>
      <c r="Z1664" s="1"/>
    </row>
    <row r="1665">
      <c r="A1665" s="72" t="s">
        <v>5304</v>
      </c>
      <c r="B1665" s="72" t="s">
        <v>178</v>
      </c>
      <c r="C1665" s="72" t="s">
        <v>535</v>
      </c>
      <c r="D1665" s="72" t="s">
        <v>5305</v>
      </c>
      <c r="E1665" s="72" t="s">
        <v>1335</v>
      </c>
      <c r="F1665" s="72" t="s">
        <v>5306</v>
      </c>
      <c r="G1665" s="1">
        <f>+2</f>
        <v>2</v>
      </c>
      <c r="H1665" s="127">
        <v>2.0</v>
      </c>
      <c r="I1665" s="1"/>
      <c r="J1665" s="1"/>
      <c r="K1665" s="1"/>
      <c r="L1665" s="1"/>
      <c r="M1665" s="1"/>
      <c r="N1665" s="1"/>
      <c r="O1665" s="1"/>
      <c r="P1665" s="1"/>
      <c r="Q1665" s="1"/>
      <c r="R1665" s="1"/>
      <c r="S1665" s="1"/>
      <c r="T1665" s="1"/>
      <c r="U1665" s="1"/>
      <c r="V1665" s="1"/>
      <c r="W1665" s="1"/>
      <c r="X1665" s="1"/>
      <c r="Y1665" s="1"/>
      <c r="Z1665" s="1"/>
    </row>
    <row r="1666">
      <c r="A1666" s="72" t="s">
        <v>5307</v>
      </c>
      <c r="B1666" s="72" t="s">
        <v>314</v>
      </c>
      <c r="C1666" s="72" t="s">
        <v>535</v>
      </c>
      <c r="D1666" s="72" t="s">
        <v>5308</v>
      </c>
      <c r="E1666" s="72" t="s">
        <v>1271</v>
      </c>
      <c r="F1666" s="72" t="s">
        <v>5309</v>
      </c>
      <c r="G1666" s="72" t="s">
        <v>1273</v>
      </c>
      <c r="H1666" s="127">
        <v>0.0</v>
      </c>
      <c r="I1666" s="1"/>
      <c r="J1666" s="1"/>
      <c r="K1666" s="1"/>
      <c r="L1666" s="1"/>
      <c r="M1666" s="1"/>
      <c r="N1666" s="1"/>
      <c r="O1666" s="1"/>
      <c r="P1666" s="1"/>
      <c r="Q1666" s="1"/>
      <c r="R1666" s="1"/>
      <c r="S1666" s="1"/>
      <c r="T1666" s="1"/>
      <c r="U1666" s="1"/>
      <c r="V1666" s="1"/>
      <c r="W1666" s="1"/>
      <c r="X1666" s="1"/>
      <c r="Y1666" s="1"/>
      <c r="Z1666" s="1"/>
    </row>
    <row r="1667">
      <c r="A1667" s="72" t="s">
        <v>5310</v>
      </c>
      <c r="B1667" s="72" t="s">
        <v>314</v>
      </c>
      <c r="C1667" s="72" t="s">
        <v>535</v>
      </c>
      <c r="D1667" s="72" t="s">
        <v>5311</v>
      </c>
      <c r="E1667" s="72" t="s">
        <v>1290</v>
      </c>
      <c r="F1667" s="72" t="s">
        <v>5312</v>
      </c>
      <c r="G1667" s="1">
        <f>+3</f>
        <v>3</v>
      </c>
      <c r="H1667" s="127">
        <v>3.0</v>
      </c>
      <c r="I1667" s="1"/>
      <c r="J1667" s="1"/>
      <c r="K1667" s="1"/>
      <c r="L1667" s="1"/>
      <c r="M1667" s="1"/>
      <c r="N1667" s="1"/>
      <c r="O1667" s="1"/>
      <c r="P1667" s="1"/>
      <c r="Q1667" s="1"/>
      <c r="R1667" s="1"/>
      <c r="S1667" s="1"/>
      <c r="T1667" s="1"/>
      <c r="U1667" s="1"/>
      <c r="V1667" s="1"/>
      <c r="W1667" s="1"/>
      <c r="X1667" s="1"/>
      <c r="Y1667" s="1"/>
      <c r="Z1667" s="1"/>
    </row>
    <row r="1668">
      <c r="A1668" s="72" t="s">
        <v>5313</v>
      </c>
      <c r="B1668" s="72" t="s">
        <v>320</v>
      </c>
      <c r="C1668" s="72" t="s">
        <v>535</v>
      </c>
      <c r="D1668" s="72" t="s">
        <v>5314</v>
      </c>
      <c r="E1668" s="72" t="s">
        <v>1300</v>
      </c>
      <c r="F1668" s="72" t="s">
        <v>5315</v>
      </c>
      <c r="G1668" s="72">
        <v>-2.0</v>
      </c>
      <c r="H1668" s="127">
        <v>-2.0</v>
      </c>
      <c r="I1668" s="1"/>
      <c r="J1668" s="1"/>
      <c r="K1668" s="1"/>
      <c r="L1668" s="1"/>
      <c r="M1668" s="1"/>
      <c r="N1668" s="1"/>
      <c r="O1668" s="1"/>
      <c r="P1668" s="1"/>
      <c r="Q1668" s="1"/>
      <c r="R1668" s="1"/>
      <c r="S1668" s="1"/>
      <c r="T1668" s="1"/>
      <c r="U1668" s="1"/>
      <c r="V1668" s="1"/>
      <c r="W1668" s="1"/>
      <c r="X1668" s="1"/>
      <c r="Y1668" s="1"/>
      <c r="Z1668" s="1"/>
    </row>
    <row r="1669">
      <c r="A1669" s="72" t="s">
        <v>5316</v>
      </c>
      <c r="B1669" s="72" t="s">
        <v>311</v>
      </c>
      <c r="C1669" s="72" t="s">
        <v>535</v>
      </c>
      <c r="D1669" s="72" t="s">
        <v>5317</v>
      </c>
      <c r="E1669" s="72" t="s">
        <v>1271</v>
      </c>
      <c r="F1669" s="72" t="s">
        <v>5318</v>
      </c>
      <c r="G1669" s="72" t="s">
        <v>1273</v>
      </c>
      <c r="H1669" s="127">
        <v>0.0</v>
      </c>
      <c r="I1669" s="1"/>
      <c r="J1669" s="1"/>
      <c r="K1669" s="1"/>
      <c r="L1669" s="1"/>
      <c r="M1669" s="1"/>
      <c r="N1669" s="1"/>
      <c r="O1669" s="1"/>
      <c r="P1669" s="1"/>
      <c r="Q1669" s="1"/>
      <c r="R1669" s="1"/>
      <c r="S1669" s="1"/>
      <c r="T1669" s="1"/>
      <c r="U1669" s="1"/>
      <c r="V1669" s="1"/>
      <c r="W1669" s="1"/>
      <c r="X1669" s="1"/>
      <c r="Y1669" s="1"/>
      <c r="Z1669" s="1"/>
    </row>
    <row r="1670">
      <c r="A1670" s="72" t="s">
        <v>5319</v>
      </c>
      <c r="B1670" s="72" t="s">
        <v>222</v>
      </c>
      <c r="C1670" s="72" t="s">
        <v>535</v>
      </c>
      <c r="D1670" s="72" t="s">
        <v>5320</v>
      </c>
      <c r="E1670" s="72" t="s">
        <v>1335</v>
      </c>
      <c r="F1670" s="72" t="s">
        <v>5321</v>
      </c>
      <c r="G1670" s="1">
        <f>+2</f>
        <v>2</v>
      </c>
      <c r="H1670" s="127">
        <v>2.0</v>
      </c>
      <c r="I1670" s="1"/>
      <c r="J1670" s="1"/>
      <c r="K1670" s="1"/>
      <c r="L1670" s="1"/>
      <c r="M1670" s="1"/>
      <c r="N1670" s="1"/>
      <c r="O1670" s="1"/>
      <c r="P1670" s="1"/>
      <c r="Q1670" s="1"/>
      <c r="R1670" s="1"/>
      <c r="S1670" s="1"/>
      <c r="T1670" s="1"/>
      <c r="U1670" s="1"/>
      <c r="V1670" s="1"/>
      <c r="W1670" s="1"/>
      <c r="X1670" s="1"/>
      <c r="Y1670" s="1"/>
      <c r="Z1670" s="1"/>
    </row>
    <row r="1671">
      <c r="A1671" s="72" t="s">
        <v>5322</v>
      </c>
      <c r="B1671" s="72" t="s">
        <v>233</v>
      </c>
      <c r="C1671" s="72" t="s">
        <v>535</v>
      </c>
      <c r="D1671" s="72" t="s">
        <v>5323</v>
      </c>
      <c r="E1671" s="72" t="s">
        <v>1271</v>
      </c>
      <c r="F1671" s="72" t="s">
        <v>5324</v>
      </c>
      <c r="G1671" s="72" t="s">
        <v>1273</v>
      </c>
      <c r="H1671" s="127">
        <v>0.0</v>
      </c>
      <c r="I1671" s="1"/>
      <c r="J1671" s="1"/>
      <c r="K1671" s="1"/>
      <c r="L1671" s="1"/>
      <c r="M1671" s="1"/>
      <c r="N1671" s="1"/>
      <c r="O1671" s="1"/>
      <c r="P1671" s="1"/>
      <c r="Q1671" s="1"/>
      <c r="R1671" s="1"/>
      <c r="S1671" s="1"/>
      <c r="T1671" s="1"/>
      <c r="U1671" s="1"/>
      <c r="V1671" s="1"/>
      <c r="W1671" s="1"/>
      <c r="X1671" s="1"/>
      <c r="Y1671" s="1"/>
      <c r="Z1671" s="1"/>
    </row>
    <row r="1672">
      <c r="A1672" s="72" t="s">
        <v>5325</v>
      </c>
      <c r="B1672" s="72" t="s">
        <v>137</v>
      </c>
      <c r="C1672" s="72" t="s">
        <v>535</v>
      </c>
      <c r="D1672" s="72" t="s">
        <v>5326</v>
      </c>
      <c r="E1672" s="72" t="s">
        <v>1283</v>
      </c>
      <c r="F1672" s="72" t="s">
        <v>5327</v>
      </c>
      <c r="G1672" s="72">
        <v>-1.0</v>
      </c>
      <c r="H1672" s="127">
        <v>-1.0</v>
      </c>
      <c r="I1672" s="1"/>
      <c r="J1672" s="1"/>
      <c r="K1672" s="1"/>
      <c r="L1672" s="1"/>
      <c r="M1672" s="1"/>
      <c r="N1672" s="1"/>
      <c r="O1672" s="1"/>
      <c r="P1672" s="1"/>
      <c r="Q1672" s="1"/>
      <c r="R1672" s="1"/>
      <c r="S1672" s="1"/>
      <c r="T1672" s="1"/>
      <c r="U1672" s="1"/>
      <c r="V1672" s="1"/>
      <c r="W1672" s="1"/>
      <c r="X1672" s="1"/>
      <c r="Y1672" s="1"/>
      <c r="Z1672" s="1"/>
    </row>
    <row r="1673">
      <c r="A1673" s="72" t="s">
        <v>5328</v>
      </c>
      <c r="B1673" s="72" t="s">
        <v>233</v>
      </c>
      <c r="C1673" s="72" t="s">
        <v>535</v>
      </c>
      <c r="D1673" s="72" t="s">
        <v>5329</v>
      </c>
      <c r="E1673" s="72" t="s">
        <v>1300</v>
      </c>
      <c r="F1673" s="72" t="s">
        <v>5330</v>
      </c>
      <c r="G1673" s="72">
        <v>-2.0</v>
      </c>
      <c r="H1673" s="127">
        <v>-2.0</v>
      </c>
      <c r="I1673" s="1"/>
      <c r="J1673" s="1"/>
      <c r="K1673" s="1"/>
      <c r="L1673" s="1"/>
      <c r="M1673" s="1"/>
      <c r="N1673" s="1"/>
      <c r="O1673" s="1"/>
      <c r="P1673" s="1"/>
      <c r="Q1673" s="1"/>
      <c r="R1673" s="1"/>
      <c r="S1673" s="1"/>
      <c r="T1673" s="1"/>
      <c r="U1673" s="1"/>
      <c r="V1673" s="1"/>
      <c r="W1673" s="1"/>
      <c r="X1673" s="1"/>
      <c r="Y1673" s="1"/>
      <c r="Z1673" s="1"/>
    </row>
    <row r="1674">
      <c r="A1674" s="72" t="s">
        <v>5331</v>
      </c>
      <c r="B1674" s="72" t="s">
        <v>245</v>
      </c>
      <c r="C1674" s="72" t="s">
        <v>535</v>
      </c>
      <c r="D1674" s="72" t="s">
        <v>5332</v>
      </c>
      <c r="E1674" s="72" t="s">
        <v>1328</v>
      </c>
      <c r="F1674" s="72" t="s">
        <v>5333</v>
      </c>
      <c r="G1674" s="72">
        <v>-3.0</v>
      </c>
      <c r="H1674" s="127">
        <v>-3.0</v>
      </c>
      <c r="I1674" s="1"/>
      <c r="J1674" s="1"/>
      <c r="K1674" s="1"/>
      <c r="L1674" s="1"/>
      <c r="M1674" s="1"/>
      <c r="N1674" s="1"/>
      <c r="O1674" s="1"/>
      <c r="P1674" s="1"/>
      <c r="Q1674" s="1"/>
      <c r="R1674" s="1"/>
      <c r="S1674" s="1"/>
      <c r="T1674" s="1"/>
      <c r="U1674" s="1"/>
      <c r="V1674" s="1"/>
      <c r="W1674" s="1"/>
      <c r="X1674" s="1"/>
      <c r="Y1674" s="1"/>
      <c r="Z1674" s="1"/>
    </row>
    <row r="1675">
      <c r="A1675" s="72" t="s">
        <v>5334</v>
      </c>
      <c r="B1675" s="72" t="s">
        <v>278</v>
      </c>
      <c r="C1675" s="72" t="s">
        <v>535</v>
      </c>
      <c r="D1675" s="72" t="s">
        <v>5335</v>
      </c>
      <c r="E1675" s="72" t="s">
        <v>1271</v>
      </c>
      <c r="F1675" s="72" t="s">
        <v>5336</v>
      </c>
      <c r="G1675" s="72" t="s">
        <v>1273</v>
      </c>
      <c r="H1675" s="127">
        <v>0.0</v>
      </c>
      <c r="I1675" s="1"/>
      <c r="J1675" s="1"/>
      <c r="K1675" s="1"/>
      <c r="L1675" s="1"/>
      <c r="M1675" s="1"/>
      <c r="N1675" s="1"/>
      <c r="O1675" s="1"/>
      <c r="P1675" s="1"/>
      <c r="Q1675" s="1"/>
      <c r="R1675" s="1"/>
      <c r="S1675" s="1"/>
      <c r="T1675" s="1"/>
      <c r="U1675" s="1"/>
      <c r="V1675" s="1"/>
      <c r="W1675" s="1"/>
      <c r="X1675" s="1"/>
      <c r="Y1675" s="1"/>
      <c r="Z1675" s="1"/>
    </row>
    <row r="1676">
      <c r="A1676" s="72" t="s">
        <v>5337</v>
      </c>
      <c r="B1676" s="72" t="s">
        <v>137</v>
      </c>
      <c r="C1676" s="72" t="s">
        <v>535</v>
      </c>
      <c r="D1676" s="72" t="s">
        <v>5338</v>
      </c>
      <c r="E1676" s="72" t="s">
        <v>1300</v>
      </c>
      <c r="F1676" s="72" t="s">
        <v>5339</v>
      </c>
      <c r="G1676" s="72">
        <v>-2.0</v>
      </c>
      <c r="H1676" s="127">
        <v>-2.0</v>
      </c>
      <c r="I1676" s="1"/>
      <c r="J1676" s="1"/>
      <c r="K1676" s="1"/>
      <c r="L1676" s="1"/>
      <c r="M1676" s="1"/>
      <c r="N1676" s="1"/>
      <c r="O1676" s="1"/>
      <c r="P1676" s="1"/>
      <c r="Q1676" s="1"/>
      <c r="R1676" s="1"/>
      <c r="S1676" s="1"/>
      <c r="T1676" s="1"/>
      <c r="U1676" s="1"/>
      <c r="V1676" s="1"/>
      <c r="W1676" s="1"/>
      <c r="X1676" s="1"/>
      <c r="Y1676" s="1"/>
      <c r="Z1676" s="1"/>
    </row>
    <row r="1677">
      <c r="A1677" s="72" t="s">
        <v>5340</v>
      </c>
      <c r="B1677" s="72" t="s">
        <v>245</v>
      </c>
      <c r="C1677" s="72" t="s">
        <v>535</v>
      </c>
      <c r="D1677" s="72" t="s">
        <v>5341</v>
      </c>
      <c r="E1677" s="72" t="s">
        <v>1271</v>
      </c>
      <c r="F1677" s="72" t="s">
        <v>5342</v>
      </c>
      <c r="G1677" s="72" t="s">
        <v>1273</v>
      </c>
      <c r="H1677" s="127">
        <v>0.0</v>
      </c>
      <c r="I1677" s="1"/>
      <c r="J1677" s="1"/>
      <c r="K1677" s="1"/>
      <c r="L1677" s="1"/>
      <c r="M1677" s="1"/>
      <c r="N1677" s="1"/>
      <c r="O1677" s="1"/>
      <c r="P1677" s="1"/>
      <c r="Q1677" s="1"/>
      <c r="R1677" s="1"/>
      <c r="S1677" s="1"/>
      <c r="T1677" s="1"/>
      <c r="U1677" s="1"/>
      <c r="V1677" s="1"/>
      <c r="W1677" s="1"/>
      <c r="X1677" s="1"/>
      <c r="Y1677" s="1"/>
      <c r="Z1677" s="1"/>
    </row>
    <row r="1678">
      <c r="A1678" s="72" t="s">
        <v>5343</v>
      </c>
      <c r="B1678" s="72" t="s">
        <v>279</v>
      </c>
      <c r="C1678" s="72" t="s">
        <v>535</v>
      </c>
      <c r="D1678" s="72" t="s">
        <v>5344</v>
      </c>
      <c r="E1678" s="72" t="s">
        <v>1283</v>
      </c>
      <c r="F1678" s="72" t="s">
        <v>5345</v>
      </c>
      <c r="G1678" s="72">
        <v>-1.0</v>
      </c>
      <c r="H1678" s="127">
        <v>-1.0</v>
      </c>
      <c r="I1678" s="1"/>
      <c r="J1678" s="1"/>
      <c r="K1678" s="1"/>
      <c r="L1678" s="1"/>
      <c r="M1678" s="1"/>
      <c r="N1678" s="1"/>
      <c r="O1678" s="1"/>
      <c r="P1678" s="1"/>
      <c r="Q1678" s="1"/>
      <c r="R1678" s="1"/>
      <c r="S1678" s="1"/>
      <c r="T1678" s="1"/>
      <c r="U1678" s="1"/>
      <c r="V1678" s="1"/>
      <c r="W1678" s="1"/>
      <c r="X1678" s="1"/>
      <c r="Y1678" s="1"/>
      <c r="Z1678" s="1"/>
    </row>
    <row r="1679">
      <c r="A1679" s="72" t="s">
        <v>5346</v>
      </c>
      <c r="B1679" s="72" t="s">
        <v>273</v>
      </c>
      <c r="C1679" s="72" t="s">
        <v>535</v>
      </c>
      <c r="D1679" s="72" t="s">
        <v>5347</v>
      </c>
      <c r="E1679" s="72" t="s">
        <v>1300</v>
      </c>
      <c r="F1679" s="72" t="s">
        <v>5348</v>
      </c>
      <c r="G1679" s="72">
        <v>-2.0</v>
      </c>
      <c r="H1679" s="127">
        <v>-2.0</v>
      </c>
      <c r="I1679" s="1"/>
      <c r="J1679" s="1"/>
      <c r="K1679" s="1"/>
      <c r="L1679" s="1"/>
      <c r="M1679" s="1"/>
      <c r="N1679" s="1"/>
      <c r="O1679" s="1"/>
      <c r="P1679" s="1"/>
      <c r="Q1679" s="1"/>
      <c r="R1679" s="1"/>
      <c r="S1679" s="1"/>
      <c r="T1679" s="1"/>
      <c r="U1679" s="1"/>
      <c r="V1679" s="1"/>
      <c r="W1679" s="1"/>
      <c r="X1679" s="1"/>
      <c r="Y1679" s="1"/>
      <c r="Z1679" s="1"/>
    </row>
    <row r="1680">
      <c r="A1680" s="72" t="s">
        <v>5349</v>
      </c>
      <c r="B1680" s="72" t="s">
        <v>315</v>
      </c>
      <c r="C1680" s="72" t="s">
        <v>535</v>
      </c>
      <c r="D1680" s="72" t="s">
        <v>5350</v>
      </c>
      <c r="E1680" s="72" t="s">
        <v>1328</v>
      </c>
      <c r="F1680" s="72" t="s">
        <v>5351</v>
      </c>
      <c r="G1680" s="72">
        <v>-3.0</v>
      </c>
      <c r="H1680" s="127">
        <v>-3.0</v>
      </c>
      <c r="I1680" s="1"/>
      <c r="J1680" s="1"/>
      <c r="K1680" s="1"/>
      <c r="L1680" s="1"/>
      <c r="M1680" s="1"/>
      <c r="N1680" s="1"/>
      <c r="O1680" s="1"/>
      <c r="P1680" s="1"/>
      <c r="Q1680" s="1"/>
      <c r="R1680" s="1"/>
      <c r="S1680" s="1"/>
      <c r="T1680" s="1"/>
      <c r="U1680" s="1"/>
      <c r="V1680" s="1"/>
      <c r="W1680" s="1"/>
      <c r="X1680" s="1"/>
      <c r="Y1680" s="1"/>
      <c r="Z1680" s="1"/>
    </row>
    <row r="1681">
      <c r="A1681" s="72" t="s">
        <v>5352</v>
      </c>
      <c r="B1681" s="72" t="s">
        <v>315</v>
      </c>
      <c r="C1681" s="72" t="s">
        <v>535</v>
      </c>
      <c r="D1681" s="72" t="s">
        <v>5353</v>
      </c>
      <c r="E1681" s="72" t="s">
        <v>1271</v>
      </c>
      <c r="F1681" s="72" t="s">
        <v>5354</v>
      </c>
      <c r="G1681" s="72" t="s">
        <v>1273</v>
      </c>
      <c r="H1681" s="127">
        <v>0.0</v>
      </c>
      <c r="I1681" s="1"/>
      <c r="J1681" s="1"/>
      <c r="K1681" s="1"/>
      <c r="L1681" s="1"/>
      <c r="M1681" s="1"/>
      <c r="N1681" s="1"/>
      <c r="O1681" s="1"/>
      <c r="P1681" s="1"/>
      <c r="Q1681" s="1"/>
      <c r="R1681" s="1"/>
      <c r="S1681" s="1"/>
      <c r="T1681" s="1"/>
      <c r="U1681" s="1"/>
      <c r="V1681" s="1"/>
      <c r="W1681" s="1"/>
      <c r="X1681" s="1"/>
      <c r="Y1681" s="1"/>
      <c r="Z1681" s="1"/>
    </row>
    <row r="1682">
      <c r="A1682" s="72" t="s">
        <v>5355</v>
      </c>
      <c r="B1682" s="72" t="s">
        <v>304</v>
      </c>
      <c r="C1682" s="72" t="s">
        <v>535</v>
      </c>
      <c r="D1682" s="72" t="s">
        <v>5356</v>
      </c>
      <c r="E1682" s="72" t="s">
        <v>1271</v>
      </c>
      <c r="F1682" s="72" t="s">
        <v>5357</v>
      </c>
      <c r="G1682" s="72" t="s">
        <v>1273</v>
      </c>
      <c r="H1682" s="127">
        <v>0.0</v>
      </c>
      <c r="I1682" s="1"/>
      <c r="J1682" s="1"/>
      <c r="K1682" s="1"/>
      <c r="L1682" s="1"/>
      <c r="M1682" s="1"/>
      <c r="N1682" s="1"/>
      <c r="O1682" s="1"/>
      <c r="P1682" s="1"/>
      <c r="Q1682" s="1"/>
      <c r="R1682" s="1"/>
      <c r="S1682" s="1"/>
      <c r="T1682" s="1"/>
      <c r="U1682" s="1"/>
      <c r="V1682" s="1"/>
      <c r="W1682" s="1"/>
      <c r="X1682" s="1"/>
      <c r="Y1682" s="1"/>
      <c r="Z1682" s="1"/>
    </row>
    <row r="1683">
      <c r="A1683" s="72" t="s">
        <v>5358</v>
      </c>
      <c r="B1683" s="72" t="s">
        <v>284</v>
      </c>
      <c r="C1683" s="72" t="s">
        <v>535</v>
      </c>
      <c r="D1683" s="72" t="s">
        <v>5359</v>
      </c>
      <c r="E1683" s="72" t="s">
        <v>1271</v>
      </c>
      <c r="F1683" s="72" t="s">
        <v>5360</v>
      </c>
      <c r="G1683" s="72" t="s">
        <v>1273</v>
      </c>
      <c r="H1683" s="127">
        <v>0.0</v>
      </c>
      <c r="I1683" s="1"/>
      <c r="J1683" s="1"/>
      <c r="K1683" s="1"/>
      <c r="L1683" s="1"/>
      <c r="M1683" s="1"/>
      <c r="N1683" s="1"/>
      <c r="O1683" s="1"/>
      <c r="P1683" s="1"/>
      <c r="Q1683" s="1"/>
      <c r="R1683" s="1"/>
      <c r="S1683" s="1"/>
      <c r="T1683" s="1"/>
      <c r="U1683" s="1"/>
      <c r="V1683" s="1"/>
      <c r="W1683" s="1"/>
      <c r="X1683" s="1"/>
      <c r="Y1683" s="1"/>
      <c r="Z1683" s="1"/>
    </row>
    <row r="1684">
      <c r="A1684" s="72" t="s">
        <v>5361</v>
      </c>
      <c r="B1684" s="72" t="s">
        <v>283</v>
      </c>
      <c r="C1684" s="72" t="s">
        <v>535</v>
      </c>
      <c r="D1684" s="72" t="s">
        <v>5362</v>
      </c>
      <c r="E1684" s="72" t="s">
        <v>1276</v>
      </c>
      <c r="F1684" s="72" t="s">
        <v>5363</v>
      </c>
      <c r="G1684" s="1">
        <f>+1</f>
        <v>1</v>
      </c>
      <c r="H1684" s="127">
        <v>1.0</v>
      </c>
      <c r="I1684" s="1"/>
      <c r="J1684" s="1"/>
      <c r="K1684" s="1"/>
      <c r="L1684" s="1"/>
      <c r="M1684" s="1"/>
      <c r="N1684" s="1"/>
      <c r="O1684" s="1"/>
      <c r="P1684" s="1"/>
      <c r="Q1684" s="1"/>
      <c r="R1684" s="1"/>
      <c r="S1684" s="1"/>
      <c r="T1684" s="1"/>
      <c r="U1684" s="1"/>
      <c r="V1684" s="1"/>
      <c r="W1684" s="1"/>
      <c r="X1684" s="1"/>
      <c r="Y1684" s="1"/>
      <c r="Z1684" s="1"/>
    </row>
    <row r="1685">
      <c r="A1685" s="72" t="s">
        <v>5364</v>
      </c>
      <c r="B1685" s="72" t="s">
        <v>191</v>
      </c>
      <c r="C1685" s="72" t="s">
        <v>535</v>
      </c>
      <c r="D1685" s="72" t="s">
        <v>5365</v>
      </c>
      <c r="E1685" s="72" t="s">
        <v>1271</v>
      </c>
      <c r="F1685" s="72" t="s">
        <v>5366</v>
      </c>
      <c r="G1685" s="72" t="s">
        <v>1273</v>
      </c>
      <c r="H1685" s="127">
        <v>0.0</v>
      </c>
      <c r="I1685" s="1"/>
      <c r="J1685" s="1"/>
      <c r="K1685" s="1"/>
      <c r="L1685" s="1"/>
      <c r="M1685" s="1"/>
      <c r="N1685" s="1"/>
      <c r="O1685" s="1"/>
      <c r="P1685" s="1"/>
      <c r="Q1685" s="1"/>
      <c r="R1685" s="1"/>
      <c r="S1685" s="1"/>
      <c r="T1685" s="1"/>
      <c r="U1685" s="1"/>
      <c r="V1685" s="1"/>
      <c r="W1685" s="1"/>
      <c r="X1685" s="1"/>
      <c r="Y1685" s="1"/>
      <c r="Z1685" s="1"/>
    </row>
    <row r="1686">
      <c r="A1686" s="72" t="s">
        <v>5367</v>
      </c>
      <c r="B1686" s="72" t="s">
        <v>212</v>
      </c>
      <c r="C1686" s="72" t="s">
        <v>535</v>
      </c>
      <c r="D1686" s="72" t="s">
        <v>5368</v>
      </c>
      <c r="E1686" s="72" t="s">
        <v>1283</v>
      </c>
      <c r="F1686" s="72" t="s">
        <v>5369</v>
      </c>
      <c r="G1686" s="72">
        <v>-1.0</v>
      </c>
      <c r="H1686" s="127">
        <v>-1.0</v>
      </c>
      <c r="I1686" s="1"/>
      <c r="J1686" s="1"/>
      <c r="K1686" s="1"/>
      <c r="L1686" s="1"/>
      <c r="M1686" s="1"/>
      <c r="N1686" s="1"/>
      <c r="O1686" s="1"/>
      <c r="P1686" s="1"/>
      <c r="Q1686" s="1"/>
      <c r="R1686" s="1"/>
      <c r="S1686" s="1"/>
      <c r="T1686" s="1"/>
      <c r="U1686" s="1"/>
      <c r="V1686" s="1"/>
      <c r="W1686" s="1"/>
      <c r="X1686" s="1"/>
      <c r="Y1686" s="1"/>
      <c r="Z1686" s="1"/>
    </row>
    <row r="1687">
      <c r="A1687" s="72" t="s">
        <v>5370</v>
      </c>
      <c r="B1687" s="72" t="s">
        <v>191</v>
      </c>
      <c r="C1687" s="72" t="s">
        <v>535</v>
      </c>
      <c r="D1687" s="72" t="s">
        <v>5371</v>
      </c>
      <c r="E1687" s="72" t="s">
        <v>1276</v>
      </c>
      <c r="F1687" s="72" t="s">
        <v>5372</v>
      </c>
      <c r="G1687" s="1">
        <f>+1</f>
        <v>1</v>
      </c>
      <c r="H1687" s="127">
        <v>1.0</v>
      </c>
      <c r="I1687" s="1"/>
      <c r="J1687" s="1"/>
      <c r="K1687" s="1"/>
      <c r="L1687" s="1"/>
      <c r="M1687" s="1"/>
      <c r="N1687" s="1"/>
      <c r="O1687" s="1"/>
      <c r="P1687" s="1"/>
      <c r="Q1687" s="1"/>
      <c r="R1687" s="1"/>
      <c r="S1687" s="1"/>
      <c r="T1687" s="1"/>
      <c r="U1687" s="1"/>
      <c r="V1687" s="1"/>
      <c r="W1687" s="1"/>
      <c r="X1687" s="1"/>
      <c r="Y1687" s="1"/>
      <c r="Z1687" s="1"/>
    </row>
    <row r="1688">
      <c r="A1688" s="72" t="s">
        <v>5373</v>
      </c>
      <c r="B1688" s="72" t="s">
        <v>288</v>
      </c>
      <c r="C1688" s="72" t="s">
        <v>535</v>
      </c>
      <c r="D1688" s="72" t="s">
        <v>5374</v>
      </c>
      <c r="E1688" s="72" t="s">
        <v>1271</v>
      </c>
      <c r="F1688" s="72" t="s">
        <v>5375</v>
      </c>
      <c r="G1688" s="72" t="s">
        <v>1273</v>
      </c>
      <c r="H1688" s="127">
        <v>0.0</v>
      </c>
      <c r="I1688" s="1"/>
      <c r="J1688" s="1"/>
      <c r="K1688" s="1"/>
      <c r="L1688" s="1"/>
      <c r="M1688" s="1"/>
      <c r="N1688" s="1"/>
      <c r="O1688" s="1"/>
      <c r="P1688" s="1"/>
      <c r="Q1688" s="1"/>
      <c r="R1688" s="1"/>
      <c r="S1688" s="1"/>
      <c r="T1688" s="1"/>
      <c r="U1688" s="1"/>
      <c r="V1688" s="1"/>
      <c r="W1688" s="1"/>
      <c r="X1688" s="1"/>
      <c r="Y1688" s="1"/>
      <c r="Z1688" s="1"/>
    </row>
    <row r="1689">
      <c r="A1689" s="72" t="s">
        <v>5376</v>
      </c>
      <c r="B1689" s="72" t="s">
        <v>191</v>
      </c>
      <c r="C1689" s="72" t="s">
        <v>535</v>
      </c>
      <c r="D1689" s="72" t="s">
        <v>5377</v>
      </c>
      <c r="E1689" s="72" t="s">
        <v>1271</v>
      </c>
      <c r="F1689" s="72" t="s">
        <v>5378</v>
      </c>
      <c r="G1689" s="72" t="s">
        <v>1273</v>
      </c>
      <c r="H1689" s="127">
        <v>0.0</v>
      </c>
      <c r="I1689" s="1"/>
      <c r="J1689" s="1"/>
      <c r="K1689" s="1"/>
      <c r="L1689" s="1"/>
      <c r="M1689" s="1"/>
      <c r="N1689" s="1"/>
      <c r="O1689" s="1"/>
      <c r="P1689" s="1"/>
      <c r="Q1689" s="1"/>
      <c r="R1689" s="1"/>
      <c r="S1689" s="1"/>
      <c r="T1689" s="1"/>
      <c r="U1689" s="1"/>
      <c r="V1689" s="1"/>
      <c r="W1689" s="1"/>
      <c r="X1689" s="1"/>
      <c r="Y1689" s="1"/>
      <c r="Z1689" s="1"/>
    </row>
    <row r="1690">
      <c r="A1690" s="72" t="s">
        <v>5379</v>
      </c>
      <c r="B1690" s="72" t="s">
        <v>288</v>
      </c>
      <c r="C1690" s="72" t="s">
        <v>535</v>
      </c>
      <c r="D1690" s="72" t="s">
        <v>5380</v>
      </c>
      <c r="E1690" s="72" t="s">
        <v>1328</v>
      </c>
      <c r="F1690" s="72" t="s">
        <v>5381</v>
      </c>
      <c r="G1690" s="72">
        <v>-3.0</v>
      </c>
      <c r="H1690" s="127">
        <v>-3.0</v>
      </c>
      <c r="I1690" s="1"/>
      <c r="J1690" s="1"/>
      <c r="K1690" s="1"/>
      <c r="L1690" s="1"/>
      <c r="M1690" s="1"/>
      <c r="N1690" s="1"/>
      <c r="O1690" s="1"/>
      <c r="P1690" s="1"/>
      <c r="Q1690" s="1"/>
      <c r="R1690" s="1"/>
      <c r="S1690" s="1"/>
      <c r="T1690" s="1"/>
      <c r="U1690" s="1"/>
      <c r="V1690" s="1"/>
      <c r="W1690" s="1"/>
      <c r="X1690" s="1"/>
      <c r="Y1690" s="1"/>
      <c r="Z1690" s="1"/>
    </row>
    <row r="1691">
      <c r="A1691" s="72" t="s">
        <v>5382</v>
      </c>
      <c r="B1691" s="72" t="s">
        <v>272</v>
      </c>
      <c r="C1691" s="72" t="s">
        <v>535</v>
      </c>
      <c r="D1691" s="72" t="s">
        <v>5383</v>
      </c>
      <c r="E1691" s="72" t="s">
        <v>1271</v>
      </c>
      <c r="F1691" s="72" t="s">
        <v>5384</v>
      </c>
      <c r="G1691" s="72" t="s">
        <v>1273</v>
      </c>
      <c r="H1691" s="127">
        <v>0.0</v>
      </c>
      <c r="I1691" s="1"/>
      <c r="J1691" s="1"/>
      <c r="K1691" s="1"/>
      <c r="L1691" s="1"/>
      <c r="M1691" s="1"/>
      <c r="N1691" s="1"/>
      <c r="O1691" s="1"/>
      <c r="P1691" s="1"/>
      <c r="Q1691" s="1"/>
      <c r="R1691" s="1"/>
      <c r="S1691" s="1"/>
      <c r="T1691" s="1"/>
      <c r="U1691" s="1"/>
      <c r="V1691" s="1"/>
      <c r="W1691" s="1"/>
      <c r="X1691" s="1"/>
      <c r="Y1691" s="1"/>
      <c r="Z1691" s="1"/>
    </row>
    <row r="1692">
      <c r="A1692" s="72" t="s">
        <v>5385</v>
      </c>
      <c r="B1692" s="72" t="s">
        <v>219</v>
      </c>
      <c r="C1692" s="72" t="s">
        <v>535</v>
      </c>
      <c r="D1692" s="72" t="s">
        <v>5386</v>
      </c>
      <c r="E1692" s="72" t="s">
        <v>1335</v>
      </c>
      <c r="F1692" s="72" t="s">
        <v>5387</v>
      </c>
      <c r="G1692" s="1">
        <f>+2</f>
        <v>2</v>
      </c>
      <c r="H1692" s="127">
        <v>2.0</v>
      </c>
      <c r="I1692" s="1"/>
      <c r="J1692" s="1"/>
      <c r="K1692" s="1"/>
      <c r="L1692" s="1"/>
      <c r="M1692" s="1"/>
      <c r="N1692" s="1"/>
      <c r="O1692" s="1"/>
      <c r="P1692" s="1"/>
      <c r="Q1692" s="1"/>
      <c r="R1692" s="1"/>
      <c r="S1692" s="1"/>
      <c r="T1692" s="1"/>
      <c r="U1692" s="1"/>
      <c r="V1692" s="1"/>
      <c r="W1692" s="1"/>
      <c r="X1692" s="1"/>
      <c r="Y1692" s="1"/>
      <c r="Z1692" s="1"/>
    </row>
    <row r="1693">
      <c r="A1693" s="72" t="s">
        <v>5388</v>
      </c>
      <c r="B1693" s="72" t="s">
        <v>245</v>
      </c>
      <c r="C1693" s="72" t="s">
        <v>535</v>
      </c>
      <c r="D1693" s="72" t="s">
        <v>5389</v>
      </c>
      <c r="E1693" s="72" t="s">
        <v>1300</v>
      </c>
      <c r="F1693" s="72" t="s">
        <v>5390</v>
      </c>
      <c r="G1693" s="72">
        <v>-2.0</v>
      </c>
      <c r="H1693" s="127">
        <v>-2.0</v>
      </c>
      <c r="I1693" s="1"/>
      <c r="J1693" s="1"/>
      <c r="K1693" s="1"/>
      <c r="L1693" s="1"/>
      <c r="M1693" s="1"/>
      <c r="N1693" s="1"/>
      <c r="O1693" s="1"/>
      <c r="P1693" s="1"/>
      <c r="Q1693" s="1"/>
      <c r="R1693" s="1"/>
      <c r="S1693" s="1"/>
      <c r="T1693" s="1"/>
      <c r="U1693" s="1"/>
      <c r="V1693" s="1"/>
      <c r="W1693" s="1"/>
      <c r="X1693" s="1"/>
      <c r="Y1693" s="1"/>
      <c r="Z1693" s="1"/>
    </row>
    <row r="1694">
      <c r="A1694" s="72" t="s">
        <v>5391</v>
      </c>
      <c r="B1694" s="72" t="s">
        <v>231</v>
      </c>
      <c r="C1694" s="72" t="s">
        <v>535</v>
      </c>
      <c r="D1694" s="72" t="s">
        <v>5392</v>
      </c>
      <c r="E1694" s="72" t="s">
        <v>1283</v>
      </c>
      <c r="F1694" s="72" t="s">
        <v>5393</v>
      </c>
      <c r="G1694" s="72">
        <v>-1.0</v>
      </c>
      <c r="H1694" s="127">
        <v>-1.0</v>
      </c>
      <c r="I1694" s="1"/>
      <c r="J1694" s="1"/>
      <c r="K1694" s="1"/>
      <c r="L1694" s="1"/>
      <c r="M1694" s="1"/>
      <c r="N1694" s="1"/>
      <c r="O1694" s="1"/>
      <c r="P1694" s="1"/>
      <c r="Q1694" s="1"/>
      <c r="R1694" s="1"/>
      <c r="S1694" s="1"/>
      <c r="T1694" s="1"/>
      <c r="U1694" s="1"/>
      <c r="V1694" s="1"/>
      <c r="W1694" s="1"/>
      <c r="X1694" s="1"/>
      <c r="Y1694" s="1"/>
      <c r="Z1694" s="1"/>
    </row>
    <row r="1695">
      <c r="A1695" s="72" t="s">
        <v>5394</v>
      </c>
      <c r="B1695" s="72" t="s">
        <v>162</v>
      </c>
      <c r="C1695" s="72" t="s">
        <v>535</v>
      </c>
      <c r="D1695" s="72" t="s">
        <v>5395</v>
      </c>
      <c r="E1695" s="72" t="s">
        <v>1271</v>
      </c>
      <c r="F1695" s="72" t="s">
        <v>5396</v>
      </c>
      <c r="G1695" s="72" t="s">
        <v>1273</v>
      </c>
      <c r="H1695" s="127">
        <v>0.0</v>
      </c>
      <c r="I1695" s="1"/>
      <c r="J1695" s="1"/>
      <c r="K1695" s="1"/>
      <c r="L1695" s="1"/>
      <c r="M1695" s="1"/>
      <c r="N1695" s="1"/>
      <c r="O1695" s="1"/>
      <c r="P1695" s="1"/>
      <c r="Q1695" s="1"/>
      <c r="R1695" s="1"/>
      <c r="S1695" s="1"/>
      <c r="T1695" s="1"/>
      <c r="U1695" s="1"/>
      <c r="V1695" s="1"/>
      <c r="W1695" s="1"/>
      <c r="X1695" s="1"/>
      <c r="Y1695" s="1"/>
      <c r="Z1695" s="1"/>
    </row>
    <row r="1696">
      <c r="A1696" s="72" t="s">
        <v>5397</v>
      </c>
      <c r="B1696" s="72" t="s">
        <v>243</v>
      </c>
      <c r="C1696" s="72" t="s">
        <v>535</v>
      </c>
      <c r="D1696" s="72" t="s">
        <v>5398</v>
      </c>
      <c r="E1696" s="72" t="s">
        <v>1300</v>
      </c>
      <c r="F1696" s="72" t="s">
        <v>5399</v>
      </c>
      <c r="G1696" s="72">
        <v>-2.0</v>
      </c>
      <c r="H1696" s="127">
        <v>-2.0</v>
      </c>
      <c r="I1696" s="1"/>
      <c r="J1696" s="1"/>
      <c r="K1696" s="1"/>
      <c r="L1696" s="1"/>
      <c r="M1696" s="1"/>
      <c r="N1696" s="1"/>
      <c r="O1696" s="1"/>
      <c r="P1696" s="1"/>
      <c r="Q1696" s="1"/>
      <c r="R1696" s="1"/>
      <c r="S1696" s="1"/>
      <c r="T1696" s="1"/>
      <c r="U1696" s="1"/>
      <c r="V1696" s="1"/>
      <c r="W1696" s="1"/>
      <c r="X1696" s="1"/>
      <c r="Y1696" s="1"/>
      <c r="Z1696" s="1"/>
    </row>
    <row r="1697">
      <c r="A1697" s="72" t="s">
        <v>5400</v>
      </c>
      <c r="B1697" s="72" t="s">
        <v>138</v>
      </c>
      <c r="C1697" s="72" t="s">
        <v>535</v>
      </c>
      <c r="D1697" s="72" t="s">
        <v>5401</v>
      </c>
      <c r="E1697" s="72" t="s">
        <v>1276</v>
      </c>
      <c r="F1697" s="72" t="s">
        <v>5402</v>
      </c>
      <c r="G1697" s="1">
        <f>+1</f>
        <v>1</v>
      </c>
      <c r="H1697" s="127">
        <v>1.0</v>
      </c>
      <c r="I1697" s="1"/>
      <c r="J1697" s="1"/>
      <c r="K1697" s="1"/>
      <c r="L1697" s="1"/>
      <c r="M1697" s="1"/>
      <c r="N1697" s="1"/>
      <c r="O1697" s="1"/>
      <c r="P1697" s="1"/>
      <c r="Q1697" s="1"/>
      <c r="R1697" s="1"/>
      <c r="S1697" s="1"/>
      <c r="T1697" s="1"/>
      <c r="U1697" s="1"/>
      <c r="V1697" s="1"/>
      <c r="W1697" s="1"/>
      <c r="X1697" s="1"/>
      <c r="Y1697" s="1"/>
      <c r="Z1697" s="1"/>
    </row>
    <row r="1698">
      <c r="A1698" s="72" t="s">
        <v>5403</v>
      </c>
      <c r="B1698" s="72" t="s">
        <v>319</v>
      </c>
      <c r="C1698" s="72" t="s">
        <v>535</v>
      </c>
      <c r="D1698" s="72" t="s">
        <v>5404</v>
      </c>
      <c r="E1698" s="72" t="s">
        <v>1290</v>
      </c>
      <c r="F1698" s="72" t="s">
        <v>5405</v>
      </c>
      <c r="G1698" s="1">
        <f>+3</f>
        <v>3</v>
      </c>
      <c r="H1698" s="127">
        <v>3.0</v>
      </c>
      <c r="I1698" s="1"/>
      <c r="J1698" s="1"/>
      <c r="K1698" s="1"/>
      <c r="L1698" s="1"/>
      <c r="M1698" s="1"/>
      <c r="N1698" s="1"/>
      <c r="O1698" s="1"/>
      <c r="P1698" s="1"/>
      <c r="Q1698" s="1"/>
      <c r="R1698" s="1"/>
      <c r="S1698" s="1"/>
      <c r="T1698" s="1"/>
      <c r="U1698" s="1"/>
      <c r="V1698" s="1"/>
      <c r="W1698" s="1"/>
      <c r="X1698" s="1"/>
      <c r="Y1698" s="1"/>
      <c r="Z1698" s="1"/>
    </row>
    <row r="1699">
      <c r="A1699" s="72" t="s">
        <v>5406</v>
      </c>
      <c r="B1699" s="72" t="s">
        <v>181</v>
      </c>
      <c r="C1699" s="72" t="s">
        <v>535</v>
      </c>
      <c r="D1699" s="72" t="s">
        <v>5407</v>
      </c>
      <c r="E1699" s="72" t="s">
        <v>1271</v>
      </c>
      <c r="F1699" s="72" t="s">
        <v>5408</v>
      </c>
      <c r="G1699" s="72" t="s">
        <v>1273</v>
      </c>
      <c r="H1699" s="127">
        <v>0.0</v>
      </c>
      <c r="I1699" s="1"/>
      <c r="J1699" s="1"/>
      <c r="K1699" s="1"/>
      <c r="L1699" s="1"/>
      <c r="M1699" s="1"/>
      <c r="N1699" s="1"/>
      <c r="O1699" s="1"/>
      <c r="P1699" s="1"/>
      <c r="Q1699" s="1"/>
      <c r="R1699" s="1"/>
      <c r="S1699" s="1"/>
      <c r="T1699" s="1"/>
      <c r="U1699" s="1"/>
      <c r="V1699" s="1"/>
      <c r="W1699" s="1"/>
      <c r="X1699" s="1"/>
      <c r="Y1699" s="1"/>
      <c r="Z1699" s="1"/>
    </row>
    <row r="1700">
      <c r="A1700" s="72" t="s">
        <v>5409</v>
      </c>
      <c r="B1700" s="72" t="s">
        <v>156</v>
      </c>
      <c r="C1700" s="72" t="s">
        <v>535</v>
      </c>
      <c r="D1700" s="72" t="s">
        <v>5410</v>
      </c>
      <c r="E1700" s="72" t="s">
        <v>1271</v>
      </c>
      <c r="F1700" s="72" t="s">
        <v>5411</v>
      </c>
      <c r="G1700" s="72" t="s">
        <v>1273</v>
      </c>
      <c r="H1700" s="127">
        <v>0.0</v>
      </c>
      <c r="I1700" s="1"/>
      <c r="J1700" s="1"/>
      <c r="K1700" s="1"/>
      <c r="L1700" s="1"/>
      <c r="M1700" s="1"/>
      <c r="N1700" s="1"/>
      <c r="O1700" s="1"/>
      <c r="P1700" s="1"/>
      <c r="Q1700" s="1"/>
      <c r="R1700" s="1"/>
      <c r="S1700" s="1"/>
      <c r="T1700" s="1"/>
      <c r="U1700" s="1"/>
      <c r="V1700" s="1"/>
      <c r="W1700" s="1"/>
      <c r="X1700" s="1"/>
      <c r="Y1700" s="1"/>
      <c r="Z1700" s="1"/>
    </row>
    <row r="1701">
      <c r="A1701" s="72" t="s">
        <v>5412</v>
      </c>
      <c r="B1701" s="72" t="s">
        <v>251</v>
      </c>
      <c r="C1701" s="72" t="s">
        <v>535</v>
      </c>
      <c r="D1701" s="72" t="s">
        <v>5413</v>
      </c>
      <c r="E1701" s="72" t="s">
        <v>1271</v>
      </c>
      <c r="F1701" s="72" t="s">
        <v>5414</v>
      </c>
      <c r="G1701" s="72" t="s">
        <v>1273</v>
      </c>
      <c r="H1701" s="127">
        <v>0.0</v>
      </c>
      <c r="I1701" s="1"/>
      <c r="J1701" s="1"/>
      <c r="K1701" s="1"/>
      <c r="L1701" s="1"/>
      <c r="M1701" s="1"/>
      <c r="N1701" s="1"/>
      <c r="O1701" s="1"/>
      <c r="P1701" s="1"/>
      <c r="Q1701" s="1"/>
      <c r="R1701" s="1"/>
      <c r="S1701" s="1"/>
      <c r="T1701" s="1"/>
      <c r="U1701" s="1"/>
      <c r="V1701" s="1"/>
      <c r="W1701" s="1"/>
      <c r="X1701" s="1"/>
      <c r="Y1701" s="1"/>
      <c r="Z1701" s="1"/>
    </row>
    <row r="1702">
      <c r="A1702" s="72" t="s">
        <v>5415</v>
      </c>
      <c r="B1702" s="72" t="s">
        <v>231</v>
      </c>
      <c r="C1702" s="72" t="s">
        <v>535</v>
      </c>
      <c r="D1702" s="72" t="s">
        <v>5416</v>
      </c>
      <c r="E1702" s="72" t="s">
        <v>1271</v>
      </c>
      <c r="F1702" s="72" t="s">
        <v>5417</v>
      </c>
      <c r="G1702" s="72" t="s">
        <v>1273</v>
      </c>
      <c r="H1702" s="127">
        <v>0.0</v>
      </c>
      <c r="I1702" s="1"/>
      <c r="J1702" s="1"/>
      <c r="K1702" s="1"/>
      <c r="L1702" s="1"/>
      <c r="M1702" s="1"/>
      <c r="N1702" s="1"/>
      <c r="O1702" s="1"/>
      <c r="P1702" s="1"/>
      <c r="Q1702" s="1"/>
      <c r="R1702" s="1"/>
      <c r="S1702" s="1"/>
      <c r="T1702" s="1"/>
      <c r="U1702" s="1"/>
      <c r="V1702" s="1"/>
      <c r="W1702" s="1"/>
      <c r="X1702" s="1"/>
      <c r="Y1702" s="1"/>
      <c r="Z1702" s="1"/>
    </row>
    <row r="1703">
      <c r="A1703" s="72" t="s">
        <v>5418</v>
      </c>
      <c r="B1703" s="72" t="s">
        <v>319</v>
      </c>
      <c r="C1703" s="72" t="s">
        <v>535</v>
      </c>
      <c r="D1703" s="72" t="s">
        <v>5419</v>
      </c>
      <c r="E1703" s="72" t="s">
        <v>1271</v>
      </c>
      <c r="F1703" s="72" t="s">
        <v>5420</v>
      </c>
      <c r="G1703" s="72" t="s">
        <v>1273</v>
      </c>
      <c r="H1703" s="127">
        <v>0.0</v>
      </c>
      <c r="I1703" s="1"/>
      <c r="J1703" s="1"/>
      <c r="K1703" s="1"/>
      <c r="L1703" s="1"/>
      <c r="M1703" s="1"/>
      <c r="N1703" s="1"/>
      <c r="O1703" s="1"/>
      <c r="P1703" s="1"/>
      <c r="Q1703" s="1"/>
      <c r="R1703" s="1"/>
      <c r="S1703" s="1"/>
      <c r="T1703" s="1"/>
      <c r="U1703" s="1"/>
      <c r="V1703" s="1"/>
      <c r="W1703" s="1"/>
      <c r="X1703" s="1"/>
      <c r="Y1703" s="1"/>
      <c r="Z1703" s="1"/>
    </row>
    <row r="1704">
      <c r="A1704" s="1" t="s">
        <v>5418</v>
      </c>
      <c r="B1704" s="1" t="s">
        <v>319</v>
      </c>
      <c r="C1704" s="1" t="s">
        <v>535</v>
      </c>
      <c r="D1704" s="1" t="s">
        <v>5419</v>
      </c>
      <c r="E1704" s="1" t="s">
        <v>1271</v>
      </c>
      <c r="F1704" s="1" t="s">
        <v>5420</v>
      </c>
      <c r="G1704" s="1" t="s">
        <v>1273</v>
      </c>
      <c r="H1704" s="31">
        <v>0.0</v>
      </c>
      <c r="I1704" s="1"/>
      <c r="J1704" s="1"/>
      <c r="K1704" s="1"/>
      <c r="L1704" s="1"/>
      <c r="M1704" s="1"/>
      <c r="N1704" s="1"/>
      <c r="O1704" s="1"/>
      <c r="P1704" s="1"/>
      <c r="Q1704" s="1"/>
      <c r="R1704" s="1"/>
      <c r="S1704" s="1"/>
      <c r="T1704" s="1"/>
      <c r="U1704" s="1"/>
      <c r="V1704" s="1"/>
      <c r="W1704" s="1"/>
      <c r="X1704" s="1"/>
      <c r="Y1704" s="1"/>
      <c r="Z1704" s="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8.25"/>
    <col customWidth="1" min="4" max="4" width="12.63"/>
    <col customWidth="1" min="5" max="5" width="11.5"/>
    <col customWidth="1" min="6" max="6" width="11.63"/>
    <col customWidth="1" min="7" max="7" width="11.5"/>
    <col customWidth="1" min="8" max="9" width="13.13"/>
    <col customWidth="1" min="10" max="10" width="14.0"/>
    <col customWidth="1" min="11" max="11" width="10.88"/>
  </cols>
  <sheetData>
    <row r="1">
      <c r="A1" s="104" t="s">
        <v>8</v>
      </c>
      <c r="B1" s="104" t="s">
        <v>13</v>
      </c>
      <c r="C1" s="104" t="s">
        <v>5421</v>
      </c>
      <c r="D1" s="104">
        <v>-3.0</v>
      </c>
      <c r="E1" s="104">
        <v>-2.0</v>
      </c>
      <c r="F1" s="104">
        <v>-1.0</v>
      </c>
      <c r="G1" s="104">
        <v>0.0</v>
      </c>
      <c r="H1" s="104">
        <v>1.0</v>
      </c>
      <c r="I1" s="104">
        <v>2.0</v>
      </c>
      <c r="J1" s="104">
        <v>3.0</v>
      </c>
    </row>
    <row r="2">
      <c r="A2" s="104" t="s">
        <v>5422</v>
      </c>
      <c r="B2" s="104" t="s">
        <v>5423</v>
      </c>
      <c r="C2" s="150">
        <f t="shared" ref="C2:C173" si="1">IF(ISBLANK(B2), "", LEFT(B2, FIND("-", B2)-1) / (LEFT(B2, FIND("-", B2)-1) + MID(B2, FIND("-", B2)+1, LEN(B2))))</f>
        <v>0.85</v>
      </c>
      <c r="D2" s="150">
        <f t="array" ref="D2">COUNTIFS('Pool Changes'!$B:$B, $A2 &amp; " - " &amp; "*", INDEX(SUBSTITUTE('Pool Changes'!$G:$G, "±", "")*1,0), D$1)</f>
        <v>0</v>
      </c>
      <c r="E2" s="150">
        <f t="array" ref="E2">COUNTIFS('Pool Changes'!$B:$B, $A2 &amp; " - " &amp; "*", INDEX(SUBSTITUTE('Pool Changes'!$G:$G, "±", "")*1,0), E$1)</f>
        <v>1</v>
      </c>
      <c r="F2" s="150">
        <f t="array" ref="F2">COUNTIFS('Pool Changes'!$B:$B, $A2 &amp; " - " &amp; "*", INDEX(SUBSTITUTE('Pool Changes'!$G:$G, "±", "")*1,0), F$1)</f>
        <v>0</v>
      </c>
      <c r="G2" s="150">
        <f t="array" ref="G2">COUNTIFS('Pool Changes'!$B:$B, $A2 &amp; " - " &amp; "*", INDEX(SUBSTITUTE('Pool Changes'!$G:$G, "±", "")*1,0), G$1) - 1</f>
        <v>2</v>
      </c>
      <c r="H2" s="150">
        <f t="array" ref="H2">COUNTIFS('Pool Changes'!$B:$B, $A2 &amp; " - " &amp; "*", INDEX(SUBSTITUTE('Pool Changes'!$G:$G, "±", "")*1,0), H$1)</f>
        <v>0</v>
      </c>
      <c r="I2" s="150">
        <f t="array" ref="I2">COUNTIFS('Pool Changes'!$B:$B, $A2 &amp; " - " &amp; "*", INDEX(SUBSTITUTE('Pool Changes'!$G:$G, "±", "")*1,0), I$1)</f>
        <v>0</v>
      </c>
      <c r="J2" s="150">
        <f t="array" ref="J2">COUNTIFS('Pool Changes'!$B:$B, $A2 &amp; " - " &amp; "*", INDEX(SUBSTITUTE('Pool Changes'!$G:$G, "±", "")*1,0), J$1)</f>
        <v>1</v>
      </c>
      <c r="K2" s="150">
        <f t="shared" ref="K2:K173" si="2">sum(D2:J2)</f>
        <v>4</v>
      </c>
    </row>
    <row r="3">
      <c r="A3" s="104" t="s">
        <v>5424</v>
      </c>
      <c r="B3" s="104" t="s">
        <v>5425</v>
      </c>
      <c r="C3" s="150">
        <f t="shared" si="1"/>
        <v>0.8</v>
      </c>
      <c r="D3" s="150">
        <f t="array" ref="D3">COUNTIFS('Pool Changes'!$B:$B, $A3 &amp; " - " &amp; "*", INDEX(SUBSTITUTE('Pool Changes'!$G:$G, "±", "")*1,0), D$1)</f>
        <v>0</v>
      </c>
      <c r="E3" s="150">
        <f t="array" ref="E3">COUNTIFS('Pool Changes'!$B:$B, $A3 &amp; " - " &amp; "*", INDEX(SUBSTITUTE('Pool Changes'!$G:$G, "±", "")*1,0), E$1)</f>
        <v>0</v>
      </c>
      <c r="F3" s="150">
        <f t="array" ref="F3">COUNTIFS('Pool Changes'!$B:$B, $A3 &amp; " - " &amp; "*", INDEX(SUBSTITUTE('Pool Changes'!$G:$G, "±", "")*1,0), F$1)</f>
        <v>0</v>
      </c>
      <c r="G3" s="150">
        <f t="array" ref="G3">COUNTIFS('Pool Changes'!$B:$B, $A3 &amp; " - " &amp; "*", INDEX(SUBSTITUTE('Pool Changes'!$G:$G, "±", "")*1,0), G$1) - 1</f>
        <v>2</v>
      </c>
      <c r="H3" s="150">
        <f t="array" ref="H3">COUNTIFS('Pool Changes'!$B:$B, $A3 &amp; " - " &amp; "*", INDEX(SUBSTITUTE('Pool Changes'!$G:$G, "±", "")*1,0), H$1)</f>
        <v>3</v>
      </c>
      <c r="I3" s="150">
        <f t="array" ref="I3">COUNTIFS('Pool Changes'!$B:$B, $A3 &amp; " - " &amp; "*", INDEX(SUBSTITUTE('Pool Changes'!$G:$G, "±", "")*1,0), I$1)</f>
        <v>0</v>
      </c>
      <c r="J3" s="150">
        <f t="array" ref="J3">COUNTIFS('Pool Changes'!$B:$B, $A3 &amp; " - " &amp; "*", INDEX(SUBSTITUTE('Pool Changes'!$G:$G, "±", "")*1,0), J$1)</f>
        <v>0</v>
      </c>
      <c r="K3" s="150">
        <f t="shared" si="2"/>
        <v>5</v>
      </c>
    </row>
    <row r="4">
      <c r="A4" s="104" t="s">
        <v>5426</v>
      </c>
      <c r="B4" s="104" t="s">
        <v>5427</v>
      </c>
      <c r="C4" s="150">
        <f t="shared" si="1"/>
        <v>0.7894736842</v>
      </c>
      <c r="D4" s="150">
        <f t="array" ref="D4">COUNTIFS('Pool Changes'!$B:$B, $A4 &amp; " - " &amp; "*", INDEX(SUBSTITUTE('Pool Changes'!$G:$G, "±", "")*1,0), D$1)</f>
        <v>0</v>
      </c>
      <c r="E4" s="150">
        <f t="array" ref="E4">COUNTIFS('Pool Changes'!$B:$B, $A4 &amp; " - " &amp; "*", INDEX(SUBSTITUTE('Pool Changes'!$G:$G, "±", "")*1,0), E$1)</f>
        <v>0</v>
      </c>
      <c r="F4" s="150">
        <f t="array" ref="F4">COUNTIFS('Pool Changes'!$B:$B, $A4 &amp; " - " &amp; "*", INDEX(SUBSTITUTE('Pool Changes'!$G:$G, "±", "")*1,0), F$1)</f>
        <v>2</v>
      </c>
      <c r="G4" s="150">
        <f t="array" ref="G4">COUNTIFS('Pool Changes'!$B:$B, $A4 &amp; " - " &amp; "*", INDEX(SUBSTITUTE('Pool Changes'!$G:$G, "±", "")*1,0), G$1) - 1</f>
        <v>2</v>
      </c>
      <c r="H4" s="150">
        <f t="array" ref="H4">COUNTIFS('Pool Changes'!$B:$B, $A4 &amp; " - " &amp; "*", INDEX(SUBSTITUTE('Pool Changes'!$G:$G, "±", "")*1,0), H$1)</f>
        <v>0</v>
      </c>
      <c r="I4" s="150">
        <f t="array" ref="I4">COUNTIFS('Pool Changes'!$B:$B, $A4 &amp; " - " &amp; "*", INDEX(SUBSTITUTE('Pool Changes'!$G:$G, "±", "")*1,0), I$1)</f>
        <v>1</v>
      </c>
      <c r="J4" s="150">
        <f t="array" ref="J4">COUNTIFS('Pool Changes'!$B:$B, $A4 &amp; " - " &amp; "*", INDEX(SUBSTITUTE('Pool Changes'!$G:$G, "±", "")*1,0), J$1)</f>
        <v>0</v>
      </c>
      <c r="K4" s="150">
        <f t="shared" si="2"/>
        <v>5</v>
      </c>
    </row>
    <row r="5">
      <c r="A5" s="104" t="s">
        <v>5428</v>
      </c>
      <c r="B5" s="104" t="s">
        <v>5429</v>
      </c>
      <c r="C5" s="150">
        <f t="shared" si="1"/>
        <v>0.75</v>
      </c>
      <c r="D5" s="150">
        <f t="array" ref="D5">COUNTIFS('Pool Changes'!$B:$B, $A5 &amp; " - " &amp; "*", INDEX(SUBSTITUTE('Pool Changes'!$G:$G, "±", "")*1,0), D$1)</f>
        <v>1</v>
      </c>
      <c r="E5" s="150">
        <f t="array" ref="E5">COUNTIFS('Pool Changes'!$B:$B, $A5 &amp; " - " &amp; "*", INDEX(SUBSTITUTE('Pool Changes'!$G:$G, "±", "")*1,0), E$1)</f>
        <v>0</v>
      </c>
      <c r="F5" s="150">
        <f t="array" ref="F5">COUNTIFS('Pool Changes'!$B:$B, $A5 &amp; " - " &amp; "*", INDEX(SUBSTITUTE('Pool Changes'!$G:$G, "±", "")*1,0), F$1)</f>
        <v>0</v>
      </c>
      <c r="G5" s="150">
        <f t="array" ref="G5">COUNTIFS('Pool Changes'!$B:$B, $A5 &amp; " - " &amp; "*", INDEX(SUBSTITUTE('Pool Changes'!$G:$G, "±", "")*1,0), G$1) - 1</f>
        <v>2</v>
      </c>
      <c r="H5" s="150">
        <f t="array" ref="H5">COUNTIFS('Pool Changes'!$B:$B, $A5 &amp; " - " &amp; "*", INDEX(SUBSTITUTE('Pool Changes'!$G:$G, "±", "")*1,0), H$1)</f>
        <v>2</v>
      </c>
      <c r="I5" s="150">
        <f t="array" ref="I5">COUNTIFS('Pool Changes'!$B:$B, $A5 &amp; " - " &amp; "*", INDEX(SUBSTITUTE('Pool Changes'!$G:$G, "±", "")*1,0), I$1)</f>
        <v>0</v>
      </c>
      <c r="J5" s="150">
        <f t="array" ref="J5">COUNTIFS('Pool Changes'!$B:$B, $A5 &amp; " - " &amp; "*", INDEX(SUBSTITUTE('Pool Changes'!$G:$G, "±", "")*1,0), J$1)</f>
        <v>1</v>
      </c>
      <c r="K5" s="150">
        <f t="shared" si="2"/>
        <v>6</v>
      </c>
    </row>
    <row r="6">
      <c r="A6" s="104" t="s">
        <v>5430</v>
      </c>
      <c r="B6" s="104" t="s">
        <v>5429</v>
      </c>
      <c r="C6" s="150">
        <f t="shared" si="1"/>
        <v>0.75</v>
      </c>
      <c r="D6" s="150">
        <f t="array" ref="D6">COUNTIFS('Pool Changes'!$B:$B, $A6 &amp; " - " &amp; "*", INDEX(SUBSTITUTE('Pool Changes'!$G:$G, "±", "")*1,0), D$1)</f>
        <v>0</v>
      </c>
      <c r="E6" s="150">
        <f t="array" ref="E6">COUNTIFS('Pool Changes'!$B:$B, $A6 &amp; " - " &amp; "*", INDEX(SUBSTITUTE('Pool Changes'!$G:$G, "±", "")*1,0), E$1)</f>
        <v>1</v>
      </c>
      <c r="F6" s="150">
        <f t="array" ref="F6">COUNTIFS('Pool Changes'!$B:$B, $A6 &amp; " - " &amp; "*", INDEX(SUBSTITUTE('Pool Changes'!$G:$G, "±", "")*1,0), F$1)</f>
        <v>0</v>
      </c>
      <c r="G6" s="150">
        <f t="array" ref="G6">COUNTIFS('Pool Changes'!$B:$B, $A6 &amp; " - " &amp; "*", INDEX(SUBSTITUTE('Pool Changes'!$G:$G, "±", "")*1,0), G$1) - 1</f>
        <v>3</v>
      </c>
      <c r="H6" s="150">
        <f t="array" ref="H6">COUNTIFS('Pool Changes'!$B:$B, $A6 &amp; " - " &amp; "*", INDEX(SUBSTITUTE('Pool Changes'!$G:$G, "±", "")*1,0), H$1)</f>
        <v>0</v>
      </c>
      <c r="I6" s="150">
        <f t="array" ref="I6">COUNTIFS('Pool Changes'!$B:$B, $A6 &amp; " - " &amp; "*", INDEX(SUBSTITUTE('Pool Changes'!$G:$G, "±", "")*1,0), I$1)</f>
        <v>0</v>
      </c>
      <c r="J6" s="150">
        <f t="array" ref="J6">COUNTIFS('Pool Changes'!$B:$B, $A6 &amp; " - " &amp; "*", INDEX(SUBSTITUTE('Pool Changes'!$G:$G, "±", "")*1,0), J$1)</f>
        <v>2</v>
      </c>
      <c r="K6" s="150">
        <f t="shared" si="2"/>
        <v>6</v>
      </c>
    </row>
    <row r="7">
      <c r="A7" s="104" t="s">
        <v>5431</v>
      </c>
      <c r="B7" s="104" t="s">
        <v>5429</v>
      </c>
      <c r="C7" s="150">
        <f t="shared" si="1"/>
        <v>0.75</v>
      </c>
      <c r="D7" s="150">
        <f t="array" ref="D7">COUNTIFS('Pool Changes'!$B:$B, $A7 &amp; " - " &amp; "*", INDEX(SUBSTITUTE('Pool Changes'!$G:$G, "±", "")*1,0), D$1)</f>
        <v>0</v>
      </c>
      <c r="E7" s="150">
        <f t="array" ref="E7">COUNTIFS('Pool Changes'!$B:$B, $A7 &amp; " - " &amp; "*", INDEX(SUBSTITUTE('Pool Changes'!$G:$G, "±", "")*1,0), E$1)</f>
        <v>2</v>
      </c>
      <c r="F7" s="150">
        <f t="array" ref="F7">COUNTIFS('Pool Changes'!$B:$B, $A7 &amp; " - " &amp; "*", INDEX(SUBSTITUTE('Pool Changes'!$G:$G, "±", "")*1,0), F$1)</f>
        <v>1</v>
      </c>
      <c r="G7" s="150">
        <f t="array" ref="G7">COUNTIFS('Pool Changes'!$B:$B, $A7 &amp; " - " &amp; "*", INDEX(SUBSTITUTE('Pool Changes'!$G:$G, "±", "")*1,0), G$1) - 1</f>
        <v>2</v>
      </c>
      <c r="H7" s="150">
        <f t="array" ref="H7">COUNTIFS('Pool Changes'!$B:$B, $A7 &amp; " - " &amp; "*", INDEX(SUBSTITUTE('Pool Changes'!$G:$G, "±", "")*1,0), H$1)</f>
        <v>0</v>
      </c>
      <c r="I7" s="150">
        <f t="array" ref="I7">COUNTIFS('Pool Changes'!$B:$B, $A7 &amp; " - " &amp; "*", INDEX(SUBSTITUTE('Pool Changes'!$G:$G, "±", "")*1,0), I$1)</f>
        <v>1</v>
      </c>
      <c r="J7" s="150">
        <f t="array" ref="J7">COUNTIFS('Pool Changes'!$B:$B, $A7 &amp; " - " &amp; "*", INDEX(SUBSTITUTE('Pool Changes'!$G:$G, "±", "")*1,0), J$1)</f>
        <v>0</v>
      </c>
      <c r="K7" s="150">
        <f t="shared" si="2"/>
        <v>6</v>
      </c>
    </row>
    <row r="8">
      <c r="A8" s="104" t="s">
        <v>5454</v>
      </c>
      <c r="B8" s="104" t="s">
        <v>5429</v>
      </c>
      <c r="C8" s="150">
        <f t="shared" si="1"/>
        <v>0.75</v>
      </c>
      <c r="D8" s="150">
        <f t="array" ref="D8">COUNTIFS('Pool Changes'!$B:$B, $A8 &amp; " - " &amp; "*", INDEX(SUBSTITUTE('Pool Changes'!$G:$G, "±", "")*1,0), D$1)</f>
        <v>0</v>
      </c>
      <c r="E8" s="150">
        <f t="array" ref="E8">COUNTIFS('Pool Changes'!$B:$B, $A8 &amp; " - " &amp; "*", INDEX(SUBSTITUTE('Pool Changes'!$G:$G, "±", "")*1,0), E$1)</f>
        <v>0</v>
      </c>
      <c r="F8" s="150">
        <f t="array" ref="F8">COUNTIFS('Pool Changes'!$B:$B, $A8 &amp; " - " &amp; "*", INDEX(SUBSTITUTE('Pool Changes'!$G:$G, "±", "")*1,0), F$1)</f>
        <v>1</v>
      </c>
      <c r="G8" s="150">
        <f t="array" ref="G8">COUNTIFS('Pool Changes'!$B:$B, $A8 &amp; " - " &amp; "*", INDEX(SUBSTITUTE('Pool Changes'!$G:$G, "±", "")*1,0), G$1) - 1</f>
        <v>3</v>
      </c>
      <c r="H8" s="150">
        <f t="array" ref="H8">COUNTIFS('Pool Changes'!$B:$B, $A8 &amp; " - " &amp; "*", INDEX(SUBSTITUTE('Pool Changes'!$G:$G, "±", "")*1,0), H$1)</f>
        <v>0</v>
      </c>
      <c r="I8" s="150">
        <f t="array" ref="I8">COUNTIFS('Pool Changes'!$B:$B, $A8 &amp; " - " &amp; "*", INDEX(SUBSTITUTE('Pool Changes'!$G:$G, "±", "")*1,0), I$1)</f>
        <v>1</v>
      </c>
      <c r="J8" s="150">
        <f t="array" ref="J8">COUNTIFS('Pool Changes'!$B:$B, $A8 &amp; " - " &amp; "*", INDEX(SUBSTITUTE('Pool Changes'!$G:$G, "±", "")*1,0), J$1)</f>
        <v>1</v>
      </c>
      <c r="K8" s="150">
        <f t="shared" si="2"/>
        <v>6</v>
      </c>
    </row>
    <row r="9">
      <c r="A9" s="104" t="s">
        <v>5477</v>
      </c>
      <c r="B9" s="104" t="s">
        <v>5478</v>
      </c>
      <c r="C9" s="150">
        <f t="shared" si="1"/>
        <v>0.7</v>
      </c>
      <c r="D9" s="150">
        <f t="array" ref="D9">COUNTIFS('Pool Changes'!$B:$B, $A9 &amp; " - " &amp; "*", INDEX(SUBSTITUTE('Pool Changes'!$G:$G, "±", "")*1,0), D$1)</f>
        <v>0</v>
      </c>
      <c r="E9" s="150">
        <f t="array" ref="E9">COUNTIFS('Pool Changes'!$B:$B, $A9 &amp; " - " &amp; "*", INDEX(SUBSTITUTE('Pool Changes'!$G:$G, "±", "")*1,0), E$1)</f>
        <v>0</v>
      </c>
      <c r="F9" s="150">
        <f t="array" ref="F9">COUNTIFS('Pool Changes'!$B:$B, $A9 &amp; " - " &amp; "*", INDEX(SUBSTITUTE('Pool Changes'!$G:$G, "±", "")*1,0), F$1)</f>
        <v>0</v>
      </c>
      <c r="G9" s="150">
        <f t="array" ref="G9">COUNTIFS('Pool Changes'!$B:$B, $A9 &amp; " - " &amp; "*", INDEX(SUBSTITUTE('Pool Changes'!$G:$G, "±", "")*1,0), G$1) - 1</f>
        <v>1</v>
      </c>
      <c r="H9" s="150">
        <f t="array" ref="H9">COUNTIFS('Pool Changes'!$B:$B, $A9 &amp; " - " &amp; "*", INDEX(SUBSTITUTE('Pool Changes'!$G:$G, "±", "")*1,0), H$1)</f>
        <v>1</v>
      </c>
      <c r="I9" s="150">
        <f t="array" ref="I9">COUNTIFS('Pool Changes'!$B:$B, $A9 &amp; " - " &amp; "*", INDEX(SUBSTITUTE('Pool Changes'!$G:$G, "±", "")*1,0), I$1)</f>
        <v>1</v>
      </c>
      <c r="J9" s="150">
        <f t="array" ref="J9">COUNTIFS('Pool Changes'!$B:$B, $A9 &amp; " - " &amp; "*", INDEX(SUBSTITUTE('Pool Changes'!$G:$G, "±", "")*1,0), J$1)</f>
        <v>4</v>
      </c>
      <c r="K9" s="150">
        <f t="shared" si="2"/>
        <v>7</v>
      </c>
    </row>
    <row r="10">
      <c r="A10" s="104" t="s">
        <v>5436</v>
      </c>
      <c r="B10" s="104" t="s">
        <v>5478</v>
      </c>
      <c r="C10" s="150">
        <f t="shared" si="1"/>
        <v>0.7</v>
      </c>
      <c r="D10" s="150">
        <f t="array" ref="D10">COUNTIFS('Pool Changes'!$B:$B, $A10 &amp; " - " &amp; "*", INDEX(SUBSTITUTE('Pool Changes'!$G:$G, "±", "")*1,0), D$1)</f>
        <v>2</v>
      </c>
      <c r="E10" s="150">
        <f t="array" ref="E10">COUNTIFS('Pool Changes'!$B:$B, $A10 &amp; " - " &amp; "*", INDEX(SUBSTITUTE('Pool Changes'!$G:$G, "±", "")*1,0), E$1)</f>
        <v>3</v>
      </c>
      <c r="F10" s="150">
        <f t="array" ref="F10">COUNTIFS('Pool Changes'!$B:$B, $A10 &amp; " - " &amp; "*", INDEX(SUBSTITUTE('Pool Changes'!$G:$G, "±", "")*1,0), F$1)</f>
        <v>0</v>
      </c>
      <c r="G10" s="150">
        <f t="array" ref="G10">COUNTIFS('Pool Changes'!$B:$B, $A10 &amp; " - " &amp; "*", INDEX(SUBSTITUTE('Pool Changes'!$G:$G, "±", "")*1,0), G$1) - 1</f>
        <v>2</v>
      </c>
      <c r="H10" s="150">
        <f t="array" ref="H10">COUNTIFS('Pool Changes'!$B:$B, $A10 &amp; " - " &amp; "*", INDEX(SUBSTITUTE('Pool Changes'!$G:$G, "±", "")*1,0), H$1)</f>
        <v>0</v>
      </c>
      <c r="I10" s="150">
        <f t="array" ref="I10">COUNTIFS('Pool Changes'!$B:$B, $A10 &amp; " - " &amp; "*", INDEX(SUBSTITUTE('Pool Changes'!$G:$G, "±", "")*1,0), I$1)</f>
        <v>0</v>
      </c>
      <c r="J10" s="150">
        <f t="array" ref="J10">COUNTIFS('Pool Changes'!$B:$B, $A10 &amp; " - " &amp; "*", INDEX(SUBSTITUTE('Pool Changes'!$G:$G, "±", "")*1,0), J$1)</f>
        <v>0</v>
      </c>
      <c r="K10" s="150">
        <f t="shared" si="2"/>
        <v>7</v>
      </c>
    </row>
    <row r="11">
      <c r="A11" s="104" t="s">
        <v>5504</v>
      </c>
      <c r="B11" s="104" t="s">
        <v>5478</v>
      </c>
      <c r="C11" s="150">
        <f t="shared" si="1"/>
        <v>0.7</v>
      </c>
      <c r="D11" s="150">
        <f t="array" ref="D11">COUNTIFS('Pool Changes'!$B:$B, $A11 &amp; " - " &amp; "*", INDEX(SUBSTITUTE('Pool Changes'!$G:$G, "±", "")*1,0), D$1)</f>
        <v>0</v>
      </c>
      <c r="E11" s="150">
        <f t="array" ref="E11">COUNTIFS('Pool Changes'!$B:$B, $A11 &amp; " - " &amp; "*", INDEX(SUBSTITUTE('Pool Changes'!$G:$G, "±", "")*1,0), E$1)</f>
        <v>0</v>
      </c>
      <c r="F11" s="150">
        <f t="array" ref="F11">COUNTIFS('Pool Changes'!$B:$B, $A11 &amp; " - " &amp; "*", INDEX(SUBSTITUTE('Pool Changes'!$G:$G, "±", "")*1,0), F$1)</f>
        <v>0</v>
      </c>
      <c r="G11" s="150">
        <f t="array" ref="G11">COUNTIFS('Pool Changes'!$B:$B, $A11 &amp; " - " &amp; "*", INDEX(SUBSTITUTE('Pool Changes'!$G:$G, "±", "")*1,0), G$1) - 1</f>
        <v>3</v>
      </c>
      <c r="H11" s="150">
        <f t="array" ref="H11">COUNTIFS('Pool Changes'!$B:$B, $A11 &amp; " - " &amp; "*", INDEX(SUBSTITUTE('Pool Changes'!$G:$G, "±", "")*1,0), H$1)</f>
        <v>0</v>
      </c>
      <c r="I11" s="150">
        <f t="array" ref="I11">COUNTIFS('Pool Changes'!$B:$B, $A11 &amp; " - " &amp; "*", INDEX(SUBSTITUTE('Pool Changes'!$G:$G, "±", "")*1,0), I$1)</f>
        <v>2</v>
      </c>
      <c r="J11" s="150">
        <f t="array" ref="J11">COUNTIFS('Pool Changes'!$B:$B, $A11 &amp; " - " &amp; "*", INDEX(SUBSTITUTE('Pool Changes'!$G:$G, "±", "")*1,0), J$1)</f>
        <v>2</v>
      </c>
      <c r="K11" s="150">
        <f t="shared" si="2"/>
        <v>7</v>
      </c>
    </row>
    <row r="12">
      <c r="A12" s="104" t="s">
        <v>5542</v>
      </c>
      <c r="B12" s="104" t="s">
        <v>5478</v>
      </c>
      <c r="C12" s="150">
        <f t="shared" si="1"/>
        <v>0.7</v>
      </c>
      <c r="D12" s="150">
        <f t="array" ref="D12">COUNTIFS('Pool Changes'!$B:$B, $A12 &amp; " - " &amp; "*", INDEX(SUBSTITUTE('Pool Changes'!$G:$G, "±", "")*1,0), D$1)</f>
        <v>0</v>
      </c>
      <c r="E12" s="150">
        <f t="array" ref="E12">COUNTIFS('Pool Changes'!$B:$B, $A12 &amp; " - " &amp; "*", INDEX(SUBSTITUTE('Pool Changes'!$G:$G, "±", "")*1,0), E$1)</f>
        <v>1</v>
      </c>
      <c r="F12" s="150">
        <f t="array" ref="F12">COUNTIFS('Pool Changes'!$B:$B, $A12 &amp; " - " &amp; "*", INDEX(SUBSTITUTE('Pool Changes'!$G:$G, "±", "")*1,0), F$1)</f>
        <v>2</v>
      </c>
      <c r="G12" s="150">
        <f t="array" ref="G12">COUNTIFS('Pool Changes'!$B:$B, $A12 &amp; " - " &amp; "*", INDEX(SUBSTITUTE('Pool Changes'!$G:$G, "±", "")*1,0), G$1) - 1</f>
        <v>1</v>
      </c>
      <c r="H12" s="150">
        <f t="array" ref="H12">COUNTIFS('Pool Changes'!$B:$B, $A12 &amp; " - " &amp; "*", INDEX(SUBSTITUTE('Pool Changes'!$G:$G, "±", "")*1,0), H$1)</f>
        <v>1</v>
      </c>
      <c r="I12" s="150">
        <f t="array" ref="I12">COUNTIFS('Pool Changes'!$B:$B, $A12 &amp; " - " &amp; "*", INDEX(SUBSTITUTE('Pool Changes'!$G:$G, "±", "")*1,0), I$1)</f>
        <v>1</v>
      </c>
      <c r="J12" s="150">
        <f t="array" ref="J12">COUNTIFS('Pool Changes'!$B:$B, $A12 &amp; " - " &amp; "*", INDEX(SUBSTITUTE('Pool Changes'!$G:$G, "±", "")*1,0), J$1)</f>
        <v>1</v>
      </c>
      <c r="K12" s="150">
        <f t="shared" si="2"/>
        <v>7</v>
      </c>
    </row>
    <row r="13">
      <c r="A13" s="104" t="s">
        <v>5561</v>
      </c>
      <c r="B13" s="104" t="s">
        <v>5478</v>
      </c>
      <c r="C13" s="150">
        <f t="shared" si="1"/>
        <v>0.7</v>
      </c>
      <c r="D13" s="150">
        <f t="array" ref="D13">COUNTIFS('Pool Changes'!$B:$B, $A13 &amp; " - " &amp; "*", INDEX(SUBSTITUTE('Pool Changes'!$G:$G, "±", "")*1,0), D$1)</f>
        <v>0</v>
      </c>
      <c r="E13" s="150">
        <f t="array" ref="E13">COUNTIFS('Pool Changes'!$B:$B, $A13 &amp; " - " &amp; "*", INDEX(SUBSTITUTE('Pool Changes'!$G:$G, "±", "")*1,0), E$1)</f>
        <v>0</v>
      </c>
      <c r="F13" s="150">
        <f t="array" ref="F13">COUNTIFS('Pool Changes'!$B:$B, $A13 &amp; " - " &amp; "*", INDEX(SUBSTITUTE('Pool Changes'!$G:$G, "±", "")*1,0), F$1)</f>
        <v>0</v>
      </c>
      <c r="G13" s="150">
        <f t="array" ref="G13">COUNTIFS('Pool Changes'!$B:$B, $A13 &amp; " - " &amp; "*", INDEX(SUBSTITUTE('Pool Changes'!$G:$G, "±", "")*1,0), G$1) - 1</f>
        <v>3</v>
      </c>
      <c r="H13" s="150">
        <f t="array" ref="H13">COUNTIFS('Pool Changes'!$B:$B, $A13 &amp; " - " &amp; "*", INDEX(SUBSTITUTE('Pool Changes'!$G:$G, "±", "")*1,0), H$1)</f>
        <v>1</v>
      </c>
      <c r="I13" s="150">
        <f t="array" ref="I13">COUNTIFS('Pool Changes'!$B:$B, $A13 &amp; " - " &amp; "*", INDEX(SUBSTITUTE('Pool Changes'!$G:$G, "±", "")*1,0), I$1)</f>
        <v>2</v>
      </c>
      <c r="J13" s="150">
        <f t="array" ref="J13">COUNTIFS('Pool Changes'!$B:$B, $A13 &amp; " - " &amp; "*", INDEX(SUBSTITUTE('Pool Changes'!$G:$G, "±", "")*1,0), J$1)</f>
        <v>1</v>
      </c>
      <c r="K13" s="150">
        <f t="shared" si="2"/>
        <v>7</v>
      </c>
    </row>
    <row r="14">
      <c r="A14" s="104" t="s">
        <v>5584</v>
      </c>
      <c r="B14" s="104" t="s">
        <v>5478</v>
      </c>
      <c r="C14" s="150">
        <f t="shared" si="1"/>
        <v>0.7</v>
      </c>
      <c r="D14" s="150">
        <f t="array" ref="D14">COUNTIFS('Pool Changes'!$B:$B, $A14 &amp; " - " &amp; "*", INDEX(SUBSTITUTE('Pool Changes'!$G:$G, "±", "")*1,0), D$1)</f>
        <v>1</v>
      </c>
      <c r="E14" s="150">
        <f t="array" ref="E14">COUNTIFS('Pool Changes'!$B:$B, $A14 &amp; " - " &amp; "*", INDEX(SUBSTITUTE('Pool Changes'!$G:$G, "±", "")*1,0), E$1)</f>
        <v>3</v>
      </c>
      <c r="F14" s="150">
        <f t="array" ref="F14">COUNTIFS('Pool Changes'!$B:$B, $A14 &amp; " - " &amp; "*", INDEX(SUBSTITUTE('Pool Changes'!$G:$G, "±", "")*1,0), F$1)</f>
        <v>1</v>
      </c>
      <c r="G14" s="150">
        <f t="array" ref="G14">COUNTIFS('Pool Changes'!$B:$B, $A14 &amp; " - " &amp; "*", INDEX(SUBSTITUTE('Pool Changes'!$G:$G, "±", "")*1,0), G$1) - 1</f>
        <v>0</v>
      </c>
      <c r="H14" s="150">
        <f t="array" ref="H14">COUNTIFS('Pool Changes'!$B:$B, $A14 &amp; " - " &amp; "*", INDEX(SUBSTITUTE('Pool Changes'!$G:$G, "±", "")*1,0), H$1)</f>
        <v>0</v>
      </c>
      <c r="I14" s="150">
        <f t="array" ref="I14">COUNTIFS('Pool Changes'!$B:$B, $A14 &amp; " - " &amp; "*", INDEX(SUBSTITUTE('Pool Changes'!$G:$G, "±", "")*1,0), I$1)</f>
        <v>2</v>
      </c>
      <c r="J14" s="150">
        <f t="array" ref="J14">COUNTIFS('Pool Changes'!$B:$B, $A14 &amp; " - " &amp; "*", INDEX(SUBSTITUTE('Pool Changes'!$G:$G, "±", "")*1,0), J$1)</f>
        <v>0</v>
      </c>
      <c r="K14" s="150">
        <f t="shared" si="2"/>
        <v>7</v>
      </c>
    </row>
    <row r="15">
      <c r="A15" s="104" t="s">
        <v>5606</v>
      </c>
      <c r="B15" s="104" t="s">
        <v>5607</v>
      </c>
      <c r="C15" s="150">
        <f t="shared" si="1"/>
        <v>0.6842105263</v>
      </c>
      <c r="D15" s="150">
        <f t="array" ref="D15">COUNTIFS('Pool Changes'!$B:$B, $A15 &amp; " - " &amp; "*", INDEX(SUBSTITUTE('Pool Changes'!$G:$G, "±", "")*1,0), D$1)</f>
        <v>0</v>
      </c>
      <c r="E15" s="150">
        <f t="array" ref="E15">COUNTIFS('Pool Changes'!$B:$B, $A15 &amp; " - " &amp; "*", INDEX(SUBSTITUTE('Pool Changes'!$G:$G, "±", "")*1,0), E$1)</f>
        <v>0</v>
      </c>
      <c r="F15" s="150">
        <f t="array" ref="F15">COUNTIFS('Pool Changes'!$B:$B, $A15 &amp; " - " &amp; "*", INDEX(SUBSTITUTE('Pool Changes'!$G:$G, "±", "")*1,0), F$1)</f>
        <v>0</v>
      </c>
      <c r="G15" s="150">
        <f t="array" ref="G15">COUNTIFS('Pool Changes'!$B:$B, $A15 &amp; " - " &amp; "*", INDEX(SUBSTITUTE('Pool Changes'!$G:$G, "±", "")*1,0), G$1) - 1</f>
        <v>3</v>
      </c>
      <c r="H15" s="150">
        <f t="array" ref="H15">COUNTIFS('Pool Changes'!$B:$B, $A15 &amp; " - " &amp; "*", INDEX(SUBSTITUTE('Pool Changes'!$G:$G, "±", "")*1,0), H$1)</f>
        <v>2</v>
      </c>
      <c r="I15" s="150">
        <f t="array" ref="I15">COUNTIFS('Pool Changes'!$B:$B, $A15 &amp; " - " &amp; "*", INDEX(SUBSTITUTE('Pool Changes'!$G:$G, "±", "")*1,0), I$1)</f>
        <v>1</v>
      </c>
      <c r="J15" s="150">
        <f t="array" ref="J15">COUNTIFS('Pool Changes'!$B:$B, $A15 &amp; " - " &amp; "*", INDEX(SUBSTITUTE('Pool Changes'!$G:$G, "±", "")*1,0), J$1)</f>
        <v>1</v>
      </c>
      <c r="K15" s="150">
        <f t="shared" si="2"/>
        <v>7</v>
      </c>
    </row>
    <row r="16">
      <c r="A16" s="104" t="s">
        <v>5467</v>
      </c>
      <c r="B16" s="104" t="s">
        <v>5632</v>
      </c>
      <c r="C16" s="150">
        <f t="shared" si="1"/>
        <v>0.65</v>
      </c>
      <c r="D16" s="150">
        <f t="array" ref="D16">COUNTIFS('Pool Changes'!$B:$B, $A16 &amp; " - " &amp; "*", INDEX(SUBSTITUTE('Pool Changes'!$G:$G, "±", "")*1,0), D$1)</f>
        <v>0</v>
      </c>
      <c r="E16" s="150">
        <f t="array" ref="E16">COUNTIFS('Pool Changes'!$B:$B, $A16 &amp; " - " &amp; "*", INDEX(SUBSTITUTE('Pool Changes'!$G:$G, "±", "")*1,0), E$1)</f>
        <v>1</v>
      </c>
      <c r="F16" s="150">
        <f t="array" ref="F16">COUNTIFS('Pool Changes'!$B:$B, $A16 &amp; " - " &amp; "*", INDEX(SUBSTITUTE('Pool Changes'!$G:$G, "±", "")*1,0), F$1)</f>
        <v>2</v>
      </c>
      <c r="G16" s="150">
        <f t="array" ref="G16">COUNTIFS('Pool Changes'!$B:$B, $A16 &amp; " - " &amp; "*", INDEX(SUBSTITUTE('Pool Changes'!$G:$G, "±", "")*1,0), G$1) - 1</f>
        <v>3</v>
      </c>
      <c r="H16" s="150">
        <f t="array" ref="H16">COUNTIFS('Pool Changes'!$B:$B, $A16 &amp; " - " &amp; "*", INDEX(SUBSTITUTE('Pool Changes'!$G:$G, "±", "")*1,0), H$1)</f>
        <v>1</v>
      </c>
      <c r="I16" s="150">
        <f t="array" ref="I16">COUNTIFS('Pool Changes'!$B:$B, $A16 &amp; " - " &amp; "*", INDEX(SUBSTITUTE('Pool Changes'!$G:$G, "±", "")*1,0), I$1)</f>
        <v>1</v>
      </c>
      <c r="J16" s="150">
        <f t="array" ref="J16">COUNTIFS('Pool Changes'!$B:$B, $A16 &amp; " - " &amp; "*", INDEX(SUBSTITUTE('Pool Changes'!$G:$G, "±", "")*1,0), J$1)</f>
        <v>0</v>
      </c>
      <c r="K16" s="150">
        <f t="shared" si="2"/>
        <v>8</v>
      </c>
    </row>
    <row r="17">
      <c r="A17" s="104" t="s">
        <v>5655</v>
      </c>
      <c r="B17" s="104" t="s">
        <v>5632</v>
      </c>
      <c r="C17" s="150">
        <f t="shared" si="1"/>
        <v>0.65</v>
      </c>
      <c r="D17" s="150">
        <f t="array" ref="D17">COUNTIFS('Pool Changes'!$B:$B, $A17 &amp; " - " &amp; "*", INDEX(SUBSTITUTE('Pool Changes'!$G:$G, "±", "")*1,0), D$1)</f>
        <v>0</v>
      </c>
      <c r="E17" s="150">
        <f t="array" ref="E17">COUNTIFS('Pool Changes'!$B:$B, $A17 &amp; " - " &amp; "*", INDEX(SUBSTITUTE('Pool Changes'!$G:$G, "±", "")*1,0), E$1)</f>
        <v>2</v>
      </c>
      <c r="F17" s="150">
        <f t="array" ref="F17">COUNTIFS('Pool Changes'!$B:$B, $A17 &amp; " - " &amp; "*", INDEX(SUBSTITUTE('Pool Changes'!$G:$G, "±", "")*1,0), F$1)</f>
        <v>0</v>
      </c>
      <c r="G17" s="150">
        <f t="array" ref="G17">COUNTIFS('Pool Changes'!$B:$B, $A17 &amp; " - " &amp; "*", INDEX(SUBSTITUTE('Pool Changes'!$G:$G, "±", "")*1,0), G$1) - 1</f>
        <v>3</v>
      </c>
      <c r="H17" s="150">
        <f t="array" ref="H17">COUNTIFS('Pool Changes'!$B:$B, $A17 &amp; " - " &amp; "*", INDEX(SUBSTITUTE('Pool Changes'!$G:$G, "±", "")*1,0), H$1)</f>
        <v>0</v>
      </c>
      <c r="I17" s="150">
        <f t="array" ref="I17">COUNTIFS('Pool Changes'!$B:$B, $A17 &amp; " - " &amp; "*", INDEX(SUBSTITUTE('Pool Changes'!$G:$G, "±", "")*1,0), I$1)</f>
        <v>2</v>
      </c>
      <c r="J17" s="150">
        <f t="array" ref="J17">COUNTIFS('Pool Changes'!$B:$B, $A17 &amp; " - " &amp; "*", INDEX(SUBSTITUTE('Pool Changes'!$G:$G, "±", "")*1,0), J$1)</f>
        <v>1</v>
      </c>
      <c r="K17" s="150">
        <f t="shared" si="2"/>
        <v>8</v>
      </c>
    </row>
    <row r="18">
      <c r="A18" s="104" t="s">
        <v>5589</v>
      </c>
      <c r="B18" s="104" t="s">
        <v>5632</v>
      </c>
      <c r="C18" s="150">
        <f t="shared" si="1"/>
        <v>0.65</v>
      </c>
      <c r="D18" s="150">
        <f t="array" ref="D18">COUNTIFS('Pool Changes'!$B:$B, $A18 &amp; " - " &amp; "*", INDEX(SUBSTITUTE('Pool Changes'!$G:$G, "±", "")*1,0), D$1)</f>
        <v>1</v>
      </c>
      <c r="E18" s="150">
        <f t="array" ref="E18">COUNTIFS('Pool Changes'!$B:$B, $A18 &amp; " - " &amp; "*", INDEX(SUBSTITUTE('Pool Changes'!$G:$G, "±", "")*1,0), E$1)</f>
        <v>0</v>
      </c>
      <c r="F18" s="150">
        <f t="array" ref="F18">COUNTIFS('Pool Changes'!$B:$B, $A18 &amp; " - " &amp; "*", INDEX(SUBSTITUTE('Pool Changes'!$G:$G, "±", "")*1,0), F$1)</f>
        <v>0</v>
      </c>
      <c r="G18" s="150">
        <f t="array" ref="G18">COUNTIFS('Pool Changes'!$B:$B, $A18 &amp; " - " &amp; "*", INDEX(SUBSTITUTE('Pool Changes'!$G:$G, "±", "")*1,0), G$1) - 1</f>
        <v>4</v>
      </c>
      <c r="H18" s="150">
        <f t="array" ref="H18">COUNTIFS('Pool Changes'!$B:$B, $A18 &amp; " - " &amp; "*", INDEX(SUBSTITUTE('Pool Changes'!$G:$G, "±", "")*1,0), H$1)</f>
        <v>2</v>
      </c>
      <c r="I18" s="150">
        <f t="array" ref="I18">COUNTIFS('Pool Changes'!$B:$B, $A18 &amp; " - " &amp; "*", INDEX(SUBSTITUTE('Pool Changes'!$G:$G, "±", "")*1,0), I$1)</f>
        <v>0</v>
      </c>
      <c r="J18" s="150">
        <f t="array" ref="J18">COUNTIFS('Pool Changes'!$B:$B, $A18 &amp; " - " &amp; "*", INDEX(SUBSTITUTE('Pool Changes'!$G:$G, "±", "")*1,0), J$1)</f>
        <v>1</v>
      </c>
      <c r="K18" s="150">
        <f t="shared" si="2"/>
        <v>8</v>
      </c>
    </row>
    <row r="19">
      <c r="A19" s="104" t="s">
        <v>5495</v>
      </c>
      <c r="B19" s="104" t="s">
        <v>5632</v>
      </c>
      <c r="C19" s="150">
        <f t="shared" si="1"/>
        <v>0.65</v>
      </c>
      <c r="D19" s="150">
        <f t="array" ref="D19">COUNTIFS('Pool Changes'!$B:$B, $A19 &amp; " - " &amp; "*", INDEX(SUBSTITUTE('Pool Changes'!$G:$G, "±", "")*1,0), D$1)</f>
        <v>3</v>
      </c>
      <c r="E19" s="150">
        <f t="array" ref="E19">COUNTIFS('Pool Changes'!$B:$B, $A19 &amp; " - " &amp; "*", INDEX(SUBSTITUTE('Pool Changes'!$G:$G, "±", "")*1,0), E$1)</f>
        <v>1</v>
      </c>
      <c r="F19" s="150">
        <f t="array" ref="F19">COUNTIFS('Pool Changes'!$B:$B, $A19 &amp; " - " &amp; "*", INDEX(SUBSTITUTE('Pool Changes'!$G:$G, "±", "")*1,0), F$1)</f>
        <v>0</v>
      </c>
      <c r="G19" s="150">
        <f t="array" ref="G19">COUNTIFS('Pool Changes'!$B:$B, $A19 &amp; " - " &amp; "*", INDEX(SUBSTITUTE('Pool Changes'!$G:$G, "±", "")*1,0), G$1) - 1</f>
        <v>4</v>
      </c>
      <c r="H19" s="150">
        <f t="array" ref="H19">COUNTIFS('Pool Changes'!$B:$B, $A19 &amp; " - " &amp; "*", INDEX(SUBSTITUTE('Pool Changes'!$G:$G, "±", "")*1,0), H$1)</f>
        <v>0</v>
      </c>
      <c r="I19" s="150">
        <f t="array" ref="I19">COUNTIFS('Pool Changes'!$B:$B, $A19 &amp; " - " &amp; "*", INDEX(SUBSTITUTE('Pool Changes'!$G:$G, "±", "")*1,0), I$1)</f>
        <v>0</v>
      </c>
      <c r="J19" s="150">
        <f t="array" ref="J19">COUNTIFS('Pool Changes'!$B:$B, $A19 &amp; " - " &amp; "*", INDEX(SUBSTITUTE('Pool Changes'!$G:$G, "±", "")*1,0), J$1)</f>
        <v>0</v>
      </c>
      <c r="K19" s="150">
        <f t="shared" si="2"/>
        <v>8</v>
      </c>
    </row>
    <row r="20">
      <c r="A20" s="104" t="s">
        <v>5483</v>
      </c>
      <c r="B20" s="104" t="s">
        <v>5632</v>
      </c>
      <c r="C20" s="150">
        <f t="shared" si="1"/>
        <v>0.65</v>
      </c>
      <c r="D20" s="150">
        <f t="array" ref="D20">COUNTIFS('Pool Changes'!$B:$B, $A20 &amp; " - " &amp; "*", INDEX(SUBSTITUTE('Pool Changes'!$G:$G, "±", "")*1,0), D$1)</f>
        <v>0</v>
      </c>
      <c r="E20" s="150">
        <f t="array" ref="E20">COUNTIFS('Pool Changes'!$B:$B, $A20 &amp; " - " &amp; "*", INDEX(SUBSTITUTE('Pool Changes'!$G:$G, "±", "")*1,0), E$1)</f>
        <v>0</v>
      </c>
      <c r="F20" s="150">
        <f t="array" ref="F20">COUNTIFS('Pool Changes'!$B:$B, $A20 &amp; " - " &amp; "*", INDEX(SUBSTITUTE('Pool Changes'!$G:$G, "±", "")*1,0), F$1)</f>
        <v>0</v>
      </c>
      <c r="G20" s="150">
        <f t="array" ref="G20">COUNTIFS('Pool Changes'!$B:$B, $A20 &amp; " - " &amp; "*", INDEX(SUBSTITUTE('Pool Changes'!$G:$G, "±", "")*1,0), G$1) - 1</f>
        <v>4</v>
      </c>
      <c r="H20" s="150">
        <f t="array" ref="H20">COUNTIFS('Pool Changes'!$B:$B, $A20 &amp; " - " &amp; "*", INDEX(SUBSTITUTE('Pool Changes'!$G:$G, "±", "")*1,0), H$1)</f>
        <v>0</v>
      </c>
      <c r="I20" s="150">
        <f t="array" ref="I20">COUNTIFS('Pool Changes'!$B:$B, $A20 &amp; " - " &amp; "*", INDEX(SUBSTITUTE('Pool Changes'!$G:$G, "±", "")*1,0), I$1)</f>
        <v>2</v>
      </c>
      <c r="J20" s="150">
        <f t="array" ref="J20">COUNTIFS('Pool Changes'!$B:$B, $A20 &amp; " - " &amp; "*", INDEX(SUBSTITUTE('Pool Changes'!$G:$G, "±", "")*1,0), J$1)</f>
        <v>2</v>
      </c>
      <c r="K20" s="150">
        <f t="shared" si="2"/>
        <v>8</v>
      </c>
    </row>
    <row r="21">
      <c r="A21" s="104" t="s">
        <v>5487</v>
      </c>
      <c r="B21" s="104" t="s">
        <v>5632</v>
      </c>
      <c r="C21" s="150">
        <f t="shared" si="1"/>
        <v>0.65</v>
      </c>
      <c r="D21" s="150">
        <f t="array" ref="D21">COUNTIFS('Pool Changes'!$B:$B, $A21 &amp; " - " &amp; "*", INDEX(SUBSTITUTE('Pool Changes'!$G:$G, "±", "")*1,0), D$1)</f>
        <v>0</v>
      </c>
      <c r="E21" s="150">
        <f t="array" ref="E21">COUNTIFS('Pool Changes'!$B:$B, $A21 &amp; " - " &amp; "*", INDEX(SUBSTITUTE('Pool Changes'!$G:$G, "±", "")*1,0), E$1)</f>
        <v>5</v>
      </c>
      <c r="F21" s="150">
        <f t="array" ref="F21">COUNTIFS('Pool Changes'!$B:$B, $A21 &amp; " - " &amp; "*", INDEX(SUBSTITUTE('Pool Changes'!$G:$G, "±", "")*1,0), F$1)</f>
        <v>0</v>
      </c>
      <c r="G21" s="150">
        <f t="array" ref="G21">COUNTIFS('Pool Changes'!$B:$B, $A21 &amp; " - " &amp; "*", INDEX(SUBSTITUTE('Pool Changes'!$G:$G, "±", "")*1,0), G$1) - 1</f>
        <v>1</v>
      </c>
      <c r="H21" s="150">
        <f t="array" ref="H21">COUNTIFS('Pool Changes'!$B:$B, $A21 &amp; " - " &amp; "*", INDEX(SUBSTITUTE('Pool Changes'!$G:$G, "±", "")*1,0), H$1)</f>
        <v>2</v>
      </c>
      <c r="I21" s="150">
        <f t="array" ref="I21">COUNTIFS('Pool Changes'!$B:$B, $A21 &amp; " - " &amp; "*", INDEX(SUBSTITUTE('Pool Changes'!$G:$G, "±", "")*1,0), I$1)</f>
        <v>0</v>
      </c>
      <c r="J21" s="150">
        <f t="array" ref="J21">COUNTIFS('Pool Changes'!$B:$B, $A21 &amp; " - " &amp; "*", INDEX(SUBSTITUTE('Pool Changes'!$G:$G, "±", "")*1,0), J$1)</f>
        <v>0</v>
      </c>
      <c r="K21" s="150">
        <f t="shared" si="2"/>
        <v>8</v>
      </c>
    </row>
    <row r="22">
      <c r="A22" s="104" t="s">
        <v>5641</v>
      </c>
      <c r="B22" s="104" t="s">
        <v>5632</v>
      </c>
      <c r="C22" s="150">
        <f t="shared" si="1"/>
        <v>0.65</v>
      </c>
      <c r="D22" s="150">
        <f t="array" ref="D22">COUNTIFS('Pool Changes'!$B:$B, $A22 &amp; " - " &amp; "*", INDEX(SUBSTITUTE('Pool Changes'!$G:$G, "±", "")*1,0), D$1)</f>
        <v>0</v>
      </c>
      <c r="E22" s="150">
        <f t="array" ref="E22">COUNTIFS('Pool Changes'!$B:$B, $A22 &amp; " - " &amp; "*", INDEX(SUBSTITUTE('Pool Changes'!$G:$G, "±", "")*1,0), E$1)</f>
        <v>1</v>
      </c>
      <c r="F22" s="150">
        <f t="array" ref="F22">COUNTIFS('Pool Changes'!$B:$B, $A22 &amp; " - " &amp; "*", INDEX(SUBSTITUTE('Pool Changes'!$G:$G, "±", "")*1,0), F$1)</f>
        <v>0</v>
      </c>
      <c r="G22" s="150">
        <f t="array" ref="G22">COUNTIFS('Pool Changes'!$B:$B, $A22 &amp; " - " &amp; "*", INDEX(SUBSTITUTE('Pool Changes'!$G:$G, "±", "")*1,0), G$1) - 1</f>
        <v>4</v>
      </c>
      <c r="H22" s="150">
        <f t="array" ref="H22">COUNTIFS('Pool Changes'!$B:$B, $A22 &amp; " - " &amp; "*", INDEX(SUBSTITUTE('Pool Changes'!$G:$G, "±", "")*1,0), H$1)</f>
        <v>2</v>
      </c>
      <c r="I22" s="150">
        <f t="array" ref="I22">COUNTIFS('Pool Changes'!$B:$B, $A22 &amp; " - " &amp; "*", INDEX(SUBSTITUTE('Pool Changes'!$G:$G, "±", "")*1,0), I$1)</f>
        <v>1</v>
      </c>
      <c r="J22" s="150">
        <f t="array" ref="J22">COUNTIFS('Pool Changes'!$B:$B, $A22 &amp; " - " &amp; "*", INDEX(SUBSTITUTE('Pool Changes'!$G:$G, "±", "")*1,0), J$1)</f>
        <v>0</v>
      </c>
      <c r="K22" s="150">
        <f t="shared" si="2"/>
        <v>8</v>
      </c>
    </row>
    <row r="23">
      <c r="A23" s="104" t="s">
        <v>5622</v>
      </c>
      <c r="B23" s="104" t="s">
        <v>5632</v>
      </c>
      <c r="C23" s="150">
        <f t="shared" si="1"/>
        <v>0.65</v>
      </c>
      <c r="D23" s="150">
        <f t="array" ref="D23">COUNTIFS('Pool Changes'!$B:$B, $A23 &amp; " - " &amp; "*", INDEX(SUBSTITUTE('Pool Changes'!$G:$G, "±", "")*1,0), D$1)</f>
        <v>1</v>
      </c>
      <c r="E23" s="150">
        <f t="array" ref="E23">COUNTIFS('Pool Changes'!$B:$B, $A23 &amp; " - " &amp; "*", INDEX(SUBSTITUTE('Pool Changes'!$G:$G, "±", "")*1,0), E$1)</f>
        <v>2</v>
      </c>
      <c r="F23" s="150">
        <f t="array" ref="F23">COUNTIFS('Pool Changes'!$B:$B, $A23 &amp; " - " &amp; "*", INDEX(SUBSTITUTE('Pool Changes'!$G:$G, "±", "")*1,0), F$1)</f>
        <v>1</v>
      </c>
      <c r="G23" s="150">
        <f t="array" ref="G23">COUNTIFS('Pool Changes'!$B:$B, $A23 &amp; " - " &amp; "*", INDEX(SUBSTITUTE('Pool Changes'!$G:$G, "±", "")*1,0), G$1) - 1</f>
        <v>4</v>
      </c>
      <c r="H23" s="150">
        <f t="array" ref="H23">COUNTIFS('Pool Changes'!$B:$B, $A23 &amp; " - " &amp; "*", INDEX(SUBSTITUTE('Pool Changes'!$G:$G, "±", "")*1,0), H$1)</f>
        <v>0</v>
      </c>
      <c r="I23" s="150">
        <f t="array" ref="I23">COUNTIFS('Pool Changes'!$B:$B, $A23 &amp; " - " &amp; "*", INDEX(SUBSTITUTE('Pool Changes'!$G:$G, "±", "")*1,0), I$1)</f>
        <v>0</v>
      </c>
      <c r="J23" s="150">
        <f t="array" ref="J23">COUNTIFS('Pool Changes'!$B:$B, $A23 &amp; " - " &amp; "*", INDEX(SUBSTITUTE('Pool Changes'!$G:$G, "±", "")*1,0), J$1)</f>
        <v>0</v>
      </c>
      <c r="K23" s="150">
        <f t="shared" si="2"/>
        <v>8</v>
      </c>
    </row>
    <row r="24">
      <c r="A24" s="104" t="s">
        <v>5714</v>
      </c>
      <c r="B24" s="104" t="s">
        <v>5632</v>
      </c>
      <c r="C24" s="150">
        <f t="shared" si="1"/>
        <v>0.65</v>
      </c>
      <c r="D24" s="150">
        <f t="array" ref="D24">COUNTIFS('Pool Changes'!$B:$B, $A24 &amp; " - " &amp; "*", INDEX(SUBSTITUTE('Pool Changes'!$G:$G, "±", "")*1,0), D$1)</f>
        <v>0</v>
      </c>
      <c r="E24" s="150">
        <f t="array" ref="E24">COUNTIFS('Pool Changes'!$B:$B, $A24 &amp; " - " &amp; "*", INDEX(SUBSTITUTE('Pool Changes'!$G:$G, "±", "")*1,0), E$1)</f>
        <v>2</v>
      </c>
      <c r="F24" s="150">
        <f t="array" ref="F24">COUNTIFS('Pool Changes'!$B:$B, $A24 &amp; " - " &amp; "*", INDEX(SUBSTITUTE('Pool Changes'!$G:$G, "±", "")*1,0), F$1)</f>
        <v>0</v>
      </c>
      <c r="G24" s="150">
        <f t="array" ref="G24">COUNTIFS('Pool Changes'!$B:$B, $A24 &amp; " - " &amp; "*", INDEX(SUBSTITUTE('Pool Changes'!$G:$G, "±", "")*1,0), G$1) - 1</f>
        <v>3</v>
      </c>
      <c r="H24" s="150">
        <f t="array" ref="H24">COUNTIFS('Pool Changes'!$B:$B, $A24 &amp; " - " &amp; "*", INDEX(SUBSTITUTE('Pool Changes'!$G:$G, "±", "")*1,0), H$1)</f>
        <v>0</v>
      </c>
      <c r="I24" s="150">
        <f t="array" ref="I24">COUNTIFS('Pool Changes'!$B:$B, $A24 &amp; " - " &amp; "*", INDEX(SUBSTITUTE('Pool Changes'!$G:$G, "±", "")*1,0), I$1)</f>
        <v>2</v>
      </c>
      <c r="J24" s="150">
        <f t="array" ref="J24">COUNTIFS('Pool Changes'!$B:$B, $A24 &amp; " - " &amp; "*", INDEX(SUBSTITUTE('Pool Changes'!$G:$G, "±", "")*1,0), J$1)</f>
        <v>1</v>
      </c>
      <c r="K24" s="150">
        <f t="shared" si="2"/>
        <v>8</v>
      </c>
    </row>
    <row r="25">
      <c r="A25" s="104" t="s">
        <v>5760</v>
      </c>
      <c r="B25" s="104" t="s">
        <v>5632</v>
      </c>
      <c r="C25" s="150">
        <f t="shared" si="1"/>
        <v>0.65</v>
      </c>
      <c r="D25" s="150">
        <f t="array" ref="D25">COUNTIFS('Pool Changes'!$B:$B, $A25 &amp; " - " &amp; "*", INDEX(SUBSTITUTE('Pool Changes'!$G:$G, "±", "")*1,0), D$1)</f>
        <v>2</v>
      </c>
      <c r="E25" s="150">
        <f t="array" ref="E25">COUNTIFS('Pool Changes'!$B:$B, $A25 &amp; " - " &amp; "*", INDEX(SUBSTITUTE('Pool Changes'!$G:$G, "±", "")*1,0), E$1)</f>
        <v>0</v>
      </c>
      <c r="F25" s="150">
        <f t="array" ref="F25">COUNTIFS('Pool Changes'!$B:$B, $A25 &amp; " - " &amp; "*", INDEX(SUBSTITUTE('Pool Changes'!$G:$G, "±", "")*1,0), F$1)</f>
        <v>2</v>
      </c>
      <c r="G25" s="150">
        <f t="array" ref="G25">COUNTIFS('Pool Changes'!$B:$B, $A25 &amp; " - " &amp; "*", INDEX(SUBSTITUTE('Pool Changes'!$G:$G, "±", "")*1,0), G$1) - 1</f>
        <v>4</v>
      </c>
      <c r="H25" s="150">
        <f t="array" ref="H25">COUNTIFS('Pool Changes'!$B:$B, $A25 &amp; " - " &amp; "*", INDEX(SUBSTITUTE('Pool Changes'!$G:$G, "±", "")*1,0), H$1)</f>
        <v>0</v>
      </c>
      <c r="I25" s="150">
        <f t="array" ref="I25">COUNTIFS('Pool Changes'!$B:$B, $A25 &amp; " - " &amp; "*", INDEX(SUBSTITUTE('Pool Changes'!$G:$G, "±", "")*1,0), I$1)</f>
        <v>0</v>
      </c>
      <c r="J25" s="150">
        <f t="array" ref="J25">COUNTIFS('Pool Changes'!$B:$B, $A25 &amp; " - " &amp; "*", INDEX(SUBSTITUTE('Pool Changes'!$G:$G, "±", "")*1,0), J$1)</f>
        <v>0</v>
      </c>
      <c r="K25" s="150">
        <f t="shared" si="2"/>
        <v>8</v>
      </c>
    </row>
    <row r="26">
      <c r="A26" s="104" t="s">
        <v>5514</v>
      </c>
      <c r="B26" s="104" t="s">
        <v>5632</v>
      </c>
      <c r="C26" s="150">
        <f t="shared" si="1"/>
        <v>0.65</v>
      </c>
      <c r="D26" s="150">
        <f t="array" ref="D26">COUNTIFS('Pool Changes'!$B:$B, $A26 &amp; " - " &amp; "*", INDEX(SUBSTITUTE('Pool Changes'!$G:$G, "±", "")*1,0), D$1)</f>
        <v>0</v>
      </c>
      <c r="E26" s="150">
        <f t="array" ref="E26">COUNTIFS('Pool Changes'!$B:$B, $A26 &amp; " - " &amp; "*", INDEX(SUBSTITUTE('Pool Changes'!$G:$G, "±", "")*1,0), E$1)</f>
        <v>2</v>
      </c>
      <c r="F26" s="150">
        <f t="array" ref="F26">COUNTIFS('Pool Changes'!$B:$B, $A26 &amp; " - " &amp; "*", INDEX(SUBSTITUTE('Pool Changes'!$G:$G, "±", "")*1,0), F$1)</f>
        <v>0</v>
      </c>
      <c r="G26" s="150">
        <f t="array" ref="G26">COUNTIFS('Pool Changes'!$B:$B, $A26 &amp; " - " &amp; "*", INDEX(SUBSTITUTE('Pool Changes'!$G:$G, "±", "")*1,0), G$1) - 1</f>
        <v>3</v>
      </c>
      <c r="H26" s="150">
        <f t="array" ref="H26">COUNTIFS('Pool Changes'!$B:$B, $A26 &amp; " - " &amp; "*", INDEX(SUBSTITUTE('Pool Changes'!$G:$G, "±", "")*1,0), H$1)</f>
        <v>0</v>
      </c>
      <c r="I26" s="150">
        <f t="array" ref="I26">COUNTIFS('Pool Changes'!$B:$B, $A26 &amp; " - " &amp; "*", INDEX(SUBSTITUTE('Pool Changes'!$G:$G, "±", "")*1,0), I$1)</f>
        <v>3</v>
      </c>
      <c r="J26" s="150">
        <f t="array" ref="J26">COUNTIFS('Pool Changes'!$B:$B, $A26 &amp; " - " &amp; "*", INDEX(SUBSTITUTE('Pool Changes'!$G:$G, "±", "")*1,0), J$1)</f>
        <v>0</v>
      </c>
      <c r="K26" s="150">
        <f t="shared" si="2"/>
        <v>8</v>
      </c>
    </row>
    <row r="27">
      <c r="A27" s="104" t="s">
        <v>5624</v>
      </c>
      <c r="B27" s="104" t="s">
        <v>5632</v>
      </c>
      <c r="C27" s="150">
        <f t="shared" si="1"/>
        <v>0.65</v>
      </c>
      <c r="D27" s="150">
        <f t="array" ref="D27">COUNTIFS('Pool Changes'!$B:$B, $A27 &amp; " - " &amp; "*", INDEX(SUBSTITUTE('Pool Changes'!$G:$G, "±", "")*1,0), D$1)</f>
        <v>1</v>
      </c>
      <c r="E27" s="150">
        <f t="array" ref="E27">COUNTIFS('Pool Changes'!$B:$B, $A27 &amp; " - " &amp; "*", INDEX(SUBSTITUTE('Pool Changes'!$G:$G, "±", "")*1,0), E$1)</f>
        <v>0</v>
      </c>
      <c r="F27" s="150">
        <f t="array" ref="F27">COUNTIFS('Pool Changes'!$B:$B, $A27 &amp; " - " &amp; "*", INDEX(SUBSTITUTE('Pool Changes'!$G:$G, "±", "")*1,0), F$1)</f>
        <v>1</v>
      </c>
      <c r="G27" s="150">
        <f t="array" ref="G27">COUNTIFS('Pool Changes'!$B:$B, $A27 &amp; " - " &amp; "*", INDEX(SUBSTITUTE('Pool Changes'!$G:$G, "±", "")*1,0), G$1) - 1</f>
        <v>3</v>
      </c>
      <c r="H27" s="150">
        <f t="array" ref="H27">COUNTIFS('Pool Changes'!$B:$B, $A27 &amp; " - " &amp; "*", INDEX(SUBSTITUTE('Pool Changes'!$G:$G, "±", "")*1,0), H$1)</f>
        <v>0</v>
      </c>
      <c r="I27" s="150">
        <f t="array" ref="I27">COUNTIFS('Pool Changes'!$B:$B, $A27 &amp; " - " &amp; "*", INDEX(SUBSTITUTE('Pool Changes'!$G:$G, "±", "")*1,0), I$1)</f>
        <v>2</v>
      </c>
      <c r="J27" s="150">
        <f t="array" ref="J27">COUNTIFS('Pool Changes'!$B:$B, $A27 &amp; " - " &amp; "*", INDEX(SUBSTITUTE('Pool Changes'!$G:$G, "±", "")*1,0), J$1)</f>
        <v>1</v>
      </c>
      <c r="K27" s="150">
        <f t="shared" si="2"/>
        <v>8</v>
      </c>
    </row>
    <row r="28">
      <c r="A28" s="104" t="s">
        <v>5618</v>
      </c>
      <c r="B28" s="104" t="s">
        <v>5632</v>
      </c>
      <c r="C28" s="150">
        <f t="shared" si="1"/>
        <v>0.65</v>
      </c>
      <c r="D28" s="150">
        <f t="array" ref="D28">COUNTIFS('Pool Changes'!$B:$B, $A28 &amp; " - " &amp; "*", INDEX(SUBSTITUTE('Pool Changes'!$G:$G, "±", "")*1,0), D$1)</f>
        <v>2</v>
      </c>
      <c r="E28" s="150">
        <f t="array" ref="E28">COUNTIFS('Pool Changes'!$B:$B, $A28 &amp; " - " &amp; "*", INDEX(SUBSTITUTE('Pool Changes'!$G:$G, "±", "")*1,0), E$1)</f>
        <v>0</v>
      </c>
      <c r="F28" s="150">
        <f t="array" ref="F28">COUNTIFS('Pool Changes'!$B:$B, $A28 &amp; " - " &amp; "*", INDEX(SUBSTITUTE('Pool Changes'!$G:$G, "±", "")*1,0), F$1)</f>
        <v>2</v>
      </c>
      <c r="G28" s="150">
        <f t="array" ref="G28">COUNTIFS('Pool Changes'!$B:$B, $A28 &amp; " - " &amp; "*", INDEX(SUBSTITUTE('Pool Changes'!$G:$G, "±", "")*1,0), G$1) - 1</f>
        <v>4</v>
      </c>
      <c r="H28" s="150">
        <f t="array" ref="H28">COUNTIFS('Pool Changes'!$B:$B, $A28 &amp; " - " &amp; "*", INDEX(SUBSTITUTE('Pool Changes'!$G:$G, "±", "")*1,0), H$1)</f>
        <v>0</v>
      </c>
      <c r="I28" s="150">
        <f t="array" ref="I28">COUNTIFS('Pool Changes'!$B:$B, $A28 &amp; " - " &amp; "*", INDEX(SUBSTITUTE('Pool Changes'!$G:$G, "±", "")*1,0), I$1)</f>
        <v>0</v>
      </c>
      <c r="J28" s="150">
        <f t="array" ref="J28">COUNTIFS('Pool Changes'!$B:$B, $A28 &amp; " - " &amp; "*", INDEX(SUBSTITUTE('Pool Changes'!$G:$G, "±", "")*1,0), J$1)</f>
        <v>0</v>
      </c>
      <c r="K28" s="150">
        <f t="shared" si="2"/>
        <v>8</v>
      </c>
    </row>
    <row r="29">
      <c r="A29" s="104" t="s">
        <v>5574</v>
      </c>
      <c r="B29" s="104" t="s">
        <v>5632</v>
      </c>
      <c r="C29" s="150">
        <f t="shared" si="1"/>
        <v>0.65</v>
      </c>
      <c r="D29" s="150">
        <f t="array" ref="D29">COUNTIFS('Pool Changes'!$B:$B, $A29 &amp; " - " &amp; "*", INDEX(SUBSTITUTE('Pool Changes'!$G:$G, "±", "")*1,0), D$1)</f>
        <v>0</v>
      </c>
      <c r="E29" s="150">
        <f t="array" ref="E29">COUNTIFS('Pool Changes'!$B:$B, $A29 &amp; " - " &amp; "*", INDEX(SUBSTITUTE('Pool Changes'!$G:$G, "±", "")*1,0), E$1)</f>
        <v>0</v>
      </c>
      <c r="F29" s="150">
        <f t="array" ref="F29">COUNTIFS('Pool Changes'!$B:$B, $A29 &amp; " - " &amp; "*", INDEX(SUBSTITUTE('Pool Changes'!$G:$G, "±", "")*1,0), F$1)</f>
        <v>1</v>
      </c>
      <c r="G29" s="150">
        <f t="array" ref="G29">COUNTIFS('Pool Changes'!$B:$B, $A29 &amp; " - " &amp; "*", INDEX(SUBSTITUTE('Pool Changes'!$G:$G, "±", "")*1,0), G$1) - 1</f>
        <v>4</v>
      </c>
      <c r="H29" s="150">
        <f t="array" ref="H29">COUNTIFS('Pool Changes'!$B:$B, $A29 &amp; " - " &amp; "*", INDEX(SUBSTITUTE('Pool Changes'!$G:$G, "±", "")*1,0), H$1)</f>
        <v>0</v>
      </c>
      <c r="I29" s="150">
        <f t="array" ref="I29">COUNTIFS('Pool Changes'!$B:$B, $A29 &amp; " - " &amp; "*", INDEX(SUBSTITUTE('Pool Changes'!$G:$G, "±", "")*1,0), I$1)</f>
        <v>2</v>
      </c>
      <c r="J29" s="150">
        <f t="array" ref="J29">COUNTIFS('Pool Changes'!$B:$B, $A29 &amp; " - " &amp; "*", INDEX(SUBSTITUTE('Pool Changes'!$G:$G, "±", "")*1,0), J$1)</f>
        <v>1</v>
      </c>
      <c r="K29" s="150">
        <f t="shared" si="2"/>
        <v>8</v>
      </c>
    </row>
    <row r="30">
      <c r="A30" s="104" t="s">
        <v>5630</v>
      </c>
      <c r="B30" s="104" t="s">
        <v>5798</v>
      </c>
      <c r="C30" s="150">
        <f t="shared" si="1"/>
        <v>0.7058823529</v>
      </c>
      <c r="D30" s="150">
        <f t="array" ref="D30">COUNTIFS('Pool Changes'!$B:$B, $A30 &amp; " - " &amp; "*", INDEX(SUBSTITUTE('Pool Changes'!$G:$G, "±", "")*1,0), D$1)</f>
        <v>2</v>
      </c>
      <c r="E30" s="150">
        <f t="array" ref="E30">COUNTIFS('Pool Changes'!$B:$B, $A30 &amp; " - " &amp; "*", INDEX(SUBSTITUTE('Pool Changes'!$G:$G, "±", "")*1,0), E$1)</f>
        <v>0</v>
      </c>
      <c r="F30" s="150">
        <f t="array" ref="F30">COUNTIFS('Pool Changes'!$B:$B, $A30 &amp; " - " &amp; "*", INDEX(SUBSTITUTE('Pool Changes'!$G:$G, "±", "")*1,0), F$1)</f>
        <v>1</v>
      </c>
      <c r="G30" s="150">
        <f t="array" ref="G30">COUNTIFS('Pool Changes'!$B:$B, $A30 &amp; " - " &amp; "*", INDEX(SUBSTITUTE('Pool Changes'!$G:$G, "±", "")*1,0), G$1) - 1</f>
        <v>3</v>
      </c>
      <c r="H30" s="150">
        <f t="array" ref="H30">COUNTIFS('Pool Changes'!$B:$B, $A30 &amp; " - " &amp; "*", INDEX(SUBSTITUTE('Pool Changes'!$G:$G, "±", "")*1,0), H$1)</f>
        <v>0</v>
      </c>
      <c r="I30" s="150">
        <f t="array" ref="I30">COUNTIFS('Pool Changes'!$B:$B, $A30 &amp; " - " &amp; "*", INDEX(SUBSTITUTE('Pool Changes'!$G:$G, "±", "")*1,0), I$1)</f>
        <v>0</v>
      </c>
      <c r="J30" s="150">
        <f t="array" ref="J30">COUNTIFS('Pool Changes'!$B:$B, $A30 &amp; " - " &amp; "*", INDEX(SUBSTITUTE('Pool Changes'!$G:$G, "±", "")*1,0), J$1)</f>
        <v>0</v>
      </c>
      <c r="K30" s="150">
        <f t="shared" si="2"/>
        <v>6</v>
      </c>
    </row>
    <row r="31">
      <c r="A31" s="104" t="s">
        <v>5536</v>
      </c>
      <c r="B31" s="104" t="s">
        <v>5802</v>
      </c>
      <c r="C31" s="150">
        <f t="shared" si="1"/>
        <v>0.6666666667</v>
      </c>
      <c r="D31" s="150">
        <f t="array" ref="D31">COUNTIFS('Pool Changes'!$B:$B, $A31 &amp; " - " &amp; "*", INDEX(SUBSTITUTE('Pool Changes'!$G:$G, "±", "")*1,0), D$1)</f>
        <v>1</v>
      </c>
      <c r="E31" s="150">
        <f t="array" ref="E31">COUNTIFS('Pool Changes'!$B:$B, $A31 &amp; " - " &amp; "*", INDEX(SUBSTITUTE('Pool Changes'!$G:$G, "±", "")*1,0), E$1)</f>
        <v>0</v>
      </c>
      <c r="F31" s="150">
        <f t="array" ref="F31">COUNTIFS('Pool Changes'!$B:$B, $A31 &amp; " - " &amp; "*", INDEX(SUBSTITUTE('Pool Changes'!$G:$G, "±", "")*1,0), F$1)</f>
        <v>1</v>
      </c>
      <c r="G31" s="150">
        <f t="array" ref="G31">COUNTIFS('Pool Changes'!$B:$B, $A31 &amp; " - " &amp; "*", INDEX(SUBSTITUTE('Pool Changes'!$G:$G, "±", "")*1,0), G$1) - 1</f>
        <v>3</v>
      </c>
      <c r="H31" s="150">
        <f t="array" ref="H31">COUNTIFS('Pool Changes'!$B:$B, $A31 &amp; " - " &amp; "*", INDEX(SUBSTITUTE('Pool Changes'!$G:$G, "±", "")*1,0), H$1)</f>
        <v>2</v>
      </c>
      <c r="I31" s="150">
        <f t="array" ref="I31">COUNTIFS('Pool Changes'!$B:$B, $A31 &amp; " - " &amp; "*", INDEX(SUBSTITUTE('Pool Changes'!$G:$G, "±", "")*1,0), I$1)</f>
        <v>0</v>
      </c>
      <c r="J31" s="150">
        <f t="array" ref="J31">COUNTIFS('Pool Changes'!$B:$B, $A31 &amp; " - " &amp; "*", INDEX(SUBSTITUTE('Pool Changes'!$G:$G, "±", "")*1,0), J$1)</f>
        <v>0</v>
      </c>
      <c r="K31" s="150">
        <f t="shared" si="2"/>
        <v>7</v>
      </c>
    </row>
    <row r="32">
      <c r="A32" s="104" t="s">
        <v>5530</v>
      </c>
      <c r="B32" s="104" t="s">
        <v>5806</v>
      </c>
      <c r="C32" s="150">
        <f t="shared" si="1"/>
        <v>0.6315789474</v>
      </c>
      <c r="D32" s="150">
        <f t="array" ref="D32">COUNTIFS('Pool Changes'!$B:$B, $A32 &amp; " - " &amp; "*", INDEX(SUBSTITUTE('Pool Changes'!$G:$G, "±", "")*1,0), D$1)</f>
        <v>0</v>
      </c>
      <c r="E32" s="150">
        <f t="array" ref="E32">COUNTIFS('Pool Changes'!$B:$B, $A32 &amp; " - " &amp; "*", INDEX(SUBSTITUTE('Pool Changes'!$G:$G, "±", "")*1,0), E$1)</f>
        <v>1</v>
      </c>
      <c r="F32" s="150">
        <f t="array" ref="F32">COUNTIFS('Pool Changes'!$B:$B, $A32 &amp; " - " &amp; "*", INDEX(SUBSTITUTE('Pool Changes'!$G:$G, "±", "")*1,0), F$1)</f>
        <v>0</v>
      </c>
      <c r="G32" s="150">
        <f t="array" ref="G32">COUNTIFS('Pool Changes'!$B:$B, $A32 &amp; " - " &amp; "*", INDEX(SUBSTITUTE('Pool Changes'!$G:$G, "±", "")*1,0), G$1) - 1</f>
        <v>2</v>
      </c>
      <c r="H32" s="150">
        <f t="array" ref="H32">COUNTIFS('Pool Changes'!$B:$B, $A32 &amp; " - " &amp; "*", INDEX(SUBSTITUTE('Pool Changes'!$G:$G, "±", "")*1,0), H$1)</f>
        <v>3</v>
      </c>
      <c r="I32" s="150">
        <f t="array" ref="I32">COUNTIFS('Pool Changes'!$B:$B, $A32 &amp; " - " &amp; "*", INDEX(SUBSTITUTE('Pool Changes'!$G:$G, "±", "")*1,0), I$1)</f>
        <v>2</v>
      </c>
      <c r="J32" s="150">
        <f t="array" ref="J32">COUNTIFS('Pool Changes'!$B:$B, $A32 &amp; " - " &amp; "*", INDEX(SUBSTITUTE('Pool Changes'!$G:$G, "±", "")*1,0), J$1)</f>
        <v>0</v>
      </c>
      <c r="K32" s="150">
        <f t="shared" si="2"/>
        <v>8</v>
      </c>
    </row>
    <row r="33">
      <c r="A33" s="104" t="s">
        <v>5689</v>
      </c>
      <c r="B33" s="104" t="s">
        <v>5806</v>
      </c>
      <c r="C33" s="150">
        <f t="shared" si="1"/>
        <v>0.6315789474</v>
      </c>
      <c r="D33" s="150">
        <f t="array" ref="D33">COUNTIFS('Pool Changes'!$B:$B, $A33 &amp; " - " &amp; "*", INDEX(SUBSTITUTE('Pool Changes'!$G:$G, "±", "")*1,0), D$1)</f>
        <v>0</v>
      </c>
      <c r="E33" s="150">
        <f t="array" ref="E33">COUNTIFS('Pool Changes'!$B:$B, $A33 &amp; " - " &amp; "*", INDEX(SUBSTITUTE('Pool Changes'!$G:$G, "±", "")*1,0), E$1)</f>
        <v>0</v>
      </c>
      <c r="F33" s="150">
        <f t="array" ref="F33">COUNTIFS('Pool Changes'!$B:$B, $A33 &amp; " - " &amp; "*", INDEX(SUBSTITUTE('Pool Changes'!$G:$G, "±", "")*1,0), F$1)</f>
        <v>3</v>
      </c>
      <c r="G33" s="150">
        <f t="array" ref="G33">COUNTIFS('Pool Changes'!$B:$B, $A33 &amp; " - " &amp; "*", INDEX(SUBSTITUTE('Pool Changes'!$G:$G, "±", "")*1,0), G$1) - 1</f>
        <v>3</v>
      </c>
      <c r="H33" s="150">
        <f t="array" ref="H33">COUNTIFS('Pool Changes'!$B:$B, $A33 &amp; " - " &amp; "*", INDEX(SUBSTITUTE('Pool Changes'!$G:$G, "±", "")*1,0), H$1)</f>
        <v>2</v>
      </c>
      <c r="I33" s="150">
        <f t="array" ref="I33">COUNTIFS('Pool Changes'!$B:$B, $A33 &amp; " - " &amp; "*", INDEX(SUBSTITUTE('Pool Changes'!$G:$G, "±", "")*1,0), I$1)</f>
        <v>0</v>
      </c>
      <c r="J33" s="150">
        <f t="array" ref="J33">COUNTIFS('Pool Changes'!$B:$B, $A33 &amp; " - " &amp; "*", INDEX(SUBSTITUTE('Pool Changes'!$G:$G, "±", "")*1,0), J$1)</f>
        <v>0</v>
      </c>
      <c r="K33" s="150">
        <f t="shared" si="2"/>
        <v>8</v>
      </c>
    </row>
    <row r="34">
      <c r="A34" s="104" t="s">
        <v>5716</v>
      </c>
      <c r="B34" s="104" t="s">
        <v>5813</v>
      </c>
      <c r="C34" s="150">
        <f t="shared" si="1"/>
        <v>0.6</v>
      </c>
      <c r="D34" s="150">
        <f t="array" ref="D34">COUNTIFS('Pool Changes'!$B:$B, $A34 &amp; " - " &amp; "*", INDEX(SUBSTITUTE('Pool Changes'!$G:$G, "±", "")*1,0), D$1)</f>
        <v>0</v>
      </c>
      <c r="E34" s="150">
        <f t="array" ref="E34">COUNTIFS('Pool Changes'!$B:$B, $A34 &amp; " - " &amp; "*", INDEX(SUBSTITUTE('Pool Changes'!$G:$G, "±", "")*1,0), E$1)</f>
        <v>0</v>
      </c>
      <c r="F34" s="150">
        <f t="array" ref="F34">COUNTIFS('Pool Changes'!$B:$B, $A34 &amp; " - " &amp; "*", INDEX(SUBSTITUTE('Pool Changes'!$G:$G, "±", "")*1,0), F$1)</f>
        <v>5</v>
      </c>
      <c r="G34" s="150">
        <f t="array" ref="G34">COUNTIFS('Pool Changes'!$B:$B, $A34 &amp; " - " &amp; "*", INDEX(SUBSTITUTE('Pool Changes'!$G:$G, "±", "")*1,0), G$1) - 1</f>
        <v>3</v>
      </c>
      <c r="H34" s="150">
        <f t="array" ref="H34">COUNTIFS('Pool Changes'!$B:$B, $A34 &amp; " - " &amp; "*", INDEX(SUBSTITUTE('Pool Changes'!$G:$G, "±", "")*1,0), H$1)</f>
        <v>0</v>
      </c>
      <c r="I34" s="150">
        <f t="array" ref="I34">COUNTIFS('Pool Changes'!$B:$B, $A34 &amp; " - " &amp; "*", INDEX(SUBSTITUTE('Pool Changes'!$G:$G, "±", "")*1,0), I$1)</f>
        <v>1</v>
      </c>
      <c r="J34" s="150">
        <f t="array" ref="J34">COUNTIFS('Pool Changes'!$B:$B, $A34 &amp; " - " &amp; "*", INDEX(SUBSTITUTE('Pool Changes'!$G:$G, "±", "")*1,0), J$1)</f>
        <v>0</v>
      </c>
      <c r="K34" s="150">
        <f t="shared" si="2"/>
        <v>9</v>
      </c>
    </row>
    <row r="35">
      <c r="A35" s="104" t="s">
        <v>5593</v>
      </c>
      <c r="B35" s="104" t="s">
        <v>5813</v>
      </c>
      <c r="C35" s="150">
        <f t="shared" si="1"/>
        <v>0.6</v>
      </c>
      <c r="D35" s="150">
        <f t="array" ref="D35">COUNTIFS('Pool Changes'!$B:$B, $A35 &amp; " - " &amp; "*", INDEX(SUBSTITUTE('Pool Changes'!$G:$G, "±", "")*1,0), D$1)</f>
        <v>0</v>
      </c>
      <c r="E35" s="150">
        <f t="array" ref="E35">COUNTIFS('Pool Changes'!$B:$B, $A35 &amp; " - " &amp; "*", INDEX(SUBSTITUTE('Pool Changes'!$G:$G, "±", "")*1,0), E$1)</f>
        <v>4</v>
      </c>
      <c r="F35" s="150">
        <f t="array" ref="F35">COUNTIFS('Pool Changes'!$B:$B, $A35 &amp; " - " &amp; "*", INDEX(SUBSTITUTE('Pool Changes'!$G:$G, "±", "")*1,0), F$1)</f>
        <v>1</v>
      </c>
      <c r="G35" s="150">
        <f t="array" ref="G35">COUNTIFS('Pool Changes'!$B:$B, $A35 &amp; " - " &amp; "*", INDEX(SUBSTITUTE('Pool Changes'!$G:$G, "±", "")*1,0), G$1) - 1</f>
        <v>4</v>
      </c>
      <c r="H35" s="150">
        <f t="array" ref="H35">COUNTIFS('Pool Changes'!$B:$B, $A35 &amp; " - " &amp; "*", INDEX(SUBSTITUTE('Pool Changes'!$G:$G, "±", "")*1,0), H$1)</f>
        <v>0</v>
      </c>
      <c r="I35" s="150">
        <f t="array" ref="I35">COUNTIFS('Pool Changes'!$B:$B, $A35 &amp; " - " &amp; "*", INDEX(SUBSTITUTE('Pool Changes'!$G:$G, "±", "")*1,0), I$1)</f>
        <v>0</v>
      </c>
      <c r="J35" s="150">
        <f t="array" ref="J35">COUNTIFS('Pool Changes'!$B:$B, $A35 &amp; " - " &amp; "*", INDEX(SUBSTITUTE('Pool Changes'!$G:$G, "±", "")*1,0), J$1)</f>
        <v>0</v>
      </c>
      <c r="K35" s="150">
        <f t="shared" si="2"/>
        <v>9</v>
      </c>
    </row>
    <row r="36">
      <c r="A36" s="104" t="s">
        <v>5610</v>
      </c>
      <c r="B36" s="104" t="s">
        <v>5813</v>
      </c>
      <c r="C36" s="150">
        <f t="shared" si="1"/>
        <v>0.6</v>
      </c>
      <c r="D36" s="150">
        <f t="array" ref="D36">COUNTIFS('Pool Changes'!$B:$B, $A36 &amp; " - " &amp; "*", INDEX(SUBSTITUTE('Pool Changes'!$G:$G, "±", "")*1,0), D$1)</f>
        <v>1</v>
      </c>
      <c r="E36" s="150">
        <f t="array" ref="E36">COUNTIFS('Pool Changes'!$B:$B, $A36 &amp; " - " &amp; "*", INDEX(SUBSTITUTE('Pool Changes'!$G:$G, "±", "")*1,0), E$1)</f>
        <v>2</v>
      </c>
      <c r="F36" s="150">
        <f t="array" ref="F36">COUNTIFS('Pool Changes'!$B:$B, $A36 &amp; " - " &amp; "*", INDEX(SUBSTITUTE('Pool Changes'!$G:$G, "±", "")*1,0), F$1)</f>
        <v>1</v>
      </c>
      <c r="G36" s="150">
        <f t="array" ref="G36">COUNTIFS('Pool Changes'!$B:$B, $A36 &amp; " - " &amp; "*", INDEX(SUBSTITUTE('Pool Changes'!$G:$G, "±", "")*1,0), G$1) - 1</f>
        <v>4</v>
      </c>
      <c r="H36" s="150">
        <f t="array" ref="H36">COUNTIFS('Pool Changes'!$B:$B, $A36 &amp; " - " &amp; "*", INDEX(SUBSTITUTE('Pool Changes'!$G:$G, "±", "")*1,0), H$1)</f>
        <v>0</v>
      </c>
      <c r="I36" s="150">
        <f t="array" ref="I36">COUNTIFS('Pool Changes'!$B:$B, $A36 &amp; " - " &amp; "*", INDEX(SUBSTITUTE('Pool Changes'!$G:$G, "±", "")*1,0), I$1)</f>
        <v>1</v>
      </c>
      <c r="J36" s="150">
        <f t="array" ref="J36">COUNTIFS('Pool Changes'!$B:$B, $A36 &amp; " - " &amp; "*", INDEX(SUBSTITUTE('Pool Changes'!$G:$G, "±", "")*1,0), J$1)</f>
        <v>0</v>
      </c>
      <c r="K36" s="150">
        <f t="shared" si="2"/>
        <v>9</v>
      </c>
    </row>
    <row r="37">
      <c r="A37" s="104" t="s">
        <v>5758</v>
      </c>
      <c r="B37" s="104" t="s">
        <v>5813</v>
      </c>
      <c r="C37" s="150">
        <f t="shared" si="1"/>
        <v>0.6</v>
      </c>
      <c r="D37" s="150">
        <f t="array" ref="D37">COUNTIFS('Pool Changes'!$B:$B, $A37 &amp; " - " &amp; "*", INDEX(SUBSTITUTE('Pool Changes'!$G:$G, "±", "")*1,0), D$1)</f>
        <v>1</v>
      </c>
      <c r="E37" s="150">
        <f t="array" ref="E37">COUNTIFS('Pool Changes'!$B:$B, $A37 &amp; " - " &amp; "*", INDEX(SUBSTITUTE('Pool Changes'!$G:$G, "±", "")*1,0), E$1)</f>
        <v>3</v>
      </c>
      <c r="F37" s="150">
        <f t="array" ref="F37">COUNTIFS('Pool Changes'!$B:$B, $A37 &amp; " - " &amp; "*", INDEX(SUBSTITUTE('Pool Changes'!$G:$G, "±", "")*1,0), F$1)</f>
        <v>1</v>
      </c>
      <c r="G37" s="150">
        <f t="array" ref="G37">COUNTIFS('Pool Changes'!$B:$B, $A37 &amp; " - " &amp; "*", INDEX(SUBSTITUTE('Pool Changes'!$G:$G, "±", "")*1,0), G$1) - 1</f>
        <v>0</v>
      </c>
      <c r="H37" s="150">
        <f t="array" ref="H37">COUNTIFS('Pool Changes'!$B:$B, $A37 &amp; " - " &amp; "*", INDEX(SUBSTITUTE('Pool Changes'!$G:$G, "±", "")*1,0), H$1)</f>
        <v>2</v>
      </c>
      <c r="I37" s="150">
        <f t="array" ref="I37">COUNTIFS('Pool Changes'!$B:$B, $A37 &amp; " - " &amp; "*", INDEX(SUBSTITUTE('Pool Changes'!$G:$G, "±", "")*1,0), I$1)</f>
        <v>2</v>
      </c>
      <c r="J37" s="150">
        <f t="array" ref="J37">COUNTIFS('Pool Changes'!$B:$B, $A37 &amp; " - " &amp; "*", INDEX(SUBSTITUTE('Pool Changes'!$G:$G, "±", "")*1,0), J$1)</f>
        <v>0</v>
      </c>
      <c r="K37" s="150">
        <f t="shared" si="2"/>
        <v>9</v>
      </c>
    </row>
    <row r="38">
      <c r="A38" s="104" t="s">
        <v>5516</v>
      </c>
      <c r="B38" s="104" t="s">
        <v>5813</v>
      </c>
      <c r="C38" s="150">
        <f t="shared" si="1"/>
        <v>0.6</v>
      </c>
      <c r="D38" s="150">
        <f t="array" ref="D38">COUNTIFS('Pool Changes'!$B:$B, $A38 &amp; " - " &amp; "*", INDEX(SUBSTITUTE('Pool Changes'!$G:$G, "±", "")*1,0), D$1)</f>
        <v>3</v>
      </c>
      <c r="E38" s="150">
        <f t="array" ref="E38">COUNTIFS('Pool Changes'!$B:$B, $A38 &amp; " - " &amp; "*", INDEX(SUBSTITUTE('Pool Changes'!$G:$G, "±", "")*1,0), E$1)</f>
        <v>0</v>
      </c>
      <c r="F38" s="150">
        <f t="array" ref="F38">COUNTIFS('Pool Changes'!$B:$B, $A38 &amp; " - " &amp; "*", INDEX(SUBSTITUTE('Pool Changes'!$G:$G, "±", "")*1,0), F$1)</f>
        <v>1</v>
      </c>
      <c r="G38" s="150">
        <f t="array" ref="G38">COUNTIFS('Pool Changes'!$B:$B, $A38 &amp; " - " &amp; "*", INDEX(SUBSTITUTE('Pool Changes'!$G:$G, "±", "")*1,0), G$1) - 1</f>
        <v>2</v>
      </c>
      <c r="H38" s="150">
        <f t="array" ref="H38">COUNTIFS('Pool Changes'!$B:$B, $A38 &amp; " - " &amp; "*", INDEX(SUBSTITUTE('Pool Changes'!$G:$G, "±", "")*1,0), H$1)</f>
        <v>0</v>
      </c>
      <c r="I38" s="150">
        <f t="array" ref="I38">COUNTIFS('Pool Changes'!$B:$B, $A38 &amp; " - " &amp; "*", INDEX(SUBSTITUTE('Pool Changes'!$G:$G, "±", "")*1,0), I$1)</f>
        <v>3</v>
      </c>
      <c r="J38" s="150">
        <f t="array" ref="J38">COUNTIFS('Pool Changes'!$B:$B, $A38 &amp; " - " &amp; "*", INDEX(SUBSTITUTE('Pool Changes'!$G:$G, "±", "")*1,0), J$1)</f>
        <v>0</v>
      </c>
      <c r="K38" s="150">
        <f t="shared" si="2"/>
        <v>9</v>
      </c>
    </row>
    <row r="39">
      <c r="A39" s="104" t="s">
        <v>5528</v>
      </c>
      <c r="B39" s="104" t="s">
        <v>5813</v>
      </c>
      <c r="C39" s="150">
        <f t="shared" si="1"/>
        <v>0.6</v>
      </c>
      <c r="D39" s="150">
        <f t="array" ref="D39">COUNTIFS('Pool Changes'!$B:$B, $A39 &amp; " - " &amp; "*", INDEX(SUBSTITUTE('Pool Changes'!$G:$G, "±", "")*1,0), D$1)</f>
        <v>1</v>
      </c>
      <c r="E39" s="150">
        <f t="array" ref="E39">COUNTIFS('Pool Changes'!$B:$B, $A39 &amp; " - " &amp; "*", INDEX(SUBSTITUTE('Pool Changes'!$G:$G, "±", "")*1,0), E$1)</f>
        <v>1</v>
      </c>
      <c r="F39" s="150">
        <f t="array" ref="F39">COUNTIFS('Pool Changes'!$B:$B, $A39 &amp; " - " &amp; "*", INDEX(SUBSTITUTE('Pool Changes'!$G:$G, "±", "")*1,0), F$1)</f>
        <v>2</v>
      </c>
      <c r="G39" s="150">
        <f t="array" ref="G39">COUNTIFS('Pool Changes'!$B:$B, $A39 &amp; " - " &amp; "*", INDEX(SUBSTITUTE('Pool Changes'!$G:$G, "±", "")*1,0), G$1) - 1</f>
        <v>4</v>
      </c>
      <c r="H39" s="150">
        <f t="array" ref="H39">COUNTIFS('Pool Changes'!$B:$B, $A39 &amp; " - " &amp; "*", INDEX(SUBSTITUTE('Pool Changes'!$G:$G, "±", "")*1,0), H$1)</f>
        <v>0</v>
      </c>
      <c r="I39" s="150">
        <f t="array" ref="I39">COUNTIFS('Pool Changes'!$B:$B, $A39 &amp; " - " &amp; "*", INDEX(SUBSTITUTE('Pool Changes'!$G:$G, "±", "")*1,0), I$1)</f>
        <v>0</v>
      </c>
      <c r="J39" s="150">
        <f t="array" ref="J39">COUNTIFS('Pool Changes'!$B:$B, $A39 &amp; " - " &amp; "*", INDEX(SUBSTITUTE('Pool Changes'!$G:$G, "±", "")*1,0), J$1)</f>
        <v>1</v>
      </c>
      <c r="K39" s="150">
        <f t="shared" si="2"/>
        <v>9</v>
      </c>
    </row>
    <row r="40">
      <c r="A40" s="104" t="s">
        <v>5612</v>
      </c>
      <c r="B40" s="104" t="s">
        <v>5813</v>
      </c>
      <c r="C40" s="150">
        <f t="shared" si="1"/>
        <v>0.6</v>
      </c>
      <c r="D40" s="150">
        <f t="array" ref="D40">COUNTIFS('Pool Changes'!$B:$B, $A40 &amp; " - " &amp; "*", INDEX(SUBSTITUTE('Pool Changes'!$G:$G, "±", "")*1,0), D$1)</f>
        <v>0</v>
      </c>
      <c r="E40" s="150">
        <f t="array" ref="E40">COUNTIFS('Pool Changes'!$B:$B, $A40 &amp; " - " &amp; "*", INDEX(SUBSTITUTE('Pool Changes'!$G:$G, "±", "")*1,0), E$1)</f>
        <v>2</v>
      </c>
      <c r="F40" s="150">
        <f t="array" ref="F40">COUNTIFS('Pool Changes'!$B:$B, $A40 &amp; " - " &amp; "*", INDEX(SUBSTITUTE('Pool Changes'!$G:$G, "±", "")*1,0), F$1)</f>
        <v>1</v>
      </c>
      <c r="G40" s="150">
        <f t="array" ref="G40">COUNTIFS('Pool Changes'!$B:$B, $A40 &amp; " - " &amp; "*", INDEX(SUBSTITUTE('Pool Changes'!$G:$G, "±", "")*1,0), G$1) - 1</f>
        <v>3</v>
      </c>
      <c r="H40" s="150">
        <f t="array" ref="H40">COUNTIFS('Pool Changes'!$B:$B, $A40 &amp; " - " &amp; "*", INDEX(SUBSTITUTE('Pool Changes'!$G:$G, "±", "")*1,0), H$1)</f>
        <v>0</v>
      </c>
      <c r="I40" s="150">
        <f t="array" ref="I40">COUNTIFS('Pool Changes'!$B:$B, $A40 &amp; " - " &amp; "*", INDEX(SUBSTITUTE('Pool Changes'!$G:$G, "±", "")*1,0), I$1)</f>
        <v>1</v>
      </c>
      <c r="J40" s="150">
        <f t="array" ref="J40">COUNTIFS('Pool Changes'!$B:$B, $A40 &amp; " - " &amp; "*", INDEX(SUBSTITUTE('Pool Changes'!$G:$G, "±", "")*1,0), J$1)</f>
        <v>2</v>
      </c>
      <c r="K40" s="150">
        <f t="shared" si="2"/>
        <v>9</v>
      </c>
    </row>
    <row r="41">
      <c r="A41" s="104" t="s">
        <v>5510</v>
      </c>
      <c r="B41" s="104" t="s">
        <v>5813</v>
      </c>
      <c r="C41" s="150">
        <f t="shared" si="1"/>
        <v>0.6</v>
      </c>
      <c r="D41" s="150">
        <f t="array" ref="D41">COUNTIFS('Pool Changes'!$B:$B, $A41 &amp; " - " &amp; "*", INDEX(SUBSTITUTE('Pool Changes'!$G:$G, "±", "")*1,0), D$1)</f>
        <v>2</v>
      </c>
      <c r="E41" s="150">
        <f t="array" ref="E41">COUNTIFS('Pool Changes'!$B:$B, $A41 &amp; " - " &amp; "*", INDEX(SUBSTITUTE('Pool Changes'!$G:$G, "±", "")*1,0), E$1)</f>
        <v>3</v>
      </c>
      <c r="F41" s="150">
        <f t="array" ref="F41">COUNTIFS('Pool Changes'!$B:$B, $A41 &amp; " - " &amp; "*", INDEX(SUBSTITUTE('Pool Changes'!$G:$G, "±", "")*1,0), F$1)</f>
        <v>2</v>
      </c>
      <c r="G41" s="150">
        <f t="array" ref="G41">COUNTIFS('Pool Changes'!$B:$B, $A41 &amp; " - " &amp; "*", INDEX(SUBSTITUTE('Pool Changes'!$G:$G, "±", "")*1,0), G$1) - 1</f>
        <v>2</v>
      </c>
      <c r="H41" s="150">
        <f t="array" ref="H41">COUNTIFS('Pool Changes'!$B:$B, $A41 &amp; " - " &amp; "*", INDEX(SUBSTITUTE('Pool Changes'!$G:$G, "±", "")*1,0), H$1)</f>
        <v>0</v>
      </c>
      <c r="I41" s="150">
        <f t="array" ref="I41">COUNTIFS('Pool Changes'!$B:$B, $A41 &amp; " - " &amp; "*", INDEX(SUBSTITUTE('Pool Changes'!$G:$G, "±", "")*1,0), I$1)</f>
        <v>0</v>
      </c>
      <c r="J41" s="150">
        <f t="array" ref="J41">COUNTIFS('Pool Changes'!$B:$B, $A41 &amp; " - " &amp; "*", INDEX(SUBSTITUTE('Pool Changes'!$G:$G, "±", "")*1,0), J$1)</f>
        <v>0</v>
      </c>
      <c r="K41" s="150">
        <f t="shared" si="2"/>
        <v>9</v>
      </c>
    </row>
    <row r="42">
      <c r="A42" s="104" t="s">
        <v>5681</v>
      </c>
      <c r="B42" s="104" t="s">
        <v>5813</v>
      </c>
      <c r="C42" s="150">
        <f t="shared" si="1"/>
        <v>0.6</v>
      </c>
      <c r="D42" s="150">
        <f t="array" ref="D42">COUNTIFS('Pool Changes'!$B:$B, $A42 &amp; " - " &amp; "*", INDEX(SUBSTITUTE('Pool Changes'!$G:$G, "±", "")*1,0), D$1)</f>
        <v>0</v>
      </c>
      <c r="E42" s="150">
        <f t="array" ref="E42">COUNTIFS('Pool Changes'!$B:$B, $A42 &amp; " - " &amp; "*", INDEX(SUBSTITUTE('Pool Changes'!$G:$G, "±", "")*1,0), E$1)</f>
        <v>1</v>
      </c>
      <c r="F42" s="150">
        <f t="array" ref="F42">COUNTIFS('Pool Changes'!$B:$B, $A42 &amp; " - " &amp; "*", INDEX(SUBSTITUTE('Pool Changes'!$G:$G, "±", "")*1,0), F$1)</f>
        <v>0</v>
      </c>
      <c r="G42" s="150">
        <f t="array" ref="G42">COUNTIFS('Pool Changes'!$B:$B, $A42 &amp; " - " &amp; "*", INDEX(SUBSTITUTE('Pool Changes'!$G:$G, "±", "")*1,0), G$1) - 1</f>
        <v>2</v>
      </c>
      <c r="H42" s="150">
        <f t="array" ref="H42">COUNTIFS('Pool Changes'!$B:$B, $A42 &amp; " - " &amp; "*", INDEX(SUBSTITUTE('Pool Changes'!$G:$G, "±", "")*1,0), H$1)</f>
        <v>0</v>
      </c>
      <c r="I42" s="150">
        <f t="array" ref="I42">COUNTIFS('Pool Changes'!$B:$B, $A42 &amp; " - " &amp; "*", INDEX(SUBSTITUTE('Pool Changes'!$G:$G, "±", "")*1,0), I$1)</f>
        <v>1</v>
      </c>
      <c r="J42" s="150">
        <f t="array" ref="J42">COUNTIFS('Pool Changes'!$B:$B, $A42 &amp; " - " &amp; "*", INDEX(SUBSTITUTE('Pool Changes'!$G:$G, "±", "")*1,0), J$1)</f>
        <v>5</v>
      </c>
      <c r="K42" s="150">
        <f t="shared" si="2"/>
        <v>9</v>
      </c>
    </row>
    <row r="43">
      <c r="A43" s="104" t="s">
        <v>5499</v>
      </c>
      <c r="B43" s="104" t="s">
        <v>5813</v>
      </c>
      <c r="C43" s="150">
        <f t="shared" si="1"/>
        <v>0.6</v>
      </c>
      <c r="D43" s="150">
        <f t="array" ref="D43">COUNTIFS('Pool Changes'!$B:$B, $A43 &amp; " - " &amp; "*", INDEX(SUBSTITUTE('Pool Changes'!$G:$G, "±", "")*1,0), D$1)</f>
        <v>2</v>
      </c>
      <c r="E43" s="150">
        <f t="array" ref="E43">COUNTIFS('Pool Changes'!$B:$B, $A43 &amp; " - " &amp; "*", INDEX(SUBSTITUTE('Pool Changes'!$G:$G, "±", "")*1,0), E$1)</f>
        <v>1</v>
      </c>
      <c r="F43" s="150">
        <f t="array" ref="F43">COUNTIFS('Pool Changes'!$B:$B, $A43 &amp; " - " &amp; "*", INDEX(SUBSTITUTE('Pool Changes'!$G:$G, "±", "")*1,0), F$1)</f>
        <v>0</v>
      </c>
      <c r="G43" s="150">
        <f t="array" ref="G43">COUNTIFS('Pool Changes'!$B:$B, $A43 &amp; " - " &amp; "*", INDEX(SUBSTITUTE('Pool Changes'!$G:$G, "±", "")*1,0), G$1) - 1</f>
        <v>4</v>
      </c>
      <c r="H43" s="150">
        <f t="array" ref="H43">COUNTIFS('Pool Changes'!$B:$B, $A43 &amp; " - " &amp; "*", INDEX(SUBSTITUTE('Pool Changes'!$G:$G, "±", "")*1,0), H$1)</f>
        <v>0</v>
      </c>
      <c r="I43" s="150">
        <f t="array" ref="I43">COUNTIFS('Pool Changes'!$B:$B, $A43 &amp; " - " &amp; "*", INDEX(SUBSTITUTE('Pool Changes'!$G:$G, "±", "")*1,0), I$1)</f>
        <v>0</v>
      </c>
      <c r="J43" s="150">
        <f t="array" ref="J43">COUNTIFS('Pool Changes'!$B:$B, $A43 &amp; " - " &amp; "*", INDEX(SUBSTITUTE('Pool Changes'!$G:$G, "±", "")*1,0), J$1)</f>
        <v>2</v>
      </c>
      <c r="K43" s="150">
        <f t="shared" si="2"/>
        <v>9</v>
      </c>
    </row>
    <row r="44">
      <c r="A44" s="104" t="s">
        <v>5737</v>
      </c>
      <c r="B44" s="104" t="s">
        <v>5847</v>
      </c>
      <c r="C44" s="150">
        <f t="shared" si="1"/>
        <v>0.6111111111</v>
      </c>
      <c r="D44" s="150">
        <f t="array" ref="D44">COUNTIFS('Pool Changes'!$B:$B, $A44 &amp; " - " &amp; "*", INDEX(SUBSTITUTE('Pool Changes'!$G:$G, "±", "")*1,0), D$1)</f>
        <v>2</v>
      </c>
      <c r="E44" s="150">
        <f t="array" ref="E44">COUNTIFS('Pool Changes'!$B:$B, $A44 &amp; " - " &amp; "*", INDEX(SUBSTITUTE('Pool Changes'!$G:$G, "±", "")*1,0), E$1)</f>
        <v>0</v>
      </c>
      <c r="F44" s="150">
        <f t="array" ref="F44">COUNTIFS('Pool Changes'!$B:$B, $A44 &amp; " - " &amp; "*", INDEX(SUBSTITUTE('Pool Changes'!$G:$G, "±", "")*1,0), F$1)</f>
        <v>0</v>
      </c>
      <c r="G44" s="150">
        <f t="array" ref="G44">COUNTIFS('Pool Changes'!$B:$B, $A44 &amp; " - " &amp; "*", INDEX(SUBSTITUTE('Pool Changes'!$G:$G, "±", "")*1,0), G$1) - 1</f>
        <v>4</v>
      </c>
      <c r="H44" s="150">
        <f t="array" ref="H44">COUNTIFS('Pool Changes'!$B:$B, $A44 &amp; " - " &amp; "*", INDEX(SUBSTITUTE('Pool Changes'!$G:$G, "±", "")*1,0), H$1)</f>
        <v>1</v>
      </c>
      <c r="I44" s="150">
        <f t="array" ref="I44">COUNTIFS('Pool Changes'!$B:$B, $A44 &amp; " - " &amp; "*", INDEX(SUBSTITUTE('Pool Changes'!$G:$G, "±", "")*1,0), I$1)</f>
        <v>0</v>
      </c>
      <c r="J44" s="150">
        <f t="array" ref="J44">COUNTIFS('Pool Changes'!$B:$B, $A44 &amp; " - " &amp; "*", INDEX(SUBSTITUTE('Pool Changes'!$G:$G, "±", "")*1,0), J$1)</f>
        <v>1</v>
      </c>
      <c r="K44" s="150">
        <f t="shared" si="2"/>
        <v>8</v>
      </c>
    </row>
    <row r="45">
      <c r="A45" s="104" t="s">
        <v>5570</v>
      </c>
      <c r="B45" s="104" t="s">
        <v>5847</v>
      </c>
      <c r="C45" s="150">
        <f t="shared" si="1"/>
        <v>0.6111111111</v>
      </c>
      <c r="D45" s="150">
        <f t="array" ref="D45">COUNTIFS('Pool Changes'!$B:$B, $A45 &amp; " - " &amp; "*", INDEX(SUBSTITUTE('Pool Changes'!$G:$G, "±", "")*1,0), D$1)</f>
        <v>0</v>
      </c>
      <c r="E45" s="150">
        <f t="array" ref="E45">COUNTIFS('Pool Changes'!$B:$B, $A45 &amp; " - " &amp; "*", INDEX(SUBSTITUTE('Pool Changes'!$G:$G, "±", "")*1,0), E$1)</f>
        <v>2</v>
      </c>
      <c r="F45" s="150">
        <f t="array" ref="F45">COUNTIFS('Pool Changes'!$B:$B, $A45 &amp; " - " &amp; "*", INDEX(SUBSTITUTE('Pool Changes'!$G:$G, "±", "")*1,0), F$1)</f>
        <v>1</v>
      </c>
      <c r="G45" s="150">
        <f t="array" ref="G45">COUNTIFS('Pool Changes'!$B:$B, $A45 &amp; " - " &amp; "*", INDEX(SUBSTITUTE('Pool Changes'!$G:$G, "±", "")*1,0), G$1) - 1</f>
        <v>4</v>
      </c>
      <c r="H45" s="150">
        <f t="array" ref="H45">COUNTIFS('Pool Changes'!$B:$B, $A45 &amp; " - " &amp; "*", INDEX(SUBSTITUTE('Pool Changes'!$G:$G, "±", "")*1,0), H$1)</f>
        <v>1</v>
      </c>
      <c r="I45" s="150">
        <f t="array" ref="I45">COUNTIFS('Pool Changes'!$B:$B, $A45 &amp; " - " &amp; "*", INDEX(SUBSTITUTE('Pool Changes'!$G:$G, "±", "")*1,0), I$1)</f>
        <v>0</v>
      </c>
      <c r="J45" s="150">
        <f t="array" ref="J45">COUNTIFS('Pool Changes'!$B:$B, $A45 &amp; " - " &amp; "*", INDEX(SUBSTITUTE('Pool Changes'!$G:$G, "±", "")*1,0), J$1)</f>
        <v>0</v>
      </c>
      <c r="K45" s="150">
        <f t="shared" si="2"/>
        <v>8</v>
      </c>
    </row>
    <row r="46">
      <c r="A46" s="104" t="s">
        <v>5653</v>
      </c>
      <c r="B46" s="104" t="s">
        <v>5854</v>
      </c>
      <c r="C46" s="150">
        <f t="shared" si="1"/>
        <v>0.5789473684</v>
      </c>
      <c r="D46" s="150">
        <f t="array" ref="D46">COUNTIFS('Pool Changes'!$B:$B, $A46 &amp; " - " &amp; "*", INDEX(SUBSTITUTE('Pool Changes'!$G:$G, "±", "")*1,0), D$1)</f>
        <v>0</v>
      </c>
      <c r="E46" s="150">
        <f t="array" ref="E46">COUNTIFS('Pool Changes'!$B:$B, $A46 &amp; " - " &amp; "*", INDEX(SUBSTITUTE('Pool Changes'!$G:$G, "±", "")*1,0), E$1)</f>
        <v>2</v>
      </c>
      <c r="F46" s="150">
        <f t="array" ref="F46">COUNTIFS('Pool Changes'!$B:$B, $A46 &amp; " - " &amp; "*", INDEX(SUBSTITUTE('Pool Changes'!$G:$G, "±", "")*1,0), F$1)</f>
        <v>1</v>
      </c>
      <c r="G46" s="150">
        <f t="array" ref="G46">COUNTIFS('Pool Changes'!$B:$B, $A46 &amp; " - " &amp; "*", INDEX(SUBSTITUTE('Pool Changes'!$G:$G, "±", "")*1,0), G$1) - 1</f>
        <v>4</v>
      </c>
      <c r="H46" s="150">
        <f t="array" ref="H46">COUNTIFS('Pool Changes'!$B:$B, $A46 &amp; " - " &amp; "*", INDEX(SUBSTITUTE('Pool Changes'!$G:$G, "±", "")*1,0), H$1)</f>
        <v>0</v>
      </c>
      <c r="I46" s="150">
        <f t="array" ref="I46">COUNTIFS('Pool Changes'!$B:$B, $A46 &amp; " - " &amp; "*", INDEX(SUBSTITUTE('Pool Changes'!$G:$G, "±", "")*1,0), I$1)</f>
        <v>2</v>
      </c>
      <c r="J46" s="150">
        <f t="array" ref="J46">COUNTIFS('Pool Changes'!$B:$B, $A46 &amp; " - " &amp; "*", INDEX(SUBSTITUTE('Pool Changes'!$G:$G, "±", "")*1,0), J$1)</f>
        <v>0</v>
      </c>
      <c r="K46" s="150">
        <f t="shared" si="2"/>
        <v>9</v>
      </c>
    </row>
    <row r="47">
      <c r="A47" s="104" t="s">
        <v>5656</v>
      </c>
      <c r="B47" s="104" t="s">
        <v>5858</v>
      </c>
      <c r="C47" s="150">
        <f t="shared" si="1"/>
        <v>0.55</v>
      </c>
      <c r="D47" s="150">
        <f t="array" ref="D47">COUNTIFS('Pool Changes'!$B:$B, $A47 &amp; " - " &amp; "*", INDEX(SUBSTITUTE('Pool Changes'!$G:$G, "±", "")*1,0), D$1)</f>
        <v>0</v>
      </c>
      <c r="E47" s="150">
        <f t="array" ref="E47">COUNTIFS('Pool Changes'!$B:$B, $A47 &amp; " - " &amp; "*", INDEX(SUBSTITUTE('Pool Changes'!$G:$G, "±", "")*1,0), E$1)</f>
        <v>3</v>
      </c>
      <c r="F47" s="150">
        <f t="array" ref="F47">COUNTIFS('Pool Changes'!$B:$B, $A47 &amp; " - " &amp; "*", INDEX(SUBSTITUTE('Pool Changes'!$G:$G, "±", "")*1,0), F$1)</f>
        <v>0</v>
      </c>
      <c r="G47" s="150">
        <f t="array" ref="G47">COUNTIFS('Pool Changes'!$B:$B, $A47 &amp; " - " &amp; "*", INDEX(SUBSTITUTE('Pool Changes'!$G:$G, "±", "")*1,0), G$1) - 1</f>
        <v>2</v>
      </c>
      <c r="H47" s="150">
        <f t="array" ref="H47">COUNTIFS('Pool Changes'!$B:$B, $A47 &amp; " - " &amp; "*", INDEX(SUBSTITUTE('Pool Changes'!$G:$G, "±", "")*1,0), H$1)</f>
        <v>2</v>
      </c>
      <c r="I47" s="150">
        <f t="array" ref="I47">COUNTIFS('Pool Changes'!$B:$B, $A47 &amp; " - " &amp; "*", INDEX(SUBSTITUTE('Pool Changes'!$G:$G, "±", "")*1,0), I$1)</f>
        <v>1</v>
      </c>
      <c r="J47" s="150">
        <f t="array" ref="J47">COUNTIFS('Pool Changes'!$B:$B, $A47 &amp; " - " &amp; "*", INDEX(SUBSTITUTE('Pool Changes'!$G:$G, "±", "")*1,0), J$1)</f>
        <v>2</v>
      </c>
      <c r="K47" s="150">
        <f t="shared" si="2"/>
        <v>10</v>
      </c>
    </row>
    <row r="48">
      <c r="A48" s="104" t="s">
        <v>5695</v>
      </c>
      <c r="B48" s="104" t="s">
        <v>5858</v>
      </c>
      <c r="C48" s="150">
        <f t="shared" si="1"/>
        <v>0.55</v>
      </c>
      <c r="D48" s="150">
        <f t="array" ref="D48">COUNTIFS('Pool Changes'!$B:$B, $A48 &amp; " - " &amp; "*", INDEX(SUBSTITUTE('Pool Changes'!$G:$G, "±", "")*1,0), D$1)</f>
        <v>0</v>
      </c>
      <c r="E48" s="150">
        <f t="array" ref="E48">COUNTIFS('Pool Changes'!$B:$B, $A48 &amp; " - " &amp; "*", INDEX(SUBSTITUTE('Pool Changes'!$G:$G, "±", "")*1,0), E$1)</f>
        <v>1</v>
      </c>
      <c r="F48" s="150">
        <f t="array" ref="F48">COUNTIFS('Pool Changes'!$B:$B, $A48 &amp; " - " &amp; "*", INDEX(SUBSTITUTE('Pool Changes'!$G:$G, "±", "")*1,0), F$1)</f>
        <v>0</v>
      </c>
      <c r="G48" s="150">
        <f t="array" ref="G48">COUNTIFS('Pool Changes'!$B:$B, $A48 &amp; " - " &amp; "*", INDEX(SUBSTITUTE('Pool Changes'!$G:$G, "±", "")*1,0), G$1) - 1</f>
        <v>2</v>
      </c>
      <c r="H48" s="150">
        <f t="array" ref="H48">COUNTIFS('Pool Changes'!$B:$B, $A48 &amp; " - " &amp; "*", INDEX(SUBSTITUTE('Pool Changes'!$G:$G, "±", "")*1,0), H$1)</f>
        <v>2</v>
      </c>
      <c r="I48" s="150">
        <f t="array" ref="I48">COUNTIFS('Pool Changes'!$B:$B, $A48 &amp; " - " &amp; "*", INDEX(SUBSTITUTE('Pool Changes'!$G:$G, "±", "")*1,0), I$1)</f>
        <v>3</v>
      </c>
      <c r="J48" s="150">
        <f t="array" ref="J48">COUNTIFS('Pool Changes'!$B:$B, $A48 &amp; " - " &amp; "*", INDEX(SUBSTITUTE('Pool Changes'!$G:$G, "±", "")*1,0), J$1)</f>
        <v>2</v>
      </c>
      <c r="K48" s="150">
        <f t="shared" si="2"/>
        <v>10</v>
      </c>
    </row>
    <row r="49">
      <c r="A49" s="104" t="s">
        <v>5691</v>
      </c>
      <c r="B49" s="104" t="s">
        <v>5858</v>
      </c>
      <c r="C49" s="150">
        <f t="shared" si="1"/>
        <v>0.55</v>
      </c>
      <c r="D49" s="150">
        <f t="array" ref="D49">COUNTIFS('Pool Changes'!$B:$B, $A49 &amp; " - " &amp; "*", INDEX(SUBSTITUTE('Pool Changes'!$G:$G, "±", "")*1,0), D$1)</f>
        <v>4</v>
      </c>
      <c r="E49" s="150">
        <f t="array" ref="E49">COUNTIFS('Pool Changes'!$B:$B, $A49 &amp; " - " &amp; "*", INDEX(SUBSTITUTE('Pool Changes'!$G:$G, "±", "")*1,0), E$1)</f>
        <v>1</v>
      </c>
      <c r="F49" s="150">
        <f t="array" ref="F49">COUNTIFS('Pool Changes'!$B:$B, $A49 &amp; " - " &amp; "*", INDEX(SUBSTITUTE('Pool Changes'!$G:$G, "±", "")*1,0), F$1)</f>
        <v>1</v>
      </c>
      <c r="G49" s="150">
        <f t="array" ref="G49">COUNTIFS('Pool Changes'!$B:$B, $A49 &amp; " - " &amp; "*", INDEX(SUBSTITUTE('Pool Changes'!$G:$G, "±", "")*1,0), G$1) - 1</f>
        <v>3</v>
      </c>
      <c r="H49" s="150">
        <f t="array" ref="H49">COUNTIFS('Pool Changes'!$B:$B, $A49 &amp; " - " &amp; "*", INDEX(SUBSTITUTE('Pool Changes'!$G:$G, "±", "")*1,0), H$1)</f>
        <v>0</v>
      </c>
      <c r="I49" s="150">
        <f t="array" ref="I49">COUNTIFS('Pool Changes'!$B:$B, $A49 &amp; " - " &amp; "*", INDEX(SUBSTITUTE('Pool Changes'!$G:$G, "±", "")*1,0), I$1)</f>
        <v>0</v>
      </c>
      <c r="J49" s="150">
        <f t="array" ref="J49">COUNTIFS('Pool Changes'!$B:$B, $A49 &amp; " - " &amp; "*", INDEX(SUBSTITUTE('Pool Changes'!$G:$G, "±", "")*1,0), J$1)</f>
        <v>1</v>
      </c>
      <c r="K49" s="150">
        <f t="shared" si="2"/>
        <v>10</v>
      </c>
    </row>
    <row r="50">
      <c r="A50" s="104" t="s">
        <v>5448</v>
      </c>
      <c r="B50" s="104" t="s">
        <v>5858</v>
      </c>
      <c r="C50" s="150">
        <f t="shared" si="1"/>
        <v>0.55</v>
      </c>
      <c r="D50" s="150">
        <f t="array" ref="D50">COUNTIFS('Pool Changes'!$B:$B, $A50 &amp; " - " &amp; "*", INDEX(SUBSTITUTE('Pool Changes'!$G:$G, "±", "")*1,0), D$1)</f>
        <v>2</v>
      </c>
      <c r="E50" s="150">
        <f t="array" ref="E50">COUNTIFS('Pool Changes'!$B:$B, $A50 &amp; " - " &amp; "*", INDEX(SUBSTITUTE('Pool Changes'!$G:$G, "±", "")*1,0), E$1)</f>
        <v>0</v>
      </c>
      <c r="F50" s="150">
        <f t="array" ref="F50">COUNTIFS('Pool Changes'!$B:$B, $A50 &amp; " - " &amp; "*", INDEX(SUBSTITUTE('Pool Changes'!$G:$G, "±", "")*1,0), F$1)</f>
        <v>2</v>
      </c>
      <c r="G50" s="150">
        <f t="array" ref="G50">COUNTIFS('Pool Changes'!$B:$B, $A50 &amp; " - " &amp; "*", INDEX(SUBSTITUTE('Pool Changes'!$G:$G, "±", "")*1,0), G$1) - 1</f>
        <v>5</v>
      </c>
      <c r="H50" s="150">
        <f t="array" ref="H50">COUNTIFS('Pool Changes'!$B:$B, $A50 &amp; " - " &amp; "*", INDEX(SUBSTITUTE('Pool Changes'!$G:$G, "±", "")*1,0), H$1)</f>
        <v>0</v>
      </c>
      <c r="I50" s="150">
        <f t="array" ref="I50">COUNTIFS('Pool Changes'!$B:$B, $A50 &amp; " - " &amp; "*", INDEX(SUBSTITUTE('Pool Changes'!$G:$G, "±", "")*1,0), I$1)</f>
        <v>1</v>
      </c>
      <c r="J50" s="150">
        <f t="array" ref="J50">COUNTIFS('Pool Changes'!$B:$B, $A50 &amp; " - " &amp; "*", INDEX(SUBSTITUTE('Pool Changes'!$G:$G, "±", "")*1,0), J$1)</f>
        <v>0</v>
      </c>
      <c r="K50" s="150">
        <f t="shared" si="2"/>
        <v>10</v>
      </c>
    </row>
    <row r="51">
      <c r="A51" s="104" t="s">
        <v>5547</v>
      </c>
      <c r="B51" s="104" t="s">
        <v>5858</v>
      </c>
      <c r="C51" s="150">
        <f t="shared" si="1"/>
        <v>0.55</v>
      </c>
      <c r="D51" s="150">
        <f t="array" ref="D51">COUNTIFS('Pool Changes'!$B:$B, $A51 &amp; " - " &amp; "*", INDEX(SUBSTITUTE('Pool Changes'!$G:$G, "±", "")*1,0), D$1)</f>
        <v>1</v>
      </c>
      <c r="E51" s="150">
        <f t="array" ref="E51">COUNTIFS('Pool Changes'!$B:$B, $A51 &amp; " - " &amp; "*", INDEX(SUBSTITUTE('Pool Changes'!$G:$G, "±", "")*1,0), E$1)</f>
        <v>0</v>
      </c>
      <c r="F51" s="150">
        <f t="array" ref="F51">COUNTIFS('Pool Changes'!$B:$B, $A51 &amp; " - " &amp; "*", INDEX(SUBSTITUTE('Pool Changes'!$G:$G, "±", "")*1,0), F$1)</f>
        <v>0</v>
      </c>
      <c r="G51" s="150">
        <f t="array" ref="G51">COUNTIFS('Pool Changes'!$B:$B, $A51 &amp; " - " &amp; "*", INDEX(SUBSTITUTE('Pool Changes'!$G:$G, "±", "")*1,0), G$1) - 1</f>
        <v>4</v>
      </c>
      <c r="H51" s="150">
        <f t="array" ref="H51">COUNTIFS('Pool Changes'!$B:$B, $A51 &amp; " - " &amp; "*", INDEX(SUBSTITUTE('Pool Changes'!$G:$G, "±", "")*1,0), H$1)</f>
        <v>3</v>
      </c>
      <c r="I51" s="150">
        <f t="array" ref="I51">COUNTIFS('Pool Changes'!$B:$B, $A51 &amp; " - " &amp; "*", INDEX(SUBSTITUTE('Pool Changes'!$G:$G, "±", "")*1,0), I$1)</f>
        <v>2</v>
      </c>
      <c r="J51" s="150">
        <f t="array" ref="J51">COUNTIFS('Pool Changes'!$B:$B, $A51 &amp; " - " &amp; "*", INDEX(SUBSTITUTE('Pool Changes'!$G:$G, "±", "")*1,0), J$1)</f>
        <v>0</v>
      </c>
      <c r="K51" s="150">
        <f t="shared" si="2"/>
        <v>10</v>
      </c>
    </row>
    <row r="52">
      <c r="A52" s="104" t="s">
        <v>5633</v>
      </c>
      <c r="B52" s="104" t="s">
        <v>5858</v>
      </c>
      <c r="C52" s="150">
        <f t="shared" si="1"/>
        <v>0.55</v>
      </c>
      <c r="D52" s="150">
        <f t="array" ref="D52">COUNTIFS('Pool Changes'!$B:$B, $A52 &amp; " - " &amp; "*", INDEX(SUBSTITUTE('Pool Changes'!$G:$G, "±", "")*1,0), D$1)</f>
        <v>1</v>
      </c>
      <c r="E52" s="150">
        <f t="array" ref="E52">COUNTIFS('Pool Changes'!$B:$B, $A52 &amp; " - " &amp; "*", INDEX(SUBSTITUTE('Pool Changes'!$G:$G, "±", "")*1,0), E$1)</f>
        <v>1</v>
      </c>
      <c r="F52" s="150">
        <f t="array" ref="F52">COUNTIFS('Pool Changes'!$B:$B, $A52 &amp; " - " &amp; "*", INDEX(SUBSTITUTE('Pool Changes'!$G:$G, "±", "")*1,0), F$1)</f>
        <v>1</v>
      </c>
      <c r="G52" s="150">
        <f t="array" ref="G52">COUNTIFS('Pool Changes'!$B:$B, $A52 &amp; " - " &amp; "*", INDEX(SUBSTITUTE('Pool Changes'!$G:$G, "±", "")*1,0), G$1) - 1</f>
        <v>4</v>
      </c>
      <c r="H52" s="150">
        <f t="array" ref="H52">COUNTIFS('Pool Changes'!$B:$B, $A52 &amp; " - " &amp; "*", INDEX(SUBSTITUTE('Pool Changes'!$G:$G, "±", "")*1,0), H$1)</f>
        <v>1</v>
      </c>
      <c r="I52" s="150">
        <f t="array" ref="I52">COUNTIFS('Pool Changes'!$B:$B, $A52 &amp; " - " &amp; "*", INDEX(SUBSTITUTE('Pool Changes'!$G:$G, "±", "")*1,0), I$1)</f>
        <v>2</v>
      </c>
      <c r="J52" s="150">
        <f t="array" ref="J52">COUNTIFS('Pool Changes'!$B:$B, $A52 &amp; " - " &amp; "*", INDEX(SUBSTITUTE('Pool Changes'!$G:$G, "±", "")*1,0), J$1)</f>
        <v>0</v>
      </c>
      <c r="K52" s="150">
        <f t="shared" si="2"/>
        <v>10</v>
      </c>
    </row>
    <row r="53">
      <c r="A53" s="104" t="s">
        <v>5754</v>
      </c>
      <c r="B53" s="104" t="s">
        <v>5858</v>
      </c>
      <c r="C53" s="150">
        <f t="shared" si="1"/>
        <v>0.55</v>
      </c>
      <c r="D53" s="150">
        <f t="array" ref="D53">COUNTIFS('Pool Changes'!$B:$B, $A53 &amp; " - " &amp; "*", INDEX(SUBSTITUTE('Pool Changes'!$G:$G, "±", "")*1,0), D$1)</f>
        <v>0</v>
      </c>
      <c r="E53" s="150">
        <f t="array" ref="E53">COUNTIFS('Pool Changes'!$B:$B, $A53 &amp; " - " &amp; "*", INDEX(SUBSTITUTE('Pool Changes'!$G:$G, "±", "")*1,0), E$1)</f>
        <v>0</v>
      </c>
      <c r="F53" s="150">
        <f t="array" ref="F53">COUNTIFS('Pool Changes'!$B:$B, $A53 &amp; " - " &amp; "*", INDEX(SUBSTITUTE('Pool Changes'!$G:$G, "±", "")*1,0), F$1)</f>
        <v>0</v>
      </c>
      <c r="G53" s="150">
        <f t="array" ref="G53">COUNTIFS('Pool Changes'!$B:$B, $A53 &amp; " - " &amp; "*", INDEX(SUBSTITUTE('Pool Changes'!$G:$G, "±", "")*1,0), G$1) - 1</f>
        <v>3</v>
      </c>
      <c r="H53" s="150">
        <f t="array" ref="H53">COUNTIFS('Pool Changes'!$B:$B, $A53 &amp; " - " &amp; "*", INDEX(SUBSTITUTE('Pool Changes'!$G:$G, "±", "")*1,0), H$1)</f>
        <v>0</v>
      </c>
      <c r="I53" s="150">
        <f t="array" ref="I53">COUNTIFS('Pool Changes'!$B:$B, $A53 &amp; " - " &amp; "*", INDEX(SUBSTITUTE('Pool Changes'!$G:$G, "±", "")*1,0), I$1)</f>
        <v>5</v>
      </c>
      <c r="J53" s="150">
        <f t="array" ref="J53">COUNTIFS('Pool Changes'!$B:$B, $A53 &amp; " - " &amp; "*", INDEX(SUBSTITUTE('Pool Changes'!$G:$G, "±", "")*1,0), J$1)</f>
        <v>2</v>
      </c>
      <c r="K53" s="150">
        <f t="shared" si="2"/>
        <v>10</v>
      </c>
    </row>
    <row r="54">
      <c r="A54" s="104" t="s">
        <v>5545</v>
      </c>
      <c r="B54" s="104" t="s">
        <v>5858</v>
      </c>
      <c r="C54" s="150">
        <f t="shared" si="1"/>
        <v>0.55</v>
      </c>
      <c r="D54" s="150">
        <f t="array" ref="D54">COUNTIFS('Pool Changes'!$B:$B, $A54 &amp; " - " &amp; "*", INDEX(SUBSTITUTE('Pool Changes'!$G:$G, "±", "")*1,0), D$1)</f>
        <v>0</v>
      </c>
      <c r="E54" s="150">
        <f t="array" ref="E54">COUNTIFS('Pool Changes'!$B:$B, $A54 &amp; " - " &amp; "*", INDEX(SUBSTITUTE('Pool Changes'!$G:$G, "±", "")*1,0), E$1)</f>
        <v>1</v>
      </c>
      <c r="F54" s="150">
        <f t="array" ref="F54">COUNTIFS('Pool Changes'!$B:$B, $A54 &amp; " - " &amp; "*", INDEX(SUBSTITUTE('Pool Changes'!$G:$G, "±", "")*1,0), F$1)</f>
        <v>0</v>
      </c>
      <c r="G54" s="150">
        <f t="array" ref="G54">COUNTIFS('Pool Changes'!$B:$B, $A54 &amp; " - " &amp; "*", INDEX(SUBSTITUTE('Pool Changes'!$G:$G, "±", "")*1,0), G$1) - 1</f>
        <v>5</v>
      </c>
      <c r="H54" s="150">
        <f t="array" ref="H54">COUNTIFS('Pool Changes'!$B:$B, $A54 &amp; " - " &amp; "*", INDEX(SUBSTITUTE('Pool Changes'!$G:$G, "±", "")*1,0), H$1)</f>
        <v>2</v>
      </c>
      <c r="I54" s="150">
        <f t="array" ref="I54">COUNTIFS('Pool Changes'!$B:$B, $A54 &amp; " - " &amp; "*", INDEX(SUBSTITUTE('Pool Changes'!$G:$G, "±", "")*1,0), I$1)</f>
        <v>1</v>
      </c>
      <c r="J54" s="150">
        <f t="array" ref="J54">COUNTIFS('Pool Changes'!$B:$B, $A54 &amp; " - " &amp; "*", INDEX(SUBSTITUTE('Pool Changes'!$G:$G, "±", "")*1,0), J$1)</f>
        <v>1</v>
      </c>
      <c r="K54" s="150">
        <f t="shared" si="2"/>
        <v>10</v>
      </c>
    </row>
    <row r="55">
      <c r="A55" s="104" t="s">
        <v>5481</v>
      </c>
      <c r="B55" s="104" t="s">
        <v>5858</v>
      </c>
      <c r="C55" s="150">
        <f t="shared" si="1"/>
        <v>0.55</v>
      </c>
      <c r="D55" s="150">
        <f t="array" ref="D55">COUNTIFS('Pool Changes'!$B:$B, $A55 &amp; " - " &amp; "*", INDEX(SUBSTITUTE('Pool Changes'!$G:$G, "±", "")*1,0), D$1)</f>
        <v>0</v>
      </c>
      <c r="E55" s="150">
        <f t="array" ref="E55">COUNTIFS('Pool Changes'!$B:$B, $A55 &amp; " - " &amp; "*", INDEX(SUBSTITUTE('Pool Changes'!$G:$G, "±", "")*1,0), E$1)</f>
        <v>0</v>
      </c>
      <c r="F55" s="150">
        <f t="array" ref="F55">COUNTIFS('Pool Changes'!$B:$B, $A55 &amp; " - " &amp; "*", INDEX(SUBSTITUTE('Pool Changes'!$G:$G, "±", "")*1,0), F$1)</f>
        <v>2</v>
      </c>
      <c r="G55" s="150">
        <f t="array" ref="G55">COUNTIFS('Pool Changes'!$B:$B, $A55 &amp; " - " &amp; "*", INDEX(SUBSTITUTE('Pool Changes'!$G:$G, "±", "")*1,0), G$1) - 1</f>
        <v>4</v>
      </c>
      <c r="H55" s="150">
        <f t="array" ref="H55">COUNTIFS('Pool Changes'!$B:$B, $A55 &amp; " - " &amp; "*", INDEX(SUBSTITUTE('Pool Changes'!$G:$G, "±", "")*1,0), H$1)</f>
        <v>3</v>
      </c>
      <c r="I55" s="150">
        <f t="array" ref="I55">COUNTIFS('Pool Changes'!$B:$B, $A55 &amp; " - " &amp; "*", INDEX(SUBSTITUTE('Pool Changes'!$G:$G, "±", "")*1,0), I$1)</f>
        <v>1</v>
      </c>
      <c r="J55" s="150">
        <f t="array" ref="J55">COUNTIFS('Pool Changes'!$B:$B, $A55 &amp; " - " &amp; "*", INDEX(SUBSTITUTE('Pool Changes'!$G:$G, "±", "")*1,0), J$1)</f>
        <v>0</v>
      </c>
      <c r="K55" s="150">
        <f t="shared" si="2"/>
        <v>10</v>
      </c>
    </row>
    <row r="56">
      <c r="A56" s="104" t="s">
        <v>5603</v>
      </c>
      <c r="B56" s="104" t="s">
        <v>5858</v>
      </c>
      <c r="C56" s="150">
        <f t="shared" si="1"/>
        <v>0.55</v>
      </c>
      <c r="D56" s="150">
        <f t="array" ref="D56">COUNTIFS('Pool Changes'!$B:$B, $A56 &amp; " - " &amp; "*", INDEX(SUBSTITUTE('Pool Changes'!$G:$G, "±", "")*1,0), D$1)</f>
        <v>0</v>
      </c>
      <c r="E56" s="150">
        <f t="array" ref="E56">COUNTIFS('Pool Changes'!$B:$B, $A56 &amp; " - " &amp; "*", INDEX(SUBSTITUTE('Pool Changes'!$G:$G, "±", "")*1,0), E$1)</f>
        <v>2</v>
      </c>
      <c r="F56" s="150">
        <f t="array" ref="F56">COUNTIFS('Pool Changes'!$B:$B, $A56 &amp; " - " &amp; "*", INDEX(SUBSTITUTE('Pool Changes'!$G:$G, "±", "")*1,0), F$1)</f>
        <v>0</v>
      </c>
      <c r="G56" s="150">
        <f t="array" ref="G56">COUNTIFS('Pool Changes'!$B:$B, $A56 &amp; " - " &amp; "*", INDEX(SUBSTITUTE('Pool Changes'!$G:$G, "±", "")*1,0), G$1) - 1</f>
        <v>3</v>
      </c>
      <c r="H56" s="150">
        <f t="array" ref="H56">COUNTIFS('Pool Changes'!$B:$B, $A56 &amp; " - " &amp; "*", INDEX(SUBSTITUTE('Pool Changes'!$G:$G, "±", "")*1,0), H$1)</f>
        <v>1</v>
      </c>
      <c r="I56" s="150">
        <f t="array" ref="I56">COUNTIFS('Pool Changes'!$B:$B, $A56 &amp; " - " &amp; "*", INDEX(SUBSTITUTE('Pool Changes'!$G:$G, "±", "")*1,0), I$1)</f>
        <v>1</v>
      </c>
      <c r="J56" s="150">
        <f t="array" ref="J56">COUNTIFS('Pool Changes'!$B:$B, $A56 &amp; " - " &amp; "*", INDEX(SUBSTITUTE('Pool Changes'!$G:$G, "±", "")*1,0), J$1)</f>
        <v>3</v>
      </c>
      <c r="K56" s="150">
        <f t="shared" si="2"/>
        <v>10</v>
      </c>
    </row>
    <row r="57">
      <c r="A57" s="104" t="s">
        <v>5712</v>
      </c>
      <c r="B57" s="104" t="s">
        <v>5892</v>
      </c>
      <c r="C57" s="150">
        <f t="shared" si="1"/>
        <v>0.5882352941</v>
      </c>
      <c r="D57" s="150">
        <f t="array" ref="D57">COUNTIFS('Pool Changes'!$B:$B, $A57 &amp; " - " &amp; "*", INDEX(SUBSTITUTE('Pool Changes'!$G:$G, "±", "")*1,0), D$1)</f>
        <v>0</v>
      </c>
      <c r="E57" s="150">
        <f t="array" ref="E57">COUNTIFS('Pool Changes'!$B:$B, $A57 &amp; " - " &amp; "*", INDEX(SUBSTITUTE('Pool Changes'!$G:$G, "±", "")*1,0), E$1)</f>
        <v>0</v>
      </c>
      <c r="F57" s="150">
        <f t="array" ref="F57">COUNTIFS('Pool Changes'!$B:$B, $A57 &amp; " - " &amp; "*", INDEX(SUBSTITUTE('Pool Changes'!$G:$G, "±", "")*1,0), F$1)</f>
        <v>0</v>
      </c>
      <c r="G57" s="150">
        <f t="array" ref="G57">COUNTIFS('Pool Changes'!$B:$B, $A57 &amp; " - " &amp; "*", INDEX(SUBSTITUTE('Pool Changes'!$G:$G, "±", "")*1,0), G$1) - 1</f>
        <v>2</v>
      </c>
      <c r="H57" s="150">
        <f t="array" ref="H57">COUNTIFS('Pool Changes'!$B:$B, $A57 &amp; " - " &amp; "*", INDEX(SUBSTITUTE('Pool Changes'!$G:$G, "±", "")*1,0), H$1)</f>
        <v>2</v>
      </c>
      <c r="I57" s="150">
        <f t="array" ref="I57">COUNTIFS('Pool Changes'!$B:$B, $A57 &amp; " - " &amp; "*", INDEX(SUBSTITUTE('Pool Changes'!$G:$G, "±", "")*1,0), I$1)</f>
        <v>1</v>
      </c>
      <c r="J57" s="150">
        <f t="array" ref="J57">COUNTIFS('Pool Changes'!$B:$B, $A57 &amp; " - " &amp; "*", INDEX(SUBSTITUTE('Pool Changes'!$G:$G, "±", "")*1,0), J$1)</f>
        <v>3</v>
      </c>
      <c r="K57" s="150">
        <f t="shared" si="2"/>
        <v>8</v>
      </c>
    </row>
    <row r="58">
      <c r="A58" s="104" t="s">
        <v>5639</v>
      </c>
      <c r="B58" s="104" t="s">
        <v>5896</v>
      </c>
      <c r="C58" s="150">
        <f t="shared" si="1"/>
        <v>0.5555555556</v>
      </c>
      <c r="D58" s="150">
        <f t="array" ref="D58">COUNTIFS('Pool Changes'!$B:$B, $A58 &amp; " - " &amp; "*", INDEX(SUBSTITUTE('Pool Changes'!$G:$G, "±", "")*1,0), D$1)</f>
        <v>3</v>
      </c>
      <c r="E58" s="150">
        <f t="array" ref="E58">COUNTIFS('Pool Changes'!$B:$B, $A58 &amp; " - " &amp; "*", INDEX(SUBSTITUTE('Pool Changes'!$G:$G, "±", "")*1,0), E$1)</f>
        <v>0</v>
      </c>
      <c r="F58" s="150">
        <f t="array" ref="F58">COUNTIFS('Pool Changes'!$B:$B, $A58 &amp; " - " &amp; "*", INDEX(SUBSTITUTE('Pool Changes'!$G:$G, "±", "")*1,0), F$1)</f>
        <v>1</v>
      </c>
      <c r="G58" s="150">
        <f t="array" ref="G58">COUNTIFS('Pool Changes'!$B:$B, $A58 &amp; " - " &amp; "*", INDEX(SUBSTITUTE('Pool Changes'!$G:$G, "±", "")*1,0), G$1) - 1</f>
        <v>3</v>
      </c>
      <c r="H58" s="150">
        <f t="array" ref="H58">COUNTIFS('Pool Changes'!$B:$B, $A58 &amp; " - " &amp; "*", INDEX(SUBSTITUTE('Pool Changes'!$G:$G, "±", "")*1,0), H$1)</f>
        <v>0</v>
      </c>
      <c r="I58" s="150">
        <f t="array" ref="I58">COUNTIFS('Pool Changes'!$B:$B, $A58 &amp; " - " &amp; "*", INDEX(SUBSTITUTE('Pool Changes'!$G:$G, "±", "")*1,0), I$1)</f>
        <v>2</v>
      </c>
      <c r="J58" s="150">
        <f t="array" ref="J58">COUNTIFS('Pool Changes'!$B:$B, $A58 &amp; " - " &amp; "*", INDEX(SUBSTITUTE('Pool Changes'!$G:$G, "±", "")*1,0), J$1)</f>
        <v>0</v>
      </c>
      <c r="K58" s="150">
        <f t="shared" si="2"/>
        <v>9</v>
      </c>
    </row>
    <row r="59">
      <c r="A59" s="104" t="s">
        <v>5572</v>
      </c>
      <c r="B59" s="104" t="s">
        <v>5896</v>
      </c>
      <c r="C59" s="150">
        <f t="shared" si="1"/>
        <v>0.5555555556</v>
      </c>
      <c r="D59" s="150">
        <f t="array" ref="D59">COUNTIFS('Pool Changes'!$B:$B, $A59 &amp; " - " &amp; "*", INDEX(SUBSTITUTE('Pool Changes'!$G:$G, "±", "")*1,0), D$1)</f>
        <v>1</v>
      </c>
      <c r="E59" s="150">
        <f t="array" ref="E59">COUNTIFS('Pool Changes'!$B:$B, $A59 &amp; " - " &amp; "*", INDEX(SUBSTITUTE('Pool Changes'!$G:$G, "±", "")*1,0), E$1)</f>
        <v>1</v>
      </c>
      <c r="F59" s="150">
        <f t="array" ref="F59">COUNTIFS('Pool Changes'!$B:$B, $A59 &amp; " - " &amp; "*", INDEX(SUBSTITUTE('Pool Changes'!$G:$G, "±", "")*1,0), F$1)</f>
        <v>1</v>
      </c>
      <c r="G59" s="150">
        <f t="array" ref="G59">COUNTIFS('Pool Changes'!$B:$B, $A59 &amp; " - " &amp; "*", INDEX(SUBSTITUTE('Pool Changes'!$G:$G, "±", "")*1,0), G$1) - 1</f>
        <v>2</v>
      </c>
      <c r="H59" s="150">
        <f t="array" ref="H59">COUNTIFS('Pool Changes'!$B:$B, $A59 &amp; " - " &amp; "*", INDEX(SUBSTITUTE('Pool Changes'!$G:$G, "±", "")*1,0), H$1)</f>
        <v>0</v>
      </c>
      <c r="I59" s="150">
        <f t="array" ref="I59">COUNTIFS('Pool Changes'!$B:$B, $A59 &amp; " - " &amp; "*", INDEX(SUBSTITUTE('Pool Changes'!$G:$G, "±", "")*1,0), I$1)</f>
        <v>2</v>
      </c>
      <c r="J59" s="150">
        <f t="array" ref="J59">COUNTIFS('Pool Changes'!$B:$B, $A59 &amp; " - " &amp; "*", INDEX(SUBSTITUTE('Pool Changes'!$G:$G, "±", "")*1,0), J$1)</f>
        <v>2</v>
      </c>
      <c r="K59" s="150">
        <f t="shared" si="2"/>
        <v>9</v>
      </c>
    </row>
    <row r="60">
      <c r="A60" s="104" t="s">
        <v>5465</v>
      </c>
      <c r="B60" s="104" t="s">
        <v>5903</v>
      </c>
      <c r="C60" s="150">
        <f t="shared" si="1"/>
        <v>0.5263157895</v>
      </c>
      <c r="D60" s="150">
        <f t="array" ref="D60">COUNTIFS('Pool Changes'!$B:$B, $A60 &amp; " - " &amp; "*", INDEX(SUBSTITUTE('Pool Changes'!$G:$G, "±", "")*1,0), D$1)</f>
        <v>0</v>
      </c>
      <c r="E60" s="150">
        <f t="array" ref="E60">COUNTIFS('Pool Changes'!$B:$B, $A60 &amp; " - " &amp; "*", INDEX(SUBSTITUTE('Pool Changes'!$G:$G, "±", "")*1,0), E$1)</f>
        <v>0</v>
      </c>
      <c r="F60" s="150">
        <f t="array" ref="F60">COUNTIFS('Pool Changes'!$B:$B, $A60 &amp; " - " &amp; "*", INDEX(SUBSTITUTE('Pool Changes'!$G:$G, "±", "")*1,0), F$1)</f>
        <v>0</v>
      </c>
      <c r="G60" s="150">
        <f t="array" ref="G60">COUNTIFS('Pool Changes'!$B:$B, $A60 &amp; " - " &amp; "*", INDEX(SUBSTITUTE('Pool Changes'!$G:$G, "±", "")*1,0), G$1) - 1</f>
        <v>1</v>
      </c>
      <c r="H60" s="150">
        <f t="array" ref="H60">COUNTIFS('Pool Changes'!$B:$B, $A60 &amp; " - " &amp; "*", INDEX(SUBSTITUTE('Pool Changes'!$G:$G, "±", "")*1,0), H$1)</f>
        <v>3</v>
      </c>
      <c r="I60" s="150">
        <f t="array" ref="I60">COUNTIFS('Pool Changes'!$B:$B, $A60 &amp; " - " &amp; "*", INDEX(SUBSTITUTE('Pool Changes'!$G:$G, "±", "")*1,0), I$1)</f>
        <v>5</v>
      </c>
      <c r="J60" s="150">
        <f t="array" ref="J60">COUNTIFS('Pool Changes'!$B:$B, $A60 &amp; " - " &amp; "*", INDEX(SUBSTITUTE('Pool Changes'!$G:$G, "±", "")*1,0), J$1)</f>
        <v>1</v>
      </c>
      <c r="K60" s="150">
        <f t="shared" si="2"/>
        <v>10</v>
      </c>
    </row>
    <row r="61">
      <c r="A61" s="104" t="s">
        <v>5686</v>
      </c>
      <c r="B61" s="104" t="s">
        <v>5903</v>
      </c>
      <c r="C61" s="150">
        <f t="shared" si="1"/>
        <v>0.5263157895</v>
      </c>
      <c r="D61" s="150">
        <f t="array" ref="D61">COUNTIFS('Pool Changes'!$B:$B, $A61 &amp; " - " &amp; "*", INDEX(SUBSTITUTE('Pool Changes'!$G:$G, "±", "")*1,0), D$1)</f>
        <v>5</v>
      </c>
      <c r="E61" s="150">
        <f t="array" ref="E61">COUNTIFS('Pool Changes'!$B:$B, $A61 &amp; " - " &amp; "*", INDEX(SUBSTITUTE('Pool Changes'!$G:$G, "±", "")*1,0), E$1)</f>
        <v>2</v>
      </c>
      <c r="F61" s="150">
        <f t="array" ref="F61">COUNTIFS('Pool Changes'!$B:$B, $A61 &amp; " - " &amp; "*", INDEX(SUBSTITUTE('Pool Changes'!$G:$G, "±", "")*1,0), F$1)</f>
        <v>3</v>
      </c>
      <c r="G61" s="150">
        <f t="array" ref="G61">COUNTIFS('Pool Changes'!$B:$B, $A61 &amp; " - " &amp; "*", INDEX(SUBSTITUTE('Pool Changes'!$G:$G, "±", "")*1,0), G$1) - 1</f>
        <v>0</v>
      </c>
      <c r="H61" s="150">
        <f t="array" ref="H61">COUNTIFS('Pool Changes'!$B:$B, $A61 &amp; " - " &amp; "*", INDEX(SUBSTITUTE('Pool Changes'!$G:$G, "±", "")*1,0), H$1)</f>
        <v>0</v>
      </c>
      <c r="I61" s="150">
        <f t="array" ref="I61">COUNTIFS('Pool Changes'!$B:$B, $A61 &amp; " - " &amp; "*", INDEX(SUBSTITUTE('Pool Changes'!$G:$G, "±", "")*1,0), I$1)</f>
        <v>0</v>
      </c>
      <c r="J61" s="150">
        <f t="array" ref="J61">COUNTIFS('Pool Changes'!$B:$B, $A61 &amp; " - " &amp; "*", INDEX(SUBSTITUTE('Pool Changes'!$G:$G, "±", "")*1,0), J$1)</f>
        <v>0</v>
      </c>
      <c r="K61" s="150">
        <f t="shared" si="2"/>
        <v>10</v>
      </c>
    </row>
    <row r="62">
      <c r="A62" s="104" t="s">
        <v>5446</v>
      </c>
      <c r="B62" s="104" t="s">
        <v>5903</v>
      </c>
      <c r="C62" s="150">
        <f t="shared" si="1"/>
        <v>0.5263157895</v>
      </c>
      <c r="D62" s="150">
        <f t="array" ref="D62">COUNTIFS('Pool Changes'!$B:$B, $A62 &amp; " - " &amp; "*", INDEX(SUBSTITUTE('Pool Changes'!$G:$G, "±", "")*1,0), D$1)</f>
        <v>2</v>
      </c>
      <c r="E62" s="150">
        <f t="array" ref="E62">COUNTIFS('Pool Changes'!$B:$B, $A62 &amp; " - " &amp; "*", INDEX(SUBSTITUTE('Pool Changes'!$G:$G, "±", "")*1,0), E$1)</f>
        <v>2</v>
      </c>
      <c r="F62" s="150">
        <f t="array" ref="F62">COUNTIFS('Pool Changes'!$B:$B, $A62 &amp; " - " &amp; "*", INDEX(SUBSTITUTE('Pool Changes'!$G:$G, "±", "")*1,0), F$1)</f>
        <v>1</v>
      </c>
      <c r="G62" s="150">
        <f t="array" ref="G62">COUNTIFS('Pool Changes'!$B:$B, $A62 &amp; " - " &amp; "*", INDEX(SUBSTITUTE('Pool Changes'!$G:$G, "±", "")*1,0), G$1) - 1</f>
        <v>5</v>
      </c>
      <c r="H62" s="150">
        <f t="array" ref="H62">COUNTIFS('Pool Changes'!$B:$B, $A62 &amp; " - " &amp; "*", INDEX(SUBSTITUTE('Pool Changes'!$G:$G, "±", "")*1,0), H$1)</f>
        <v>0</v>
      </c>
      <c r="I62" s="150">
        <f t="array" ref="I62">COUNTIFS('Pool Changes'!$B:$B, $A62 &amp; " - " &amp; "*", INDEX(SUBSTITUTE('Pool Changes'!$G:$G, "±", "")*1,0), I$1)</f>
        <v>0</v>
      </c>
      <c r="J62" s="150">
        <f t="array" ref="J62">COUNTIFS('Pool Changes'!$B:$B, $A62 &amp; " - " &amp; "*", INDEX(SUBSTITUTE('Pool Changes'!$G:$G, "±", "")*1,0), J$1)</f>
        <v>0</v>
      </c>
      <c r="K62" s="150">
        <f t="shared" si="2"/>
        <v>10</v>
      </c>
    </row>
    <row r="63">
      <c r="A63" s="104" t="s">
        <v>5601</v>
      </c>
      <c r="B63" s="104" t="s">
        <v>5913</v>
      </c>
      <c r="C63" s="150">
        <f t="shared" si="1"/>
        <v>0.5</v>
      </c>
      <c r="D63" s="150">
        <f t="array" ref="D63">COUNTIFS('Pool Changes'!$B:$B, $A63 &amp; " - " &amp; "*", INDEX(SUBSTITUTE('Pool Changes'!$G:$G, "±", "")*1,0), D$1)</f>
        <v>0</v>
      </c>
      <c r="E63" s="150">
        <f t="array" ref="E63">COUNTIFS('Pool Changes'!$B:$B, $A63 &amp; " - " &amp; "*", INDEX(SUBSTITUTE('Pool Changes'!$G:$G, "±", "")*1,0), E$1)</f>
        <v>0</v>
      </c>
      <c r="F63" s="150">
        <f t="array" ref="F63">COUNTIFS('Pool Changes'!$B:$B, $A63 &amp; " - " &amp; "*", INDEX(SUBSTITUTE('Pool Changes'!$G:$G, "±", "")*1,0), F$1)</f>
        <v>1</v>
      </c>
      <c r="G63" s="150">
        <f t="array" ref="G63">COUNTIFS('Pool Changes'!$B:$B, $A63 &amp; " - " &amp; "*", INDEX(SUBSTITUTE('Pool Changes'!$G:$G, "±", "")*1,0), G$1) - 1</f>
        <v>5</v>
      </c>
      <c r="H63" s="150">
        <f t="array" ref="H63">COUNTIFS('Pool Changes'!$B:$B, $A63 &amp; " - " &amp; "*", INDEX(SUBSTITUTE('Pool Changes'!$G:$G, "±", "")*1,0), H$1)</f>
        <v>2</v>
      </c>
      <c r="I63" s="150">
        <f t="array" ref="I63">COUNTIFS('Pool Changes'!$B:$B, $A63 &amp; " - " &amp; "*", INDEX(SUBSTITUTE('Pool Changes'!$G:$G, "±", "")*1,0), I$1)</f>
        <v>3</v>
      </c>
      <c r="J63" s="150">
        <f t="array" ref="J63">COUNTIFS('Pool Changes'!$B:$B, $A63 &amp; " - " &amp; "*", INDEX(SUBSTITUTE('Pool Changes'!$G:$G, "±", "")*1,0), J$1)</f>
        <v>0</v>
      </c>
      <c r="K63" s="150">
        <f t="shared" si="2"/>
        <v>11</v>
      </c>
    </row>
    <row r="64">
      <c r="A64" s="104" t="s">
        <v>5455</v>
      </c>
      <c r="B64" s="104" t="s">
        <v>5913</v>
      </c>
      <c r="C64" s="150">
        <f t="shared" si="1"/>
        <v>0.5</v>
      </c>
      <c r="D64" s="150">
        <f t="array" ref="D64">COUNTIFS('Pool Changes'!$B:$B, $A64 &amp; " - " &amp; "*", INDEX(SUBSTITUTE('Pool Changes'!$G:$G, "±", "")*1,0), D$1)</f>
        <v>1</v>
      </c>
      <c r="E64" s="150">
        <f t="array" ref="E64">COUNTIFS('Pool Changes'!$B:$B, $A64 &amp; " - " &amp; "*", INDEX(SUBSTITUTE('Pool Changes'!$G:$G, "±", "")*1,0), E$1)</f>
        <v>1</v>
      </c>
      <c r="F64" s="150">
        <f t="array" ref="F64">COUNTIFS('Pool Changes'!$B:$B, $A64 &amp; " - " &amp; "*", INDEX(SUBSTITUTE('Pool Changes'!$G:$G, "±", "")*1,0), F$1)</f>
        <v>0</v>
      </c>
      <c r="G64" s="150">
        <f t="array" ref="G64">COUNTIFS('Pool Changes'!$B:$B, $A64 &amp; " - " &amp; "*", INDEX(SUBSTITUTE('Pool Changes'!$G:$G, "±", "")*1,0), G$1) - 1</f>
        <v>4</v>
      </c>
      <c r="H64" s="150">
        <f t="array" ref="H64">COUNTIFS('Pool Changes'!$B:$B, $A64 &amp; " - " &amp; "*", INDEX(SUBSTITUTE('Pool Changes'!$G:$G, "±", "")*1,0), H$1)</f>
        <v>3</v>
      </c>
      <c r="I64" s="150">
        <f t="array" ref="I64">COUNTIFS('Pool Changes'!$B:$B, $A64 &amp; " - " &amp; "*", INDEX(SUBSTITUTE('Pool Changes'!$G:$G, "±", "")*1,0), I$1)</f>
        <v>0</v>
      </c>
      <c r="J64" s="150">
        <f t="array" ref="J64">COUNTIFS('Pool Changes'!$B:$B, $A64 &amp; " - " &amp; "*", INDEX(SUBSTITUTE('Pool Changes'!$G:$G, "±", "")*1,0), J$1)</f>
        <v>2</v>
      </c>
      <c r="K64" s="150">
        <f t="shared" si="2"/>
        <v>11</v>
      </c>
    </row>
    <row r="65">
      <c r="A65" s="104" t="s">
        <v>5718</v>
      </c>
      <c r="B65" s="104" t="s">
        <v>5913</v>
      </c>
      <c r="C65" s="150">
        <f t="shared" si="1"/>
        <v>0.5</v>
      </c>
      <c r="D65" s="150">
        <f t="array" ref="D65">COUNTIFS('Pool Changes'!$B:$B, $A65 &amp; " - " &amp; "*", INDEX(SUBSTITUTE('Pool Changes'!$G:$G, "±", "")*1,0), D$1)</f>
        <v>0</v>
      </c>
      <c r="E65" s="150">
        <f t="array" ref="E65">COUNTIFS('Pool Changes'!$B:$B, $A65 &amp; " - " &amp; "*", INDEX(SUBSTITUTE('Pool Changes'!$G:$G, "±", "")*1,0), E$1)</f>
        <v>2</v>
      </c>
      <c r="F65" s="150">
        <f t="array" ref="F65">COUNTIFS('Pool Changes'!$B:$B, $A65 &amp; " - " &amp; "*", INDEX(SUBSTITUTE('Pool Changes'!$G:$G, "±", "")*1,0), F$1)</f>
        <v>0</v>
      </c>
      <c r="G65" s="150">
        <f t="array" ref="G65">COUNTIFS('Pool Changes'!$B:$B, $A65 &amp; " - " &amp; "*", INDEX(SUBSTITUTE('Pool Changes'!$G:$G, "±", "")*1,0), G$1) - 1</f>
        <v>5</v>
      </c>
      <c r="H65" s="150">
        <f t="array" ref="H65">COUNTIFS('Pool Changes'!$B:$B, $A65 &amp; " - " &amp; "*", INDEX(SUBSTITUTE('Pool Changes'!$G:$G, "±", "")*1,0), H$1)</f>
        <v>1</v>
      </c>
      <c r="I65" s="150">
        <f t="array" ref="I65">COUNTIFS('Pool Changes'!$B:$B, $A65 &amp; " - " &amp; "*", INDEX(SUBSTITUTE('Pool Changes'!$G:$G, "±", "")*1,0), I$1)</f>
        <v>1</v>
      </c>
      <c r="J65" s="150">
        <f t="array" ref="J65">COUNTIFS('Pool Changes'!$B:$B, $A65 &amp; " - " &amp; "*", INDEX(SUBSTITUTE('Pool Changes'!$G:$G, "±", "")*1,0), J$1)</f>
        <v>2</v>
      </c>
      <c r="K65" s="150">
        <f t="shared" si="2"/>
        <v>11</v>
      </c>
    </row>
    <row r="66">
      <c r="A66" s="104" t="s">
        <v>5697</v>
      </c>
      <c r="B66" s="104" t="s">
        <v>5913</v>
      </c>
      <c r="C66" s="150">
        <f t="shared" si="1"/>
        <v>0.5</v>
      </c>
      <c r="D66" s="150">
        <f t="array" ref="D66">COUNTIFS('Pool Changes'!$B:$B, $A66 &amp; " - " &amp; "*", INDEX(SUBSTITUTE('Pool Changes'!$G:$G, "±", "")*1,0), D$1)</f>
        <v>5</v>
      </c>
      <c r="E66" s="150">
        <f t="array" ref="E66">COUNTIFS('Pool Changes'!$B:$B, $A66 &amp; " - " &amp; "*", INDEX(SUBSTITUTE('Pool Changes'!$G:$G, "±", "")*1,0), E$1)</f>
        <v>4</v>
      </c>
      <c r="F66" s="150">
        <f t="array" ref="F66">COUNTIFS('Pool Changes'!$B:$B, $A66 &amp; " - " &amp; "*", INDEX(SUBSTITUTE('Pool Changes'!$G:$G, "±", "")*1,0), F$1)</f>
        <v>0</v>
      </c>
      <c r="G66" s="150">
        <f t="array" ref="G66">COUNTIFS('Pool Changes'!$B:$B, $A66 &amp; " - " &amp; "*", INDEX(SUBSTITUTE('Pool Changes'!$G:$G, "±", "")*1,0), G$1) - 1</f>
        <v>2</v>
      </c>
      <c r="H66" s="150">
        <f t="array" ref="H66">COUNTIFS('Pool Changes'!$B:$B, $A66 &amp; " - " &amp; "*", INDEX(SUBSTITUTE('Pool Changes'!$G:$G, "±", "")*1,0), H$1)</f>
        <v>0</v>
      </c>
      <c r="I66" s="150">
        <f t="array" ref="I66">COUNTIFS('Pool Changes'!$B:$B, $A66 &amp; " - " &amp; "*", INDEX(SUBSTITUTE('Pool Changes'!$G:$G, "±", "")*1,0), I$1)</f>
        <v>0</v>
      </c>
      <c r="J66" s="150">
        <f t="array" ref="J66">COUNTIFS('Pool Changes'!$B:$B, $A66 &amp; " - " &amp; "*", INDEX(SUBSTITUTE('Pool Changes'!$G:$G, "±", "")*1,0), J$1)</f>
        <v>0</v>
      </c>
      <c r="K66" s="150">
        <f t="shared" si="2"/>
        <v>11</v>
      </c>
    </row>
    <row r="67">
      <c r="A67" s="104" t="s">
        <v>5705</v>
      </c>
      <c r="B67" s="104" t="s">
        <v>5913</v>
      </c>
      <c r="C67" s="150">
        <f t="shared" si="1"/>
        <v>0.5</v>
      </c>
      <c r="D67" s="150">
        <f t="array" ref="D67">COUNTIFS('Pool Changes'!$B:$B, $A67 &amp; " - " &amp; "*", INDEX(SUBSTITUTE('Pool Changes'!$G:$G, "±", "")*1,0), D$1)</f>
        <v>3</v>
      </c>
      <c r="E67" s="150">
        <f t="array" ref="E67">COUNTIFS('Pool Changes'!$B:$B, $A67 &amp; " - " &amp; "*", INDEX(SUBSTITUTE('Pool Changes'!$G:$G, "±", "")*1,0), E$1)</f>
        <v>2</v>
      </c>
      <c r="F67" s="150">
        <f t="array" ref="F67">COUNTIFS('Pool Changes'!$B:$B, $A67 &amp; " - " &amp; "*", INDEX(SUBSTITUTE('Pool Changes'!$G:$G, "±", "")*1,0), F$1)</f>
        <v>0</v>
      </c>
      <c r="G67" s="150">
        <f t="array" ref="G67">COUNTIFS('Pool Changes'!$B:$B, $A67 &amp; " - " &amp; "*", INDEX(SUBSTITUTE('Pool Changes'!$G:$G, "±", "")*1,0), G$1) - 1</f>
        <v>4</v>
      </c>
      <c r="H67" s="150">
        <f t="array" ref="H67">COUNTIFS('Pool Changes'!$B:$B, $A67 &amp; " - " &amp; "*", INDEX(SUBSTITUTE('Pool Changes'!$G:$G, "±", "")*1,0), H$1)</f>
        <v>1</v>
      </c>
      <c r="I67" s="150">
        <f t="array" ref="I67">COUNTIFS('Pool Changes'!$B:$B, $A67 &amp; " - " &amp; "*", INDEX(SUBSTITUTE('Pool Changes'!$G:$G, "±", "")*1,0), I$1)</f>
        <v>0</v>
      </c>
      <c r="J67" s="150">
        <f t="array" ref="J67">COUNTIFS('Pool Changes'!$B:$B, $A67 &amp; " - " &amp; "*", INDEX(SUBSTITUTE('Pool Changes'!$G:$G, "±", "")*1,0), J$1)</f>
        <v>1</v>
      </c>
      <c r="K67" s="150">
        <f t="shared" si="2"/>
        <v>11</v>
      </c>
    </row>
    <row r="68">
      <c r="A68" s="104" t="s">
        <v>5444</v>
      </c>
      <c r="B68" s="104" t="s">
        <v>5913</v>
      </c>
      <c r="C68" s="150">
        <f t="shared" si="1"/>
        <v>0.5</v>
      </c>
      <c r="D68" s="150">
        <f t="array" ref="D68">COUNTIFS('Pool Changes'!$B:$B, $A68 &amp; " - " &amp; "*", INDEX(SUBSTITUTE('Pool Changes'!$G:$G, "±", "")*1,0), D$1)</f>
        <v>3</v>
      </c>
      <c r="E68" s="150">
        <f t="array" ref="E68">COUNTIFS('Pool Changes'!$B:$B, $A68 &amp; " - " &amp; "*", INDEX(SUBSTITUTE('Pool Changes'!$G:$G, "±", "")*1,0), E$1)</f>
        <v>0</v>
      </c>
      <c r="F68" s="150">
        <f t="array" ref="F68">COUNTIFS('Pool Changes'!$B:$B, $A68 &amp; " - " &amp; "*", INDEX(SUBSTITUTE('Pool Changes'!$G:$G, "±", "")*1,0), F$1)</f>
        <v>0</v>
      </c>
      <c r="G68" s="150">
        <f t="array" ref="G68">COUNTIFS('Pool Changes'!$B:$B, $A68 &amp; " - " &amp; "*", INDEX(SUBSTITUTE('Pool Changes'!$G:$G, "±", "")*1,0), G$1) - 1</f>
        <v>3</v>
      </c>
      <c r="H68" s="150">
        <f t="array" ref="H68">COUNTIFS('Pool Changes'!$B:$B, $A68 &amp; " - " &amp; "*", INDEX(SUBSTITUTE('Pool Changes'!$G:$G, "±", "")*1,0), H$1)</f>
        <v>1</v>
      </c>
      <c r="I68" s="150">
        <f t="array" ref="I68">COUNTIFS('Pool Changes'!$B:$B, $A68 &amp; " - " &amp; "*", INDEX(SUBSTITUTE('Pool Changes'!$G:$G, "±", "")*1,0), I$1)</f>
        <v>2</v>
      </c>
      <c r="J68" s="150">
        <f t="array" ref="J68">COUNTIFS('Pool Changes'!$B:$B, $A68 &amp; " - " &amp; "*", INDEX(SUBSTITUTE('Pool Changes'!$G:$G, "±", "")*1,0), J$1)</f>
        <v>2</v>
      </c>
      <c r="K68" s="150">
        <f t="shared" si="2"/>
        <v>11</v>
      </c>
    </row>
    <row r="69">
      <c r="A69" s="104" t="s">
        <v>5512</v>
      </c>
      <c r="B69" s="104" t="s">
        <v>5913</v>
      </c>
      <c r="C69" s="150">
        <f t="shared" si="1"/>
        <v>0.5</v>
      </c>
      <c r="D69" s="150">
        <f t="array" ref="D69">COUNTIFS('Pool Changes'!$B:$B, $A69 &amp; " - " &amp; "*", INDEX(SUBSTITUTE('Pool Changes'!$G:$G, "±", "")*1,0), D$1)</f>
        <v>2</v>
      </c>
      <c r="E69" s="150">
        <f t="array" ref="E69">COUNTIFS('Pool Changes'!$B:$B, $A69 &amp; " - " &amp; "*", INDEX(SUBSTITUTE('Pool Changes'!$G:$G, "±", "")*1,0), E$1)</f>
        <v>1</v>
      </c>
      <c r="F69" s="150">
        <f t="array" ref="F69">COUNTIFS('Pool Changes'!$B:$B, $A69 &amp; " - " &amp; "*", INDEX(SUBSTITUTE('Pool Changes'!$G:$G, "±", "")*1,0), F$1)</f>
        <v>3</v>
      </c>
      <c r="G69" s="150">
        <f t="array" ref="G69">COUNTIFS('Pool Changes'!$B:$B, $A69 &amp; " - " &amp; "*", INDEX(SUBSTITUTE('Pool Changes'!$G:$G, "±", "")*1,0), G$1) - 1</f>
        <v>4</v>
      </c>
      <c r="H69" s="150">
        <f t="array" ref="H69">COUNTIFS('Pool Changes'!$B:$B, $A69 &amp; " - " &amp; "*", INDEX(SUBSTITUTE('Pool Changes'!$G:$G, "±", "")*1,0), H$1)</f>
        <v>0</v>
      </c>
      <c r="I69" s="150">
        <f t="array" ref="I69">COUNTIFS('Pool Changes'!$B:$B, $A69 &amp; " - " &amp; "*", INDEX(SUBSTITUTE('Pool Changes'!$G:$G, "±", "")*1,0), I$1)</f>
        <v>1</v>
      </c>
      <c r="J69" s="150">
        <f t="array" ref="J69">COUNTIFS('Pool Changes'!$B:$B, $A69 &amp; " - " &amp; "*", INDEX(SUBSTITUTE('Pool Changes'!$G:$G, "±", "")*1,0), J$1)</f>
        <v>0</v>
      </c>
      <c r="K69" s="150">
        <f t="shared" si="2"/>
        <v>11</v>
      </c>
    </row>
    <row r="70">
      <c r="A70" s="104" t="s">
        <v>5580</v>
      </c>
      <c r="B70" s="104" t="s">
        <v>5913</v>
      </c>
      <c r="C70" s="150">
        <f t="shared" si="1"/>
        <v>0.5</v>
      </c>
      <c r="D70" s="150">
        <f t="array" ref="D70">COUNTIFS('Pool Changes'!$B:$B, $A70 &amp; " - " &amp; "*", INDEX(SUBSTITUTE('Pool Changes'!$G:$G, "±", "")*1,0), D$1)</f>
        <v>3</v>
      </c>
      <c r="E70" s="150">
        <f t="array" ref="E70">COUNTIFS('Pool Changes'!$B:$B, $A70 &amp; " - " &amp; "*", INDEX(SUBSTITUTE('Pool Changes'!$G:$G, "±", "")*1,0), E$1)</f>
        <v>0</v>
      </c>
      <c r="F70" s="150">
        <f t="array" ref="F70">COUNTIFS('Pool Changes'!$B:$B, $A70 &amp; " - " &amp; "*", INDEX(SUBSTITUTE('Pool Changes'!$G:$G, "±", "")*1,0), F$1)</f>
        <v>1</v>
      </c>
      <c r="G70" s="150">
        <f t="array" ref="G70">COUNTIFS('Pool Changes'!$B:$B, $A70 &amp; " - " &amp; "*", INDEX(SUBSTITUTE('Pool Changes'!$G:$G, "±", "")*1,0), G$1) - 1</f>
        <v>5</v>
      </c>
      <c r="H70" s="150">
        <f t="array" ref="H70">COUNTIFS('Pool Changes'!$B:$B, $A70 &amp; " - " &amp; "*", INDEX(SUBSTITUTE('Pool Changes'!$G:$G, "±", "")*1,0), H$1)</f>
        <v>1</v>
      </c>
      <c r="I70" s="150">
        <f t="array" ref="I70">COUNTIFS('Pool Changes'!$B:$B, $A70 &amp; " - " &amp; "*", INDEX(SUBSTITUTE('Pool Changes'!$G:$G, "±", "")*1,0), I$1)</f>
        <v>0</v>
      </c>
      <c r="J70" s="150">
        <f t="array" ref="J70">COUNTIFS('Pool Changes'!$B:$B, $A70 &amp; " - " &amp; "*", INDEX(SUBSTITUTE('Pool Changes'!$G:$G, "±", "")*1,0), J$1)</f>
        <v>1</v>
      </c>
      <c r="K70" s="150">
        <f t="shared" si="2"/>
        <v>11</v>
      </c>
    </row>
    <row r="71">
      <c r="A71" s="104" t="s">
        <v>5485</v>
      </c>
      <c r="B71" s="104" t="s">
        <v>5913</v>
      </c>
      <c r="C71" s="150">
        <f t="shared" si="1"/>
        <v>0.5</v>
      </c>
      <c r="D71" s="150">
        <f t="array" ref="D71">COUNTIFS('Pool Changes'!$B:$B, $A71 &amp; " - " &amp; "*", INDEX(SUBSTITUTE('Pool Changes'!$G:$G, "±", "")*1,0), D$1)</f>
        <v>1</v>
      </c>
      <c r="E71" s="150">
        <f t="array" ref="E71">COUNTIFS('Pool Changes'!$B:$B, $A71 &amp; " - " &amp; "*", INDEX(SUBSTITUTE('Pool Changes'!$G:$G, "±", "")*1,0), E$1)</f>
        <v>0</v>
      </c>
      <c r="F71" s="150">
        <f t="array" ref="F71">COUNTIFS('Pool Changes'!$B:$B, $A71 &amp; " - " &amp; "*", INDEX(SUBSTITUTE('Pool Changes'!$G:$G, "±", "")*1,0), F$1)</f>
        <v>0</v>
      </c>
      <c r="G71" s="150">
        <f t="array" ref="G71">COUNTIFS('Pool Changes'!$B:$B, $A71 &amp; " - " &amp; "*", INDEX(SUBSTITUTE('Pool Changes'!$G:$G, "±", "")*1,0), G$1) - 1</f>
        <v>4</v>
      </c>
      <c r="H71" s="150">
        <f t="array" ref="H71">COUNTIFS('Pool Changes'!$B:$B, $A71 &amp; " - " &amp; "*", INDEX(SUBSTITUTE('Pool Changes'!$G:$G, "±", "")*1,0), H$1)</f>
        <v>6</v>
      </c>
      <c r="I71" s="150">
        <f t="array" ref="I71">COUNTIFS('Pool Changes'!$B:$B, $A71 &amp; " - " &amp; "*", INDEX(SUBSTITUTE('Pool Changes'!$G:$G, "±", "")*1,0), I$1)</f>
        <v>0</v>
      </c>
      <c r="J71" s="150">
        <f t="array" ref="J71">COUNTIFS('Pool Changes'!$B:$B, $A71 &amp; " - " &amp; "*", INDEX(SUBSTITUTE('Pool Changes'!$G:$G, "±", "")*1,0), J$1)</f>
        <v>0</v>
      </c>
      <c r="K71" s="150">
        <f t="shared" si="2"/>
        <v>11</v>
      </c>
    </row>
    <row r="72">
      <c r="A72" s="104" t="s">
        <v>5740</v>
      </c>
      <c r="B72" s="104" t="s">
        <v>5913</v>
      </c>
      <c r="C72" s="150">
        <f t="shared" si="1"/>
        <v>0.5</v>
      </c>
      <c r="D72" s="150">
        <f t="array" ref="D72">COUNTIFS('Pool Changes'!$B:$B, $A72 &amp; " - " &amp; "*", INDEX(SUBSTITUTE('Pool Changes'!$G:$G, "±", "")*1,0), D$1)</f>
        <v>0</v>
      </c>
      <c r="E72" s="150">
        <f t="array" ref="E72">COUNTIFS('Pool Changes'!$B:$B, $A72 &amp; " - " &amp; "*", INDEX(SUBSTITUTE('Pool Changes'!$G:$G, "±", "")*1,0), E$1)</f>
        <v>3</v>
      </c>
      <c r="F72" s="150">
        <f t="array" ref="F72">COUNTIFS('Pool Changes'!$B:$B, $A72 &amp; " - " &amp; "*", INDEX(SUBSTITUTE('Pool Changes'!$G:$G, "±", "")*1,0), F$1)</f>
        <v>0</v>
      </c>
      <c r="G72" s="150">
        <f t="array" ref="G72">COUNTIFS('Pool Changes'!$B:$B, $A72 &amp; " - " &amp; "*", INDEX(SUBSTITUTE('Pool Changes'!$G:$G, "±", "")*1,0), G$1) - 1</f>
        <v>2</v>
      </c>
      <c r="H72" s="150">
        <f t="array" ref="H72">COUNTIFS('Pool Changes'!$B:$B, $A72 &amp; " - " &amp; "*", INDEX(SUBSTITUTE('Pool Changes'!$G:$G, "±", "")*1,0), H$1)</f>
        <v>3</v>
      </c>
      <c r="I72" s="150">
        <f t="array" ref="I72">COUNTIFS('Pool Changes'!$B:$B, $A72 &amp; " - " &amp; "*", INDEX(SUBSTITUTE('Pool Changes'!$G:$G, "±", "")*1,0), I$1)</f>
        <v>2</v>
      </c>
      <c r="J72" s="150">
        <f t="array" ref="J72">COUNTIFS('Pool Changes'!$B:$B, $A72 &amp; " - " &amp; "*", INDEX(SUBSTITUTE('Pool Changes'!$G:$G, "±", "")*1,0), J$1)</f>
        <v>1</v>
      </c>
      <c r="K72" s="150">
        <f t="shared" si="2"/>
        <v>11</v>
      </c>
    </row>
    <row r="73">
      <c r="A73" s="104" t="s">
        <v>5557</v>
      </c>
      <c r="B73" s="104" t="s">
        <v>5913</v>
      </c>
      <c r="C73" s="150">
        <f t="shared" si="1"/>
        <v>0.5</v>
      </c>
      <c r="D73" s="150">
        <f t="array" ref="D73">COUNTIFS('Pool Changes'!$B:$B, $A73 &amp; " - " &amp; "*", INDEX(SUBSTITUTE('Pool Changes'!$G:$G, "±", "")*1,0), D$1)</f>
        <v>3</v>
      </c>
      <c r="E73" s="150">
        <f t="array" ref="E73">COUNTIFS('Pool Changes'!$B:$B, $A73 &amp; " - " &amp; "*", INDEX(SUBSTITUTE('Pool Changes'!$G:$G, "±", "")*1,0), E$1)</f>
        <v>1</v>
      </c>
      <c r="F73" s="150">
        <f t="array" ref="F73">COUNTIFS('Pool Changes'!$B:$B, $A73 &amp; " - " &amp; "*", INDEX(SUBSTITUTE('Pool Changes'!$G:$G, "±", "")*1,0), F$1)</f>
        <v>1</v>
      </c>
      <c r="G73" s="150">
        <f t="array" ref="G73">COUNTIFS('Pool Changes'!$B:$B, $A73 &amp; " - " &amp; "*", INDEX(SUBSTITUTE('Pool Changes'!$G:$G, "±", "")*1,0), G$1) - 1</f>
        <v>4</v>
      </c>
      <c r="H73" s="150">
        <f t="array" ref="H73">COUNTIFS('Pool Changes'!$B:$B, $A73 &amp; " - " &amp; "*", INDEX(SUBSTITUTE('Pool Changes'!$G:$G, "±", "")*1,0), H$1)</f>
        <v>2</v>
      </c>
      <c r="I73" s="150">
        <f t="array" ref="I73">COUNTIFS('Pool Changes'!$B:$B, $A73 &amp; " - " &amp; "*", INDEX(SUBSTITUTE('Pool Changes'!$G:$G, "±", "")*1,0), I$1)</f>
        <v>0</v>
      </c>
      <c r="J73" s="150">
        <f t="array" ref="J73">COUNTIFS('Pool Changes'!$B:$B, $A73 &amp; " - " &amp; "*", INDEX(SUBSTITUTE('Pool Changes'!$G:$G, "±", "")*1,0), J$1)</f>
        <v>0</v>
      </c>
      <c r="K73" s="150">
        <f t="shared" si="2"/>
        <v>11</v>
      </c>
    </row>
    <row r="74">
      <c r="A74" s="104" t="s">
        <v>5591</v>
      </c>
      <c r="B74" s="104" t="s">
        <v>5913</v>
      </c>
      <c r="C74" s="150">
        <f t="shared" si="1"/>
        <v>0.5</v>
      </c>
      <c r="D74" s="150">
        <f t="array" ref="D74">COUNTIFS('Pool Changes'!$B:$B, $A74 &amp; " - " &amp; "*", INDEX(SUBSTITUTE('Pool Changes'!$G:$G, "±", "")*1,0), D$1)</f>
        <v>2</v>
      </c>
      <c r="E74" s="150">
        <f t="array" ref="E74">COUNTIFS('Pool Changes'!$B:$B, $A74 &amp; " - " &amp; "*", INDEX(SUBSTITUTE('Pool Changes'!$G:$G, "±", "")*1,0), E$1)</f>
        <v>0</v>
      </c>
      <c r="F74" s="150">
        <f t="array" ref="F74">COUNTIFS('Pool Changes'!$B:$B, $A74 &amp; " - " &amp; "*", INDEX(SUBSTITUTE('Pool Changes'!$G:$G, "±", "")*1,0), F$1)</f>
        <v>2</v>
      </c>
      <c r="G74" s="150">
        <f t="array" ref="G74">COUNTIFS('Pool Changes'!$B:$B, $A74 &amp; " - " &amp; "*", INDEX(SUBSTITUTE('Pool Changes'!$G:$G, "±", "")*1,0), G$1) - 1</f>
        <v>5</v>
      </c>
      <c r="H74" s="150">
        <f t="array" ref="H74">COUNTIFS('Pool Changes'!$B:$B, $A74 &amp; " - " &amp; "*", INDEX(SUBSTITUTE('Pool Changes'!$G:$G, "±", "")*1,0), H$1)</f>
        <v>2</v>
      </c>
      <c r="I74" s="150">
        <f t="array" ref="I74">COUNTIFS('Pool Changes'!$B:$B, $A74 &amp; " - " &amp; "*", INDEX(SUBSTITUTE('Pool Changes'!$G:$G, "±", "")*1,0), I$1)</f>
        <v>0</v>
      </c>
      <c r="J74" s="150">
        <f t="array" ref="J74">COUNTIFS('Pool Changes'!$B:$B, $A74 &amp; " - " &amp; "*", INDEX(SUBSTITUTE('Pool Changes'!$G:$G, "±", "")*1,0), J$1)</f>
        <v>0</v>
      </c>
      <c r="K74" s="150">
        <f t="shared" si="2"/>
        <v>11</v>
      </c>
    </row>
    <row r="75">
      <c r="A75" s="104" t="s">
        <v>5457</v>
      </c>
      <c r="B75" s="104" t="s">
        <v>5913</v>
      </c>
      <c r="C75" s="150">
        <f t="shared" si="1"/>
        <v>0.5</v>
      </c>
      <c r="D75" s="150">
        <f t="array" ref="D75">COUNTIFS('Pool Changes'!$B:$B, $A75 &amp; " - " &amp; "*", INDEX(SUBSTITUTE('Pool Changes'!$G:$G, "±", "")*1,0), D$1)</f>
        <v>1</v>
      </c>
      <c r="E75" s="150">
        <f t="array" ref="E75">COUNTIFS('Pool Changes'!$B:$B, $A75 &amp; " - " &amp; "*", INDEX(SUBSTITUTE('Pool Changes'!$G:$G, "±", "")*1,0), E$1)</f>
        <v>2</v>
      </c>
      <c r="F75" s="150">
        <f t="array" ref="F75">COUNTIFS('Pool Changes'!$B:$B, $A75 &amp; " - " &amp; "*", INDEX(SUBSTITUTE('Pool Changes'!$G:$G, "±", "")*1,0), F$1)</f>
        <v>1</v>
      </c>
      <c r="G75" s="150">
        <f t="array" ref="G75">COUNTIFS('Pool Changes'!$B:$B, $A75 &amp; " - " &amp; "*", INDEX(SUBSTITUTE('Pool Changes'!$G:$G, "±", "")*1,0), G$1) - 1</f>
        <v>5</v>
      </c>
      <c r="H75" s="150">
        <f t="array" ref="H75">COUNTIFS('Pool Changes'!$B:$B, $A75 &amp; " - " &amp; "*", INDEX(SUBSTITUTE('Pool Changes'!$G:$G, "±", "")*1,0), H$1)</f>
        <v>0</v>
      </c>
      <c r="I75" s="150">
        <f t="array" ref="I75">COUNTIFS('Pool Changes'!$B:$B, $A75 &amp; " - " &amp; "*", INDEX(SUBSTITUTE('Pool Changes'!$G:$G, "±", "")*1,0), I$1)</f>
        <v>2</v>
      </c>
      <c r="J75" s="150">
        <f t="array" ref="J75">COUNTIFS('Pool Changes'!$B:$B, $A75 &amp; " - " &amp; "*", INDEX(SUBSTITUTE('Pool Changes'!$G:$G, "±", "")*1,0), J$1)</f>
        <v>0</v>
      </c>
      <c r="K75" s="150">
        <f t="shared" si="2"/>
        <v>11</v>
      </c>
    </row>
    <row r="76">
      <c r="A76" s="104" t="s">
        <v>5672</v>
      </c>
      <c r="B76" s="104" t="s">
        <v>5913</v>
      </c>
      <c r="C76" s="150">
        <f t="shared" si="1"/>
        <v>0.5</v>
      </c>
      <c r="D76" s="150">
        <f t="array" ref="D76">COUNTIFS('Pool Changes'!$B:$B, $A76 &amp; " - " &amp; "*", INDEX(SUBSTITUTE('Pool Changes'!$G:$G, "±", "")*1,0), D$1)</f>
        <v>2</v>
      </c>
      <c r="E76" s="150">
        <f t="array" ref="E76">COUNTIFS('Pool Changes'!$B:$B, $A76 &amp; " - " &amp; "*", INDEX(SUBSTITUTE('Pool Changes'!$G:$G, "±", "")*1,0), E$1)</f>
        <v>0</v>
      </c>
      <c r="F76" s="150">
        <f t="array" ref="F76">COUNTIFS('Pool Changes'!$B:$B, $A76 &amp; " - " &amp; "*", INDEX(SUBSTITUTE('Pool Changes'!$G:$G, "±", "")*1,0), F$1)</f>
        <v>3</v>
      </c>
      <c r="G76" s="150">
        <f t="array" ref="G76">COUNTIFS('Pool Changes'!$B:$B, $A76 &amp; " - " &amp; "*", INDEX(SUBSTITUTE('Pool Changes'!$G:$G, "±", "")*1,0), G$1) - 1</f>
        <v>5</v>
      </c>
      <c r="H76" s="150">
        <f t="array" ref="H76">COUNTIFS('Pool Changes'!$B:$B, $A76 &amp; " - " &amp; "*", INDEX(SUBSTITUTE('Pool Changes'!$G:$G, "±", "")*1,0), H$1)</f>
        <v>1</v>
      </c>
      <c r="I76" s="150">
        <f t="array" ref="I76">COUNTIFS('Pool Changes'!$B:$B, $A76 &amp; " - " &amp; "*", INDEX(SUBSTITUTE('Pool Changes'!$G:$G, "±", "")*1,0), I$1)</f>
        <v>0</v>
      </c>
      <c r="J76" s="150">
        <f t="array" ref="J76">COUNTIFS('Pool Changes'!$B:$B, $A76 &amp; " - " &amp; "*", INDEX(SUBSTITUTE('Pool Changes'!$G:$G, "±", "")*1,0), J$1)</f>
        <v>0</v>
      </c>
      <c r="K76" s="150">
        <f t="shared" si="2"/>
        <v>11</v>
      </c>
    </row>
    <row r="77">
      <c r="A77" s="104" t="s">
        <v>5578</v>
      </c>
      <c r="B77" s="104" t="s">
        <v>5913</v>
      </c>
      <c r="C77" s="150">
        <f t="shared" si="1"/>
        <v>0.5</v>
      </c>
      <c r="D77" s="150">
        <f t="array" ref="D77">COUNTIFS('Pool Changes'!$B:$B, $A77 &amp; " - " &amp; "*", INDEX(SUBSTITUTE('Pool Changes'!$G:$G, "±", "")*1,0), D$1)</f>
        <v>1</v>
      </c>
      <c r="E77" s="150">
        <f t="array" ref="E77">COUNTIFS('Pool Changes'!$B:$B, $A77 &amp; " - " &amp; "*", INDEX(SUBSTITUTE('Pool Changes'!$G:$G, "±", "")*1,0), E$1)</f>
        <v>0</v>
      </c>
      <c r="F77" s="150">
        <f t="array" ref="F77">COUNTIFS('Pool Changes'!$B:$B, $A77 &amp; " - " &amp; "*", INDEX(SUBSTITUTE('Pool Changes'!$G:$G, "±", "")*1,0), F$1)</f>
        <v>2</v>
      </c>
      <c r="G77" s="150">
        <f t="array" ref="G77">COUNTIFS('Pool Changes'!$B:$B, $A77 &amp; " - " &amp; "*", INDEX(SUBSTITUTE('Pool Changes'!$G:$G, "±", "")*1,0), G$1) - 1</f>
        <v>5</v>
      </c>
      <c r="H77" s="150">
        <f t="array" ref="H77">COUNTIFS('Pool Changes'!$B:$B, $A77 &amp; " - " &amp; "*", INDEX(SUBSTITUTE('Pool Changes'!$G:$G, "±", "")*1,0), H$1)</f>
        <v>0</v>
      </c>
      <c r="I77" s="150">
        <f t="array" ref="I77">COUNTIFS('Pool Changes'!$B:$B, $A77 &amp; " - " &amp; "*", INDEX(SUBSTITUTE('Pool Changes'!$G:$G, "±", "")*1,0), I$1)</f>
        <v>0</v>
      </c>
      <c r="J77" s="150">
        <f t="array" ref="J77">COUNTIFS('Pool Changes'!$B:$B, $A77 &amp; " - " &amp; "*", INDEX(SUBSTITUTE('Pool Changes'!$G:$G, "±", "")*1,0), J$1)</f>
        <v>3</v>
      </c>
      <c r="K77" s="150">
        <f t="shared" si="2"/>
        <v>11</v>
      </c>
    </row>
    <row r="78">
      <c r="A78" s="104" t="s">
        <v>5506</v>
      </c>
      <c r="B78" s="104" t="s">
        <v>5913</v>
      </c>
      <c r="C78" s="150">
        <f t="shared" si="1"/>
        <v>0.5</v>
      </c>
      <c r="D78" s="150">
        <f t="array" ref="D78">COUNTIFS('Pool Changes'!$B:$B, $A78 &amp; " - " &amp; "*", INDEX(SUBSTITUTE('Pool Changes'!$G:$G, "±", "")*1,0), D$1)</f>
        <v>4</v>
      </c>
      <c r="E78" s="150">
        <f t="array" ref="E78">COUNTIFS('Pool Changes'!$B:$B, $A78 &amp; " - " &amp; "*", INDEX(SUBSTITUTE('Pool Changes'!$G:$G, "±", "")*1,0), E$1)</f>
        <v>1</v>
      </c>
      <c r="F78" s="150">
        <f t="array" ref="F78">COUNTIFS('Pool Changes'!$B:$B, $A78 &amp; " - " &amp; "*", INDEX(SUBSTITUTE('Pool Changes'!$G:$G, "±", "")*1,0), F$1)</f>
        <v>1</v>
      </c>
      <c r="G78" s="150">
        <f t="array" ref="G78">COUNTIFS('Pool Changes'!$B:$B, $A78 &amp; " - " &amp; "*", INDEX(SUBSTITUTE('Pool Changes'!$G:$G, "±", "")*1,0), G$1) - 1</f>
        <v>5</v>
      </c>
      <c r="H78" s="150">
        <f t="array" ref="H78">COUNTIFS('Pool Changes'!$B:$B, $A78 &amp; " - " &amp; "*", INDEX(SUBSTITUTE('Pool Changes'!$G:$G, "±", "")*1,0), H$1)</f>
        <v>0</v>
      </c>
      <c r="I78" s="150">
        <f t="array" ref="I78">COUNTIFS('Pool Changes'!$B:$B, $A78 &amp; " - " &amp; "*", INDEX(SUBSTITUTE('Pool Changes'!$G:$G, "±", "")*1,0), I$1)</f>
        <v>0</v>
      </c>
      <c r="J78" s="150">
        <f t="array" ref="J78">COUNTIFS('Pool Changes'!$B:$B, $A78 &amp; " - " &amp; "*", INDEX(SUBSTITUTE('Pool Changes'!$G:$G, "±", "")*1,0), J$1)</f>
        <v>0</v>
      </c>
      <c r="K78" s="150">
        <f t="shared" si="2"/>
        <v>11</v>
      </c>
    </row>
    <row r="79">
      <c r="A79" s="104" t="s">
        <v>5677</v>
      </c>
      <c r="B79" s="104" t="s">
        <v>5962</v>
      </c>
      <c r="C79" s="150">
        <f t="shared" si="1"/>
        <v>0.5294117647</v>
      </c>
      <c r="D79" s="150">
        <f t="array" ref="D79">COUNTIFS('Pool Changes'!$B:$B, $A79 &amp; " - " &amp; "*", INDEX(SUBSTITUTE('Pool Changes'!$G:$G, "±", "")*1,0), D$1)</f>
        <v>0</v>
      </c>
      <c r="E79" s="150">
        <f t="array" ref="E79">COUNTIFS('Pool Changes'!$B:$B, $A79 &amp; " - " &amp; "*", INDEX(SUBSTITUTE('Pool Changes'!$G:$G, "±", "")*1,0), E$1)</f>
        <v>1</v>
      </c>
      <c r="F79" s="150">
        <f t="array" ref="F79">COUNTIFS('Pool Changes'!$B:$B, $A79 &amp; " - " &amp; "*", INDEX(SUBSTITUTE('Pool Changes'!$G:$G, "±", "")*1,0), F$1)</f>
        <v>0</v>
      </c>
      <c r="G79" s="150">
        <f t="array" ref="G79">COUNTIFS('Pool Changes'!$B:$B, $A79 &amp; " - " &amp; "*", INDEX(SUBSTITUTE('Pool Changes'!$G:$G, "±", "")*1,0), G$1) - 1</f>
        <v>3</v>
      </c>
      <c r="H79" s="150">
        <f t="array" ref="H79">COUNTIFS('Pool Changes'!$B:$B, $A79 &amp; " - " &amp; "*", INDEX(SUBSTITUTE('Pool Changes'!$G:$G, "±", "")*1,0), H$1)</f>
        <v>0</v>
      </c>
      <c r="I79" s="150">
        <f t="array" ref="I79">COUNTIFS('Pool Changes'!$B:$B, $A79 &amp; " - " &amp; "*", INDEX(SUBSTITUTE('Pool Changes'!$G:$G, "±", "")*1,0), I$1)</f>
        <v>2</v>
      </c>
      <c r="J79" s="150">
        <f t="array" ref="J79">COUNTIFS('Pool Changes'!$B:$B, $A79 &amp; " - " &amp; "*", INDEX(SUBSTITUTE('Pool Changes'!$G:$G, "±", "")*1,0), J$1)</f>
        <v>4</v>
      </c>
      <c r="K79" s="150">
        <f t="shared" si="2"/>
        <v>10</v>
      </c>
    </row>
    <row r="80">
      <c r="A80" s="104" t="s">
        <v>5666</v>
      </c>
      <c r="B80" s="104" t="s">
        <v>5966</v>
      </c>
      <c r="C80" s="150">
        <f t="shared" si="1"/>
        <v>0.5</v>
      </c>
      <c r="D80" s="150">
        <f t="array" ref="D80">COUNTIFS('Pool Changes'!$B:$B, $A80 &amp; " - " &amp; "*", INDEX(SUBSTITUTE('Pool Changes'!$G:$G, "±", "")*1,0), D$1)</f>
        <v>2</v>
      </c>
      <c r="E80" s="150">
        <f t="array" ref="E80">COUNTIFS('Pool Changes'!$B:$B, $A80 &amp; " - " &amp; "*", INDEX(SUBSTITUTE('Pool Changes'!$G:$G, "±", "")*1,0), E$1)</f>
        <v>4</v>
      </c>
      <c r="F80" s="150">
        <f t="array" ref="F80">COUNTIFS('Pool Changes'!$B:$B, $A80 &amp; " - " &amp; "*", INDEX(SUBSTITUTE('Pool Changes'!$G:$G, "±", "")*1,0), F$1)</f>
        <v>0</v>
      </c>
      <c r="G80" s="150">
        <f t="array" ref="G80">COUNTIFS('Pool Changes'!$B:$B, $A80 &amp; " - " &amp; "*", INDEX(SUBSTITUTE('Pool Changes'!$G:$G, "±", "")*1,0), G$1) - 1</f>
        <v>4</v>
      </c>
      <c r="H80" s="150">
        <f t="array" ref="H80">COUNTIFS('Pool Changes'!$B:$B, $A80 &amp; " - " &amp; "*", INDEX(SUBSTITUTE('Pool Changes'!$G:$G, "±", "")*1,0), H$1)</f>
        <v>0</v>
      </c>
      <c r="I80" s="150">
        <f t="array" ref="I80">COUNTIFS('Pool Changes'!$B:$B, $A80 &amp; " - " &amp; "*", INDEX(SUBSTITUTE('Pool Changes'!$G:$G, "±", "")*1,0), I$1)</f>
        <v>0</v>
      </c>
      <c r="J80" s="150">
        <f t="array" ref="J80">COUNTIFS('Pool Changes'!$B:$B, $A80 &amp; " - " &amp; "*", INDEX(SUBSTITUTE('Pool Changes'!$G:$G, "±", "")*1,0), J$1)</f>
        <v>0</v>
      </c>
      <c r="K80" s="150">
        <f t="shared" si="2"/>
        <v>10</v>
      </c>
    </row>
    <row r="81">
      <c r="A81" s="104" t="s">
        <v>5566</v>
      </c>
      <c r="B81" s="104" t="s">
        <v>5966</v>
      </c>
      <c r="C81" s="150">
        <f t="shared" si="1"/>
        <v>0.5</v>
      </c>
      <c r="D81" s="150">
        <f t="array" ref="D81">COUNTIFS('Pool Changes'!$B:$B, $A81 &amp; " - " &amp; "*", INDEX(SUBSTITUTE('Pool Changes'!$G:$G, "±", "")*1,0), D$1)</f>
        <v>1</v>
      </c>
      <c r="E81" s="150">
        <f t="array" ref="E81">COUNTIFS('Pool Changes'!$B:$B, $A81 &amp; " - " &amp; "*", INDEX(SUBSTITUTE('Pool Changes'!$G:$G, "±", "")*1,0), E$1)</f>
        <v>2</v>
      </c>
      <c r="F81" s="150">
        <f t="array" ref="F81">COUNTIFS('Pool Changes'!$B:$B, $A81 &amp; " - " &amp; "*", INDEX(SUBSTITUTE('Pool Changes'!$G:$G, "±", "")*1,0), F$1)</f>
        <v>1</v>
      </c>
      <c r="G81" s="150">
        <f t="array" ref="G81">COUNTIFS('Pool Changes'!$B:$B, $A81 &amp; " - " &amp; "*", INDEX(SUBSTITUTE('Pool Changes'!$G:$G, "±", "")*1,0), G$1) - 1</f>
        <v>4</v>
      </c>
      <c r="H81" s="150">
        <f t="array" ref="H81">COUNTIFS('Pool Changes'!$B:$B, $A81 &amp; " - " &amp; "*", INDEX(SUBSTITUTE('Pool Changes'!$G:$G, "±", "")*1,0), H$1)</f>
        <v>0</v>
      </c>
      <c r="I81" s="150">
        <f t="array" ref="I81">COUNTIFS('Pool Changes'!$B:$B, $A81 &amp; " - " &amp; "*", INDEX(SUBSTITUTE('Pool Changes'!$G:$G, "±", "")*1,0), I$1)</f>
        <v>2</v>
      </c>
      <c r="J81" s="150">
        <f t="array" ref="J81">COUNTIFS('Pool Changes'!$B:$B, $A81 &amp; " - " &amp; "*", INDEX(SUBSTITUTE('Pool Changes'!$G:$G, "±", "")*1,0), J$1)</f>
        <v>0</v>
      </c>
      <c r="K81" s="150">
        <f t="shared" si="2"/>
        <v>10</v>
      </c>
    </row>
    <row r="82">
      <c r="A82" s="104" t="s">
        <v>5762</v>
      </c>
      <c r="B82" s="104" t="s">
        <v>5966</v>
      </c>
      <c r="C82" s="150">
        <f t="shared" si="1"/>
        <v>0.5</v>
      </c>
      <c r="D82" s="150">
        <f t="array" ref="D82">COUNTIFS('Pool Changes'!$B:$B, $A82 &amp; " - " &amp; "*", INDEX(SUBSTITUTE('Pool Changes'!$G:$G, "±", "")*1,0), D$1)</f>
        <v>1</v>
      </c>
      <c r="E82" s="150">
        <f t="array" ref="E82">COUNTIFS('Pool Changes'!$B:$B, $A82 &amp; " - " &amp; "*", INDEX(SUBSTITUTE('Pool Changes'!$G:$G, "±", "")*1,0), E$1)</f>
        <v>3</v>
      </c>
      <c r="F82" s="150">
        <f t="array" ref="F82">COUNTIFS('Pool Changes'!$B:$B, $A82 &amp; " - " &amp; "*", INDEX(SUBSTITUTE('Pool Changes'!$G:$G, "±", "")*1,0), F$1)</f>
        <v>0</v>
      </c>
      <c r="G82" s="150">
        <f t="array" ref="G82">COUNTIFS('Pool Changes'!$B:$B, $A82 &amp; " - " &amp; "*", INDEX(SUBSTITUTE('Pool Changes'!$G:$G, "±", "")*1,0), G$1) - 1</f>
        <v>4</v>
      </c>
      <c r="H82" s="150">
        <f t="array" ref="H82">COUNTIFS('Pool Changes'!$B:$B, $A82 &amp; " - " &amp; "*", INDEX(SUBSTITUTE('Pool Changes'!$G:$G, "±", "")*1,0), H$1)</f>
        <v>1</v>
      </c>
      <c r="I82" s="150">
        <f t="array" ref="I82">COUNTIFS('Pool Changes'!$B:$B, $A82 &amp; " - " &amp; "*", INDEX(SUBSTITUTE('Pool Changes'!$G:$G, "±", "")*1,0), I$1)</f>
        <v>1</v>
      </c>
      <c r="J82" s="150">
        <f t="array" ref="J82">COUNTIFS('Pool Changes'!$B:$B, $A82 &amp; " - " &amp; "*", INDEX(SUBSTITUTE('Pool Changes'!$G:$G, "±", "")*1,0), J$1)</f>
        <v>0</v>
      </c>
      <c r="K82" s="150">
        <f t="shared" si="2"/>
        <v>10</v>
      </c>
    </row>
    <row r="83">
      <c r="A83" s="104" t="s">
        <v>5703</v>
      </c>
      <c r="B83" s="104" t="s">
        <v>5966</v>
      </c>
      <c r="C83" s="150">
        <f t="shared" si="1"/>
        <v>0.5</v>
      </c>
      <c r="D83" s="150">
        <f t="array" ref="D83">COUNTIFS('Pool Changes'!$B:$B, $A83 &amp; " - " &amp; "*", INDEX(SUBSTITUTE('Pool Changes'!$G:$G, "±", "")*1,0), D$1)</f>
        <v>0</v>
      </c>
      <c r="E83" s="150">
        <f t="array" ref="E83">COUNTIFS('Pool Changes'!$B:$B, $A83 &amp; " - " &amp; "*", INDEX(SUBSTITUTE('Pool Changes'!$G:$G, "±", "")*1,0), E$1)</f>
        <v>0</v>
      </c>
      <c r="F83" s="150">
        <f t="array" ref="F83">COUNTIFS('Pool Changes'!$B:$B, $A83 &amp; " - " &amp; "*", INDEX(SUBSTITUTE('Pool Changes'!$G:$G, "±", "")*1,0), F$1)</f>
        <v>2</v>
      </c>
      <c r="G83" s="150">
        <f t="array" ref="G83">COUNTIFS('Pool Changes'!$B:$B, $A83 &amp; " - " &amp; "*", INDEX(SUBSTITUTE('Pool Changes'!$G:$G, "±", "")*1,0), G$1) - 1</f>
        <v>4</v>
      </c>
      <c r="H83" s="150">
        <f t="array" ref="H83">COUNTIFS('Pool Changes'!$B:$B, $A83 &amp; " - " &amp; "*", INDEX(SUBSTITUTE('Pool Changes'!$G:$G, "±", "")*1,0), H$1)</f>
        <v>1</v>
      </c>
      <c r="I83" s="150">
        <f t="array" ref="I83">COUNTIFS('Pool Changes'!$B:$B, $A83 &amp; " - " &amp; "*", INDEX(SUBSTITUTE('Pool Changes'!$G:$G, "±", "")*1,0), I$1)</f>
        <v>3</v>
      </c>
      <c r="J83" s="150">
        <f t="array" ref="J83">COUNTIFS('Pool Changes'!$B:$B, $A83 &amp; " - " &amp; "*", INDEX(SUBSTITUTE('Pool Changes'!$G:$G, "±", "")*1,0), J$1)</f>
        <v>0</v>
      </c>
      <c r="K83" s="150">
        <f t="shared" si="2"/>
        <v>10</v>
      </c>
    </row>
    <row r="84">
      <c r="A84" s="104" t="s">
        <v>5684</v>
      </c>
      <c r="B84" s="104" t="s">
        <v>5981</v>
      </c>
      <c r="C84" s="150">
        <f t="shared" si="1"/>
        <v>0.4736842105</v>
      </c>
      <c r="D84" s="150">
        <f t="array" ref="D84">COUNTIFS('Pool Changes'!$B:$B, $A84 &amp; " - " &amp; "*", INDEX(SUBSTITUTE('Pool Changes'!$G:$G, "±", "")*1,0), D$1)</f>
        <v>0</v>
      </c>
      <c r="E84" s="150">
        <f t="array" ref="E84">COUNTIFS('Pool Changes'!$B:$B, $A84 &amp; " - " &amp; "*", INDEX(SUBSTITUTE('Pool Changes'!$G:$G, "±", "")*1,0), E$1)</f>
        <v>3</v>
      </c>
      <c r="F84" s="150">
        <f t="array" ref="F84">COUNTIFS('Pool Changes'!$B:$B, $A84 &amp; " - " &amp; "*", INDEX(SUBSTITUTE('Pool Changes'!$G:$G, "±", "")*1,0), F$1)</f>
        <v>1</v>
      </c>
      <c r="G84" s="150">
        <f t="array" ref="G84">COUNTIFS('Pool Changes'!$B:$B, $A84 &amp; " - " &amp; "*", INDEX(SUBSTITUTE('Pool Changes'!$G:$G, "±", "")*1,0), G$1) - 1</f>
        <v>4</v>
      </c>
      <c r="H84" s="150">
        <f t="array" ref="H84">COUNTIFS('Pool Changes'!$B:$B, $A84 &amp; " - " &amp; "*", INDEX(SUBSTITUTE('Pool Changes'!$G:$G, "±", "")*1,0), H$1)</f>
        <v>1</v>
      </c>
      <c r="I84" s="150">
        <f t="array" ref="I84">COUNTIFS('Pool Changes'!$B:$B, $A84 &amp; " - " &amp; "*", INDEX(SUBSTITUTE('Pool Changes'!$G:$G, "±", "")*1,0), I$1)</f>
        <v>1</v>
      </c>
      <c r="J84" s="150">
        <f t="array" ref="J84">COUNTIFS('Pool Changes'!$B:$B, $A84 &amp; " - " &amp; "*", INDEX(SUBSTITUTE('Pool Changes'!$G:$G, "±", "")*1,0), J$1)</f>
        <v>1</v>
      </c>
      <c r="K84" s="150">
        <f t="shared" si="2"/>
        <v>11</v>
      </c>
    </row>
    <row r="85">
      <c r="A85" s="104" t="s">
        <v>5756</v>
      </c>
      <c r="B85" s="104" t="s">
        <v>5981</v>
      </c>
      <c r="C85" s="150">
        <f t="shared" si="1"/>
        <v>0.4736842105</v>
      </c>
      <c r="D85" s="150">
        <f t="array" ref="D85">COUNTIFS('Pool Changes'!$B:$B, $A85 &amp; " - " &amp; "*", INDEX(SUBSTITUTE('Pool Changes'!$G:$G, "±", "")*1,0), D$1)</f>
        <v>3</v>
      </c>
      <c r="E85" s="150">
        <f t="array" ref="E85">COUNTIFS('Pool Changes'!$B:$B, $A85 &amp; " - " &amp; "*", INDEX(SUBSTITUTE('Pool Changes'!$G:$G, "±", "")*1,0), E$1)</f>
        <v>2</v>
      </c>
      <c r="F85" s="150">
        <f t="array" ref="F85">COUNTIFS('Pool Changes'!$B:$B, $A85 &amp; " - " &amp; "*", INDEX(SUBSTITUTE('Pool Changes'!$G:$G, "±", "")*1,0), F$1)</f>
        <v>2</v>
      </c>
      <c r="G85" s="150">
        <f t="array" ref="G85">COUNTIFS('Pool Changes'!$B:$B, $A85 &amp; " - " &amp; "*", INDEX(SUBSTITUTE('Pool Changes'!$G:$G, "±", "")*1,0), G$1) - 1</f>
        <v>3</v>
      </c>
      <c r="H85" s="150">
        <f t="array" ref="H85">COUNTIFS('Pool Changes'!$B:$B, $A85 &amp; " - " &amp; "*", INDEX(SUBSTITUTE('Pool Changes'!$G:$G, "±", "")*1,0), H$1)</f>
        <v>0</v>
      </c>
      <c r="I85" s="150">
        <f t="array" ref="I85">COUNTIFS('Pool Changes'!$B:$B, $A85 &amp; " - " &amp; "*", INDEX(SUBSTITUTE('Pool Changes'!$G:$G, "±", "")*1,0), I$1)</f>
        <v>0</v>
      </c>
      <c r="J85" s="150">
        <f t="array" ref="J85">COUNTIFS('Pool Changes'!$B:$B, $A85 &amp; " - " &amp; "*", INDEX(SUBSTITUTE('Pool Changes'!$G:$G, "±", "")*1,0), J$1)</f>
        <v>1</v>
      </c>
      <c r="K85" s="150">
        <f t="shared" si="2"/>
        <v>11</v>
      </c>
    </row>
    <row r="86">
      <c r="A86" s="104" t="s">
        <v>5463</v>
      </c>
      <c r="B86" s="104" t="s">
        <v>5981</v>
      </c>
      <c r="C86" s="150">
        <f t="shared" si="1"/>
        <v>0.4736842105</v>
      </c>
      <c r="D86" s="150">
        <f t="array" ref="D86">COUNTIFS('Pool Changes'!$B:$B, $A86 &amp; " - " &amp; "*", INDEX(SUBSTITUTE('Pool Changes'!$G:$G, "±", "")*1,0), D$1)</f>
        <v>1</v>
      </c>
      <c r="E86" s="150">
        <f t="array" ref="E86">COUNTIFS('Pool Changes'!$B:$B, $A86 &amp; " - " &amp; "*", INDEX(SUBSTITUTE('Pool Changes'!$G:$G, "±", "")*1,0), E$1)</f>
        <v>2</v>
      </c>
      <c r="F86" s="150">
        <f t="array" ref="F86">COUNTIFS('Pool Changes'!$B:$B, $A86 &amp; " - " &amp; "*", INDEX(SUBSTITUTE('Pool Changes'!$G:$G, "±", "")*1,0), F$1)</f>
        <v>1</v>
      </c>
      <c r="G86" s="150">
        <f t="array" ref="G86">COUNTIFS('Pool Changes'!$B:$B, $A86 &amp; " - " &amp; "*", INDEX(SUBSTITUTE('Pool Changes'!$G:$G, "±", "")*1,0), G$1) - 1</f>
        <v>5</v>
      </c>
      <c r="H86" s="150">
        <f t="array" ref="H86">COUNTIFS('Pool Changes'!$B:$B, $A86 &amp; " - " &amp; "*", INDEX(SUBSTITUTE('Pool Changes'!$G:$G, "±", "")*1,0), H$1)</f>
        <v>2</v>
      </c>
      <c r="I86" s="150">
        <f t="array" ref="I86">COUNTIFS('Pool Changes'!$B:$B, $A86 &amp; " - " &amp; "*", INDEX(SUBSTITUTE('Pool Changes'!$G:$G, "±", "")*1,0), I$1)</f>
        <v>0</v>
      </c>
      <c r="J86" s="150">
        <f t="array" ref="J86">COUNTIFS('Pool Changes'!$B:$B, $A86 &amp; " - " &amp; "*", INDEX(SUBSTITUTE('Pool Changes'!$G:$G, "±", "")*1,0), J$1)</f>
        <v>0</v>
      </c>
      <c r="K86" s="150">
        <f t="shared" si="2"/>
        <v>11</v>
      </c>
    </row>
    <row r="87">
      <c r="A87" s="104" t="s">
        <v>5707</v>
      </c>
      <c r="B87" s="104" t="s">
        <v>5989</v>
      </c>
      <c r="C87" s="150">
        <f t="shared" si="1"/>
        <v>0.45</v>
      </c>
      <c r="D87" s="150">
        <f t="array" ref="D87">COUNTIFS('Pool Changes'!$B:$B, $A87 &amp; " - " &amp; "*", INDEX(SUBSTITUTE('Pool Changes'!$G:$G, "±", "")*1,0), D$1)</f>
        <v>0</v>
      </c>
      <c r="E87" s="150">
        <f t="array" ref="E87">COUNTIFS('Pool Changes'!$B:$B, $A87 &amp; " - " &amp; "*", INDEX(SUBSTITUTE('Pool Changes'!$G:$G, "±", "")*1,0), E$1)</f>
        <v>1</v>
      </c>
      <c r="F87" s="150">
        <f t="array" ref="F87">COUNTIFS('Pool Changes'!$B:$B, $A87 &amp; " - " &amp; "*", INDEX(SUBSTITUTE('Pool Changes'!$G:$G, "±", "")*1,0), F$1)</f>
        <v>0</v>
      </c>
      <c r="G87" s="150">
        <f t="array" ref="G87">COUNTIFS('Pool Changes'!$B:$B, $A87 &amp; " - " &amp; "*", INDEX(SUBSTITUTE('Pool Changes'!$G:$G, "±", "")*1,0), G$1) - 1</f>
        <v>4</v>
      </c>
      <c r="H87" s="150">
        <f t="array" ref="H87">COUNTIFS('Pool Changes'!$B:$B, $A87 &amp; " - " &amp; "*", INDEX(SUBSTITUTE('Pool Changes'!$G:$G, "±", "")*1,0), H$1)</f>
        <v>1</v>
      </c>
      <c r="I87" s="150">
        <f t="array" ref="I87">COUNTIFS('Pool Changes'!$B:$B, $A87 &amp; " - " &amp; "*", INDEX(SUBSTITUTE('Pool Changes'!$G:$G, "±", "")*1,0), I$1)</f>
        <v>4</v>
      </c>
      <c r="J87" s="150">
        <f t="array" ref="J87">COUNTIFS('Pool Changes'!$B:$B, $A87 &amp; " - " &amp; "*", INDEX(SUBSTITUTE('Pool Changes'!$G:$G, "±", "")*1,0), J$1)</f>
        <v>1</v>
      </c>
      <c r="K87" s="150">
        <f t="shared" si="2"/>
        <v>11</v>
      </c>
    </row>
    <row r="88">
      <c r="A88" s="104" t="s">
        <v>5491</v>
      </c>
      <c r="B88" s="104" t="s">
        <v>5989</v>
      </c>
      <c r="C88" s="150">
        <f t="shared" si="1"/>
        <v>0.45</v>
      </c>
      <c r="D88" s="150">
        <f t="array" ref="D88">COUNTIFS('Pool Changes'!$B:$B, $A88 &amp; " - " &amp; "*", INDEX(SUBSTITUTE('Pool Changes'!$G:$G, "±", "")*1,0), D$1)</f>
        <v>2</v>
      </c>
      <c r="E88" s="150">
        <f t="array" ref="E88">COUNTIFS('Pool Changes'!$B:$B, $A88 &amp; " - " &amp; "*", INDEX(SUBSTITUTE('Pool Changes'!$G:$G, "±", "")*1,0), E$1)</f>
        <v>2</v>
      </c>
      <c r="F88" s="150">
        <f t="array" ref="F88">COUNTIFS('Pool Changes'!$B:$B, $A88 &amp; " - " &amp; "*", INDEX(SUBSTITUTE('Pool Changes'!$G:$G, "±", "")*1,0), F$1)</f>
        <v>1</v>
      </c>
      <c r="G88" s="150">
        <f t="array" ref="G88">COUNTIFS('Pool Changes'!$B:$B, $A88 &amp; " - " &amp; "*", INDEX(SUBSTITUTE('Pool Changes'!$G:$G, "±", "")*1,0), G$1) - 1</f>
        <v>4</v>
      </c>
      <c r="H88" s="150">
        <f t="array" ref="H88">COUNTIFS('Pool Changes'!$B:$B, $A88 &amp; " - " &amp; "*", INDEX(SUBSTITUTE('Pool Changes'!$G:$G, "±", "")*1,0), H$1)</f>
        <v>0</v>
      </c>
      <c r="I88" s="150">
        <f t="array" ref="I88">COUNTIFS('Pool Changes'!$B:$B, $A88 &amp; " - " &amp; "*", INDEX(SUBSTITUTE('Pool Changes'!$G:$G, "±", "")*1,0), I$1)</f>
        <v>1</v>
      </c>
      <c r="J88" s="150">
        <f t="array" ref="J88">COUNTIFS('Pool Changes'!$B:$B, $A88 &amp; " - " &amp; "*", INDEX(SUBSTITUTE('Pool Changes'!$G:$G, "±", "")*1,0), J$1)</f>
        <v>1</v>
      </c>
      <c r="K88" s="150">
        <f t="shared" si="2"/>
        <v>11</v>
      </c>
    </row>
    <row r="89">
      <c r="A89" s="104" t="s">
        <v>5614</v>
      </c>
      <c r="B89" s="104" t="s">
        <v>5989</v>
      </c>
      <c r="C89" s="150">
        <f t="shared" si="1"/>
        <v>0.45</v>
      </c>
      <c r="D89" s="150">
        <f t="array" ref="D89">COUNTIFS('Pool Changes'!$B:$B, $A89 &amp; " - " &amp; "*", INDEX(SUBSTITUTE('Pool Changes'!$G:$G, "±", "")*1,0), D$1)</f>
        <v>0</v>
      </c>
      <c r="E89" s="150">
        <f t="array" ref="E89">COUNTIFS('Pool Changes'!$B:$B, $A89 &amp; " - " &amp; "*", INDEX(SUBSTITUTE('Pool Changes'!$G:$G, "±", "")*1,0), E$1)</f>
        <v>2</v>
      </c>
      <c r="F89" s="150">
        <f t="array" ref="F89">COUNTIFS('Pool Changes'!$B:$B, $A89 &amp; " - " &amp; "*", INDEX(SUBSTITUTE('Pool Changes'!$G:$G, "±", "")*1,0), F$1)</f>
        <v>0</v>
      </c>
      <c r="G89" s="150">
        <f t="array" ref="G89">COUNTIFS('Pool Changes'!$B:$B, $A89 &amp; " - " &amp; "*", INDEX(SUBSTITUTE('Pool Changes'!$G:$G, "±", "")*1,0), G$1) - 1</f>
        <v>3</v>
      </c>
      <c r="H89" s="150">
        <f t="array" ref="H89">COUNTIFS('Pool Changes'!$B:$B, $A89 &amp; " - " &amp; "*", INDEX(SUBSTITUTE('Pool Changes'!$G:$G, "±", "")*1,0), H$1)</f>
        <v>4</v>
      </c>
      <c r="I89" s="150">
        <f t="array" ref="I89">COUNTIFS('Pool Changes'!$B:$B, $A89 &amp; " - " &amp; "*", INDEX(SUBSTITUTE('Pool Changes'!$G:$G, "±", "")*1,0), I$1)</f>
        <v>1</v>
      </c>
      <c r="J89" s="150">
        <f t="array" ref="J89">COUNTIFS('Pool Changes'!$B:$B, $A89 &amp; " - " &amp; "*", INDEX(SUBSTITUTE('Pool Changes'!$G:$G, "±", "")*1,0), J$1)</f>
        <v>1</v>
      </c>
      <c r="K89" s="150">
        <f t="shared" si="2"/>
        <v>11</v>
      </c>
    </row>
    <row r="90">
      <c r="A90" s="104" t="s">
        <v>5587</v>
      </c>
      <c r="B90" s="104" t="s">
        <v>5989</v>
      </c>
      <c r="C90" s="150">
        <f t="shared" si="1"/>
        <v>0.45</v>
      </c>
      <c r="D90" s="150">
        <f t="array" ref="D90">COUNTIFS('Pool Changes'!$B:$B, $A90 &amp; " - " &amp; "*", INDEX(SUBSTITUTE('Pool Changes'!$G:$G, "±", "")*1,0), D$1)</f>
        <v>1</v>
      </c>
      <c r="E90" s="150">
        <f t="array" ref="E90">COUNTIFS('Pool Changes'!$B:$B, $A90 &amp; " - " &amp; "*", INDEX(SUBSTITUTE('Pool Changes'!$G:$G, "±", "")*1,0), E$1)</f>
        <v>2</v>
      </c>
      <c r="F90" s="150">
        <f t="array" ref="F90">COUNTIFS('Pool Changes'!$B:$B, $A90 &amp; " - " &amp; "*", INDEX(SUBSTITUTE('Pool Changes'!$G:$G, "±", "")*1,0), F$1)</f>
        <v>0</v>
      </c>
      <c r="G90" s="150">
        <f t="array" ref="G90">COUNTIFS('Pool Changes'!$B:$B, $A90 &amp; " - " &amp; "*", INDEX(SUBSTITUTE('Pool Changes'!$G:$G, "±", "")*1,0), G$1) - 1</f>
        <v>5</v>
      </c>
      <c r="H90" s="150">
        <f t="array" ref="H90">COUNTIFS('Pool Changes'!$B:$B, $A90 &amp; " - " &amp; "*", INDEX(SUBSTITUTE('Pool Changes'!$G:$G, "±", "")*1,0), H$1)</f>
        <v>1</v>
      </c>
      <c r="I90" s="150">
        <f t="array" ref="I90">COUNTIFS('Pool Changes'!$B:$B, $A90 &amp; " - " &amp; "*", INDEX(SUBSTITUTE('Pool Changes'!$G:$G, "±", "")*1,0), I$1)</f>
        <v>0</v>
      </c>
      <c r="J90" s="150">
        <f t="array" ref="J90">COUNTIFS('Pool Changes'!$B:$B, $A90 &amp; " - " &amp; "*", INDEX(SUBSTITUTE('Pool Changes'!$G:$G, "±", "")*1,0), J$1)</f>
        <v>1</v>
      </c>
      <c r="K90" s="150">
        <f t="shared" si="2"/>
        <v>10</v>
      </c>
    </row>
    <row r="91">
      <c r="A91" s="104" t="s">
        <v>5764</v>
      </c>
      <c r="B91" s="104" t="s">
        <v>5989</v>
      </c>
      <c r="C91" s="150">
        <f t="shared" si="1"/>
        <v>0.45</v>
      </c>
      <c r="D91" s="150">
        <f t="array" ref="D91">COUNTIFS('Pool Changes'!$B:$B, $A91 &amp; " - " &amp; "*", INDEX(SUBSTITUTE('Pool Changes'!$G:$G, "±", "")*1,0), D$1)</f>
        <v>1</v>
      </c>
      <c r="E91" s="150">
        <f t="array" ref="E91">COUNTIFS('Pool Changes'!$B:$B, $A91 &amp; " - " &amp; "*", INDEX(SUBSTITUTE('Pool Changes'!$G:$G, "±", "")*1,0), E$1)</f>
        <v>0</v>
      </c>
      <c r="F91" s="150">
        <f t="array" ref="F91">COUNTIFS('Pool Changes'!$B:$B, $A91 &amp; " - " &amp; "*", INDEX(SUBSTITUTE('Pool Changes'!$G:$G, "±", "")*1,0), F$1)</f>
        <v>0</v>
      </c>
      <c r="G91" s="150">
        <f t="array" ref="G91">COUNTIFS('Pool Changes'!$B:$B, $A91 &amp; " - " &amp; "*", INDEX(SUBSTITUTE('Pool Changes'!$G:$G, "±", "")*1,0), G$1) - 1</f>
        <v>4</v>
      </c>
      <c r="H91" s="150">
        <f t="array" ref="H91">COUNTIFS('Pool Changes'!$B:$B, $A91 &amp; " - " &amp; "*", INDEX(SUBSTITUTE('Pool Changes'!$G:$G, "±", "")*1,0), H$1)</f>
        <v>0</v>
      </c>
      <c r="I91" s="150">
        <f t="array" ref="I91">COUNTIFS('Pool Changes'!$B:$B, $A91 &amp; " - " &amp; "*", INDEX(SUBSTITUTE('Pool Changes'!$G:$G, "±", "")*1,0), I$1)</f>
        <v>5</v>
      </c>
      <c r="J91" s="150">
        <f t="array" ref="J91">COUNTIFS('Pool Changes'!$B:$B, $A91 &amp; " - " &amp; "*", INDEX(SUBSTITUTE('Pool Changes'!$G:$G, "±", "")*1,0), J$1)</f>
        <v>1</v>
      </c>
      <c r="K91" s="150">
        <f t="shared" si="2"/>
        <v>11</v>
      </c>
    </row>
    <row r="92">
      <c r="A92" s="104" t="s">
        <v>5635</v>
      </c>
      <c r="B92" s="104" t="s">
        <v>6005</v>
      </c>
      <c r="C92" s="150">
        <f t="shared" si="1"/>
        <v>0.6153846154</v>
      </c>
      <c r="D92" s="150">
        <f t="array" ref="D92">COUNTIFS('Pool Changes'!$B:$B, $A92 &amp; " - " &amp; "*", INDEX(SUBSTITUTE('Pool Changes'!$G:$G, "±", "")*1,0), D$1)</f>
        <v>3</v>
      </c>
      <c r="E92" s="150">
        <f t="array" ref="E92">COUNTIFS('Pool Changes'!$B:$B, $A92 &amp; " - " &amp; "*", INDEX(SUBSTITUTE('Pool Changes'!$G:$G, "±", "")*1,0), E$1)</f>
        <v>0</v>
      </c>
      <c r="F92" s="150">
        <f t="array" ref="F92">COUNTIFS('Pool Changes'!$B:$B, $A92 &amp; " - " &amp; "*", INDEX(SUBSTITUTE('Pool Changes'!$G:$G, "±", "")*1,0), F$1)</f>
        <v>1</v>
      </c>
      <c r="G92" s="150">
        <f t="array" ref="G92">COUNTIFS('Pool Changes'!$B:$B, $A92 &amp; " - " &amp; "*", INDEX(SUBSTITUTE('Pool Changes'!$G:$G, "±", "")*1,0), G$1) - 1</f>
        <v>2</v>
      </c>
      <c r="H92" s="150">
        <f t="array" ref="H92">COUNTIFS('Pool Changes'!$B:$B, $A92 &amp; " - " &amp; "*", INDEX(SUBSTITUTE('Pool Changes'!$G:$G, "±", "")*1,0), H$1)</f>
        <v>0</v>
      </c>
      <c r="I92" s="150">
        <f t="array" ref="I92">COUNTIFS('Pool Changes'!$B:$B, $A92 &amp; " - " &amp; "*", INDEX(SUBSTITUTE('Pool Changes'!$G:$G, "±", "")*1,0), I$1)</f>
        <v>0</v>
      </c>
      <c r="J92" s="150">
        <f t="array" ref="J92">COUNTIFS('Pool Changes'!$B:$B, $A92 &amp; " - " &amp; "*", INDEX(SUBSTITUTE('Pool Changes'!$G:$G, "±", "")*1,0), J$1)</f>
        <v>0</v>
      </c>
      <c r="K92" s="150">
        <f t="shared" si="2"/>
        <v>6</v>
      </c>
    </row>
    <row r="93">
      <c r="A93" s="104" t="s">
        <v>5616</v>
      </c>
      <c r="B93" s="104" t="s">
        <v>6009</v>
      </c>
      <c r="C93" s="150">
        <f t="shared" si="1"/>
        <v>0.5</v>
      </c>
      <c r="D93" s="150">
        <f t="array" ref="D93">COUNTIFS('Pool Changes'!$B:$B, $A93 &amp; " - " &amp; "*", INDEX(SUBSTITUTE('Pool Changes'!$G:$G, "±", "")*1,0), D$1)</f>
        <v>0</v>
      </c>
      <c r="E93" s="150">
        <f t="array" ref="E93">COUNTIFS('Pool Changes'!$B:$B, $A93 &amp; " - " &amp; "*", INDEX(SUBSTITUTE('Pool Changes'!$G:$G, "±", "")*1,0), E$1)</f>
        <v>2</v>
      </c>
      <c r="F93" s="150">
        <f t="array" ref="F93">COUNTIFS('Pool Changes'!$B:$B, $A93 &amp; " - " &amp; "*", INDEX(SUBSTITUTE('Pool Changes'!$G:$G, "±", "")*1,0), F$1)</f>
        <v>0</v>
      </c>
      <c r="G93" s="150">
        <f t="array" ref="G93">COUNTIFS('Pool Changes'!$B:$B, $A93 &amp; " - " &amp; "*", INDEX(SUBSTITUTE('Pool Changes'!$G:$G, "±", "")*1,0), G$1) - 1</f>
        <v>4</v>
      </c>
      <c r="H93" s="150">
        <f t="array" ref="H93">COUNTIFS('Pool Changes'!$B:$B, $A93 &amp; " - " &amp; "*", INDEX(SUBSTITUTE('Pool Changes'!$G:$G, "±", "")*1,0), H$1)</f>
        <v>0</v>
      </c>
      <c r="I93" s="150">
        <f t="array" ref="I93">COUNTIFS('Pool Changes'!$B:$B, $A93 &amp; " - " &amp; "*", INDEX(SUBSTITUTE('Pool Changes'!$G:$G, "±", "")*1,0), I$1)</f>
        <v>3</v>
      </c>
      <c r="J93" s="150">
        <f t="array" ref="J93">COUNTIFS('Pool Changes'!$B:$B, $A93 &amp; " - " &amp; "*", INDEX(SUBSTITUTE('Pool Changes'!$G:$G, "±", "")*1,0), J$1)</f>
        <v>0</v>
      </c>
      <c r="K93" s="150">
        <f t="shared" si="2"/>
        <v>9</v>
      </c>
    </row>
    <row r="94">
      <c r="A94" s="104" t="s">
        <v>5664</v>
      </c>
      <c r="B94" s="104" t="s">
        <v>6009</v>
      </c>
      <c r="C94" s="150">
        <f t="shared" si="1"/>
        <v>0.5</v>
      </c>
      <c r="D94" s="150">
        <f t="array" ref="D94">COUNTIFS('Pool Changes'!$B:$B, $A94 &amp; " - " &amp; "*", INDEX(SUBSTITUTE('Pool Changes'!$G:$G, "±", "")*1,0), D$1)</f>
        <v>1</v>
      </c>
      <c r="E94" s="150">
        <f t="array" ref="E94">COUNTIFS('Pool Changes'!$B:$B, $A94 &amp; " - " &amp; "*", INDEX(SUBSTITUTE('Pool Changes'!$G:$G, "±", "")*1,0), E$1)</f>
        <v>2</v>
      </c>
      <c r="F94" s="150">
        <f t="array" ref="F94">COUNTIFS('Pool Changes'!$B:$B, $A94 &amp; " - " &amp; "*", INDEX(SUBSTITUTE('Pool Changes'!$G:$G, "±", "")*1,0), F$1)</f>
        <v>1</v>
      </c>
      <c r="G94" s="150">
        <f t="array" ref="G94">COUNTIFS('Pool Changes'!$B:$B, $A94 &amp; " - " &amp; "*", INDEX(SUBSTITUTE('Pool Changes'!$G:$G, "±", "")*1,0), G$1) - 1</f>
        <v>2</v>
      </c>
      <c r="H94" s="150">
        <f t="array" ref="H94">COUNTIFS('Pool Changes'!$B:$B, $A94 &amp; " - " &amp; "*", INDEX(SUBSTITUTE('Pool Changes'!$G:$G, "±", "")*1,0), H$1)</f>
        <v>0</v>
      </c>
      <c r="I94" s="150">
        <f t="array" ref="I94">COUNTIFS('Pool Changes'!$B:$B, $A94 &amp; " - " &amp; "*", INDEX(SUBSTITUTE('Pool Changes'!$G:$G, "±", "")*1,0), I$1)</f>
        <v>2</v>
      </c>
      <c r="J94" s="150">
        <f t="array" ref="J94">COUNTIFS('Pool Changes'!$B:$B, $A94 &amp; " - " &amp; "*", INDEX(SUBSTITUTE('Pool Changes'!$G:$G, "±", "")*1,0), J$1)</f>
        <v>1</v>
      </c>
      <c r="K94" s="150">
        <f t="shared" si="2"/>
        <v>9</v>
      </c>
    </row>
    <row r="95">
      <c r="A95" s="104" t="s">
        <v>5475</v>
      </c>
      <c r="B95" s="104" t="s">
        <v>6016</v>
      </c>
      <c r="C95" s="150">
        <f t="shared" si="1"/>
        <v>0.4444444444</v>
      </c>
      <c r="D95" s="150">
        <f t="array" ref="D95">COUNTIFS('Pool Changes'!$B:$B, $A95 &amp; " - " &amp; "*", INDEX(SUBSTITUTE('Pool Changes'!$G:$G, "±", "")*1,0), D$1)</f>
        <v>0</v>
      </c>
      <c r="E95" s="150">
        <f t="array" ref="E95">COUNTIFS('Pool Changes'!$B:$B, $A95 &amp; " - " &amp; "*", INDEX(SUBSTITUTE('Pool Changes'!$G:$G, "±", "")*1,0), E$1)</f>
        <v>3</v>
      </c>
      <c r="F95" s="150">
        <f t="array" ref="F95">COUNTIFS('Pool Changes'!$B:$B, $A95 &amp; " - " &amp; "*", INDEX(SUBSTITUTE('Pool Changes'!$G:$G, "±", "")*1,0), F$1)</f>
        <v>0</v>
      </c>
      <c r="G95" s="150">
        <f t="array" ref="G95">COUNTIFS('Pool Changes'!$B:$B, $A95 &amp; " - " &amp; "*", INDEX(SUBSTITUTE('Pool Changes'!$G:$G, "±", "")*1,0), G$1) - 1</f>
        <v>4</v>
      </c>
      <c r="H95" s="150">
        <f t="array" ref="H95">COUNTIFS('Pool Changes'!$B:$B, $A95 &amp; " - " &amp; "*", INDEX(SUBSTITUTE('Pool Changes'!$G:$G, "±", "")*1,0), H$1)</f>
        <v>0</v>
      </c>
      <c r="I95" s="150">
        <f t="array" ref="I95">COUNTIFS('Pool Changes'!$B:$B, $A95 &amp; " - " &amp; "*", INDEX(SUBSTITUTE('Pool Changes'!$G:$G, "±", "")*1,0), I$1)</f>
        <v>2</v>
      </c>
      <c r="J95" s="150">
        <f t="array" ref="J95">COUNTIFS('Pool Changes'!$B:$B, $A95 &amp; " - " &amp; "*", INDEX(SUBSTITUTE('Pool Changes'!$G:$G, "±", "")*1,0), J$1)</f>
        <v>2</v>
      </c>
      <c r="K95" s="150">
        <f t="shared" si="2"/>
        <v>11</v>
      </c>
    </row>
    <row r="96">
      <c r="A96" s="104" t="s">
        <v>5434</v>
      </c>
      <c r="B96" s="104" t="s">
        <v>6016</v>
      </c>
      <c r="C96" s="150">
        <f t="shared" si="1"/>
        <v>0.4444444444</v>
      </c>
      <c r="D96" s="150">
        <f t="array" ref="D96">COUNTIFS('Pool Changes'!$B:$B, $A96 &amp; " - " &amp; "*", INDEX(SUBSTITUTE('Pool Changes'!$G:$G, "±", "")*1,0), D$1)</f>
        <v>0</v>
      </c>
      <c r="E96" s="150">
        <f t="array" ref="E96">COUNTIFS('Pool Changes'!$B:$B, $A96 &amp; " - " &amp; "*", INDEX(SUBSTITUTE('Pool Changes'!$G:$G, "±", "")*1,0), E$1)</f>
        <v>1</v>
      </c>
      <c r="F96" s="150">
        <f t="array" ref="F96">COUNTIFS('Pool Changes'!$B:$B, $A96 &amp; " - " &amp; "*", INDEX(SUBSTITUTE('Pool Changes'!$G:$G, "±", "")*1,0), F$1)</f>
        <v>0</v>
      </c>
      <c r="G96" s="150">
        <f t="array" ref="G96">COUNTIFS('Pool Changes'!$B:$B, $A96 &amp; " - " &amp; "*", INDEX(SUBSTITUTE('Pool Changes'!$G:$G, "±", "")*1,0), G$1) - 1</f>
        <v>5</v>
      </c>
      <c r="H96" s="150">
        <f t="array" ref="H96">COUNTIFS('Pool Changes'!$B:$B, $A96 &amp; " - " &amp; "*", INDEX(SUBSTITUTE('Pool Changes'!$G:$G, "±", "")*1,0), H$1)</f>
        <v>0</v>
      </c>
      <c r="I96" s="150">
        <f t="array" ref="I96">COUNTIFS('Pool Changes'!$B:$B, $A96 &amp; " - " &amp; "*", INDEX(SUBSTITUTE('Pool Changes'!$G:$G, "±", "")*1,0), I$1)</f>
        <v>1</v>
      </c>
      <c r="J96" s="150">
        <f t="array" ref="J96">COUNTIFS('Pool Changes'!$B:$B, $A96 &amp; " - " &amp; "*", INDEX(SUBSTITUTE('Pool Changes'!$G:$G, "±", "")*1,0), J$1)</f>
        <v>4</v>
      </c>
      <c r="K96" s="150">
        <f t="shared" si="2"/>
        <v>11</v>
      </c>
    </row>
    <row r="97">
      <c r="A97" s="104" t="s">
        <v>5746</v>
      </c>
      <c r="B97" s="104" t="s">
        <v>6023</v>
      </c>
      <c r="C97" s="150">
        <f t="shared" si="1"/>
        <v>0.4210526316</v>
      </c>
      <c r="D97" s="150">
        <f t="array" ref="D97">COUNTIFS('Pool Changes'!$B:$B, $A97 &amp; " - " &amp; "*", INDEX(SUBSTITUTE('Pool Changes'!$G:$G, "±", "")*1,0), D$1)</f>
        <v>0</v>
      </c>
      <c r="E97" s="150">
        <f t="array" ref="E97">COUNTIFS('Pool Changes'!$B:$B, $A97 &amp; " - " &amp; "*", INDEX(SUBSTITUTE('Pool Changes'!$G:$G, "±", "")*1,0), E$1)</f>
        <v>4</v>
      </c>
      <c r="F97" s="150">
        <f t="array" ref="F97">COUNTIFS('Pool Changes'!$B:$B, $A97 &amp; " - " &amp; "*", INDEX(SUBSTITUTE('Pool Changes'!$G:$G, "±", "")*1,0), F$1)</f>
        <v>5</v>
      </c>
      <c r="G97" s="150">
        <f t="array" ref="G97">COUNTIFS('Pool Changes'!$B:$B, $A97 &amp; " - " &amp; "*", INDEX(SUBSTITUTE('Pool Changes'!$G:$G, "±", "")*1,0), G$1) - 1</f>
        <v>0</v>
      </c>
      <c r="H97" s="150">
        <f t="array" ref="H97">COUNTIFS('Pool Changes'!$B:$B, $A97 &amp; " - " &amp; "*", INDEX(SUBSTITUTE('Pool Changes'!$G:$G, "±", "")*1,0), H$1)</f>
        <v>2</v>
      </c>
      <c r="I97" s="150">
        <f t="array" ref="I97">COUNTIFS('Pool Changes'!$B:$B, $A97 &amp; " - " &amp; "*", INDEX(SUBSTITUTE('Pool Changes'!$G:$G, "±", "")*1,0), I$1)</f>
        <v>0</v>
      </c>
      <c r="J97" s="150">
        <f t="array" ref="J97">COUNTIFS('Pool Changes'!$B:$B, $A97 &amp; " - " &amp; "*", INDEX(SUBSTITUTE('Pool Changes'!$G:$G, "±", "")*1,0), J$1)</f>
        <v>0</v>
      </c>
      <c r="K97" s="150">
        <f t="shared" si="2"/>
        <v>11</v>
      </c>
    </row>
    <row r="98">
      <c r="A98" s="104" t="s">
        <v>5674</v>
      </c>
      <c r="B98" s="104" t="s">
        <v>6023</v>
      </c>
      <c r="C98" s="150">
        <f t="shared" si="1"/>
        <v>0.4210526316</v>
      </c>
      <c r="D98" s="150">
        <f t="array" ref="D98">COUNTIFS('Pool Changes'!$B:$B, $A98 &amp; " - " &amp; "*", INDEX(SUBSTITUTE('Pool Changes'!$G:$G, "±", "")*1,0), D$1)</f>
        <v>1</v>
      </c>
      <c r="E98" s="150">
        <f t="array" ref="E98">COUNTIFS('Pool Changes'!$B:$B, $A98 &amp; " - " &amp; "*", INDEX(SUBSTITUTE('Pool Changes'!$G:$G, "±", "")*1,0), E$1)</f>
        <v>1</v>
      </c>
      <c r="F98" s="150">
        <f t="array" ref="F98">COUNTIFS('Pool Changes'!$B:$B, $A98 &amp; " - " &amp; "*", INDEX(SUBSTITUTE('Pool Changes'!$G:$G, "±", "")*1,0), F$1)</f>
        <v>0</v>
      </c>
      <c r="G98" s="150">
        <f t="array" ref="G98">COUNTIFS('Pool Changes'!$B:$B, $A98 &amp; " - " &amp; "*", INDEX(SUBSTITUTE('Pool Changes'!$G:$G, "±", "")*1,0), G$1) - 1</f>
        <v>3</v>
      </c>
      <c r="H98" s="150">
        <f t="array" ref="H98">COUNTIFS('Pool Changes'!$B:$B, $A98 &amp; " - " &amp; "*", INDEX(SUBSTITUTE('Pool Changes'!$G:$G, "±", "")*1,0), H$1)</f>
        <v>3</v>
      </c>
      <c r="I98" s="150">
        <f t="array" ref="I98">COUNTIFS('Pool Changes'!$B:$B, $A98 &amp; " - " &amp; "*", INDEX(SUBSTITUTE('Pool Changes'!$G:$G, "±", "")*1,0), I$1)</f>
        <v>2</v>
      </c>
      <c r="J98" s="150">
        <f t="array" ref="J98">COUNTIFS('Pool Changes'!$B:$B, $A98 &amp; " - " &amp; "*", INDEX(SUBSTITUTE('Pool Changes'!$G:$G, "±", "")*1,0), J$1)</f>
        <v>1</v>
      </c>
      <c r="K98" s="150">
        <f t="shared" si="2"/>
        <v>11</v>
      </c>
    </row>
    <row r="99">
      <c r="A99" s="104" t="s">
        <v>5479</v>
      </c>
      <c r="B99" s="104" t="s">
        <v>6023</v>
      </c>
      <c r="C99" s="150">
        <f t="shared" si="1"/>
        <v>0.4210526316</v>
      </c>
      <c r="D99" s="150">
        <f t="array" ref="D99">COUNTIFS('Pool Changes'!$B:$B, $A99 &amp; " - " &amp; "*", INDEX(SUBSTITUTE('Pool Changes'!$G:$G, "±", "")*1,0), D$1)</f>
        <v>2</v>
      </c>
      <c r="E99" s="150">
        <f t="array" ref="E99">COUNTIFS('Pool Changes'!$B:$B, $A99 &amp; " - " &amp; "*", INDEX(SUBSTITUTE('Pool Changes'!$G:$G, "±", "")*1,0), E$1)</f>
        <v>1</v>
      </c>
      <c r="F99" s="150">
        <f t="array" ref="F99">COUNTIFS('Pool Changes'!$B:$B, $A99 &amp; " - " &amp; "*", INDEX(SUBSTITUTE('Pool Changes'!$G:$G, "±", "")*1,0), F$1)</f>
        <v>0</v>
      </c>
      <c r="G99" s="150">
        <f t="array" ref="G99">COUNTIFS('Pool Changes'!$B:$B, $A99 &amp; " - " &amp; "*", INDEX(SUBSTITUTE('Pool Changes'!$G:$G, "±", "")*1,0), G$1) - 1</f>
        <v>2</v>
      </c>
      <c r="H99" s="150">
        <f t="array" ref="H99">COUNTIFS('Pool Changes'!$B:$B, $A99 &amp; " - " &amp; "*", INDEX(SUBSTITUTE('Pool Changes'!$G:$G, "±", "")*1,0), H$1)</f>
        <v>0</v>
      </c>
      <c r="I99" s="150">
        <f t="array" ref="I99">COUNTIFS('Pool Changes'!$B:$B, $A99 &amp; " - " &amp; "*", INDEX(SUBSTITUTE('Pool Changes'!$G:$G, "±", "")*1,0), I$1)</f>
        <v>1</v>
      </c>
      <c r="J99" s="150">
        <f t="array" ref="J99">COUNTIFS('Pool Changes'!$B:$B, $A99 &amp; " - " &amp; "*", INDEX(SUBSTITUTE('Pool Changes'!$G:$G, "±", "")*1,0), J$1)</f>
        <v>0</v>
      </c>
      <c r="K99" s="150">
        <f t="shared" si="2"/>
        <v>6</v>
      </c>
    </row>
    <row r="100">
      <c r="A100" s="104" t="s">
        <v>5568</v>
      </c>
      <c r="B100" s="104" t="s">
        <v>6023</v>
      </c>
      <c r="C100" s="150">
        <f t="shared" si="1"/>
        <v>0.4210526316</v>
      </c>
      <c r="D100" s="150">
        <f t="array" ref="D100">COUNTIFS('Pool Changes'!$B:$B, $A100 &amp; " - " &amp; "*", INDEX(SUBSTITUTE('Pool Changes'!$G:$G, "±", "")*1,0), D$1)</f>
        <v>1</v>
      </c>
      <c r="E100" s="150">
        <f t="array" ref="E100">COUNTIFS('Pool Changes'!$B:$B, $A100 &amp; " - " &amp; "*", INDEX(SUBSTITUTE('Pool Changes'!$G:$G, "±", "")*1,0), E$1)</f>
        <v>1</v>
      </c>
      <c r="F100" s="150">
        <f t="array" ref="F100">COUNTIFS('Pool Changes'!$B:$B, $A100 &amp; " - " &amp; "*", INDEX(SUBSTITUTE('Pool Changes'!$G:$G, "±", "")*1,0), F$1)</f>
        <v>1</v>
      </c>
      <c r="G100" s="150">
        <f t="array" ref="G100">COUNTIFS('Pool Changes'!$B:$B, $A100 &amp; " - " &amp; "*", INDEX(SUBSTITUTE('Pool Changes'!$G:$G, "±", "")*1,0), G$1) - 1</f>
        <v>5</v>
      </c>
      <c r="H100" s="150">
        <f t="array" ref="H100">COUNTIFS('Pool Changes'!$B:$B, $A100 &amp; " - " &amp; "*", INDEX(SUBSTITUTE('Pool Changes'!$G:$G, "±", "")*1,0), H$1)</f>
        <v>0</v>
      </c>
      <c r="I100" s="150">
        <f t="array" ref="I100">COUNTIFS('Pool Changes'!$B:$B, $A100 &amp; " - " &amp; "*", INDEX(SUBSTITUTE('Pool Changes'!$G:$G, "±", "")*1,0), I$1)</f>
        <v>1</v>
      </c>
      <c r="J100" s="150">
        <f t="array" ref="J100">COUNTIFS('Pool Changes'!$B:$B, $A100 &amp; " - " &amp; "*", INDEX(SUBSTITUTE('Pool Changes'!$G:$G, "±", "")*1,0), J$1)</f>
        <v>2</v>
      </c>
      <c r="K100" s="150">
        <f t="shared" si="2"/>
        <v>11</v>
      </c>
    </row>
    <row r="101">
      <c r="A101" s="104" t="s">
        <v>5543</v>
      </c>
      <c r="B101" s="104" t="s">
        <v>6023</v>
      </c>
      <c r="C101" s="150">
        <f t="shared" si="1"/>
        <v>0.4210526316</v>
      </c>
      <c r="D101" s="150">
        <f t="array" ref="D101">COUNTIFS('Pool Changes'!$B:$B, $A101 &amp; " - " &amp; "*", INDEX(SUBSTITUTE('Pool Changes'!$G:$G, "±", "")*1,0), D$1)</f>
        <v>1</v>
      </c>
      <c r="E101" s="150">
        <f t="array" ref="E101">COUNTIFS('Pool Changes'!$B:$B, $A101 &amp; " - " &amp; "*", INDEX(SUBSTITUTE('Pool Changes'!$G:$G, "±", "")*1,0), E$1)</f>
        <v>2</v>
      </c>
      <c r="F101" s="150">
        <f t="array" ref="F101">COUNTIFS('Pool Changes'!$B:$B, $A101 &amp; " - " &amp; "*", INDEX(SUBSTITUTE('Pool Changes'!$G:$G, "±", "")*1,0), F$1)</f>
        <v>0</v>
      </c>
      <c r="G101" s="150">
        <f t="array" ref="G101">COUNTIFS('Pool Changes'!$B:$B, $A101 &amp; " - " &amp; "*", INDEX(SUBSTITUTE('Pool Changes'!$G:$G, "±", "")*1,0), G$1) - 1</f>
        <v>4</v>
      </c>
      <c r="H101" s="150">
        <f t="array" ref="H101">COUNTIFS('Pool Changes'!$B:$B, $A101 &amp; " - " &amp; "*", INDEX(SUBSTITUTE('Pool Changes'!$G:$G, "±", "")*1,0), H$1)</f>
        <v>4</v>
      </c>
      <c r="I101" s="150">
        <f t="array" ref="I101">COUNTIFS('Pool Changes'!$B:$B, $A101 &amp; " - " &amp; "*", INDEX(SUBSTITUTE('Pool Changes'!$G:$G, "±", "")*1,0), I$1)</f>
        <v>0</v>
      </c>
      <c r="J101" s="150">
        <f t="array" ref="J101">COUNTIFS('Pool Changes'!$B:$B, $A101 &amp; " - " &amp; "*", INDEX(SUBSTITUTE('Pool Changes'!$G:$G, "±", "")*1,0), J$1)</f>
        <v>0</v>
      </c>
      <c r="K101" s="150">
        <f t="shared" si="2"/>
        <v>11</v>
      </c>
    </row>
    <row r="102">
      <c r="A102" s="104" t="s">
        <v>5731</v>
      </c>
      <c r="B102" s="104" t="s">
        <v>6023</v>
      </c>
      <c r="C102" s="150">
        <f t="shared" si="1"/>
        <v>0.4210526316</v>
      </c>
      <c r="D102" s="150">
        <f t="array" ref="D102">COUNTIFS('Pool Changes'!$B:$B, $A102 &amp; " - " &amp; "*", INDEX(SUBSTITUTE('Pool Changes'!$G:$G, "±", "")*1,0), D$1)</f>
        <v>2</v>
      </c>
      <c r="E102" s="150">
        <f t="array" ref="E102">COUNTIFS('Pool Changes'!$B:$B, $A102 &amp; " - " &amp; "*", INDEX(SUBSTITUTE('Pool Changes'!$G:$G, "±", "")*1,0), E$1)</f>
        <v>1</v>
      </c>
      <c r="F102" s="150">
        <f t="array" ref="F102">COUNTIFS('Pool Changes'!$B:$B, $A102 &amp; " - " &amp; "*", INDEX(SUBSTITUTE('Pool Changes'!$G:$G, "±", "")*1,0), F$1)</f>
        <v>1</v>
      </c>
      <c r="G102" s="150">
        <f t="array" ref="G102">COUNTIFS('Pool Changes'!$B:$B, $A102 &amp; " - " &amp; "*", INDEX(SUBSTITUTE('Pool Changes'!$G:$G, "±", "")*1,0), G$1) - 1</f>
        <v>4</v>
      </c>
      <c r="H102" s="150">
        <f t="array" ref="H102">COUNTIFS('Pool Changes'!$B:$B, $A102 &amp; " - " &amp; "*", INDEX(SUBSTITUTE('Pool Changes'!$G:$G, "±", "")*1,0), H$1)</f>
        <v>1</v>
      </c>
      <c r="I102" s="150">
        <f t="array" ref="I102">COUNTIFS('Pool Changes'!$B:$B, $A102 &amp; " - " &amp; "*", INDEX(SUBSTITUTE('Pool Changes'!$G:$G, "±", "")*1,0), I$1)</f>
        <v>2</v>
      </c>
      <c r="J102" s="150">
        <f t="array" ref="J102">COUNTIFS('Pool Changes'!$B:$B, $A102 &amp; " - " &amp; "*", INDEX(SUBSTITUTE('Pool Changes'!$G:$G, "±", "")*1,0), J$1)</f>
        <v>0</v>
      </c>
      <c r="K102" s="150">
        <f t="shared" si="2"/>
        <v>11</v>
      </c>
    </row>
    <row r="103">
      <c r="A103" s="104" t="s">
        <v>5727</v>
      </c>
      <c r="B103" s="104" t="s">
        <v>6023</v>
      </c>
      <c r="C103" s="150">
        <f t="shared" si="1"/>
        <v>0.4210526316</v>
      </c>
      <c r="D103" s="150">
        <f t="array" ref="D103">COUNTIFS('Pool Changes'!$B:$B, $A103 &amp; " - " &amp; "*", INDEX(SUBSTITUTE('Pool Changes'!$G:$G, "±", "")*1,0), D$1)</f>
        <v>3</v>
      </c>
      <c r="E103" s="150">
        <f t="array" ref="E103">COUNTIFS('Pool Changes'!$B:$B, $A103 &amp; " - " &amp; "*", INDEX(SUBSTITUTE('Pool Changes'!$G:$G, "±", "")*1,0), E$1)</f>
        <v>1</v>
      </c>
      <c r="F103" s="150">
        <f t="array" ref="F103">COUNTIFS('Pool Changes'!$B:$B, $A103 &amp; " - " &amp; "*", INDEX(SUBSTITUTE('Pool Changes'!$G:$G, "±", "")*1,0), F$1)</f>
        <v>1</v>
      </c>
      <c r="G103" s="150">
        <f t="array" ref="G103">COUNTIFS('Pool Changes'!$B:$B, $A103 &amp; " - " &amp; "*", INDEX(SUBSTITUTE('Pool Changes'!$G:$G, "±", "")*1,0), G$1) - 1</f>
        <v>5</v>
      </c>
      <c r="H103" s="150">
        <f t="array" ref="H103">COUNTIFS('Pool Changes'!$B:$B, $A103 &amp; " - " &amp; "*", INDEX(SUBSTITUTE('Pool Changes'!$G:$G, "±", "")*1,0), H$1)</f>
        <v>0</v>
      </c>
      <c r="I103" s="150">
        <f t="array" ref="I103">COUNTIFS('Pool Changes'!$B:$B, $A103 &amp; " - " &amp; "*", INDEX(SUBSTITUTE('Pool Changes'!$G:$G, "±", "")*1,0), I$1)</f>
        <v>1</v>
      </c>
      <c r="J103" s="150">
        <f t="array" ref="J103">COUNTIFS('Pool Changes'!$B:$B, $A103 &amp; " - " &amp; "*", INDEX(SUBSTITUTE('Pool Changes'!$G:$G, "±", "")*1,0), J$1)</f>
        <v>0</v>
      </c>
      <c r="K103" s="150">
        <f t="shared" si="2"/>
        <v>11</v>
      </c>
    </row>
    <row r="104">
      <c r="A104" s="104" t="s">
        <v>5626</v>
      </c>
      <c r="B104" s="104" t="s">
        <v>6023</v>
      </c>
      <c r="C104" s="150">
        <f t="shared" si="1"/>
        <v>0.4210526316</v>
      </c>
      <c r="D104" s="150">
        <f t="array" ref="D104">COUNTIFS('Pool Changes'!$B:$B, $A104 &amp; " - " &amp; "*", INDEX(SUBSTITUTE('Pool Changes'!$G:$G, "±", "")*1,0), D$1)</f>
        <v>3</v>
      </c>
      <c r="E104" s="150">
        <f t="array" ref="E104">COUNTIFS('Pool Changes'!$B:$B, $A104 &amp; " - " &amp; "*", INDEX(SUBSTITUTE('Pool Changes'!$G:$G, "±", "")*1,0), E$1)</f>
        <v>1</v>
      </c>
      <c r="F104" s="150">
        <f t="array" ref="F104">COUNTIFS('Pool Changes'!$B:$B, $A104 &amp; " - " &amp; "*", INDEX(SUBSTITUTE('Pool Changes'!$G:$G, "±", "")*1,0), F$1)</f>
        <v>0</v>
      </c>
      <c r="G104" s="150">
        <f t="array" ref="G104">COUNTIFS('Pool Changes'!$B:$B, $A104 &amp; " - " &amp; "*", INDEX(SUBSTITUTE('Pool Changes'!$G:$G, "±", "")*1,0), G$1) - 1</f>
        <v>4</v>
      </c>
      <c r="H104" s="150">
        <f t="array" ref="H104">COUNTIFS('Pool Changes'!$B:$B, $A104 &amp; " - " &amp; "*", INDEX(SUBSTITUTE('Pool Changes'!$G:$G, "±", "")*1,0), H$1)</f>
        <v>0</v>
      </c>
      <c r="I104" s="150">
        <f t="array" ref="I104">COUNTIFS('Pool Changes'!$B:$B, $A104 &amp; " - " &amp; "*", INDEX(SUBSTITUTE('Pool Changes'!$G:$G, "±", "")*1,0), I$1)</f>
        <v>1</v>
      </c>
      <c r="J104" s="150">
        <f t="array" ref="J104">COUNTIFS('Pool Changes'!$B:$B, $A104 &amp; " - " &amp; "*", INDEX(SUBSTITUTE('Pool Changes'!$G:$G, "±", "")*1,0), J$1)</f>
        <v>2</v>
      </c>
      <c r="K104" s="150">
        <f t="shared" si="2"/>
        <v>11</v>
      </c>
    </row>
    <row r="105">
      <c r="A105" s="104" t="s">
        <v>5735</v>
      </c>
      <c r="B105" s="104" t="s">
        <v>6023</v>
      </c>
      <c r="C105" s="150">
        <f t="shared" si="1"/>
        <v>0.4210526316</v>
      </c>
      <c r="D105" s="150">
        <f t="array" ref="D105">COUNTIFS('Pool Changes'!$B:$B, $A105 &amp; " - " &amp; "*", INDEX(SUBSTITUTE('Pool Changes'!$G:$G, "±", "")*1,0), D$1)</f>
        <v>4</v>
      </c>
      <c r="E105" s="150">
        <f t="array" ref="E105">COUNTIFS('Pool Changes'!$B:$B, $A105 &amp; " - " &amp; "*", INDEX(SUBSTITUTE('Pool Changes'!$G:$G, "±", "")*1,0), E$1)</f>
        <v>2</v>
      </c>
      <c r="F105" s="150">
        <f t="array" ref="F105">COUNTIFS('Pool Changes'!$B:$B, $A105 &amp; " - " &amp; "*", INDEX(SUBSTITUTE('Pool Changes'!$G:$G, "±", "")*1,0), F$1)</f>
        <v>1</v>
      </c>
      <c r="G105" s="150">
        <f t="array" ref="G105">COUNTIFS('Pool Changes'!$B:$B, $A105 &amp; " - " &amp; "*", INDEX(SUBSTITUTE('Pool Changes'!$G:$G, "±", "")*1,0), G$1) - 1</f>
        <v>4</v>
      </c>
      <c r="H105" s="150">
        <f t="array" ref="H105">COUNTIFS('Pool Changes'!$B:$B, $A105 &amp; " - " &amp; "*", INDEX(SUBSTITUTE('Pool Changes'!$G:$G, "±", "")*1,0), H$1)</f>
        <v>0</v>
      </c>
      <c r="I105" s="150">
        <f t="array" ref="I105">COUNTIFS('Pool Changes'!$B:$B, $A105 &amp; " - " &amp; "*", INDEX(SUBSTITUTE('Pool Changes'!$G:$G, "±", "")*1,0), I$1)</f>
        <v>0</v>
      </c>
      <c r="J105" s="150">
        <f t="array" ref="J105">COUNTIFS('Pool Changes'!$B:$B, $A105 &amp; " - " &amp; "*", INDEX(SUBSTITUTE('Pool Changes'!$G:$G, "±", "")*1,0), J$1)</f>
        <v>0</v>
      </c>
      <c r="K105" s="150">
        <f t="shared" si="2"/>
        <v>11</v>
      </c>
    </row>
    <row r="106">
      <c r="A106" s="104" t="s">
        <v>5534</v>
      </c>
      <c r="B106" s="104" t="s">
        <v>6023</v>
      </c>
      <c r="C106" s="150">
        <f t="shared" si="1"/>
        <v>0.4210526316</v>
      </c>
      <c r="D106" s="150">
        <f t="array" ref="D106">COUNTIFS('Pool Changes'!$B:$B, $A106 &amp; " - " &amp; "*", INDEX(SUBSTITUTE('Pool Changes'!$G:$G, "±", "")*1,0), D$1)</f>
        <v>1</v>
      </c>
      <c r="E106" s="150">
        <f t="array" ref="E106">COUNTIFS('Pool Changes'!$B:$B, $A106 &amp; " - " &amp; "*", INDEX(SUBSTITUTE('Pool Changes'!$G:$G, "±", "")*1,0), E$1)</f>
        <v>0</v>
      </c>
      <c r="F106" s="150">
        <f t="array" ref="F106">COUNTIFS('Pool Changes'!$B:$B, $A106 &amp; " - " &amp; "*", INDEX(SUBSTITUTE('Pool Changes'!$G:$G, "±", "")*1,0), F$1)</f>
        <v>0</v>
      </c>
      <c r="G106" s="150">
        <f t="array" ref="G106">COUNTIFS('Pool Changes'!$B:$B, $A106 &amp; " - " &amp; "*", INDEX(SUBSTITUTE('Pool Changes'!$G:$G, "±", "")*1,0), G$1) - 1</f>
        <v>5</v>
      </c>
      <c r="H106" s="150">
        <f t="array" ref="H106">COUNTIFS('Pool Changes'!$B:$B, $A106 &amp; " - " &amp; "*", INDEX(SUBSTITUTE('Pool Changes'!$G:$G, "±", "")*1,0), H$1)</f>
        <v>2</v>
      </c>
      <c r="I106" s="150">
        <f t="array" ref="I106">COUNTIFS('Pool Changes'!$B:$B, $A106 &amp; " - " &amp; "*", INDEX(SUBSTITUTE('Pool Changes'!$G:$G, "±", "")*1,0), I$1)</f>
        <v>0</v>
      </c>
      <c r="J106" s="150">
        <f t="array" ref="J106">COUNTIFS('Pool Changes'!$B:$B, $A106 &amp; " - " &amp; "*", INDEX(SUBSTITUTE('Pool Changes'!$G:$G, "±", "")*1,0), J$1)</f>
        <v>3</v>
      </c>
      <c r="K106" s="150">
        <f t="shared" si="2"/>
        <v>11</v>
      </c>
    </row>
    <row r="107">
      <c r="A107" s="104" t="s">
        <v>5637</v>
      </c>
      <c r="B107" s="104" t="s">
        <v>6023</v>
      </c>
      <c r="C107" s="150">
        <f t="shared" si="1"/>
        <v>0.4210526316</v>
      </c>
      <c r="D107" s="150">
        <f t="array" ref="D107">COUNTIFS('Pool Changes'!$B:$B, $A107 &amp; " - " &amp; "*", INDEX(SUBSTITUTE('Pool Changes'!$G:$G, "±", "")*1,0), D$1)</f>
        <v>3</v>
      </c>
      <c r="E107" s="150">
        <f t="array" ref="E107">COUNTIFS('Pool Changes'!$B:$B, $A107 &amp; " - " &amp; "*", INDEX(SUBSTITUTE('Pool Changes'!$G:$G, "±", "")*1,0), E$1)</f>
        <v>0</v>
      </c>
      <c r="F107" s="150">
        <f t="array" ref="F107">COUNTIFS('Pool Changes'!$B:$B, $A107 &amp; " - " &amp; "*", INDEX(SUBSTITUTE('Pool Changes'!$G:$G, "±", "")*1,0), F$1)</f>
        <v>0</v>
      </c>
      <c r="G107" s="150">
        <f t="array" ref="G107">COUNTIFS('Pool Changes'!$B:$B, $A107 &amp; " - " &amp; "*", INDEX(SUBSTITUTE('Pool Changes'!$G:$G, "±", "")*1,0), G$1) - 1</f>
        <v>5</v>
      </c>
      <c r="H107" s="150">
        <f t="array" ref="H107">COUNTIFS('Pool Changes'!$B:$B, $A107 &amp; " - " &amp; "*", INDEX(SUBSTITUTE('Pool Changes'!$G:$G, "±", "")*1,0), H$1)</f>
        <v>1</v>
      </c>
      <c r="I107" s="150">
        <f t="array" ref="I107">COUNTIFS('Pool Changes'!$B:$B, $A107 &amp; " - " &amp; "*", INDEX(SUBSTITUTE('Pool Changes'!$G:$G, "±", "")*1,0), I$1)</f>
        <v>1</v>
      </c>
      <c r="J107" s="150">
        <f t="array" ref="J107">COUNTIFS('Pool Changes'!$B:$B, $A107 &amp; " - " &amp; "*", INDEX(SUBSTITUTE('Pool Changes'!$G:$G, "±", "")*1,0), J$1)</f>
        <v>1</v>
      </c>
      <c r="K107" s="150">
        <f t="shared" si="2"/>
        <v>11</v>
      </c>
    </row>
    <row r="108">
      <c r="A108" s="104" t="s">
        <v>5742</v>
      </c>
      <c r="B108" s="104" t="s">
        <v>6060</v>
      </c>
      <c r="C108" s="150">
        <f t="shared" si="1"/>
        <v>0.5384615385</v>
      </c>
      <c r="D108" s="150">
        <f t="array" ref="D108">COUNTIFS('Pool Changes'!$B:$B, $A108 &amp; " - " &amp; "*", INDEX(SUBSTITUTE('Pool Changes'!$G:$G, "±", "")*1,0), D$1)</f>
        <v>1</v>
      </c>
      <c r="E108" s="150">
        <f t="array" ref="E108">COUNTIFS('Pool Changes'!$B:$B, $A108 &amp; " - " &amp; "*", INDEX(SUBSTITUTE('Pool Changes'!$G:$G, "±", "")*1,0), E$1)</f>
        <v>1</v>
      </c>
      <c r="F108" s="150">
        <f t="array" ref="F108">COUNTIFS('Pool Changes'!$B:$B, $A108 &amp; " - " &amp; "*", INDEX(SUBSTITUTE('Pool Changes'!$G:$G, "±", "")*1,0), F$1)</f>
        <v>2</v>
      </c>
      <c r="G108" s="150">
        <f t="array" ref="G108">COUNTIFS('Pool Changes'!$B:$B, $A108 &amp; " - " &amp; "*", INDEX(SUBSTITUTE('Pool Changes'!$G:$G, "±", "")*1,0), G$1) - 1</f>
        <v>3</v>
      </c>
      <c r="H108" s="150">
        <f t="array" ref="H108">COUNTIFS('Pool Changes'!$B:$B, $A108 &amp; " - " &amp; "*", INDEX(SUBSTITUTE('Pool Changes'!$G:$G, "±", "")*1,0), H$1)</f>
        <v>0</v>
      </c>
      <c r="I108" s="150">
        <f t="array" ref="I108">COUNTIFS('Pool Changes'!$B:$B, $A108 &amp; " - " &amp; "*", INDEX(SUBSTITUTE('Pool Changes'!$G:$G, "±", "")*1,0), I$1)</f>
        <v>0</v>
      </c>
      <c r="J108" s="150">
        <f t="array" ref="J108">COUNTIFS('Pool Changes'!$B:$B, $A108 &amp; " - " &amp; "*", INDEX(SUBSTITUTE('Pool Changes'!$G:$G, "±", "")*1,0), J$1)</f>
        <v>0</v>
      </c>
      <c r="K108" s="150">
        <f t="shared" si="2"/>
        <v>7</v>
      </c>
    </row>
    <row r="109">
      <c r="A109" s="104" t="s">
        <v>5660</v>
      </c>
      <c r="B109" s="104" t="s">
        <v>6067</v>
      </c>
      <c r="C109" s="150">
        <f t="shared" si="1"/>
        <v>0.4666666667</v>
      </c>
      <c r="D109" s="150">
        <f t="array" ref="D109">COUNTIFS('Pool Changes'!$B:$B, $A109 &amp; " - " &amp; "*", INDEX(SUBSTITUTE('Pool Changes'!$G:$G, "±", "")*1,0), D$1)</f>
        <v>0</v>
      </c>
      <c r="E109" s="150">
        <f t="array" ref="E109">COUNTIFS('Pool Changes'!$B:$B, $A109 &amp; " - " &amp; "*", INDEX(SUBSTITUTE('Pool Changes'!$G:$G, "±", "")*1,0), E$1)</f>
        <v>1</v>
      </c>
      <c r="F109" s="150">
        <f t="array" ref="F109">COUNTIFS('Pool Changes'!$B:$B, $A109 &amp; " - " &amp; "*", INDEX(SUBSTITUTE('Pool Changes'!$G:$G, "±", "")*1,0), F$1)</f>
        <v>0</v>
      </c>
      <c r="G109" s="150">
        <f t="array" ref="G109">COUNTIFS('Pool Changes'!$B:$B, $A109 &amp; " - " &amp; "*", INDEX(SUBSTITUTE('Pool Changes'!$G:$G, "±", "")*1,0), G$1) - 1</f>
        <v>4</v>
      </c>
      <c r="H109" s="150">
        <f t="array" ref="H109">COUNTIFS('Pool Changes'!$B:$B, $A109 &amp; " - " &amp; "*", INDEX(SUBSTITUTE('Pool Changes'!$G:$G, "±", "")*1,0), H$1)</f>
        <v>1</v>
      </c>
      <c r="I109" s="150">
        <f t="array" ref="I109">COUNTIFS('Pool Changes'!$B:$B, $A109 &amp; " - " &amp; "*", INDEX(SUBSTITUTE('Pool Changes'!$G:$G, "±", "")*1,0), I$1)</f>
        <v>3</v>
      </c>
      <c r="J109" s="150">
        <f t="array" ref="J109">COUNTIFS('Pool Changes'!$B:$B, $A109 &amp; " - " &amp; "*", INDEX(SUBSTITUTE('Pool Changes'!$G:$G, "±", "")*1,0), J$1)</f>
        <v>0</v>
      </c>
      <c r="K109" s="150">
        <f t="shared" si="2"/>
        <v>9</v>
      </c>
    </row>
    <row r="110">
      <c r="A110" s="104" t="s">
        <v>5701</v>
      </c>
      <c r="B110" s="104" t="s">
        <v>6072</v>
      </c>
      <c r="C110" s="150">
        <f t="shared" si="1"/>
        <v>0.4117647059</v>
      </c>
      <c r="D110" s="150">
        <f t="array" ref="D110">COUNTIFS('Pool Changes'!$B:$B, $A110 &amp; " - " &amp; "*", INDEX(SUBSTITUTE('Pool Changes'!$G:$G, "±", "")*1,0), D$1)</f>
        <v>1</v>
      </c>
      <c r="E110" s="150">
        <f t="array" ref="E110">COUNTIFS('Pool Changes'!$B:$B, $A110 &amp; " - " &amp; "*", INDEX(SUBSTITUTE('Pool Changes'!$G:$G, "±", "")*1,0), E$1)</f>
        <v>2</v>
      </c>
      <c r="F110" s="150">
        <f t="array" ref="F110">COUNTIFS('Pool Changes'!$B:$B, $A110 &amp; " - " &amp; "*", INDEX(SUBSTITUTE('Pool Changes'!$G:$G, "±", "")*1,0), F$1)</f>
        <v>1</v>
      </c>
      <c r="G110" s="150">
        <f t="array" ref="G110">COUNTIFS('Pool Changes'!$B:$B, $A110 &amp; " - " &amp; "*", INDEX(SUBSTITUTE('Pool Changes'!$G:$G, "±", "")*1,0), G$1) - 1</f>
        <v>5</v>
      </c>
      <c r="H110" s="150">
        <f t="array" ref="H110">COUNTIFS('Pool Changes'!$B:$B, $A110 &amp; " - " &amp; "*", INDEX(SUBSTITUTE('Pool Changes'!$G:$G, "±", "")*1,0), H$1)</f>
        <v>0</v>
      </c>
      <c r="I110" s="150">
        <f t="array" ref="I110">COUNTIFS('Pool Changes'!$B:$B, $A110 &amp; " - " &amp; "*", INDEX(SUBSTITUTE('Pool Changes'!$G:$G, "±", "")*1,0), I$1)</f>
        <v>2</v>
      </c>
      <c r="J110" s="150">
        <f t="array" ref="J110">COUNTIFS('Pool Changes'!$B:$B, $A110 &amp; " - " &amp; "*", INDEX(SUBSTITUTE('Pool Changes'!$G:$G, "±", "")*1,0), J$1)</f>
        <v>0</v>
      </c>
      <c r="K110" s="150">
        <f t="shared" si="2"/>
        <v>11</v>
      </c>
    </row>
    <row r="111">
      <c r="A111" s="104" t="s">
        <v>5679</v>
      </c>
      <c r="B111" s="104" t="s">
        <v>6076</v>
      </c>
      <c r="C111" s="150">
        <f t="shared" si="1"/>
        <v>0.3888888889</v>
      </c>
      <c r="D111" s="150">
        <f t="array" ref="D111">COUNTIFS('Pool Changes'!$B:$B, $A111 &amp; " - " &amp; "*", INDEX(SUBSTITUTE('Pool Changes'!$G:$G, "±", "")*1,0), D$1)</f>
        <v>0</v>
      </c>
      <c r="E111" s="150">
        <f t="array" ref="E111">COUNTIFS('Pool Changes'!$B:$B, $A111 &amp; " - " &amp; "*", INDEX(SUBSTITUTE('Pool Changes'!$G:$G, "±", "")*1,0), E$1)</f>
        <v>2</v>
      </c>
      <c r="F111" s="150">
        <f t="array" ref="F111">COUNTIFS('Pool Changes'!$B:$B, $A111 &amp; " - " &amp; "*", INDEX(SUBSTITUTE('Pool Changes'!$G:$G, "±", "")*1,0), F$1)</f>
        <v>0</v>
      </c>
      <c r="G111" s="150">
        <f t="array" ref="G111">COUNTIFS('Pool Changes'!$B:$B, $A111 &amp; " - " &amp; "*", INDEX(SUBSTITUTE('Pool Changes'!$G:$G, "±", "")*1,0), G$1) - 1</f>
        <v>5</v>
      </c>
      <c r="H111" s="150">
        <f t="array" ref="H111">COUNTIFS('Pool Changes'!$B:$B, $A111 &amp; " - " &amp; "*", INDEX(SUBSTITUTE('Pool Changes'!$G:$G, "±", "")*1,0), H$1)</f>
        <v>1</v>
      </c>
      <c r="I111" s="150">
        <f t="array" ref="I111">COUNTIFS('Pool Changes'!$B:$B, $A111 &amp; " - " &amp; "*", INDEX(SUBSTITUTE('Pool Changes'!$G:$G, "±", "")*1,0), I$1)</f>
        <v>1</v>
      </c>
      <c r="J111" s="150">
        <f t="array" ref="J111">COUNTIFS('Pool Changes'!$B:$B, $A111 &amp; " - " &amp; "*", INDEX(SUBSTITUTE('Pool Changes'!$G:$G, "±", "")*1,0), J$1)</f>
        <v>2</v>
      </c>
      <c r="K111" s="150">
        <f t="shared" si="2"/>
        <v>11</v>
      </c>
    </row>
    <row r="112">
      <c r="A112" s="104" t="s">
        <v>5643</v>
      </c>
      <c r="B112" s="104" t="s">
        <v>6076</v>
      </c>
      <c r="C112" s="150">
        <f t="shared" si="1"/>
        <v>0.3888888889</v>
      </c>
      <c r="D112" s="150">
        <f t="array" ref="D112">COUNTIFS('Pool Changes'!$B:$B, $A112 &amp; " - " &amp; "*", INDEX(SUBSTITUTE('Pool Changes'!$G:$G, "±", "")*1,0), D$1)</f>
        <v>6</v>
      </c>
      <c r="E112" s="150">
        <f t="array" ref="E112">COUNTIFS('Pool Changes'!$B:$B, $A112 &amp; " - " &amp; "*", INDEX(SUBSTITUTE('Pool Changes'!$G:$G, "±", "")*1,0), E$1)</f>
        <v>1</v>
      </c>
      <c r="F112" s="150">
        <f t="array" ref="F112">COUNTIFS('Pool Changes'!$B:$B, $A112 &amp; " - " &amp; "*", INDEX(SUBSTITUTE('Pool Changes'!$G:$G, "±", "")*1,0), F$1)</f>
        <v>1</v>
      </c>
      <c r="G112" s="150">
        <f t="array" ref="G112">COUNTIFS('Pool Changes'!$B:$B, $A112 &amp; " - " &amp; "*", INDEX(SUBSTITUTE('Pool Changes'!$G:$G, "±", "")*1,0), G$1) - 1</f>
        <v>3</v>
      </c>
      <c r="H112" s="150">
        <f t="array" ref="H112">COUNTIFS('Pool Changes'!$B:$B, $A112 &amp; " - " &amp; "*", INDEX(SUBSTITUTE('Pool Changes'!$G:$G, "±", "")*1,0), H$1)</f>
        <v>0</v>
      </c>
      <c r="I112" s="150">
        <f t="array" ref="I112">COUNTIFS('Pool Changes'!$B:$B, $A112 &amp; " - " &amp; "*", INDEX(SUBSTITUTE('Pool Changes'!$G:$G, "±", "")*1,0), I$1)</f>
        <v>0</v>
      </c>
      <c r="J112" s="150">
        <f t="array" ref="J112">COUNTIFS('Pool Changes'!$B:$B, $A112 &amp; " - " &amp; "*", INDEX(SUBSTITUTE('Pool Changes'!$G:$G, "±", "")*1,0), J$1)</f>
        <v>0</v>
      </c>
      <c r="K112" s="150">
        <f t="shared" si="2"/>
        <v>11</v>
      </c>
    </row>
    <row r="113">
      <c r="A113" s="104" t="s">
        <v>5645</v>
      </c>
      <c r="B113" s="104" t="s">
        <v>6076</v>
      </c>
      <c r="C113" s="150">
        <f t="shared" si="1"/>
        <v>0.3888888889</v>
      </c>
      <c r="D113" s="150">
        <f t="array" ref="D113">COUNTIFS('Pool Changes'!$B:$B, $A113 &amp; " - " &amp; "*", INDEX(SUBSTITUTE('Pool Changes'!$G:$G, "±", "")*1,0), D$1)</f>
        <v>0</v>
      </c>
      <c r="E113" s="150">
        <f t="array" ref="E113">COUNTIFS('Pool Changes'!$B:$B, $A113 &amp; " - " &amp; "*", INDEX(SUBSTITUTE('Pool Changes'!$G:$G, "±", "")*1,0), E$1)</f>
        <v>0</v>
      </c>
      <c r="F113" s="150">
        <f t="array" ref="F113">COUNTIFS('Pool Changes'!$B:$B, $A113 &amp; " - " &amp; "*", INDEX(SUBSTITUTE('Pool Changes'!$G:$G, "±", "")*1,0), F$1)</f>
        <v>0</v>
      </c>
      <c r="G113" s="150">
        <f t="array" ref="G113">COUNTIFS('Pool Changes'!$B:$B, $A113 &amp; " - " &amp; "*", INDEX(SUBSTITUTE('Pool Changes'!$G:$G, "±", "")*1,0), G$1) - 1</f>
        <v>3</v>
      </c>
      <c r="H113" s="150">
        <f t="array" ref="H113">COUNTIFS('Pool Changes'!$B:$B, $A113 &amp; " - " &amp; "*", INDEX(SUBSTITUTE('Pool Changes'!$G:$G, "±", "")*1,0), H$1)</f>
        <v>3</v>
      </c>
      <c r="I113" s="150">
        <f t="array" ref="I113">COUNTIFS('Pool Changes'!$B:$B, $A113 &amp; " - " &amp; "*", INDEX(SUBSTITUTE('Pool Changes'!$G:$G, "±", "")*1,0), I$1)</f>
        <v>3</v>
      </c>
      <c r="J113" s="150">
        <f t="array" ref="J113">COUNTIFS('Pool Changes'!$B:$B, $A113 &amp; " - " &amp; "*", INDEX(SUBSTITUTE('Pool Changes'!$G:$G, "±", "")*1,0), J$1)</f>
        <v>2</v>
      </c>
      <c r="K113" s="150">
        <f t="shared" si="2"/>
        <v>11</v>
      </c>
    </row>
    <row r="114">
      <c r="A114" s="104" t="s">
        <v>5668</v>
      </c>
      <c r="B114" s="104" t="s">
        <v>6076</v>
      </c>
      <c r="C114" s="150">
        <f t="shared" si="1"/>
        <v>0.3888888889</v>
      </c>
      <c r="D114" s="150">
        <f t="array" ref="D114">COUNTIFS('Pool Changes'!$B:$B, $A114 &amp; " - " &amp; "*", INDEX(SUBSTITUTE('Pool Changes'!$G:$G, "±", "")*1,0), D$1)</f>
        <v>1</v>
      </c>
      <c r="E114" s="150">
        <f t="array" ref="E114">COUNTIFS('Pool Changes'!$B:$B, $A114 &amp; " - " &amp; "*", INDEX(SUBSTITUTE('Pool Changes'!$G:$G, "±", "")*1,0), E$1)</f>
        <v>0</v>
      </c>
      <c r="F114" s="150">
        <f t="array" ref="F114">COUNTIFS('Pool Changes'!$B:$B, $A114 &amp; " - " &amp; "*", INDEX(SUBSTITUTE('Pool Changes'!$G:$G, "±", "")*1,0), F$1)</f>
        <v>2</v>
      </c>
      <c r="G114" s="150">
        <f t="array" ref="G114">COUNTIFS('Pool Changes'!$B:$B, $A114 &amp; " - " &amp; "*", INDEX(SUBSTITUTE('Pool Changes'!$G:$G, "±", "")*1,0), G$1) - 1</f>
        <v>5</v>
      </c>
      <c r="H114" s="150">
        <f t="array" ref="H114">COUNTIFS('Pool Changes'!$B:$B, $A114 &amp; " - " &amp; "*", INDEX(SUBSTITUTE('Pool Changes'!$G:$G, "±", "")*1,0), H$1)</f>
        <v>2</v>
      </c>
      <c r="I114" s="150">
        <f t="array" ref="I114">COUNTIFS('Pool Changes'!$B:$B, $A114 &amp; " - " &amp; "*", INDEX(SUBSTITUTE('Pool Changes'!$G:$G, "±", "")*1,0), I$1)</f>
        <v>0</v>
      </c>
      <c r="J114" s="150">
        <f t="array" ref="J114">COUNTIFS('Pool Changes'!$B:$B, $A114 &amp; " - " &amp; "*", INDEX(SUBSTITUTE('Pool Changes'!$G:$G, "±", "")*1,0), J$1)</f>
        <v>1</v>
      </c>
      <c r="K114" s="150">
        <f t="shared" si="2"/>
        <v>11</v>
      </c>
    </row>
    <row r="115">
      <c r="A115" s="104" t="s">
        <v>5493</v>
      </c>
      <c r="B115" s="104" t="s">
        <v>6076</v>
      </c>
      <c r="C115" s="150">
        <f t="shared" si="1"/>
        <v>0.3888888889</v>
      </c>
      <c r="D115" s="150">
        <f t="array" ref="D115">COUNTIFS('Pool Changes'!$B:$B, $A115 &amp; " - " &amp; "*", INDEX(SUBSTITUTE('Pool Changes'!$G:$G, "±", "")*1,0), D$1)</f>
        <v>1</v>
      </c>
      <c r="E115" s="150">
        <f t="array" ref="E115">COUNTIFS('Pool Changes'!$B:$B, $A115 &amp; " - " &amp; "*", INDEX(SUBSTITUTE('Pool Changes'!$G:$G, "±", "")*1,0), E$1)</f>
        <v>1</v>
      </c>
      <c r="F115" s="150">
        <f t="array" ref="F115">COUNTIFS('Pool Changes'!$B:$B, $A115 &amp; " - " &amp; "*", INDEX(SUBSTITUTE('Pool Changes'!$G:$G, "±", "")*1,0), F$1)</f>
        <v>4</v>
      </c>
      <c r="G115" s="150">
        <f t="array" ref="G115">COUNTIFS('Pool Changes'!$B:$B, $A115 &amp; " - " &amp; "*", INDEX(SUBSTITUTE('Pool Changes'!$G:$G, "±", "")*1,0), G$1) - 1</f>
        <v>3</v>
      </c>
      <c r="H115" s="150">
        <f t="array" ref="H115">COUNTIFS('Pool Changes'!$B:$B, $A115 &amp; " - " &amp; "*", INDEX(SUBSTITUTE('Pool Changes'!$G:$G, "±", "")*1,0), H$1)</f>
        <v>1</v>
      </c>
      <c r="I115" s="150">
        <f t="array" ref="I115">COUNTIFS('Pool Changes'!$B:$B, $A115 &amp; " - " &amp; "*", INDEX(SUBSTITUTE('Pool Changes'!$G:$G, "±", "")*1,0), I$1)</f>
        <v>1</v>
      </c>
      <c r="J115" s="150">
        <f t="array" ref="J115">COUNTIFS('Pool Changes'!$B:$B, $A115 &amp; " - " &amp; "*", INDEX(SUBSTITUTE('Pool Changes'!$G:$G, "±", "")*1,0), J$1)</f>
        <v>0</v>
      </c>
      <c r="K115" s="150">
        <f t="shared" si="2"/>
        <v>11</v>
      </c>
    </row>
    <row r="116">
      <c r="A116" s="104" t="s">
        <v>5551</v>
      </c>
      <c r="B116" s="104" t="s">
        <v>6170</v>
      </c>
      <c r="C116" s="150">
        <f t="shared" si="1"/>
        <v>0.375</v>
      </c>
      <c r="D116" s="150">
        <f t="array" ref="D116">COUNTIFS('Pool Changes'!$B:$B, $A116 &amp; " - " &amp; "*", INDEX(SUBSTITUTE('Pool Changes'!$G:$G, "±", "")*1,0), D$1)</f>
        <v>0</v>
      </c>
      <c r="E116" s="150">
        <f t="array" ref="E116">COUNTIFS('Pool Changes'!$B:$B, $A116 &amp; " - " &amp; "*", INDEX(SUBSTITUTE('Pool Changes'!$G:$G, "±", "")*1,0), E$1)</f>
        <v>2</v>
      </c>
      <c r="F116" s="150">
        <f t="array" ref="F116">COUNTIFS('Pool Changes'!$B:$B, $A116 &amp; " - " &amp; "*", INDEX(SUBSTITUTE('Pool Changes'!$G:$G, "±", "")*1,0), F$1)</f>
        <v>4</v>
      </c>
      <c r="G116" s="150">
        <f t="array" ref="G116">COUNTIFS('Pool Changes'!$B:$B, $A116 &amp; " - " &amp; "*", INDEX(SUBSTITUTE('Pool Changes'!$G:$G, "±", "")*1,0), G$1) - 1</f>
        <v>3</v>
      </c>
      <c r="H116" s="150">
        <f t="array" ref="H116">COUNTIFS('Pool Changes'!$B:$B, $A116 &amp; " - " &amp; "*", INDEX(SUBSTITUTE('Pool Changes'!$G:$G, "±", "")*1,0), H$1)</f>
        <v>1</v>
      </c>
      <c r="I116" s="150">
        <f t="array" ref="I116">COUNTIFS('Pool Changes'!$B:$B, $A116 &amp; " - " &amp; "*", INDEX(SUBSTITUTE('Pool Changes'!$G:$G, "±", "")*1,0), I$1)</f>
        <v>1</v>
      </c>
      <c r="J116" s="150">
        <f t="array" ref="J116">COUNTIFS('Pool Changes'!$B:$B, $A116 &amp; " - " &amp; "*", INDEX(SUBSTITUTE('Pool Changes'!$G:$G, "±", "")*1,0), J$1)</f>
        <v>0</v>
      </c>
      <c r="K116" s="150">
        <f t="shared" si="2"/>
        <v>11</v>
      </c>
    </row>
    <row r="117">
      <c r="A117" s="104" t="s">
        <v>5608</v>
      </c>
      <c r="B117" s="104" t="s">
        <v>6185</v>
      </c>
      <c r="C117" s="150">
        <f t="shared" si="1"/>
        <v>0.3529411765</v>
      </c>
      <c r="D117" s="150">
        <f t="array" ref="D117">COUNTIFS('Pool Changes'!$B:$B, $A117 &amp; " - " &amp; "*", INDEX(SUBSTITUTE('Pool Changes'!$G:$G, "±", "")*1,0), D$1)</f>
        <v>1</v>
      </c>
      <c r="E117" s="150">
        <f t="array" ref="E117">COUNTIFS('Pool Changes'!$B:$B, $A117 &amp; " - " &amp; "*", INDEX(SUBSTITUTE('Pool Changes'!$G:$G, "±", "")*1,0), E$1)</f>
        <v>3</v>
      </c>
      <c r="F117" s="150">
        <f t="array" ref="F117">COUNTIFS('Pool Changes'!$B:$B, $A117 &amp; " - " &amp; "*", INDEX(SUBSTITUTE('Pool Changes'!$G:$G, "±", "")*1,0), F$1)</f>
        <v>2</v>
      </c>
      <c r="G117" s="150">
        <f t="array" ref="G117">COUNTIFS('Pool Changes'!$B:$B, $A117 &amp; " - " &amp; "*", INDEX(SUBSTITUTE('Pool Changes'!$G:$G, "±", "")*1,0), G$1) - 1</f>
        <v>3</v>
      </c>
      <c r="H117" s="150">
        <f t="array" ref="H117">COUNTIFS('Pool Changes'!$B:$B, $A117 &amp; " - " &amp; "*", INDEX(SUBSTITUTE('Pool Changes'!$G:$G, "±", "")*1,0), H$1)</f>
        <v>1</v>
      </c>
      <c r="I117" s="150">
        <f t="array" ref="I117">COUNTIFS('Pool Changes'!$B:$B, $A117 &amp; " - " &amp; "*", INDEX(SUBSTITUTE('Pool Changes'!$G:$G, "±", "")*1,0), I$1)</f>
        <v>1</v>
      </c>
      <c r="J117" s="150">
        <f t="array" ref="J117">COUNTIFS('Pool Changes'!$B:$B, $A117 &amp; " - " &amp; "*", INDEX(SUBSTITUTE('Pool Changes'!$G:$G, "±", "")*1,0), J$1)</f>
        <v>0</v>
      </c>
      <c r="K117" s="150">
        <f t="shared" si="2"/>
        <v>11</v>
      </c>
    </row>
    <row r="118">
      <c r="A118" s="104" t="s">
        <v>5670</v>
      </c>
      <c r="B118" s="104" t="s">
        <v>6185</v>
      </c>
      <c r="C118" s="150">
        <f t="shared" si="1"/>
        <v>0.3529411765</v>
      </c>
      <c r="D118" s="150">
        <f t="array" ref="D118">COUNTIFS('Pool Changes'!$B:$B, $A118 &amp; " - " &amp; "*", INDEX(SUBSTITUTE('Pool Changes'!$G:$G, "±", "")*1,0), D$1)</f>
        <v>0</v>
      </c>
      <c r="E118" s="150">
        <f t="array" ref="E118">COUNTIFS('Pool Changes'!$B:$B, $A118 &amp; " - " &amp; "*", INDEX(SUBSTITUTE('Pool Changes'!$G:$G, "±", "")*1,0), E$1)</f>
        <v>2</v>
      </c>
      <c r="F118" s="150">
        <f t="array" ref="F118">COUNTIFS('Pool Changes'!$B:$B, $A118 &amp; " - " &amp; "*", INDEX(SUBSTITUTE('Pool Changes'!$G:$G, "±", "")*1,0), F$1)</f>
        <v>0</v>
      </c>
      <c r="G118" s="150">
        <f t="array" ref="G118">COUNTIFS('Pool Changes'!$B:$B, $A118 &amp; " - " &amp; "*", INDEX(SUBSTITUTE('Pool Changes'!$G:$G, "±", "")*1,0), G$1) - 1</f>
        <v>4</v>
      </c>
      <c r="H118" s="150">
        <f t="array" ref="H118">COUNTIFS('Pool Changes'!$B:$B, $A118 &amp; " - " &amp; "*", INDEX(SUBSTITUTE('Pool Changes'!$G:$G, "±", "")*1,0), H$1)</f>
        <v>1</v>
      </c>
      <c r="I118" s="150">
        <f t="array" ref="I118">COUNTIFS('Pool Changes'!$B:$B, $A118 &amp; " - " &amp; "*", INDEX(SUBSTITUTE('Pool Changes'!$G:$G, "±", "")*1,0), I$1)</f>
        <v>0</v>
      </c>
      <c r="J118" s="150">
        <f t="array" ref="J118">COUNTIFS('Pool Changes'!$B:$B, $A118 &amp; " - " &amp; "*", INDEX(SUBSTITUTE('Pool Changes'!$G:$G, "±", "")*1,0), J$1)</f>
        <v>4</v>
      </c>
      <c r="K118" s="150">
        <f t="shared" si="2"/>
        <v>11</v>
      </c>
    </row>
    <row r="119">
      <c r="A119" s="104" t="s">
        <v>5532</v>
      </c>
      <c r="B119" s="104" t="s">
        <v>6185</v>
      </c>
      <c r="C119" s="150">
        <f t="shared" si="1"/>
        <v>0.3529411765</v>
      </c>
      <c r="D119" s="150">
        <f t="array" ref="D119">COUNTIFS('Pool Changes'!$B:$B, $A119 &amp; " - " &amp; "*", INDEX(SUBSTITUTE('Pool Changes'!$G:$G, "±", "")*1,0), D$1)</f>
        <v>0</v>
      </c>
      <c r="E119" s="150">
        <f t="array" ref="E119">COUNTIFS('Pool Changes'!$B:$B, $A119 &amp; " - " &amp; "*", INDEX(SUBSTITUTE('Pool Changes'!$G:$G, "±", "")*1,0), E$1)</f>
        <v>0</v>
      </c>
      <c r="F119" s="150">
        <f t="array" ref="F119">COUNTIFS('Pool Changes'!$B:$B, $A119 &amp; " - " &amp; "*", INDEX(SUBSTITUTE('Pool Changes'!$G:$G, "±", "")*1,0), F$1)</f>
        <v>3</v>
      </c>
      <c r="G119" s="150">
        <f t="array" ref="G119">COUNTIFS('Pool Changes'!$B:$B, $A119 &amp; " - " &amp; "*", INDEX(SUBSTITUTE('Pool Changes'!$G:$G, "±", "")*1,0), G$1) - 1</f>
        <v>5</v>
      </c>
      <c r="H119" s="150">
        <f t="array" ref="H119">COUNTIFS('Pool Changes'!$B:$B, $A119 &amp; " - " &amp; "*", INDEX(SUBSTITUTE('Pool Changes'!$G:$G, "±", "")*1,0), H$1)</f>
        <v>1</v>
      </c>
      <c r="I119" s="150">
        <f t="array" ref="I119">COUNTIFS('Pool Changes'!$B:$B, $A119 &amp; " - " &amp; "*", INDEX(SUBSTITUTE('Pool Changes'!$G:$G, "±", "")*1,0), I$1)</f>
        <v>2</v>
      </c>
      <c r="J119" s="150">
        <f t="array" ref="J119">COUNTIFS('Pool Changes'!$B:$B, $A119 &amp; " - " &amp; "*", INDEX(SUBSTITUTE('Pool Changes'!$G:$G, "±", "")*1,0), J$1)</f>
        <v>0</v>
      </c>
      <c r="K119" s="150">
        <f t="shared" si="2"/>
        <v>11</v>
      </c>
    </row>
    <row r="120">
      <c r="A120" s="104" t="s">
        <v>5562</v>
      </c>
      <c r="B120" s="104" t="s">
        <v>6199</v>
      </c>
      <c r="C120" s="150">
        <f t="shared" si="1"/>
        <v>0.3846153846</v>
      </c>
      <c r="D120" s="150">
        <f t="array" ref="D120">COUNTIFS('Pool Changes'!$B:$B, $A120 &amp; " - " &amp; "*", INDEX(SUBSTITUTE('Pool Changes'!$G:$G, "±", "")*1,0), D$1)</f>
        <v>0</v>
      </c>
      <c r="E120" s="150">
        <f t="array" ref="E120">COUNTIFS('Pool Changes'!$B:$B, $A120 &amp; " - " &amp; "*", INDEX(SUBSTITUTE('Pool Changes'!$G:$G, "±", "")*1,0), E$1)</f>
        <v>2</v>
      </c>
      <c r="F120" s="150">
        <f t="array" ref="F120">COUNTIFS('Pool Changes'!$B:$B, $A120 &amp; " - " &amp; "*", INDEX(SUBSTITUTE('Pool Changes'!$G:$G, "±", "")*1,0), F$1)</f>
        <v>2</v>
      </c>
      <c r="G120" s="150">
        <f t="array" ref="G120">COUNTIFS('Pool Changes'!$B:$B, $A120 &amp; " - " &amp; "*", INDEX(SUBSTITUTE('Pool Changes'!$G:$G, "±", "")*1,0), G$1) - 1</f>
        <v>4</v>
      </c>
      <c r="H120" s="150">
        <f t="array" ref="H120">COUNTIFS('Pool Changes'!$B:$B, $A120 &amp; " - " &amp; "*", INDEX(SUBSTITUTE('Pool Changes'!$G:$G, "±", "")*1,0), H$1)</f>
        <v>0</v>
      </c>
      <c r="I120" s="150">
        <f t="array" ref="I120">COUNTIFS('Pool Changes'!$B:$B, $A120 &amp; " - " &amp; "*", INDEX(SUBSTITUTE('Pool Changes'!$G:$G, "±", "")*1,0), I$1)</f>
        <v>0</v>
      </c>
      <c r="J120" s="150">
        <f t="array" ref="J120">COUNTIFS('Pool Changes'!$B:$B, $A120 &amp; " - " &amp; "*", INDEX(SUBSTITUTE('Pool Changes'!$G:$G, "±", "")*1,0), J$1)</f>
        <v>1</v>
      </c>
      <c r="K120" s="150">
        <f t="shared" si="2"/>
        <v>9</v>
      </c>
    </row>
    <row r="121">
      <c r="A121" s="104" t="s">
        <v>5733</v>
      </c>
      <c r="B121" s="104" t="s">
        <v>6201</v>
      </c>
      <c r="C121" s="150">
        <f t="shared" si="1"/>
        <v>0.3571428571</v>
      </c>
      <c r="D121" s="150">
        <f t="array" ref="D121">COUNTIFS('Pool Changes'!$B:$B, $A121 &amp; " - " &amp; "*", INDEX(SUBSTITUTE('Pool Changes'!$G:$G, "±", "")*1,0), D$1)</f>
        <v>2</v>
      </c>
      <c r="E121" s="150">
        <f t="array" ref="E121">COUNTIFS('Pool Changes'!$B:$B, $A121 &amp; " - " &amp; "*", INDEX(SUBSTITUTE('Pool Changes'!$G:$G, "±", "")*1,0), E$1)</f>
        <v>0</v>
      </c>
      <c r="F121" s="150">
        <f t="array" ref="F121">COUNTIFS('Pool Changes'!$B:$B, $A121 &amp; " - " &amp; "*", INDEX(SUBSTITUTE('Pool Changes'!$G:$G, "±", "")*1,0), F$1)</f>
        <v>2</v>
      </c>
      <c r="G121" s="150">
        <f t="array" ref="G121">COUNTIFS('Pool Changes'!$B:$B, $A121 &amp; " - " &amp; "*", INDEX(SUBSTITUTE('Pool Changes'!$G:$G, "±", "")*1,0), G$1) - 1</f>
        <v>4</v>
      </c>
      <c r="H121" s="150">
        <f t="array" ref="H121">COUNTIFS('Pool Changes'!$B:$B, $A121 &amp; " - " &amp; "*", INDEX(SUBSTITUTE('Pool Changes'!$G:$G, "±", "")*1,0), H$1)</f>
        <v>0</v>
      </c>
      <c r="I121" s="150">
        <f t="array" ref="I121">COUNTIFS('Pool Changes'!$B:$B, $A121 &amp; " - " &amp; "*", INDEX(SUBSTITUTE('Pool Changes'!$G:$G, "±", "")*1,0), I$1)</f>
        <v>0</v>
      </c>
      <c r="J121" s="150">
        <f t="array" ref="J121">COUNTIFS('Pool Changes'!$B:$B, $A121 &amp; " - " &amp; "*", INDEX(SUBSTITUTE('Pool Changes'!$G:$G, "±", "")*1,0), J$1)</f>
        <v>1</v>
      </c>
      <c r="K121" s="150">
        <f t="shared" si="2"/>
        <v>9</v>
      </c>
    </row>
    <row r="122">
      <c r="A122" s="104" t="s">
        <v>5555</v>
      </c>
      <c r="B122" s="104" t="s">
        <v>6204</v>
      </c>
      <c r="C122" s="150">
        <f t="shared" si="1"/>
        <v>0.3125</v>
      </c>
      <c r="D122" s="150">
        <f t="array" ref="D122">COUNTIFS('Pool Changes'!$B:$B, $A122 &amp; " - " &amp; "*", INDEX(SUBSTITUTE('Pool Changes'!$G:$G, "±", "")*1,0), D$1)</f>
        <v>3</v>
      </c>
      <c r="E122" s="150">
        <f t="array" ref="E122">COUNTIFS('Pool Changes'!$B:$B, $A122 &amp; " - " &amp; "*", INDEX(SUBSTITUTE('Pool Changes'!$G:$G, "±", "")*1,0), E$1)</f>
        <v>0</v>
      </c>
      <c r="F122" s="150">
        <f t="array" ref="F122">COUNTIFS('Pool Changes'!$B:$B, $A122 &amp; " - " &amp; "*", INDEX(SUBSTITUTE('Pool Changes'!$G:$G, "±", "")*1,0), F$1)</f>
        <v>0</v>
      </c>
      <c r="G122" s="150">
        <f t="array" ref="G122">COUNTIFS('Pool Changes'!$B:$B, $A122 &amp; " - " &amp; "*", INDEX(SUBSTITUTE('Pool Changes'!$G:$G, "±", "")*1,0), G$1) - 1</f>
        <v>5</v>
      </c>
      <c r="H122" s="150">
        <f t="array" ref="H122">COUNTIFS('Pool Changes'!$B:$B, $A122 &amp; " - " &amp; "*", INDEX(SUBSTITUTE('Pool Changes'!$G:$G, "±", "")*1,0), H$1)</f>
        <v>0</v>
      </c>
      <c r="I122" s="150">
        <f t="array" ref="I122">COUNTIFS('Pool Changes'!$B:$B, $A122 &amp; " - " &amp; "*", INDEX(SUBSTITUTE('Pool Changes'!$G:$G, "±", "")*1,0), I$1)</f>
        <v>3</v>
      </c>
      <c r="J122" s="150">
        <f t="array" ref="J122">COUNTIFS('Pool Changes'!$B:$B, $A122 &amp; " - " &amp; "*", INDEX(SUBSTITUTE('Pool Changes'!$G:$G, "±", "")*1,0), J$1)</f>
        <v>0</v>
      </c>
      <c r="K122" s="150">
        <f t="shared" si="2"/>
        <v>11</v>
      </c>
    </row>
    <row r="123">
      <c r="A123" s="104" t="s">
        <v>5501</v>
      </c>
      <c r="B123" s="104" t="s">
        <v>6204</v>
      </c>
      <c r="C123" s="150">
        <f t="shared" si="1"/>
        <v>0.3125</v>
      </c>
      <c r="D123" s="150">
        <f t="array" ref="D123">COUNTIFS('Pool Changes'!$B:$B, $A123 &amp; " - " &amp; "*", INDEX(SUBSTITUTE('Pool Changes'!$G:$G, "±", "")*1,0), D$1)</f>
        <v>2</v>
      </c>
      <c r="E123" s="150">
        <f t="array" ref="E123">COUNTIFS('Pool Changes'!$B:$B, $A123 &amp; " - " &amp; "*", INDEX(SUBSTITUTE('Pool Changes'!$G:$G, "±", "")*1,0), E$1)</f>
        <v>0</v>
      </c>
      <c r="F123" s="150">
        <f t="array" ref="F123">COUNTIFS('Pool Changes'!$B:$B, $A123 &amp; " - " &amp; "*", INDEX(SUBSTITUTE('Pool Changes'!$G:$G, "±", "")*1,0), F$1)</f>
        <v>3</v>
      </c>
      <c r="G123" s="150">
        <f t="array" ref="G123">COUNTIFS('Pool Changes'!$B:$B, $A123 &amp; " - " &amp; "*", INDEX(SUBSTITUTE('Pool Changes'!$G:$G, "±", "")*1,0), G$1) - 1</f>
        <v>5</v>
      </c>
      <c r="H123" s="150">
        <f t="array" ref="H123">COUNTIFS('Pool Changes'!$B:$B, $A123 &amp; " - " &amp; "*", INDEX(SUBSTITUTE('Pool Changes'!$G:$G, "±", "")*1,0), H$1)</f>
        <v>0</v>
      </c>
      <c r="I123" s="150">
        <f t="array" ref="I123">COUNTIFS('Pool Changes'!$B:$B, $A123 &amp; " - " &amp; "*", INDEX(SUBSTITUTE('Pool Changes'!$G:$G, "±", "")*1,0), I$1)</f>
        <v>0</v>
      </c>
      <c r="J123" s="150">
        <f t="array" ref="J123">COUNTIFS('Pool Changes'!$B:$B, $A123 &amp; " - " &amp; "*", INDEX(SUBSTITUTE('Pool Changes'!$G:$G, "±", "")*1,0), J$1)</f>
        <v>1</v>
      </c>
      <c r="K123" s="150">
        <f t="shared" si="2"/>
        <v>11</v>
      </c>
    </row>
    <row r="124">
      <c r="A124" s="104" t="s">
        <v>5723</v>
      </c>
      <c r="B124" s="104" t="s">
        <v>6211</v>
      </c>
      <c r="C124" s="150">
        <f t="shared" si="1"/>
        <v>0.3076923077</v>
      </c>
      <c r="D124" s="150">
        <f t="array" ref="D124">COUNTIFS('Pool Changes'!$B:$B, $A124 &amp; " - " &amp; "*", INDEX(SUBSTITUTE('Pool Changes'!$G:$G, "±", "")*1,0), D$1)</f>
        <v>2</v>
      </c>
      <c r="E124" s="150">
        <f t="array" ref="E124">COUNTIFS('Pool Changes'!$B:$B, $A124 &amp; " - " &amp; "*", INDEX(SUBSTITUTE('Pool Changes'!$G:$G, "±", "")*1,0), E$1)</f>
        <v>0</v>
      </c>
      <c r="F124" s="150">
        <f t="array" ref="F124">COUNTIFS('Pool Changes'!$B:$B, $A124 &amp; " - " &amp; "*", INDEX(SUBSTITUTE('Pool Changes'!$G:$G, "±", "")*1,0), F$1)</f>
        <v>1</v>
      </c>
      <c r="G124" s="150">
        <f t="array" ref="G124">COUNTIFS('Pool Changes'!$B:$B, $A124 &amp; " - " &amp; "*", INDEX(SUBSTITUTE('Pool Changes'!$G:$G, "±", "")*1,0), G$1) - 1</f>
        <v>2</v>
      </c>
      <c r="H124" s="150">
        <f t="array" ref="H124">COUNTIFS('Pool Changes'!$B:$B, $A124 &amp; " - " &amp; "*", INDEX(SUBSTITUTE('Pool Changes'!$G:$G, "±", "")*1,0), H$1)</f>
        <v>1</v>
      </c>
      <c r="I124" s="150">
        <f t="array" ref="I124">COUNTIFS('Pool Changes'!$B:$B, $A124 &amp; " - " &amp; "*", INDEX(SUBSTITUTE('Pool Changes'!$G:$G, "±", "")*1,0), I$1)</f>
        <v>0</v>
      </c>
      <c r="J124" s="150">
        <f t="array" ref="J124">COUNTIFS('Pool Changes'!$B:$B, $A124 &amp; " - " &amp; "*", INDEX(SUBSTITUTE('Pool Changes'!$G:$G, "±", "")*1,0), J$1)</f>
        <v>0</v>
      </c>
      <c r="K124" s="150">
        <f t="shared" si="2"/>
        <v>6</v>
      </c>
    </row>
    <row r="125">
      <c r="A125" s="104" t="s">
        <v>5595</v>
      </c>
      <c r="B125" s="104" t="s">
        <v>6211</v>
      </c>
      <c r="C125" s="150">
        <f t="shared" si="1"/>
        <v>0.3076923077</v>
      </c>
      <c r="D125" s="150">
        <f t="array" ref="D125">COUNTIFS('Pool Changes'!$B:$B, $A125 &amp; " - " &amp; "*", INDEX(SUBSTITUTE('Pool Changes'!$G:$G, "±", "")*1,0), D$1)</f>
        <v>0</v>
      </c>
      <c r="E125" s="150">
        <f t="array" ref="E125">COUNTIFS('Pool Changes'!$B:$B, $A125 &amp; " - " &amp; "*", INDEX(SUBSTITUTE('Pool Changes'!$G:$G, "±", "")*1,0), E$1)</f>
        <v>0</v>
      </c>
      <c r="F125" s="150">
        <f t="array" ref="F125">COUNTIFS('Pool Changes'!$B:$B, $A125 &amp; " - " &amp; "*", INDEX(SUBSTITUTE('Pool Changes'!$G:$G, "±", "")*1,0), F$1)</f>
        <v>0</v>
      </c>
      <c r="G125" s="150">
        <f t="array" ref="G125">COUNTIFS('Pool Changes'!$B:$B, $A125 &amp; " - " &amp; "*", INDEX(SUBSTITUTE('Pool Changes'!$G:$G, "±", "")*1,0), G$1) - 1</f>
        <v>2</v>
      </c>
      <c r="H125" s="150">
        <f t="array" ref="H125">COUNTIFS('Pool Changes'!$B:$B, $A125 &amp; " - " &amp; "*", INDEX(SUBSTITUTE('Pool Changes'!$G:$G, "±", "")*1,0), H$1)</f>
        <v>1</v>
      </c>
      <c r="I125" s="150">
        <f t="array" ref="I125">COUNTIFS('Pool Changes'!$B:$B, $A125 &amp; " - " &amp; "*", INDEX(SUBSTITUTE('Pool Changes'!$G:$G, "±", "")*1,0), I$1)</f>
        <v>2</v>
      </c>
      <c r="J125" s="150">
        <f t="array" ref="J125">COUNTIFS('Pool Changes'!$B:$B, $A125 &amp; " - " &amp; "*", INDEX(SUBSTITUTE('Pool Changes'!$G:$G, "±", "")*1,0), J$1)</f>
        <v>1</v>
      </c>
      <c r="K125" s="150">
        <f t="shared" si="2"/>
        <v>6</v>
      </c>
    </row>
    <row r="126">
      <c r="A126" s="104" t="s">
        <v>5582</v>
      </c>
      <c r="B126" s="104" t="s">
        <v>6218</v>
      </c>
      <c r="C126" s="150">
        <f t="shared" si="1"/>
        <v>0.2857142857</v>
      </c>
      <c r="D126" s="150">
        <f t="array" ref="D126">COUNTIFS('Pool Changes'!$B:$B, $A126 &amp; " - " &amp; "*", INDEX(SUBSTITUTE('Pool Changes'!$G:$G, "±", "")*1,0), D$1)</f>
        <v>2</v>
      </c>
      <c r="E126" s="150">
        <f t="array" ref="E126">COUNTIFS('Pool Changes'!$B:$B, $A126 &amp; " - " &amp; "*", INDEX(SUBSTITUTE('Pool Changes'!$G:$G, "±", "")*1,0), E$1)</f>
        <v>0</v>
      </c>
      <c r="F126" s="150">
        <f t="array" ref="F126">COUNTIFS('Pool Changes'!$B:$B, $A126 &amp; " - " &amp; "*", INDEX(SUBSTITUTE('Pool Changes'!$G:$G, "±", "")*1,0), F$1)</f>
        <v>0</v>
      </c>
      <c r="G126" s="150">
        <f t="array" ref="G126">COUNTIFS('Pool Changes'!$B:$B, $A126 &amp; " - " &amp; "*", INDEX(SUBSTITUTE('Pool Changes'!$G:$G, "±", "")*1,0), G$1) - 1</f>
        <v>5</v>
      </c>
      <c r="H126" s="150">
        <f t="array" ref="H126">COUNTIFS('Pool Changes'!$B:$B, $A126 &amp; " - " &amp; "*", INDEX(SUBSTITUTE('Pool Changes'!$G:$G, "±", "")*1,0), H$1)</f>
        <v>1</v>
      </c>
      <c r="I126" s="150">
        <f t="array" ref="I126">COUNTIFS('Pool Changes'!$B:$B, $A126 &amp; " - " &amp; "*", INDEX(SUBSTITUTE('Pool Changes'!$G:$G, "±", "")*1,0), I$1)</f>
        <v>1</v>
      </c>
      <c r="J126" s="150">
        <f t="array" ref="J126">COUNTIFS('Pool Changes'!$B:$B, $A126 &amp; " - " &amp; "*", INDEX(SUBSTITUTE('Pool Changes'!$G:$G, "±", "")*1,0), J$1)</f>
        <v>2</v>
      </c>
      <c r="K126" s="150">
        <f t="shared" si="2"/>
        <v>11</v>
      </c>
    </row>
    <row r="127">
      <c r="A127" s="104" t="s">
        <v>5729</v>
      </c>
      <c r="B127" s="104" t="s">
        <v>6223</v>
      </c>
      <c r="C127" s="150">
        <f t="shared" si="1"/>
        <v>0.2666666667</v>
      </c>
      <c r="D127" s="150">
        <f t="array" ref="D127">COUNTIFS('Pool Changes'!$B:$B, $A127 &amp; " - " &amp; "*", INDEX(SUBSTITUTE('Pool Changes'!$G:$G, "±", "")*1,0), D$1)</f>
        <v>2</v>
      </c>
      <c r="E127" s="150">
        <f t="array" ref="E127">COUNTIFS('Pool Changes'!$B:$B, $A127 &amp; " - " &amp; "*", INDEX(SUBSTITUTE('Pool Changes'!$G:$G, "±", "")*1,0), E$1)</f>
        <v>2</v>
      </c>
      <c r="F127" s="150">
        <f t="array" ref="F127">COUNTIFS('Pool Changes'!$B:$B, $A127 &amp; " - " &amp; "*", INDEX(SUBSTITUTE('Pool Changes'!$G:$G, "±", "")*1,0), F$1)</f>
        <v>2</v>
      </c>
      <c r="G127" s="150">
        <f t="array" ref="G127">COUNTIFS('Pool Changes'!$B:$B, $A127 &amp; " - " &amp; "*", INDEX(SUBSTITUTE('Pool Changes'!$G:$G, "±", "")*1,0), G$1) - 1</f>
        <v>5</v>
      </c>
      <c r="H127" s="150">
        <f t="array" ref="H127">COUNTIFS('Pool Changes'!$B:$B, $A127 &amp; " - " &amp; "*", INDEX(SUBSTITUTE('Pool Changes'!$G:$G, "±", "")*1,0), H$1)</f>
        <v>0</v>
      </c>
      <c r="I127" s="150">
        <f t="array" ref="I127">COUNTIFS('Pool Changes'!$B:$B, $A127 &amp; " - " &amp; "*", INDEX(SUBSTITUTE('Pool Changes'!$G:$G, "±", "")*1,0), I$1)</f>
        <v>0</v>
      </c>
      <c r="J127" s="150">
        <f t="array" ref="J127">COUNTIFS('Pool Changes'!$B:$B, $A127 &amp; " - " &amp; "*", INDEX(SUBSTITUTE('Pool Changes'!$G:$G, "±", "")*1,0), J$1)</f>
        <v>0</v>
      </c>
      <c r="K127" s="150">
        <f t="shared" si="2"/>
        <v>11</v>
      </c>
    </row>
    <row r="128">
      <c r="A128" s="104" t="s">
        <v>5508</v>
      </c>
      <c r="B128" s="104" t="s">
        <v>6223</v>
      </c>
      <c r="C128" s="150">
        <f t="shared" si="1"/>
        <v>0.2666666667</v>
      </c>
      <c r="D128" s="150">
        <f t="array" ref="D128">COUNTIFS('Pool Changes'!$B:$B, $A128 &amp; " - " &amp; "*", INDEX(SUBSTITUTE('Pool Changes'!$G:$G, "±", "")*1,0), D$1)</f>
        <v>0</v>
      </c>
      <c r="E128" s="150">
        <f t="array" ref="E128">COUNTIFS('Pool Changes'!$B:$B, $A128 &amp; " - " &amp; "*", INDEX(SUBSTITUTE('Pool Changes'!$G:$G, "±", "")*1,0), E$1)</f>
        <v>1</v>
      </c>
      <c r="F128" s="150">
        <f t="array" ref="F128">COUNTIFS('Pool Changes'!$B:$B, $A128 &amp; " - " &amp; "*", INDEX(SUBSTITUTE('Pool Changes'!$G:$G, "±", "")*1,0), F$1)</f>
        <v>3</v>
      </c>
      <c r="G128" s="150">
        <f t="array" ref="G128">COUNTIFS('Pool Changes'!$B:$B, $A128 &amp; " - " &amp; "*", INDEX(SUBSTITUTE('Pool Changes'!$G:$G, "±", "")*1,0), G$1) - 1</f>
        <v>5</v>
      </c>
      <c r="H128" s="150">
        <f t="array" ref="H128">COUNTIFS('Pool Changes'!$B:$B, $A128 &amp; " - " &amp; "*", INDEX(SUBSTITUTE('Pool Changes'!$G:$G, "±", "")*1,0), H$1)</f>
        <v>0</v>
      </c>
      <c r="I128" s="150">
        <f t="array" ref="I128">COUNTIFS('Pool Changes'!$B:$B, $A128 &amp; " - " &amp; "*", INDEX(SUBSTITUTE('Pool Changes'!$G:$G, "±", "")*1,0), I$1)</f>
        <v>1</v>
      </c>
      <c r="J128" s="150">
        <f t="array" ref="J128">COUNTIFS('Pool Changes'!$B:$B, $A128 &amp; " - " &amp; "*", INDEX(SUBSTITUTE('Pool Changes'!$G:$G, "±", "")*1,0), J$1)</f>
        <v>1</v>
      </c>
      <c r="K128" s="150">
        <f t="shared" si="2"/>
        <v>11</v>
      </c>
    </row>
    <row r="129">
      <c r="A129" s="104" t="s">
        <v>5620</v>
      </c>
      <c r="B129" s="104" t="s">
        <v>6223</v>
      </c>
      <c r="C129" s="150">
        <f t="shared" si="1"/>
        <v>0.2666666667</v>
      </c>
      <c r="D129" s="150">
        <f t="array" ref="D129">COUNTIFS('Pool Changes'!$B:$B, $A129 &amp; " - " &amp; "*", INDEX(SUBSTITUTE('Pool Changes'!$G:$G, "±", "")*1,0), D$1)</f>
        <v>0</v>
      </c>
      <c r="E129" s="150">
        <f t="array" ref="E129">COUNTIFS('Pool Changes'!$B:$B, $A129 &amp; " - " &amp; "*", INDEX(SUBSTITUTE('Pool Changes'!$G:$G, "±", "")*1,0), E$1)</f>
        <v>2</v>
      </c>
      <c r="F129" s="150">
        <f t="array" ref="F129">COUNTIFS('Pool Changes'!$B:$B, $A129 &amp; " - " &amp; "*", INDEX(SUBSTITUTE('Pool Changes'!$G:$G, "±", "")*1,0), F$1)</f>
        <v>0</v>
      </c>
      <c r="G129" s="150">
        <f t="array" ref="G129">COUNTIFS('Pool Changes'!$B:$B, $A129 &amp; " - " &amp; "*", INDEX(SUBSTITUTE('Pool Changes'!$G:$G, "±", "")*1,0), G$1) - 1</f>
        <v>3</v>
      </c>
      <c r="H129" s="150">
        <f t="array" ref="H129">COUNTIFS('Pool Changes'!$B:$B, $A129 &amp; " - " &amp; "*", INDEX(SUBSTITUTE('Pool Changes'!$G:$G, "±", "")*1,0), H$1)</f>
        <v>2</v>
      </c>
      <c r="I129" s="150">
        <f t="array" ref="I129">COUNTIFS('Pool Changes'!$B:$B, $A129 &amp; " - " &amp; "*", INDEX(SUBSTITUTE('Pool Changes'!$G:$G, "±", "")*1,0), I$1)</f>
        <v>0</v>
      </c>
      <c r="J129" s="150">
        <f t="array" ref="J129">COUNTIFS('Pool Changes'!$B:$B, $A129 &amp; " - " &amp; "*", INDEX(SUBSTITUTE('Pool Changes'!$G:$G, "±", "")*1,0), J$1)</f>
        <v>4</v>
      </c>
      <c r="K129" s="150">
        <f t="shared" si="2"/>
        <v>11</v>
      </c>
    </row>
    <row r="130">
      <c r="A130" s="104" t="s">
        <v>5720</v>
      </c>
      <c r="B130" s="104" t="s">
        <v>6223</v>
      </c>
      <c r="C130" s="150">
        <f t="shared" si="1"/>
        <v>0.2666666667</v>
      </c>
      <c r="D130" s="150">
        <f t="array" ref="D130">COUNTIFS('Pool Changes'!$B:$B, $A130 &amp; " - " &amp; "*", INDEX(SUBSTITUTE('Pool Changes'!$G:$G, "±", "")*1,0), D$1)</f>
        <v>0</v>
      </c>
      <c r="E130" s="150">
        <f t="array" ref="E130">COUNTIFS('Pool Changes'!$B:$B, $A130 &amp; " - " &amp; "*", INDEX(SUBSTITUTE('Pool Changes'!$G:$G, "±", "")*1,0), E$1)</f>
        <v>0</v>
      </c>
      <c r="F130" s="150">
        <f t="array" ref="F130">COUNTIFS('Pool Changes'!$B:$B, $A130 &amp; " - " &amp; "*", INDEX(SUBSTITUTE('Pool Changes'!$G:$G, "±", "")*1,0), F$1)</f>
        <v>0</v>
      </c>
      <c r="G130" s="150">
        <f t="array" ref="G130">COUNTIFS('Pool Changes'!$B:$B, $A130 &amp; " - " &amp; "*", INDEX(SUBSTITUTE('Pool Changes'!$G:$G, "±", "")*1,0), G$1) - 1</f>
        <v>4</v>
      </c>
      <c r="H130" s="150">
        <f t="array" ref="H130">COUNTIFS('Pool Changes'!$B:$B, $A130 &amp; " - " &amp; "*", INDEX(SUBSTITUTE('Pool Changes'!$G:$G, "±", "")*1,0), H$1)</f>
        <v>4</v>
      </c>
      <c r="I130" s="150">
        <f t="array" ref="I130">COUNTIFS('Pool Changes'!$B:$B, $A130 &amp; " - " &amp; "*", INDEX(SUBSTITUTE('Pool Changes'!$G:$G, "±", "")*1,0), I$1)</f>
        <v>0</v>
      </c>
      <c r="J130" s="150">
        <f t="array" ref="J130">COUNTIFS('Pool Changes'!$B:$B, $A130 &amp; " - " &amp; "*", INDEX(SUBSTITUTE('Pool Changes'!$G:$G, "±", "")*1,0), J$1)</f>
        <v>3</v>
      </c>
      <c r="K130" s="150">
        <f t="shared" si="2"/>
        <v>11</v>
      </c>
    </row>
    <row r="131">
      <c r="A131" s="104" t="s">
        <v>5538</v>
      </c>
      <c r="B131" s="104" t="s">
        <v>6223</v>
      </c>
      <c r="C131" s="150">
        <f t="shared" si="1"/>
        <v>0.2666666667</v>
      </c>
      <c r="D131" s="150">
        <f t="array" ref="D131">COUNTIFS('Pool Changes'!$B:$B, $A131 &amp; " - " &amp; "*", INDEX(SUBSTITUTE('Pool Changes'!$G:$G, "±", "")*1,0), D$1)</f>
        <v>0</v>
      </c>
      <c r="E131" s="150">
        <f t="array" ref="E131">COUNTIFS('Pool Changes'!$B:$B, $A131 &amp; " - " &amp; "*", INDEX(SUBSTITUTE('Pool Changes'!$G:$G, "±", "")*1,0), E$1)</f>
        <v>1</v>
      </c>
      <c r="F131" s="150">
        <f t="array" ref="F131">COUNTIFS('Pool Changes'!$B:$B, $A131 &amp; " - " &amp; "*", INDEX(SUBSTITUTE('Pool Changes'!$G:$G, "±", "")*1,0), F$1)</f>
        <v>1</v>
      </c>
      <c r="G131" s="150">
        <f t="array" ref="G131">COUNTIFS('Pool Changes'!$B:$B, $A131 &amp; " - " &amp; "*", INDEX(SUBSTITUTE('Pool Changes'!$G:$G, "±", "")*1,0), G$1) - 1</f>
        <v>5</v>
      </c>
      <c r="H131" s="150">
        <f t="array" ref="H131">COUNTIFS('Pool Changes'!$B:$B, $A131 &amp; " - " &amp; "*", INDEX(SUBSTITUTE('Pool Changes'!$G:$G, "±", "")*1,0), H$1)</f>
        <v>3</v>
      </c>
      <c r="I131" s="150">
        <f t="array" ref="I131">COUNTIFS('Pool Changes'!$B:$B, $A131 &amp; " - " &amp; "*", INDEX(SUBSTITUTE('Pool Changes'!$G:$G, "±", "")*1,0), I$1)</f>
        <v>0</v>
      </c>
      <c r="J131" s="150">
        <f t="array" ref="J131">COUNTIFS('Pool Changes'!$B:$B, $A131 &amp; " - " &amp; "*", INDEX(SUBSTITUTE('Pool Changes'!$G:$G, "±", "")*1,0), J$1)</f>
        <v>1</v>
      </c>
      <c r="K131" s="150">
        <f t="shared" si="2"/>
        <v>11</v>
      </c>
    </row>
    <row r="132">
      <c r="A132" s="104" t="s">
        <v>5649</v>
      </c>
      <c r="B132" s="104" t="s">
        <v>6223</v>
      </c>
      <c r="C132" s="150">
        <f t="shared" si="1"/>
        <v>0.2666666667</v>
      </c>
      <c r="D132" s="150">
        <f t="array" ref="D132">COUNTIFS('Pool Changes'!$B:$B, $A132 &amp; " - " &amp; "*", INDEX(SUBSTITUTE('Pool Changes'!$G:$G, "±", "")*1,0), D$1)</f>
        <v>0</v>
      </c>
      <c r="E132" s="150">
        <f t="array" ref="E132">COUNTIFS('Pool Changes'!$B:$B, $A132 &amp; " - " &amp; "*", INDEX(SUBSTITUTE('Pool Changes'!$G:$G, "±", "")*1,0), E$1)</f>
        <v>2</v>
      </c>
      <c r="F132" s="150">
        <f t="array" ref="F132">COUNTIFS('Pool Changes'!$B:$B, $A132 &amp; " - " &amp; "*", INDEX(SUBSTITUTE('Pool Changes'!$G:$G, "±", "")*1,0), F$1)</f>
        <v>0</v>
      </c>
      <c r="G132" s="150">
        <f t="array" ref="G132">COUNTIFS('Pool Changes'!$B:$B, $A132 &amp; " - " &amp; "*", INDEX(SUBSTITUTE('Pool Changes'!$G:$G, "±", "")*1,0), G$1) - 1</f>
        <v>4</v>
      </c>
      <c r="H132" s="150">
        <f t="array" ref="H132">COUNTIFS('Pool Changes'!$B:$B, $A132 &amp; " - " &amp; "*", INDEX(SUBSTITUTE('Pool Changes'!$G:$G, "±", "")*1,0), H$1)</f>
        <v>0</v>
      </c>
      <c r="I132" s="150">
        <f t="array" ref="I132">COUNTIFS('Pool Changes'!$B:$B, $A132 &amp; " - " &amp; "*", INDEX(SUBSTITUTE('Pool Changes'!$G:$G, "±", "")*1,0), I$1)</f>
        <v>1</v>
      </c>
      <c r="J132" s="150">
        <f t="array" ref="J132">COUNTIFS('Pool Changes'!$B:$B, $A132 &amp; " - " &amp; "*", INDEX(SUBSTITUTE('Pool Changes'!$G:$G, "±", "")*1,0), J$1)</f>
        <v>4</v>
      </c>
      <c r="K132" s="150">
        <f t="shared" si="2"/>
        <v>11</v>
      </c>
    </row>
    <row r="133">
      <c r="A133" s="104" t="s">
        <v>5651</v>
      </c>
      <c r="B133" s="104" t="s">
        <v>6223</v>
      </c>
      <c r="C133" s="150">
        <f t="shared" si="1"/>
        <v>0.2666666667</v>
      </c>
      <c r="D133" s="150">
        <f t="array" ref="D133">COUNTIFS('Pool Changes'!$B:$B, $A133 &amp; " - " &amp; "*", INDEX(SUBSTITUTE('Pool Changes'!$G:$G, "±", "")*1,0), D$1)</f>
        <v>1</v>
      </c>
      <c r="E133" s="150">
        <f t="array" ref="E133">COUNTIFS('Pool Changes'!$B:$B, $A133 &amp; " - " &amp; "*", INDEX(SUBSTITUTE('Pool Changes'!$G:$G, "±", "")*1,0), E$1)</f>
        <v>0</v>
      </c>
      <c r="F133" s="150">
        <f t="array" ref="F133">COUNTIFS('Pool Changes'!$B:$B, $A133 &amp; " - " &amp; "*", INDEX(SUBSTITUTE('Pool Changes'!$G:$G, "±", "")*1,0), F$1)</f>
        <v>0</v>
      </c>
      <c r="G133" s="150">
        <f t="array" ref="G133">COUNTIFS('Pool Changes'!$B:$B, $A133 &amp; " - " &amp; "*", INDEX(SUBSTITUTE('Pool Changes'!$G:$G, "±", "")*1,0), G$1) - 1</f>
        <v>5</v>
      </c>
      <c r="H133" s="150">
        <f t="array" ref="H133">COUNTIFS('Pool Changes'!$B:$B, $A133 &amp; " - " &amp; "*", INDEX(SUBSTITUTE('Pool Changes'!$G:$G, "±", "")*1,0), H$1)</f>
        <v>2</v>
      </c>
      <c r="I133" s="150">
        <f t="array" ref="I133">COUNTIFS('Pool Changes'!$B:$B, $A133 &amp; " - " &amp; "*", INDEX(SUBSTITUTE('Pool Changes'!$G:$G, "±", "")*1,0), I$1)</f>
        <v>3</v>
      </c>
      <c r="J133" s="150">
        <f t="array" ref="J133">COUNTIFS('Pool Changes'!$B:$B, $A133 &amp; " - " &amp; "*", INDEX(SUBSTITUTE('Pool Changes'!$G:$G, "±", "")*1,0), J$1)</f>
        <v>0</v>
      </c>
      <c r="K133" s="150">
        <f t="shared" si="2"/>
        <v>11</v>
      </c>
    </row>
    <row r="134">
      <c r="A134" s="104" t="s">
        <v>5432</v>
      </c>
      <c r="B134" s="104" t="s">
        <v>6246</v>
      </c>
      <c r="C134" s="150">
        <f t="shared" si="1"/>
        <v>0.2307692308</v>
      </c>
      <c r="D134" s="150">
        <f t="array" ref="D134">COUNTIFS('Pool Changes'!$B:$B, $A134 &amp; " - " &amp; "*", INDEX(SUBSTITUTE('Pool Changes'!$G:$G, "±", "")*1,0), D$1)</f>
        <v>0</v>
      </c>
      <c r="E134" s="150">
        <f t="array" ref="E134">COUNTIFS('Pool Changes'!$B:$B, $A134 &amp; " - " &amp; "*", INDEX(SUBSTITUTE('Pool Changes'!$G:$G, "±", "")*1,0), E$1)</f>
        <v>0</v>
      </c>
      <c r="F134" s="150">
        <f t="array" ref="F134">COUNTIFS('Pool Changes'!$B:$B, $A134 &amp; " - " &amp; "*", INDEX(SUBSTITUTE('Pool Changes'!$G:$G, "±", "")*1,0), F$1)</f>
        <v>0</v>
      </c>
      <c r="G134" s="150">
        <f t="array" ref="G134">COUNTIFS('Pool Changes'!$B:$B, $A134 &amp; " - " &amp; "*", INDEX(SUBSTITUTE('Pool Changes'!$G:$G, "±", "")*1,0), G$1) - 1</f>
        <v>3</v>
      </c>
      <c r="H134" s="150">
        <f t="array" ref="H134">COUNTIFS('Pool Changes'!$B:$B, $A134 &amp; " - " &amp; "*", INDEX(SUBSTITUTE('Pool Changes'!$G:$G, "±", "")*1,0), H$1)</f>
        <v>0</v>
      </c>
      <c r="I134" s="150">
        <f t="array" ref="I134">COUNTIFS('Pool Changes'!$B:$B, $A134 &amp; " - " &amp; "*", INDEX(SUBSTITUTE('Pool Changes'!$G:$G, "±", "")*1,0), I$1)</f>
        <v>2</v>
      </c>
      <c r="J134" s="150">
        <f t="array" ref="J134">COUNTIFS('Pool Changes'!$B:$B, $A134 &amp; " - " &amp; "*", INDEX(SUBSTITUTE('Pool Changes'!$G:$G, "±", "")*1,0), J$1)</f>
        <v>2</v>
      </c>
      <c r="K134" s="150">
        <f t="shared" si="2"/>
        <v>7</v>
      </c>
    </row>
    <row r="135">
      <c r="A135" s="104" t="s">
        <v>5518</v>
      </c>
      <c r="B135" s="104" t="s">
        <v>6246</v>
      </c>
      <c r="C135" s="150">
        <f t="shared" si="1"/>
        <v>0.2307692308</v>
      </c>
      <c r="D135" s="150">
        <f t="array" ref="D135">COUNTIFS('Pool Changes'!$B:$B, $A135 &amp; " - " &amp; "*", INDEX(SUBSTITUTE('Pool Changes'!$G:$G, "±", "")*1,0), D$1)</f>
        <v>0</v>
      </c>
      <c r="E135" s="150">
        <f t="array" ref="E135">COUNTIFS('Pool Changes'!$B:$B, $A135 &amp; " - " &amp; "*", INDEX(SUBSTITUTE('Pool Changes'!$G:$G, "±", "")*1,0), E$1)</f>
        <v>0</v>
      </c>
      <c r="F135" s="150">
        <f t="array" ref="F135">COUNTIFS('Pool Changes'!$B:$B, $A135 &amp; " - " &amp; "*", INDEX(SUBSTITUTE('Pool Changes'!$G:$G, "±", "")*1,0), F$1)</f>
        <v>0</v>
      </c>
      <c r="G135" s="150">
        <f t="array" ref="G135">COUNTIFS('Pool Changes'!$B:$B, $A135 &amp; " - " &amp; "*", INDEX(SUBSTITUTE('Pool Changes'!$G:$G, "±", "")*1,0), G$1) - 1</f>
        <v>1</v>
      </c>
      <c r="H135" s="150">
        <f t="array" ref="H135">COUNTIFS('Pool Changes'!$B:$B, $A135 &amp; " - " &amp; "*", INDEX(SUBSTITUTE('Pool Changes'!$G:$G, "±", "")*1,0), H$1)</f>
        <v>5</v>
      </c>
      <c r="I135" s="150">
        <f t="array" ref="I135">COUNTIFS('Pool Changes'!$B:$B, $A135 &amp; " - " &amp; "*", INDEX(SUBSTITUTE('Pool Changes'!$G:$G, "±", "")*1,0), I$1)</f>
        <v>4</v>
      </c>
      <c r="J135" s="150">
        <f t="array" ref="J135">COUNTIFS('Pool Changes'!$B:$B, $A135 &amp; " - " &amp; "*", INDEX(SUBSTITUTE('Pool Changes'!$G:$G, "±", "")*1,0), J$1)</f>
        <v>1</v>
      </c>
      <c r="K135" s="150">
        <f t="shared" si="2"/>
        <v>11</v>
      </c>
    </row>
    <row r="136">
      <c r="A136" s="104" t="s">
        <v>5771</v>
      </c>
      <c r="B136" s="104" t="s">
        <v>6246</v>
      </c>
      <c r="C136" s="150">
        <f t="shared" si="1"/>
        <v>0.2307692308</v>
      </c>
      <c r="D136" s="150">
        <f t="array" ref="D136">COUNTIFS('Pool Changes'!$B:$B, $A136 &amp; " - " &amp; "*", INDEX(SUBSTITUTE('Pool Changes'!$G:$G, "±", "")*1,0), D$1)</f>
        <v>0</v>
      </c>
      <c r="E136" s="150">
        <f t="array" ref="E136">COUNTIFS('Pool Changes'!$B:$B, $A136 &amp; " - " &amp; "*", INDEX(SUBSTITUTE('Pool Changes'!$G:$G, "±", "")*1,0), E$1)</f>
        <v>0</v>
      </c>
      <c r="F136" s="150">
        <f t="array" ref="F136">COUNTIFS('Pool Changes'!$B:$B, $A136 &amp; " - " &amp; "*", INDEX(SUBSTITUTE('Pool Changes'!$G:$G, "±", "")*1,0), F$1)</f>
        <v>0</v>
      </c>
      <c r="G136" s="150">
        <f t="array" ref="G136">COUNTIFS('Pool Changes'!$B:$B, $A136 &amp; " - " &amp; "*", INDEX(SUBSTITUTE('Pool Changes'!$G:$G, "±", "")*1,0), G$1) - 1</f>
        <v>4</v>
      </c>
      <c r="H136" s="150">
        <f t="array" ref="H136">COUNTIFS('Pool Changes'!$B:$B, $A136 &amp; " - " &amp; "*", INDEX(SUBSTITUTE('Pool Changes'!$G:$G, "±", "")*1,0), H$1)</f>
        <v>0</v>
      </c>
      <c r="I136" s="150">
        <f t="array" ref="I136">COUNTIFS('Pool Changes'!$B:$B, $A136 &amp; " - " &amp; "*", INDEX(SUBSTITUTE('Pool Changes'!$G:$G, "±", "")*1,0), I$1)</f>
        <v>6</v>
      </c>
      <c r="J136" s="150">
        <f t="array" ref="J136">COUNTIFS('Pool Changes'!$B:$B, $A136 &amp; " - " &amp; "*", INDEX(SUBSTITUTE('Pool Changes'!$G:$G, "±", "")*1,0), J$1)</f>
        <v>1</v>
      </c>
      <c r="K136" s="150">
        <f t="shared" si="2"/>
        <v>11</v>
      </c>
    </row>
    <row r="137">
      <c r="A137" s="104" t="s">
        <v>5526</v>
      </c>
      <c r="B137" s="104" t="s">
        <v>6246</v>
      </c>
      <c r="C137" s="150">
        <f t="shared" si="1"/>
        <v>0.2307692308</v>
      </c>
      <c r="D137" s="150">
        <f t="array" ref="D137">COUNTIFS('Pool Changes'!$B:$B, $A137 &amp; " - " &amp; "*", INDEX(SUBSTITUTE('Pool Changes'!$G:$G, "±", "")*1,0), D$1)</f>
        <v>0</v>
      </c>
      <c r="E137" s="150">
        <f t="array" ref="E137">COUNTIFS('Pool Changes'!$B:$B, $A137 &amp; " - " &amp; "*", INDEX(SUBSTITUTE('Pool Changes'!$G:$G, "±", "")*1,0), E$1)</f>
        <v>0</v>
      </c>
      <c r="F137" s="150">
        <f t="array" ref="F137">COUNTIFS('Pool Changes'!$B:$B, $A137 &amp; " - " &amp; "*", INDEX(SUBSTITUTE('Pool Changes'!$G:$G, "±", "")*1,0), F$1)</f>
        <v>0</v>
      </c>
      <c r="G137" s="150">
        <f t="array" ref="G137">COUNTIFS('Pool Changes'!$B:$B, $A137 &amp; " - " &amp; "*", INDEX(SUBSTITUTE('Pool Changes'!$G:$G, "±", "")*1,0), G$1) - 1</f>
        <v>4</v>
      </c>
      <c r="H137" s="150">
        <f t="array" ref="H137">COUNTIFS('Pool Changes'!$B:$B, $A137 &amp; " - " &amp; "*", INDEX(SUBSTITUTE('Pool Changes'!$G:$G, "±", "")*1,0), H$1)</f>
        <v>6</v>
      </c>
      <c r="I137" s="150">
        <f t="array" ref="I137">COUNTIFS('Pool Changes'!$B:$B, $A137 &amp; " - " &amp; "*", INDEX(SUBSTITUTE('Pool Changes'!$G:$G, "±", "")*1,0), I$1)</f>
        <v>1</v>
      </c>
      <c r="J137" s="150">
        <f t="array" ref="J137">COUNTIFS('Pool Changes'!$B:$B, $A137 &amp; " - " &amp; "*", INDEX(SUBSTITUTE('Pool Changes'!$G:$G, "±", "")*1,0), J$1)</f>
        <v>0</v>
      </c>
      <c r="K137" s="150">
        <f t="shared" si="2"/>
        <v>11</v>
      </c>
    </row>
    <row r="138">
      <c r="A138" s="104" t="s">
        <v>5522</v>
      </c>
      <c r="B138" s="104" t="s">
        <v>6246</v>
      </c>
      <c r="C138" s="150">
        <f t="shared" si="1"/>
        <v>0.2307692308</v>
      </c>
      <c r="D138" s="150">
        <f t="array" ref="D138">COUNTIFS('Pool Changes'!$B:$B, $A138 &amp; " - " &amp; "*", INDEX(SUBSTITUTE('Pool Changes'!$G:$G, "±", "")*1,0), D$1)</f>
        <v>0</v>
      </c>
      <c r="E138" s="150">
        <f t="array" ref="E138">COUNTIFS('Pool Changes'!$B:$B, $A138 &amp; " - " &amp; "*", INDEX(SUBSTITUTE('Pool Changes'!$G:$G, "±", "")*1,0), E$1)</f>
        <v>0</v>
      </c>
      <c r="F138" s="150">
        <f t="array" ref="F138">COUNTIFS('Pool Changes'!$B:$B, $A138 &amp; " - " &amp; "*", INDEX(SUBSTITUTE('Pool Changes'!$G:$G, "±", "")*1,0), F$1)</f>
        <v>1</v>
      </c>
      <c r="G138" s="150">
        <f t="array" ref="G138">COUNTIFS('Pool Changes'!$B:$B, $A138 &amp; " - " &amp; "*", INDEX(SUBSTITUTE('Pool Changes'!$G:$G, "±", "")*1,0), G$1) - 1</f>
        <v>1</v>
      </c>
      <c r="H138" s="150">
        <f t="array" ref="H138">COUNTIFS('Pool Changes'!$B:$B, $A138 &amp; " - " &amp; "*", INDEX(SUBSTITUTE('Pool Changes'!$G:$G, "±", "")*1,0), H$1)</f>
        <v>1</v>
      </c>
      <c r="I138" s="150">
        <f t="array" ref="I138">COUNTIFS('Pool Changes'!$B:$B, $A138 &amp; " - " &amp; "*", INDEX(SUBSTITUTE('Pool Changes'!$G:$G, "±", "")*1,0), I$1)</f>
        <v>0</v>
      </c>
      <c r="J138" s="150">
        <f t="array" ref="J138">COUNTIFS('Pool Changes'!$B:$B, $A138 &amp; " - " &amp; "*", INDEX(SUBSTITUTE('Pool Changes'!$G:$G, "±", "")*1,0), J$1)</f>
        <v>0</v>
      </c>
      <c r="K138" s="150">
        <f t="shared" si="2"/>
        <v>3</v>
      </c>
    </row>
    <row r="139">
      <c r="A139" s="104" t="s">
        <v>5540</v>
      </c>
      <c r="B139" s="104" t="s">
        <v>6260</v>
      </c>
      <c r="C139" s="150">
        <f t="shared" si="1"/>
        <v>0.2142857143</v>
      </c>
      <c r="D139" s="150">
        <f t="array" ref="D139">COUNTIFS('Pool Changes'!$B:$B, $A139 &amp; " - " &amp; "*", INDEX(SUBSTITUTE('Pool Changes'!$G:$G, "±", "")*1,0), D$1)</f>
        <v>3</v>
      </c>
      <c r="E139" s="150">
        <f t="array" ref="E139">COUNTIFS('Pool Changes'!$B:$B, $A139 &amp; " - " &amp; "*", INDEX(SUBSTITUTE('Pool Changes'!$G:$G, "±", "")*1,0), E$1)</f>
        <v>2</v>
      </c>
      <c r="F139" s="150">
        <f t="array" ref="F139">COUNTIFS('Pool Changes'!$B:$B, $A139 &amp; " - " &amp; "*", INDEX(SUBSTITUTE('Pool Changes'!$G:$G, "±", "")*1,0), F$1)</f>
        <v>0</v>
      </c>
      <c r="G139" s="150">
        <f t="array" ref="G139">COUNTIFS('Pool Changes'!$B:$B, $A139 &amp; " - " &amp; "*", INDEX(SUBSTITUTE('Pool Changes'!$G:$G, "±", "")*1,0), G$1) - 1</f>
        <v>4</v>
      </c>
      <c r="H139" s="150">
        <f t="array" ref="H139">COUNTIFS('Pool Changes'!$B:$B, $A139 &amp; " - " &amp; "*", INDEX(SUBSTITUTE('Pool Changes'!$G:$G, "±", "")*1,0), H$1)</f>
        <v>0</v>
      </c>
      <c r="I139" s="150">
        <f t="array" ref="I139">COUNTIFS('Pool Changes'!$B:$B, $A139 &amp; " - " &amp; "*", INDEX(SUBSTITUTE('Pool Changes'!$G:$G, "±", "")*1,0), I$1)</f>
        <v>2</v>
      </c>
      <c r="J139" s="150">
        <f t="array" ref="J139">COUNTIFS('Pool Changes'!$B:$B, $A139 &amp; " - " &amp; "*", INDEX(SUBSTITUTE('Pool Changes'!$G:$G, "±", "")*1,0), J$1)</f>
        <v>0</v>
      </c>
      <c r="K139" s="150">
        <f t="shared" si="2"/>
        <v>11</v>
      </c>
    </row>
    <row r="140">
      <c r="A140" s="104" t="s">
        <v>5473</v>
      </c>
      <c r="B140" s="104" t="s">
        <v>6265</v>
      </c>
      <c r="C140" s="150">
        <f t="shared" si="1"/>
        <v>0.1538461538</v>
      </c>
      <c r="D140" s="150">
        <f t="array" ref="D140">COUNTIFS('Pool Changes'!$B:$B, $A140 &amp; " - " &amp; "*", INDEX(SUBSTITUTE('Pool Changes'!$G:$G, "±", "")*1,0), D$1)</f>
        <v>0</v>
      </c>
      <c r="E140" s="150">
        <f t="array" ref="E140">COUNTIFS('Pool Changes'!$B:$B, $A140 &amp; " - " &amp; "*", INDEX(SUBSTITUTE('Pool Changes'!$G:$G, "±", "")*1,0), E$1)</f>
        <v>2</v>
      </c>
      <c r="F140" s="150">
        <f t="array" ref="F140">COUNTIFS('Pool Changes'!$B:$B, $A140 &amp; " - " &amp; "*", INDEX(SUBSTITUTE('Pool Changes'!$G:$G, "±", "")*1,0), F$1)</f>
        <v>0</v>
      </c>
      <c r="G140" s="150">
        <f t="array" ref="G140">COUNTIFS('Pool Changes'!$B:$B, $A140 &amp; " - " &amp; "*", INDEX(SUBSTITUTE('Pool Changes'!$G:$G, "±", "")*1,0), G$1) - 1</f>
        <v>1</v>
      </c>
      <c r="H140" s="150">
        <f t="array" ref="H140">COUNTIFS('Pool Changes'!$B:$B, $A140 &amp; " - " &amp; "*", INDEX(SUBSTITUTE('Pool Changes'!$G:$G, "±", "")*1,0), H$1)</f>
        <v>0</v>
      </c>
      <c r="I140" s="150">
        <f t="array" ref="I140">COUNTIFS('Pool Changes'!$B:$B, $A140 &amp; " - " &amp; "*", INDEX(SUBSTITUTE('Pool Changes'!$G:$G, "±", "")*1,0), I$1)</f>
        <v>1</v>
      </c>
      <c r="J140" s="150">
        <f t="array" ref="J140">COUNTIFS('Pool Changes'!$B:$B, $A140 &amp; " - " &amp; "*", INDEX(SUBSTITUTE('Pool Changes'!$G:$G, "±", "")*1,0), J$1)</f>
        <v>1</v>
      </c>
      <c r="K140" s="150">
        <f t="shared" si="2"/>
        <v>5</v>
      </c>
    </row>
    <row r="141">
      <c r="A141" s="104" t="s">
        <v>5524</v>
      </c>
      <c r="B141" s="104" t="s">
        <v>6265</v>
      </c>
      <c r="C141" s="150">
        <f t="shared" si="1"/>
        <v>0.1538461538</v>
      </c>
      <c r="D141" s="150">
        <f t="array" ref="D141">COUNTIFS('Pool Changes'!$B:$B, $A141 &amp; " - " &amp; "*", INDEX(SUBSTITUTE('Pool Changes'!$G:$G, "±", "")*1,0), D$1)</f>
        <v>0</v>
      </c>
      <c r="E141" s="150">
        <f t="array" ref="E141">COUNTIFS('Pool Changes'!$B:$B, $A141 &amp; " - " &amp; "*", INDEX(SUBSTITUTE('Pool Changes'!$G:$G, "±", "")*1,0), E$1)</f>
        <v>3</v>
      </c>
      <c r="F141" s="150">
        <f t="array" ref="F141">COUNTIFS('Pool Changes'!$B:$B, $A141 &amp; " - " &amp; "*", INDEX(SUBSTITUTE('Pool Changes'!$G:$G, "±", "")*1,0), F$1)</f>
        <v>0</v>
      </c>
      <c r="G141" s="150">
        <f t="array" ref="G141">COUNTIFS('Pool Changes'!$B:$B, $A141 &amp; " - " &amp; "*", INDEX(SUBSTITUTE('Pool Changes'!$G:$G, "±", "")*1,0), G$1) - 1</f>
        <v>2</v>
      </c>
      <c r="H141" s="150">
        <f t="array" ref="H141">COUNTIFS('Pool Changes'!$B:$B, $A141 &amp; " - " &amp; "*", INDEX(SUBSTITUTE('Pool Changes'!$G:$G, "±", "")*1,0), H$1)</f>
        <v>3</v>
      </c>
      <c r="I141" s="150">
        <f t="array" ref="I141">COUNTIFS('Pool Changes'!$B:$B, $A141 &amp; " - " &amp; "*", INDEX(SUBSTITUTE('Pool Changes'!$G:$G, "±", "")*1,0), I$1)</f>
        <v>2</v>
      </c>
      <c r="J141" s="150">
        <f t="array" ref="J141">COUNTIFS('Pool Changes'!$B:$B, $A141 &amp; " - " &amp; "*", INDEX(SUBSTITUTE('Pool Changes'!$G:$G, "±", "")*1,0), J$1)</f>
        <v>1</v>
      </c>
      <c r="K141" s="150">
        <f t="shared" si="2"/>
        <v>11</v>
      </c>
    </row>
    <row r="142">
      <c r="A142" s="104" t="s">
        <v>5599</v>
      </c>
      <c r="B142" s="104" t="s">
        <v>6265</v>
      </c>
      <c r="C142" s="150">
        <f t="shared" si="1"/>
        <v>0.1538461538</v>
      </c>
      <c r="D142" s="150">
        <f t="array" ref="D142">COUNTIFS('Pool Changes'!$B:$B, $A142 &amp; " - " &amp; "*", INDEX(SUBSTITUTE('Pool Changes'!$G:$G, "±", "")*1,0), D$1)</f>
        <v>1</v>
      </c>
      <c r="E142" s="150">
        <f t="array" ref="E142">COUNTIFS('Pool Changes'!$B:$B, $A142 &amp; " - " &amp; "*", INDEX(SUBSTITUTE('Pool Changes'!$G:$G, "±", "")*1,0), E$1)</f>
        <v>1</v>
      </c>
      <c r="F142" s="150">
        <f t="array" ref="F142">COUNTIFS('Pool Changes'!$B:$B, $A142 &amp; " - " &amp; "*", INDEX(SUBSTITUTE('Pool Changes'!$G:$G, "±", "")*1,0), F$1)</f>
        <v>1</v>
      </c>
      <c r="G142" s="150">
        <f t="array" ref="G142">COUNTIFS('Pool Changes'!$B:$B, $A142 &amp; " - " &amp; "*", INDEX(SUBSTITUTE('Pool Changes'!$G:$G, "±", "")*1,0), G$1) - 1</f>
        <v>5</v>
      </c>
      <c r="H142" s="150">
        <f t="array" ref="H142">COUNTIFS('Pool Changes'!$B:$B, $A142 &amp; " - " &amp; "*", INDEX(SUBSTITUTE('Pool Changes'!$G:$G, "±", "")*1,0), H$1)</f>
        <v>0</v>
      </c>
      <c r="I142" s="150">
        <f t="array" ref="I142">COUNTIFS('Pool Changes'!$B:$B, $A142 &amp; " - " &amp; "*", INDEX(SUBSTITUTE('Pool Changes'!$G:$G, "±", "")*1,0), I$1)</f>
        <v>2</v>
      </c>
      <c r="J142" s="150">
        <f t="array" ref="J142">COUNTIFS('Pool Changes'!$B:$B, $A142 &amp; " - " &amp; "*", INDEX(SUBSTITUTE('Pool Changes'!$G:$G, "±", "")*1,0), J$1)</f>
        <v>0</v>
      </c>
      <c r="K142" s="150">
        <f t="shared" si="2"/>
        <v>10</v>
      </c>
    </row>
    <row r="143">
      <c r="A143" s="104" t="s">
        <v>5725</v>
      </c>
      <c r="B143" s="104" t="s">
        <v>6265</v>
      </c>
      <c r="C143" s="150">
        <f t="shared" si="1"/>
        <v>0.1538461538</v>
      </c>
      <c r="D143" s="150">
        <f t="array" ref="D143">COUNTIFS('Pool Changes'!$B:$B, $A143 &amp; " - " &amp; "*", INDEX(SUBSTITUTE('Pool Changes'!$G:$G, "±", "")*1,0), D$1)</f>
        <v>1</v>
      </c>
      <c r="E143" s="150">
        <f t="array" ref="E143">COUNTIFS('Pool Changes'!$B:$B, $A143 &amp; " - " &amp; "*", INDEX(SUBSTITUTE('Pool Changes'!$G:$G, "±", "")*1,0), E$1)</f>
        <v>2</v>
      </c>
      <c r="F143" s="150">
        <f t="array" ref="F143">COUNTIFS('Pool Changes'!$B:$B, $A143 &amp; " - " &amp; "*", INDEX(SUBSTITUTE('Pool Changes'!$G:$G, "±", "")*1,0), F$1)</f>
        <v>0</v>
      </c>
      <c r="G143" s="150">
        <f t="array" ref="G143">COUNTIFS('Pool Changes'!$B:$B, $A143 &amp; " - " &amp; "*", INDEX(SUBSTITUTE('Pool Changes'!$G:$G, "±", "")*1,0), G$1) - 1</f>
        <v>1</v>
      </c>
      <c r="H143" s="150">
        <f t="array" ref="H143">COUNTIFS('Pool Changes'!$B:$B, $A143 &amp; " - " &amp; "*", INDEX(SUBSTITUTE('Pool Changes'!$G:$G, "±", "")*1,0), H$1)</f>
        <v>2</v>
      </c>
      <c r="I143" s="150">
        <f t="array" ref="I143">COUNTIFS('Pool Changes'!$B:$B, $A143 &amp; " - " &amp; "*", INDEX(SUBSTITUTE('Pool Changes'!$G:$G, "±", "")*1,0), I$1)</f>
        <v>0</v>
      </c>
      <c r="J143" s="150">
        <f t="array" ref="J143">COUNTIFS('Pool Changes'!$B:$B, $A143 &amp; " - " &amp; "*", INDEX(SUBSTITUTE('Pool Changes'!$G:$G, "±", "")*1,0), J$1)</f>
        <v>0</v>
      </c>
      <c r="K143" s="150">
        <f t="shared" si="2"/>
        <v>6</v>
      </c>
    </row>
    <row r="144">
      <c r="A144" s="104" t="s">
        <v>5549</v>
      </c>
      <c r="B144" s="104" t="s">
        <v>6265</v>
      </c>
      <c r="C144" s="150">
        <f t="shared" si="1"/>
        <v>0.1538461538</v>
      </c>
      <c r="D144" s="150">
        <f t="array" ref="D144">COUNTIFS('Pool Changes'!$B:$B, $A144 &amp; " - " &amp; "*", INDEX(SUBSTITUTE('Pool Changes'!$G:$G, "±", "")*1,0), D$1)</f>
        <v>0</v>
      </c>
      <c r="E144" s="150">
        <f t="array" ref="E144">COUNTIFS('Pool Changes'!$B:$B, $A144 &amp; " - " &amp; "*", INDEX(SUBSTITUTE('Pool Changes'!$G:$G, "±", "")*1,0), E$1)</f>
        <v>1</v>
      </c>
      <c r="F144" s="150">
        <f t="array" ref="F144">COUNTIFS('Pool Changes'!$B:$B, $A144 &amp; " - " &amp; "*", INDEX(SUBSTITUTE('Pool Changes'!$G:$G, "±", "")*1,0), F$1)</f>
        <v>0</v>
      </c>
      <c r="G144" s="150">
        <f t="array" ref="G144">COUNTIFS('Pool Changes'!$B:$B, $A144 &amp; " - " &amp; "*", INDEX(SUBSTITUTE('Pool Changes'!$G:$G, "±", "")*1,0), G$1) - 1</f>
        <v>3</v>
      </c>
      <c r="H144" s="150">
        <f t="array" ref="H144">COUNTIFS('Pool Changes'!$B:$B, $A144 &amp; " - " &amp; "*", INDEX(SUBSTITUTE('Pool Changes'!$G:$G, "±", "")*1,0), H$1)</f>
        <v>2</v>
      </c>
      <c r="I144" s="150">
        <f t="array" ref="I144">COUNTIFS('Pool Changes'!$B:$B, $A144 &amp; " - " &amp; "*", INDEX(SUBSTITUTE('Pool Changes'!$G:$G, "±", "")*1,0), I$1)</f>
        <v>1</v>
      </c>
      <c r="J144" s="150">
        <f t="array" ref="J144">COUNTIFS('Pool Changes'!$B:$B, $A144 &amp; " - " &amp; "*", INDEX(SUBSTITUTE('Pool Changes'!$G:$G, "±", "")*1,0), J$1)</f>
        <v>0</v>
      </c>
      <c r="K144" s="150">
        <f t="shared" si="2"/>
        <v>7</v>
      </c>
    </row>
    <row r="145">
      <c r="A145" s="104" t="s">
        <v>5662</v>
      </c>
      <c r="B145" s="104" t="s">
        <v>6265</v>
      </c>
      <c r="C145" s="150">
        <f t="shared" si="1"/>
        <v>0.1538461538</v>
      </c>
      <c r="D145" s="150">
        <f t="array" ref="D145">COUNTIFS('Pool Changes'!$B:$B, $A145 &amp; " - " &amp; "*", INDEX(SUBSTITUTE('Pool Changes'!$G:$G, "±", "")*1,0), D$1)</f>
        <v>1</v>
      </c>
      <c r="E145" s="150">
        <f t="array" ref="E145">COUNTIFS('Pool Changes'!$B:$B, $A145 &amp; " - " &amp; "*", INDEX(SUBSTITUTE('Pool Changes'!$G:$G, "±", "")*1,0), E$1)</f>
        <v>1</v>
      </c>
      <c r="F145" s="150">
        <f t="array" ref="F145">COUNTIFS('Pool Changes'!$B:$B, $A145 &amp; " - " &amp; "*", INDEX(SUBSTITUTE('Pool Changes'!$G:$G, "±", "")*1,0), F$1)</f>
        <v>1</v>
      </c>
      <c r="G145" s="150">
        <f t="array" ref="G145">COUNTIFS('Pool Changes'!$B:$B, $A145 &amp; " - " &amp; "*", INDEX(SUBSTITUTE('Pool Changes'!$G:$G, "±", "")*1,0), G$1) - 1</f>
        <v>5</v>
      </c>
      <c r="H145" s="150">
        <f t="array" ref="H145">COUNTIFS('Pool Changes'!$B:$B, $A145 &amp; " - " &amp; "*", INDEX(SUBSTITUTE('Pool Changes'!$G:$G, "±", "")*1,0), H$1)</f>
        <v>3</v>
      </c>
      <c r="I145" s="150">
        <f t="array" ref="I145">COUNTIFS('Pool Changes'!$B:$B, $A145 &amp; " - " &amp; "*", INDEX(SUBSTITUTE('Pool Changes'!$G:$G, "±", "")*1,0), I$1)</f>
        <v>0</v>
      </c>
      <c r="J145" s="150">
        <f t="array" ref="J145">COUNTIFS('Pool Changes'!$B:$B, $A145 &amp; " - " &amp; "*", INDEX(SUBSTITUTE('Pool Changes'!$G:$G, "±", "")*1,0), J$1)</f>
        <v>0</v>
      </c>
      <c r="K145" s="150">
        <f t="shared" si="2"/>
        <v>11</v>
      </c>
    </row>
    <row r="146">
      <c r="A146" s="104" t="s">
        <v>5489</v>
      </c>
      <c r="B146" s="104" t="s">
        <v>6265</v>
      </c>
      <c r="C146" s="150">
        <f t="shared" si="1"/>
        <v>0.1538461538</v>
      </c>
      <c r="D146" s="150">
        <f t="array" ref="D146">COUNTIFS('Pool Changes'!$B:$B, $A146 &amp; " - " &amp; "*", INDEX(SUBSTITUTE('Pool Changes'!$G:$G, "±", "")*1,0), D$1)</f>
        <v>0</v>
      </c>
      <c r="E146" s="150">
        <f t="array" ref="E146">COUNTIFS('Pool Changes'!$B:$B, $A146 &amp; " - " &amp; "*", INDEX(SUBSTITUTE('Pool Changes'!$G:$G, "±", "")*1,0), E$1)</f>
        <v>2</v>
      </c>
      <c r="F146" s="150">
        <f t="array" ref="F146">COUNTIFS('Pool Changes'!$B:$B, $A146 &amp; " - " &amp; "*", INDEX(SUBSTITUTE('Pool Changes'!$G:$G, "±", "")*1,0), F$1)</f>
        <v>1</v>
      </c>
      <c r="G146" s="150">
        <f t="array" ref="G146">COUNTIFS('Pool Changes'!$B:$B, $A146 &amp; " - " &amp; "*", INDEX(SUBSTITUTE('Pool Changes'!$G:$G, "±", "")*1,0), G$1) - 1</f>
        <v>2</v>
      </c>
      <c r="H146" s="150">
        <f t="array" ref="H146">COUNTIFS('Pool Changes'!$B:$B, $A146 &amp; " - " &amp; "*", INDEX(SUBSTITUTE('Pool Changes'!$G:$G, "±", "")*1,0), H$1)</f>
        <v>2</v>
      </c>
      <c r="I146" s="150">
        <f t="array" ref="I146">COUNTIFS('Pool Changes'!$B:$B, $A146 &amp; " - " &amp; "*", INDEX(SUBSTITUTE('Pool Changes'!$G:$G, "±", "")*1,0), I$1)</f>
        <v>2</v>
      </c>
      <c r="J146" s="150">
        <f t="array" ref="J146">COUNTIFS('Pool Changes'!$B:$B, $A146 &amp; " - " &amp; "*", INDEX(SUBSTITUTE('Pool Changes'!$G:$G, "±", "")*1,0), J$1)</f>
        <v>0</v>
      </c>
      <c r="K146" s="150">
        <f t="shared" si="2"/>
        <v>9</v>
      </c>
    </row>
    <row r="147">
      <c r="A147" s="104" t="s">
        <v>5710</v>
      </c>
      <c r="B147" s="104" t="s">
        <v>6265</v>
      </c>
      <c r="C147" s="150">
        <f t="shared" si="1"/>
        <v>0.1538461538</v>
      </c>
      <c r="D147" s="150">
        <f t="array" ref="D147">COUNTIFS('Pool Changes'!$B:$B, $A147 &amp; " - " &amp; "*", INDEX(SUBSTITUTE('Pool Changes'!$G:$G, "±", "")*1,0), D$1)</f>
        <v>2</v>
      </c>
      <c r="E147" s="150">
        <f t="array" ref="E147">COUNTIFS('Pool Changes'!$B:$B, $A147 &amp; " - " &amp; "*", INDEX(SUBSTITUTE('Pool Changes'!$G:$G, "±", "")*1,0), E$1)</f>
        <v>3</v>
      </c>
      <c r="F147" s="150">
        <f t="array" ref="F147">COUNTIFS('Pool Changes'!$B:$B, $A147 &amp; " - " &amp; "*", INDEX(SUBSTITUTE('Pool Changes'!$G:$G, "±", "")*1,0), F$1)</f>
        <v>5</v>
      </c>
      <c r="G147" s="150">
        <f t="array" ref="G147">COUNTIFS('Pool Changes'!$B:$B, $A147 &amp; " - " &amp; "*", INDEX(SUBSTITUTE('Pool Changes'!$G:$G, "±", "")*1,0), G$1) - 1</f>
        <v>0</v>
      </c>
      <c r="H147" s="150">
        <f t="array" ref="H147">COUNTIFS('Pool Changes'!$B:$B, $A147 &amp; " - " &amp; "*", INDEX(SUBSTITUTE('Pool Changes'!$G:$G, "±", "")*1,0), H$1)</f>
        <v>0</v>
      </c>
      <c r="I147" s="150">
        <f t="array" ref="I147">COUNTIFS('Pool Changes'!$B:$B, $A147 &amp; " - " &amp; "*", INDEX(SUBSTITUTE('Pool Changes'!$G:$G, "±", "")*1,0), I$1)</f>
        <v>0</v>
      </c>
      <c r="J147" s="150">
        <f t="array" ref="J147">COUNTIFS('Pool Changes'!$B:$B, $A147 &amp; " - " &amp; "*", INDEX(SUBSTITUTE('Pool Changes'!$G:$G, "±", "")*1,0), J$1)</f>
        <v>0</v>
      </c>
      <c r="K147" s="150">
        <f t="shared" si="2"/>
        <v>10</v>
      </c>
    </row>
    <row r="148">
      <c r="A148" s="104" t="s">
        <v>5748</v>
      </c>
      <c r="B148" s="104" t="s">
        <v>6265</v>
      </c>
      <c r="C148" s="150">
        <f t="shared" si="1"/>
        <v>0.1538461538</v>
      </c>
      <c r="D148" s="150">
        <f t="array" ref="D148">COUNTIFS('Pool Changes'!$B:$B, $A148 &amp; " - " &amp; "*", INDEX(SUBSTITUTE('Pool Changes'!$G:$G, "±", "")*1,0), D$1)</f>
        <v>2</v>
      </c>
      <c r="E148" s="150">
        <f t="array" ref="E148">COUNTIFS('Pool Changes'!$B:$B, $A148 &amp; " - " &amp; "*", INDEX(SUBSTITUTE('Pool Changes'!$G:$G, "±", "")*1,0), E$1)</f>
        <v>0</v>
      </c>
      <c r="F148" s="150">
        <f t="array" ref="F148">COUNTIFS('Pool Changes'!$B:$B, $A148 &amp; " - " &amp; "*", INDEX(SUBSTITUTE('Pool Changes'!$G:$G, "±", "")*1,0), F$1)</f>
        <v>0</v>
      </c>
      <c r="G148" s="150">
        <f t="array" ref="G148">COUNTIFS('Pool Changes'!$B:$B, $A148 &amp; " - " &amp; "*", INDEX(SUBSTITUTE('Pool Changes'!$G:$G, "±", "")*1,0), G$1) - 1</f>
        <v>3</v>
      </c>
      <c r="H148" s="150">
        <f t="array" ref="H148">COUNTIFS('Pool Changes'!$B:$B, $A148 &amp; " - " &amp; "*", INDEX(SUBSTITUTE('Pool Changes'!$G:$G, "±", "")*1,0), H$1)</f>
        <v>1</v>
      </c>
      <c r="I148" s="150">
        <f t="array" ref="I148">COUNTIFS('Pool Changes'!$B:$B, $A148 &amp; " - " &amp; "*", INDEX(SUBSTITUTE('Pool Changes'!$G:$G, "±", "")*1,0), I$1)</f>
        <v>1</v>
      </c>
      <c r="J148" s="150">
        <f t="array" ref="J148">COUNTIFS('Pool Changes'!$B:$B, $A148 &amp; " - " &amp; "*", INDEX(SUBSTITUTE('Pool Changes'!$G:$G, "±", "")*1,0), J$1)</f>
        <v>0</v>
      </c>
      <c r="K148" s="150">
        <f t="shared" si="2"/>
        <v>7</v>
      </c>
    </row>
    <row r="149">
      <c r="A149" s="104" t="s">
        <v>5647</v>
      </c>
      <c r="B149" s="104" t="s">
        <v>6265</v>
      </c>
      <c r="C149" s="150">
        <f t="shared" si="1"/>
        <v>0.1538461538</v>
      </c>
      <c r="D149" s="150">
        <f t="array" ref="D149">COUNTIFS('Pool Changes'!$B:$B, $A149 &amp; " - " &amp; "*", INDEX(SUBSTITUTE('Pool Changes'!$G:$G, "±", "")*1,0), D$1)</f>
        <v>0</v>
      </c>
      <c r="E149" s="150">
        <f t="array" ref="E149">COUNTIFS('Pool Changes'!$B:$B, $A149 &amp; " - " &amp; "*", INDEX(SUBSTITUTE('Pool Changes'!$G:$G, "±", "")*1,0), E$1)</f>
        <v>0</v>
      </c>
      <c r="F149" s="150">
        <f t="array" ref="F149">COUNTIFS('Pool Changes'!$B:$B, $A149 &amp; " - " &amp; "*", INDEX(SUBSTITUTE('Pool Changes'!$G:$G, "±", "")*1,0), F$1)</f>
        <v>0</v>
      </c>
      <c r="G149" s="150">
        <f t="array" ref="G149">COUNTIFS('Pool Changes'!$B:$B, $A149 &amp; " - " &amp; "*", INDEX(SUBSTITUTE('Pool Changes'!$G:$G, "±", "")*1,0), G$1) - 1</f>
        <v>5</v>
      </c>
      <c r="H149" s="150">
        <f t="array" ref="H149">COUNTIFS('Pool Changes'!$B:$B, $A149 &amp; " - " &amp; "*", INDEX(SUBSTITUTE('Pool Changes'!$G:$G, "±", "")*1,0), H$1)</f>
        <v>1</v>
      </c>
      <c r="I149" s="150">
        <f t="array" ref="I149">COUNTIFS('Pool Changes'!$B:$B, $A149 &amp; " - " &amp; "*", INDEX(SUBSTITUTE('Pool Changes'!$G:$G, "±", "")*1,0), I$1)</f>
        <v>3</v>
      </c>
      <c r="J149" s="150">
        <f t="array" ref="J149">COUNTIFS('Pool Changes'!$B:$B, $A149 &amp; " - " &amp; "*", INDEX(SUBSTITUTE('Pool Changes'!$G:$G, "±", "")*1,0), J$1)</f>
        <v>2</v>
      </c>
      <c r="K149" s="150">
        <f t="shared" si="2"/>
        <v>11</v>
      </c>
    </row>
    <row r="150">
      <c r="A150" s="104" t="s">
        <v>5461</v>
      </c>
      <c r="B150" s="104" t="s">
        <v>6265</v>
      </c>
      <c r="C150" s="150">
        <f t="shared" si="1"/>
        <v>0.1538461538</v>
      </c>
      <c r="D150" s="150">
        <f t="array" ref="D150">COUNTIFS('Pool Changes'!$B:$B, $A150 &amp; " - " &amp; "*", INDEX(SUBSTITUTE('Pool Changes'!$G:$G, "±", "")*1,0), D$1)</f>
        <v>0</v>
      </c>
      <c r="E150" s="150">
        <f t="array" ref="E150">COUNTIFS('Pool Changes'!$B:$B, $A150 &amp; " - " &amp; "*", INDEX(SUBSTITUTE('Pool Changes'!$G:$G, "±", "")*1,0), E$1)</f>
        <v>0</v>
      </c>
      <c r="F150" s="150">
        <f t="array" ref="F150">COUNTIFS('Pool Changes'!$B:$B, $A150 &amp; " - " &amp; "*", INDEX(SUBSTITUTE('Pool Changes'!$G:$G, "±", "")*1,0), F$1)</f>
        <v>0</v>
      </c>
      <c r="G150" s="150">
        <f t="array" ref="G150">COUNTIFS('Pool Changes'!$B:$B, $A150 &amp; " - " &amp; "*", INDEX(SUBSTITUTE('Pool Changes'!$G:$G, "±", "")*1,0), G$1) - 1</f>
        <v>1</v>
      </c>
      <c r="H150" s="150">
        <f t="array" ref="H150">COUNTIFS('Pool Changes'!$B:$B, $A150 &amp; " - " &amp; "*", INDEX(SUBSTITUTE('Pool Changes'!$G:$G, "±", "")*1,0), H$1)</f>
        <v>0</v>
      </c>
      <c r="I150" s="150">
        <f t="array" ref="I150">COUNTIFS('Pool Changes'!$B:$B, $A150 &amp; " - " &amp; "*", INDEX(SUBSTITUTE('Pool Changes'!$G:$G, "±", "")*1,0), I$1)</f>
        <v>0</v>
      </c>
      <c r="J150" s="150">
        <f t="array" ref="J150">COUNTIFS('Pool Changes'!$B:$B, $A150 &amp; " - " &amp; "*", INDEX(SUBSTITUTE('Pool Changes'!$G:$G, "±", "")*1,0), J$1)</f>
        <v>1</v>
      </c>
      <c r="K150" s="150">
        <f t="shared" si="2"/>
        <v>2</v>
      </c>
    </row>
    <row r="151">
      <c r="A151" s="104" t="s">
        <v>5553</v>
      </c>
      <c r="B151" s="104" t="s">
        <v>6265</v>
      </c>
      <c r="C151" s="150">
        <f t="shared" si="1"/>
        <v>0.1538461538</v>
      </c>
      <c r="D151" s="150">
        <f t="array" ref="D151">COUNTIFS('Pool Changes'!$B:$B, $A151 &amp; " - " &amp; "*", INDEX(SUBSTITUTE('Pool Changes'!$G:$G, "±", "")*1,0), D$1)</f>
        <v>0</v>
      </c>
      <c r="E151" s="150">
        <f t="array" ref="E151">COUNTIFS('Pool Changes'!$B:$B, $A151 &amp; " - " &amp; "*", INDEX(SUBSTITUTE('Pool Changes'!$G:$G, "±", "")*1,0), E$1)</f>
        <v>2</v>
      </c>
      <c r="F151" s="150">
        <f t="array" ref="F151">COUNTIFS('Pool Changes'!$B:$B, $A151 &amp; " - " &amp; "*", INDEX(SUBSTITUTE('Pool Changes'!$G:$G, "±", "")*1,0), F$1)</f>
        <v>0</v>
      </c>
      <c r="G151" s="150">
        <f t="array" ref="G151">COUNTIFS('Pool Changes'!$B:$B, $A151 &amp; " - " &amp; "*", INDEX(SUBSTITUTE('Pool Changes'!$G:$G, "±", "")*1,0), G$1) - 1</f>
        <v>4</v>
      </c>
      <c r="H151" s="150">
        <f t="array" ref="H151">COUNTIFS('Pool Changes'!$B:$B, $A151 &amp; " - " &amp; "*", INDEX(SUBSTITUTE('Pool Changes'!$G:$G, "±", "")*1,0), H$1)</f>
        <v>0</v>
      </c>
      <c r="I151" s="150">
        <f t="array" ref="I151">COUNTIFS('Pool Changes'!$B:$B, $A151 &amp; " - " &amp; "*", INDEX(SUBSTITUTE('Pool Changes'!$G:$G, "±", "")*1,0), I$1)</f>
        <v>4</v>
      </c>
      <c r="J151" s="150">
        <f t="array" ref="J151">COUNTIFS('Pool Changes'!$B:$B, $A151 &amp; " - " &amp; "*", INDEX(SUBSTITUTE('Pool Changes'!$G:$G, "±", "")*1,0), J$1)</f>
        <v>1</v>
      </c>
      <c r="K151" s="150">
        <f t="shared" si="2"/>
        <v>11</v>
      </c>
    </row>
    <row r="152">
      <c r="A152" s="104" t="s">
        <v>5585</v>
      </c>
      <c r="B152" s="104" t="s">
        <v>6265</v>
      </c>
      <c r="C152" s="150">
        <f t="shared" si="1"/>
        <v>0.1538461538</v>
      </c>
      <c r="D152" s="150">
        <f t="array" ref="D152">COUNTIFS('Pool Changes'!$B:$B, $A152 &amp; " - " &amp; "*", INDEX(SUBSTITUTE('Pool Changes'!$G:$G, "±", "")*1,0), D$1)</f>
        <v>1</v>
      </c>
      <c r="E152" s="150">
        <f t="array" ref="E152">COUNTIFS('Pool Changes'!$B:$B, $A152 &amp; " - " &amp; "*", INDEX(SUBSTITUTE('Pool Changes'!$G:$G, "±", "")*1,0), E$1)</f>
        <v>1</v>
      </c>
      <c r="F152" s="150">
        <f t="array" ref="F152">COUNTIFS('Pool Changes'!$B:$B, $A152 &amp; " - " &amp; "*", INDEX(SUBSTITUTE('Pool Changes'!$G:$G, "±", "")*1,0), F$1)</f>
        <v>1</v>
      </c>
      <c r="G152" s="150">
        <f t="array" ref="G152">COUNTIFS('Pool Changes'!$B:$B, $A152 &amp; " - " &amp; "*", INDEX(SUBSTITUTE('Pool Changes'!$G:$G, "±", "")*1,0), G$1) - 1</f>
        <v>3</v>
      </c>
      <c r="H152" s="150">
        <f t="array" ref="H152">COUNTIFS('Pool Changes'!$B:$B, $A152 &amp; " - " &amp; "*", INDEX(SUBSTITUTE('Pool Changes'!$G:$G, "±", "")*1,0), H$1)</f>
        <v>0</v>
      </c>
      <c r="I152" s="150">
        <f t="array" ref="I152">COUNTIFS('Pool Changes'!$B:$B, $A152 &amp; " - " &amp; "*", INDEX(SUBSTITUTE('Pool Changes'!$G:$G, "±", "")*1,0), I$1)</f>
        <v>1</v>
      </c>
      <c r="J152" s="150">
        <f t="array" ref="J152">COUNTIFS('Pool Changes'!$B:$B, $A152 &amp; " - " &amp; "*", INDEX(SUBSTITUTE('Pool Changes'!$G:$G, "±", "")*1,0), J$1)</f>
        <v>0</v>
      </c>
      <c r="K152" s="150">
        <f t="shared" si="2"/>
        <v>7</v>
      </c>
    </row>
    <row r="153">
      <c r="A153" s="104" t="s">
        <v>5766</v>
      </c>
      <c r="B153" s="104" t="s">
        <v>6299</v>
      </c>
      <c r="C153" s="150">
        <f t="shared" si="1"/>
        <v>0.08333333333</v>
      </c>
      <c r="D153" s="150">
        <f t="array" ref="D153">COUNTIFS('Pool Changes'!$B:$B, $A153 &amp; " - " &amp; "*", INDEX(SUBSTITUTE('Pool Changes'!$G:$G, "±", "")*1,0), D$1)</f>
        <v>0</v>
      </c>
      <c r="E153" s="150">
        <f t="array" ref="E153">COUNTIFS('Pool Changes'!$B:$B, $A153 &amp; " - " &amp; "*", INDEX(SUBSTITUTE('Pool Changes'!$G:$G, "±", "")*1,0), E$1)</f>
        <v>0</v>
      </c>
      <c r="F153" s="150">
        <f t="array" ref="F153">COUNTIFS('Pool Changes'!$B:$B, $A153 &amp; " - " &amp; "*", INDEX(SUBSTITUTE('Pool Changes'!$G:$G, "±", "")*1,0), F$1)</f>
        <v>0</v>
      </c>
      <c r="G153" s="150">
        <f t="array" ref="G153">COUNTIFS('Pool Changes'!$B:$B, $A153 &amp; " - " &amp; "*", INDEX(SUBSTITUTE('Pool Changes'!$G:$G, "±", "")*1,0), G$1) - 1</f>
        <v>2</v>
      </c>
      <c r="H153" s="150">
        <f t="array" ref="H153">COUNTIFS('Pool Changes'!$B:$B, $A153 &amp; " - " &amp; "*", INDEX(SUBSTITUTE('Pool Changes'!$G:$G, "±", "")*1,0), H$1)</f>
        <v>3</v>
      </c>
      <c r="I153" s="150">
        <f t="array" ref="I153">COUNTIFS('Pool Changes'!$B:$B, $A153 &amp; " - " &amp; "*", INDEX(SUBSTITUTE('Pool Changes'!$G:$G, "±", "")*1,0), I$1)</f>
        <v>1</v>
      </c>
      <c r="J153" s="150">
        <f t="array" ref="J153">COUNTIFS('Pool Changes'!$B:$B, $A153 &amp; " - " &amp; "*", INDEX(SUBSTITUTE('Pool Changes'!$G:$G, "±", "")*1,0), J$1)</f>
        <v>0</v>
      </c>
      <c r="K153" s="150">
        <f t="shared" si="2"/>
        <v>6</v>
      </c>
    </row>
    <row r="154">
      <c r="A154" s="104" t="s">
        <v>5564</v>
      </c>
      <c r="B154" s="104" t="s">
        <v>6299</v>
      </c>
      <c r="C154" s="150">
        <f t="shared" si="1"/>
        <v>0.08333333333</v>
      </c>
      <c r="D154" s="150">
        <f t="array" ref="D154">COUNTIFS('Pool Changes'!$B:$B, $A154 &amp; " - " &amp; "*", INDEX(SUBSTITUTE('Pool Changes'!$G:$G, "±", "")*1,0), D$1)</f>
        <v>0</v>
      </c>
      <c r="E154" s="150">
        <f t="array" ref="E154">COUNTIFS('Pool Changes'!$B:$B, $A154 &amp; " - " &amp; "*", INDEX(SUBSTITUTE('Pool Changes'!$G:$G, "±", "")*1,0), E$1)</f>
        <v>1</v>
      </c>
      <c r="F154" s="150">
        <f t="array" ref="F154">COUNTIFS('Pool Changes'!$B:$B, $A154 &amp; " - " &amp; "*", INDEX(SUBSTITUTE('Pool Changes'!$G:$G, "±", "")*1,0), F$1)</f>
        <v>0</v>
      </c>
      <c r="G154" s="150">
        <f t="array" ref="G154">COUNTIFS('Pool Changes'!$B:$B, $A154 &amp; " - " &amp; "*", INDEX(SUBSTITUTE('Pool Changes'!$G:$G, "±", "")*1,0), G$1) - 1</f>
        <v>2</v>
      </c>
      <c r="H154" s="150">
        <f t="array" ref="H154">COUNTIFS('Pool Changes'!$B:$B, $A154 &amp; " - " &amp; "*", INDEX(SUBSTITUTE('Pool Changes'!$G:$G, "±", "")*1,0), H$1)</f>
        <v>2</v>
      </c>
      <c r="I154" s="150">
        <f t="array" ref="I154">COUNTIFS('Pool Changes'!$B:$B, $A154 &amp; " - " &amp; "*", INDEX(SUBSTITUTE('Pool Changes'!$G:$G, "±", "")*1,0), I$1)</f>
        <v>2</v>
      </c>
      <c r="J154" s="150">
        <f t="array" ref="J154">COUNTIFS('Pool Changes'!$B:$B, $A154 &amp; " - " &amp; "*", INDEX(SUBSTITUTE('Pool Changes'!$G:$G, "±", "")*1,0), J$1)</f>
        <v>1</v>
      </c>
      <c r="K154" s="150">
        <f t="shared" si="2"/>
        <v>8</v>
      </c>
    </row>
    <row r="155">
      <c r="A155" s="104" t="s">
        <v>5452</v>
      </c>
      <c r="B155" s="104" t="s">
        <v>6299</v>
      </c>
      <c r="C155" s="150">
        <f t="shared" si="1"/>
        <v>0.08333333333</v>
      </c>
      <c r="D155" s="150">
        <f t="array" ref="D155">COUNTIFS('Pool Changes'!$B:$B, $A155 &amp; " - " &amp; "*", INDEX(SUBSTITUTE('Pool Changes'!$G:$G, "±", "")*1,0), D$1)</f>
        <v>0</v>
      </c>
      <c r="E155" s="150">
        <f t="array" ref="E155">COUNTIFS('Pool Changes'!$B:$B, $A155 &amp; " - " &amp; "*", INDEX(SUBSTITUTE('Pool Changes'!$G:$G, "±", "")*1,0), E$1)</f>
        <v>0</v>
      </c>
      <c r="F155" s="150">
        <f t="array" ref="F155">COUNTIFS('Pool Changes'!$B:$B, $A155 &amp; " - " &amp; "*", INDEX(SUBSTITUTE('Pool Changes'!$G:$G, "±", "")*1,0), F$1)</f>
        <v>0</v>
      </c>
      <c r="G155" s="150">
        <f t="array" ref="G155">COUNTIFS('Pool Changes'!$B:$B, $A155 &amp; " - " &amp; "*", INDEX(SUBSTITUTE('Pool Changes'!$G:$G, "±", "")*1,0), G$1) - 1</f>
        <v>0</v>
      </c>
      <c r="H155" s="150">
        <f t="array" ref="H155">COUNTIFS('Pool Changes'!$B:$B, $A155 &amp; " - " &amp; "*", INDEX(SUBSTITUTE('Pool Changes'!$G:$G, "±", "")*1,0), H$1)</f>
        <v>2</v>
      </c>
      <c r="I155" s="150">
        <f t="array" ref="I155">COUNTIFS('Pool Changes'!$B:$B, $A155 &amp; " - " &amp; "*", INDEX(SUBSTITUTE('Pool Changes'!$G:$G, "±", "")*1,0), I$1)</f>
        <v>2</v>
      </c>
      <c r="J155" s="150">
        <f t="array" ref="J155">COUNTIFS('Pool Changes'!$B:$B, $A155 &amp; " - " &amp; "*", INDEX(SUBSTITUTE('Pool Changes'!$G:$G, "±", "")*1,0), J$1)</f>
        <v>7</v>
      </c>
      <c r="K155" s="150">
        <f t="shared" si="2"/>
        <v>11</v>
      </c>
    </row>
    <row r="156">
      <c r="A156" s="104" t="s">
        <v>5744</v>
      </c>
      <c r="B156" s="104" t="s">
        <v>6299</v>
      </c>
      <c r="C156" s="150">
        <f t="shared" si="1"/>
        <v>0.08333333333</v>
      </c>
      <c r="D156" s="150">
        <f t="array" ref="D156">COUNTIFS('Pool Changes'!$B:$B, $A156 &amp; " - " &amp; "*", INDEX(SUBSTITUTE('Pool Changes'!$G:$G, "±", "")*1,0), D$1)</f>
        <v>1</v>
      </c>
      <c r="E156" s="150">
        <f t="array" ref="E156">COUNTIFS('Pool Changes'!$B:$B, $A156 &amp; " - " &amp; "*", INDEX(SUBSTITUTE('Pool Changes'!$G:$G, "±", "")*1,0), E$1)</f>
        <v>2</v>
      </c>
      <c r="F156" s="150">
        <f t="array" ref="F156">COUNTIFS('Pool Changes'!$B:$B, $A156 &amp; " - " &amp; "*", INDEX(SUBSTITUTE('Pool Changes'!$G:$G, "±", "")*1,0), F$1)</f>
        <v>1</v>
      </c>
      <c r="G156" s="150">
        <f t="array" ref="G156">COUNTIFS('Pool Changes'!$B:$B, $A156 &amp; " - " &amp; "*", INDEX(SUBSTITUTE('Pool Changes'!$G:$G, "±", "")*1,0), G$1) - 1</f>
        <v>5</v>
      </c>
      <c r="H156" s="150">
        <f t="array" ref="H156">COUNTIFS('Pool Changes'!$B:$B, $A156 &amp; " - " &amp; "*", INDEX(SUBSTITUTE('Pool Changes'!$G:$G, "±", "")*1,0), H$1)</f>
        <v>0</v>
      </c>
      <c r="I156" s="150">
        <f t="array" ref="I156">COUNTIFS('Pool Changes'!$B:$B, $A156 &amp; " - " &amp; "*", INDEX(SUBSTITUTE('Pool Changes'!$G:$G, "±", "")*1,0), I$1)</f>
        <v>1</v>
      </c>
      <c r="J156" s="150">
        <f t="array" ref="J156">COUNTIFS('Pool Changes'!$B:$B, $A156 &amp; " - " &amp; "*", INDEX(SUBSTITUTE('Pool Changes'!$G:$G, "±", "")*1,0), J$1)</f>
        <v>1</v>
      </c>
      <c r="K156" s="150">
        <f t="shared" si="2"/>
        <v>11</v>
      </c>
    </row>
    <row r="157">
      <c r="A157" s="104" t="s">
        <v>5693</v>
      </c>
      <c r="B157" s="104" t="s">
        <v>6299</v>
      </c>
      <c r="C157" s="150">
        <f t="shared" si="1"/>
        <v>0.08333333333</v>
      </c>
      <c r="D157" s="150">
        <f t="array" ref="D157">COUNTIFS('Pool Changes'!$B:$B, $A157 &amp; " - " &amp; "*", INDEX(SUBSTITUTE('Pool Changes'!$G:$G, "±", "")*1,0), D$1)</f>
        <v>0</v>
      </c>
      <c r="E157" s="150">
        <f t="array" ref="E157">COUNTIFS('Pool Changes'!$B:$B, $A157 &amp; " - " &amp; "*", INDEX(SUBSTITUTE('Pool Changes'!$G:$G, "±", "")*1,0), E$1)</f>
        <v>0</v>
      </c>
      <c r="F157" s="150">
        <f t="array" ref="F157">COUNTIFS('Pool Changes'!$B:$B, $A157 &amp; " - " &amp; "*", INDEX(SUBSTITUTE('Pool Changes'!$G:$G, "±", "")*1,0), F$1)</f>
        <v>0</v>
      </c>
      <c r="G157" s="150">
        <f t="array" ref="G157">COUNTIFS('Pool Changes'!$B:$B, $A157 &amp; " - " &amp; "*", INDEX(SUBSTITUTE('Pool Changes'!$G:$G, "±", "")*1,0), G$1) - 1</f>
        <v>1</v>
      </c>
      <c r="H157" s="150">
        <f t="array" ref="H157">COUNTIFS('Pool Changes'!$B:$B, $A157 &amp; " - " &amp; "*", INDEX(SUBSTITUTE('Pool Changes'!$G:$G, "±", "")*1,0), H$1)</f>
        <v>1</v>
      </c>
      <c r="I157" s="150">
        <f t="array" ref="I157">COUNTIFS('Pool Changes'!$B:$B, $A157 &amp; " - " &amp; "*", INDEX(SUBSTITUTE('Pool Changes'!$G:$G, "±", "")*1,0), I$1)</f>
        <v>2</v>
      </c>
      <c r="J157" s="150">
        <f t="array" ref="J157">COUNTIFS('Pool Changes'!$B:$B, $A157 &amp; " - " &amp; "*", INDEX(SUBSTITUTE('Pool Changes'!$G:$G, "±", "")*1,0), J$1)</f>
        <v>1</v>
      </c>
      <c r="K157" s="150">
        <f t="shared" si="2"/>
        <v>5</v>
      </c>
    </row>
    <row r="158">
      <c r="A158" s="104" t="s">
        <v>5768</v>
      </c>
      <c r="B158" s="104" t="s">
        <v>6299</v>
      </c>
      <c r="C158" s="150">
        <f t="shared" si="1"/>
        <v>0.08333333333</v>
      </c>
      <c r="D158" s="150">
        <f t="array" ref="D158">COUNTIFS('Pool Changes'!$B:$B, $A158 &amp; " - " &amp; "*", INDEX(SUBSTITUTE('Pool Changes'!$G:$G, "±", "")*1,0), D$1)</f>
        <v>3</v>
      </c>
      <c r="E158" s="150">
        <f t="array" ref="E158">COUNTIFS('Pool Changes'!$B:$B, $A158 &amp; " - " &amp; "*", INDEX(SUBSTITUTE('Pool Changes'!$G:$G, "±", "")*1,0), E$1)</f>
        <v>0</v>
      </c>
      <c r="F158" s="150">
        <f t="array" ref="F158">COUNTIFS('Pool Changes'!$B:$B, $A158 &amp; " - " &amp; "*", INDEX(SUBSTITUTE('Pool Changes'!$G:$G, "±", "")*1,0), F$1)</f>
        <v>0</v>
      </c>
      <c r="G158" s="150">
        <f t="array" ref="G158">COUNTIFS('Pool Changes'!$B:$B, $A158 &amp; " - " &amp; "*", INDEX(SUBSTITUTE('Pool Changes'!$G:$G, "±", "")*1,0), G$1) - 1</f>
        <v>5</v>
      </c>
      <c r="H158" s="150">
        <f t="array" ref="H158">COUNTIFS('Pool Changes'!$B:$B, $A158 &amp; " - " &amp; "*", INDEX(SUBSTITUTE('Pool Changes'!$G:$G, "±", "")*1,0), H$1)</f>
        <v>1</v>
      </c>
      <c r="I158" s="150">
        <f t="array" ref="I158">COUNTIFS('Pool Changes'!$B:$B, $A158 &amp; " - " &amp; "*", INDEX(SUBSTITUTE('Pool Changes'!$G:$G, "±", "")*1,0), I$1)</f>
        <v>1</v>
      </c>
      <c r="J158" s="150">
        <f t="array" ref="J158">COUNTIFS('Pool Changes'!$B:$B, $A158 &amp; " - " &amp; "*", INDEX(SUBSTITUTE('Pool Changes'!$G:$G, "±", "")*1,0), J$1)</f>
        <v>1</v>
      </c>
      <c r="K158" s="150">
        <f t="shared" si="2"/>
        <v>11</v>
      </c>
    </row>
    <row r="159">
      <c r="A159" s="104" t="s">
        <v>5576</v>
      </c>
      <c r="B159" s="104" t="s">
        <v>6299</v>
      </c>
      <c r="C159" s="150">
        <f t="shared" si="1"/>
        <v>0.08333333333</v>
      </c>
      <c r="D159" s="150">
        <f t="array" ref="D159">COUNTIFS('Pool Changes'!$B:$B, $A159 &amp; " - " &amp; "*", INDEX(SUBSTITUTE('Pool Changes'!$G:$G, "±", "")*1,0), D$1)</f>
        <v>2</v>
      </c>
      <c r="E159" s="150">
        <f t="array" ref="E159">COUNTIFS('Pool Changes'!$B:$B, $A159 &amp; " - " &amp; "*", INDEX(SUBSTITUTE('Pool Changes'!$G:$G, "±", "")*1,0), E$1)</f>
        <v>0</v>
      </c>
      <c r="F159" s="150">
        <f t="array" ref="F159">COUNTIFS('Pool Changes'!$B:$B, $A159 &amp; " - " &amp; "*", INDEX(SUBSTITUTE('Pool Changes'!$G:$G, "±", "")*1,0), F$1)</f>
        <v>0</v>
      </c>
      <c r="G159" s="150">
        <f t="array" ref="G159">COUNTIFS('Pool Changes'!$B:$B, $A159 &amp; " - " &amp; "*", INDEX(SUBSTITUTE('Pool Changes'!$G:$G, "±", "")*1,0), G$1) - 1</f>
        <v>5</v>
      </c>
      <c r="H159" s="150">
        <f t="array" ref="H159">COUNTIFS('Pool Changes'!$B:$B, $A159 &amp; " - " &amp; "*", INDEX(SUBSTITUTE('Pool Changes'!$G:$G, "±", "")*1,0), H$1)</f>
        <v>1</v>
      </c>
      <c r="I159" s="150">
        <f t="array" ref="I159">COUNTIFS('Pool Changes'!$B:$B, $A159 &amp; " - " &amp; "*", INDEX(SUBSTITUTE('Pool Changes'!$G:$G, "±", "")*1,0), I$1)</f>
        <v>1</v>
      </c>
      <c r="J159" s="150">
        <f t="array" ref="J159">COUNTIFS('Pool Changes'!$B:$B, $A159 &amp; " - " &amp; "*", INDEX(SUBSTITUTE('Pool Changes'!$G:$G, "±", "")*1,0), J$1)</f>
        <v>1</v>
      </c>
      <c r="K159" s="150">
        <f t="shared" si="2"/>
        <v>10</v>
      </c>
    </row>
    <row r="160">
      <c r="A160" s="104" t="s">
        <v>5750</v>
      </c>
      <c r="B160" s="104" t="s">
        <v>6299</v>
      </c>
      <c r="C160" s="150">
        <f t="shared" si="1"/>
        <v>0.08333333333</v>
      </c>
      <c r="D160" s="150">
        <f t="array" ref="D160">COUNTIFS('Pool Changes'!$B:$B, $A160 &amp; " - " &amp; "*", INDEX(SUBSTITUTE('Pool Changes'!$G:$G, "±", "")*1,0), D$1)</f>
        <v>0</v>
      </c>
      <c r="E160" s="150">
        <f t="array" ref="E160">COUNTIFS('Pool Changes'!$B:$B, $A160 &amp; " - " &amp; "*", INDEX(SUBSTITUTE('Pool Changes'!$G:$G, "±", "")*1,0), E$1)</f>
        <v>0</v>
      </c>
      <c r="F160" s="150">
        <f t="array" ref="F160">COUNTIFS('Pool Changes'!$B:$B, $A160 &amp; " - " &amp; "*", INDEX(SUBSTITUTE('Pool Changes'!$G:$G, "±", "")*1,0), F$1)</f>
        <v>0</v>
      </c>
      <c r="G160" s="150">
        <f t="array" ref="G160">COUNTIFS('Pool Changes'!$B:$B, $A160 &amp; " - " &amp; "*", INDEX(SUBSTITUTE('Pool Changes'!$G:$G, "±", "")*1,0), G$1) - 1</f>
        <v>2</v>
      </c>
      <c r="H160" s="150">
        <f t="array" ref="H160">COUNTIFS('Pool Changes'!$B:$B, $A160 &amp; " - " &amp; "*", INDEX(SUBSTITUTE('Pool Changes'!$G:$G, "±", "")*1,0), H$1)</f>
        <v>0</v>
      </c>
      <c r="I160" s="150">
        <f t="array" ref="I160">COUNTIFS('Pool Changes'!$B:$B, $A160 &amp; " - " &amp; "*", INDEX(SUBSTITUTE('Pool Changes'!$G:$G, "±", "")*1,0), I$1)</f>
        <v>2</v>
      </c>
      <c r="J160" s="150">
        <f t="array" ref="J160">COUNTIFS('Pool Changes'!$B:$B, $A160 &amp; " - " &amp; "*", INDEX(SUBSTITUTE('Pool Changes'!$G:$G, "±", "")*1,0), J$1)</f>
        <v>1</v>
      </c>
      <c r="K160" s="150">
        <f t="shared" si="2"/>
        <v>5</v>
      </c>
    </row>
    <row r="161">
      <c r="A161" s="104" t="s">
        <v>5597</v>
      </c>
      <c r="B161" s="104" t="s">
        <v>6299</v>
      </c>
      <c r="C161" s="150">
        <f t="shared" si="1"/>
        <v>0.08333333333</v>
      </c>
      <c r="D161" s="150">
        <f t="array" ref="D161">COUNTIFS('Pool Changes'!$B:$B, $A161 &amp; " - " &amp; "*", INDEX(SUBSTITUTE('Pool Changes'!$G:$G, "±", "")*1,0), D$1)</f>
        <v>0</v>
      </c>
      <c r="E161" s="150">
        <f t="array" ref="E161">COUNTIFS('Pool Changes'!$B:$B, $A161 &amp; " - " &amp; "*", INDEX(SUBSTITUTE('Pool Changes'!$G:$G, "±", "")*1,0), E$1)</f>
        <v>1</v>
      </c>
      <c r="F161" s="150">
        <f t="array" ref="F161">COUNTIFS('Pool Changes'!$B:$B, $A161 &amp; " - " &amp; "*", INDEX(SUBSTITUTE('Pool Changes'!$G:$G, "±", "")*1,0), F$1)</f>
        <v>1</v>
      </c>
      <c r="G161" s="150">
        <f t="array" ref="G161">COUNTIFS('Pool Changes'!$B:$B, $A161 &amp; " - " &amp; "*", INDEX(SUBSTITUTE('Pool Changes'!$G:$G, "±", "")*1,0), G$1) - 1</f>
        <v>3</v>
      </c>
      <c r="H161" s="150">
        <f t="array" ref="H161">COUNTIFS('Pool Changes'!$B:$B, $A161 &amp; " - " &amp; "*", INDEX(SUBSTITUTE('Pool Changes'!$G:$G, "±", "")*1,0), H$1)</f>
        <v>0</v>
      </c>
      <c r="I161" s="150">
        <f t="array" ref="I161">COUNTIFS('Pool Changes'!$B:$B, $A161 &amp; " - " &amp; "*", INDEX(SUBSTITUTE('Pool Changes'!$G:$G, "±", "")*1,0), I$1)</f>
        <v>3</v>
      </c>
      <c r="J161" s="150">
        <f t="array" ref="J161">COUNTIFS('Pool Changes'!$B:$B, $A161 &amp; " - " &amp; "*", INDEX(SUBSTITUTE('Pool Changes'!$G:$G, "±", "")*1,0), J$1)</f>
        <v>0</v>
      </c>
      <c r="K161" s="150">
        <f t="shared" si="2"/>
        <v>8</v>
      </c>
    </row>
    <row r="162">
      <c r="A162" s="104" t="s">
        <v>5459</v>
      </c>
      <c r="B162" s="104" t="s">
        <v>6299</v>
      </c>
      <c r="C162" s="150">
        <f t="shared" si="1"/>
        <v>0.08333333333</v>
      </c>
      <c r="D162" s="150">
        <f t="array" ref="D162">COUNTIFS('Pool Changes'!$B:$B, $A162 &amp; " - " &amp; "*", INDEX(SUBSTITUTE('Pool Changes'!$G:$G, "±", "")*1,0), D$1)</f>
        <v>0</v>
      </c>
      <c r="E162" s="150">
        <f t="array" ref="E162">COUNTIFS('Pool Changes'!$B:$B, $A162 &amp; " - " &amp; "*", INDEX(SUBSTITUTE('Pool Changes'!$G:$G, "±", "")*1,0), E$1)</f>
        <v>0</v>
      </c>
      <c r="F162" s="150">
        <f t="array" ref="F162">COUNTIFS('Pool Changes'!$B:$B, $A162 &amp; " - " &amp; "*", INDEX(SUBSTITUTE('Pool Changes'!$G:$G, "±", "")*1,0), F$1)</f>
        <v>2</v>
      </c>
      <c r="G162" s="150">
        <f t="array" ref="G162">COUNTIFS('Pool Changes'!$B:$B, $A162 &amp; " - " &amp; "*", INDEX(SUBSTITUTE('Pool Changes'!$G:$G, "±", "")*1,0), G$1) - 1</f>
        <v>1</v>
      </c>
      <c r="H162" s="150">
        <f t="array" ref="H162">COUNTIFS('Pool Changes'!$B:$B, $A162 &amp; " - " &amp; "*", INDEX(SUBSTITUTE('Pool Changes'!$G:$G, "±", "")*1,0), H$1)</f>
        <v>1</v>
      </c>
      <c r="I162" s="150">
        <f t="array" ref="I162">COUNTIFS('Pool Changes'!$B:$B, $A162 &amp; " - " &amp; "*", INDEX(SUBSTITUTE('Pool Changes'!$G:$G, "±", "")*1,0), I$1)</f>
        <v>0</v>
      </c>
      <c r="J162" s="150">
        <f t="array" ref="J162">COUNTIFS('Pool Changes'!$B:$B, $A162 &amp; " - " &amp; "*", INDEX(SUBSTITUTE('Pool Changes'!$G:$G, "±", "")*1,0), J$1)</f>
        <v>1</v>
      </c>
      <c r="K162" s="150">
        <f t="shared" si="2"/>
        <v>5</v>
      </c>
    </row>
    <row r="163">
      <c r="A163" s="104" t="s">
        <v>5440</v>
      </c>
      <c r="B163" s="104" t="s">
        <v>6299</v>
      </c>
      <c r="C163" s="150">
        <f t="shared" si="1"/>
        <v>0.08333333333</v>
      </c>
      <c r="D163" s="150">
        <f t="array" ref="D163">COUNTIFS('Pool Changes'!$B:$B, $A163 &amp; " - " &amp; "*", INDEX(SUBSTITUTE('Pool Changes'!$G:$G, "±", "")*1,0), D$1)</f>
        <v>2</v>
      </c>
      <c r="E163" s="150">
        <f t="array" ref="E163">COUNTIFS('Pool Changes'!$B:$B, $A163 &amp; " - " &amp; "*", INDEX(SUBSTITUTE('Pool Changes'!$G:$G, "±", "")*1,0), E$1)</f>
        <v>1</v>
      </c>
      <c r="F163" s="150">
        <f t="array" ref="F163">COUNTIFS('Pool Changes'!$B:$B, $A163 &amp; " - " &amp; "*", INDEX(SUBSTITUTE('Pool Changes'!$G:$G, "±", "")*1,0), F$1)</f>
        <v>0</v>
      </c>
      <c r="G163" s="150">
        <f t="array" ref="G163">COUNTIFS('Pool Changes'!$B:$B, $A163 &amp; " - " &amp; "*", INDEX(SUBSTITUTE('Pool Changes'!$G:$G, "±", "")*1,0), G$1) - 1</f>
        <v>3</v>
      </c>
      <c r="H163" s="150">
        <f t="array" ref="H163">COUNTIFS('Pool Changes'!$B:$B, $A163 &amp; " - " &amp; "*", INDEX(SUBSTITUTE('Pool Changes'!$G:$G, "±", "")*1,0), H$1)</f>
        <v>0</v>
      </c>
      <c r="I163" s="150">
        <f t="array" ref="I163">COUNTIFS('Pool Changes'!$B:$B, $A163 &amp; " - " &amp; "*", INDEX(SUBSTITUTE('Pool Changes'!$G:$G, "±", "")*1,0), I$1)</f>
        <v>1</v>
      </c>
      <c r="J163" s="150">
        <f t="array" ref="J163">COUNTIFS('Pool Changes'!$B:$B, $A163 &amp; " - " &amp; "*", INDEX(SUBSTITUTE('Pool Changes'!$G:$G, "±", "")*1,0), J$1)</f>
        <v>1</v>
      </c>
      <c r="K163" s="150">
        <f t="shared" si="2"/>
        <v>8</v>
      </c>
    </row>
    <row r="164">
      <c r="A164" s="104" t="s">
        <v>5628</v>
      </c>
      <c r="B164" s="104" t="s">
        <v>6299</v>
      </c>
      <c r="C164" s="150">
        <f t="shared" si="1"/>
        <v>0.08333333333</v>
      </c>
      <c r="D164" s="150">
        <f t="array" ref="D164">COUNTIFS('Pool Changes'!$B:$B, $A164 &amp; " - " &amp; "*", INDEX(SUBSTITUTE('Pool Changes'!$G:$G, "±", "")*1,0), D$1)</f>
        <v>0</v>
      </c>
      <c r="E164" s="150">
        <f t="array" ref="E164">COUNTIFS('Pool Changes'!$B:$B, $A164 &amp; " - " &amp; "*", INDEX(SUBSTITUTE('Pool Changes'!$G:$G, "±", "")*1,0), E$1)</f>
        <v>0</v>
      </c>
      <c r="F164" s="150">
        <f t="array" ref="F164">COUNTIFS('Pool Changes'!$B:$B, $A164 &amp; " - " &amp; "*", INDEX(SUBSTITUTE('Pool Changes'!$G:$G, "±", "")*1,0), F$1)</f>
        <v>0</v>
      </c>
      <c r="G164" s="150">
        <f t="array" ref="G164">COUNTIFS('Pool Changes'!$B:$B, $A164 &amp; " - " &amp; "*", INDEX(SUBSTITUTE('Pool Changes'!$G:$G, "±", "")*1,0), G$1) - 1</f>
        <v>2</v>
      </c>
      <c r="H164" s="150">
        <f t="array" ref="H164">COUNTIFS('Pool Changes'!$B:$B, $A164 &amp; " - " &amp; "*", INDEX(SUBSTITUTE('Pool Changes'!$G:$G, "±", "")*1,0), H$1)</f>
        <v>0</v>
      </c>
      <c r="I164" s="150">
        <f t="array" ref="I164">COUNTIFS('Pool Changes'!$B:$B, $A164 &amp; " - " &amp; "*", INDEX(SUBSTITUTE('Pool Changes'!$G:$G, "±", "")*1,0), I$1)</f>
        <v>2</v>
      </c>
      <c r="J164" s="150">
        <f t="array" ref="J164">COUNTIFS('Pool Changes'!$B:$B, $A164 &amp; " - " &amp; "*", INDEX(SUBSTITUTE('Pool Changes'!$G:$G, "±", "")*1,0), J$1)</f>
        <v>0</v>
      </c>
      <c r="K164" s="150">
        <f t="shared" si="2"/>
        <v>4</v>
      </c>
    </row>
    <row r="165">
      <c r="A165" s="104" t="s">
        <v>5469</v>
      </c>
      <c r="B165" s="104" t="s">
        <v>6327</v>
      </c>
      <c r="C165" s="150">
        <f t="shared" si="1"/>
        <v>0</v>
      </c>
      <c r="D165" s="150">
        <f t="array" ref="D165">COUNTIFS('Pool Changes'!$B:$B, $A165 &amp; " - " &amp; "*", INDEX(SUBSTITUTE('Pool Changes'!$G:$G, "±", "")*1,0), D$1)</f>
        <v>2</v>
      </c>
      <c r="E165" s="150">
        <f t="array" ref="E165">COUNTIFS('Pool Changes'!$B:$B, $A165 &amp; " - " &amp; "*", INDEX(SUBSTITUTE('Pool Changes'!$G:$G, "±", "")*1,0), E$1)</f>
        <v>0</v>
      </c>
      <c r="F165" s="150">
        <f t="array" ref="F165">COUNTIFS('Pool Changes'!$B:$B, $A165 &amp; " - " &amp; "*", INDEX(SUBSTITUTE('Pool Changes'!$G:$G, "±", "")*1,0), F$1)</f>
        <v>1</v>
      </c>
      <c r="G165" s="150">
        <f t="array" ref="G165">COUNTIFS('Pool Changes'!$B:$B, $A165 &amp; " - " &amp; "*", INDEX(SUBSTITUTE('Pool Changes'!$G:$G, "±", "")*1,0), G$1) - 1</f>
        <v>3</v>
      </c>
      <c r="H165" s="150">
        <f t="array" ref="H165">COUNTIFS('Pool Changes'!$B:$B, $A165 &amp; " - " &amp; "*", INDEX(SUBSTITUTE('Pool Changes'!$G:$G, "±", "")*1,0), H$1)</f>
        <v>2</v>
      </c>
      <c r="I165" s="150">
        <f t="array" ref="I165">COUNTIFS('Pool Changes'!$B:$B, $A165 &amp; " - " &amp; "*", INDEX(SUBSTITUTE('Pool Changes'!$G:$G, "±", "")*1,0), I$1)</f>
        <v>0</v>
      </c>
      <c r="J165" s="150">
        <f t="array" ref="J165">COUNTIFS('Pool Changes'!$B:$B, $A165 &amp; " - " &amp; "*", INDEX(SUBSTITUTE('Pool Changes'!$G:$G, "±", "")*1,0), J$1)</f>
        <v>0</v>
      </c>
      <c r="K165" s="150">
        <f t="shared" si="2"/>
        <v>8</v>
      </c>
    </row>
    <row r="166">
      <c r="A166" s="104" t="s">
        <v>5559</v>
      </c>
      <c r="B166" s="104" t="s">
        <v>6327</v>
      </c>
      <c r="C166" s="150">
        <f t="shared" si="1"/>
        <v>0</v>
      </c>
      <c r="D166" s="150">
        <f t="array" ref="D166">COUNTIFS('Pool Changes'!$B:$B, $A166 &amp; " - " &amp; "*", INDEX(SUBSTITUTE('Pool Changes'!$G:$G, "±", "")*1,0), D$1)</f>
        <v>0</v>
      </c>
      <c r="E166" s="150">
        <f t="array" ref="E166">COUNTIFS('Pool Changes'!$B:$B, $A166 &amp; " - " &amp; "*", INDEX(SUBSTITUTE('Pool Changes'!$G:$G, "±", "")*1,0), E$1)</f>
        <v>1</v>
      </c>
      <c r="F166" s="150">
        <f t="array" ref="F166">COUNTIFS('Pool Changes'!$B:$B, $A166 &amp; " - " &amp; "*", INDEX(SUBSTITUTE('Pool Changes'!$G:$G, "±", "")*1,0), F$1)</f>
        <v>0</v>
      </c>
      <c r="G166" s="150">
        <f t="array" ref="G166">COUNTIFS('Pool Changes'!$B:$B, $A166 &amp; " - " &amp; "*", INDEX(SUBSTITUTE('Pool Changes'!$G:$G, "±", "")*1,0), G$1) - 1</f>
        <v>1</v>
      </c>
      <c r="H166" s="150">
        <f t="array" ref="H166">COUNTIFS('Pool Changes'!$B:$B, $A166 &amp; " - " &amp; "*", INDEX(SUBSTITUTE('Pool Changes'!$G:$G, "±", "")*1,0), H$1)</f>
        <v>0</v>
      </c>
      <c r="I166" s="150">
        <f t="array" ref="I166">COUNTIFS('Pool Changes'!$B:$B, $A166 &amp; " - " &amp; "*", INDEX(SUBSTITUTE('Pool Changes'!$G:$G, "±", "")*1,0), I$1)</f>
        <v>0</v>
      </c>
      <c r="J166" s="150">
        <f t="array" ref="J166">COUNTIFS('Pool Changes'!$B:$B, $A166 &amp; " - " &amp; "*", INDEX(SUBSTITUTE('Pool Changes'!$G:$G, "±", "")*1,0), J$1)</f>
        <v>0</v>
      </c>
      <c r="K166" s="150">
        <f t="shared" si="2"/>
        <v>2</v>
      </c>
    </row>
    <row r="167">
      <c r="A167" s="104" t="s">
        <v>5450</v>
      </c>
      <c r="B167" s="104" t="s">
        <v>6327</v>
      </c>
      <c r="C167" s="150">
        <f t="shared" si="1"/>
        <v>0</v>
      </c>
      <c r="D167" s="150">
        <f t="array" ref="D167">COUNTIFS('Pool Changes'!$B:$B, $A167 &amp; " - " &amp; "*", INDEX(SUBSTITUTE('Pool Changes'!$G:$G, "±", "")*1,0), D$1)</f>
        <v>0</v>
      </c>
      <c r="E167" s="150">
        <f t="array" ref="E167">COUNTIFS('Pool Changes'!$B:$B, $A167 &amp; " - " &amp; "*", INDEX(SUBSTITUTE('Pool Changes'!$G:$G, "±", "")*1,0), E$1)</f>
        <v>1</v>
      </c>
      <c r="F167" s="150">
        <f t="array" ref="F167">COUNTIFS('Pool Changes'!$B:$B, $A167 &amp; " - " &amp; "*", INDEX(SUBSTITUTE('Pool Changes'!$G:$G, "±", "")*1,0), F$1)</f>
        <v>0</v>
      </c>
      <c r="G167" s="150">
        <f t="array" ref="G167">COUNTIFS('Pool Changes'!$B:$B, $A167 &amp; " - " &amp; "*", INDEX(SUBSTITUTE('Pool Changes'!$G:$G, "±", "")*1,0), G$1) - 1</f>
        <v>2</v>
      </c>
      <c r="H167" s="150">
        <f t="array" ref="H167">COUNTIFS('Pool Changes'!$B:$B, $A167 &amp; " - " &amp; "*", INDEX(SUBSTITUTE('Pool Changes'!$G:$G, "±", "")*1,0), H$1)</f>
        <v>2</v>
      </c>
      <c r="I167" s="150">
        <f t="array" ref="I167">COUNTIFS('Pool Changes'!$B:$B, $A167 &amp; " - " &amp; "*", INDEX(SUBSTITUTE('Pool Changes'!$G:$G, "±", "")*1,0), I$1)</f>
        <v>0</v>
      </c>
      <c r="J167" s="150">
        <f t="array" ref="J167">COUNTIFS('Pool Changes'!$B:$B, $A167 &amp; " - " &amp; "*", INDEX(SUBSTITUTE('Pool Changes'!$G:$G, "±", "")*1,0), J$1)</f>
        <v>0</v>
      </c>
      <c r="K167" s="150">
        <f t="shared" si="2"/>
        <v>5</v>
      </c>
    </row>
    <row r="168">
      <c r="A168" s="104" t="s">
        <v>5497</v>
      </c>
      <c r="B168" s="104" t="s">
        <v>6327</v>
      </c>
      <c r="C168" s="150">
        <f t="shared" si="1"/>
        <v>0</v>
      </c>
      <c r="D168" s="150">
        <f t="array" ref="D168">COUNTIFS('Pool Changes'!$B:$B, $A168 &amp; " - " &amp; "*", INDEX(SUBSTITUTE('Pool Changes'!$G:$G, "±", "")*1,0), D$1)</f>
        <v>1</v>
      </c>
      <c r="E168" s="150">
        <f t="array" ref="E168">COUNTIFS('Pool Changes'!$B:$B, $A168 &amp; " - " &amp; "*", INDEX(SUBSTITUTE('Pool Changes'!$G:$G, "±", "")*1,0), E$1)</f>
        <v>0</v>
      </c>
      <c r="F168" s="150">
        <f t="array" ref="F168">COUNTIFS('Pool Changes'!$B:$B, $A168 &amp; " - " &amp; "*", INDEX(SUBSTITUTE('Pool Changes'!$G:$G, "±", "")*1,0), F$1)</f>
        <v>1</v>
      </c>
      <c r="G168" s="150">
        <f t="array" ref="G168">COUNTIFS('Pool Changes'!$B:$B, $A168 &amp; " - " &amp; "*", INDEX(SUBSTITUTE('Pool Changes'!$G:$G, "±", "")*1,0), G$1) - 1</f>
        <v>5</v>
      </c>
      <c r="H168" s="150">
        <f t="array" ref="H168">COUNTIFS('Pool Changes'!$B:$B, $A168 &amp; " - " &amp; "*", INDEX(SUBSTITUTE('Pool Changes'!$G:$G, "±", "")*1,0), H$1)</f>
        <v>1</v>
      </c>
      <c r="I168" s="150">
        <f t="array" ref="I168">COUNTIFS('Pool Changes'!$B:$B, $A168 &amp; " - " &amp; "*", INDEX(SUBSTITUTE('Pool Changes'!$G:$G, "±", "")*1,0), I$1)</f>
        <v>1</v>
      </c>
      <c r="J168" s="150">
        <f t="array" ref="J168">COUNTIFS('Pool Changes'!$B:$B, $A168 &amp; " - " &amp; "*", INDEX(SUBSTITUTE('Pool Changes'!$G:$G, "±", "")*1,0), J$1)</f>
        <v>2</v>
      </c>
      <c r="K168" s="150">
        <f t="shared" si="2"/>
        <v>11</v>
      </c>
    </row>
    <row r="169">
      <c r="A169" s="104" t="s">
        <v>5438</v>
      </c>
      <c r="B169" s="104" t="s">
        <v>6327</v>
      </c>
      <c r="C169" s="150">
        <f t="shared" si="1"/>
        <v>0</v>
      </c>
      <c r="D169" s="150">
        <f t="array" ref="D169">COUNTIFS('Pool Changes'!$B:$B, $A169 &amp; " - " &amp; "*", INDEX(SUBSTITUTE('Pool Changes'!$G:$G, "±", "")*1,0), D$1)</f>
        <v>2</v>
      </c>
      <c r="E169" s="150">
        <f t="array" ref="E169">COUNTIFS('Pool Changes'!$B:$B, $A169 &amp; " - " &amp; "*", INDEX(SUBSTITUTE('Pool Changes'!$G:$G, "±", "")*1,0), E$1)</f>
        <v>1</v>
      </c>
      <c r="F169" s="150">
        <f t="array" ref="F169">COUNTIFS('Pool Changes'!$B:$B, $A169 &amp; " - " &amp; "*", INDEX(SUBSTITUTE('Pool Changes'!$G:$G, "±", "")*1,0), F$1)</f>
        <v>0</v>
      </c>
      <c r="G169" s="150">
        <f t="array" ref="G169">COUNTIFS('Pool Changes'!$B:$B, $A169 &amp; " - " &amp; "*", INDEX(SUBSTITUTE('Pool Changes'!$G:$G, "±", "")*1,0), G$1) - 1</f>
        <v>3</v>
      </c>
      <c r="H169" s="150">
        <f t="array" ref="H169">COUNTIFS('Pool Changes'!$B:$B, $A169 &amp; " - " &amp; "*", INDEX(SUBSTITUTE('Pool Changes'!$G:$G, "±", "")*1,0), H$1)</f>
        <v>0</v>
      </c>
      <c r="I169" s="150">
        <f t="array" ref="I169">COUNTIFS('Pool Changes'!$B:$B, $A169 &amp; " - " &amp; "*", INDEX(SUBSTITUTE('Pool Changes'!$G:$G, "±", "")*1,0), I$1)</f>
        <v>0</v>
      </c>
      <c r="J169" s="150">
        <f t="array" ref="J169">COUNTIFS('Pool Changes'!$B:$B, $A169 &amp; " - " &amp; "*", INDEX(SUBSTITUTE('Pool Changes'!$G:$G, "±", "")*1,0), J$1)</f>
        <v>0</v>
      </c>
      <c r="K169" s="150">
        <f t="shared" si="2"/>
        <v>6</v>
      </c>
    </row>
    <row r="170">
      <c r="A170" s="104" t="s">
        <v>5442</v>
      </c>
      <c r="B170" s="104" t="s">
        <v>6327</v>
      </c>
      <c r="C170" s="150">
        <f t="shared" si="1"/>
        <v>0</v>
      </c>
      <c r="D170" s="150">
        <f t="array" ref="D170">COUNTIFS('Pool Changes'!$B:$B, $A170 &amp; " - " &amp; "*", INDEX(SUBSTITUTE('Pool Changes'!$G:$G, "±", "")*1,0), D$1)</f>
        <v>0</v>
      </c>
      <c r="E170" s="150">
        <f t="array" ref="E170">COUNTIFS('Pool Changes'!$B:$B, $A170 &amp; " - " &amp; "*", INDEX(SUBSTITUTE('Pool Changes'!$G:$G, "±", "")*1,0), E$1)</f>
        <v>0</v>
      </c>
      <c r="F170" s="150">
        <f t="array" ref="F170">COUNTIFS('Pool Changes'!$B:$B, $A170 &amp; " - " &amp; "*", INDEX(SUBSTITUTE('Pool Changes'!$G:$G, "±", "")*1,0), F$1)</f>
        <v>0</v>
      </c>
      <c r="G170" s="150">
        <f t="array" ref="G170">COUNTIFS('Pool Changes'!$B:$B, $A170 &amp; " - " &amp; "*", INDEX(SUBSTITUTE('Pool Changes'!$G:$G, "±", "")*1,0), G$1) - 1</f>
        <v>0</v>
      </c>
      <c r="H170" s="150">
        <f t="array" ref="H170">COUNTIFS('Pool Changes'!$B:$B, $A170 &amp; " - " &amp; "*", INDEX(SUBSTITUTE('Pool Changes'!$G:$G, "±", "")*1,0), H$1)</f>
        <v>1</v>
      </c>
      <c r="I170" s="150">
        <f t="array" ref="I170">COUNTIFS('Pool Changes'!$B:$B, $A170 &amp; " - " &amp; "*", INDEX(SUBSTITUTE('Pool Changes'!$G:$G, "±", "")*1,0), I$1)</f>
        <v>0</v>
      </c>
      <c r="J170" s="150">
        <f t="array" ref="J170">COUNTIFS('Pool Changes'!$B:$B, $A170 &amp; " - " &amp; "*", INDEX(SUBSTITUTE('Pool Changes'!$G:$G, "±", "")*1,0), J$1)</f>
        <v>0</v>
      </c>
      <c r="K170" s="150">
        <f t="shared" si="2"/>
        <v>1</v>
      </c>
    </row>
    <row r="171">
      <c r="A171" s="104" t="s">
        <v>5471</v>
      </c>
      <c r="B171" s="104" t="s">
        <v>6327</v>
      </c>
      <c r="C171" s="150">
        <f t="shared" si="1"/>
        <v>0</v>
      </c>
      <c r="D171" s="150">
        <f t="array" ref="D171">COUNTIFS('Pool Changes'!$B:$B, $A171 &amp; " - " &amp; "*", INDEX(SUBSTITUTE('Pool Changes'!$G:$G, "±", "")*1,0), D$1)</f>
        <v>0</v>
      </c>
      <c r="E171" s="150">
        <f t="array" ref="E171">COUNTIFS('Pool Changes'!$B:$B, $A171 &amp; " - " &amp; "*", INDEX(SUBSTITUTE('Pool Changes'!$G:$G, "±", "")*1,0), E$1)</f>
        <v>1</v>
      </c>
      <c r="F171" s="150">
        <f t="array" ref="F171">COUNTIFS('Pool Changes'!$B:$B, $A171 &amp; " - " &amp; "*", INDEX(SUBSTITUTE('Pool Changes'!$G:$G, "±", "")*1,0), F$1)</f>
        <v>0</v>
      </c>
      <c r="G171" s="150">
        <f t="array" ref="G171">COUNTIFS('Pool Changes'!$B:$B, $A171 &amp; " - " &amp; "*", INDEX(SUBSTITUTE('Pool Changes'!$G:$G, "±", "")*1,0), G$1) - 1</f>
        <v>2</v>
      </c>
      <c r="H171" s="150">
        <f t="array" ref="H171">COUNTIFS('Pool Changes'!$B:$B, $A171 &amp; " - " &amp; "*", INDEX(SUBSTITUTE('Pool Changes'!$G:$G, "±", "")*1,0), H$1)</f>
        <v>1</v>
      </c>
      <c r="I171" s="150">
        <f t="array" ref="I171">COUNTIFS('Pool Changes'!$B:$B, $A171 &amp; " - " &amp; "*", INDEX(SUBSTITUTE('Pool Changes'!$G:$G, "±", "")*1,0), I$1)</f>
        <v>0</v>
      </c>
      <c r="J171" s="150">
        <f t="array" ref="J171">COUNTIFS('Pool Changes'!$B:$B, $A171 &amp; " - " &amp; "*", INDEX(SUBSTITUTE('Pool Changes'!$G:$G, "±", "")*1,0), J$1)</f>
        <v>0</v>
      </c>
      <c r="K171" s="150">
        <f t="shared" si="2"/>
        <v>4</v>
      </c>
    </row>
    <row r="172">
      <c r="A172" s="104" t="s">
        <v>5520</v>
      </c>
      <c r="B172" s="104" t="s">
        <v>6327</v>
      </c>
      <c r="C172" s="150">
        <f t="shared" si="1"/>
        <v>0</v>
      </c>
      <c r="D172" s="150">
        <f t="array" ref="D172">COUNTIFS('Pool Changes'!$B:$B, $A172 &amp; " - " &amp; "*", INDEX(SUBSTITUTE('Pool Changes'!$G:$G, "±", "")*1,0), D$1)</f>
        <v>1</v>
      </c>
      <c r="E172" s="150">
        <f t="array" ref="E172">COUNTIFS('Pool Changes'!$B:$B, $A172 &amp; " - " &amp; "*", INDEX(SUBSTITUTE('Pool Changes'!$G:$G, "±", "")*1,0), E$1)</f>
        <v>0</v>
      </c>
      <c r="F172" s="150">
        <f t="array" ref="F172">COUNTIFS('Pool Changes'!$B:$B, $A172 &amp; " - " &amp; "*", INDEX(SUBSTITUTE('Pool Changes'!$G:$G, "±", "")*1,0), F$1)</f>
        <v>0</v>
      </c>
      <c r="G172" s="150">
        <f t="array" ref="G172">COUNTIFS('Pool Changes'!$B:$B, $A172 &amp; " - " &amp; "*", INDEX(SUBSTITUTE('Pool Changes'!$G:$G, "±", "")*1,0), G$1) - 1</f>
        <v>0</v>
      </c>
      <c r="H172" s="150">
        <f t="array" ref="H172">COUNTIFS('Pool Changes'!$B:$B, $A172 &amp; " - " &amp; "*", INDEX(SUBSTITUTE('Pool Changes'!$G:$G, "±", "")*1,0), H$1)</f>
        <v>0</v>
      </c>
      <c r="I172" s="150">
        <f t="array" ref="I172">COUNTIFS('Pool Changes'!$B:$B, $A172 &amp; " - " &amp; "*", INDEX(SUBSTITUTE('Pool Changes'!$G:$G, "±", "")*1,0), I$1)</f>
        <v>0</v>
      </c>
      <c r="J172" s="150">
        <f t="array" ref="J172">COUNTIFS('Pool Changes'!$B:$B, $A172 &amp; " - " &amp; "*", INDEX(SUBSTITUTE('Pool Changes'!$G:$G, "±", "")*1,0), J$1)</f>
        <v>0</v>
      </c>
      <c r="K172" s="150">
        <f t="shared" si="2"/>
        <v>1</v>
      </c>
    </row>
    <row r="173">
      <c r="A173" s="104" t="s">
        <v>5699</v>
      </c>
      <c r="B173" s="104" t="s">
        <v>6327</v>
      </c>
      <c r="C173" s="150">
        <f t="shared" si="1"/>
        <v>0</v>
      </c>
      <c r="D173" s="150">
        <f t="array" ref="D173">COUNTIFS('Pool Changes'!$B:$B, $A173 &amp; " - " &amp; "*", INDEX(SUBSTITUTE('Pool Changes'!$G:$G, "±", "")*1,0), D$1)</f>
        <v>1</v>
      </c>
      <c r="E173" s="150">
        <f t="array" ref="E173">COUNTIFS('Pool Changes'!$B:$B, $A173 &amp; " - " &amp; "*", INDEX(SUBSTITUTE('Pool Changes'!$G:$G, "±", "")*1,0), E$1)</f>
        <v>0</v>
      </c>
      <c r="F173" s="150">
        <f t="array" ref="F173">COUNTIFS('Pool Changes'!$B:$B, $A173 &amp; " - " &amp; "*", INDEX(SUBSTITUTE('Pool Changes'!$G:$G, "±", "")*1,0), F$1)</f>
        <v>0</v>
      </c>
      <c r="G173" s="150">
        <f t="array" ref="G173">COUNTIFS('Pool Changes'!$B:$B, $A173 &amp; " - " &amp; "*", INDEX(SUBSTITUTE('Pool Changes'!$G:$G, "±", "")*1,0), G$1) - 1</f>
        <v>0</v>
      </c>
      <c r="H173" s="150">
        <f t="array" ref="H173">COUNTIFS('Pool Changes'!$B:$B, $A173 &amp; " - " &amp; "*", INDEX(SUBSTITUTE('Pool Changes'!$G:$G, "±", "")*1,0), H$1)</f>
        <v>0</v>
      </c>
      <c r="I173" s="150">
        <f t="array" ref="I173">COUNTIFS('Pool Changes'!$B:$B, $A173 &amp; " - " &amp; "*", INDEX(SUBSTITUTE('Pool Changes'!$G:$G, "±", "")*1,0), I$1)</f>
        <v>0</v>
      </c>
      <c r="J173" s="150">
        <f t="array" ref="J173">COUNTIFS('Pool Changes'!$B:$B, $A173 &amp; " - " &amp; "*", INDEX(SUBSTITUTE('Pool Changes'!$G:$G, "±", "")*1,0), J$1)</f>
        <v>0</v>
      </c>
      <c r="K173" s="150">
        <f t="shared" si="2"/>
        <v>1</v>
      </c>
    </row>
    <row r="174">
      <c r="D174" s="150">
        <f t="shared" ref="D174:J174" si="3">CORREL($C$2:$C173, D$2:D173)</f>
        <v>0.03201862844</v>
      </c>
      <c r="E174" s="150">
        <f t="shared" si="3"/>
        <v>0.1153728482</v>
      </c>
      <c r="F174" s="150">
        <f t="shared" si="3"/>
        <v>0.1074493879</v>
      </c>
      <c r="G174" s="150">
        <f t="shared" si="3"/>
        <v>0.0830349858</v>
      </c>
      <c r="H174" s="150">
        <f t="shared" si="3"/>
        <v>-0.09419071614</v>
      </c>
      <c r="I174" s="150">
        <f t="shared" si="3"/>
        <v>-0.03436825986</v>
      </c>
      <c r="J174" s="150">
        <f t="shared" si="3"/>
        <v>-0.001138106951</v>
      </c>
    </row>
    <row r="175">
      <c r="H175" s="150">
        <f>SUM(H1:H173)</f>
        <v>165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t="s">
        <v>442</v>
      </c>
      <c r="B1" s="104" t="s">
        <v>445</v>
      </c>
      <c r="C1" s="104" t="s">
        <v>443</v>
      </c>
      <c r="D1" s="104" t="s">
        <v>444</v>
      </c>
    </row>
    <row r="2">
      <c r="A2" s="104" t="s">
        <v>5432</v>
      </c>
      <c r="B2" s="168" t="s">
        <v>5433</v>
      </c>
      <c r="C2" s="104">
        <v>3.0</v>
      </c>
      <c r="D2" s="104">
        <v>11.0</v>
      </c>
    </row>
    <row r="3">
      <c r="A3" s="104" t="s">
        <v>5434</v>
      </c>
      <c r="B3" s="168" t="s">
        <v>5435</v>
      </c>
      <c r="C3" s="104">
        <v>8.0</v>
      </c>
      <c r="D3" s="104">
        <v>10.0</v>
      </c>
    </row>
    <row r="4">
      <c r="A4" s="104" t="s">
        <v>5436</v>
      </c>
      <c r="B4" s="168" t="s">
        <v>5437</v>
      </c>
      <c r="C4" s="104">
        <v>16.0</v>
      </c>
      <c r="D4" s="104">
        <v>6.0</v>
      </c>
    </row>
    <row r="5">
      <c r="A5" s="104" t="s">
        <v>5438</v>
      </c>
      <c r="B5" s="168" t="s">
        <v>5439</v>
      </c>
      <c r="C5" s="104">
        <v>0.0</v>
      </c>
      <c r="D5" s="104">
        <v>11.0</v>
      </c>
    </row>
    <row r="6">
      <c r="A6" s="104" t="s">
        <v>5440</v>
      </c>
      <c r="B6" s="168" t="s">
        <v>5441</v>
      </c>
      <c r="C6" s="104">
        <v>1.0</v>
      </c>
      <c r="D6" s="104">
        <v>11.0</v>
      </c>
    </row>
    <row r="7">
      <c r="A7" s="104" t="s">
        <v>5442</v>
      </c>
      <c r="B7" s="168" t="s">
        <v>5443</v>
      </c>
      <c r="C7" s="104">
        <v>0.0</v>
      </c>
      <c r="D7" s="104">
        <v>11.0</v>
      </c>
    </row>
    <row r="8">
      <c r="A8" s="104" t="s">
        <v>5444</v>
      </c>
      <c r="B8" s="168" t="s">
        <v>5445</v>
      </c>
      <c r="C8" s="104">
        <v>11.0</v>
      </c>
      <c r="D8" s="104">
        <v>11.0</v>
      </c>
    </row>
    <row r="9">
      <c r="A9" s="104" t="s">
        <v>5446</v>
      </c>
      <c r="B9" s="168" t="s">
        <v>5447</v>
      </c>
      <c r="C9" s="104">
        <v>10.0</v>
      </c>
      <c r="D9" s="104">
        <v>9.0</v>
      </c>
    </row>
    <row r="10">
      <c r="A10" s="104" t="s">
        <v>5448</v>
      </c>
      <c r="B10" s="168" t="s">
        <v>5449</v>
      </c>
      <c r="C10" s="104">
        <v>16.0</v>
      </c>
      <c r="D10" s="104">
        <v>9.0</v>
      </c>
    </row>
    <row r="11">
      <c r="A11" s="104" t="s">
        <v>5450</v>
      </c>
      <c r="B11" s="168" t="s">
        <v>5451</v>
      </c>
      <c r="C11" s="104">
        <v>0.0</v>
      </c>
      <c r="D11" s="104">
        <v>11.0</v>
      </c>
    </row>
    <row r="12">
      <c r="A12" s="104" t="s">
        <v>5452</v>
      </c>
      <c r="B12" s="168" t="s">
        <v>5453</v>
      </c>
      <c r="C12" s="104">
        <v>1.0</v>
      </c>
      <c r="D12" s="104">
        <v>11.0</v>
      </c>
    </row>
    <row r="13">
      <c r="A13" s="104" t="s">
        <v>5455</v>
      </c>
      <c r="B13" s="168" t="s">
        <v>5456</v>
      </c>
      <c r="C13" s="104">
        <v>10.0</v>
      </c>
      <c r="D13" s="104">
        <v>10.0</v>
      </c>
    </row>
    <row r="14">
      <c r="A14" s="104" t="s">
        <v>5457</v>
      </c>
      <c r="B14" s="168" t="s">
        <v>5458</v>
      </c>
      <c r="C14" s="104">
        <v>10.0</v>
      </c>
      <c r="D14" s="104">
        <v>10.0</v>
      </c>
    </row>
    <row r="15">
      <c r="A15" s="104" t="s">
        <v>5459</v>
      </c>
      <c r="B15" s="168" t="s">
        <v>5460</v>
      </c>
      <c r="C15" s="104">
        <v>1.0</v>
      </c>
      <c r="D15" s="104">
        <v>11.0</v>
      </c>
    </row>
    <row r="16">
      <c r="A16" s="104" t="s">
        <v>5461</v>
      </c>
      <c r="B16" s="168" t="s">
        <v>5462</v>
      </c>
      <c r="C16" s="104">
        <v>2.0</v>
      </c>
      <c r="D16" s="104">
        <v>11.0</v>
      </c>
    </row>
    <row r="17">
      <c r="A17" s="104" t="s">
        <v>5463</v>
      </c>
      <c r="B17" s="168" t="s">
        <v>5464</v>
      </c>
      <c r="C17" s="104">
        <v>9.0</v>
      </c>
      <c r="D17" s="104">
        <v>10.0</v>
      </c>
    </row>
    <row r="18">
      <c r="A18" s="104" t="s">
        <v>5465</v>
      </c>
      <c r="B18" s="168" t="s">
        <v>5466</v>
      </c>
      <c r="C18" s="104">
        <v>12.0</v>
      </c>
      <c r="D18" s="104">
        <v>11.0</v>
      </c>
    </row>
    <row r="19">
      <c r="A19" s="104" t="s">
        <v>5467</v>
      </c>
      <c r="B19" s="168" t="s">
        <v>5468</v>
      </c>
      <c r="C19" s="104">
        <v>13.0</v>
      </c>
      <c r="D19" s="104">
        <v>7.0</v>
      </c>
    </row>
    <row r="20">
      <c r="A20" s="104" t="s">
        <v>5469</v>
      </c>
      <c r="B20" s="168" t="s">
        <v>5470</v>
      </c>
      <c r="C20" s="104">
        <v>0.0</v>
      </c>
      <c r="D20" s="104">
        <v>11.0</v>
      </c>
    </row>
    <row r="21">
      <c r="A21" s="104" t="s">
        <v>5471</v>
      </c>
      <c r="B21" s="168" t="s">
        <v>5472</v>
      </c>
      <c r="C21" s="104">
        <v>0.0</v>
      </c>
      <c r="D21" s="104">
        <v>11.0</v>
      </c>
    </row>
    <row r="22">
      <c r="A22" s="104" t="s">
        <v>5473</v>
      </c>
      <c r="B22" s="168" t="s">
        <v>5474</v>
      </c>
      <c r="C22" s="104">
        <v>2.0</v>
      </c>
      <c r="D22" s="104">
        <v>11.0</v>
      </c>
    </row>
    <row r="23">
      <c r="A23" s="104" t="s">
        <v>5475</v>
      </c>
      <c r="B23" s="168" t="s">
        <v>5476</v>
      </c>
      <c r="C23" s="104">
        <v>9.0</v>
      </c>
      <c r="D23" s="104">
        <v>11.0</v>
      </c>
    </row>
    <row r="24">
      <c r="A24" s="104" t="s">
        <v>5479</v>
      </c>
      <c r="B24" s="168" t="s">
        <v>5480</v>
      </c>
      <c r="C24" s="104">
        <v>8.0</v>
      </c>
      <c r="D24" s="104">
        <v>11.0</v>
      </c>
    </row>
    <row r="25">
      <c r="A25" s="104" t="s">
        <v>5481</v>
      </c>
      <c r="B25" s="168" t="s">
        <v>5482</v>
      </c>
      <c r="C25" s="104">
        <v>11.0</v>
      </c>
      <c r="D25" s="104">
        <v>10.0</v>
      </c>
    </row>
    <row r="26">
      <c r="A26" s="104" t="s">
        <v>5483</v>
      </c>
      <c r="B26" s="168" t="s">
        <v>5484</v>
      </c>
      <c r="C26" s="104">
        <v>13.0</v>
      </c>
      <c r="D26" s="104">
        <v>7.0</v>
      </c>
    </row>
    <row r="27">
      <c r="A27" s="104" t="s">
        <v>5485</v>
      </c>
      <c r="B27" s="168" t="s">
        <v>5486</v>
      </c>
      <c r="C27" s="104">
        <v>10.0</v>
      </c>
      <c r="D27" s="104">
        <v>11.0</v>
      </c>
    </row>
    <row r="28">
      <c r="A28" s="104" t="s">
        <v>5487</v>
      </c>
      <c r="B28" s="168" t="s">
        <v>5488</v>
      </c>
      <c r="C28" s="104">
        <v>16.0</v>
      </c>
      <c r="D28" s="104">
        <v>9.0</v>
      </c>
    </row>
    <row r="29">
      <c r="A29" s="104" t="s">
        <v>5489</v>
      </c>
      <c r="B29" s="168" t="s">
        <v>5490</v>
      </c>
      <c r="C29" s="104">
        <v>2.0</v>
      </c>
      <c r="D29" s="104">
        <v>11.0</v>
      </c>
    </row>
    <row r="30">
      <c r="A30" s="104" t="s">
        <v>5491</v>
      </c>
      <c r="B30" s="168" t="s">
        <v>5492</v>
      </c>
      <c r="C30" s="104">
        <v>9.0</v>
      </c>
      <c r="D30" s="104">
        <v>11.0</v>
      </c>
    </row>
    <row r="31">
      <c r="A31" s="104" t="s">
        <v>5493</v>
      </c>
      <c r="B31" s="168" t="s">
        <v>5494</v>
      </c>
      <c r="C31" s="104">
        <v>7.0</v>
      </c>
      <c r="D31" s="104">
        <v>11.0</v>
      </c>
    </row>
    <row r="32">
      <c r="A32" s="104" t="s">
        <v>5495</v>
      </c>
      <c r="B32" s="168" t="s">
        <v>5496</v>
      </c>
      <c r="C32" s="104">
        <v>16.0</v>
      </c>
      <c r="D32" s="104">
        <v>9.0</v>
      </c>
    </row>
    <row r="33">
      <c r="A33" s="104" t="s">
        <v>5497</v>
      </c>
      <c r="B33" s="168" t="s">
        <v>5498</v>
      </c>
      <c r="C33" s="104">
        <v>0.0</v>
      </c>
      <c r="D33" s="104">
        <v>11.0</v>
      </c>
    </row>
    <row r="34">
      <c r="A34" s="104" t="s">
        <v>5499</v>
      </c>
      <c r="B34" s="168" t="s">
        <v>5500</v>
      </c>
      <c r="C34" s="104">
        <v>12.0</v>
      </c>
      <c r="D34" s="104">
        <v>8.0</v>
      </c>
    </row>
    <row r="35">
      <c r="A35" s="104" t="s">
        <v>5501</v>
      </c>
      <c r="B35" s="168" t="s">
        <v>5502</v>
      </c>
      <c r="C35" s="104">
        <v>5.0</v>
      </c>
      <c r="D35" s="104">
        <v>11.0</v>
      </c>
    </row>
    <row r="36">
      <c r="A36" s="104" t="s">
        <v>5454</v>
      </c>
      <c r="B36" s="168" t="s">
        <v>5503</v>
      </c>
      <c r="C36" s="104">
        <v>15.0</v>
      </c>
      <c r="D36" s="104">
        <v>5.0</v>
      </c>
    </row>
    <row r="37">
      <c r="A37" s="104" t="s">
        <v>5504</v>
      </c>
      <c r="B37" s="168" t="s">
        <v>5505</v>
      </c>
      <c r="C37" s="104">
        <v>14.0</v>
      </c>
      <c r="D37" s="104">
        <v>6.0</v>
      </c>
    </row>
    <row r="38">
      <c r="A38" s="104" t="s">
        <v>5506</v>
      </c>
      <c r="B38" s="168" t="s">
        <v>5507</v>
      </c>
      <c r="C38" s="104">
        <v>13.0</v>
      </c>
      <c r="D38" s="104">
        <v>11.0</v>
      </c>
    </row>
    <row r="39">
      <c r="A39" s="104" t="s">
        <v>5508</v>
      </c>
      <c r="B39" s="168" t="s">
        <v>5509</v>
      </c>
      <c r="C39" s="104">
        <v>4.0</v>
      </c>
      <c r="D39" s="104">
        <v>11.0</v>
      </c>
    </row>
    <row r="40">
      <c r="A40" s="104" t="s">
        <v>5510</v>
      </c>
      <c r="B40" s="168" t="s">
        <v>5511</v>
      </c>
      <c r="C40" s="104">
        <v>12.0</v>
      </c>
      <c r="D40" s="104">
        <v>10.0</v>
      </c>
    </row>
    <row r="41">
      <c r="A41" s="104" t="s">
        <v>5512</v>
      </c>
      <c r="B41" s="168" t="s">
        <v>5513</v>
      </c>
      <c r="C41" s="104">
        <v>13.0</v>
      </c>
      <c r="D41" s="104">
        <v>11.0</v>
      </c>
    </row>
    <row r="42">
      <c r="A42" s="104" t="s">
        <v>5514</v>
      </c>
      <c r="B42" s="168" t="s">
        <v>5515</v>
      </c>
      <c r="C42" s="104">
        <v>15.0</v>
      </c>
      <c r="D42" s="104">
        <v>10.0</v>
      </c>
    </row>
    <row r="43">
      <c r="A43" s="104" t="s">
        <v>5516</v>
      </c>
      <c r="B43" s="168" t="s">
        <v>5517</v>
      </c>
      <c r="C43" s="104">
        <v>13.0</v>
      </c>
      <c r="D43" s="104">
        <v>8.0</v>
      </c>
    </row>
    <row r="44">
      <c r="A44" s="104" t="s">
        <v>5518</v>
      </c>
      <c r="B44" s="168" t="s">
        <v>5519</v>
      </c>
      <c r="C44" s="104">
        <v>3.0</v>
      </c>
      <c r="D44" s="104">
        <v>11.0</v>
      </c>
    </row>
    <row r="45">
      <c r="A45" s="104" t="s">
        <v>5520</v>
      </c>
      <c r="B45" s="168" t="s">
        <v>5521</v>
      </c>
      <c r="C45" s="104">
        <v>0.0</v>
      </c>
      <c r="D45" s="104">
        <v>11.0</v>
      </c>
    </row>
    <row r="46">
      <c r="A46" s="104" t="s">
        <v>5522</v>
      </c>
      <c r="B46" s="168" t="s">
        <v>5523</v>
      </c>
      <c r="C46" s="104">
        <v>3.0</v>
      </c>
      <c r="D46" s="104">
        <v>11.0</v>
      </c>
    </row>
    <row r="47">
      <c r="A47" s="104" t="s">
        <v>5524</v>
      </c>
      <c r="B47" s="168" t="s">
        <v>5525</v>
      </c>
      <c r="C47" s="104">
        <v>2.0</v>
      </c>
      <c r="D47" s="104">
        <v>11.0</v>
      </c>
    </row>
    <row r="48">
      <c r="A48" s="104" t="s">
        <v>5526</v>
      </c>
      <c r="B48" s="168" t="s">
        <v>5527</v>
      </c>
      <c r="C48" s="104">
        <v>3.0</v>
      </c>
      <c r="D48" s="104">
        <v>11.0</v>
      </c>
    </row>
    <row r="49">
      <c r="A49" s="104" t="s">
        <v>5528</v>
      </c>
      <c r="B49" s="168" t="s">
        <v>5529</v>
      </c>
      <c r="C49" s="104">
        <v>12.0</v>
      </c>
      <c r="D49" s="104">
        <v>8.0</v>
      </c>
    </row>
    <row r="50">
      <c r="A50" s="104" t="s">
        <v>5530</v>
      </c>
      <c r="B50" s="168" t="s">
        <v>5531</v>
      </c>
      <c r="C50" s="104">
        <v>13.0</v>
      </c>
      <c r="D50" s="104">
        <v>10.0</v>
      </c>
    </row>
    <row r="51">
      <c r="A51" s="104" t="s">
        <v>5532</v>
      </c>
      <c r="B51" s="168" t="s">
        <v>5533</v>
      </c>
      <c r="C51" s="104">
        <v>6.0</v>
      </c>
      <c r="D51" s="104">
        <v>11.0</v>
      </c>
    </row>
    <row r="52">
      <c r="A52" s="104" t="s">
        <v>5534</v>
      </c>
      <c r="B52" s="168" t="s">
        <v>5535</v>
      </c>
      <c r="C52" s="104">
        <v>8.0</v>
      </c>
      <c r="D52" s="104">
        <v>11.0</v>
      </c>
    </row>
    <row r="53">
      <c r="A53" s="104" t="s">
        <v>5536</v>
      </c>
      <c r="B53" s="168" t="s">
        <v>5537</v>
      </c>
      <c r="C53" s="104">
        <v>12.0</v>
      </c>
      <c r="D53" s="104">
        <v>6.0</v>
      </c>
    </row>
    <row r="54">
      <c r="A54" s="104" t="s">
        <v>5538</v>
      </c>
      <c r="B54" s="168" t="s">
        <v>5539</v>
      </c>
      <c r="C54" s="104">
        <v>4.0</v>
      </c>
      <c r="D54" s="104">
        <v>11.0</v>
      </c>
    </row>
    <row r="55">
      <c r="A55" s="104" t="s">
        <v>5540</v>
      </c>
      <c r="B55" s="168" t="s">
        <v>5541</v>
      </c>
      <c r="C55" s="104">
        <v>3.0</v>
      </c>
      <c r="D55" s="104">
        <v>11.0</v>
      </c>
    </row>
    <row r="56">
      <c r="A56" s="104" t="s">
        <v>5543</v>
      </c>
      <c r="B56" s="168" t="s">
        <v>5544</v>
      </c>
      <c r="C56" s="104">
        <v>8.0</v>
      </c>
      <c r="D56" s="104">
        <v>11.0</v>
      </c>
    </row>
    <row r="57">
      <c r="A57" s="104" t="s">
        <v>5545</v>
      </c>
      <c r="B57" s="168" t="s">
        <v>5546</v>
      </c>
      <c r="C57" s="104">
        <v>11.0</v>
      </c>
      <c r="D57" s="104">
        <v>10.0</v>
      </c>
    </row>
    <row r="58">
      <c r="A58" s="104" t="s">
        <v>5547</v>
      </c>
      <c r="B58" s="168" t="s">
        <v>5548</v>
      </c>
      <c r="C58" s="104">
        <v>12.0</v>
      </c>
      <c r="D58" s="104">
        <v>9.0</v>
      </c>
    </row>
    <row r="59">
      <c r="A59" s="104" t="s">
        <v>5549</v>
      </c>
      <c r="B59" s="168" t="s">
        <v>5550</v>
      </c>
      <c r="C59" s="104">
        <v>2.0</v>
      </c>
      <c r="D59" s="104">
        <v>11.0</v>
      </c>
    </row>
    <row r="60">
      <c r="A60" s="104" t="s">
        <v>5551</v>
      </c>
      <c r="B60" s="168" t="s">
        <v>5552</v>
      </c>
      <c r="C60" s="104">
        <v>6.0</v>
      </c>
      <c r="D60" s="104">
        <v>11.0</v>
      </c>
    </row>
    <row r="61">
      <c r="A61" s="104" t="s">
        <v>5553</v>
      </c>
      <c r="B61" s="168" t="s">
        <v>5554</v>
      </c>
      <c r="C61" s="104">
        <v>2.0</v>
      </c>
      <c r="D61" s="104">
        <v>11.0</v>
      </c>
    </row>
    <row r="62">
      <c r="A62" s="104" t="s">
        <v>5555</v>
      </c>
      <c r="B62" s="168" t="s">
        <v>5556</v>
      </c>
      <c r="C62" s="104">
        <v>5.0</v>
      </c>
      <c r="D62" s="104">
        <v>11.0</v>
      </c>
    </row>
    <row r="63">
      <c r="A63" s="104" t="s">
        <v>5557</v>
      </c>
      <c r="B63" s="168" t="s">
        <v>5558</v>
      </c>
      <c r="C63" s="104">
        <v>10.0</v>
      </c>
      <c r="D63" s="104">
        <v>10.0</v>
      </c>
    </row>
    <row r="64">
      <c r="A64" s="104" t="s">
        <v>5559</v>
      </c>
      <c r="B64" s="168" t="s">
        <v>5560</v>
      </c>
      <c r="C64" s="104">
        <v>0.0</v>
      </c>
      <c r="D64" s="104">
        <v>11.0</v>
      </c>
    </row>
    <row r="65">
      <c r="A65" s="104" t="s">
        <v>5562</v>
      </c>
      <c r="B65" s="168" t="s">
        <v>5563</v>
      </c>
      <c r="C65" s="104">
        <v>5.0</v>
      </c>
      <c r="D65" s="104">
        <v>11.0</v>
      </c>
    </row>
    <row r="66">
      <c r="A66" s="104" t="s">
        <v>5564</v>
      </c>
      <c r="B66" s="168" t="s">
        <v>5565</v>
      </c>
      <c r="C66" s="104">
        <v>1.0</v>
      </c>
      <c r="D66" s="104">
        <v>11.0</v>
      </c>
    </row>
    <row r="67">
      <c r="A67" s="104" t="s">
        <v>5566</v>
      </c>
      <c r="B67" s="168" t="s">
        <v>5567</v>
      </c>
      <c r="C67" s="104">
        <v>10.0</v>
      </c>
      <c r="D67" s="104">
        <v>9.0</v>
      </c>
    </row>
    <row r="68">
      <c r="A68" s="104" t="s">
        <v>5568</v>
      </c>
      <c r="B68" s="168" t="s">
        <v>5569</v>
      </c>
      <c r="C68" s="104">
        <v>8.0</v>
      </c>
      <c r="D68" s="104">
        <v>11.0</v>
      </c>
    </row>
    <row r="69">
      <c r="A69" s="104" t="s">
        <v>5570</v>
      </c>
      <c r="B69" s="168" t="s">
        <v>5571</v>
      </c>
      <c r="C69" s="104">
        <v>11.0</v>
      </c>
      <c r="D69" s="104">
        <v>7.0</v>
      </c>
    </row>
    <row r="70">
      <c r="A70" s="104" t="s">
        <v>5572</v>
      </c>
      <c r="B70" s="168" t="s">
        <v>5573</v>
      </c>
      <c r="C70" s="104">
        <v>12.0</v>
      </c>
      <c r="D70" s="104">
        <v>11.0</v>
      </c>
    </row>
    <row r="71">
      <c r="A71" s="104" t="s">
        <v>5574</v>
      </c>
      <c r="B71" s="168" t="s">
        <v>5575</v>
      </c>
      <c r="C71" s="104">
        <v>17.0</v>
      </c>
      <c r="D71" s="104">
        <v>8.0</v>
      </c>
    </row>
    <row r="72">
      <c r="A72" s="104" t="s">
        <v>5576</v>
      </c>
      <c r="B72" s="168" t="s">
        <v>5577</v>
      </c>
      <c r="C72" s="104">
        <v>1.0</v>
      </c>
      <c r="D72" s="104">
        <v>11.0</v>
      </c>
    </row>
    <row r="73">
      <c r="A73" s="104" t="s">
        <v>5578</v>
      </c>
      <c r="B73" s="168" t="s">
        <v>5579</v>
      </c>
      <c r="C73" s="104">
        <v>11.0</v>
      </c>
      <c r="D73" s="104">
        <v>11.0</v>
      </c>
    </row>
    <row r="74">
      <c r="A74" s="104" t="s">
        <v>5580</v>
      </c>
      <c r="B74" s="168" t="s">
        <v>5581</v>
      </c>
      <c r="C74" s="104">
        <v>10.0</v>
      </c>
      <c r="D74" s="104">
        <v>10.0</v>
      </c>
    </row>
    <row r="75">
      <c r="A75" s="104" t="s">
        <v>5582</v>
      </c>
      <c r="B75" s="168" t="s">
        <v>5583</v>
      </c>
      <c r="C75" s="104">
        <v>4.0</v>
      </c>
      <c r="D75" s="104">
        <v>11.0</v>
      </c>
    </row>
    <row r="76">
      <c r="A76" s="104" t="s">
        <v>5585</v>
      </c>
      <c r="B76" s="168" t="s">
        <v>5586</v>
      </c>
      <c r="C76" s="104">
        <v>2.0</v>
      </c>
      <c r="D76" s="104">
        <v>11.0</v>
      </c>
    </row>
    <row r="77">
      <c r="A77" s="104" t="s">
        <v>5587</v>
      </c>
      <c r="B77" s="168" t="s">
        <v>5588</v>
      </c>
      <c r="C77" s="104">
        <v>9.0</v>
      </c>
      <c r="D77" s="104">
        <v>11.0</v>
      </c>
    </row>
    <row r="78">
      <c r="A78" s="104" t="s">
        <v>5589</v>
      </c>
      <c r="B78" s="168" t="s">
        <v>5590</v>
      </c>
      <c r="C78" s="104">
        <v>16.0</v>
      </c>
      <c r="D78" s="104">
        <v>9.0</v>
      </c>
    </row>
    <row r="79">
      <c r="A79" s="104" t="s">
        <v>5591</v>
      </c>
      <c r="B79" s="168" t="s">
        <v>5592</v>
      </c>
      <c r="C79" s="104">
        <v>10.0</v>
      </c>
      <c r="D79" s="104">
        <v>11.0</v>
      </c>
    </row>
    <row r="80">
      <c r="A80" s="104" t="s">
        <v>5593</v>
      </c>
      <c r="B80" s="168" t="s">
        <v>5594</v>
      </c>
      <c r="C80" s="104">
        <v>16.0</v>
      </c>
      <c r="D80" s="104">
        <v>9.0</v>
      </c>
    </row>
    <row r="81">
      <c r="A81" s="104" t="s">
        <v>5595</v>
      </c>
      <c r="B81" s="168" t="s">
        <v>5596</v>
      </c>
      <c r="C81" s="104">
        <v>4.0</v>
      </c>
      <c r="D81" s="104">
        <v>11.0</v>
      </c>
    </row>
    <row r="82">
      <c r="A82" s="104" t="s">
        <v>5597</v>
      </c>
      <c r="B82" s="168" t="s">
        <v>5598</v>
      </c>
      <c r="C82" s="104">
        <v>1.0</v>
      </c>
      <c r="D82" s="104">
        <v>11.0</v>
      </c>
    </row>
    <row r="83">
      <c r="A83" s="104" t="s">
        <v>5599</v>
      </c>
      <c r="B83" s="168" t="s">
        <v>5600</v>
      </c>
      <c r="C83" s="104">
        <v>2.0</v>
      </c>
      <c r="D83" s="104">
        <v>11.0</v>
      </c>
    </row>
    <row r="84">
      <c r="A84" s="104" t="s">
        <v>5601</v>
      </c>
      <c r="B84" s="168" t="s">
        <v>5602</v>
      </c>
      <c r="C84" s="104">
        <v>10.0</v>
      </c>
      <c r="D84" s="104">
        <v>10.0</v>
      </c>
    </row>
    <row r="85">
      <c r="A85" s="104" t="s">
        <v>5603</v>
      </c>
      <c r="B85" s="168" t="s">
        <v>5604</v>
      </c>
      <c r="C85" s="104">
        <v>11.0</v>
      </c>
      <c r="D85" s="104">
        <v>9.0</v>
      </c>
    </row>
    <row r="86">
      <c r="A86" s="104" t="s">
        <v>5584</v>
      </c>
      <c r="B86" s="168" t="s">
        <v>5605</v>
      </c>
      <c r="C86" s="104">
        <v>15.0</v>
      </c>
      <c r="D86" s="104">
        <v>7.0</v>
      </c>
    </row>
    <row r="87">
      <c r="A87" s="104" t="s">
        <v>5608</v>
      </c>
      <c r="B87" s="168" t="s">
        <v>5609</v>
      </c>
      <c r="C87" s="104">
        <v>6.0</v>
      </c>
      <c r="D87" s="104">
        <v>11.0</v>
      </c>
    </row>
    <row r="88">
      <c r="A88" s="104" t="s">
        <v>5610</v>
      </c>
      <c r="B88" s="168" t="s">
        <v>5611</v>
      </c>
      <c r="C88" s="104">
        <v>13.0</v>
      </c>
      <c r="D88" s="104">
        <v>11.0</v>
      </c>
    </row>
    <row r="89">
      <c r="A89" s="104" t="s">
        <v>5612</v>
      </c>
      <c r="B89" s="168" t="s">
        <v>5613</v>
      </c>
      <c r="C89" s="104">
        <v>12.0</v>
      </c>
      <c r="D89" s="104">
        <v>8.0</v>
      </c>
    </row>
    <row r="90">
      <c r="A90" s="104" t="s">
        <v>5614</v>
      </c>
      <c r="B90" s="168" t="s">
        <v>5615</v>
      </c>
      <c r="C90" s="104">
        <v>9.0</v>
      </c>
      <c r="D90" s="104">
        <v>11.0</v>
      </c>
    </row>
    <row r="91">
      <c r="A91" s="104" t="s">
        <v>5616</v>
      </c>
      <c r="B91" s="168" t="s">
        <v>5617</v>
      </c>
      <c r="C91" s="104">
        <v>8.0</v>
      </c>
      <c r="D91" s="104">
        <v>10.0</v>
      </c>
    </row>
    <row r="92">
      <c r="A92" s="104" t="s">
        <v>5618</v>
      </c>
      <c r="B92" s="168" t="s">
        <v>5619</v>
      </c>
      <c r="C92" s="104">
        <v>15.0</v>
      </c>
      <c r="D92" s="104">
        <v>7.0</v>
      </c>
    </row>
    <row r="93">
      <c r="A93" s="104" t="s">
        <v>5620</v>
      </c>
      <c r="B93" s="168" t="s">
        <v>5621</v>
      </c>
      <c r="C93" s="104">
        <v>4.0</v>
      </c>
      <c r="D93" s="104">
        <v>11.0</v>
      </c>
    </row>
    <row r="94">
      <c r="A94" s="104" t="s">
        <v>5622</v>
      </c>
      <c r="B94" s="168" t="s">
        <v>5623</v>
      </c>
      <c r="C94" s="104">
        <v>13.0</v>
      </c>
      <c r="D94" s="104">
        <v>9.0</v>
      </c>
    </row>
    <row r="95">
      <c r="A95" s="104" t="s">
        <v>5624</v>
      </c>
      <c r="B95" s="168" t="s">
        <v>5625</v>
      </c>
      <c r="C95" s="104">
        <v>13.0</v>
      </c>
      <c r="D95" s="104">
        <v>8.0</v>
      </c>
    </row>
    <row r="96">
      <c r="A96" s="104" t="s">
        <v>5626</v>
      </c>
      <c r="B96" s="168" t="s">
        <v>5627</v>
      </c>
      <c r="C96" s="104">
        <v>8.0</v>
      </c>
      <c r="D96" s="104">
        <v>11.0</v>
      </c>
    </row>
    <row r="97">
      <c r="A97" s="104" t="s">
        <v>5628</v>
      </c>
      <c r="B97" s="168" t="s">
        <v>5629</v>
      </c>
      <c r="C97" s="104">
        <v>1.0</v>
      </c>
      <c r="D97" s="104">
        <v>11.0</v>
      </c>
    </row>
    <row r="98">
      <c r="A98" s="104" t="s">
        <v>5630</v>
      </c>
      <c r="B98" s="168" t="s">
        <v>5631</v>
      </c>
      <c r="C98" s="104">
        <v>13.0</v>
      </c>
      <c r="D98" s="104">
        <v>5.0</v>
      </c>
    </row>
    <row r="99">
      <c r="A99" s="104" t="s">
        <v>5633</v>
      </c>
      <c r="B99" s="168" t="s">
        <v>5634</v>
      </c>
      <c r="C99" s="104">
        <v>11.0</v>
      </c>
      <c r="D99" s="104">
        <v>9.0</v>
      </c>
    </row>
    <row r="100">
      <c r="A100" s="104" t="s">
        <v>5635</v>
      </c>
      <c r="B100" s="168" t="s">
        <v>5636</v>
      </c>
      <c r="C100" s="104">
        <v>8.0</v>
      </c>
      <c r="D100" s="104">
        <v>10.0</v>
      </c>
    </row>
    <row r="101">
      <c r="A101" s="104" t="s">
        <v>5637</v>
      </c>
      <c r="B101" s="168" t="s">
        <v>5638</v>
      </c>
      <c r="C101" s="104">
        <v>8.0</v>
      </c>
      <c r="D101" s="104">
        <v>11.0</v>
      </c>
    </row>
    <row r="102">
      <c r="A102" s="104" t="s">
        <v>5639</v>
      </c>
      <c r="B102" s="168" t="s">
        <v>5640</v>
      </c>
      <c r="C102" s="104">
        <v>11.0</v>
      </c>
      <c r="D102" s="104">
        <v>11.0</v>
      </c>
    </row>
    <row r="103">
      <c r="A103" s="104" t="s">
        <v>5641</v>
      </c>
      <c r="B103" s="168" t="s">
        <v>5642</v>
      </c>
      <c r="C103" s="104">
        <v>13.0</v>
      </c>
      <c r="D103" s="104">
        <v>7.0</v>
      </c>
    </row>
    <row r="104">
      <c r="A104" s="104" t="s">
        <v>5643</v>
      </c>
      <c r="B104" s="168" t="s">
        <v>5644</v>
      </c>
      <c r="C104" s="104">
        <v>7.0</v>
      </c>
      <c r="D104" s="104">
        <v>11.0</v>
      </c>
    </row>
    <row r="105">
      <c r="A105" s="104" t="s">
        <v>5645</v>
      </c>
      <c r="B105" s="168" t="s">
        <v>5646</v>
      </c>
      <c r="C105" s="104">
        <v>7.0</v>
      </c>
      <c r="D105" s="104">
        <v>11.0</v>
      </c>
    </row>
    <row r="106">
      <c r="A106" s="104" t="s">
        <v>5647</v>
      </c>
      <c r="B106" s="168" t="s">
        <v>5648</v>
      </c>
      <c r="C106" s="104">
        <v>2.0</v>
      </c>
      <c r="D106" s="104">
        <v>11.0</v>
      </c>
    </row>
    <row r="107">
      <c r="A107" s="104" t="s">
        <v>5649</v>
      </c>
      <c r="B107" s="168" t="s">
        <v>5650</v>
      </c>
      <c r="C107" s="104">
        <v>4.0</v>
      </c>
      <c r="D107" s="104">
        <v>11.0</v>
      </c>
    </row>
    <row r="108">
      <c r="A108" s="104" t="s">
        <v>5651</v>
      </c>
      <c r="B108" s="168" t="s">
        <v>5652</v>
      </c>
      <c r="C108" s="104">
        <v>4.0</v>
      </c>
      <c r="D108" s="104">
        <v>11.0</v>
      </c>
    </row>
    <row r="109">
      <c r="A109" s="104" t="s">
        <v>5653</v>
      </c>
      <c r="B109" s="168" t="s">
        <v>5654</v>
      </c>
      <c r="C109" s="104">
        <v>11.0</v>
      </c>
      <c r="D109" s="104">
        <v>9.0</v>
      </c>
    </row>
    <row r="110">
      <c r="A110" s="104" t="s">
        <v>5656</v>
      </c>
      <c r="B110" s="168" t="s">
        <v>5657</v>
      </c>
      <c r="C110" s="104">
        <v>14.0</v>
      </c>
      <c r="D110" s="104">
        <v>11.0</v>
      </c>
    </row>
    <row r="111">
      <c r="A111" s="104" t="s">
        <v>5477</v>
      </c>
      <c r="B111" s="168" t="s">
        <v>5658</v>
      </c>
      <c r="C111" s="104">
        <v>14.0</v>
      </c>
      <c r="D111" s="104">
        <v>11.0</v>
      </c>
    </row>
    <row r="112">
      <c r="A112" s="104" t="s">
        <v>5431</v>
      </c>
      <c r="B112" s="168" t="s">
        <v>5659</v>
      </c>
      <c r="C112" s="104">
        <v>19.0</v>
      </c>
      <c r="D112" s="104">
        <v>5.0</v>
      </c>
    </row>
    <row r="113">
      <c r="A113" s="104" t="s">
        <v>5660</v>
      </c>
      <c r="B113" s="168" t="s">
        <v>5661</v>
      </c>
      <c r="C113" s="104">
        <v>7.0</v>
      </c>
      <c r="D113" s="104">
        <v>11.0</v>
      </c>
    </row>
    <row r="114">
      <c r="A114" s="104" t="s">
        <v>5662</v>
      </c>
      <c r="B114" s="168" t="s">
        <v>5663</v>
      </c>
      <c r="C114" s="104">
        <v>2.0</v>
      </c>
      <c r="D114" s="104">
        <v>11.0</v>
      </c>
    </row>
    <row r="115">
      <c r="A115" s="104" t="s">
        <v>5664</v>
      </c>
      <c r="B115" s="168" t="s">
        <v>5665</v>
      </c>
      <c r="C115" s="104">
        <v>8.0</v>
      </c>
      <c r="D115" s="104">
        <v>10.0</v>
      </c>
    </row>
    <row r="116">
      <c r="A116" s="104" t="s">
        <v>5666</v>
      </c>
      <c r="B116" s="168" t="s">
        <v>5667</v>
      </c>
      <c r="C116" s="104">
        <v>9.0</v>
      </c>
      <c r="D116" s="104">
        <v>10.0</v>
      </c>
    </row>
    <row r="117">
      <c r="A117" s="104" t="s">
        <v>5668</v>
      </c>
      <c r="B117" s="168" t="s">
        <v>5669</v>
      </c>
      <c r="C117" s="104">
        <v>7.0</v>
      </c>
      <c r="D117" s="104">
        <v>11.0</v>
      </c>
    </row>
    <row r="118">
      <c r="A118" s="104" t="s">
        <v>5670</v>
      </c>
      <c r="B118" s="168" t="s">
        <v>5671</v>
      </c>
      <c r="C118" s="104">
        <v>6.0</v>
      </c>
      <c r="D118" s="104">
        <v>11.0</v>
      </c>
    </row>
    <row r="119">
      <c r="A119" s="104" t="s">
        <v>5672</v>
      </c>
      <c r="B119" s="168" t="s">
        <v>5673</v>
      </c>
      <c r="C119" s="104">
        <v>10.0</v>
      </c>
      <c r="D119" s="104">
        <v>11.0</v>
      </c>
    </row>
    <row r="120">
      <c r="A120" s="104" t="s">
        <v>5674</v>
      </c>
      <c r="B120" s="168" t="s">
        <v>5675</v>
      </c>
      <c r="C120" s="104">
        <v>8.0</v>
      </c>
      <c r="D120" s="104">
        <v>11.0</v>
      </c>
    </row>
    <row r="121">
      <c r="A121" s="104" t="s">
        <v>5561</v>
      </c>
      <c r="B121" s="168" t="s">
        <v>5676</v>
      </c>
      <c r="C121" s="104">
        <v>14.0</v>
      </c>
      <c r="D121" s="104">
        <v>6.0</v>
      </c>
    </row>
    <row r="122">
      <c r="A122" s="104" t="s">
        <v>5677</v>
      </c>
      <c r="B122" s="168" t="s">
        <v>5678</v>
      </c>
      <c r="C122" s="104">
        <v>10.0</v>
      </c>
      <c r="D122" s="104">
        <v>8.0</v>
      </c>
    </row>
    <row r="123">
      <c r="A123" s="104" t="s">
        <v>5679</v>
      </c>
      <c r="B123" s="168" t="s">
        <v>5680</v>
      </c>
      <c r="C123" s="104">
        <v>7.0</v>
      </c>
      <c r="D123" s="104">
        <v>11.0</v>
      </c>
    </row>
    <row r="124">
      <c r="A124" s="104" t="s">
        <v>5681</v>
      </c>
      <c r="B124" s="168" t="s">
        <v>5682</v>
      </c>
      <c r="C124" s="104">
        <v>16.0</v>
      </c>
      <c r="D124" s="104">
        <v>9.0</v>
      </c>
    </row>
    <row r="125">
      <c r="A125" s="104" t="s">
        <v>5426</v>
      </c>
      <c r="B125" s="168" t="s">
        <v>5683</v>
      </c>
      <c r="C125" s="104">
        <v>15.0</v>
      </c>
      <c r="D125" s="104">
        <v>5.0</v>
      </c>
    </row>
    <row r="126">
      <c r="A126" s="104" t="s">
        <v>5684</v>
      </c>
      <c r="B126" s="168" t="s">
        <v>5685</v>
      </c>
      <c r="C126" s="104">
        <v>9.0</v>
      </c>
      <c r="D126" s="104">
        <v>10.0</v>
      </c>
    </row>
    <row r="127">
      <c r="A127" s="104" t="s">
        <v>5686</v>
      </c>
      <c r="B127" s="168" t="s">
        <v>5687</v>
      </c>
      <c r="C127" s="104">
        <v>10.0</v>
      </c>
      <c r="D127" s="104">
        <v>9.0</v>
      </c>
    </row>
    <row r="128">
      <c r="A128" s="104" t="s">
        <v>5422</v>
      </c>
      <c r="B128" s="168" t="s">
        <v>5688</v>
      </c>
      <c r="C128" s="104">
        <v>18.0</v>
      </c>
      <c r="D128" s="104">
        <v>4.0</v>
      </c>
    </row>
    <row r="129">
      <c r="A129" s="104" t="s">
        <v>5689</v>
      </c>
      <c r="B129" s="168" t="s">
        <v>5690</v>
      </c>
      <c r="C129" s="104">
        <v>12.0</v>
      </c>
      <c r="D129" s="104">
        <v>7.0</v>
      </c>
    </row>
    <row r="130">
      <c r="A130" s="104" t="s">
        <v>5691</v>
      </c>
      <c r="B130" s="168" t="s">
        <v>5692</v>
      </c>
      <c r="C130" s="104">
        <v>11.0</v>
      </c>
      <c r="D130" s="104">
        <v>10.0</v>
      </c>
    </row>
    <row r="131">
      <c r="A131" s="104" t="s">
        <v>5693</v>
      </c>
      <c r="B131" s="168" t="s">
        <v>5694</v>
      </c>
      <c r="C131" s="104">
        <v>1.0</v>
      </c>
      <c r="D131" s="104">
        <v>11.0</v>
      </c>
    </row>
    <row r="132">
      <c r="A132" s="104" t="s">
        <v>5695</v>
      </c>
      <c r="B132" s="168" t="s">
        <v>5696</v>
      </c>
      <c r="C132" s="104">
        <v>12.0</v>
      </c>
      <c r="D132" s="104">
        <v>11.0</v>
      </c>
    </row>
    <row r="133">
      <c r="A133" s="104" t="s">
        <v>5697</v>
      </c>
      <c r="B133" s="168" t="s">
        <v>5698</v>
      </c>
      <c r="C133" s="104">
        <v>10.0</v>
      </c>
      <c r="D133" s="104">
        <v>11.0</v>
      </c>
    </row>
    <row r="134">
      <c r="A134" s="104" t="s">
        <v>5699</v>
      </c>
      <c r="B134" s="168" t="s">
        <v>5700</v>
      </c>
      <c r="C134" s="104">
        <v>0.0</v>
      </c>
      <c r="D134" s="104">
        <v>11.0</v>
      </c>
    </row>
    <row r="135">
      <c r="A135" s="104" t="s">
        <v>5701</v>
      </c>
      <c r="B135" s="168" t="s">
        <v>5702</v>
      </c>
      <c r="C135" s="104">
        <v>8.0</v>
      </c>
      <c r="D135" s="104">
        <v>11.0</v>
      </c>
    </row>
    <row r="136">
      <c r="A136" s="104" t="s">
        <v>5703</v>
      </c>
      <c r="B136" s="168" t="s">
        <v>5704</v>
      </c>
      <c r="C136" s="104">
        <v>9.0</v>
      </c>
      <c r="D136" s="104">
        <v>9.0</v>
      </c>
    </row>
    <row r="137">
      <c r="A137" s="104" t="s">
        <v>5705</v>
      </c>
      <c r="B137" s="168" t="s">
        <v>5706</v>
      </c>
      <c r="C137" s="104">
        <v>11.0</v>
      </c>
      <c r="D137" s="104">
        <v>11.0</v>
      </c>
    </row>
    <row r="138">
      <c r="A138" s="104" t="s">
        <v>5707</v>
      </c>
      <c r="B138" s="168" t="s">
        <v>5708</v>
      </c>
      <c r="C138" s="104">
        <v>9.0</v>
      </c>
      <c r="D138" s="104">
        <v>11.0</v>
      </c>
    </row>
    <row r="139">
      <c r="A139" s="104" t="s">
        <v>5606</v>
      </c>
      <c r="B139" s="168" t="s">
        <v>5709</v>
      </c>
      <c r="C139" s="104">
        <v>13.0</v>
      </c>
      <c r="D139" s="104">
        <v>8.0</v>
      </c>
    </row>
    <row r="140">
      <c r="A140" s="104" t="s">
        <v>5710</v>
      </c>
      <c r="B140" s="168" t="s">
        <v>5711</v>
      </c>
      <c r="C140" s="104">
        <v>2.0</v>
      </c>
      <c r="D140" s="104">
        <v>11.0</v>
      </c>
    </row>
    <row r="141">
      <c r="A141" s="104" t="s">
        <v>5712</v>
      </c>
      <c r="B141" s="168" t="s">
        <v>5713</v>
      </c>
      <c r="C141" s="104">
        <v>13.0</v>
      </c>
      <c r="D141" s="104">
        <v>8.0</v>
      </c>
    </row>
    <row r="142">
      <c r="A142" s="104" t="s">
        <v>5714</v>
      </c>
      <c r="B142" s="168" t="s">
        <v>5715</v>
      </c>
      <c r="C142" s="104">
        <v>17.0</v>
      </c>
      <c r="D142" s="104">
        <v>7.0</v>
      </c>
    </row>
    <row r="143">
      <c r="A143" s="104" t="s">
        <v>5716</v>
      </c>
      <c r="B143" s="168" t="s">
        <v>5717</v>
      </c>
      <c r="C143" s="104">
        <v>14.0</v>
      </c>
      <c r="D143" s="104">
        <v>10.0</v>
      </c>
    </row>
    <row r="144">
      <c r="A144" s="104" t="s">
        <v>5718</v>
      </c>
      <c r="B144" s="168" t="s">
        <v>5719</v>
      </c>
      <c r="C144" s="104">
        <v>10.0</v>
      </c>
      <c r="D144" s="104">
        <v>10.0</v>
      </c>
    </row>
    <row r="145">
      <c r="A145" s="104" t="s">
        <v>5720</v>
      </c>
      <c r="B145" s="168" t="s">
        <v>5721</v>
      </c>
      <c r="C145" s="104">
        <v>4.0</v>
      </c>
      <c r="D145" s="104">
        <v>11.0</v>
      </c>
    </row>
    <row r="146">
      <c r="A146" s="104" t="s">
        <v>5428</v>
      </c>
      <c r="B146" s="168" t="s">
        <v>5722</v>
      </c>
      <c r="C146" s="104">
        <v>17.0</v>
      </c>
      <c r="D146" s="104">
        <v>7.0</v>
      </c>
    </row>
    <row r="147">
      <c r="A147" s="104" t="s">
        <v>5723</v>
      </c>
      <c r="B147" s="168" t="s">
        <v>5724</v>
      </c>
      <c r="C147" s="104">
        <v>4.0</v>
      </c>
      <c r="D147" s="104">
        <v>11.0</v>
      </c>
    </row>
    <row r="148">
      <c r="A148" s="104" t="s">
        <v>5725</v>
      </c>
      <c r="B148" s="168" t="s">
        <v>5726</v>
      </c>
      <c r="C148" s="104">
        <v>2.0</v>
      </c>
      <c r="D148" s="104">
        <v>11.0</v>
      </c>
    </row>
    <row r="149">
      <c r="A149" s="104" t="s">
        <v>5727</v>
      </c>
      <c r="B149" s="168" t="s">
        <v>5728</v>
      </c>
      <c r="C149" s="104">
        <v>8.0</v>
      </c>
      <c r="D149" s="104">
        <v>11.0</v>
      </c>
    </row>
    <row r="150">
      <c r="A150" s="104" t="s">
        <v>5729</v>
      </c>
      <c r="B150" s="168" t="s">
        <v>5730</v>
      </c>
      <c r="C150" s="104">
        <v>4.0</v>
      </c>
      <c r="D150" s="104">
        <v>11.0</v>
      </c>
    </row>
    <row r="151">
      <c r="A151" s="104" t="s">
        <v>5731</v>
      </c>
      <c r="B151" s="168" t="s">
        <v>5732</v>
      </c>
      <c r="C151" s="104">
        <v>8.0</v>
      </c>
      <c r="D151" s="104">
        <v>11.0</v>
      </c>
    </row>
    <row r="152">
      <c r="A152" s="104" t="s">
        <v>5733</v>
      </c>
      <c r="B152" s="168" t="s">
        <v>5734</v>
      </c>
      <c r="C152" s="104">
        <v>5.0</v>
      </c>
      <c r="D152" s="104">
        <v>11.0</v>
      </c>
    </row>
    <row r="153">
      <c r="A153" s="104" t="s">
        <v>5735</v>
      </c>
      <c r="B153" s="168" t="s">
        <v>5736</v>
      </c>
      <c r="C153" s="104">
        <v>8.0</v>
      </c>
      <c r="D153" s="104">
        <v>11.0</v>
      </c>
    </row>
    <row r="154">
      <c r="A154" s="104" t="s">
        <v>5737</v>
      </c>
      <c r="B154" s="168" t="s">
        <v>5738</v>
      </c>
      <c r="C154" s="104">
        <v>11.0</v>
      </c>
      <c r="D154" s="104">
        <v>9.0</v>
      </c>
    </row>
    <row r="155">
      <c r="A155" s="104" t="s">
        <v>5655</v>
      </c>
      <c r="B155" s="168" t="s">
        <v>5739</v>
      </c>
      <c r="C155" s="104">
        <v>13.0</v>
      </c>
      <c r="D155" s="104">
        <v>10.0</v>
      </c>
    </row>
    <row r="156">
      <c r="A156" s="104" t="s">
        <v>5740</v>
      </c>
      <c r="B156" s="168" t="s">
        <v>5741</v>
      </c>
      <c r="C156" s="104">
        <v>13.0</v>
      </c>
      <c r="D156" s="104">
        <v>10.0</v>
      </c>
    </row>
    <row r="157">
      <c r="A157" s="104" t="s">
        <v>5742</v>
      </c>
      <c r="B157" s="168" t="s">
        <v>5743</v>
      </c>
      <c r="C157" s="104">
        <v>7.0</v>
      </c>
      <c r="D157" s="104">
        <v>11.0</v>
      </c>
    </row>
    <row r="158">
      <c r="A158" s="104" t="s">
        <v>5744</v>
      </c>
      <c r="B158" s="168" t="s">
        <v>5745</v>
      </c>
      <c r="C158" s="104">
        <v>1.0</v>
      </c>
      <c r="D158" s="104">
        <v>11.0</v>
      </c>
    </row>
    <row r="159">
      <c r="A159" s="104" t="s">
        <v>5746</v>
      </c>
      <c r="B159" s="168" t="s">
        <v>5747</v>
      </c>
      <c r="C159" s="104">
        <v>8.0</v>
      </c>
      <c r="D159" s="104">
        <v>11.0</v>
      </c>
    </row>
    <row r="160">
      <c r="A160" s="104" t="s">
        <v>5748</v>
      </c>
      <c r="B160" s="168" t="s">
        <v>5749</v>
      </c>
      <c r="C160" s="104">
        <v>2.0</v>
      </c>
      <c r="D160" s="104">
        <v>11.0</v>
      </c>
    </row>
    <row r="161">
      <c r="A161" s="104" t="s">
        <v>5750</v>
      </c>
      <c r="B161" s="168" t="s">
        <v>5751</v>
      </c>
      <c r="C161" s="104">
        <v>1.0</v>
      </c>
      <c r="D161" s="104">
        <v>11.0</v>
      </c>
    </row>
    <row r="162">
      <c r="A162" s="104" t="s">
        <v>5430</v>
      </c>
      <c r="B162" s="168" t="s">
        <v>5752</v>
      </c>
      <c r="C162" s="104">
        <v>18.0</v>
      </c>
      <c r="D162" s="104">
        <v>5.0</v>
      </c>
    </row>
    <row r="163">
      <c r="A163" s="104" t="s">
        <v>5542</v>
      </c>
      <c r="B163" s="168" t="s">
        <v>5753</v>
      </c>
      <c r="C163" s="104">
        <v>16.0</v>
      </c>
      <c r="D163" s="104">
        <v>9.0</v>
      </c>
    </row>
    <row r="164">
      <c r="A164" s="104" t="s">
        <v>5754</v>
      </c>
      <c r="B164" s="168" t="s">
        <v>5755</v>
      </c>
      <c r="C164" s="104">
        <v>11.0</v>
      </c>
      <c r="D164" s="104">
        <v>11.0</v>
      </c>
    </row>
    <row r="165">
      <c r="A165" s="104" t="s">
        <v>5756</v>
      </c>
      <c r="B165" s="168" t="s">
        <v>5757</v>
      </c>
      <c r="C165" s="104">
        <v>9.0</v>
      </c>
      <c r="D165" s="104">
        <v>11.0</v>
      </c>
    </row>
    <row r="166">
      <c r="A166" s="104" t="s">
        <v>5758</v>
      </c>
      <c r="B166" s="168" t="s">
        <v>5759</v>
      </c>
      <c r="C166" s="104">
        <v>14.0</v>
      </c>
      <c r="D166" s="104">
        <v>10.0</v>
      </c>
    </row>
    <row r="167">
      <c r="A167" s="104" t="s">
        <v>5760</v>
      </c>
      <c r="B167" s="168" t="s">
        <v>5761</v>
      </c>
      <c r="C167" s="104">
        <v>13.0</v>
      </c>
      <c r="D167" s="104">
        <v>10.0</v>
      </c>
    </row>
    <row r="168">
      <c r="A168" s="104" t="s">
        <v>5762</v>
      </c>
      <c r="B168" s="168" t="s">
        <v>5763</v>
      </c>
      <c r="C168" s="104">
        <v>9.0</v>
      </c>
      <c r="D168" s="104">
        <v>9.0</v>
      </c>
    </row>
    <row r="169">
      <c r="A169" s="104" t="s">
        <v>5764</v>
      </c>
      <c r="B169" s="168" t="s">
        <v>5765</v>
      </c>
      <c r="C169" s="104">
        <v>9.0</v>
      </c>
      <c r="D169" s="104">
        <v>11.0</v>
      </c>
    </row>
    <row r="170">
      <c r="A170" s="104" t="s">
        <v>5766</v>
      </c>
      <c r="B170" s="168" t="s">
        <v>5767</v>
      </c>
      <c r="C170" s="104">
        <v>1.0</v>
      </c>
      <c r="D170" s="104">
        <v>11.0</v>
      </c>
    </row>
    <row r="171">
      <c r="A171" s="104" t="s">
        <v>5768</v>
      </c>
      <c r="B171" s="168" t="s">
        <v>5769</v>
      </c>
      <c r="C171" s="104">
        <v>1.0</v>
      </c>
      <c r="D171" s="104">
        <v>11.0</v>
      </c>
    </row>
    <row r="172">
      <c r="A172" s="104" t="s">
        <v>5424</v>
      </c>
      <c r="B172" s="168" t="s">
        <v>5770</v>
      </c>
      <c r="C172" s="104">
        <v>17.0</v>
      </c>
      <c r="D172" s="104">
        <v>8.0</v>
      </c>
    </row>
    <row r="173">
      <c r="A173" s="104" t="s">
        <v>5771</v>
      </c>
      <c r="B173" s="168" t="s">
        <v>5772</v>
      </c>
      <c r="C173" s="104">
        <v>3.0</v>
      </c>
      <c r="D173" s="104">
        <v>11.0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s>
  <drawing r:id="rId17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t="s">
        <v>442</v>
      </c>
      <c r="B1" s="104" t="s">
        <v>9</v>
      </c>
      <c r="C1" s="104" t="s">
        <v>357</v>
      </c>
      <c r="D1" s="104" t="s">
        <v>355</v>
      </c>
      <c r="E1" s="104" t="s">
        <v>443</v>
      </c>
      <c r="F1" s="104" t="s">
        <v>444</v>
      </c>
      <c r="G1" s="104" t="s">
        <v>445</v>
      </c>
      <c r="H1" s="104" t="s">
        <v>446</v>
      </c>
      <c r="I1" s="173" t="s">
        <v>447</v>
      </c>
      <c r="J1" s="173" t="s">
        <v>448</v>
      </c>
      <c r="K1" s="173" t="s">
        <v>449</v>
      </c>
      <c r="L1" s="173" t="s">
        <v>450</v>
      </c>
      <c r="M1" s="173" t="s">
        <v>451</v>
      </c>
      <c r="N1" s="173" t="s">
        <v>452</v>
      </c>
      <c r="O1" s="173" t="s">
        <v>453</v>
      </c>
      <c r="P1" s="173" t="s">
        <v>454</v>
      </c>
      <c r="Q1" s="173" t="s">
        <v>455</v>
      </c>
      <c r="R1" s="173" t="s">
        <v>456</v>
      </c>
      <c r="S1" s="173" t="s">
        <v>457</v>
      </c>
    </row>
    <row r="2">
      <c r="A2" s="104" t="s">
        <v>5432</v>
      </c>
      <c r="B2" s="104" t="s">
        <v>5773</v>
      </c>
      <c r="C2" s="104" t="s">
        <v>5774</v>
      </c>
      <c r="D2" s="104" t="s">
        <v>262</v>
      </c>
      <c r="E2" s="104">
        <v>3.0</v>
      </c>
      <c r="F2" s="104">
        <v>11.0</v>
      </c>
      <c r="G2" s="168" t="s">
        <v>5433</v>
      </c>
      <c r="H2" s="168" t="s">
        <v>5775</v>
      </c>
      <c r="I2" s="144" t="str">
        <f>IFERROR(__xludf.DUMMYFUNCTION("LET(changes,FILTER('Pool Changes'!$B:$D, 'Pool Changes'!$B:$B = $D2),added,FILTER(INDEX(changes,0,3),INDEX(changes,0,2)=""add pack""),IFERROR(TRANSPOSE(ARRAYFORMULA(IF(added&lt;&gt;"""",HYPERLINK(""https://sealeddeck.tech/""&amp;added,""Link""),""""))),""""))"),"Link")</f>
        <v>Link</v>
      </c>
      <c r="J2" s="144" t="str">
        <f>IFERROR(__xludf.DUMMYFUNCTION("""COMPUTED_VALUE"""),"Link")</f>
        <v>Link</v>
      </c>
      <c r="K2" s="144" t="str">
        <f>IFERROR(__xludf.DUMMYFUNCTION("""COMPUTED_VALUE"""),"Link")</f>
        <v>Link</v>
      </c>
      <c r="L2" s="144" t="str">
        <f>IFERROR(__xludf.DUMMYFUNCTION("""COMPUTED_VALUE"""),"Link")</f>
        <v>Link</v>
      </c>
      <c r="M2" s="144" t="str">
        <f>IFERROR(__xludf.DUMMYFUNCTION("""COMPUTED_VALUE"""),"Link")</f>
        <v>Link</v>
      </c>
      <c r="N2" s="144" t="str">
        <f>IFERROR(__xludf.DUMMYFUNCTION("""COMPUTED_VALUE"""),"Link")</f>
        <v>Link</v>
      </c>
      <c r="O2" s="144" t="str">
        <f>IFERROR(__xludf.DUMMYFUNCTION("""COMPUTED_VALUE"""),"Link")</f>
        <v>Link</v>
      </c>
      <c r="P2" s="174"/>
      <c r="Q2" s="174"/>
      <c r="R2" s="174"/>
      <c r="S2" s="174"/>
    </row>
    <row r="3">
      <c r="A3" s="104" t="s">
        <v>5434</v>
      </c>
      <c r="B3" s="104" t="s">
        <v>5776</v>
      </c>
      <c r="C3" s="104" t="s">
        <v>5777</v>
      </c>
      <c r="D3" s="104" t="s">
        <v>133</v>
      </c>
      <c r="E3" s="104">
        <v>8.0</v>
      </c>
      <c r="F3" s="104">
        <v>10.0</v>
      </c>
      <c r="G3" s="168" t="s">
        <v>5435</v>
      </c>
      <c r="H3" s="168" t="s">
        <v>5778</v>
      </c>
      <c r="I3" s="144" t="str">
        <f>IFERROR(__xludf.DUMMYFUNCTION("LET(changes,FILTER('Pool Changes'!$B:$D, 'Pool Changes'!$B:$B = $D3),added,FILTER(INDEX(changes,0,3),INDEX(changes,0,2)=""add pack""),IFERROR(TRANSPOSE(ARRAYFORMULA(IF(added&lt;&gt;"""",HYPERLINK(""https://sealeddeck.tech/""&amp;added,""Link""),""""))),""""))"),"Link")</f>
        <v>Link</v>
      </c>
      <c r="J3" s="144" t="str">
        <f>IFERROR(__xludf.DUMMYFUNCTION("""COMPUTED_VALUE"""),"Link")</f>
        <v>Link</v>
      </c>
      <c r="K3" s="144" t="str">
        <f>IFERROR(__xludf.DUMMYFUNCTION("""COMPUTED_VALUE"""),"Link")</f>
        <v>Link</v>
      </c>
      <c r="L3" s="144" t="str">
        <f>IFERROR(__xludf.DUMMYFUNCTION("""COMPUTED_VALUE"""),"Link")</f>
        <v>Link</v>
      </c>
      <c r="M3" s="144" t="str">
        <f>IFERROR(__xludf.DUMMYFUNCTION("""COMPUTED_VALUE"""),"Link")</f>
        <v>Link</v>
      </c>
      <c r="N3" s="144" t="str">
        <f>IFERROR(__xludf.DUMMYFUNCTION("""COMPUTED_VALUE"""),"Link")</f>
        <v>Link</v>
      </c>
      <c r="O3" s="144" t="str">
        <f>IFERROR(__xludf.DUMMYFUNCTION("""COMPUTED_VALUE"""),"Link")</f>
        <v>Link</v>
      </c>
      <c r="P3" s="144" t="str">
        <f>IFERROR(__xludf.DUMMYFUNCTION("""COMPUTED_VALUE"""),"Link")</f>
        <v>Link</v>
      </c>
      <c r="Q3" s="144" t="str">
        <f>IFERROR(__xludf.DUMMYFUNCTION("""COMPUTED_VALUE"""),"Link")</f>
        <v>Link</v>
      </c>
      <c r="R3" s="144" t="str">
        <f>IFERROR(__xludf.DUMMYFUNCTION("""COMPUTED_VALUE"""),"Link")</f>
        <v>Link</v>
      </c>
      <c r="S3" s="144" t="str">
        <f>IFERROR(__xludf.DUMMYFUNCTION("""COMPUTED_VALUE"""),"Link")</f>
        <v>Link</v>
      </c>
    </row>
    <row r="4">
      <c r="A4" s="104" t="s">
        <v>5436</v>
      </c>
      <c r="B4" s="104" t="s">
        <v>5779</v>
      </c>
      <c r="C4" s="104" t="s">
        <v>5780</v>
      </c>
      <c r="D4" s="104" t="s">
        <v>251</v>
      </c>
      <c r="E4" s="104">
        <v>16.0</v>
      </c>
      <c r="F4" s="104">
        <v>6.0</v>
      </c>
      <c r="G4" s="168" t="s">
        <v>5437</v>
      </c>
      <c r="H4" s="168" t="s">
        <v>5781</v>
      </c>
      <c r="I4" s="144" t="str">
        <f>IFERROR(__xludf.DUMMYFUNCTION("LET(changes,FILTER('Pool Changes'!$B:$D, 'Pool Changes'!$B:$B = $D4),added,FILTER(INDEX(changes,0,3),INDEX(changes,0,2)=""add pack""),IFERROR(TRANSPOSE(ARRAYFORMULA(IF(added&lt;&gt;"""",HYPERLINK(""https://sealeddeck.tech/""&amp;added,""Link""),""""))),""""))"),"Link")</f>
        <v>Link</v>
      </c>
      <c r="J4" s="144" t="str">
        <f>IFERROR(__xludf.DUMMYFUNCTION("""COMPUTED_VALUE"""),"Link")</f>
        <v>Link</v>
      </c>
      <c r="K4" s="144" t="str">
        <f>IFERROR(__xludf.DUMMYFUNCTION("""COMPUTED_VALUE"""),"Link")</f>
        <v>Link</v>
      </c>
      <c r="L4" s="144" t="str">
        <f>IFERROR(__xludf.DUMMYFUNCTION("""COMPUTED_VALUE"""),"Link")</f>
        <v>Link</v>
      </c>
      <c r="M4" s="144" t="str">
        <f>IFERROR(__xludf.DUMMYFUNCTION("""COMPUTED_VALUE"""),"Link")</f>
        <v>Link</v>
      </c>
      <c r="N4" s="144" t="str">
        <f>IFERROR(__xludf.DUMMYFUNCTION("""COMPUTED_VALUE"""),"Link")</f>
        <v>Link</v>
      </c>
      <c r="O4" s="144" t="str">
        <f>IFERROR(__xludf.DUMMYFUNCTION("""COMPUTED_VALUE"""),"Link")</f>
        <v>Link</v>
      </c>
      <c r="P4" s="174"/>
      <c r="Q4" s="174"/>
      <c r="R4" s="174"/>
      <c r="S4" s="174"/>
    </row>
    <row r="5">
      <c r="A5" s="104" t="s">
        <v>5438</v>
      </c>
      <c r="B5" s="104" t="s">
        <v>5783</v>
      </c>
      <c r="C5" s="104" t="s">
        <v>5784</v>
      </c>
      <c r="D5" s="104" t="s">
        <v>96</v>
      </c>
      <c r="E5" s="104">
        <v>0.0</v>
      </c>
      <c r="F5" s="104">
        <v>11.0</v>
      </c>
      <c r="G5" s="168" t="s">
        <v>5439</v>
      </c>
      <c r="H5" s="168" t="s">
        <v>5785</v>
      </c>
      <c r="I5" s="144" t="str">
        <f>IFERROR(__xludf.DUMMYFUNCTION("LET(changes,FILTER('Pool Changes'!$B:$D, 'Pool Changes'!$B:$B = $D5),added,FILTER(INDEX(changes,0,3),INDEX(changes,0,2)=""add pack""),IFERROR(TRANSPOSE(ARRAYFORMULA(IF(added&lt;&gt;"""",HYPERLINK(""https://sealeddeck.tech/""&amp;added,""Link""),""""))),""""))"),"Link")</f>
        <v>Link</v>
      </c>
      <c r="J5" s="144" t="str">
        <f>IFERROR(__xludf.DUMMYFUNCTION("""COMPUTED_VALUE"""),"Link")</f>
        <v>Link</v>
      </c>
      <c r="K5" s="144" t="str">
        <f>IFERROR(__xludf.DUMMYFUNCTION("""COMPUTED_VALUE"""),"Link")</f>
        <v>Link</v>
      </c>
      <c r="L5" s="144" t="str">
        <f>IFERROR(__xludf.DUMMYFUNCTION("""COMPUTED_VALUE"""),"Link")</f>
        <v>Link</v>
      </c>
      <c r="M5" s="144" t="str">
        <f>IFERROR(__xludf.DUMMYFUNCTION("""COMPUTED_VALUE"""),"Link")</f>
        <v>Link</v>
      </c>
      <c r="N5" s="144" t="str">
        <f>IFERROR(__xludf.DUMMYFUNCTION("""COMPUTED_VALUE"""),"Link")</f>
        <v>Link</v>
      </c>
      <c r="O5" s="174"/>
      <c r="P5" s="174"/>
      <c r="Q5" s="174"/>
      <c r="R5" s="174"/>
      <c r="S5" s="174"/>
    </row>
    <row r="6">
      <c r="A6" s="104" t="s">
        <v>5440</v>
      </c>
      <c r="B6" s="104" t="s">
        <v>5786</v>
      </c>
      <c r="C6" s="104" t="s">
        <v>5787</v>
      </c>
      <c r="D6" s="104" t="s">
        <v>75</v>
      </c>
      <c r="E6" s="104">
        <v>1.0</v>
      </c>
      <c r="F6" s="104">
        <v>11.0</v>
      </c>
      <c r="G6" s="168" t="s">
        <v>5441</v>
      </c>
      <c r="H6" s="168" t="s">
        <v>5788</v>
      </c>
      <c r="I6" s="144" t="str">
        <f>IFERROR(__xludf.DUMMYFUNCTION("LET(changes,FILTER('Pool Changes'!$B:$D, 'Pool Changes'!$B:$B = $D6),added,FILTER(INDEX(changes,0,3),INDEX(changes,0,2)=""add pack""),IFERROR(TRANSPOSE(ARRAYFORMULA(IF(added&lt;&gt;"""",HYPERLINK(""https://sealeddeck.tech/""&amp;added,""Link""),""""))),""""))"),"Link")</f>
        <v>Link</v>
      </c>
      <c r="J6" s="144" t="str">
        <f>IFERROR(__xludf.DUMMYFUNCTION("""COMPUTED_VALUE"""),"Link")</f>
        <v>Link</v>
      </c>
      <c r="K6" s="144" t="str">
        <f>IFERROR(__xludf.DUMMYFUNCTION("""COMPUTED_VALUE"""),"Link")</f>
        <v>Link</v>
      </c>
      <c r="L6" s="144" t="str">
        <f>IFERROR(__xludf.DUMMYFUNCTION("""COMPUTED_VALUE"""),"Link")</f>
        <v>Link</v>
      </c>
      <c r="M6" s="144" t="str">
        <f>IFERROR(__xludf.DUMMYFUNCTION("""COMPUTED_VALUE"""),"Link")</f>
        <v>Link</v>
      </c>
      <c r="N6" s="144" t="str">
        <f>IFERROR(__xludf.DUMMYFUNCTION("""COMPUTED_VALUE"""),"Link")</f>
        <v>Link</v>
      </c>
      <c r="O6" s="144" t="str">
        <f>IFERROR(__xludf.DUMMYFUNCTION("""COMPUTED_VALUE"""),"Link")</f>
        <v>Link</v>
      </c>
      <c r="P6" s="144" t="str">
        <f>IFERROR(__xludf.DUMMYFUNCTION("""COMPUTED_VALUE"""),"Link")</f>
        <v>Link</v>
      </c>
      <c r="Q6" s="174"/>
      <c r="R6" s="174"/>
      <c r="S6" s="174"/>
    </row>
    <row r="7">
      <c r="A7" s="104" t="s">
        <v>5442</v>
      </c>
      <c r="B7" s="104" t="s">
        <v>5789</v>
      </c>
      <c r="C7" s="104" t="s">
        <v>5790</v>
      </c>
      <c r="D7" s="104" t="s">
        <v>80</v>
      </c>
      <c r="E7" s="104">
        <v>0.0</v>
      </c>
      <c r="F7" s="104">
        <v>11.0</v>
      </c>
      <c r="G7" s="168" t="s">
        <v>5443</v>
      </c>
      <c r="H7" s="168" t="s">
        <v>5791</v>
      </c>
      <c r="I7" s="144" t="str">
        <f>IFERROR(__xludf.DUMMYFUNCTION("LET(changes,FILTER('Pool Changes'!$B:$D, 'Pool Changes'!$B:$B = $D7),added,FILTER(INDEX(changes,0,3),INDEX(changes,0,2)=""add pack""),IFERROR(TRANSPOSE(ARRAYFORMULA(IF(added&lt;&gt;"""",HYPERLINK(""https://sealeddeck.tech/""&amp;added,""Link""),""""))),""""))"),"Link")</f>
        <v>Link</v>
      </c>
      <c r="J7" s="174"/>
      <c r="K7" s="174"/>
      <c r="L7" s="174"/>
      <c r="M7" s="174"/>
      <c r="N7" s="174"/>
      <c r="O7" s="174"/>
      <c r="P7" s="174"/>
      <c r="Q7" s="174"/>
      <c r="R7" s="174"/>
      <c r="S7" s="174"/>
    </row>
    <row r="8">
      <c r="A8" s="104" t="s">
        <v>5444</v>
      </c>
      <c r="B8" s="104" t="s">
        <v>5792</v>
      </c>
      <c r="C8" s="104" t="s">
        <v>5793</v>
      </c>
      <c r="D8" s="104" t="s">
        <v>140</v>
      </c>
      <c r="E8" s="104">
        <v>11.0</v>
      </c>
      <c r="F8" s="104">
        <v>11.0</v>
      </c>
      <c r="G8" s="168" t="s">
        <v>5445</v>
      </c>
      <c r="H8" s="168" t="s">
        <v>5794</v>
      </c>
      <c r="I8" s="144" t="str">
        <f>IFERROR(__xludf.DUMMYFUNCTION("LET(changes,FILTER('Pool Changes'!$B:$D, 'Pool Changes'!$B:$B = $D8),added,FILTER(INDEX(changes,0,3),INDEX(changes,0,2)=""add pack""),IFERROR(TRANSPOSE(ARRAYFORMULA(IF(added&lt;&gt;"""",HYPERLINK(""https://sealeddeck.tech/""&amp;added,""Link""),""""))),""""))"),"Link")</f>
        <v>Link</v>
      </c>
      <c r="J8" s="144" t="str">
        <f>IFERROR(__xludf.DUMMYFUNCTION("""COMPUTED_VALUE"""),"Link")</f>
        <v>Link</v>
      </c>
      <c r="K8" s="144" t="str">
        <f>IFERROR(__xludf.DUMMYFUNCTION("""COMPUTED_VALUE"""),"Link")</f>
        <v>Link</v>
      </c>
      <c r="L8" s="144" t="str">
        <f>IFERROR(__xludf.DUMMYFUNCTION("""COMPUTED_VALUE"""),"Link")</f>
        <v>Link</v>
      </c>
      <c r="M8" s="144" t="str">
        <f>IFERROR(__xludf.DUMMYFUNCTION("""COMPUTED_VALUE"""),"Link")</f>
        <v>Link</v>
      </c>
      <c r="N8" s="144" t="str">
        <f>IFERROR(__xludf.DUMMYFUNCTION("""COMPUTED_VALUE"""),"Link")</f>
        <v>Link</v>
      </c>
      <c r="O8" s="144" t="str">
        <f>IFERROR(__xludf.DUMMYFUNCTION("""COMPUTED_VALUE"""),"Link")</f>
        <v>Link</v>
      </c>
      <c r="P8" s="144" t="str">
        <f>IFERROR(__xludf.DUMMYFUNCTION("""COMPUTED_VALUE"""),"Link")</f>
        <v>Link</v>
      </c>
      <c r="Q8" s="144" t="str">
        <f>IFERROR(__xludf.DUMMYFUNCTION("""COMPUTED_VALUE"""),"Link")</f>
        <v>Link</v>
      </c>
      <c r="R8" s="144" t="str">
        <f>IFERROR(__xludf.DUMMYFUNCTION("""COMPUTED_VALUE"""),"Link")</f>
        <v>Link</v>
      </c>
      <c r="S8" s="144" t="str">
        <f>IFERROR(__xludf.DUMMYFUNCTION("""COMPUTED_VALUE"""),"Link")</f>
        <v>Link</v>
      </c>
    </row>
    <row r="9">
      <c r="A9" s="104" t="s">
        <v>5446</v>
      </c>
      <c r="B9" s="104" t="s">
        <v>5795</v>
      </c>
      <c r="C9" s="104" t="s">
        <v>5796</v>
      </c>
      <c r="D9" s="104" t="s">
        <v>231</v>
      </c>
      <c r="E9" s="104">
        <v>10.0</v>
      </c>
      <c r="F9" s="104">
        <v>9.0</v>
      </c>
      <c r="G9" s="168" t="s">
        <v>5447</v>
      </c>
      <c r="H9" s="168" t="s">
        <v>5797</v>
      </c>
      <c r="I9" s="144" t="str">
        <f>IFERROR(__xludf.DUMMYFUNCTION("LET(changes,FILTER('Pool Changes'!$B:$D, 'Pool Changes'!$B:$B = $D9),added,FILTER(INDEX(changes,0,3),INDEX(changes,0,2)=""add pack""),IFERROR(TRANSPOSE(ARRAYFORMULA(IF(added&lt;&gt;"""",HYPERLINK(""https://sealeddeck.tech/""&amp;added,""Link""),""""))),""""))"),"Link")</f>
        <v>Link</v>
      </c>
      <c r="J9" s="144" t="str">
        <f>IFERROR(__xludf.DUMMYFUNCTION("""COMPUTED_VALUE"""),"Link")</f>
        <v>Link</v>
      </c>
      <c r="K9" s="144" t="str">
        <f>IFERROR(__xludf.DUMMYFUNCTION("""COMPUTED_VALUE"""),"Link")</f>
        <v>Link</v>
      </c>
      <c r="L9" s="144" t="str">
        <f>IFERROR(__xludf.DUMMYFUNCTION("""COMPUTED_VALUE"""),"Link")</f>
        <v>Link</v>
      </c>
      <c r="M9" s="144" t="str">
        <f>IFERROR(__xludf.DUMMYFUNCTION("""COMPUTED_VALUE"""),"Link")</f>
        <v>Link</v>
      </c>
      <c r="N9" s="144" t="str">
        <f>IFERROR(__xludf.DUMMYFUNCTION("""COMPUTED_VALUE"""),"Link")</f>
        <v>Link</v>
      </c>
      <c r="O9" s="144" t="str">
        <f>IFERROR(__xludf.DUMMYFUNCTION("""COMPUTED_VALUE"""),"Link")</f>
        <v>Link</v>
      </c>
      <c r="P9" s="144" t="str">
        <f>IFERROR(__xludf.DUMMYFUNCTION("""COMPUTED_VALUE"""),"Link")</f>
        <v>Link</v>
      </c>
      <c r="Q9" s="144" t="str">
        <f>IFERROR(__xludf.DUMMYFUNCTION("""COMPUTED_VALUE"""),"Link")</f>
        <v>Link</v>
      </c>
      <c r="R9" s="144" t="str">
        <f>IFERROR(__xludf.DUMMYFUNCTION("""COMPUTED_VALUE"""),"Link")</f>
        <v>Link</v>
      </c>
      <c r="S9" s="174"/>
    </row>
    <row r="10">
      <c r="A10" s="104" t="s">
        <v>5448</v>
      </c>
      <c r="B10" s="104" t="s">
        <v>5799</v>
      </c>
      <c r="C10" s="104" t="s">
        <v>5800</v>
      </c>
      <c r="D10" s="104" t="s">
        <v>155</v>
      </c>
      <c r="E10" s="104">
        <v>16.0</v>
      </c>
      <c r="F10" s="104">
        <v>9.0</v>
      </c>
      <c r="G10" s="168" t="s">
        <v>5449</v>
      </c>
      <c r="H10" s="168" t="s">
        <v>5801</v>
      </c>
      <c r="I10" s="144" t="str">
        <f>IFERROR(__xludf.DUMMYFUNCTION("LET(changes,FILTER('Pool Changes'!$B:$D, 'Pool Changes'!$B:$B = $D10),added,FILTER(INDEX(changes,0,3),INDEX(changes,0,2)=""add pack""),IFERROR(TRANSPOSE(ARRAYFORMULA(IF(added&lt;&gt;"""",HYPERLINK(""https://sealeddeck.tech/""&amp;added,""Link""),""""))),""""))"),"Link")</f>
        <v>Link</v>
      </c>
      <c r="J10" s="144" t="str">
        <f>IFERROR(__xludf.DUMMYFUNCTION("""COMPUTED_VALUE"""),"Link")</f>
        <v>Link</v>
      </c>
      <c r="K10" s="144" t="str">
        <f>IFERROR(__xludf.DUMMYFUNCTION("""COMPUTED_VALUE"""),"Link")</f>
        <v>Link</v>
      </c>
      <c r="L10" s="144" t="str">
        <f>IFERROR(__xludf.DUMMYFUNCTION("""COMPUTED_VALUE"""),"Link")</f>
        <v>Link</v>
      </c>
      <c r="M10" s="144" t="str">
        <f>IFERROR(__xludf.DUMMYFUNCTION("""COMPUTED_VALUE"""),"Link")</f>
        <v>Link</v>
      </c>
      <c r="N10" s="144" t="str">
        <f>IFERROR(__xludf.DUMMYFUNCTION("""COMPUTED_VALUE"""),"Link")</f>
        <v>Link</v>
      </c>
      <c r="O10" s="144" t="str">
        <f>IFERROR(__xludf.DUMMYFUNCTION("""COMPUTED_VALUE"""),"Link")</f>
        <v>Link</v>
      </c>
      <c r="P10" s="144" t="str">
        <f>IFERROR(__xludf.DUMMYFUNCTION("""COMPUTED_VALUE"""),"Link")</f>
        <v>Link</v>
      </c>
      <c r="Q10" s="144" t="str">
        <f>IFERROR(__xludf.DUMMYFUNCTION("""COMPUTED_VALUE"""),"Link")</f>
        <v>Link</v>
      </c>
      <c r="R10" s="144" t="str">
        <f>IFERROR(__xludf.DUMMYFUNCTION("""COMPUTED_VALUE"""),"Link")</f>
        <v>Link</v>
      </c>
      <c r="S10" s="174"/>
    </row>
    <row r="11">
      <c r="A11" s="104" t="s">
        <v>5450</v>
      </c>
      <c r="B11" s="104" t="s">
        <v>5803</v>
      </c>
      <c r="C11" s="104" t="s">
        <v>5804</v>
      </c>
      <c r="D11" s="104" t="s">
        <v>100</v>
      </c>
      <c r="E11" s="104">
        <v>0.0</v>
      </c>
      <c r="F11" s="104">
        <v>11.0</v>
      </c>
      <c r="G11" s="168" t="s">
        <v>5451</v>
      </c>
      <c r="H11" s="168" t="s">
        <v>5805</v>
      </c>
      <c r="I11" s="144" t="str">
        <f>IFERROR(__xludf.DUMMYFUNCTION("LET(changes,FILTER('Pool Changes'!$B:$D, 'Pool Changes'!$B:$B = $D11),added,FILTER(INDEX(changes,0,3),INDEX(changes,0,2)=""add pack""),IFERROR(TRANSPOSE(ARRAYFORMULA(IF(added&lt;&gt;"""",HYPERLINK(""https://sealeddeck.tech/""&amp;added,""Link""),""""))),""""))"),"Link")</f>
        <v>Link</v>
      </c>
      <c r="J11" s="144" t="str">
        <f>IFERROR(__xludf.DUMMYFUNCTION("""COMPUTED_VALUE"""),"Link")</f>
        <v>Link</v>
      </c>
      <c r="K11" s="144" t="str">
        <f>IFERROR(__xludf.DUMMYFUNCTION("""COMPUTED_VALUE"""),"Link")</f>
        <v>Link</v>
      </c>
      <c r="L11" s="144" t="str">
        <f>IFERROR(__xludf.DUMMYFUNCTION("""COMPUTED_VALUE"""),"Link")</f>
        <v>Link</v>
      </c>
      <c r="M11" s="144" t="str">
        <f>IFERROR(__xludf.DUMMYFUNCTION("""COMPUTED_VALUE"""),"Link")</f>
        <v>Link</v>
      </c>
      <c r="N11" s="174"/>
      <c r="O11" s="174"/>
      <c r="P11" s="174"/>
      <c r="Q11" s="174"/>
      <c r="R11" s="174"/>
      <c r="S11" s="174"/>
    </row>
    <row r="12">
      <c r="A12" s="104" t="s">
        <v>5452</v>
      </c>
      <c r="B12" s="104" t="s">
        <v>5807</v>
      </c>
      <c r="C12" s="104" t="s">
        <v>5808</v>
      </c>
      <c r="D12" s="104" t="s">
        <v>101</v>
      </c>
      <c r="E12" s="104">
        <v>1.0</v>
      </c>
      <c r="F12" s="104">
        <v>11.0</v>
      </c>
      <c r="G12" s="168" t="s">
        <v>5453</v>
      </c>
      <c r="H12" s="168" t="s">
        <v>5809</v>
      </c>
      <c r="I12" s="144" t="str">
        <f>IFERROR(__xludf.DUMMYFUNCTION("LET(changes,FILTER('Pool Changes'!$B:$D, 'Pool Changes'!$B:$B = $D12),added,FILTER(INDEX(changes,0,3),INDEX(changes,0,2)=""add pack""),IFERROR(TRANSPOSE(ARRAYFORMULA(IF(added&lt;&gt;"""",HYPERLINK(""https://sealeddeck.tech/""&amp;added,""Link""),""""))),""""))"),"Link")</f>
        <v>Link</v>
      </c>
      <c r="J12" s="144" t="str">
        <f>IFERROR(__xludf.DUMMYFUNCTION("""COMPUTED_VALUE"""),"Link")</f>
        <v>Link</v>
      </c>
      <c r="K12" s="144" t="str">
        <f>IFERROR(__xludf.DUMMYFUNCTION("""COMPUTED_VALUE"""),"Link")</f>
        <v>Link</v>
      </c>
      <c r="L12" s="144" t="str">
        <f>IFERROR(__xludf.DUMMYFUNCTION("""COMPUTED_VALUE"""),"Link")</f>
        <v>Link</v>
      </c>
      <c r="M12" s="144" t="str">
        <f>IFERROR(__xludf.DUMMYFUNCTION("""COMPUTED_VALUE"""),"Link")</f>
        <v>Link</v>
      </c>
      <c r="N12" s="144" t="str">
        <f>IFERROR(__xludf.DUMMYFUNCTION("""COMPUTED_VALUE"""),"Link")</f>
        <v>Link</v>
      </c>
      <c r="O12" s="144" t="str">
        <f>IFERROR(__xludf.DUMMYFUNCTION("""COMPUTED_VALUE"""),"Link")</f>
        <v>Link</v>
      </c>
      <c r="P12" s="144" t="str">
        <f>IFERROR(__xludf.DUMMYFUNCTION("""COMPUTED_VALUE"""),"Link")</f>
        <v>Link</v>
      </c>
      <c r="Q12" s="144" t="str">
        <f>IFERROR(__xludf.DUMMYFUNCTION("""COMPUTED_VALUE"""),"Link")</f>
        <v>Link</v>
      </c>
      <c r="R12" s="144" t="str">
        <f>IFERROR(__xludf.DUMMYFUNCTION("""COMPUTED_VALUE"""),"Link")</f>
        <v>Link</v>
      </c>
      <c r="S12" s="144" t="str">
        <f>IFERROR(__xludf.DUMMYFUNCTION("""COMPUTED_VALUE"""),"Link")</f>
        <v>Link</v>
      </c>
    </row>
    <row r="13">
      <c r="A13" s="104" t="s">
        <v>5455</v>
      </c>
      <c r="B13" s="104" t="s">
        <v>5810</v>
      </c>
      <c r="C13" s="104" t="s">
        <v>5811</v>
      </c>
      <c r="D13" s="104" t="s">
        <v>203</v>
      </c>
      <c r="E13" s="104">
        <v>10.0</v>
      </c>
      <c r="F13" s="104">
        <v>10.0</v>
      </c>
      <c r="G13" s="168" t="s">
        <v>5456</v>
      </c>
      <c r="H13" s="168" t="s">
        <v>5812</v>
      </c>
      <c r="I13" s="144" t="str">
        <f>IFERROR(__xludf.DUMMYFUNCTION("LET(changes,FILTER('Pool Changes'!$B:$D, 'Pool Changes'!$B:$B = $D13),added,FILTER(INDEX(changes,0,3),INDEX(changes,0,2)=""add pack""),IFERROR(TRANSPOSE(ARRAYFORMULA(IF(added&lt;&gt;"""",HYPERLINK(""https://sealeddeck.tech/""&amp;added,""Link""),""""))),""""))"),"Link")</f>
        <v>Link</v>
      </c>
      <c r="J13" s="144" t="str">
        <f>IFERROR(__xludf.DUMMYFUNCTION("""COMPUTED_VALUE"""),"Link")</f>
        <v>Link</v>
      </c>
      <c r="K13" s="144" t="str">
        <f>IFERROR(__xludf.DUMMYFUNCTION("""COMPUTED_VALUE"""),"Link")</f>
        <v>Link</v>
      </c>
      <c r="L13" s="144" t="str">
        <f>IFERROR(__xludf.DUMMYFUNCTION("""COMPUTED_VALUE"""),"Link")</f>
        <v>Link</v>
      </c>
      <c r="M13" s="144" t="str">
        <f>IFERROR(__xludf.DUMMYFUNCTION("""COMPUTED_VALUE"""),"Link")</f>
        <v>Link</v>
      </c>
      <c r="N13" s="144" t="str">
        <f>IFERROR(__xludf.DUMMYFUNCTION("""COMPUTED_VALUE"""),"Link")</f>
        <v>Link</v>
      </c>
      <c r="O13" s="144" t="str">
        <f>IFERROR(__xludf.DUMMYFUNCTION("""COMPUTED_VALUE"""),"Link")</f>
        <v>Link</v>
      </c>
      <c r="P13" s="144" t="str">
        <f>IFERROR(__xludf.DUMMYFUNCTION("""COMPUTED_VALUE"""),"Link")</f>
        <v>Link</v>
      </c>
      <c r="Q13" s="144" t="str">
        <f>IFERROR(__xludf.DUMMYFUNCTION("""COMPUTED_VALUE"""),"Link")</f>
        <v>Link</v>
      </c>
      <c r="R13" s="144" t="str">
        <f>IFERROR(__xludf.DUMMYFUNCTION("""COMPUTED_VALUE"""),"Link")</f>
        <v>Link</v>
      </c>
      <c r="S13" s="144" t="str">
        <f>IFERROR(__xludf.DUMMYFUNCTION("""COMPUTED_VALUE"""),"Link")</f>
        <v>Link</v>
      </c>
    </row>
    <row r="14">
      <c r="A14" s="104" t="s">
        <v>5457</v>
      </c>
      <c r="B14" s="104" t="s">
        <v>5814</v>
      </c>
      <c r="C14" s="104" t="s">
        <v>5815</v>
      </c>
      <c r="D14" s="104" t="s">
        <v>152</v>
      </c>
      <c r="E14" s="104">
        <v>10.0</v>
      </c>
      <c r="F14" s="104">
        <v>10.0</v>
      </c>
      <c r="G14" s="168" t="s">
        <v>5458</v>
      </c>
      <c r="H14" s="168" t="s">
        <v>5816</v>
      </c>
      <c r="I14" s="144" t="str">
        <f>IFERROR(__xludf.DUMMYFUNCTION("LET(changes,FILTER('Pool Changes'!$B:$D, 'Pool Changes'!$B:$B = $D14),added,FILTER(INDEX(changes,0,3),INDEX(changes,0,2)=""add pack""),IFERROR(TRANSPOSE(ARRAYFORMULA(IF(added&lt;&gt;"""",HYPERLINK(""https://sealeddeck.tech/""&amp;added,""Link""),""""))),""""))"),"Link")</f>
        <v>Link</v>
      </c>
      <c r="J14" s="144" t="str">
        <f>IFERROR(__xludf.DUMMYFUNCTION("""COMPUTED_VALUE"""),"Link")</f>
        <v>Link</v>
      </c>
      <c r="K14" s="144" t="str">
        <f>IFERROR(__xludf.DUMMYFUNCTION("""COMPUTED_VALUE"""),"Link")</f>
        <v>Link</v>
      </c>
      <c r="L14" s="144" t="str">
        <f>IFERROR(__xludf.DUMMYFUNCTION("""COMPUTED_VALUE"""),"Link")</f>
        <v>Link</v>
      </c>
      <c r="M14" s="144" t="str">
        <f>IFERROR(__xludf.DUMMYFUNCTION("""COMPUTED_VALUE"""),"Link")</f>
        <v>Link</v>
      </c>
      <c r="N14" s="144" t="str">
        <f>IFERROR(__xludf.DUMMYFUNCTION("""COMPUTED_VALUE"""),"Link")</f>
        <v>Link</v>
      </c>
      <c r="O14" s="144" t="str">
        <f>IFERROR(__xludf.DUMMYFUNCTION("""COMPUTED_VALUE"""),"Link")</f>
        <v>Link</v>
      </c>
      <c r="P14" s="144" t="str">
        <f>IFERROR(__xludf.DUMMYFUNCTION("""COMPUTED_VALUE"""),"Link")</f>
        <v>Link</v>
      </c>
      <c r="Q14" s="144" t="str">
        <f>IFERROR(__xludf.DUMMYFUNCTION("""COMPUTED_VALUE"""),"Link")</f>
        <v>Link</v>
      </c>
      <c r="R14" s="144" t="str">
        <f>IFERROR(__xludf.DUMMYFUNCTION("""COMPUTED_VALUE"""),"Link")</f>
        <v>Link</v>
      </c>
      <c r="S14" s="144" t="str">
        <f>IFERROR(__xludf.DUMMYFUNCTION("""COMPUTED_VALUE"""),"Link")</f>
        <v>Link</v>
      </c>
    </row>
    <row r="15">
      <c r="A15" s="104" t="s">
        <v>5459</v>
      </c>
      <c r="B15" s="104" t="s">
        <v>5817</v>
      </c>
      <c r="C15" s="104" t="s">
        <v>5818</v>
      </c>
      <c r="D15" s="104" t="s">
        <v>103</v>
      </c>
      <c r="E15" s="104">
        <v>1.0</v>
      </c>
      <c r="F15" s="104">
        <v>11.0</v>
      </c>
      <c r="G15" s="168" t="s">
        <v>5460</v>
      </c>
      <c r="H15" s="168" t="s">
        <v>5819</v>
      </c>
      <c r="I15" s="144" t="str">
        <f>IFERROR(__xludf.DUMMYFUNCTION("LET(changes,FILTER('Pool Changes'!$B:$D, 'Pool Changes'!$B:$B = $D15),added,FILTER(INDEX(changes,0,3),INDEX(changes,0,2)=""add pack""),IFERROR(TRANSPOSE(ARRAYFORMULA(IF(added&lt;&gt;"""",HYPERLINK(""https://sealeddeck.tech/""&amp;added,""Link""),""""))),""""))"),"Link")</f>
        <v>Link</v>
      </c>
      <c r="J15" s="144" t="str">
        <f>IFERROR(__xludf.DUMMYFUNCTION("""COMPUTED_VALUE"""),"Link")</f>
        <v>Link</v>
      </c>
      <c r="K15" s="144" t="str">
        <f>IFERROR(__xludf.DUMMYFUNCTION("""COMPUTED_VALUE"""),"Link")</f>
        <v>Link</v>
      </c>
      <c r="L15" s="144" t="str">
        <f>IFERROR(__xludf.DUMMYFUNCTION("""COMPUTED_VALUE"""),"Link")</f>
        <v>Link</v>
      </c>
      <c r="M15" s="144" t="str">
        <f>IFERROR(__xludf.DUMMYFUNCTION("""COMPUTED_VALUE"""),"Link")</f>
        <v>Link</v>
      </c>
      <c r="N15" s="174"/>
      <c r="O15" s="174"/>
      <c r="P15" s="174"/>
      <c r="Q15" s="174"/>
      <c r="R15" s="174"/>
      <c r="S15" s="174"/>
    </row>
    <row r="16">
      <c r="A16" s="104" t="s">
        <v>5461</v>
      </c>
      <c r="B16" s="104" t="s">
        <v>5820</v>
      </c>
      <c r="C16" s="104" t="s">
        <v>5821</v>
      </c>
      <c r="D16" s="104" t="s">
        <v>104</v>
      </c>
      <c r="E16" s="104">
        <v>2.0</v>
      </c>
      <c r="F16" s="104">
        <v>11.0</v>
      </c>
      <c r="G16" s="168" t="s">
        <v>5462</v>
      </c>
      <c r="H16" s="168" t="s">
        <v>5822</v>
      </c>
      <c r="I16" s="144" t="str">
        <f>IFERROR(__xludf.DUMMYFUNCTION("LET(changes,FILTER('Pool Changes'!$B:$D, 'Pool Changes'!$B:$B = $D16),added,FILTER(INDEX(changes,0,3),INDEX(changes,0,2)=""add pack""),IFERROR(TRANSPOSE(ARRAYFORMULA(IF(added&lt;&gt;"""",HYPERLINK(""https://sealeddeck.tech/""&amp;added,""Link""),""""))),""""))"),"Link")</f>
        <v>Link</v>
      </c>
      <c r="J16" s="144" t="str">
        <f>IFERROR(__xludf.DUMMYFUNCTION("""COMPUTED_VALUE"""),"Link")</f>
        <v>Link</v>
      </c>
      <c r="K16" s="174"/>
      <c r="L16" s="174"/>
      <c r="M16" s="174"/>
      <c r="N16" s="174"/>
      <c r="O16" s="174"/>
      <c r="P16" s="174"/>
      <c r="Q16" s="174"/>
      <c r="R16" s="174"/>
      <c r="S16" s="174"/>
    </row>
    <row r="17">
      <c r="A17" s="104" t="s">
        <v>5463</v>
      </c>
      <c r="B17" s="104" t="s">
        <v>5823</v>
      </c>
      <c r="C17" s="104" t="s">
        <v>5824</v>
      </c>
      <c r="D17" s="104" t="s">
        <v>307</v>
      </c>
      <c r="E17" s="104">
        <v>9.0</v>
      </c>
      <c r="F17" s="104">
        <v>10.0</v>
      </c>
      <c r="G17" s="168" t="s">
        <v>5464</v>
      </c>
      <c r="H17" s="168" t="s">
        <v>5825</v>
      </c>
      <c r="I17" s="144" t="str">
        <f>IFERROR(__xludf.DUMMYFUNCTION("LET(changes,FILTER('Pool Changes'!$B:$D, 'Pool Changes'!$B:$B = $D17),added,FILTER(INDEX(changes,0,3),INDEX(changes,0,2)=""add pack""),IFERROR(TRANSPOSE(ARRAYFORMULA(IF(added&lt;&gt;"""",HYPERLINK(""https://sealeddeck.tech/""&amp;added,""Link""),""""))),""""))"),"Link")</f>
        <v>Link</v>
      </c>
      <c r="J17" s="144" t="str">
        <f>IFERROR(__xludf.DUMMYFUNCTION("""COMPUTED_VALUE"""),"Link")</f>
        <v>Link</v>
      </c>
      <c r="K17" s="144" t="str">
        <f>IFERROR(__xludf.DUMMYFUNCTION("""COMPUTED_VALUE"""),"Link")</f>
        <v>Link</v>
      </c>
      <c r="L17" s="144" t="str">
        <f>IFERROR(__xludf.DUMMYFUNCTION("""COMPUTED_VALUE"""),"Link")</f>
        <v>Link</v>
      </c>
      <c r="M17" s="144" t="str">
        <f>IFERROR(__xludf.DUMMYFUNCTION("""COMPUTED_VALUE"""),"Link")</f>
        <v>Link</v>
      </c>
      <c r="N17" s="144" t="str">
        <f>IFERROR(__xludf.DUMMYFUNCTION("""COMPUTED_VALUE"""),"Link")</f>
        <v>Link</v>
      </c>
      <c r="O17" s="144" t="str">
        <f>IFERROR(__xludf.DUMMYFUNCTION("""COMPUTED_VALUE"""),"Link")</f>
        <v>Link</v>
      </c>
      <c r="P17" s="144" t="str">
        <f>IFERROR(__xludf.DUMMYFUNCTION("""COMPUTED_VALUE"""),"Link")</f>
        <v>Link</v>
      </c>
      <c r="Q17" s="144" t="str">
        <f>IFERROR(__xludf.DUMMYFUNCTION("""COMPUTED_VALUE"""),"Link")</f>
        <v>Link</v>
      </c>
      <c r="R17" s="144" t="str">
        <f>IFERROR(__xludf.DUMMYFUNCTION("""COMPUTED_VALUE"""),"Link")</f>
        <v>Link</v>
      </c>
      <c r="S17" s="144" t="str">
        <f>IFERROR(__xludf.DUMMYFUNCTION("""COMPUTED_VALUE"""),"Link")</f>
        <v>Link</v>
      </c>
    </row>
    <row r="18">
      <c r="A18" s="104" t="s">
        <v>5465</v>
      </c>
      <c r="B18" s="104" t="s">
        <v>5826</v>
      </c>
      <c r="C18" s="104" t="s">
        <v>5827</v>
      </c>
      <c r="D18" s="104" t="s">
        <v>169</v>
      </c>
      <c r="E18" s="104">
        <v>12.0</v>
      </c>
      <c r="F18" s="104">
        <v>11.0</v>
      </c>
      <c r="G18" s="168" t="s">
        <v>5466</v>
      </c>
      <c r="H18" s="168" t="s">
        <v>5828</v>
      </c>
      <c r="I18" s="144" t="str">
        <f>IFERROR(__xludf.DUMMYFUNCTION("LET(changes,FILTER('Pool Changes'!$B:$D, 'Pool Changes'!$B:$B = $D18),added,FILTER(INDEX(changes,0,3),INDEX(changes,0,2)=""add pack""),IFERROR(TRANSPOSE(ARRAYFORMULA(IF(added&lt;&gt;"""",HYPERLINK(""https://sealeddeck.tech/""&amp;added,""Link""),""""))),""""))"),"Link")</f>
        <v>Link</v>
      </c>
      <c r="J18" s="144" t="str">
        <f>IFERROR(__xludf.DUMMYFUNCTION("""COMPUTED_VALUE"""),"Link")</f>
        <v>Link</v>
      </c>
      <c r="K18" s="144" t="str">
        <f>IFERROR(__xludf.DUMMYFUNCTION("""COMPUTED_VALUE"""),"Link")</f>
        <v>Link</v>
      </c>
      <c r="L18" s="144" t="str">
        <f>IFERROR(__xludf.DUMMYFUNCTION("""COMPUTED_VALUE"""),"Link")</f>
        <v>Link</v>
      </c>
      <c r="M18" s="144" t="str">
        <f>IFERROR(__xludf.DUMMYFUNCTION("""COMPUTED_VALUE"""),"Link")</f>
        <v>Link</v>
      </c>
      <c r="N18" s="144" t="str">
        <f>IFERROR(__xludf.DUMMYFUNCTION("""COMPUTED_VALUE"""),"Link")</f>
        <v>Link</v>
      </c>
      <c r="O18" s="144" t="str">
        <f>IFERROR(__xludf.DUMMYFUNCTION("""COMPUTED_VALUE"""),"Link")</f>
        <v>Link</v>
      </c>
      <c r="P18" s="144" t="str">
        <f>IFERROR(__xludf.DUMMYFUNCTION("""COMPUTED_VALUE"""),"Link")</f>
        <v>Link</v>
      </c>
      <c r="Q18" s="144" t="str">
        <f>IFERROR(__xludf.DUMMYFUNCTION("""COMPUTED_VALUE"""),"Link")</f>
        <v>Link</v>
      </c>
      <c r="R18" s="144" t="str">
        <f>IFERROR(__xludf.DUMMYFUNCTION("""COMPUTED_VALUE"""),"Link")</f>
        <v>Link</v>
      </c>
      <c r="S18" s="144"/>
    </row>
    <row r="19">
      <c r="A19" s="104" t="s">
        <v>5467</v>
      </c>
      <c r="B19" s="104" t="s">
        <v>5829</v>
      </c>
      <c r="C19" s="104" t="s">
        <v>5830</v>
      </c>
      <c r="D19" s="104" t="s">
        <v>273</v>
      </c>
      <c r="E19" s="104">
        <v>13.0</v>
      </c>
      <c r="F19" s="104">
        <v>7.0</v>
      </c>
      <c r="G19" s="168" t="s">
        <v>5468</v>
      </c>
      <c r="H19" s="168" t="s">
        <v>5831</v>
      </c>
      <c r="I19" s="144" t="str">
        <f>IFERROR(__xludf.DUMMYFUNCTION("LET(changes,FILTER('Pool Changes'!$B:$D, 'Pool Changes'!$B:$B = $D19),added,FILTER(INDEX(changes,0,3),INDEX(changes,0,2)=""add pack""),IFERROR(TRANSPOSE(ARRAYFORMULA(IF(added&lt;&gt;"""",HYPERLINK(""https://sealeddeck.tech/""&amp;added,""Link""),""""))),""""))"),"Link")</f>
        <v>Link</v>
      </c>
      <c r="J19" s="144" t="str">
        <f>IFERROR(__xludf.DUMMYFUNCTION("""COMPUTED_VALUE"""),"Link")</f>
        <v>Link</v>
      </c>
      <c r="K19" s="144" t="str">
        <f>IFERROR(__xludf.DUMMYFUNCTION("""COMPUTED_VALUE"""),"Link")</f>
        <v>Link</v>
      </c>
      <c r="L19" s="144" t="str">
        <f>IFERROR(__xludf.DUMMYFUNCTION("""COMPUTED_VALUE"""),"Link")</f>
        <v>Link</v>
      </c>
      <c r="M19" s="144" t="str">
        <f>IFERROR(__xludf.DUMMYFUNCTION("""COMPUTED_VALUE"""),"Link")</f>
        <v>Link</v>
      </c>
      <c r="N19" s="144" t="str">
        <f>IFERROR(__xludf.DUMMYFUNCTION("""COMPUTED_VALUE"""),"Link")</f>
        <v>Link</v>
      </c>
      <c r="O19" s="144" t="str">
        <f>IFERROR(__xludf.DUMMYFUNCTION("""COMPUTED_VALUE"""),"Link")</f>
        <v>Link</v>
      </c>
      <c r="P19" s="144" t="str">
        <f>IFERROR(__xludf.DUMMYFUNCTION("""COMPUTED_VALUE"""),"Link")</f>
        <v>Link</v>
      </c>
      <c r="Q19" s="174"/>
      <c r="R19" s="174"/>
      <c r="S19" s="174"/>
    </row>
    <row r="20">
      <c r="A20" s="104" t="s">
        <v>5469</v>
      </c>
      <c r="B20" s="104" t="s">
        <v>5832</v>
      </c>
      <c r="C20" s="104" t="s">
        <v>5833</v>
      </c>
      <c r="D20" s="104" t="s">
        <v>105</v>
      </c>
      <c r="E20" s="104">
        <v>0.0</v>
      </c>
      <c r="F20" s="104">
        <v>11.0</v>
      </c>
      <c r="G20" s="168" t="s">
        <v>5470</v>
      </c>
      <c r="H20" s="168" t="s">
        <v>5834</v>
      </c>
      <c r="I20" s="144" t="str">
        <f>IFERROR(__xludf.DUMMYFUNCTION("LET(changes,FILTER('Pool Changes'!$B:$D, 'Pool Changes'!$B:$B = $D20),added,FILTER(INDEX(changes,0,3),INDEX(changes,0,2)=""add pack""),IFERROR(TRANSPOSE(ARRAYFORMULA(IF(added&lt;&gt;"""",HYPERLINK(""https://sealeddeck.tech/""&amp;added,""Link""),""""))),""""))"),"Link")</f>
        <v>Link</v>
      </c>
      <c r="J20" s="144" t="str">
        <f>IFERROR(__xludf.DUMMYFUNCTION("""COMPUTED_VALUE"""),"Link")</f>
        <v>Link</v>
      </c>
      <c r="K20" s="144" t="str">
        <f>IFERROR(__xludf.DUMMYFUNCTION("""COMPUTED_VALUE"""),"Link")</f>
        <v>Link</v>
      </c>
      <c r="L20" s="144" t="str">
        <f>IFERROR(__xludf.DUMMYFUNCTION("""COMPUTED_VALUE"""),"Link")</f>
        <v>Link</v>
      </c>
      <c r="M20" s="144" t="str">
        <f>IFERROR(__xludf.DUMMYFUNCTION("""COMPUTED_VALUE"""),"Link")</f>
        <v>Link</v>
      </c>
      <c r="N20" s="144" t="str">
        <f>IFERROR(__xludf.DUMMYFUNCTION("""COMPUTED_VALUE"""),"Link")</f>
        <v>Link</v>
      </c>
      <c r="O20" s="144" t="str">
        <f>IFERROR(__xludf.DUMMYFUNCTION("""COMPUTED_VALUE"""),"Link")</f>
        <v>Link</v>
      </c>
      <c r="P20" s="144" t="str">
        <f>IFERROR(__xludf.DUMMYFUNCTION("""COMPUTED_VALUE"""),"Link")</f>
        <v>Link</v>
      </c>
      <c r="Q20" s="174"/>
      <c r="R20" s="174"/>
      <c r="S20" s="174"/>
    </row>
    <row r="21">
      <c r="A21" s="104" t="s">
        <v>5471</v>
      </c>
      <c r="B21" s="104" t="s">
        <v>5835</v>
      </c>
      <c r="C21" s="104" t="s">
        <v>5836</v>
      </c>
      <c r="D21" s="104" t="s">
        <v>82</v>
      </c>
      <c r="E21" s="104">
        <v>0.0</v>
      </c>
      <c r="F21" s="104">
        <v>11.0</v>
      </c>
      <c r="G21" s="168" t="s">
        <v>5472</v>
      </c>
      <c r="H21" s="168" t="s">
        <v>5837</v>
      </c>
      <c r="I21" s="144" t="str">
        <f>IFERROR(__xludf.DUMMYFUNCTION("LET(changes,FILTER('Pool Changes'!$B:$D, 'Pool Changes'!$B:$B = $D21),added,FILTER(INDEX(changes,0,3),INDEX(changes,0,2)=""add pack""),IFERROR(TRANSPOSE(ARRAYFORMULA(IF(added&lt;&gt;"""",HYPERLINK(""https://sealeddeck.tech/""&amp;added,""Link""),""""))),""""))"),"Link")</f>
        <v>Link</v>
      </c>
      <c r="J21" s="144" t="str">
        <f>IFERROR(__xludf.DUMMYFUNCTION("""COMPUTED_VALUE"""),"Link")</f>
        <v>Link</v>
      </c>
      <c r="K21" s="144" t="str">
        <f>IFERROR(__xludf.DUMMYFUNCTION("""COMPUTED_VALUE"""),"Link")</f>
        <v>Link</v>
      </c>
      <c r="L21" s="144" t="str">
        <f>IFERROR(__xludf.DUMMYFUNCTION("""COMPUTED_VALUE"""),"Link")</f>
        <v>Link</v>
      </c>
      <c r="M21" s="174"/>
      <c r="N21" s="174"/>
      <c r="O21" s="174"/>
      <c r="P21" s="174"/>
      <c r="Q21" s="174"/>
      <c r="R21" s="174"/>
      <c r="S21" s="174"/>
    </row>
    <row r="22">
      <c r="A22" s="104" t="s">
        <v>5473</v>
      </c>
      <c r="B22" s="104" t="s">
        <v>5838</v>
      </c>
      <c r="C22" s="104" t="s">
        <v>5839</v>
      </c>
      <c r="D22" s="104" t="s">
        <v>108</v>
      </c>
      <c r="E22" s="104">
        <v>2.0</v>
      </c>
      <c r="F22" s="104">
        <v>11.0</v>
      </c>
      <c r="G22" s="168" t="s">
        <v>5474</v>
      </c>
      <c r="H22" s="168" t="s">
        <v>5840</v>
      </c>
      <c r="I22" s="144" t="str">
        <f>IFERROR(__xludf.DUMMYFUNCTION("LET(changes,FILTER('Pool Changes'!$B:$D, 'Pool Changes'!$B:$B = $D22),added,FILTER(INDEX(changes,0,3),INDEX(changes,0,2)=""add pack""),IFERROR(TRANSPOSE(ARRAYFORMULA(IF(added&lt;&gt;"""",HYPERLINK(""https://sealeddeck.tech/""&amp;added,""Link""),""""))),""""))"),"Link")</f>
        <v>Link</v>
      </c>
      <c r="J22" s="144" t="str">
        <f>IFERROR(__xludf.DUMMYFUNCTION("""COMPUTED_VALUE"""),"Link")</f>
        <v>Link</v>
      </c>
      <c r="K22" s="144" t="str">
        <f>IFERROR(__xludf.DUMMYFUNCTION("""COMPUTED_VALUE"""),"Link")</f>
        <v>Link</v>
      </c>
      <c r="L22" s="144" t="str">
        <f>IFERROR(__xludf.DUMMYFUNCTION("""COMPUTED_VALUE"""),"Link")</f>
        <v>Link</v>
      </c>
      <c r="M22" s="144" t="str">
        <f>IFERROR(__xludf.DUMMYFUNCTION("""COMPUTED_VALUE"""),"Link")</f>
        <v>Link</v>
      </c>
      <c r="N22" s="174"/>
      <c r="O22" s="174"/>
      <c r="P22" s="174"/>
      <c r="Q22" s="174"/>
      <c r="R22" s="174"/>
      <c r="S22" s="174"/>
    </row>
    <row r="23">
      <c r="A23" s="104" t="s">
        <v>5475</v>
      </c>
      <c r="B23" s="104" t="s">
        <v>5841</v>
      </c>
      <c r="C23" s="104" t="s">
        <v>5842</v>
      </c>
      <c r="D23" s="104" t="s">
        <v>181</v>
      </c>
      <c r="E23" s="104">
        <v>9.0</v>
      </c>
      <c r="F23" s="104">
        <v>11.0</v>
      </c>
      <c r="G23" s="168" t="s">
        <v>5476</v>
      </c>
      <c r="H23" s="168" t="s">
        <v>5843</v>
      </c>
      <c r="I23" s="144" t="str">
        <f>IFERROR(__xludf.DUMMYFUNCTION("LET(changes,FILTER('Pool Changes'!$B:$D, 'Pool Changes'!$B:$B = $D23),added,FILTER(INDEX(changes,0,3),INDEX(changes,0,2)=""add pack""),IFERROR(TRANSPOSE(ARRAYFORMULA(IF(added&lt;&gt;"""",HYPERLINK(""https://sealeddeck.tech/""&amp;added,""Link""),""""))),""""))"),"Link")</f>
        <v>Link</v>
      </c>
      <c r="J23" s="144" t="str">
        <f>IFERROR(__xludf.DUMMYFUNCTION("""COMPUTED_VALUE"""),"Link")</f>
        <v>Link</v>
      </c>
      <c r="K23" s="144" t="str">
        <f>IFERROR(__xludf.DUMMYFUNCTION("""COMPUTED_VALUE"""),"Link")</f>
        <v>Link</v>
      </c>
      <c r="L23" s="144" t="str">
        <f>IFERROR(__xludf.DUMMYFUNCTION("""COMPUTED_VALUE"""),"Link")</f>
        <v>Link</v>
      </c>
      <c r="M23" s="144" t="str">
        <f>IFERROR(__xludf.DUMMYFUNCTION("""COMPUTED_VALUE"""),"Link")</f>
        <v>Link</v>
      </c>
      <c r="N23" s="144" t="str">
        <f>IFERROR(__xludf.DUMMYFUNCTION("""COMPUTED_VALUE"""),"Link")</f>
        <v>Link</v>
      </c>
      <c r="O23" s="144" t="str">
        <f>IFERROR(__xludf.DUMMYFUNCTION("""COMPUTED_VALUE"""),"Link")</f>
        <v>Link</v>
      </c>
      <c r="P23" s="144" t="str">
        <f>IFERROR(__xludf.DUMMYFUNCTION("""COMPUTED_VALUE"""),"Link")</f>
        <v>Link</v>
      </c>
      <c r="Q23" s="144" t="str">
        <f>IFERROR(__xludf.DUMMYFUNCTION("""COMPUTED_VALUE"""),"Link")</f>
        <v>Link</v>
      </c>
      <c r="R23" s="144" t="str">
        <f>IFERROR(__xludf.DUMMYFUNCTION("""COMPUTED_VALUE"""),"Link")</f>
        <v>Link</v>
      </c>
      <c r="S23" s="144" t="str">
        <f>IFERROR(__xludf.DUMMYFUNCTION("""COMPUTED_VALUE"""),"Link")</f>
        <v>Link</v>
      </c>
    </row>
    <row r="24">
      <c r="A24" s="104" t="s">
        <v>5479</v>
      </c>
      <c r="B24" s="104" t="s">
        <v>5844</v>
      </c>
      <c r="C24" s="104" t="s">
        <v>5845</v>
      </c>
      <c r="D24" s="104" t="s">
        <v>135</v>
      </c>
      <c r="E24" s="104">
        <v>8.0</v>
      </c>
      <c r="F24" s="104">
        <v>11.0</v>
      </c>
      <c r="G24" s="168" t="s">
        <v>5480</v>
      </c>
      <c r="H24" s="168" t="s">
        <v>5846</v>
      </c>
      <c r="I24" s="144" t="str">
        <f>IFERROR(__xludf.DUMMYFUNCTION("LET(changes,FILTER('Pool Changes'!$B:$D, 'Pool Changes'!$B:$B = $D24),added,FILTER(INDEX(changes,0,3),INDEX(changes,0,2)=""add pack""),IFERROR(TRANSPOSE(ARRAYFORMULA(IF(added&lt;&gt;"""",HYPERLINK(""https://sealeddeck.tech/""&amp;added,""Link""),""""))),""""))"),"Link")</f>
        <v>Link</v>
      </c>
      <c r="J24" s="144" t="str">
        <f>IFERROR(__xludf.DUMMYFUNCTION("""COMPUTED_VALUE"""),"Link")</f>
        <v>Link</v>
      </c>
      <c r="K24" s="144" t="str">
        <f>IFERROR(__xludf.DUMMYFUNCTION("""COMPUTED_VALUE"""),"Link")</f>
        <v>Link</v>
      </c>
      <c r="L24" s="144" t="str">
        <f>IFERROR(__xludf.DUMMYFUNCTION("""COMPUTED_VALUE"""),"Link")</f>
        <v>Link</v>
      </c>
      <c r="M24" s="144" t="str">
        <f>IFERROR(__xludf.DUMMYFUNCTION("""COMPUTED_VALUE"""),"Link")</f>
        <v>Link</v>
      </c>
      <c r="N24" s="144" t="str">
        <f>IFERROR(__xludf.DUMMYFUNCTION("""COMPUTED_VALUE"""),"Link")</f>
        <v>Link</v>
      </c>
      <c r="O24" s="174"/>
      <c r="P24" s="174"/>
      <c r="Q24" s="174"/>
      <c r="R24" s="174"/>
      <c r="S24" s="174"/>
    </row>
    <row r="25">
      <c r="A25" s="104" t="s">
        <v>5481</v>
      </c>
      <c r="B25" s="104" t="s">
        <v>5848</v>
      </c>
      <c r="C25" s="104" t="s">
        <v>5849</v>
      </c>
      <c r="D25" s="104" t="s">
        <v>128</v>
      </c>
      <c r="E25" s="104">
        <v>11.0</v>
      </c>
      <c r="F25" s="104">
        <v>10.0</v>
      </c>
      <c r="G25" s="168" t="s">
        <v>5482</v>
      </c>
      <c r="H25" s="168" t="s">
        <v>5850</v>
      </c>
      <c r="I25" s="144" t="str">
        <f>IFERROR(__xludf.DUMMYFUNCTION("LET(changes,FILTER('Pool Changes'!$B:$D, 'Pool Changes'!$B:$B = $D25),added,FILTER(INDEX(changes,0,3),INDEX(changes,0,2)=""add pack""),IFERROR(TRANSPOSE(ARRAYFORMULA(IF(added&lt;&gt;"""",HYPERLINK(""https://sealeddeck.tech/""&amp;added,""Link""),""""))),""""))"),"Link")</f>
        <v>Link</v>
      </c>
      <c r="J25" s="144" t="str">
        <f>IFERROR(__xludf.DUMMYFUNCTION("""COMPUTED_VALUE"""),"Link")</f>
        <v>Link</v>
      </c>
      <c r="K25" s="144" t="str">
        <f>IFERROR(__xludf.DUMMYFUNCTION("""COMPUTED_VALUE"""),"Link")</f>
        <v>Link</v>
      </c>
      <c r="L25" s="144" t="str">
        <f>IFERROR(__xludf.DUMMYFUNCTION("""COMPUTED_VALUE"""),"Link")</f>
        <v>Link</v>
      </c>
      <c r="M25" s="144" t="str">
        <f>IFERROR(__xludf.DUMMYFUNCTION("""COMPUTED_VALUE"""),"Link")</f>
        <v>Link</v>
      </c>
      <c r="N25" s="144" t="str">
        <f>IFERROR(__xludf.DUMMYFUNCTION("""COMPUTED_VALUE"""),"Link")</f>
        <v>Link</v>
      </c>
      <c r="O25" s="144" t="str">
        <f>IFERROR(__xludf.DUMMYFUNCTION("""COMPUTED_VALUE"""),"Link")</f>
        <v>Link</v>
      </c>
      <c r="P25" s="144" t="str">
        <f>IFERROR(__xludf.DUMMYFUNCTION("""COMPUTED_VALUE"""),"Link")</f>
        <v>Link</v>
      </c>
      <c r="Q25" s="144" t="str">
        <f>IFERROR(__xludf.DUMMYFUNCTION("""COMPUTED_VALUE"""),"Link")</f>
        <v>Link</v>
      </c>
      <c r="R25" s="144" t="str">
        <f>IFERROR(__xludf.DUMMYFUNCTION("""COMPUTED_VALUE"""),"Link")</f>
        <v>Link</v>
      </c>
      <c r="S25" s="144"/>
    </row>
    <row r="26">
      <c r="A26" s="104" t="s">
        <v>5483</v>
      </c>
      <c r="B26" s="104" t="s">
        <v>5851</v>
      </c>
      <c r="C26" s="104" t="s">
        <v>5852</v>
      </c>
      <c r="D26" s="104" t="s">
        <v>253</v>
      </c>
      <c r="E26" s="104">
        <v>13.0</v>
      </c>
      <c r="F26" s="104">
        <v>7.0</v>
      </c>
      <c r="G26" s="168" t="s">
        <v>5484</v>
      </c>
      <c r="H26" s="168" t="s">
        <v>5853</v>
      </c>
      <c r="I26" s="144" t="str">
        <f>IFERROR(__xludf.DUMMYFUNCTION("LET(changes,FILTER('Pool Changes'!$B:$D, 'Pool Changes'!$B:$B = $D26),added,FILTER(INDEX(changes,0,3),INDEX(changes,0,2)=""add pack""),IFERROR(TRANSPOSE(ARRAYFORMULA(IF(added&lt;&gt;"""",HYPERLINK(""https://sealeddeck.tech/""&amp;added,""Link""),""""))),""""))"),"Link")</f>
        <v>Link</v>
      </c>
      <c r="J26" s="144" t="str">
        <f>IFERROR(__xludf.DUMMYFUNCTION("""COMPUTED_VALUE"""),"Link")</f>
        <v>Link</v>
      </c>
      <c r="K26" s="144" t="str">
        <f>IFERROR(__xludf.DUMMYFUNCTION("""COMPUTED_VALUE"""),"Link")</f>
        <v>Link</v>
      </c>
      <c r="L26" s="144" t="str">
        <f>IFERROR(__xludf.DUMMYFUNCTION("""COMPUTED_VALUE"""),"Link")</f>
        <v>Link</v>
      </c>
      <c r="M26" s="144" t="str">
        <f>IFERROR(__xludf.DUMMYFUNCTION("""COMPUTED_VALUE"""),"Link")</f>
        <v>Link</v>
      </c>
      <c r="N26" s="144" t="str">
        <f>IFERROR(__xludf.DUMMYFUNCTION("""COMPUTED_VALUE"""),"Link")</f>
        <v>Link</v>
      </c>
      <c r="O26" s="144" t="str">
        <f>IFERROR(__xludf.DUMMYFUNCTION("""COMPUTED_VALUE"""),"Link")</f>
        <v>Link</v>
      </c>
      <c r="P26" s="144" t="str">
        <f>IFERROR(__xludf.DUMMYFUNCTION("""COMPUTED_VALUE"""),"Link")</f>
        <v>Link</v>
      </c>
      <c r="Q26" s="174"/>
      <c r="R26" s="174"/>
      <c r="S26" s="174"/>
    </row>
    <row r="27">
      <c r="A27" s="104" t="s">
        <v>5485</v>
      </c>
      <c r="B27" s="104" t="s">
        <v>5855</v>
      </c>
      <c r="C27" s="104" t="s">
        <v>5856</v>
      </c>
      <c r="D27" s="104" t="s">
        <v>172</v>
      </c>
      <c r="E27" s="104">
        <v>10.0</v>
      </c>
      <c r="F27" s="104">
        <v>11.0</v>
      </c>
      <c r="G27" s="168" t="s">
        <v>5486</v>
      </c>
      <c r="H27" s="168" t="s">
        <v>5857</v>
      </c>
      <c r="I27" s="144" t="str">
        <f>IFERROR(__xludf.DUMMYFUNCTION("LET(changes,FILTER('Pool Changes'!$B:$D, 'Pool Changes'!$B:$B = $D27),added,FILTER(INDEX(changes,0,3),INDEX(changes,0,2)=""add pack""),IFERROR(TRANSPOSE(ARRAYFORMULA(IF(added&lt;&gt;"""",HYPERLINK(""https://sealeddeck.tech/""&amp;added,""Link""),""""))),""""))"),"Link")</f>
        <v>Link</v>
      </c>
      <c r="J27" s="144" t="str">
        <f>IFERROR(__xludf.DUMMYFUNCTION("""COMPUTED_VALUE"""),"Link")</f>
        <v>Link</v>
      </c>
      <c r="K27" s="144" t="str">
        <f>IFERROR(__xludf.DUMMYFUNCTION("""COMPUTED_VALUE"""),"Link")</f>
        <v>Link</v>
      </c>
      <c r="L27" s="144" t="str">
        <f>IFERROR(__xludf.DUMMYFUNCTION("""COMPUTED_VALUE"""),"Link")</f>
        <v>Link</v>
      </c>
      <c r="M27" s="144" t="str">
        <f>IFERROR(__xludf.DUMMYFUNCTION("""COMPUTED_VALUE"""),"Link")</f>
        <v>Link</v>
      </c>
      <c r="N27" s="144" t="str">
        <f>IFERROR(__xludf.DUMMYFUNCTION("""COMPUTED_VALUE"""),"Link")</f>
        <v>Link</v>
      </c>
      <c r="O27" s="144" t="str">
        <f>IFERROR(__xludf.DUMMYFUNCTION("""COMPUTED_VALUE"""),"Link")</f>
        <v>Link</v>
      </c>
      <c r="P27" s="144" t="str">
        <f>IFERROR(__xludf.DUMMYFUNCTION("""COMPUTED_VALUE"""),"Link")</f>
        <v>Link</v>
      </c>
      <c r="Q27" s="144" t="str">
        <f>IFERROR(__xludf.DUMMYFUNCTION("""COMPUTED_VALUE"""),"Link")</f>
        <v>Link</v>
      </c>
      <c r="R27" s="144" t="str">
        <f>IFERROR(__xludf.DUMMYFUNCTION("""COMPUTED_VALUE"""),"Link")</f>
        <v>Link</v>
      </c>
      <c r="S27" s="144" t="str">
        <f>IFERROR(__xludf.DUMMYFUNCTION("""COMPUTED_VALUE"""),"Link")</f>
        <v>Link</v>
      </c>
    </row>
    <row r="28">
      <c r="A28" s="104" t="s">
        <v>5487</v>
      </c>
      <c r="B28" s="104" t="s">
        <v>5859</v>
      </c>
      <c r="C28" s="104" t="s">
        <v>5860</v>
      </c>
      <c r="D28" s="104" t="s">
        <v>247</v>
      </c>
      <c r="E28" s="104">
        <v>16.0</v>
      </c>
      <c r="F28" s="104">
        <v>9.0</v>
      </c>
      <c r="G28" s="168" t="s">
        <v>5488</v>
      </c>
      <c r="H28" s="168" t="s">
        <v>5861</v>
      </c>
      <c r="I28" s="144" t="str">
        <f>IFERROR(__xludf.DUMMYFUNCTION("LET(changes,FILTER('Pool Changes'!$B:$D, 'Pool Changes'!$B:$B = $D28),added,FILTER(INDEX(changes,0,3),INDEX(changes,0,2)=""add pack""),IFERROR(TRANSPOSE(ARRAYFORMULA(IF(added&lt;&gt;"""",HYPERLINK(""https://sealeddeck.tech/""&amp;added,""Link""),""""))),""""))"),"Link")</f>
        <v>Link</v>
      </c>
      <c r="J28" s="144" t="str">
        <f>IFERROR(__xludf.DUMMYFUNCTION("""COMPUTED_VALUE"""),"Link")</f>
        <v>Link</v>
      </c>
      <c r="K28" s="144" t="str">
        <f>IFERROR(__xludf.DUMMYFUNCTION("""COMPUTED_VALUE"""),"Link")</f>
        <v>Link</v>
      </c>
      <c r="L28" s="144" t="str">
        <f>IFERROR(__xludf.DUMMYFUNCTION("""COMPUTED_VALUE"""),"Link")</f>
        <v>Link</v>
      </c>
      <c r="M28" s="144" t="str">
        <f>IFERROR(__xludf.DUMMYFUNCTION("""COMPUTED_VALUE"""),"Link")</f>
        <v>Link</v>
      </c>
      <c r="N28" s="144" t="str">
        <f>IFERROR(__xludf.DUMMYFUNCTION("""COMPUTED_VALUE"""),"Link")</f>
        <v>Link</v>
      </c>
      <c r="O28" s="144" t="str">
        <f>IFERROR(__xludf.DUMMYFUNCTION("""COMPUTED_VALUE"""),"Link")</f>
        <v>Link</v>
      </c>
      <c r="P28" s="144" t="str">
        <f>IFERROR(__xludf.DUMMYFUNCTION("""COMPUTED_VALUE"""),"Link")</f>
        <v>Link</v>
      </c>
      <c r="Q28" s="144"/>
      <c r="R28" s="144"/>
      <c r="S28" s="174"/>
    </row>
    <row r="29">
      <c r="A29" s="104" t="s">
        <v>5489</v>
      </c>
      <c r="B29" s="104" t="s">
        <v>5862</v>
      </c>
      <c r="C29" s="104" t="s">
        <v>5863</v>
      </c>
      <c r="D29" s="104" t="s">
        <v>250</v>
      </c>
      <c r="E29" s="104">
        <v>2.0</v>
      </c>
      <c r="F29" s="104">
        <v>11.0</v>
      </c>
      <c r="G29" s="168" t="s">
        <v>5490</v>
      </c>
      <c r="H29" s="168" t="s">
        <v>5864</v>
      </c>
      <c r="I29" s="144" t="str">
        <f>IFERROR(__xludf.DUMMYFUNCTION("LET(changes,FILTER('Pool Changes'!$B:$D, 'Pool Changes'!$B:$B = $D29),added,FILTER(INDEX(changes,0,3),INDEX(changes,0,2)=""add pack""),IFERROR(TRANSPOSE(ARRAYFORMULA(IF(added&lt;&gt;"""",HYPERLINK(""https://sealeddeck.tech/""&amp;added,""Link""),""""))),""""))"),"Link")</f>
        <v>Link</v>
      </c>
      <c r="J29" s="144" t="str">
        <f>IFERROR(__xludf.DUMMYFUNCTION("""COMPUTED_VALUE"""),"Link")</f>
        <v>Link</v>
      </c>
      <c r="K29" s="144" t="str">
        <f>IFERROR(__xludf.DUMMYFUNCTION("""COMPUTED_VALUE"""),"Link")</f>
        <v>Link</v>
      </c>
      <c r="L29" s="144" t="str">
        <f>IFERROR(__xludf.DUMMYFUNCTION("""COMPUTED_VALUE"""),"Link")</f>
        <v>Link</v>
      </c>
      <c r="M29" s="144" t="str">
        <f>IFERROR(__xludf.DUMMYFUNCTION("""COMPUTED_VALUE"""),"Link")</f>
        <v>Link</v>
      </c>
      <c r="N29" s="144" t="str">
        <f>IFERROR(__xludf.DUMMYFUNCTION("""COMPUTED_VALUE"""),"Link")</f>
        <v>Link</v>
      </c>
      <c r="O29" s="144" t="str">
        <f>IFERROR(__xludf.DUMMYFUNCTION("""COMPUTED_VALUE"""),"Link")</f>
        <v>Link</v>
      </c>
      <c r="P29" s="144" t="str">
        <f>IFERROR(__xludf.DUMMYFUNCTION("""COMPUTED_VALUE"""),"Link")</f>
        <v>Link</v>
      </c>
      <c r="Q29" s="144" t="str">
        <f>IFERROR(__xludf.DUMMYFUNCTION("""COMPUTED_VALUE"""),"Link")</f>
        <v>Link</v>
      </c>
      <c r="R29" s="174"/>
      <c r="S29" s="174"/>
    </row>
    <row r="30">
      <c r="A30" s="104" t="s">
        <v>5491</v>
      </c>
      <c r="B30" s="104" t="s">
        <v>5865</v>
      </c>
      <c r="C30" s="104" t="s">
        <v>5866</v>
      </c>
      <c r="D30" s="104" t="s">
        <v>159</v>
      </c>
      <c r="E30" s="104">
        <v>9.0</v>
      </c>
      <c r="F30" s="104">
        <v>11.0</v>
      </c>
      <c r="G30" s="168" t="s">
        <v>5492</v>
      </c>
      <c r="H30" s="168" t="s">
        <v>5867</v>
      </c>
      <c r="I30" s="144" t="str">
        <f>IFERROR(__xludf.DUMMYFUNCTION("LET(changes,FILTER('Pool Changes'!$B:$D, 'Pool Changes'!$B:$B = $D30),added,FILTER(INDEX(changes,0,3),INDEX(changes,0,2)=""add pack""),IFERROR(TRANSPOSE(ARRAYFORMULA(IF(added&lt;&gt;"""",HYPERLINK(""https://sealeddeck.tech/""&amp;added,""Link""),""""))),""""))"),"Link")</f>
        <v>Link</v>
      </c>
      <c r="J30" s="144" t="str">
        <f>IFERROR(__xludf.DUMMYFUNCTION("""COMPUTED_VALUE"""),"Link")</f>
        <v>Link</v>
      </c>
      <c r="K30" s="144" t="str">
        <f>IFERROR(__xludf.DUMMYFUNCTION("""COMPUTED_VALUE"""),"Link")</f>
        <v>Link</v>
      </c>
      <c r="L30" s="144" t="str">
        <f>IFERROR(__xludf.DUMMYFUNCTION("""COMPUTED_VALUE"""),"Link")</f>
        <v>Link</v>
      </c>
      <c r="M30" s="144" t="str">
        <f>IFERROR(__xludf.DUMMYFUNCTION("""COMPUTED_VALUE"""),"Link")</f>
        <v>Link</v>
      </c>
      <c r="N30" s="144" t="str">
        <f>IFERROR(__xludf.DUMMYFUNCTION("""COMPUTED_VALUE"""),"Link")</f>
        <v>Link</v>
      </c>
      <c r="O30" s="144" t="str">
        <f>IFERROR(__xludf.DUMMYFUNCTION("""COMPUTED_VALUE"""),"Link")</f>
        <v>Link</v>
      </c>
      <c r="P30" s="144" t="str">
        <f>IFERROR(__xludf.DUMMYFUNCTION("""COMPUTED_VALUE"""),"Link")</f>
        <v>Link</v>
      </c>
      <c r="Q30" s="144" t="str">
        <f>IFERROR(__xludf.DUMMYFUNCTION("""COMPUTED_VALUE"""),"Link")</f>
        <v>Link</v>
      </c>
      <c r="R30" s="144" t="str">
        <f>IFERROR(__xludf.DUMMYFUNCTION("""COMPUTED_VALUE"""),"Link")</f>
        <v>Link</v>
      </c>
      <c r="S30" s="144" t="str">
        <f>IFERROR(__xludf.DUMMYFUNCTION("""COMPUTED_VALUE"""),"Link")</f>
        <v>Link</v>
      </c>
    </row>
    <row r="31">
      <c r="A31" s="104" t="s">
        <v>5493</v>
      </c>
      <c r="B31" s="104" t="s">
        <v>5868</v>
      </c>
      <c r="C31" s="104" t="s">
        <v>5869</v>
      </c>
      <c r="D31" s="104" t="s">
        <v>311</v>
      </c>
      <c r="E31" s="104">
        <v>7.0</v>
      </c>
      <c r="F31" s="104">
        <v>11.0</v>
      </c>
      <c r="G31" s="168" t="s">
        <v>5494</v>
      </c>
      <c r="H31" s="168" t="s">
        <v>5870</v>
      </c>
      <c r="I31" s="144" t="str">
        <f>IFERROR(__xludf.DUMMYFUNCTION("LET(changes,FILTER('Pool Changes'!$B:$D, 'Pool Changes'!$B:$B = $D31),added,FILTER(INDEX(changes,0,3),INDEX(changes,0,2)=""add pack""),IFERROR(TRANSPOSE(ARRAYFORMULA(IF(added&lt;&gt;"""",HYPERLINK(""https://sealeddeck.tech/""&amp;added,""Link""),""""))),""""))"),"Link")</f>
        <v>Link</v>
      </c>
      <c r="J31" s="144" t="str">
        <f>IFERROR(__xludf.DUMMYFUNCTION("""COMPUTED_VALUE"""),"Link")</f>
        <v>Link</v>
      </c>
      <c r="K31" s="144" t="str">
        <f>IFERROR(__xludf.DUMMYFUNCTION("""COMPUTED_VALUE"""),"Link")</f>
        <v>Link</v>
      </c>
      <c r="L31" s="144" t="str">
        <f>IFERROR(__xludf.DUMMYFUNCTION("""COMPUTED_VALUE"""),"Link")</f>
        <v>Link</v>
      </c>
      <c r="M31" s="144" t="str">
        <f>IFERROR(__xludf.DUMMYFUNCTION("""COMPUTED_VALUE"""),"Link")</f>
        <v>Link</v>
      </c>
      <c r="N31" s="144" t="str">
        <f>IFERROR(__xludf.DUMMYFUNCTION("""COMPUTED_VALUE"""),"Link")</f>
        <v>Link</v>
      </c>
      <c r="O31" s="144" t="str">
        <f>IFERROR(__xludf.DUMMYFUNCTION("""COMPUTED_VALUE"""),"Link")</f>
        <v>Link</v>
      </c>
      <c r="P31" s="144" t="str">
        <f>IFERROR(__xludf.DUMMYFUNCTION("""COMPUTED_VALUE"""),"Link")</f>
        <v>Link</v>
      </c>
      <c r="Q31" s="144" t="str">
        <f>IFERROR(__xludf.DUMMYFUNCTION("""COMPUTED_VALUE"""),"Link")</f>
        <v>Link</v>
      </c>
      <c r="R31" s="144" t="str">
        <f>IFERROR(__xludf.DUMMYFUNCTION("""COMPUTED_VALUE"""),"Link")</f>
        <v>Link</v>
      </c>
      <c r="S31" s="144" t="str">
        <f>IFERROR(__xludf.DUMMYFUNCTION("""COMPUTED_VALUE"""),"Link")</f>
        <v>Link</v>
      </c>
    </row>
    <row r="32">
      <c r="A32" s="104" t="s">
        <v>5495</v>
      </c>
      <c r="B32" s="104" t="s">
        <v>5871</v>
      </c>
      <c r="C32" s="104" t="s">
        <v>5872</v>
      </c>
      <c r="D32" s="104" t="s">
        <v>180</v>
      </c>
      <c r="E32" s="104">
        <v>16.0</v>
      </c>
      <c r="F32" s="104">
        <v>9.0</v>
      </c>
      <c r="G32" s="168" t="s">
        <v>5496</v>
      </c>
      <c r="H32" s="168" t="s">
        <v>5873</v>
      </c>
      <c r="I32" s="144" t="str">
        <f>IFERROR(__xludf.DUMMYFUNCTION("LET(changes,FILTER('Pool Changes'!$B:$D, 'Pool Changes'!$B:$B = $D32),added,FILTER(INDEX(changes,0,3),INDEX(changes,0,2)=""add pack""),IFERROR(TRANSPOSE(ARRAYFORMULA(IF(added&lt;&gt;"""",HYPERLINK(""https://sealeddeck.tech/""&amp;added,""Link""),""""))),""""))"),"Link")</f>
        <v>Link</v>
      </c>
      <c r="J32" s="144" t="str">
        <f>IFERROR(__xludf.DUMMYFUNCTION("""COMPUTED_VALUE"""),"Link")</f>
        <v>Link</v>
      </c>
      <c r="K32" s="144" t="str">
        <f>IFERROR(__xludf.DUMMYFUNCTION("""COMPUTED_VALUE"""),"Link")</f>
        <v>Link</v>
      </c>
      <c r="L32" s="144" t="str">
        <f>IFERROR(__xludf.DUMMYFUNCTION("""COMPUTED_VALUE"""),"Link")</f>
        <v>Link</v>
      </c>
      <c r="M32" s="144" t="str">
        <f>IFERROR(__xludf.DUMMYFUNCTION("""COMPUTED_VALUE"""),"Link")</f>
        <v>Link</v>
      </c>
      <c r="N32" s="144" t="str">
        <f>IFERROR(__xludf.DUMMYFUNCTION("""COMPUTED_VALUE"""),"Link")</f>
        <v>Link</v>
      </c>
      <c r="O32" s="144" t="str">
        <f>IFERROR(__xludf.DUMMYFUNCTION("""COMPUTED_VALUE"""),"Link")</f>
        <v>Link</v>
      </c>
      <c r="P32" s="144" t="str">
        <f>IFERROR(__xludf.DUMMYFUNCTION("""COMPUTED_VALUE"""),"Link")</f>
        <v>Link</v>
      </c>
      <c r="Q32" s="144"/>
      <c r="R32" s="144"/>
      <c r="S32" s="174"/>
    </row>
    <row r="33">
      <c r="A33" s="104" t="s">
        <v>5497</v>
      </c>
      <c r="B33" s="104" t="s">
        <v>5874</v>
      </c>
      <c r="C33" s="104" t="s">
        <v>5875</v>
      </c>
      <c r="D33" s="104" t="s">
        <v>265</v>
      </c>
      <c r="E33" s="104">
        <v>0.0</v>
      </c>
      <c r="F33" s="104">
        <v>11.0</v>
      </c>
      <c r="G33" s="168" t="s">
        <v>5498</v>
      </c>
      <c r="H33" s="168" t="s">
        <v>5876</v>
      </c>
      <c r="I33" s="144" t="str">
        <f>IFERROR(__xludf.DUMMYFUNCTION("LET(changes,FILTER('Pool Changes'!$B:$D, 'Pool Changes'!$B:$B = $D33),added,FILTER(INDEX(changes,0,3),INDEX(changes,0,2)=""add pack""),IFERROR(TRANSPOSE(ARRAYFORMULA(IF(added&lt;&gt;"""",HYPERLINK(""https://sealeddeck.tech/""&amp;added,""Link""),""""))),""""))"),"Link")</f>
        <v>Link</v>
      </c>
      <c r="J33" s="144" t="str">
        <f>IFERROR(__xludf.DUMMYFUNCTION("""COMPUTED_VALUE"""),"Link")</f>
        <v>Link</v>
      </c>
      <c r="K33" s="144" t="str">
        <f>IFERROR(__xludf.DUMMYFUNCTION("""COMPUTED_VALUE"""),"Link")</f>
        <v>Link</v>
      </c>
      <c r="L33" s="144" t="str">
        <f>IFERROR(__xludf.DUMMYFUNCTION("""COMPUTED_VALUE"""),"Link")</f>
        <v>Link</v>
      </c>
      <c r="M33" s="144" t="str">
        <f>IFERROR(__xludf.DUMMYFUNCTION("""COMPUTED_VALUE"""),"Link")</f>
        <v>Link</v>
      </c>
      <c r="N33" s="144" t="str">
        <f>IFERROR(__xludf.DUMMYFUNCTION("""COMPUTED_VALUE"""),"Link")</f>
        <v>Link</v>
      </c>
      <c r="O33" s="144" t="str">
        <f>IFERROR(__xludf.DUMMYFUNCTION("""COMPUTED_VALUE"""),"Link")</f>
        <v>Link</v>
      </c>
      <c r="P33" s="144" t="str">
        <f>IFERROR(__xludf.DUMMYFUNCTION("""COMPUTED_VALUE"""),"Link")</f>
        <v>Link</v>
      </c>
      <c r="Q33" s="144" t="str">
        <f>IFERROR(__xludf.DUMMYFUNCTION("""COMPUTED_VALUE"""),"Link")</f>
        <v>Link</v>
      </c>
      <c r="R33" s="144" t="str">
        <f>IFERROR(__xludf.DUMMYFUNCTION("""COMPUTED_VALUE"""),"Link")</f>
        <v>Link</v>
      </c>
      <c r="S33" s="144" t="str">
        <f>IFERROR(__xludf.DUMMYFUNCTION("""COMPUTED_VALUE"""),"Link")</f>
        <v>Link</v>
      </c>
    </row>
    <row r="34">
      <c r="A34" s="104" t="s">
        <v>5499</v>
      </c>
      <c r="B34" s="104" t="s">
        <v>5877</v>
      </c>
      <c r="C34" s="104" t="s">
        <v>5878</v>
      </c>
      <c r="D34" s="104" t="s">
        <v>233</v>
      </c>
      <c r="E34" s="104">
        <v>12.0</v>
      </c>
      <c r="F34" s="104">
        <v>8.0</v>
      </c>
      <c r="G34" s="168" t="s">
        <v>5500</v>
      </c>
      <c r="H34" s="168" t="s">
        <v>5879</v>
      </c>
      <c r="I34" s="144" t="str">
        <f>IFERROR(__xludf.DUMMYFUNCTION("LET(changes,FILTER('Pool Changes'!$B:$D, 'Pool Changes'!$B:$B = $D34),added,FILTER(INDEX(changes,0,3),INDEX(changes,0,2)=""add pack""),IFERROR(TRANSPOSE(ARRAYFORMULA(IF(added&lt;&gt;"""",HYPERLINK(""https://sealeddeck.tech/""&amp;added,""Link""),""""))),""""))"),"Link")</f>
        <v>Link</v>
      </c>
      <c r="J34" s="144" t="str">
        <f>IFERROR(__xludf.DUMMYFUNCTION("""COMPUTED_VALUE"""),"Link")</f>
        <v>Link</v>
      </c>
      <c r="K34" s="144" t="str">
        <f>IFERROR(__xludf.DUMMYFUNCTION("""COMPUTED_VALUE"""),"Link")</f>
        <v>Link</v>
      </c>
      <c r="L34" s="144" t="str">
        <f>IFERROR(__xludf.DUMMYFUNCTION("""COMPUTED_VALUE"""),"Link")</f>
        <v>Link</v>
      </c>
      <c r="M34" s="144" t="str">
        <f>IFERROR(__xludf.DUMMYFUNCTION("""COMPUTED_VALUE"""),"Link")</f>
        <v>Link</v>
      </c>
      <c r="N34" s="144" t="str">
        <f>IFERROR(__xludf.DUMMYFUNCTION("""COMPUTED_VALUE"""),"Link")</f>
        <v>Link</v>
      </c>
      <c r="O34" s="144" t="str">
        <f>IFERROR(__xludf.DUMMYFUNCTION("""COMPUTED_VALUE"""),"Link")</f>
        <v>Link</v>
      </c>
      <c r="P34" s="144" t="str">
        <f>IFERROR(__xludf.DUMMYFUNCTION("""COMPUTED_VALUE"""),"Link")</f>
        <v>Link</v>
      </c>
      <c r="Q34" s="144" t="str">
        <f>IFERROR(__xludf.DUMMYFUNCTION("""COMPUTED_VALUE"""),"Link")</f>
        <v>Link</v>
      </c>
      <c r="R34" s="174"/>
      <c r="S34" s="174"/>
    </row>
    <row r="35">
      <c r="A35" s="104" t="s">
        <v>5501</v>
      </c>
      <c r="B35" s="104" t="s">
        <v>5880</v>
      </c>
      <c r="C35" s="104" t="s">
        <v>5881</v>
      </c>
      <c r="D35" s="104" t="s">
        <v>146</v>
      </c>
      <c r="E35" s="104">
        <v>5.0</v>
      </c>
      <c r="F35" s="104">
        <v>11.0</v>
      </c>
      <c r="G35" s="168" t="s">
        <v>5502</v>
      </c>
      <c r="H35" s="168" t="s">
        <v>5882</v>
      </c>
      <c r="I35" s="144" t="str">
        <f>IFERROR(__xludf.DUMMYFUNCTION("LET(changes,FILTER('Pool Changes'!$B:$D, 'Pool Changes'!$B:$B = $D35),added,FILTER(INDEX(changes,0,3),INDEX(changes,0,2)=""add pack""),IFERROR(TRANSPOSE(ARRAYFORMULA(IF(added&lt;&gt;"""",HYPERLINK(""https://sealeddeck.tech/""&amp;added,""Link""),""""))),""""))"),"Link")</f>
        <v>Link</v>
      </c>
      <c r="J35" s="144" t="str">
        <f>IFERROR(__xludf.DUMMYFUNCTION("""COMPUTED_VALUE"""),"Link")</f>
        <v>Link</v>
      </c>
      <c r="K35" s="144" t="str">
        <f>IFERROR(__xludf.DUMMYFUNCTION("""COMPUTED_VALUE"""),"Link")</f>
        <v>Link</v>
      </c>
      <c r="L35" s="144" t="str">
        <f>IFERROR(__xludf.DUMMYFUNCTION("""COMPUTED_VALUE"""),"Link")</f>
        <v>Link</v>
      </c>
      <c r="M35" s="144" t="str">
        <f>IFERROR(__xludf.DUMMYFUNCTION("""COMPUTED_VALUE"""),"Link")</f>
        <v>Link</v>
      </c>
      <c r="N35" s="144" t="str">
        <f>IFERROR(__xludf.DUMMYFUNCTION("""COMPUTED_VALUE"""),"Link")</f>
        <v>Link</v>
      </c>
      <c r="O35" s="144" t="str">
        <f>IFERROR(__xludf.DUMMYFUNCTION("""COMPUTED_VALUE"""),"Link")</f>
        <v>Link</v>
      </c>
      <c r="P35" s="144" t="str">
        <f>IFERROR(__xludf.DUMMYFUNCTION("""COMPUTED_VALUE"""),"Link")</f>
        <v>Link</v>
      </c>
      <c r="Q35" s="144" t="str">
        <f>IFERROR(__xludf.DUMMYFUNCTION("""COMPUTED_VALUE"""),"Link")</f>
        <v>Link</v>
      </c>
      <c r="R35" s="144" t="str">
        <f>IFERROR(__xludf.DUMMYFUNCTION("""COMPUTED_VALUE"""),"Link")</f>
        <v>Link</v>
      </c>
      <c r="S35" s="144" t="str">
        <f>IFERROR(__xludf.DUMMYFUNCTION("""COMPUTED_VALUE"""),"Link")</f>
        <v>Link</v>
      </c>
    </row>
    <row r="36">
      <c r="A36" s="104" t="s">
        <v>5454</v>
      </c>
      <c r="B36" s="104" t="s">
        <v>5883</v>
      </c>
      <c r="C36" s="104" t="s">
        <v>5884</v>
      </c>
      <c r="D36" s="104" t="s">
        <v>226</v>
      </c>
      <c r="E36" s="104">
        <v>16.0</v>
      </c>
      <c r="F36" s="104">
        <v>5.0</v>
      </c>
      <c r="G36" s="168" t="s">
        <v>5503</v>
      </c>
      <c r="H36" s="168" t="s">
        <v>5885</v>
      </c>
      <c r="I36" s="144" t="str">
        <f>IFERROR(__xludf.DUMMYFUNCTION("LET(changes,FILTER('Pool Changes'!$B:$D, 'Pool Changes'!$B:$B = $D36),added,FILTER(INDEX(changes,0,3),INDEX(changes,0,2)=""add pack""),IFERROR(TRANSPOSE(ARRAYFORMULA(IF(added&lt;&gt;"""",HYPERLINK(""https://sealeddeck.tech/""&amp;added,""Link""),""""))),""""))"),"Link")</f>
        <v>Link</v>
      </c>
      <c r="J36" s="144" t="str">
        <f>IFERROR(__xludf.DUMMYFUNCTION("""COMPUTED_VALUE"""),"Link")</f>
        <v>Link</v>
      </c>
      <c r="K36" s="144" t="str">
        <f>IFERROR(__xludf.DUMMYFUNCTION("""COMPUTED_VALUE"""),"Link")</f>
        <v>Link</v>
      </c>
      <c r="L36" s="144" t="str">
        <f>IFERROR(__xludf.DUMMYFUNCTION("""COMPUTED_VALUE"""),"Link")</f>
        <v>Link</v>
      </c>
      <c r="M36" s="144" t="str">
        <f>IFERROR(__xludf.DUMMYFUNCTION("""COMPUTED_VALUE"""),"Link")</f>
        <v>Link</v>
      </c>
      <c r="N36" s="144" t="str">
        <f>IFERROR(__xludf.DUMMYFUNCTION("""COMPUTED_VALUE"""),"Link")</f>
        <v>Link</v>
      </c>
      <c r="O36" s="174"/>
      <c r="P36" s="174"/>
      <c r="Q36" s="174"/>
      <c r="R36" s="174"/>
      <c r="S36" s="174"/>
    </row>
    <row r="37">
      <c r="A37" s="104" t="s">
        <v>5504</v>
      </c>
      <c r="B37" s="104" t="s">
        <v>5886</v>
      </c>
      <c r="C37" s="104" t="s">
        <v>5887</v>
      </c>
      <c r="D37" s="104" t="s">
        <v>280</v>
      </c>
      <c r="E37" s="104">
        <v>14.0</v>
      </c>
      <c r="F37" s="104">
        <v>6.0</v>
      </c>
      <c r="G37" s="168" t="s">
        <v>5505</v>
      </c>
      <c r="H37" s="168" t="s">
        <v>5888</v>
      </c>
      <c r="I37" s="144" t="str">
        <f>IFERROR(__xludf.DUMMYFUNCTION("LET(changes,FILTER('Pool Changes'!$B:$D, 'Pool Changes'!$B:$B = $D37),added,FILTER(INDEX(changes,0,3),INDEX(changes,0,2)=""add pack""),IFERROR(TRANSPOSE(ARRAYFORMULA(IF(added&lt;&gt;"""",HYPERLINK(""https://sealeddeck.tech/""&amp;added,""Link""),""""))),""""))"),"Link")</f>
        <v>Link</v>
      </c>
      <c r="J37" s="144" t="str">
        <f>IFERROR(__xludf.DUMMYFUNCTION("""COMPUTED_VALUE"""),"Link")</f>
        <v>Link</v>
      </c>
      <c r="K37" s="144" t="str">
        <f>IFERROR(__xludf.DUMMYFUNCTION("""COMPUTED_VALUE"""),"Link")</f>
        <v>Link</v>
      </c>
      <c r="L37" s="144" t="str">
        <f>IFERROR(__xludf.DUMMYFUNCTION("""COMPUTED_VALUE"""),"Link")</f>
        <v>Link</v>
      </c>
      <c r="M37" s="144" t="str">
        <f>IFERROR(__xludf.DUMMYFUNCTION("""COMPUTED_VALUE"""),"Link")</f>
        <v>Link</v>
      </c>
      <c r="N37" s="144" t="str">
        <f>IFERROR(__xludf.DUMMYFUNCTION("""COMPUTED_VALUE"""),"Link")</f>
        <v>Link</v>
      </c>
      <c r="O37" s="144" t="str">
        <f>IFERROR(__xludf.DUMMYFUNCTION("""COMPUTED_VALUE"""),"Link")</f>
        <v>Link</v>
      </c>
      <c r="P37" s="174"/>
      <c r="Q37" s="174"/>
      <c r="R37" s="174"/>
      <c r="S37" s="174"/>
    </row>
    <row r="38">
      <c r="A38" s="104" t="s">
        <v>5506</v>
      </c>
      <c r="B38" s="104" t="s">
        <v>5889</v>
      </c>
      <c r="C38" s="104" t="s">
        <v>5890</v>
      </c>
      <c r="D38" s="104" t="s">
        <v>185</v>
      </c>
      <c r="E38" s="104">
        <v>13.0</v>
      </c>
      <c r="F38" s="104">
        <v>11.0</v>
      </c>
      <c r="G38" s="168" t="s">
        <v>5507</v>
      </c>
      <c r="H38" s="168" t="s">
        <v>5891</v>
      </c>
      <c r="I38" s="144" t="str">
        <f>IFERROR(__xludf.DUMMYFUNCTION("LET(changes,FILTER('Pool Changes'!$B:$D, 'Pool Changes'!$B:$B = $D38),added,FILTER(INDEX(changes,0,3),INDEX(changes,0,2)=""add pack""),IFERROR(TRANSPOSE(ARRAYFORMULA(IF(added&lt;&gt;"""",HYPERLINK(""https://sealeddeck.tech/""&amp;added,""Link""),""""))),""""))"),"Link")</f>
        <v>Link</v>
      </c>
      <c r="J38" s="144" t="str">
        <f>IFERROR(__xludf.DUMMYFUNCTION("""COMPUTED_VALUE"""),"Link")</f>
        <v>Link</v>
      </c>
      <c r="K38" s="144" t="str">
        <f>IFERROR(__xludf.DUMMYFUNCTION("""COMPUTED_VALUE"""),"Link")</f>
        <v>Link</v>
      </c>
      <c r="L38" s="144" t="str">
        <f>IFERROR(__xludf.DUMMYFUNCTION("""COMPUTED_VALUE"""),"Link")</f>
        <v>Link</v>
      </c>
      <c r="M38" s="144" t="str">
        <f>IFERROR(__xludf.DUMMYFUNCTION("""COMPUTED_VALUE"""),"Link")</f>
        <v>Link</v>
      </c>
      <c r="N38" s="144" t="str">
        <f>IFERROR(__xludf.DUMMYFUNCTION("""COMPUTED_VALUE"""),"Link")</f>
        <v>Link</v>
      </c>
      <c r="O38" s="144" t="str">
        <f>IFERROR(__xludf.DUMMYFUNCTION("""COMPUTED_VALUE"""),"Link")</f>
        <v>Link</v>
      </c>
      <c r="P38" s="144" t="str">
        <f>IFERROR(__xludf.DUMMYFUNCTION("""COMPUTED_VALUE"""),"Link")</f>
        <v>Link</v>
      </c>
      <c r="Q38" s="144" t="str">
        <f>IFERROR(__xludf.DUMMYFUNCTION("""COMPUTED_VALUE"""),"Link")</f>
        <v>Link</v>
      </c>
      <c r="R38" s="144" t="str">
        <f>IFERROR(__xludf.DUMMYFUNCTION("""COMPUTED_VALUE"""),"Link")</f>
        <v>Link</v>
      </c>
      <c r="S38" s="144" t="str">
        <f>IFERROR(__xludf.DUMMYFUNCTION("""COMPUTED_VALUE"""),"Link")</f>
        <v>Link</v>
      </c>
    </row>
    <row r="39">
      <c r="A39" s="104" t="s">
        <v>5508</v>
      </c>
      <c r="B39" s="104" t="s">
        <v>5893</v>
      </c>
      <c r="C39" s="104" t="s">
        <v>5894</v>
      </c>
      <c r="D39" s="104" t="s">
        <v>110</v>
      </c>
      <c r="E39" s="104">
        <v>4.0</v>
      </c>
      <c r="F39" s="104">
        <v>11.0</v>
      </c>
      <c r="G39" s="168" t="s">
        <v>5509</v>
      </c>
      <c r="H39" s="168" t="s">
        <v>5895</v>
      </c>
      <c r="I39" s="144" t="str">
        <f>IFERROR(__xludf.DUMMYFUNCTION("LET(changes,FILTER('Pool Changes'!$B:$D, 'Pool Changes'!$B:$B = $D39),added,FILTER(INDEX(changes,0,3),INDEX(changes,0,2)=""add pack""),IFERROR(TRANSPOSE(ARRAYFORMULA(IF(added&lt;&gt;"""",HYPERLINK(""https://sealeddeck.tech/""&amp;added,""Link""),""""))),""""))"),"Link")</f>
        <v>Link</v>
      </c>
      <c r="J39" s="144" t="str">
        <f>IFERROR(__xludf.DUMMYFUNCTION("""COMPUTED_VALUE"""),"Link")</f>
        <v>Link</v>
      </c>
      <c r="K39" s="144" t="str">
        <f>IFERROR(__xludf.DUMMYFUNCTION("""COMPUTED_VALUE"""),"Link")</f>
        <v>Link</v>
      </c>
      <c r="L39" s="144" t="str">
        <f>IFERROR(__xludf.DUMMYFUNCTION("""COMPUTED_VALUE"""),"Link")</f>
        <v>Link</v>
      </c>
      <c r="M39" s="144" t="str">
        <f>IFERROR(__xludf.DUMMYFUNCTION("""COMPUTED_VALUE"""),"Link")</f>
        <v>Link</v>
      </c>
      <c r="N39" s="144" t="str">
        <f>IFERROR(__xludf.DUMMYFUNCTION("""COMPUTED_VALUE"""),"Link")</f>
        <v>Link</v>
      </c>
      <c r="O39" s="144" t="str">
        <f>IFERROR(__xludf.DUMMYFUNCTION("""COMPUTED_VALUE"""),"Link")</f>
        <v>Link</v>
      </c>
      <c r="P39" s="144" t="str">
        <f>IFERROR(__xludf.DUMMYFUNCTION("""COMPUTED_VALUE"""),"Link")</f>
        <v>Link</v>
      </c>
      <c r="Q39" s="144" t="str">
        <f>IFERROR(__xludf.DUMMYFUNCTION("""COMPUTED_VALUE"""),"Link")</f>
        <v>Link</v>
      </c>
      <c r="R39" s="144" t="str">
        <f>IFERROR(__xludf.DUMMYFUNCTION("""COMPUTED_VALUE"""),"Link")</f>
        <v>Link</v>
      </c>
      <c r="S39" s="144" t="str">
        <f>IFERROR(__xludf.DUMMYFUNCTION("""COMPUTED_VALUE"""),"Link")</f>
        <v>Link</v>
      </c>
    </row>
    <row r="40">
      <c r="A40" s="104" t="s">
        <v>5510</v>
      </c>
      <c r="B40" s="104" t="s">
        <v>5897</v>
      </c>
      <c r="C40" s="104" t="s">
        <v>5898</v>
      </c>
      <c r="D40" s="104" t="s">
        <v>141</v>
      </c>
      <c r="E40" s="104">
        <v>12.0</v>
      </c>
      <c r="F40" s="104">
        <v>11.0</v>
      </c>
      <c r="G40" s="168" t="s">
        <v>5511</v>
      </c>
      <c r="H40" s="168" t="s">
        <v>5899</v>
      </c>
      <c r="I40" s="144" t="str">
        <f>IFERROR(__xludf.DUMMYFUNCTION("LET(changes,FILTER('Pool Changes'!$B:$D, 'Pool Changes'!$B:$B = $D40),added,FILTER(INDEX(changes,0,3),INDEX(changes,0,2)=""add pack""),IFERROR(TRANSPOSE(ARRAYFORMULA(IF(added&lt;&gt;"""",HYPERLINK(""https://sealeddeck.tech/""&amp;added,""Link""),""""))),""""))"),"Link")</f>
        <v>Link</v>
      </c>
      <c r="J40" s="144" t="str">
        <f>IFERROR(__xludf.DUMMYFUNCTION("""COMPUTED_VALUE"""),"Link")</f>
        <v>Link</v>
      </c>
      <c r="K40" s="144" t="str">
        <f>IFERROR(__xludf.DUMMYFUNCTION("""COMPUTED_VALUE"""),"Link")</f>
        <v>Link</v>
      </c>
      <c r="L40" s="144" t="str">
        <f>IFERROR(__xludf.DUMMYFUNCTION("""COMPUTED_VALUE"""),"Link")</f>
        <v>Link</v>
      </c>
      <c r="M40" s="144" t="str">
        <f>IFERROR(__xludf.DUMMYFUNCTION("""COMPUTED_VALUE"""),"Link")</f>
        <v>Link</v>
      </c>
      <c r="N40" s="144" t="str">
        <f>IFERROR(__xludf.DUMMYFUNCTION("""COMPUTED_VALUE"""),"Link")</f>
        <v>Link</v>
      </c>
      <c r="O40" s="144" t="str">
        <f>IFERROR(__xludf.DUMMYFUNCTION("""COMPUTED_VALUE"""),"Link")</f>
        <v>Link</v>
      </c>
      <c r="P40" s="144" t="str">
        <f>IFERROR(__xludf.DUMMYFUNCTION("""COMPUTED_VALUE"""),"Link")</f>
        <v>Link</v>
      </c>
      <c r="Q40" s="144" t="str">
        <f>IFERROR(__xludf.DUMMYFUNCTION("""COMPUTED_VALUE"""),"Link")</f>
        <v>Link</v>
      </c>
      <c r="R40" s="144"/>
      <c r="S40" s="144"/>
    </row>
    <row r="41">
      <c r="A41" s="104" t="s">
        <v>5512</v>
      </c>
      <c r="B41" s="104" t="s">
        <v>5900</v>
      </c>
      <c r="C41" s="104" t="s">
        <v>5901</v>
      </c>
      <c r="D41" s="104" t="s">
        <v>269</v>
      </c>
      <c r="E41" s="104">
        <v>13.0</v>
      </c>
      <c r="F41" s="104">
        <v>11.0</v>
      </c>
      <c r="G41" s="168" t="s">
        <v>5513</v>
      </c>
      <c r="H41" s="168" t="s">
        <v>5902</v>
      </c>
      <c r="I41" s="144" t="str">
        <f>IFERROR(__xludf.DUMMYFUNCTION("LET(changes,FILTER('Pool Changes'!$B:$D, 'Pool Changes'!$B:$B = $D41),added,FILTER(INDEX(changes,0,3),INDEX(changes,0,2)=""add pack""),IFERROR(TRANSPOSE(ARRAYFORMULA(IF(added&lt;&gt;"""",HYPERLINK(""https://sealeddeck.tech/""&amp;added,""Link""),""""))),""""))"),"Link")</f>
        <v>Link</v>
      </c>
      <c r="J41" s="144" t="str">
        <f>IFERROR(__xludf.DUMMYFUNCTION("""COMPUTED_VALUE"""),"Link")</f>
        <v>Link</v>
      </c>
      <c r="K41" s="144" t="str">
        <f>IFERROR(__xludf.DUMMYFUNCTION("""COMPUTED_VALUE"""),"Link")</f>
        <v>Link</v>
      </c>
      <c r="L41" s="144" t="str">
        <f>IFERROR(__xludf.DUMMYFUNCTION("""COMPUTED_VALUE"""),"Link")</f>
        <v>Link</v>
      </c>
      <c r="M41" s="144" t="str">
        <f>IFERROR(__xludf.DUMMYFUNCTION("""COMPUTED_VALUE"""),"Link")</f>
        <v>Link</v>
      </c>
      <c r="N41" s="144" t="str">
        <f>IFERROR(__xludf.DUMMYFUNCTION("""COMPUTED_VALUE"""),"Link")</f>
        <v>Link</v>
      </c>
      <c r="O41" s="144" t="str">
        <f>IFERROR(__xludf.DUMMYFUNCTION("""COMPUTED_VALUE"""),"Link")</f>
        <v>Link</v>
      </c>
      <c r="P41" s="144" t="str">
        <f>IFERROR(__xludf.DUMMYFUNCTION("""COMPUTED_VALUE"""),"Link")</f>
        <v>Link</v>
      </c>
      <c r="Q41" s="144" t="str">
        <f>IFERROR(__xludf.DUMMYFUNCTION("""COMPUTED_VALUE"""),"Link")</f>
        <v>Link</v>
      </c>
      <c r="R41" s="144" t="str">
        <f>IFERROR(__xludf.DUMMYFUNCTION("""COMPUTED_VALUE"""),"Link")</f>
        <v>Link</v>
      </c>
      <c r="S41" s="144" t="str">
        <f>IFERROR(__xludf.DUMMYFUNCTION("""COMPUTED_VALUE"""),"Link")</f>
        <v>Link</v>
      </c>
    </row>
    <row r="42">
      <c r="A42" s="104" t="s">
        <v>5514</v>
      </c>
      <c r="B42" s="104" t="s">
        <v>5904</v>
      </c>
      <c r="C42" s="104" t="s">
        <v>5905</v>
      </c>
      <c r="D42" s="104" t="s">
        <v>206</v>
      </c>
      <c r="E42" s="104">
        <v>15.0</v>
      </c>
      <c r="F42" s="104">
        <v>10.0</v>
      </c>
      <c r="G42" s="168" t="s">
        <v>5515</v>
      </c>
      <c r="H42" s="168" t="s">
        <v>5906</v>
      </c>
      <c r="I42" s="144" t="str">
        <f>IFERROR(__xludf.DUMMYFUNCTION("LET(changes,FILTER('Pool Changes'!$B:$D, 'Pool Changes'!$B:$B = $D42),added,FILTER(INDEX(changes,0,3),INDEX(changes,0,2)=""add pack""),IFERROR(TRANSPOSE(ARRAYFORMULA(IF(added&lt;&gt;"""",HYPERLINK(""https://sealeddeck.tech/""&amp;added,""Link""),""""))),""""))"),"Link")</f>
        <v>Link</v>
      </c>
      <c r="J42" s="144" t="str">
        <f>IFERROR(__xludf.DUMMYFUNCTION("""COMPUTED_VALUE"""),"Link")</f>
        <v>Link</v>
      </c>
      <c r="K42" s="144" t="str">
        <f>IFERROR(__xludf.DUMMYFUNCTION("""COMPUTED_VALUE"""),"Link")</f>
        <v>Link</v>
      </c>
      <c r="L42" s="144" t="str">
        <f>IFERROR(__xludf.DUMMYFUNCTION("""COMPUTED_VALUE"""),"Link")</f>
        <v>Link</v>
      </c>
      <c r="M42" s="144" t="str">
        <f>IFERROR(__xludf.DUMMYFUNCTION("""COMPUTED_VALUE"""),"Link")</f>
        <v>Link</v>
      </c>
      <c r="N42" s="144" t="str">
        <f>IFERROR(__xludf.DUMMYFUNCTION("""COMPUTED_VALUE"""),"Link")</f>
        <v>Link</v>
      </c>
      <c r="O42" s="144" t="str">
        <f>IFERROR(__xludf.DUMMYFUNCTION("""COMPUTED_VALUE"""),"Link")</f>
        <v>Link</v>
      </c>
      <c r="P42" s="144" t="str">
        <f>IFERROR(__xludf.DUMMYFUNCTION("""COMPUTED_VALUE"""),"Link")</f>
        <v>Link</v>
      </c>
      <c r="Q42" s="144"/>
      <c r="R42" s="144"/>
      <c r="S42" s="144"/>
    </row>
    <row r="43">
      <c r="A43" s="104" t="s">
        <v>5516</v>
      </c>
      <c r="B43" s="104" t="s">
        <v>5907</v>
      </c>
      <c r="C43" s="104" t="s">
        <v>5908</v>
      </c>
      <c r="D43" s="104" t="s">
        <v>178</v>
      </c>
      <c r="E43" s="104">
        <v>13.0</v>
      </c>
      <c r="F43" s="104">
        <v>8.0</v>
      </c>
      <c r="G43" s="168" t="s">
        <v>5517</v>
      </c>
      <c r="H43" s="168" t="s">
        <v>5909</v>
      </c>
      <c r="I43" s="144" t="str">
        <f>IFERROR(__xludf.DUMMYFUNCTION("LET(changes,FILTER('Pool Changes'!$B:$D, 'Pool Changes'!$B:$B = $D43),added,FILTER(INDEX(changes,0,3),INDEX(changes,0,2)=""add pack""),IFERROR(TRANSPOSE(ARRAYFORMULA(IF(added&lt;&gt;"""",HYPERLINK(""https://sealeddeck.tech/""&amp;added,""Link""),""""))),""""))"),"Link")</f>
        <v>Link</v>
      </c>
      <c r="J43" s="144" t="str">
        <f>IFERROR(__xludf.DUMMYFUNCTION("""COMPUTED_VALUE"""),"Link")</f>
        <v>Link</v>
      </c>
      <c r="K43" s="144" t="str">
        <f>IFERROR(__xludf.DUMMYFUNCTION("""COMPUTED_VALUE"""),"Link")</f>
        <v>Link</v>
      </c>
      <c r="L43" s="144" t="str">
        <f>IFERROR(__xludf.DUMMYFUNCTION("""COMPUTED_VALUE"""),"Link")</f>
        <v>Link</v>
      </c>
      <c r="M43" s="144" t="str">
        <f>IFERROR(__xludf.DUMMYFUNCTION("""COMPUTED_VALUE"""),"Link")</f>
        <v>Link</v>
      </c>
      <c r="N43" s="144" t="str">
        <f>IFERROR(__xludf.DUMMYFUNCTION("""COMPUTED_VALUE"""),"Link")</f>
        <v>Link</v>
      </c>
      <c r="O43" s="144" t="str">
        <f>IFERROR(__xludf.DUMMYFUNCTION("""COMPUTED_VALUE"""),"Link")</f>
        <v>Link</v>
      </c>
      <c r="P43" s="144" t="str">
        <f>IFERROR(__xludf.DUMMYFUNCTION("""COMPUTED_VALUE"""),"Link")</f>
        <v>Link</v>
      </c>
      <c r="Q43" s="144" t="str">
        <f>IFERROR(__xludf.DUMMYFUNCTION("""COMPUTED_VALUE"""),"Link")</f>
        <v>Link</v>
      </c>
      <c r="R43" s="174"/>
      <c r="S43" s="174"/>
    </row>
    <row r="44">
      <c r="A44" s="104" t="s">
        <v>5518</v>
      </c>
      <c r="B44" s="104" t="s">
        <v>5910</v>
      </c>
      <c r="C44" s="104" t="s">
        <v>5911</v>
      </c>
      <c r="D44" s="104" t="s">
        <v>151</v>
      </c>
      <c r="E44" s="104">
        <v>3.0</v>
      </c>
      <c r="F44" s="104">
        <v>11.0</v>
      </c>
      <c r="G44" s="168" t="s">
        <v>5519</v>
      </c>
      <c r="H44" s="168" t="s">
        <v>5912</v>
      </c>
      <c r="I44" s="144" t="str">
        <f>IFERROR(__xludf.DUMMYFUNCTION("LET(changes,FILTER('Pool Changes'!$B:$D, 'Pool Changes'!$B:$B = $D44),added,FILTER(INDEX(changes,0,3),INDEX(changes,0,2)=""add pack""),IFERROR(TRANSPOSE(ARRAYFORMULA(IF(added&lt;&gt;"""",HYPERLINK(""https://sealeddeck.tech/""&amp;added,""Link""),""""))),""""))"),"Link")</f>
        <v>Link</v>
      </c>
      <c r="J44" s="144" t="str">
        <f>IFERROR(__xludf.DUMMYFUNCTION("""COMPUTED_VALUE"""),"Link")</f>
        <v>Link</v>
      </c>
      <c r="K44" s="144" t="str">
        <f>IFERROR(__xludf.DUMMYFUNCTION("""COMPUTED_VALUE"""),"Link")</f>
        <v>Link</v>
      </c>
      <c r="L44" s="144" t="str">
        <f>IFERROR(__xludf.DUMMYFUNCTION("""COMPUTED_VALUE"""),"Link")</f>
        <v>Link</v>
      </c>
      <c r="M44" s="144" t="str">
        <f>IFERROR(__xludf.DUMMYFUNCTION("""COMPUTED_VALUE"""),"Link")</f>
        <v>Link</v>
      </c>
      <c r="N44" s="144" t="str">
        <f>IFERROR(__xludf.DUMMYFUNCTION("""COMPUTED_VALUE"""),"Link")</f>
        <v>Link</v>
      </c>
      <c r="O44" s="144" t="str">
        <f>IFERROR(__xludf.DUMMYFUNCTION("""COMPUTED_VALUE"""),"Link")</f>
        <v>Link</v>
      </c>
      <c r="P44" s="144" t="str">
        <f>IFERROR(__xludf.DUMMYFUNCTION("""COMPUTED_VALUE"""),"Link")</f>
        <v>Link</v>
      </c>
      <c r="Q44" s="144" t="str">
        <f>IFERROR(__xludf.DUMMYFUNCTION("""COMPUTED_VALUE"""),"Link")</f>
        <v>Link</v>
      </c>
      <c r="R44" s="144" t="str">
        <f>IFERROR(__xludf.DUMMYFUNCTION("""COMPUTED_VALUE"""),"Link")</f>
        <v>Link</v>
      </c>
      <c r="S44" s="144" t="str">
        <f>IFERROR(__xludf.DUMMYFUNCTION("""COMPUTED_VALUE"""),"Link")</f>
        <v>Link</v>
      </c>
    </row>
    <row r="45">
      <c r="A45" s="104" t="s">
        <v>5520</v>
      </c>
      <c r="B45" s="104" t="s">
        <v>5914</v>
      </c>
      <c r="C45" s="104" t="s">
        <v>5915</v>
      </c>
      <c r="D45" s="104" t="s">
        <v>86</v>
      </c>
      <c r="E45" s="104">
        <v>0.0</v>
      </c>
      <c r="F45" s="104">
        <v>11.0</v>
      </c>
      <c r="G45" s="168" t="s">
        <v>5521</v>
      </c>
      <c r="H45" s="168" t="s">
        <v>5916</v>
      </c>
      <c r="I45" s="144" t="str">
        <f>IFERROR(__xludf.DUMMYFUNCTION("LET(changes,FILTER('Pool Changes'!$B:$D, 'Pool Changes'!$B:$B = $D45),added,FILTER(INDEX(changes,0,3),INDEX(changes,0,2)=""add pack""),IFERROR(TRANSPOSE(ARRAYFORMULA(IF(added&lt;&gt;"""",HYPERLINK(""https://sealeddeck.tech/""&amp;added,""Link""),""""))),""""))"),"Link")</f>
        <v>Link</v>
      </c>
      <c r="J45" s="174"/>
      <c r="K45" s="174"/>
      <c r="L45" s="174"/>
      <c r="M45" s="174"/>
      <c r="N45" s="174"/>
      <c r="O45" s="174"/>
      <c r="P45" s="174"/>
      <c r="Q45" s="174"/>
      <c r="R45" s="174"/>
      <c r="S45" s="174"/>
    </row>
    <row r="46">
      <c r="A46" s="104" t="s">
        <v>5522</v>
      </c>
      <c r="B46" s="104" t="s">
        <v>5917</v>
      </c>
      <c r="C46" s="104" t="s">
        <v>5918</v>
      </c>
      <c r="D46" s="104" t="s">
        <v>111</v>
      </c>
      <c r="E46" s="104">
        <v>3.0</v>
      </c>
      <c r="F46" s="104">
        <v>11.0</v>
      </c>
      <c r="G46" s="168" t="s">
        <v>5523</v>
      </c>
      <c r="H46" s="168" t="s">
        <v>5919</v>
      </c>
      <c r="I46" s="144" t="str">
        <f>IFERROR(__xludf.DUMMYFUNCTION("LET(changes,FILTER('Pool Changes'!$B:$D, 'Pool Changes'!$B:$B = $D46),added,FILTER(INDEX(changes,0,3),INDEX(changes,0,2)=""add pack""),IFERROR(TRANSPOSE(ARRAYFORMULA(IF(added&lt;&gt;"""",HYPERLINK(""https://sealeddeck.tech/""&amp;added,""Link""),""""))),""""))"),"Link")</f>
        <v>Link</v>
      </c>
      <c r="J46" s="144" t="str">
        <f>IFERROR(__xludf.DUMMYFUNCTION("""COMPUTED_VALUE"""),"Link")</f>
        <v>Link</v>
      </c>
      <c r="K46" s="144" t="str">
        <f>IFERROR(__xludf.DUMMYFUNCTION("""COMPUTED_VALUE"""),"Link")</f>
        <v>Link</v>
      </c>
      <c r="L46" s="174"/>
      <c r="M46" s="174"/>
      <c r="N46" s="174"/>
      <c r="O46" s="174"/>
      <c r="P46" s="174"/>
      <c r="Q46" s="174"/>
      <c r="R46" s="174"/>
      <c r="S46" s="174"/>
    </row>
    <row r="47">
      <c r="A47" s="104" t="s">
        <v>5524</v>
      </c>
      <c r="B47" s="104" t="s">
        <v>5920</v>
      </c>
      <c r="C47" s="104" t="s">
        <v>5921</v>
      </c>
      <c r="D47" s="104" t="s">
        <v>214</v>
      </c>
      <c r="E47" s="104">
        <v>2.0</v>
      </c>
      <c r="F47" s="104">
        <v>11.0</v>
      </c>
      <c r="G47" s="168" t="s">
        <v>5525</v>
      </c>
      <c r="H47" s="168" t="s">
        <v>5922</v>
      </c>
      <c r="I47" s="144" t="str">
        <f>IFERROR(__xludf.DUMMYFUNCTION("LET(changes,FILTER('Pool Changes'!$B:$D, 'Pool Changes'!$B:$B = $D47),added,FILTER(INDEX(changes,0,3),INDEX(changes,0,2)=""add pack""),IFERROR(TRANSPOSE(ARRAYFORMULA(IF(added&lt;&gt;"""",HYPERLINK(""https://sealeddeck.tech/""&amp;added,""Link""),""""))),""""))"),"Link")</f>
        <v>Link</v>
      </c>
      <c r="J47" s="144" t="str">
        <f>IFERROR(__xludf.DUMMYFUNCTION("""COMPUTED_VALUE"""),"Link")</f>
        <v>Link</v>
      </c>
      <c r="K47" s="144" t="str">
        <f>IFERROR(__xludf.DUMMYFUNCTION("""COMPUTED_VALUE"""),"Link")</f>
        <v>Link</v>
      </c>
      <c r="L47" s="144" t="str">
        <f>IFERROR(__xludf.DUMMYFUNCTION("""COMPUTED_VALUE"""),"Link")</f>
        <v>Link</v>
      </c>
      <c r="M47" s="144" t="str">
        <f>IFERROR(__xludf.DUMMYFUNCTION("""COMPUTED_VALUE"""),"Link")</f>
        <v>Link</v>
      </c>
      <c r="N47" s="144" t="str">
        <f>IFERROR(__xludf.DUMMYFUNCTION("""COMPUTED_VALUE"""),"Link")</f>
        <v>Link</v>
      </c>
      <c r="O47" s="144" t="str">
        <f>IFERROR(__xludf.DUMMYFUNCTION("""COMPUTED_VALUE"""),"Link")</f>
        <v>Link</v>
      </c>
      <c r="P47" s="144" t="str">
        <f>IFERROR(__xludf.DUMMYFUNCTION("""COMPUTED_VALUE"""),"Link")</f>
        <v>Link</v>
      </c>
      <c r="Q47" s="144" t="str">
        <f>IFERROR(__xludf.DUMMYFUNCTION("""COMPUTED_VALUE"""),"Link")</f>
        <v>Link</v>
      </c>
      <c r="R47" s="144" t="str">
        <f>IFERROR(__xludf.DUMMYFUNCTION("""COMPUTED_VALUE"""),"Link")</f>
        <v>Link</v>
      </c>
      <c r="S47" s="144" t="str">
        <f>IFERROR(__xludf.DUMMYFUNCTION("""COMPUTED_VALUE"""),"Link")</f>
        <v>Link</v>
      </c>
    </row>
    <row r="48">
      <c r="A48" s="104" t="s">
        <v>5526</v>
      </c>
      <c r="B48" s="104" t="s">
        <v>5923</v>
      </c>
      <c r="C48" s="104" t="s">
        <v>5924</v>
      </c>
      <c r="D48" s="104" t="s">
        <v>281</v>
      </c>
      <c r="E48" s="104">
        <v>3.0</v>
      </c>
      <c r="F48" s="104">
        <v>11.0</v>
      </c>
      <c r="G48" s="168" t="s">
        <v>5527</v>
      </c>
      <c r="H48" s="168" t="s">
        <v>5925</v>
      </c>
      <c r="I48" s="144" t="str">
        <f>IFERROR(__xludf.DUMMYFUNCTION("LET(changes,FILTER('Pool Changes'!$B:$D, 'Pool Changes'!$B:$B = $D48),added,FILTER(INDEX(changes,0,3),INDEX(changes,0,2)=""add pack""),IFERROR(TRANSPOSE(ARRAYFORMULA(IF(added&lt;&gt;"""",HYPERLINK(""https://sealeddeck.tech/""&amp;added,""Link""),""""))),""""))"),"Link")</f>
        <v>Link</v>
      </c>
      <c r="J48" s="144" t="str">
        <f>IFERROR(__xludf.DUMMYFUNCTION("""COMPUTED_VALUE"""),"Link")</f>
        <v>Link</v>
      </c>
      <c r="K48" s="144" t="str">
        <f>IFERROR(__xludf.DUMMYFUNCTION("""COMPUTED_VALUE"""),"Link")</f>
        <v>Link</v>
      </c>
      <c r="L48" s="144" t="str">
        <f>IFERROR(__xludf.DUMMYFUNCTION("""COMPUTED_VALUE"""),"Link")</f>
        <v>Link</v>
      </c>
      <c r="M48" s="144" t="str">
        <f>IFERROR(__xludf.DUMMYFUNCTION("""COMPUTED_VALUE"""),"Link")</f>
        <v>Link</v>
      </c>
      <c r="N48" s="144" t="str">
        <f>IFERROR(__xludf.DUMMYFUNCTION("""COMPUTED_VALUE"""),"Link")</f>
        <v>Link</v>
      </c>
      <c r="O48" s="144" t="str">
        <f>IFERROR(__xludf.DUMMYFUNCTION("""COMPUTED_VALUE"""),"Link")</f>
        <v>Link</v>
      </c>
      <c r="P48" s="144" t="str">
        <f>IFERROR(__xludf.DUMMYFUNCTION("""COMPUTED_VALUE"""),"Link")</f>
        <v>Link</v>
      </c>
      <c r="Q48" s="144" t="str">
        <f>IFERROR(__xludf.DUMMYFUNCTION("""COMPUTED_VALUE"""),"Link")</f>
        <v>Link</v>
      </c>
      <c r="R48" s="144" t="str">
        <f>IFERROR(__xludf.DUMMYFUNCTION("""COMPUTED_VALUE"""),"Link")</f>
        <v>Link</v>
      </c>
      <c r="S48" s="144" t="str">
        <f>IFERROR(__xludf.DUMMYFUNCTION("""COMPUTED_VALUE"""),"Link")</f>
        <v>Link</v>
      </c>
    </row>
    <row r="49">
      <c r="A49" s="104" t="s">
        <v>5528</v>
      </c>
      <c r="B49" s="104" t="s">
        <v>5926</v>
      </c>
      <c r="C49" s="104" t="s">
        <v>5927</v>
      </c>
      <c r="D49" s="104" t="s">
        <v>294</v>
      </c>
      <c r="E49" s="104">
        <v>12.0</v>
      </c>
      <c r="F49" s="104">
        <v>8.0</v>
      </c>
      <c r="G49" s="168" t="s">
        <v>5529</v>
      </c>
      <c r="H49" s="168" t="s">
        <v>5928</v>
      </c>
      <c r="I49" s="144" t="str">
        <f>IFERROR(__xludf.DUMMYFUNCTION("LET(changes,FILTER('Pool Changes'!$B:$D, 'Pool Changes'!$B:$B = $D49),added,FILTER(INDEX(changes,0,3),INDEX(changes,0,2)=""add pack""),IFERROR(TRANSPOSE(ARRAYFORMULA(IF(added&lt;&gt;"""",HYPERLINK(""https://sealeddeck.tech/""&amp;added,""Link""),""""))),""""))"),"Link")</f>
        <v>Link</v>
      </c>
      <c r="J49" s="144" t="str">
        <f>IFERROR(__xludf.DUMMYFUNCTION("""COMPUTED_VALUE"""),"Link")</f>
        <v>Link</v>
      </c>
      <c r="K49" s="144" t="str">
        <f>IFERROR(__xludf.DUMMYFUNCTION("""COMPUTED_VALUE"""),"Link")</f>
        <v>Link</v>
      </c>
      <c r="L49" s="144" t="str">
        <f>IFERROR(__xludf.DUMMYFUNCTION("""COMPUTED_VALUE"""),"Link")</f>
        <v>Link</v>
      </c>
      <c r="M49" s="144" t="str">
        <f>IFERROR(__xludf.DUMMYFUNCTION("""COMPUTED_VALUE"""),"Link")</f>
        <v>Link</v>
      </c>
      <c r="N49" s="144" t="str">
        <f>IFERROR(__xludf.DUMMYFUNCTION("""COMPUTED_VALUE"""),"Link")</f>
        <v>Link</v>
      </c>
      <c r="O49" s="144" t="str">
        <f>IFERROR(__xludf.DUMMYFUNCTION("""COMPUTED_VALUE"""),"Link")</f>
        <v>Link</v>
      </c>
      <c r="P49" s="144" t="str">
        <f>IFERROR(__xludf.DUMMYFUNCTION("""COMPUTED_VALUE"""),"Link")</f>
        <v>Link</v>
      </c>
      <c r="Q49" s="144" t="str">
        <f>IFERROR(__xludf.DUMMYFUNCTION("""COMPUTED_VALUE"""),"Link")</f>
        <v>Link</v>
      </c>
      <c r="R49" s="174"/>
      <c r="S49" s="174"/>
    </row>
    <row r="50">
      <c r="A50" s="104" t="s">
        <v>5530</v>
      </c>
      <c r="B50" s="104" t="s">
        <v>5929</v>
      </c>
      <c r="C50" s="104" t="s">
        <v>5930</v>
      </c>
      <c r="D50" s="104" t="s">
        <v>283</v>
      </c>
      <c r="E50" s="104">
        <v>13.0</v>
      </c>
      <c r="F50" s="104">
        <v>10.0</v>
      </c>
      <c r="G50" s="168" t="s">
        <v>5531</v>
      </c>
      <c r="H50" s="168" t="s">
        <v>5931</v>
      </c>
      <c r="I50" s="144" t="str">
        <f>IFERROR(__xludf.DUMMYFUNCTION("LET(changes,FILTER('Pool Changes'!$B:$D, 'Pool Changes'!$B:$B = $D50),added,FILTER(INDEX(changes,0,3),INDEX(changes,0,2)=""add pack""),IFERROR(TRANSPOSE(ARRAYFORMULA(IF(added&lt;&gt;"""",HYPERLINK(""https://sealeddeck.tech/""&amp;added,""Link""),""""))),""""))"),"Link")</f>
        <v>Link</v>
      </c>
      <c r="J50" s="144" t="str">
        <f>IFERROR(__xludf.DUMMYFUNCTION("""COMPUTED_VALUE"""),"Link")</f>
        <v>Link</v>
      </c>
      <c r="K50" s="144" t="str">
        <f>IFERROR(__xludf.DUMMYFUNCTION("""COMPUTED_VALUE"""),"Link")</f>
        <v>Link</v>
      </c>
      <c r="L50" s="144" t="str">
        <f>IFERROR(__xludf.DUMMYFUNCTION("""COMPUTED_VALUE"""),"Link")</f>
        <v>Link</v>
      </c>
      <c r="M50" s="144" t="str">
        <f>IFERROR(__xludf.DUMMYFUNCTION("""COMPUTED_VALUE"""),"Link")</f>
        <v>Link</v>
      </c>
      <c r="N50" s="144" t="str">
        <f>IFERROR(__xludf.DUMMYFUNCTION("""COMPUTED_VALUE"""),"Link")</f>
        <v>Link</v>
      </c>
      <c r="O50" s="144" t="str">
        <f>IFERROR(__xludf.DUMMYFUNCTION("""COMPUTED_VALUE"""),"Link")</f>
        <v>Link</v>
      </c>
      <c r="P50" s="144" t="str">
        <f>IFERROR(__xludf.DUMMYFUNCTION("""COMPUTED_VALUE"""),"Link")</f>
        <v>Link</v>
      </c>
      <c r="Q50" s="144"/>
      <c r="R50" s="144"/>
      <c r="S50" s="144"/>
    </row>
    <row r="51">
      <c r="A51" s="104" t="s">
        <v>5532</v>
      </c>
      <c r="B51" s="104" t="s">
        <v>5932</v>
      </c>
      <c r="C51" s="104" t="s">
        <v>5933</v>
      </c>
      <c r="D51" s="104" t="s">
        <v>290</v>
      </c>
      <c r="E51" s="104">
        <v>6.0</v>
      </c>
      <c r="F51" s="104">
        <v>11.0</v>
      </c>
      <c r="G51" s="168" t="s">
        <v>5533</v>
      </c>
      <c r="H51" s="168" t="s">
        <v>5934</v>
      </c>
      <c r="I51" s="144" t="str">
        <f>IFERROR(__xludf.DUMMYFUNCTION("LET(changes,FILTER('Pool Changes'!$B:$D, 'Pool Changes'!$B:$B = $D51),added,FILTER(INDEX(changes,0,3),INDEX(changes,0,2)=""add pack""),IFERROR(TRANSPOSE(ARRAYFORMULA(IF(added&lt;&gt;"""",HYPERLINK(""https://sealeddeck.tech/""&amp;added,""Link""),""""))),""""))"),"Link")</f>
        <v>Link</v>
      </c>
      <c r="J51" s="144" t="str">
        <f>IFERROR(__xludf.DUMMYFUNCTION("""COMPUTED_VALUE"""),"Link")</f>
        <v>Link</v>
      </c>
      <c r="K51" s="144" t="str">
        <f>IFERROR(__xludf.DUMMYFUNCTION("""COMPUTED_VALUE"""),"Link")</f>
        <v>Link</v>
      </c>
      <c r="L51" s="144" t="str">
        <f>IFERROR(__xludf.DUMMYFUNCTION("""COMPUTED_VALUE"""),"Link")</f>
        <v>Link</v>
      </c>
      <c r="M51" s="144" t="str">
        <f>IFERROR(__xludf.DUMMYFUNCTION("""COMPUTED_VALUE"""),"Link")</f>
        <v>Link</v>
      </c>
      <c r="N51" s="144" t="str">
        <f>IFERROR(__xludf.DUMMYFUNCTION("""COMPUTED_VALUE"""),"Link")</f>
        <v>Link</v>
      </c>
      <c r="O51" s="144" t="str">
        <f>IFERROR(__xludf.DUMMYFUNCTION("""COMPUTED_VALUE"""),"Link")</f>
        <v>Link</v>
      </c>
      <c r="P51" s="144" t="str">
        <f>IFERROR(__xludf.DUMMYFUNCTION("""COMPUTED_VALUE"""),"Link")</f>
        <v>Link</v>
      </c>
      <c r="Q51" s="144" t="str">
        <f>IFERROR(__xludf.DUMMYFUNCTION("""COMPUTED_VALUE"""),"Link")</f>
        <v>Link</v>
      </c>
      <c r="R51" s="144" t="str">
        <f>IFERROR(__xludf.DUMMYFUNCTION("""COMPUTED_VALUE"""),"Link")</f>
        <v>Link</v>
      </c>
      <c r="S51" s="144" t="str">
        <f>IFERROR(__xludf.DUMMYFUNCTION("""COMPUTED_VALUE"""),"Link")</f>
        <v>Link</v>
      </c>
    </row>
    <row r="52">
      <c r="A52" s="104" t="s">
        <v>5534</v>
      </c>
      <c r="B52" s="104" t="s">
        <v>5935</v>
      </c>
      <c r="C52" s="104" t="s">
        <v>5936</v>
      </c>
      <c r="D52" s="104" t="s">
        <v>182</v>
      </c>
      <c r="E52" s="104">
        <v>8.0</v>
      </c>
      <c r="F52" s="104">
        <v>11.0</v>
      </c>
      <c r="G52" s="168" t="s">
        <v>5535</v>
      </c>
      <c r="H52" s="168" t="s">
        <v>5937</v>
      </c>
      <c r="I52" s="144" t="str">
        <f>IFERROR(__xludf.DUMMYFUNCTION("LET(changes,FILTER('Pool Changes'!$B:$D, 'Pool Changes'!$B:$B = $D52),added,FILTER(INDEX(changes,0,3),INDEX(changes,0,2)=""add pack""),IFERROR(TRANSPOSE(ARRAYFORMULA(IF(added&lt;&gt;"""",HYPERLINK(""https://sealeddeck.tech/""&amp;added,""Link""),""""))),""""))"),"Link")</f>
        <v>Link</v>
      </c>
      <c r="J52" s="144" t="str">
        <f>IFERROR(__xludf.DUMMYFUNCTION("""COMPUTED_VALUE"""),"Link")</f>
        <v>Link</v>
      </c>
      <c r="K52" s="144" t="str">
        <f>IFERROR(__xludf.DUMMYFUNCTION("""COMPUTED_VALUE"""),"Link")</f>
        <v>Link</v>
      </c>
      <c r="L52" s="144" t="str">
        <f>IFERROR(__xludf.DUMMYFUNCTION("""COMPUTED_VALUE"""),"Link")</f>
        <v>Link</v>
      </c>
      <c r="M52" s="144" t="str">
        <f>IFERROR(__xludf.DUMMYFUNCTION("""COMPUTED_VALUE"""),"Link")</f>
        <v>Link</v>
      </c>
      <c r="N52" s="144" t="str">
        <f>IFERROR(__xludf.DUMMYFUNCTION("""COMPUTED_VALUE"""),"Link")</f>
        <v>Link</v>
      </c>
      <c r="O52" s="144" t="str">
        <f>IFERROR(__xludf.DUMMYFUNCTION("""COMPUTED_VALUE"""),"Link")</f>
        <v>Link</v>
      </c>
      <c r="P52" s="144" t="str">
        <f>IFERROR(__xludf.DUMMYFUNCTION("""COMPUTED_VALUE"""),"Link")</f>
        <v>Link</v>
      </c>
      <c r="Q52" s="144" t="str">
        <f>IFERROR(__xludf.DUMMYFUNCTION("""COMPUTED_VALUE"""),"Link")</f>
        <v>Link</v>
      </c>
      <c r="R52" s="144" t="str">
        <f>IFERROR(__xludf.DUMMYFUNCTION("""COMPUTED_VALUE"""),"Link")</f>
        <v>Link</v>
      </c>
      <c r="S52" s="144" t="str">
        <f>IFERROR(__xludf.DUMMYFUNCTION("""COMPUTED_VALUE"""),"Link")</f>
        <v>Link</v>
      </c>
    </row>
    <row r="53">
      <c r="A53" s="104" t="s">
        <v>5536</v>
      </c>
      <c r="B53" s="104" t="s">
        <v>5938</v>
      </c>
      <c r="C53" s="104" t="s">
        <v>5939</v>
      </c>
      <c r="D53" s="104" t="s">
        <v>304</v>
      </c>
      <c r="E53" s="104">
        <v>12.0</v>
      </c>
      <c r="F53" s="104">
        <v>6.0</v>
      </c>
      <c r="G53" s="168" t="s">
        <v>5537</v>
      </c>
      <c r="H53" s="168" t="s">
        <v>5940</v>
      </c>
      <c r="I53" s="144" t="str">
        <f>IFERROR(__xludf.DUMMYFUNCTION("LET(changes,FILTER('Pool Changes'!$B:$D, 'Pool Changes'!$B:$B = $D53),added,FILTER(INDEX(changes,0,3),INDEX(changes,0,2)=""add pack""),IFERROR(TRANSPOSE(ARRAYFORMULA(IF(added&lt;&gt;"""",HYPERLINK(""https://sealeddeck.tech/""&amp;added,""Link""),""""))),""""))"),"Link")</f>
        <v>Link</v>
      </c>
      <c r="J53" s="144" t="str">
        <f>IFERROR(__xludf.DUMMYFUNCTION("""COMPUTED_VALUE"""),"Link")</f>
        <v>Link</v>
      </c>
      <c r="K53" s="144" t="str">
        <f>IFERROR(__xludf.DUMMYFUNCTION("""COMPUTED_VALUE"""),"Link")</f>
        <v>Link</v>
      </c>
      <c r="L53" s="144" t="str">
        <f>IFERROR(__xludf.DUMMYFUNCTION("""COMPUTED_VALUE"""),"Link")</f>
        <v>Link</v>
      </c>
      <c r="M53" s="144" t="str">
        <f>IFERROR(__xludf.DUMMYFUNCTION("""COMPUTED_VALUE"""),"Link")</f>
        <v>Link</v>
      </c>
      <c r="N53" s="144" t="str">
        <f>IFERROR(__xludf.DUMMYFUNCTION("""COMPUTED_VALUE"""),"Link")</f>
        <v>Link</v>
      </c>
      <c r="O53" s="144" t="str">
        <f>IFERROR(__xludf.DUMMYFUNCTION("""COMPUTED_VALUE"""),"Link")</f>
        <v>Link</v>
      </c>
      <c r="P53" s="174"/>
      <c r="Q53" s="174"/>
      <c r="R53" s="174"/>
      <c r="S53" s="174"/>
    </row>
    <row r="54">
      <c r="A54" s="104" t="s">
        <v>5538</v>
      </c>
      <c r="B54" s="104" t="s">
        <v>5941</v>
      </c>
      <c r="C54" s="104" t="s">
        <v>5942</v>
      </c>
      <c r="D54" s="104" t="s">
        <v>166</v>
      </c>
      <c r="E54" s="104">
        <v>4.0</v>
      </c>
      <c r="F54" s="104">
        <v>11.0</v>
      </c>
      <c r="G54" s="168" t="s">
        <v>5539</v>
      </c>
      <c r="H54" s="168" t="s">
        <v>5943</v>
      </c>
      <c r="I54" s="144" t="str">
        <f>IFERROR(__xludf.DUMMYFUNCTION("LET(changes,FILTER('Pool Changes'!$B:$D, 'Pool Changes'!$B:$B = $D54),added,FILTER(INDEX(changes,0,3),INDEX(changes,0,2)=""add pack""),IFERROR(TRANSPOSE(ARRAYFORMULA(IF(added&lt;&gt;"""",HYPERLINK(""https://sealeddeck.tech/""&amp;added,""Link""),""""))),""""))"),"Link")</f>
        <v>Link</v>
      </c>
      <c r="J54" s="144" t="str">
        <f>IFERROR(__xludf.DUMMYFUNCTION("""COMPUTED_VALUE"""),"Link")</f>
        <v>Link</v>
      </c>
      <c r="K54" s="144" t="str">
        <f>IFERROR(__xludf.DUMMYFUNCTION("""COMPUTED_VALUE"""),"Link")</f>
        <v>Link</v>
      </c>
      <c r="L54" s="144" t="str">
        <f>IFERROR(__xludf.DUMMYFUNCTION("""COMPUTED_VALUE"""),"Link")</f>
        <v>Link</v>
      </c>
      <c r="M54" s="144" t="str">
        <f>IFERROR(__xludf.DUMMYFUNCTION("""COMPUTED_VALUE"""),"Link")</f>
        <v>Link</v>
      </c>
      <c r="N54" s="144" t="str">
        <f>IFERROR(__xludf.DUMMYFUNCTION("""COMPUTED_VALUE"""),"Link")</f>
        <v>Link</v>
      </c>
      <c r="O54" s="144" t="str">
        <f>IFERROR(__xludf.DUMMYFUNCTION("""COMPUTED_VALUE"""),"Link")</f>
        <v>Link</v>
      </c>
      <c r="P54" s="144" t="str">
        <f>IFERROR(__xludf.DUMMYFUNCTION("""COMPUTED_VALUE"""),"Link")</f>
        <v>Link</v>
      </c>
      <c r="Q54" s="144" t="str">
        <f>IFERROR(__xludf.DUMMYFUNCTION("""COMPUTED_VALUE"""),"Link")</f>
        <v>Link</v>
      </c>
      <c r="R54" s="144" t="str">
        <f>IFERROR(__xludf.DUMMYFUNCTION("""COMPUTED_VALUE"""),"Link")</f>
        <v>Link</v>
      </c>
      <c r="S54" s="144" t="str">
        <f>IFERROR(__xludf.DUMMYFUNCTION("""COMPUTED_VALUE"""),"Link")</f>
        <v>Link</v>
      </c>
    </row>
    <row r="55">
      <c r="A55" s="104" t="s">
        <v>5540</v>
      </c>
      <c r="B55" s="104" t="s">
        <v>5944</v>
      </c>
      <c r="C55" s="104" t="s">
        <v>5945</v>
      </c>
      <c r="D55" s="104" t="s">
        <v>285</v>
      </c>
      <c r="E55" s="104">
        <v>3.0</v>
      </c>
      <c r="F55" s="104">
        <v>11.0</v>
      </c>
      <c r="G55" s="168" t="s">
        <v>5541</v>
      </c>
      <c r="H55" s="168" t="s">
        <v>5946</v>
      </c>
      <c r="I55" s="144" t="str">
        <f>IFERROR(__xludf.DUMMYFUNCTION("LET(changes,FILTER('Pool Changes'!$B:$D, 'Pool Changes'!$B:$B = $D55),added,FILTER(INDEX(changes,0,3),INDEX(changes,0,2)=""add pack""),IFERROR(TRANSPOSE(ARRAYFORMULA(IF(added&lt;&gt;"""",HYPERLINK(""https://sealeddeck.tech/""&amp;added,""Link""),""""))),""""))"),"Link")</f>
        <v>Link</v>
      </c>
      <c r="J55" s="144" t="str">
        <f>IFERROR(__xludf.DUMMYFUNCTION("""COMPUTED_VALUE"""),"Link")</f>
        <v>Link</v>
      </c>
      <c r="K55" s="144" t="str">
        <f>IFERROR(__xludf.DUMMYFUNCTION("""COMPUTED_VALUE"""),"Link")</f>
        <v>Link</v>
      </c>
      <c r="L55" s="144" t="str">
        <f>IFERROR(__xludf.DUMMYFUNCTION("""COMPUTED_VALUE"""),"Link")</f>
        <v>Link</v>
      </c>
      <c r="M55" s="144" t="str">
        <f>IFERROR(__xludf.DUMMYFUNCTION("""COMPUTED_VALUE"""),"Link")</f>
        <v>Link</v>
      </c>
      <c r="N55" s="144" t="str">
        <f>IFERROR(__xludf.DUMMYFUNCTION("""COMPUTED_VALUE"""),"Link")</f>
        <v>Link</v>
      </c>
      <c r="O55" s="144" t="str">
        <f>IFERROR(__xludf.DUMMYFUNCTION("""COMPUTED_VALUE"""),"Link")</f>
        <v>Link</v>
      </c>
      <c r="P55" s="144" t="str">
        <f>IFERROR(__xludf.DUMMYFUNCTION("""COMPUTED_VALUE"""),"Link")</f>
        <v>Link</v>
      </c>
      <c r="Q55" s="144" t="str">
        <f>IFERROR(__xludf.DUMMYFUNCTION("""COMPUTED_VALUE"""),"Link")</f>
        <v>Link</v>
      </c>
      <c r="R55" s="144" t="str">
        <f>IFERROR(__xludf.DUMMYFUNCTION("""COMPUTED_VALUE"""),"Link")</f>
        <v>Link</v>
      </c>
      <c r="S55" s="144" t="str">
        <f>IFERROR(__xludf.DUMMYFUNCTION("""COMPUTED_VALUE"""),"Link")</f>
        <v>Link</v>
      </c>
    </row>
    <row r="56">
      <c r="A56" s="104" t="s">
        <v>5543</v>
      </c>
      <c r="B56" s="104" t="s">
        <v>5947</v>
      </c>
      <c r="C56" s="104" t="s">
        <v>5948</v>
      </c>
      <c r="D56" s="104" t="s">
        <v>228</v>
      </c>
      <c r="E56" s="104">
        <v>8.0</v>
      </c>
      <c r="F56" s="104">
        <v>11.0</v>
      </c>
      <c r="G56" s="168" t="s">
        <v>5544</v>
      </c>
      <c r="H56" s="168" t="s">
        <v>5949</v>
      </c>
      <c r="I56" s="144" t="str">
        <f>IFERROR(__xludf.DUMMYFUNCTION("LET(changes,FILTER('Pool Changes'!$B:$D, 'Pool Changes'!$B:$B = $D56),added,FILTER(INDEX(changes,0,3),INDEX(changes,0,2)=""add pack""),IFERROR(TRANSPOSE(ARRAYFORMULA(IF(added&lt;&gt;"""",HYPERLINK(""https://sealeddeck.tech/""&amp;added,""Link""),""""))),""""))"),"Link")</f>
        <v>Link</v>
      </c>
      <c r="J56" s="144" t="str">
        <f>IFERROR(__xludf.DUMMYFUNCTION("""COMPUTED_VALUE"""),"Link")</f>
        <v>Link</v>
      </c>
      <c r="K56" s="144" t="str">
        <f>IFERROR(__xludf.DUMMYFUNCTION("""COMPUTED_VALUE"""),"Link")</f>
        <v>Link</v>
      </c>
      <c r="L56" s="144" t="str">
        <f>IFERROR(__xludf.DUMMYFUNCTION("""COMPUTED_VALUE"""),"Link")</f>
        <v>Link</v>
      </c>
      <c r="M56" s="144" t="str">
        <f>IFERROR(__xludf.DUMMYFUNCTION("""COMPUTED_VALUE"""),"Link")</f>
        <v>Link</v>
      </c>
      <c r="N56" s="144" t="str">
        <f>IFERROR(__xludf.DUMMYFUNCTION("""COMPUTED_VALUE"""),"Link")</f>
        <v>Link</v>
      </c>
      <c r="O56" s="144" t="str">
        <f>IFERROR(__xludf.DUMMYFUNCTION("""COMPUTED_VALUE"""),"Link")</f>
        <v>Link</v>
      </c>
      <c r="P56" s="144" t="str">
        <f>IFERROR(__xludf.DUMMYFUNCTION("""COMPUTED_VALUE"""),"Link")</f>
        <v>Link</v>
      </c>
      <c r="Q56" s="144" t="str">
        <f>IFERROR(__xludf.DUMMYFUNCTION("""COMPUTED_VALUE"""),"Link")</f>
        <v>Link</v>
      </c>
      <c r="R56" s="144" t="str">
        <f>IFERROR(__xludf.DUMMYFUNCTION("""COMPUTED_VALUE"""),"Link")</f>
        <v>Link</v>
      </c>
      <c r="S56" s="144" t="str">
        <f>IFERROR(__xludf.DUMMYFUNCTION("""COMPUTED_VALUE"""),"Link")</f>
        <v>Link</v>
      </c>
    </row>
    <row r="57">
      <c r="A57" s="104" t="s">
        <v>5545</v>
      </c>
      <c r="B57" s="104" t="s">
        <v>5950</v>
      </c>
      <c r="C57" s="104" t="s">
        <v>5951</v>
      </c>
      <c r="D57" s="104" t="s">
        <v>272</v>
      </c>
      <c r="E57" s="104">
        <v>11.0</v>
      </c>
      <c r="F57" s="104">
        <v>10.0</v>
      </c>
      <c r="G57" s="168" t="s">
        <v>5546</v>
      </c>
      <c r="H57" s="168" t="s">
        <v>5952</v>
      </c>
      <c r="I57" s="144" t="str">
        <f>IFERROR(__xludf.DUMMYFUNCTION("LET(changes,FILTER('Pool Changes'!$B:$D, 'Pool Changes'!$B:$B = $D57),added,FILTER(INDEX(changes,0,3),INDEX(changes,0,2)=""add pack""),IFERROR(TRANSPOSE(ARRAYFORMULA(IF(added&lt;&gt;"""",HYPERLINK(""https://sealeddeck.tech/""&amp;added,""Link""),""""))),""""))"),"Link")</f>
        <v>Link</v>
      </c>
      <c r="J57" s="144" t="str">
        <f>IFERROR(__xludf.DUMMYFUNCTION("""COMPUTED_VALUE"""),"Link")</f>
        <v>Link</v>
      </c>
      <c r="K57" s="144" t="str">
        <f>IFERROR(__xludf.DUMMYFUNCTION("""COMPUTED_VALUE"""),"Link")</f>
        <v>Link</v>
      </c>
      <c r="L57" s="144" t="str">
        <f>IFERROR(__xludf.DUMMYFUNCTION("""COMPUTED_VALUE"""),"Link")</f>
        <v>Link</v>
      </c>
      <c r="M57" s="144" t="str">
        <f>IFERROR(__xludf.DUMMYFUNCTION("""COMPUTED_VALUE"""),"Link")</f>
        <v>Link</v>
      </c>
      <c r="N57" s="144" t="str">
        <f>IFERROR(__xludf.DUMMYFUNCTION("""COMPUTED_VALUE"""),"Link")</f>
        <v>Link</v>
      </c>
      <c r="O57" s="144" t="str">
        <f>IFERROR(__xludf.DUMMYFUNCTION("""COMPUTED_VALUE"""),"Link")</f>
        <v>Link</v>
      </c>
      <c r="P57" s="144" t="str">
        <f>IFERROR(__xludf.DUMMYFUNCTION("""COMPUTED_VALUE"""),"Link")</f>
        <v>Link</v>
      </c>
      <c r="Q57" s="144" t="str">
        <f>IFERROR(__xludf.DUMMYFUNCTION("""COMPUTED_VALUE"""),"Link")</f>
        <v>Link</v>
      </c>
      <c r="R57" s="144" t="str">
        <f>IFERROR(__xludf.DUMMYFUNCTION("""COMPUTED_VALUE"""),"Link")</f>
        <v>Link</v>
      </c>
      <c r="S57" s="144"/>
    </row>
    <row r="58">
      <c r="A58" s="104" t="s">
        <v>5547</v>
      </c>
      <c r="B58" s="104" t="s">
        <v>5953</v>
      </c>
      <c r="C58" s="104" t="s">
        <v>5954</v>
      </c>
      <c r="D58" s="104" t="s">
        <v>223</v>
      </c>
      <c r="E58" s="104">
        <v>12.0</v>
      </c>
      <c r="F58" s="104">
        <v>9.0</v>
      </c>
      <c r="G58" s="168" t="s">
        <v>5548</v>
      </c>
      <c r="H58" s="168" t="s">
        <v>5955</v>
      </c>
      <c r="I58" s="144" t="str">
        <f>IFERROR(__xludf.DUMMYFUNCTION("LET(changes,FILTER('Pool Changes'!$B:$D, 'Pool Changes'!$B:$B = $D58),added,FILTER(INDEX(changes,0,3),INDEX(changes,0,2)=""add pack""),IFERROR(TRANSPOSE(ARRAYFORMULA(IF(added&lt;&gt;"""",HYPERLINK(""https://sealeddeck.tech/""&amp;added,""Link""),""""))),""""))"),"Link")</f>
        <v>Link</v>
      </c>
      <c r="J58" s="144" t="str">
        <f>IFERROR(__xludf.DUMMYFUNCTION("""COMPUTED_VALUE"""),"Link")</f>
        <v>Link</v>
      </c>
      <c r="K58" s="144" t="str">
        <f>IFERROR(__xludf.DUMMYFUNCTION("""COMPUTED_VALUE"""),"Link")</f>
        <v>Link</v>
      </c>
      <c r="L58" s="144" t="str">
        <f>IFERROR(__xludf.DUMMYFUNCTION("""COMPUTED_VALUE"""),"Link")</f>
        <v>Link</v>
      </c>
      <c r="M58" s="144" t="str">
        <f>IFERROR(__xludf.DUMMYFUNCTION("""COMPUTED_VALUE"""),"Link")</f>
        <v>Link</v>
      </c>
      <c r="N58" s="144" t="str">
        <f>IFERROR(__xludf.DUMMYFUNCTION("""COMPUTED_VALUE"""),"Link")</f>
        <v>Link</v>
      </c>
      <c r="O58" s="144" t="str">
        <f>IFERROR(__xludf.DUMMYFUNCTION("""COMPUTED_VALUE"""),"Link")</f>
        <v>Link</v>
      </c>
      <c r="P58" s="144" t="str">
        <f>IFERROR(__xludf.DUMMYFUNCTION("""COMPUTED_VALUE"""),"Link")</f>
        <v>Link</v>
      </c>
      <c r="Q58" s="144" t="str">
        <f>IFERROR(__xludf.DUMMYFUNCTION("""COMPUTED_VALUE"""),"Link")</f>
        <v>Link</v>
      </c>
      <c r="R58" s="144" t="str">
        <f>IFERROR(__xludf.DUMMYFUNCTION("""COMPUTED_VALUE"""),"Link")</f>
        <v>Link</v>
      </c>
      <c r="S58" s="174"/>
    </row>
    <row r="59">
      <c r="A59" s="104" t="s">
        <v>5549</v>
      </c>
      <c r="B59" s="104" t="s">
        <v>5956</v>
      </c>
      <c r="C59" s="104" t="s">
        <v>5957</v>
      </c>
      <c r="D59" s="104" t="s">
        <v>239</v>
      </c>
      <c r="E59" s="104">
        <v>2.0</v>
      </c>
      <c r="F59" s="104">
        <v>11.0</v>
      </c>
      <c r="G59" s="168" t="s">
        <v>5550</v>
      </c>
      <c r="H59" s="168" t="s">
        <v>5958</v>
      </c>
      <c r="I59" s="144" t="str">
        <f>IFERROR(__xludf.DUMMYFUNCTION("LET(changes,FILTER('Pool Changes'!$B:$D, 'Pool Changes'!$B:$B = $D59),added,FILTER(INDEX(changes,0,3),INDEX(changes,0,2)=""add pack""),IFERROR(TRANSPOSE(ARRAYFORMULA(IF(added&lt;&gt;"""",HYPERLINK(""https://sealeddeck.tech/""&amp;added,""Link""),""""))),""""))"),"Link")</f>
        <v>Link</v>
      </c>
      <c r="J59" s="144" t="str">
        <f>IFERROR(__xludf.DUMMYFUNCTION("""COMPUTED_VALUE"""),"Link")</f>
        <v>Link</v>
      </c>
      <c r="K59" s="144" t="str">
        <f>IFERROR(__xludf.DUMMYFUNCTION("""COMPUTED_VALUE"""),"Link")</f>
        <v>Link</v>
      </c>
      <c r="L59" s="144" t="str">
        <f>IFERROR(__xludf.DUMMYFUNCTION("""COMPUTED_VALUE"""),"Link")</f>
        <v>Link</v>
      </c>
      <c r="M59" s="144" t="str">
        <f>IFERROR(__xludf.DUMMYFUNCTION("""COMPUTED_VALUE"""),"Link")</f>
        <v>Link</v>
      </c>
      <c r="N59" s="144" t="str">
        <f>IFERROR(__xludf.DUMMYFUNCTION("""COMPUTED_VALUE"""),"Link")</f>
        <v>Link</v>
      </c>
      <c r="O59" s="144" t="str">
        <f>IFERROR(__xludf.DUMMYFUNCTION("""COMPUTED_VALUE"""),"Link")</f>
        <v>Link</v>
      </c>
      <c r="P59" s="174"/>
      <c r="Q59" s="174"/>
      <c r="R59" s="174"/>
      <c r="S59" s="174"/>
    </row>
    <row r="60">
      <c r="A60" s="104" t="s">
        <v>5551</v>
      </c>
      <c r="B60" s="104" t="s">
        <v>5959</v>
      </c>
      <c r="C60" s="104" t="s">
        <v>5960</v>
      </c>
      <c r="D60" s="104" t="s">
        <v>149</v>
      </c>
      <c r="E60" s="104">
        <v>6.0</v>
      </c>
      <c r="F60" s="104">
        <v>11.0</v>
      </c>
      <c r="G60" s="168" t="s">
        <v>5552</v>
      </c>
      <c r="H60" s="168" t="s">
        <v>5961</v>
      </c>
      <c r="I60" s="144" t="str">
        <f>IFERROR(__xludf.DUMMYFUNCTION("LET(changes,FILTER('Pool Changes'!$B:$D, 'Pool Changes'!$B:$B = $D60),added,FILTER(INDEX(changes,0,3),INDEX(changes,0,2)=""add pack""),IFERROR(TRANSPOSE(ARRAYFORMULA(IF(added&lt;&gt;"""",HYPERLINK(""https://sealeddeck.tech/""&amp;added,""Link""),""""))),""""))"),"Link")</f>
        <v>Link</v>
      </c>
      <c r="J60" s="144" t="str">
        <f>IFERROR(__xludf.DUMMYFUNCTION("""COMPUTED_VALUE"""),"Link")</f>
        <v>Link</v>
      </c>
      <c r="K60" s="144" t="str">
        <f>IFERROR(__xludf.DUMMYFUNCTION("""COMPUTED_VALUE"""),"Link")</f>
        <v>Link</v>
      </c>
      <c r="L60" s="144" t="str">
        <f>IFERROR(__xludf.DUMMYFUNCTION("""COMPUTED_VALUE"""),"Link")</f>
        <v>Link</v>
      </c>
      <c r="M60" s="144" t="str">
        <f>IFERROR(__xludf.DUMMYFUNCTION("""COMPUTED_VALUE"""),"Link")</f>
        <v>Link</v>
      </c>
      <c r="N60" s="144" t="str">
        <f>IFERROR(__xludf.DUMMYFUNCTION("""COMPUTED_VALUE"""),"Link")</f>
        <v>Link</v>
      </c>
      <c r="O60" s="144" t="str">
        <f>IFERROR(__xludf.DUMMYFUNCTION("""COMPUTED_VALUE"""),"Link")</f>
        <v>Link</v>
      </c>
      <c r="P60" s="144" t="str">
        <f>IFERROR(__xludf.DUMMYFUNCTION("""COMPUTED_VALUE"""),"Link")</f>
        <v>Link</v>
      </c>
      <c r="Q60" s="144" t="str">
        <f>IFERROR(__xludf.DUMMYFUNCTION("""COMPUTED_VALUE"""),"Link")</f>
        <v>Link</v>
      </c>
      <c r="R60" s="144" t="str">
        <f>IFERROR(__xludf.DUMMYFUNCTION("""COMPUTED_VALUE"""),"Link")</f>
        <v>Link</v>
      </c>
      <c r="S60" s="144" t="str">
        <f>IFERROR(__xludf.DUMMYFUNCTION("""COMPUTED_VALUE"""),"Link")</f>
        <v>Link</v>
      </c>
    </row>
    <row r="61">
      <c r="A61" s="104" t="s">
        <v>5553</v>
      </c>
      <c r="B61" s="104" t="s">
        <v>5963</v>
      </c>
      <c r="C61" s="104" t="s">
        <v>5964</v>
      </c>
      <c r="D61" s="104" t="s">
        <v>306</v>
      </c>
      <c r="E61" s="104">
        <v>2.0</v>
      </c>
      <c r="F61" s="104">
        <v>11.0</v>
      </c>
      <c r="G61" s="168" t="s">
        <v>5554</v>
      </c>
      <c r="H61" s="168" t="s">
        <v>5965</v>
      </c>
      <c r="I61" s="144" t="str">
        <f>IFERROR(__xludf.DUMMYFUNCTION("LET(changes,FILTER('Pool Changes'!$B:$D, 'Pool Changes'!$B:$B = $D61),added,FILTER(INDEX(changes,0,3),INDEX(changes,0,2)=""add pack""),IFERROR(TRANSPOSE(ARRAYFORMULA(IF(added&lt;&gt;"""",HYPERLINK(""https://sealeddeck.tech/""&amp;added,""Link""),""""))),""""))"),"Link")</f>
        <v>Link</v>
      </c>
      <c r="J61" s="144" t="str">
        <f>IFERROR(__xludf.DUMMYFUNCTION("""COMPUTED_VALUE"""),"Link")</f>
        <v>Link</v>
      </c>
      <c r="K61" s="144" t="str">
        <f>IFERROR(__xludf.DUMMYFUNCTION("""COMPUTED_VALUE"""),"Link")</f>
        <v>Link</v>
      </c>
      <c r="L61" s="144" t="str">
        <f>IFERROR(__xludf.DUMMYFUNCTION("""COMPUTED_VALUE"""),"Link")</f>
        <v>Link</v>
      </c>
      <c r="M61" s="144" t="str">
        <f>IFERROR(__xludf.DUMMYFUNCTION("""COMPUTED_VALUE"""),"Link")</f>
        <v>Link</v>
      </c>
      <c r="N61" s="144" t="str">
        <f>IFERROR(__xludf.DUMMYFUNCTION("""COMPUTED_VALUE"""),"Link")</f>
        <v>Link</v>
      </c>
      <c r="O61" s="144" t="str">
        <f>IFERROR(__xludf.DUMMYFUNCTION("""COMPUTED_VALUE"""),"Link")</f>
        <v>Link</v>
      </c>
      <c r="P61" s="144" t="str">
        <f>IFERROR(__xludf.DUMMYFUNCTION("""COMPUTED_VALUE"""),"Link")</f>
        <v>Link</v>
      </c>
      <c r="Q61" s="144" t="str">
        <f>IFERROR(__xludf.DUMMYFUNCTION("""COMPUTED_VALUE"""),"Link")</f>
        <v>Link</v>
      </c>
      <c r="R61" s="144" t="str">
        <f>IFERROR(__xludf.DUMMYFUNCTION("""COMPUTED_VALUE"""),"Link")</f>
        <v>Link</v>
      </c>
      <c r="S61" s="144" t="str">
        <f>IFERROR(__xludf.DUMMYFUNCTION("""COMPUTED_VALUE"""),"Link")</f>
        <v>Link</v>
      </c>
    </row>
    <row r="62">
      <c r="A62" s="104" t="s">
        <v>5555</v>
      </c>
      <c r="B62" s="104" t="s">
        <v>5967</v>
      </c>
      <c r="C62" s="104" t="s">
        <v>5968</v>
      </c>
      <c r="D62" s="104" t="s">
        <v>179</v>
      </c>
      <c r="E62" s="104">
        <v>5.0</v>
      </c>
      <c r="F62" s="104">
        <v>11.0</v>
      </c>
      <c r="G62" s="168" t="s">
        <v>5556</v>
      </c>
      <c r="H62" s="168" t="s">
        <v>5969</v>
      </c>
      <c r="I62" s="144" t="str">
        <f>IFERROR(__xludf.DUMMYFUNCTION("LET(changes,FILTER('Pool Changes'!$B:$D, 'Pool Changes'!$B:$B = $D62),added,FILTER(INDEX(changes,0,3),INDEX(changes,0,2)=""add pack""),IFERROR(TRANSPOSE(ARRAYFORMULA(IF(added&lt;&gt;"""",HYPERLINK(""https://sealeddeck.tech/""&amp;added,""Link""),""""))),""""))"),"Link")</f>
        <v>Link</v>
      </c>
      <c r="J62" s="144" t="str">
        <f>IFERROR(__xludf.DUMMYFUNCTION("""COMPUTED_VALUE"""),"Link")</f>
        <v>Link</v>
      </c>
      <c r="K62" s="144" t="str">
        <f>IFERROR(__xludf.DUMMYFUNCTION("""COMPUTED_VALUE"""),"Link")</f>
        <v>Link</v>
      </c>
      <c r="L62" s="144" t="str">
        <f>IFERROR(__xludf.DUMMYFUNCTION("""COMPUTED_VALUE"""),"Link")</f>
        <v>Link</v>
      </c>
      <c r="M62" s="144" t="str">
        <f>IFERROR(__xludf.DUMMYFUNCTION("""COMPUTED_VALUE"""),"Link")</f>
        <v>Link</v>
      </c>
      <c r="N62" s="144" t="str">
        <f>IFERROR(__xludf.DUMMYFUNCTION("""COMPUTED_VALUE"""),"Link")</f>
        <v>Link</v>
      </c>
      <c r="O62" s="144" t="str">
        <f>IFERROR(__xludf.DUMMYFUNCTION("""COMPUTED_VALUE"""),"Link")</f>
        <v>Link</v>
      </c>
      <c r="P62" s="144" t="str">
        <f>IFERROR(__xludf.DUMMYFUNCTION("""COMPUTED_VALUE"""),"Link")</f>
        <v>Link</v>
      </c>
      <c r="Q62" s="144" t="str">
        <f>IFERROR(__xludf.DUMMYFUNCTION("""COMPUTED_VALUE"""),"Link")</f>
        <v>Link</v>
      </c>
      <c r="R62" s="144" t="str">
        <f>IFERROR(__xludf.DUMMYFUNCTION("""COMPUTED_VALUE"""),"Link")</f>
        <v>Link</v>
      </c>
      <c r="S62" s="144" t="str">
        <f>IFERROR(__xludf.DUMMYFUNCTION("""COMPUTED_VALUE"""),"Link")</f>
        <v>Link</v>
      </c>
    </row>
    <row r="63">
      <c r="A63" s="104" t="s">
        <v>5557</v>
      </c>
      <c r="B63" s="104" t="s">
        <v>5970</v>
      </c>
      <c r="C63" s="104" t="s">
        <v>5971</v>
      </c>
      <c r="D63" s="104" t="s">
        <v>243</v>
      </c>
      <c r="E63" s="104">
        <v>10.0</v>
      </c>
      <c r="F63" s="104">
        <v>10.0</v>
      </c>
      <c r="G63" s="168" t="s">
        <v>5558</v>
      </c>
      <c r="H63" s="168" t="s">
        <v>5972</v>
      </c>
      <c r="I63" s="144" t="str">
        <f>IFERROR(__xludf.DUMMYFUNCTION("LET(changes,FILTER('Pool Changes'!$B:$D, 'Pool Changes'!$B:$B = $D63),added,FILTER(INDEX(changes,0,3),INDEX(changes,0,2)=""add pack""),IFERROR(TRANSPOSE(ARRAYFORMULA(IF(added&lt;&gt;"""",HYPERLINK(""https://sealeddeck.tech/""&amp;added,""Link""),""""))),""""))"),"Link")</f>
        <v>Link</v>
      </c>
      <c r="J63" s="144" t="str">
        <f>IFERROR(__xludf.DUMMYFUNCTION("""COMPUTED_VALUE"""),"Link")</f>
        <v>Link</v>
      </c>
      <c r="K63" s="144" t="str">
        <f>IFERROR(__xludf.DUMMYFUNCTION("""COMPUTED_VALUE"""),"Link")</f>
        <v>Link</v>
      </c>
      <c r="L63" s="144" t="str">
        <f>IFERROR(__xludf.DUMMYFUNCTION("""COMPUTED_VALUE"""),"Link")</f>
        <v>Link</v>
      </c>
      <c r="M63" s="144" t="str">
        <f>IFERROR(__xludf.DUMMYFUNCTION("""COMPUTED_VALUE"""),"Link")</f>
        <v>Link</v>
      </c>
      <c r="N63" s="144" t="str">
        <f>IFERROR(__xludf.DUMMYFUNCTION("""COMPUTED_VALUE"""),"Link")</f>
        <v>Link</v>
      </c>
      <c r="O63" s="144" t="str">
        <f>IFERROR(__xludf.DUMMYFUNCTION("""COMPUTED_VALUE"""),"Link")</f>
        <v>Link</v>
      </c>
      <c r="P63" s="144" t="str">
        <f>IFERROR(__xludf.DUMMYFUNCTION("""COMPUTED_VALUE"""),"Link")</f>
        <v>Link</v>
      </c>
      <c r="Q63" s="144" t="str">
        <f>IFERROR(__xludf.DUMMYFUNCTION("""COMPUTED_VALUE"""),"Link")</f>
        <v>Link</v>
      </c>
      <c r="R63" s="144" t="str">
        <f>IFERROR(__xludf.DUMMYFUNCTION("""COMPUTED_VALUE"""),"Link")</f>
        <v>Link</v>
      </c>
      <c r="S63" s="144" t="str">
        <f>IFERROR(__xludf.DUMMYFUNCTION("""COMPUTED_VALUE"""),"Link")</f>
        <v>Link</v>
      </c>
    </row>
    <row r="64">
      <c r="A64" s="104" t="s">
        <v>5559</v>
      </c>
      <c r="B64" s="104" t="s">
        <v>5973</v>
      </c>
      <c r="C64" s="104" t="s">
        <v>5974</v>
      </c>
      <c r="D64" s="104" t="s">
        <v>88</v>
      </c>
      <c r="E64" s="104">
        <v>0.0</v>
      </c>
      <c r="F64" s="104">
        <v>11.0</v>
      </c>
      <c r="G64" s="168" t="s">
        <v>5560</v>
      </c>
      <c r="H64" s="168" t="s">
        <v>5975</v>
      </c>
      <c r="I64" s="144" t="str">
        <f>IFERROR(__xludf.DUMMYFUNCTION("LET(changes,FILTER('Pool Changes'!$B:$D, 'Pool Changes'!$B:$B = $D64),added,FILTER(INDEX(changes,0,3),INDEX(changes,0,2)=""add pack""),IFERROR(TRANSPOSE(ARRAYFORMULA(IF(added&lt;&gt;"""",HYPERLINK(""https://sealeddeck.tech/""&amp;added,""Link""),""""))),""""))"),"Link")</f>
        <v>Link</v>
      </c>
      <c r="J64" s="144" t="str">
        <f>IFERROR(__xludf.DUMMYFUNCTION("""COMPUTED_VALUE"""),"Link")</f>
        <v>Link</v>
      </c>
      <c r="K64" s="174"/>
      <c r="L64" s="174"/>
      <c r="M64" s="174"/>
      <c r="N64" s="174"/>
      <c r="O64" s="174"/>
      <c r="P64" s="174"/>
      <c r="Q64" s="174"/>
      <c r="R64" s="174"/>
      <c r="S64" s="174"/>
    </row>
    <row r="65">
      <c r="A65" s="104" t="s">
        <v>5562</v>
      </c>
      <c r="B65" s="104" t="s">
        <v>5976</v>
      </c>
      <c r="C65" s="104" t="s">
        <v>5977</v>
      </c>
      <c r="D65" s="104" t="s">
        <v>314</v>
      </c>
      <c r="E65" s="104">
        <v>5.0</v>
      </c>
      <c r="F65" s="104">
        <v>11.0</v>
      </c>
      <c r="G65" s="168" t="s">
        <v>5563</v>
      </c>
      <c r="H65" s="168" t="s">
        <v>5978</v>
      </c>
      <c r="I65" s="144" t="str">
        <f>IFERROR(__xludf.DUMMYFUNCTION("LET(changes,FILTER('Pool Changes'!$B:$D, 'Pool Changes'!$B:$B = $D65),added,FILTER(INDEX(changes,0,3),INDEX(changes,0,2)=""add pack""),IFERROR(TRANSPOSE(ARRAYFORMULA(IF(added&lt;&gt;"""",HYPERLINK(""https://sealeddeck.tech/""&amp;added,""Link""),""""))),""""))"),"Link")</f>
        <v>Link</v>
      </c>
      <c r="J65" s="144" t="str">
        <f>IFERROR(__xludf.DUMMYFUNCTION("""COMPUTED_VALUE"""),"Link")</f>
        <v>Link</v>
      </c>
      <c r="K65" s="144" t="str">
        <f>IFERROR(__xludf.DUMMYFUNCTION("""COMPUTED_VALUE"""),"Link")</f>
        <v>Link</v>
      </c>
      <c r="L65" s="144" t="str">
        <f>IFERROR(__xludf.DUMMYFUNCTION("""COMPUTED_VALUE"""),"Link")</f>
        <v>Link</v>
      </c>
      <c r="M65" s="144" t="str">
        <f>IFERROR(__xludf.DUMMYFUNCTION("""COMPUTED_VALUE"""),"Link")</f>
        <v>Link</v>
      </c>
      <c r="N65" s="144" t="str">
        <f>IFERROR(__xludf.DUMMYFUNCTION("""COMPUTED_VALUE"""),"Link")</f>
        <v>Link</v>
      </c>
      <c r="O65" s="144" t="str">
        <f>IFERROR(__xludf.DUMMYFUNCTION("""COMPUTED_VALUE"""),"Link")</f>
        <v>Link</v>
      </c>
      <c r="P65" s="144" t="str">
        <f>IFERROR(__xludf.DUMMYFUNCTION("""COMPUTED_VALUE"""),"Link")</f>
        <v>Link</v>
      </c>
      <c r="Q65" s="144" t="str">
        <f>IFERROR(__xludf.DUMMYFUNCTION("""COMPUTED_VALUE"""),"Link")</f>
        <v>Link</v>
      </c>
      <c r="R65" s="174"/>
      <c r="S65" s="174"/>
    </row>
    <row r="66">
      <c r="A66" s="104" t="s">
        <v>5564</v>
      </c>
      <c r="B66" s="104" t="s">
        <v>5979</v>
      </c>
      <c r="C66" s="104" t="s">
        <v>5980</v>
      </c>
      <c r="D66" s="104" t="s">
        <v>112</v>
      </c>
      <c r="E66" s="104">
        <v>1.0</v>
      </c>
      <c r="F66" s="104">
        <v>11.0</v>
      </c>
      <c r="G66" s="168" t="s">
        <v>5565</v>
      </c>
      <c r="H66" s="168" t="s">
        <v>5982</v>
      </c>
      <c r="I66" s="144" t="str">
        <f>IFERROR(__xludf.DUMMYFUNCTION("LET(changes,FILTER('Pool Changes'!$B:$D, 'Pool Changes'!$B:$B = $D66),added,FILTER(INDEX(changes,0,3),INDEX(changes,0,2)=""add pack""),IFERROR(TRANSPOSE(ARRAYFORMULA(IF(added&lt;&gt;"""",HYPERLINK(""https://sealeddeck.tech/""&amp;added,""Link""),""""))),""""))"),"Link")</f>
        <v>Link</v>
      </c>
      <c r="J66" s="144" t="str">
        <f>IFERROR(__xludf.DUMMYFUNCTION("""COMPUTED_VALUE"""),"Link")</f>
        <v>Link</v>
      </c>
      <c r="K66" s="144" t="str">
        <f>IFERROR(__xludf.DUMMYFUNCTION("""COMPUTED_VALUE"""),"Link")</f>
        <v>Link</v>
      </c>
      <c r="L66" s="144" t="str">
        <f>IFERROR(__xludf.DUMMYFUNCTION("""COMPUTED_VALUE"""),"Link")</f>
        <v>Link</v>
      </c>
      <c r="M66" s="144" t="str">
        <f>IFERROR(__xludf.DUMMYFUNCTION("""COMPUTED_VALUE"""),"Link")</f>
        <v>Link</v>
      </c>
      <c r="N66" s="144" t="str">
        <f>IFERROR(__xludf.DUMMYFUNCTION("""COMPUTED_VALUE"""),"Link")</f>
        <v>Link</v>
      </c>
      <c r="O66" s="144" t="str">
        <f>IFERROR(__xludf.DUMMYFUNCTION("""COMPUTED_VALUE"""),"Link")</f>
        <v>Link</v>
      </c>
      <c r="P66" s="144" t="str">
        <f>IFERROR(__xludf.DUMMYFUNCTION("""COMPUTED_VALUE"""),"Link")</f>
        <v>Link</v>
      </c>
      <c r="Q66" s="174"/>
      <c r="R66" s="174"/>
      <c r="S66" s="174"/>
    </row>
    <row r="67">
      <c r="A67" s="104" t="s">
        <v>5566</v>
      </c>
      <c r="B67" s="104" t="s">
        <v>5983</v>
      </c>
      <c r="C67" s="104" t="s">
        <v>5984</v>
      </c>
      <c r="D67" s="104" t="s">
        <v>89</v>
      </c>
      <c r="E67" s="104">
        <v>10.0</v>
      </c>
      <c r="F67" s="104">
        <v>9.0</v>
      </c>
      <c r="G67" s="168" t="s">
        <v>5567</v>
      </c>
      <c r="H67" s="168" t="s">
        <v>5985</v>
      </c>
      <c r="I67" s="144" t="str">
        <f>IFERROR(__xludf.DUMMYFUNCTION("LET(changes,FILTER('Pool Changes'!$B:$D, 'Pool Changes'!$B:$B = $D67),added,FILTER(INDEX(changes,0,3),INDEX(changes,0,2)=""add pack""),IFERROR(TRANSPOSE(ARRAYFORMULA(IF(added&lt;&gt;"""",HYPERLINK(""https://sealeddeck.tech/""&amp;added,""Link""),""""))),""""))"),"Link")</f>
        <v>Link</v>
      </c>
      <c r="J67" s="144" t="str">
        <f>IFERROR(__xludf.DUMMYFUNCTION("""COMPUTED_VALUE"""),"Link")</f>
        <v>Link</v>
      </c>
      <c r="K67" s="144" t="str">
        <f>IFERROR(__xludf.DUMMYFUNCTION("""COMPUTED_VALUE"""),"Link")</f>
        <v>Link</v>
      </c>
      <c r="L67" s="144" t="str">
        <f>IFERROR(__xludf.DUMMYFUNCTION("""COMPUTED_VALUE"""),"Link")</f>
        <v>Link</v>
      </c>
      <c r="M67" s="144" t="str">
        <f>IFERROR(__xludf.DUMMYFUNCTION("""COMPUTED_VALUE"""),"Link")</f>
        <v>Link</v>
      </c>
      <c r="N67" s="144" t="str">
        <f>IFERROR(__xludf.DUMMYFUNCTION("""COMPUTED_VALUE"""),"Link")</f>
        <v>Link</v>
      </c>
      <c r="O67" s="144" t="str">
        <f>IFERROR(__xludf.DUMMYFUNCTION("""COMPUTED_VALUE"""),"Link")</f>
        <v>Link</v>
      </c>
      <c r="P67" s="144" t="str">
        <f>IFERROR(__xludf.DUMMYFUNCTION("""COMPUTED_VALUE"""),"Link")</f>
        <v>Link</v>
      </c>
      <c r="Q67" s="144" t="str">
        <f>IFERROR(__xludf.DUMMYFUNCTION("""COMPUTED_VALUE"""),"Link")</f>
        <v>Link</v>
      </c>
      <c r="R67" s="144" t="str">
        <f>IFERROR(__xludf.DUMMYFUNCTION("""COMPUTED_VALUE"""),"Link")</f>
        <v>Link</v>
      </c>
      <c r="S67" s="174"/>
    </row>
    <row r="68">
      <c r="A68" s="104" t="s">
        <v>5568</v>
      </c>
      <c r="B68" s="104" t="s">
        <v>5986</v>
      </c>
      <c r="C68" s="104" t="s">
        <v>5987</v>
      </c>
      <c r="D68" s="104" t="s">
        <v>238</v>
      </c>
      <c r="E68" s="104">
        <v>8.0</v>
      </c>
      <c r="F68" s="104">
        <v>11.0</v>
      </c>
      <c r="G68" s="168" t="s">
        <v>5569</v>
      </c>
      <c r="H68" s="168" t="s">
        <v>5988</v>
      </c>
      <c r="I68" s="144" t="str">
        <f>IFERROR(__xludf.DUMMYFUNCTION("LET(changes,FILTER('Pool Changes'!$B:$D, 'Pool Changes'!$B:$B = $D68),added,FILTER(INDEX(changes,0,3),INDEX(changes,0,2)=""add pack""),IFERROR(TRANSPOSE(ARRAYFORMULA(IF(added&lt;&gt;"""",HYPERLINK(""https://sealeddeck.tech/""&amp;added,""Link""),""""))),""""))"),"Link")</f>
        <v>Link</v>
      </c>
      <c r="J68" s="144" t="str">
        <f>IFERROR(__xludf.DUMMYFUNCTION("""COMPUTED_VALUE"""),"Link")</f>
        <v>Link</v>
      </c>
      <c r="K68" s="144" t="str">
        <f>IFERROR(__xludf.DUMMYFUNCTION("""COMPUTED_VALUE"""),"Link")</f>
        <v>Link</v>
      </c>
      <c r="L68" s="144" t="str">
        <f>IFERROR(__xludf.DUMMYFUNCTION("""COMPUTED_VALUE"""),"Link")</f>
        <v>Link</v>
      </c>
      <c r="M68" s="144" t="str">
        <f>IFERROR(__xludf.DUMMYFUNCTION("""COMPUTED_VALUE"""),"Link")</f>
        <v>Link</v>
      </c>
      <c r="N68" s="144" t="str">
        <f>IFERROR(__xludf.DUMMYFUNCTION("""COMPUTED_VALUE"""),"Link")</f>
        <v>Link</v>
      </c>
      <c r="O68" s="144" t="str">
        <f>IFERROR(__xludf.DUMMYFUNCTION("""COMPUTED_VALUE"""),"Link")</f>
        <v>Link</v>
      </c>
      <c r="P68" s="144" t="str">
        <f>IFERROR(__xludf.DUMMYFUNCTION("""COMPUTED_VALUE"""),"Link")</f>
        <v>Link</v>
      </c>
      <c r="Q68" s="144" t="str">
        <f>IFERROR(__xludf.DUMMYFUNCTION("""COMPUTED_VALUE"""),"Link")</f>
        <v>Link</v>
      </c>
      <c r="R68" s="144" t="str">
        <f>IFERROR(__xludf.DUMMYFUNCTION("""COMPUTED_VALUE"""),"Link")</f>
        <v>Link</v>
      </c>
      <c r="S68" s="144" t="str">
        <f>IFERROR(__xludf.DUMMYFUNCTION("""COMPUTED_VALUE"""),"Link")</f>
        <v>Link</v>
      </c>
    </row>
    <row r="69">
      <c r="A69" s="104" t="s">
        <v>5570</v>
      </c>
      <c r="B69" s="104" t="s">
        <v>5990</v>
      </c>
      <c r="C69" s="104" t="s">
        <v>5991</v>
      </c>
      <c r="D69" s="104" t="s">
        <v>199</v>
      </c>
      <c r="E69" s="104">
        <v>11.0</v>
      </c>
      <c r="F69" s="104">
        <v>7.0</v>
      </c>
      <c r="G69" s="168" t="s">
        <v>5571</v>
      </c>
      <c r="H69" s="168" t="s">
        <v>5992</v>
      </c>
      <c r="I69" s="144" t="str">
        <f>IFERROR(__xludf.DUMMYFUNCTION("LET(changes,FILTER('Pool Changes'!$B:$D, 'Pool Changes'!$B:$B = $D69),added,FILTER(INDEX(changes,0,3),INDEX(changes,0,2)=""add pack""),IFERROR(TRANSPOSE(ARRAYFORMULA(IF(added&lt;&gt;"""",HYPERLINK(""https://sealeddeck.tech/""&amp;added,""Link""),""""))),""""))"),"Link")</f>
        <v>Link</v>
      </c>
      <c r="J69" s="144" t="str">
        <f>IFERROR(__xludf.DUMMYFUNCTION("""COMPUTED_VALUE"""),"Link")</f>
        <v>Link</v>
      </c>
      <c r="K69" s="144" t="str">
        <f>IFERROR(__xludf.DUMMYFUNCTION("""COMPUTED_VALUE"""),"Link")</f>
        <v>Link</v>
      </c>
      <c r="L69" s="144" t="str">
        <f>IFERROR(__xludf.DUMMYFUNCTION("""COMPUTED_VALUE"""),"Link")</f>
        <v>Link</v>
      </c>
      <c r="M69" s="144" t="str">
        <f>IFERROR(__xludf.DUMMYFUNCTION("""COMPUTED_VALUE"""),"Link")</f>
        <v>Link</v>
      </c>
      <c r="N69" s="144" t="str">
        <f>IFERROR(__xludf.DUMMYFUNCTION("""COMPUTED_VALUE"""),"Link")</f>
        <v>Link</v>
      </c>
      <c r="O69" s="144" t="str">
        <f>IFERROR(__xludf.DUMMYFUNCTION("""COMPUTED_VALUE"""),"Link")</f>
        <v>Link</v>
      </c>
      <c r="P69" s="144" t="str">
        <f>IFERROR(__xludf.DUMMYFUNCTION("""COMPUTED_VALUE"""),"Link")</f>
        <v>Link</v>
      </c>
      <c r="Q69" s="174"/>
      <c r="R69" s="174"/>
      <c r="S69" s="174"/>
    </row>
    <row r="70">
      <c r="A70" s="104" t="s">
        <v>5572</v>
      </c>
      <c r="B70" s="104" t="s">
        <v>5993</v>
      </c>
      <c r="C70" s="104" t="s">
        <v>5994</v>
      </c>
      <c r="D70" s="104" t="s">
        <v>225</v>
      </c>
      <c r="E70" s="104">
        <v>12.0</v>
      </c>
      <c r="F70" s="104">
        <v>11.0</v>
      </c>
      <c r="G70" s="168" t="s">
        <v>5573</v>
      </c>
      <c r="H70" s="168" t="s">
        <v>5995</v>
      </c>
      <c r="I70" s="144" t="str">
        <f>IFERROR(__xludf.DUMMYFUNCTION("LET(changes,FILTER('Pool Changes'!$B:$D, 'Pool Changes'!$B:$B = $D70),added,FILTER(INDEX(changes,0,3),INDEX(changes,0,2)=""add pack""),IFERROR(TRANSPOSE(ARRAYFORMULA(IF(added&lt;&gt;"""",HYPERLINK(""https://sealeddeck.tech/""&amp;added,""Link""),""""))),""""))"),"Link")</f>
        <v>Link</v>
      </c>
      <c r="J70" s="144" t="str">
        <f>IFERROR(__xludf.DUMMYFUNCTION("""COMPUTED_VALUE"""),"Link")</f>
        <v>Link</v>
      </c>
      <c r="K70" s="144" t="str">
        <f>IFERROR(__xludf.DUMMYFUNCTION("""COMPUTED_VALUE"""),"Link")</f>
        <v>Link</v>
      </c>
      <c r="L70" s="144" t="str">
        <f>IFERROR(__xludf.DUMMYFUNCTION("""COMPUTED_VALUE"""),"Link")</f>
        <v>Link</v>
      </c>
      <c r="M70" s="144" t="str">
        <f>IFERROR(__xludf.DUMMYFUNCTION("""COMPUTED_VALUE"""),"Link")</f>
        <v>Link</v>
      </c>
      <c r="N70" s="144" t="str">
        <f>IFERROR(__xludf.DUMMYFUNCTION("""COMPUTED_VALUE"""),"Link")</f>
        <v>Link</v>
      </c>
      <c r="O70" s="144" t="str">
        <f>IFERROR(__xludf.DUMMYFUNCTION("""COMPUTED_VALUE"""),"Link")</f>
        <v>Link</v>
      </c>
      <c r="P70" s="144" t="str">
        <f>IFERROR(__xludf.DUMMYFUNCTION("""COMPUTED_VALUE"""),"Link")</f>
        <v>Link</v>
      </c>
      <c r="Q70" s="144" t="str">
        <f>IFERROR(__xludf.DUMMYFUNCTION("""COMPUTED_VALUE"""),"Link")</f>
        <v>Link</v>
      </c>
      <c r="R70" s="144"/>
      <c r="S70" s="144"/>
    </row>
    <row r="71">
      <c r="A71" s="104" t="s">
        <v>5574</v>
      </c>
      <c r="B71" s="104" t="s">
        <v>5996</v>
      </c>
      <c r="C71" s="104" t="s">
        <v>5997</v>
      </c>
      <c r="D71" s="104" t="s">
        <v>230</v>
      </c>
      <c r="E71" s="104">
        <v>17.0</v>
      </c>
      <c r="F71" s="104">
        <v>8.0</v>
      </c>
      <c r="G71" s="168" t="s">
        <v>5575</v>
      </c>
      <c r="H71" s="168" t="s">
        <v>5998</v>
      </c>
      <c r="I71" s="144" t="str">
        <f>IFERROR(__xludf.DUMMYFUNCTION("LET(changes,FILTER('Pool Changes'!$B:$D, 'Pool Changes'!$B:$B = $D71),added,FILTER(INDEX(changes,0,3),INDEX(changes,0,2)=""add pack""),IFERROR(TRANSPOSE(ARRAYFORMULA(IF(added&lt;&gt;"""",HYPERLINK(""https://sealeddeck.tech/""&amp;added,""Link""),""""))),""""))"),"Link")</f>
        <v>Link</v>
      </c>
      <c r="J71" s="144" t="str">
        <f>IFERROR(__xludf.DUMMYFUNCTION("""COMPUTED_VALUE"""),"Link")</f>
        <v>Link</v>
      </c>
      <c r="K71" s="144" t="str">
        <f>IFERROR(__xludf.DUMMYFUNCTION("""COMPUTED_VALUE"""),"Link")</f>
        <v>Link</v>
      </c>
      <c r="L71" s="144" t="str">
        <f>IFERROR(__xludf.DUMMYFUNCTION("""COMPUTED_VALUE"""),"Link")</f>
        <v>Link</v>
      </c>
      <c r="M71" s="144" t="str">
        <f>IFERROR(__xludf.DUMMYFUNCTION("""COMPUTED_VALUE"""),"Link")</f>
        <v>Link</v>
      </c>
      <c r="N71" s="144" t="str">
        <f>IFERROR(__xludf.DUMMYFUNCTION("""COMPUTED_VALUE"""),"Link")</f>
        <v>Link</v>
      </c>
      <c r="O71" s="144" t="str">
        <f>IFERROR(__xludf.DUMMYFUNCTION("""COMPUTED_VALUE"""),"Link")</f>
        <v>Link</v>
      </c>
      <c r="P71" s="144" t="str">
        <f>IFERROR(__xludf.DUMMYFUNCTION("""COMPUTED_VALUE"""),"Link")</f>
        <v>Link</v>
      </c>
      <c r="Q71" s="144"/>
      <c r="R71" s="174"/>
      <c r="S71" s="174"/>
    </row>
    <row r="72">
      <c r="A72" s="104" t="s">
        <v>5576</v>
      </c>
      <c r="B72" s="104" t="s">
        <v>5999</v>
      </c>
      <c r="C72" s="104" t="s">
        <v>6000</v>
      </c>
      <c r="D72" s="104" t="s">
        <v>113</v>
      </c>
      <c r="E72" s="104">
        <v>1.0</v>
      </c>
      <c r="F72" s="104">
        <v>11.0</v>
      </c>
      <c r="G72" s="168" t="s">
        <v>5577</v>
      </c>
      <c r="H72" s="168" t="s">
        <v>6001</v>
      </c>
      <c r="I72" s="144" t="str">
        <f>IFERROR(__xludf.DUMMYFUNCTION("LET(changes,FILTER('Pool Changes'!$B:$D, 'Pool Changes'!$B:$B = $D72),added,FILTER(INDEX(changes,0,3),INDEX(changes,0,2)=""add pack""),IFERROR(TRANSPOSE(ARRAYFORMULA(IF(added&lt;&gt;"""",HYPERLINK(""https://sealeddeck.tech/""&amp;added,""Link""),""""))),""""))"),"Link")</f>
        <v>Link</v>
      </c>
      <c r="J72" s="144" t="str">
        <f>IFERROR(__xludf.DUMMYFUNCTION("""COMPUTED_VALUE"""),"Link")</f>
        <v>Link</v>
      </c>
      <c r="K72" s="144" t="str">
        <f>IFERROR(__xludf.DUMMYFUNCTION("""COMPUTED_VALUE"""),"Link")</f>
        <v>Link</v>
      </c>
      <c r="L72" s="144" t="str">
        <f>IFERROR(__xludf.DUMMYFUNCTION("""COMPUTED_VALUE"""),"Link")</f>
        <v>Link</v>
      </c>
      <c r="M72" s="144" t="str">
        <f>IFERROR(__xludf.DUMMYFUNCTION("""COMPUTED_VALUE"""),"Link")</f>
        <v>Link</v>
      </c>
      <c r="N72" s="144" t="str">
        <f>IFERROR(__xludf.DUMMYFUNCTION("""COMPUTED_VALUE"""),"Link")</f>
        <v>Link</v>
      </c>
      <c r="O72" s="144" t="str">
        <f>IFERROR(__xludf.DUMMYFUNCTION("""COMPUTED_VALUE"""),"Link")</f>
        <v>Link</v>
      </c>
      <c r="P72" s="144" t="str">
        <f>IFERROR(__xludf.DUMMYFUNCTION("""COMPUTED_VALUE"""),"Link")</f>
        <v>Link</v>
      </c>
      <c r="Q72" s="144" t="str">
        <f>IFERROR(__xludf.DUMMYFUNCTION("""COMPUTED_VALUE"""),"Link")</f>
        <v>Link</v>
      </c>
      <c r="R72" s="144" t="str">
        <f>IFERROR(__xludf.DUMMYFUNCTION("""COMPUTED_VALUE"""),"Link")</f>
        <v>Link</v>
      </c>
      <c r="S72" s="174"/>
    </row>
    <row r="73">
      <c r="A73" s="104" t="s">
        <v>5578</v>
      </c>
      <c r="B73" s="104" t="s">
        <v>6002</v>
      </c>
      <c r="C73" s="104" t="s">
        <v>6003</v>
      </c>
      <c r="D73" s="104" t="s">
        <v>134</v>
      </c>
      <c r="E73" s="104">
        <v>11.0</v>
      </c>
      <c r="F73" s="104">
        <v>11.0</v>
      </c>
      <c r="G73" s="168" t="s">
        <v>5579</v>
      </c>
      <c r="H73" s="168" t="s">
        <v>6004</v>
      </c>
      <c r="I73" s="144" t="str">
        <f>IFERROR(__xludf.DUMMYFUNCTION("LET(changes,FILTER('Pool Changes'!$B:$D, 'Pool Changes'!$B:$B = $D73),added,FILTER(INDEX(changes,0,3),INDEX(changes,0,2)=""add pack""),IFERROR(TRANSPOSE(ARRAYFORMULA(IF(added&lt;&gt;"""",HYPERLINK(""https://sealeddeck.tech/""&amp;added,""Link""),""""))),""""))"),"Link")</f>
        <v>Link</v>
      </c>
      <c r="J73" s="144" t="str">
        <f>IFERROR(__xludf.DUMMYFUNCTION("""COMPUTED_VALUE"""),"Link")</f>
        <v>Link</v>
      </c>
      <c r="K73" s="144" t="str">
        <f>IFERROR(__xludf.DUMMYFUNCTION("""COMPUTED_VALUE"""),"Link")</f>
        <v>Link</v>
      </c>
      <c r="L73" s="144" t="str">
        <f>IFERROR(__xludf.DUMMYFUNCTION("""COMPUTED_VALUE"""),"Link")</f>
        <v>Link</v>
      </c>
      <c r="M73" s="144" t="str">
        <f>IFERROR(__xludf.DUMMYFUNCTION("""COMPUTED_VALUE"""),"Link")</f>
        <v>Link</v>
      </c>
      <c r="N73" s="144" t="str">
        <f>IFERROR(__xludf.DUMMYFUNCTION("""COMPUTED_VALUE"""),"Link")</f>
        <v>Link</v>
      </c>
      <c r="O73" s="144" t="str">
        <f>IFERROR(__xludf.DUMMYFUNCTION("""COMPUTED_VALUE"""),"Link")</f>
        <v>Link</v>
      </c>
      <c r="P73" s="144" t="str">
        <f>IFERROR(__xludf.DUMMYFUNCTION("""COMPUTED_VALUE"""),"Link")</f>
        <v>Link</v>
      </c>
      <c r="Q73" s="144" t="str">
        <f>IFERROR(__xludf.DUMMYFUNCTION("""COMPUTED_VALUE"""),"Link")</f>
        <v>Link</v>
      </c>
      <c r="R73" s="144" t="str">
        <f>IFERROR(__xludf.DUMMYFUNCTION("""COMPUTED_VALUE"""),"Link")</f>
        <v>Link</v>
      </c>
      <c r="S73" s="144" t="str">
        <f>IFERROR(__xludf.DUMMYFUNCTION("""COMPUTED_VALUE"""),"Link")</f>
        <v>Link</v>
      </c>
    </row>
    <row r="74">
      <c r="A74" s="104" t="s">
        <v>5580</v>
      </c>
      <c r="B74" s="104" t="s">
        <v>6006</v>
      </c>
      <c r="C74" s="104" t="s">
        <v>6007</v>
      </c>
      <c r="D74" s="104" t="s">
        <v>194</v>
      </c>
      <c r="E74" s="104">
        <v>10.0</v>
      </c>
      <c r="F74" s="104">
        <v>10.0</v>
      </c>
      <c r="G74" s="168" t="s">
        <v>5581</v>
      </c>
      <c r="H74" s="168" t="s">
        <v>6008</v>
      </c>
      <c r="I74" s="144" t="str">
        <f>IFERROR(__xludf.DUMMYFUNCTION("LET(changes,FILTER('Pool Changes'!$B:$D, 'Pool Changes'!$B:$B = $D74),added,FILTER(INDEX(changes,0,3),INDEX(changes,0,2)=""add pack""),IFERROR(TRANSPOSE(ARRAYFORMULA(IF(added&lt;&gt;"""",HYPERLINK(""https://sealeddeck.tech/""&amp;added,""Link""),""""))),""""))"),"Link")</f>
        <v>Link</v>
      </c>
      <c r="J74" s="144" t="str">
        <f>IFERROR(__xludf.DUMMYFUNCTION("""COMPUTED_VALUE"""),"Link")</f>
        <v>Link</v>
      </c>
      <c r="K74" s="144" t="str">
        <f>IFERROR(__xludf.DUMMYFUNCTION("""COMPUTED_VALUE"""),"Link")</f>
        <v>Link</v>
      </c>
      <c r="L74" s="144" t="str">
        <f>IFERROR(__xludf.DUMMYFUNCTION("""COMPUTED_VALUE"""),"Link")</f>
        <v>Link</v>
      </c>
      <c r="M74" s="144" t="str">
        <f>IFERROR(__xludf.DUMMYFUNCTION("""COMPUTED_VALUE"""),"Link")</f>
        <v>Link</v>
      </c>
      <c r="N74" s="144" t="str">
        <f>IFERROR(__xludf.DUMMYFUNCTION("""COMPUTED_VALUE"""),"Link")</f>
        <v>Link</v>
      </c>
      <c r="O74" s="144" t="str">
        <f>IFERROR(__xludf.DUMMYFUNCTION("""COMPUTED_VALUE"""),"Link")</f>
        <v>Link</v>
      </c>
      <c r="P74" s="144" t="str">
        <f>IFERROR(__xludf.DUMMYFUNCTION("""COMPUTED_VALUE"""),"Link")</f>
        <v>Link</v>
      </c>
      <c r="Q74" s="144" t="str">
        <f>IFERROR(__xludf.DUMMYFUNCTION("""COMPUTED_VALUE"""),"Link")</f>
        <v>Link</v>
      </c>
      <c r="R74" s="144" t="str">
        <f>IFERROR(__xludf.DUMMYFUNCTION("""COMPUTED_VALUE"""),"Link")</f>
        <v>Link</v>
      </c>
      <c r="S74" s="144" t="str">
        <f>IFERROR(__xludf.DUMMYFUNCTION("""COMPUTED_VALUE"""),"Link")</f>
        <v>Link</v>
      </c>
    </row>
    <row r="75">
      <c r="A75" s="104" t="s">
        <v>5582</v>
      </c>
      <c r="B75" s="104" t="s">
        <v>6010</v>
      </c>
      <c r="C75" s="104" t="s">
        <v>6011</v>
      </c>
      <c r="D75" s="104" t="s">
        <v>174</v>
      </c>
      <c r="E75" s="104">
        <v>4.0</v>
      </c>
      <c r="F75" s="104">
        <v>11.0</v>
      </c>
      <c r="G75" s="168" t="s">
        <v>5583</v>
      </c>
      <c r="H75" s="168" t="s">
        <v>6012</v>
      </c>
      <c r="I75" s="144" t="str">
        <f>IFERROR(__xludf.DUMMYFUNCTION("LET(changes,FILTER('Pool Changes'!$B:$D, 'Pool Changes'!$B:$B = $D75),added,FILTER(INDEX(changes,0,3),INDEX(changes,0,2)=""add pack""),IFERROR(TRANSPOSE(ARRAYFORMULA(IF(added&lt;&gt;"""",HYPERLINK(""https://sealeddeck.tech/""&amp;added,""Link""),""""))),""""))"),"Link")</f>
        <v>Link</v>
      </c>
      <c r="J75" s="144" t="str">
        <f>IFERROR(__xludf.DUMMYFUNCTION("""COMPUTED_VALUE"""),"Link")</f>
        <v>Link</v>
      </c>
      <c r="K75" s="144" t="str">
        <f>IFERROR(__xludf.DUMMYFUNCTION("""COMPUTED_VALUE"""),"Link")</f>
        <v>Link</v>
      </c>
      <c r="L75" s="144" t="str">
        <f>IFERROR(__xludf.DUMMYFUNCTION("""COMPUTED_VALUE"""),"Link")</f>
        <v>Link</v>
      </c>
      <c r="M75" s="144" t="str">
        <f>IFERROR(__xludf.DUMMYFUNCTION("""COMPUTED_VALUE"""),"Link")</f>
        <v>Link</v>
      </c>
      <c r="N75" s="144" t="str">
        <f>IFERROR(__xludf.DUMMYFUNCTION("""COMPUTED_VALUE"""),"Link")</f>
        <v>Link</v>
      </c>
      <c r="O75" s="144" t="str">
        <f>IFERROR(__xludf.DUMMYFUNCTION("""COMPUTED_VALUE"""),"Link")</f>
        <v>Link</v>
      </c>
      <c r="P75" s="144" t="str">
        <f>IFERROR(__xludf.DUMMYFUNCTION("""COMPUTED_VALUE"""),"Link")</f>
        <v>Link</v>
      </c>
      <c r="Q75" s="144" t="str">
        <f>IFERROR(__xludf.DUMMYFUNCTION("""COMPUTED_VALUE"""),"Link")</f>
        <v>Link</v>
      </c>
      <c r="R75" s="144" t="str">
        <f>IFERROR(__xludf.DUMMYFUNCTION("""COMPUTED_VALUE"""),"Link")</f>
        <v>Link</v>
      </c>
      <c r="S75" s="144" t="str">
        <f>IFERROR(__xludf.DUMMYFUNCTION("""COMPUTED_VALUE"""),"Link")</f>
        <v>Link</v>
      </c>
    </row>
    <row r="76">
      <c r="A76" s="104" t="s">
        <v>5585</v>
      </c>
      <c r="B76" s="104" t="s">
        <v>6013</v>
      </c>
      <c r="C76" s="104" t="s">
        <v>6014</v>
      </c>
      <c r="D76" s="104" t="s">
        <v>282</v>
      </c>
      <c r="E76" s="104">
        <v>2.0</v>
      </c>
      <c r="F76" s="104">
        <v>11.0</v>
      </c>
      <c r="G76" s="168" t="s">
        <v>5586</v>
      </c>
      <c r="H76" s="168" t="s">
        <v>6015</v>
      </c>
      <c r="I76" s="144" t="str">
        <f>IFERROR(__xludf.DUMMYFUNCTION("LET(changes,FILTER('Pool Changes'!$B:$D, 'Pool Changes'!$B:$B = $D76),added,FILTER(INDEX(changes,0,3),INDEX(changes,0,2)=""add pack""),IFERROR(TRANSPOSE(ARRAYFORMULA(IF(added&lt;&gt;"""",HYPERLINK(""https://sealeddeck.tech/""&amp;added,""Link""),""""))),""""))"),"Link")</f>
        <v>Link</v>
      </c>
      <c r="J76" s="144" t="str">
        <f>IFERROR(__xludf.DUMMYFUNCTION("""COMPUTED_VALUE"""),"Link")</f>
        <v>Link</v>
      </c>
      <c r="K76" s="144" t="str">
        <f>IFERROR(__xludf.DUMMYFUNCTION("""COMPUTED_VALUE"""),"Link")</f>
        <v>Link</v>
      </c>
      <c r="L76" s="144" t="str">
        <f>IFERROR(__xludf.DUMMYFUNCTION("""COMPUTED_VALUE"""),"Link")</f>
        <v>Link</v>
      </c>
      <c r="M76" s="144" t="str">
        <f>IFERROR(__xludf.DUMMYFUNCTION("""COMPUTED_VALUE"""),"Link")</f>
        <v>Link</v>
      </c>
      <c r="N76" s="144" t="str">
        <f>IFERROR(__xludf.DUMMYFUNCTION("""COMPUTED_VALUE"""),"Link")</f>
        <v>Link</v>
      </c>
      <c r="O76" s="144" t="str">
        <f>IFERROR(__xludf.DUMMYFUNCTION("""COMPUTED_VALUE"""),"Link")</f>
        <v>Link</v>
      </c>
      <c r="P76" s="174"/>
      <c r="Q76" s="174"/>
      <c r="R76" s="174"/>
      <c r="S76" s="174"/>
    </row>
    <row r="77">
      <c r="A77" s="104" t="s">
        <v>5587</v>
      </c>
      <c r="B77" s="104" t="s">
        <v>6017</v>
      </c>
      <c r="C77" s="104" t="s">
        <v>6018</v>
      </c>
      <c r="D77" s="104" t="s">
        <v>163</v>
      </c>
      <c r="E77" s="104">
        <v>9.0</v>
      </c>
      <c r="F77" s="104">
        <v>11.0</v>
      </c>
      <c r="G77" s="168" t="s">
        <v>5588</v>
      </c>
      <c r="H77" s="168" t="s">
        <v>6019</v>
      </c>
      <c r="I77" s="144" t="str">
        <f>IFERROR(__xludf.DUMMYFUNCTION("LET(changes,FILTER('Pool Changes'!$B:$D, 'Pool Changes'!$B:$B = $D77),added,FILTER(INDEX(changes,0,3),INDEX(changes,0,2)=""add pack""),IFERROR(TRANSPOSE(ARRAYFORMULA(IF(added&lt;&gt;"""",HYPERLINK(""https://sealeddeck.tech/""&amp;added,""Link""),""""))),""""))"),"Link")</f>
        <v>Link</v>
      </c>
      <c r="J77" s="144" t="str">
        <f>IFERROR(__xludf.DUMMYFUNCTION("""COMPUTED_VALUE"""),"Link")</f>
        <v>Link</v>
      </c>
      <c r="K77" s="144" t="str">
        <f>IFERROR(__xludf.DUMMYFUNCTION("""COMPUTED_VALUE"""),"Link")</f>
        <v>Link</v>
      </c>
      <c r="L77" s="144" t="str">
        <f>IFERROR(__xludf.DUMMYFUNCTION("""COMPUTED_VALUE"""),"Link")</f>
        <v>Link</v>
      </c>
      <c r="M77" s="144" t="str">
        <f>IFERROR(__xludf.DUMMYFUNCTION("""COMPUTED_VALUE"""),"Link")</f>
        <v>Link</v>
      </c>
      <c r="N77" s="144" t="str">
        <f>IFERROR(__xludf.DUMMYFUNCTION("""COMPUTED_VALUE"""),"Link")</f>
        <v>Link</v>
      </c>
      <c r="O77" s="144" t="str">
        <f>IFERROR(__xludf.DUMMYFUNCTION("""COMPUTED_VALUE"""),"Link")</f>
        <v>Link</v>
      </c>
      <c r="P77" s="144" t="str">
        <f>IFERROR(__xludf.DUMMYFUNCTION("""COMPUTED_VALUE"""),"Link")</f>
        <v>Link</v>
      </c>
      <c r="Q77" s="144" t="str">
        <f>IFERROR(__xludf.DUMMYFUNCTION("""COMPUTED_VALUE"""),"Link")</f>
        <v>Link</v>
      </c>
      <c r="R77" s="144" t="str">
        <f>IFERROR(__xludf.DUMMYFUNCTION("""COMPUTED_VALUE"""),"Link")</f>
        <v>Link</v>
      </c>
      <c r="S77" s="174"/>
    </row>
    <row r="78">
      <c r="A78" s="104" t="s">
        <v>5589</v>
      </c>
      <c r="B78" s="104" t="s">
        <v>6020</v>
      </c>
      <c r="C78" s="104" t="s">
        <v>6021</v>
      </c>
      <c r="D78" s="104" t="s">
        <v>284</v>
      </c>
      <c r="E78" s="104">
        <v>16.0</v>
      </c>
      <c r="F78" s="104">
        <v>9.0</v>
      </c>
      <c r="G78" s="168" t="s">
        <v>5590</v>
      </c>
      <c r="H78" s="168" t="s">
        <v>6022</v>
      </c>
      <c r="I78" s="144" t="str">
        <f>IFERROR(__xludf.DUMMYFUNCTION("LET(changes,FILTER('Pool Changes'!$B:$D, 'Pool Changes'!$B:$B = $D78),added,FILTER(INDEX(changes,0,3),INDEX(changes,0,2)=""add pack""),IFERROR(TRANSPOSE(ARRAYFORMULA(IF(added&lt;&gt;"""",HYPERLINK(""https://sealeddeck.tech/""&amp;added,""Link""),""""))),""""))"),"Link")</f>
        <v>Link</v>
      </c>
      <c r="J78" s="144" t="str">
        <f>IFERROR(__xludf.DUMMYFUNCTION("""COMPUTED_VALUE"""),"Link")</f>
        <v>Link</v>
      </c>
      <c r="K78" s="144" t="str">
        <f>IFERROR(__xludf.DUMMYFUNCTION("""COMPUTED_VALUE"""),"Link")</f>
        <v>Link</v>
      </c>
      <c r="L78" s="144" t="str">
        <f>IFERROR(__xludf.DUMMYFUNCTION("""COMPUTED_VALUE"""),"Link")</f>
        <v>Link</v>
      </c>
      <c r="M78" s="144" t="str">
        <f>IFERROR(__xludf.DUMMYFUNCTION("""COMPUTED_VALUE"""),"Link")</f>
        <v>Link</v>
      </c>
      <c r="N78" s="144" t="str">
        <f>IFERROR(__xludf.DUMMYFUNCTION("""COMPUTED_VALUE"""),"Link")</f>
        <v>Link</v>
      </c>
      <c r="O78" s="144" t="str">
        <f>IFERROR(__xludf.DUMMYFUNCTION("""COMPUTED_VALUE"""),"Link")</f>
        <v>Link</v>
      </c>
      <c r="P78" s="144" t="str">
        <f>IFERROR(__xludf.DUMMYFUNCTION("""COMPUTED_VALUE"""),"Link")</f>
        <v>Link</v>
      </c>
      <c r="Q78" s="144"/>
      <c r="R78" s="144"/>
      <c r="S78" s="174"/>
    </row>
    <row r="79">
      <c r="A79" s="104" t="s">
        <v>5591</v>
      </c>
      <c r="B79" s="104" t="s">
        <v>6024</v>
      </c>
      <c r="C79" s="104" t="s">
        <v>6025</v>
      </c>
      <c r="D79" s="104" t="s">
        <v>132</v>
      </c>
      <c r="E79" s="104">
        <v>10.0</v>
      </c>
      <c r="F79" s="104">
        <v>11.0</v>
      </c>
      <c r="G79" s="168" t="s">
        <v>5592</v>
      </c>
      <c r="H79" s="168" t="s">
        <v>6026</v>
      </c>
      <c r="I79" s="144" t="str">
        <f>IFERROR(__xludf.DUMMYFUNCTION("LET(changes,FILTER('Pool Changes'!$B:$D, 'Pool Changes'!$B:$B = $D79),added,FILTER(INDEX(changes,0,3),INDEX(changes,0,2)=""add pack""),IFERROR(TRANSPOSE(ARRAYFORMULA(IF(added&lt;&gt;"""",HYPERLINK(""https://sealeddeck.tech/""&amp;added,""Link""),""""))),""""))"),"Link")</f>
        <v>Link</v>
      </c>
      <c r="J79" s="144" t="str">
        <f>IFERROR(__xludf.DUMMYFUNCTION("""COMPUTED_VALUE"""),"Link")</f>
        <v>Link</v>
      </c>
      <c r="K79" s="144" t="str">
        <f>IFERROR(__xludf.DUMMYFUNCTION("""COMPUTED_VALUE"""),"Link")</f>
        <v>Link</v>
      </c>
      <c r="L79" s="144" t="str">
        <f>IFERROR(__xludf.DUMMYFUNCTION("""COMPUTED_VALUE"""),"Link")</f>
        <v>Link</v>
      </c>
      <c r="M79" s="144" t="str">
        <f>IFERROR(__xludf.DUMMYFUNCTION("""COMPUTED_VALUE"""),"Link")</f>
        <v>Link</v>
      </c>
      <c r="N79" s="144" t="str">
        <f>IFERROR(__xludf.DUMMYFUNCTION("""COMPUTED_VALUE"""),"Link")</f>
        <v>Link</v>
      </c>
      <c r="O79" s="144" t="str">
        <f>IFERROR(__xludf.DUMMYFUNCTION("""COMPUTED_VALUE"""),"Link")</f>
        <v>Link</v>
      </c>
      <c r="P79" s="144" t="str">
        <f>IFERROR(__xludf.DUMMYFUNCTION("""COMPUTED_VALUE"""),"Link")</f>
        <v>Link</v>
      </c>
      <c r="Q79" s="144" t="str">
        <f>IFERROR(__xludf.DUMMYFUNCTION("""COMPUTED_VALUE"""),"Link")</f>
        <v>Link</v>
      </c>
      <c r="R79" s="144" t="str">
        <f>IFERROR(__xludf.DUMMYFUNCTION("""COMPUTED_VALUE"""),"Link")</f>
        <v>Link</v>
      </c>
      <c r="S79" s="144" t="str">
        <f>IFERROR(__xludf.DUMMYFUNCTION("""COMPUTED_VALUE"""),"Link")</f>
        <v>Link</v>
      </c>
    </row>
    <row r="80">
      <c r="A80" s="104" t="s">
        <v>5593</v>
      </c>
      <c r="B80" s="104" t="s">
        <v>6027</v>
      </c>
      <c r="C80" s="104" t="s">
        <v>6028</v>
      </c>
      <c r="D80" s="104" t="s">
        <v>237</v>
      </c>
      <c r="E80" s="104">
        <v>16.0</v>
      </c>
      <c r="F80" s="104">
        <v>9.0</v>
      </c>
      <c r="G80" s="168" t="s">
        <v>5594</v>
      </c>
      <c r="H80" s="168" t="s">
        <v>6029</v>
      </c>
      <c r="I80" s="144" t="str">
        <f>IFERROR(__xludf.DUMMYFUNCTION("LET(changes,FILTER('Pool Changes'!$B:$D, 'Pool Changes'!$B:$B = $D80),added,FILTER(INDEX(changes,0,3),INDEX(changes,0,2)=""add pack""),IFERROR(TRANSPOSE(ARRAYFORMULA(IF(added&lt;&gt;"""",HYPERLINK(""https://sealeddeck.tech/""&amp;added,""Link""),""""))),""""))"),"Link")</f>
        <v>Link</v>
      </c>
      <c r="J80" s="144" t="str">
        <f>IFERROR(__xludf.DUMMYFUNCTION("""COMPUTED_VALUE"""),"Link")</f>
        <v>Link</v>
      </c>
      <c r="K80" s="144" t="str">
        <f>IFERROR(__xludf.DUMMYFUNCTION("""COMPUTED_VALUE"""),"Link")</f>
        <v>Link</v>
      </c>
      <c r="L80" s="144" t="str">
        <f>IFERROR(__xludf.DUMMYFUNCTION("""COMPUTED_VALUE"""),"Link")</f>
        <v>Link</v>
      </c>
      <c r="M80" s="144" t="str">
        <f>IFERROR(__xludf.DUMMYFUNCTION("""COMPUTED_VALUE"""),"Link")</f>
        <v>Link</v>
      </c>
      <c r="N80" s="144" t="str">
        <f>IFERROR(__xludf.DUMMYFUNCTION("""COMPUTED_VALUE"""),"Link")</f>
        <v>Link</v>
      </c>
      <c r="O80" s="144" t="str">
        <f>IFERROR(__xludf.DUMMYFUNCTION("""COMPUTED_VALUE"""),"Link")</f>
        <v>Link</v>
      </c>
      <c r="P80" s="144" t="str">
        <f>IFERROR(__xludf.DUMMYFUNCTION("""COMPUTED_VALUE"""),"Link")</f>
        <v>Link</v>
      </c>
      <c r="Q80" s="144" t="str">
        <f>IFERROR(__xludf.DUMMYFUNCTION("""COMPUTED_VALUE"""),"Link")</f>
        <v>Link</v>
      </c>
      <c r="R80" s="144"/>
      <c r="S80" s="174"/>
    </row>
    <row r="81">
      <c r="A81" s="104" t="s">
        <v>5595</v>
      </c>
      <c r="B81" s="104" t="s">
        <v>6030</v>
      </c>
      <c r="C81" s="104" t="s">
        <v>6031</v>
      </c>
      <c r="D81" s="104" t="s">
        <v>313</v>
      </c>
      <c r="E81" s="104">
        <v>4.0</v>
      </c>
      <c r="F81" s="104">
        <v>11.0</v>
      </c>
      <c r="G81" s="168" t="s">
        <v>5596</v>
      </c>
      <c r="H81" s="168" t="s">
        <v>6032</v>
      </c>
      <c r="I81" s="144" t="str">
        <f>IFERROR(__xludf.DUMMYFUNCTION("LET(changes,FILTER('Pool Changes'!$B:$D, 'Pool Changes'!$B:$B = $D81),added,FILTER(INDEX(changes,0,3),INDEX(changes,0,2)=""add pack""),IFERROR(TRANSPOSE(ARRAYFORMULA(IF(added&lt;&gt;"""",HYPERLINK(""https://sealeddeck.tech/""&amp;added,""Link""),""""))),""""))"),"Link")</f>
        <v>Link</v>
      </c>
      <c r="J81" s="144" t="str">
        <f>IFERROR(__xludf.DUMMYFUNCTION("""COMPUTED_VALUE"""),"Link")</f>
        <v>Link</v>
      </c>
      <c r="K81" s="144" t="str">
        <f>IFERROR(__xludf.DUMMYFUNCTION("""COMPUTED_VALUE"""),"Link")</f>
        <v>Link</v>
      </c>
      <c r="L81" s="144" t="str">
        <f>IFERROR(__xludf.DUMMYFUNCTION("""COMPUTED_VALUE"""),"Link")</f>
        <v>Link</v>
      </c>
      <c r="M81" s="144" t="str">
        <f>IFERROR(__xludf.DUMMYFUNCTION("""COMPUTED_VALUE"""),"Link")</f>
        <v>Link</v>
      </c>
      <c r="N81" s="144" t="str">
        <f>IFERROR(__xludf.DUMMYFUNCTION("""COMPUTED_VALUE"""),"Link")</f>
        <v>Link</v>
      </c>
      <c r="O81" s="174"/>
      <c r="P81" s="174"/>
      <c r="Q81" s="174"/>
      <c r="R81" s="174"/>
      <c r="S81" s="174"/>
    </row>
    <row r="82">
      <c r="A82" s="104" t="s">
        <v>5597</v>
      </c>
      <c r="B82" s="104" t="s">
        <v>6033</v>
      </c>
      <c r="C82" s="104" t="s">
        <v>6034</v>
      </c>
      <c r="D82" s="104" t="s">
        <v>188</v>
      </c>
      <c r="E82" s="104">
        <v>1.0</v>
      </c>
      <c r="F82" s="104">
        <v>11.0</v>
      </c>
      <c r="G82" s="168" t="s">
        <v>5598</v>
      </c>
      <c r="H82" s="168" t="s">
        <v>6035</v>
      </c>
      <c r="I82" s="144" t="str">
        <f>IFERROR(__xludf.DUMMYFUNCTION("LET(changes,FILTER('Pool Changes'!$B:$D, 'Pool Changes'!$B:$B = $D82),added,FILTER(INDEX(changes,0,3),INDEX(changes,0,2)=""add pack""),IFERROR(TRANSPOSE(ARRAYFORMULA(IF(added&lt;&gt;"""",HYPERLINK(""https://sealeddeck.tech/""&amp;added,""Link""),""""))),""""))"),"Link")</f>
        <v>Link</v>
      </c>
      <c r="J82" s="144" t="str">
        <f>IFERROR(__xludf.DUMMYFUNCTION("""COMPUTED_VALUE"""),"Link")</f>
        <v>Link</v>
      </c>
      <c r="K82" s="144" t="str">
        <f>IFERROR(__xludf.DUMMYFUNCTION("""COMPUTED_VALUE"""),"Link")</f>
        <v>Link</v>
      </c>
      <c r="L82" s="144" t="str">
        <f>IFERROR(__xludf.DUMMYFUNCTION("""COMPUTED_VALUE"""),"Link")</f>
        <v>Link</v>
      </c>
      <c r="M82" s="144" t="str">
        <f>IFERROR(__xludf.DUMMYFUNCTION("""COMPUTED_VALUE"""),"Link")</f>
        <v>Link</v>
      </c>
      <c r="N82" s="144" t="str">
        <f>IFERROR(__xludf.DUMMYFUNCTION("""COMPUTED_VALUE"""),"Link")</f>
        <v>Link</v>
      </c>
      <c r="O82" s="144" t="str">
        <f>IFERROR(__xludf.DUMMYFUNCTION("""COMPUTED_VALUE"""),"Link")</f>
        <v>Link</v>
      </c>
      <c r="P82" s="144" t="str">
        <f>IFERROR(__xludf.DUMMYFUNCTION("""COMPUTED_VALUE"""),"Link")</f>
        <v>Link</v>
      </c>
      <c r="Q82" s="174"/>
      <c r="R82" s="174"/>
      <c r="S82" s="174"/>
    </row>
    <row r="83">
      <c r="A83" s="104" t="s">
        <v>5599</v>
      </c>
      <c r="B83" s="104" t="s">
        <v>6036</v>
      </c>
      <c r="C83" s="104" t="s">
        <v>6037</v>
      </c>
      <c r="D83" s="104" t="s">
        <v>258</v>
      </c>
      <c r="E83" s="104">
        <v>2.0</v>
      </c>
      <c r="F83" s="104">
        <v>11.0</v>
      </c>
      <c r="G83" s="168" t="s">
        <v>5600</v>
      </c>
      <c r="H83" s="168" t="s">
        <v>6038</v>
      </c>
      <c r="I83" s="144" t="str">
        <f>IFERROR(__xludf.DUMMYFUNCTION("LET(changes,FILTER('Pool Changes'!$B:$D, 'Pool Changes'!$B:$B = $D83),added,FILTER(INDEX(changes,0,3),INDEX(changes,0,2)=""add pack""),IFERROR(TRANSPOSE(ARRAYFORMULA(IF(added&lt;&gt;"""",HYPERLINK(""https://sealeddeck.tech/""&amp;added,""Link""),""""))),""""))"),"Link")</f>
        <v>Link</v>
      </c>
      <c r="J83" s="144" t="str">
        <f>IFERROR(__xludf.DUMMYFUNCTION("""COMPUTED_VALUE"""),"Link")</f>
        <v>Link</v>
      </c>
      <c r="K83" s="144" t="str">
        <f>IFERROR(__xludf.DUMMYFUNCTION("""COMPUTED_VALUE"""),"Link")</f>
        <v>Link</v>
      </c>
      <c r="L83" s="144" t="str">
        <f>IFERROR(__xludf.DUMMYFUNCTION("""COMPUTED_VALUE"""),"Link")</f>
        <v>Link</v>
      </c>
      <c r="M83" s="144" t="str">
        <f>IFERROR(__xludf.DUMMYFUNCTION("""COMPUTED_VALUE"""),"Link")</f>
        <v>Link</v>
      </c>
      <c r="N83" s="144" t="str">
        <f>IFERROR(__xludf.DUMMYFUNCTION("""COMPUTED_VALUE"""),"Link")</f>
        <v>Link</v>
      </c>
      <c r="O83" s="144" t="str">
        <f>IFERROR(__xludf.DUMMYFUNCTION("""COMPUTED_VALUE"""),"Link")</f>
        <v>Link</v>
      </c>
      <c r="P83" s="144" t="str">
        <f>IFERROR(__xludf.DUMMYFUNCTION("""COMPUTED_VALUE"""),"Link")</f>
        <v>Link</v>
      </c>
      <c r="Q83" s="144" t="str">
        <f>IFERROR(__xludf.DUMMYFUNCTION("""COMPUTED_VALUE"""),"Link")</f>
        <v>Link</v>
      </c>
      <c r="R83" s="144" t="str">
        <f>IFERROR(__xludf.DUMMYFUNCTION("""COMPUTED_VALUE"""),"Link")</f>
        <v>Link</v>
      </c>
      <c r="S83" s="174"/>
    </row>
    <row r="84">
      <c r="A84" s="104" t="s">
        <v>5601</v>
      </c>
      <c r="B84" s="104" t="s">
        <v>6039</v>
      </c>
      <c r="C84" s="104" t="s">
        <v>6040</v>
      </c>
      <c r="D84" s="104" t="s">
        <v>217</v>
      </c>
      <c r="E84" s="104">
        <v>10.0</v>
      </c>
      <c r="F84" s="104">
        <v>10.0</v>
      </c>
      <c r="G84" s="168" t="s">
        <v>5602</v>
      </c>
      <c r="H84" s="168" t="s">
        <v>6041</v>
      </c>
      <c r="I84" s="144" t="str">
        <f>IFERROR(__xludf.DUMMYFUNCTION("LET(changes,FILTER('Pool Changes'!$B:$D, 'Pool Changes'!$B:$B = $D84),added,FILTER(INDEX(changes,0,3),INDEX(changes,0,2)=""add pack""),IFERROR(TRANSPOSE(ARRAYFORMULA(IF(added&lt;&gt;"""",HYPERLINK(""https://sealeddeck.tech/""&amp;added,""Link""),""""))),""""))"),"Link")</f>
        <v>Link</v>
      </c>
      <c r="J84" s="144" t="str">
        <f>IFERROR(__xludf.DUMMYFUNCTION("""COMPUTED_VALUE"""),"Link")</f>
        <v>Link</v>
      </c>
      <c r="K84" s="144" t="str">
        <f>IFERROR(__xludf.DUMMYFUNCTION("""COMPUTED_VALUE"""),"Link")</f>
        <v>Link</v>
      </c>
      <c r="L84" s="144" t="str">
        <f>IFERROR(__xludf.DUMMYFUNCTION("""COMPUTED_VALUE"""),"Link")</f>
        <v>Link</v>
      </c>
      <c r="M84" s="144" t="str">
        <f>IFERROR(__xludf.DUMMYFUNCTION("""COMPUTED_VALUE"""),"Link")</f>
        <v>Link</v>
      </c>
      <c r="N84" s="144" t="str">
        <f>IFERROR(__xludf.DUMMYFUNCTION("""COMPUTED_VALUE"""),"Link")</f>
        <v>Link</v>
      </c>
      <c r="O84" s="144" t="str">
        <f>IFERROR(__xludf.DUMMYFUNCTION("""COMPUTED_VALUE"""),"Link")</f>
        <v>Link</v>
      </c>
      <c r="P84" s="144" t="str">
        <f>IFERROR(__xludf.DUMMYFUNCTION("""COMPUTED_VALUE"""),"Link")</f>
        <v>Link</v>
      </c>
      <c r="Q84" s="144" t="str">
        <f>IFERROR(__xludf.DUMMYFUNCTION("""COMPUTED_VALUE"""),"Link")</f>
        <v>Link</v>
      </c>
      <c r="R84" s="144" t="str">
        <f>IFERROR(__xludf.DUMMYFUNCTION("""COMPUTED_VALUE"""),"Link")</f>
        <v>Link</v>
      </c>
      <c r="S84" s="144" t="str">
        <f>IFERROR(__xludf.DUMMYFUNCTION("""COMPUTED_VALUE"""),"Link")</f>
        <v>Link</v>
      </c>
    </row>
    <row r="85">
      <c r="A85" s="104" t="s">
        <v>5603</v>
      </c>
      <c r="B85" s="104" t="s">
        <v>6042</v>
      </c>
      <c r="C85" s="104" t="s">
        <v>6043</v>
      </c>
      <c r="D85" s="104" t="s">
        <v>138</v>
      </c>
      <c r="E85" s="104">
        <v>11.0</v>
      </c>
      <c r="F85" s="104">
        <v>9.0</v>
      </c>
      <c r="G85" s="168" t="s">
        <v>5604</v>
      </c>
      <c r="H85" s="168" t="s">
        <v>6044</v>
      </c>
      <c r="I85" s="144" t="str">
        <f>IFERROR(__xludf.DUMMYFUNCTION("LET(changes,FILTER('Pool Changes'!$B:$D, 'Pool Changes'!$B:$B = $D85),added,FILTER(INDEX(changes,0,3),INDEX(changes,0,2)=""add pack""),IFERROR(TRANSPOSE(ARRAYFORMULA(IF(added&lt;&gt;"""",HYPERLINK(""https://sealeddeck.tech/""&amp;added,""Link""),""""))),""""))"),"Link")</f>
        <v>Link</v>
      </c>
      <c r="J85" s="144" t="str">
        <f>IFERROR(__xludf.DUMMYFUNCTION("""COMPUTED_VALUE"""),"Link")</f>
        <v>Link</v>
      </c>
      <c r="K85" s="144" t="str">
        <f>IFERROR(__xludf.DUMMYFUNCTION("""COMPUTED_VALUE"""),"Link")</f>
        <v>Link</v>
      </c>
      <c r="L85" s="144" t="str">
        <f>IFERROR(__xludf.DUMMYFUNCTION("""COMPUTED_VALUE"""),"Link")</f>
        <v>Link</v>
      </c>
      <c r="M85" s="144" t="str">
        <f>IFERROR(__xludf.DUMMYFUNCTION("""COMPUTED_VALUE"""),"Link")</f>
        <v>Link</v>
      </c>
      <c r="N85" s="144" t="str">
        <f>IFERROR(__xludf.DUMMYFUNCTION("""COMPUTED_VALUE"""),"Link")</f>
        <v>Link</v>
      </c>
      <c r="O85" s="144" t="str">
        <f>IFERROR(__xludf.DUMMYFUNCTION("""COMPUTED_VALUE"""),"Link")</f>
        <v>Link</v>
      </c>
      <c r="P85" s="144" t="str">
        <f>IFERROR(__xludf.DUMMYFUNCTION("""COMPUTED_VALUE"""),"Link")</f>
        <v>Link</v>
      </c>
      <c r="Q85" s="144" t="str">
        <f>IFERROR(__xludf.DUMMYFUNCTION("""COMPUTED_VALUE"""),"Link")</f>
        <v>Link</v>
      </c>
      <c r="R85" s="144" t="str">
        <f>IFERROR(__xludf.DUMMYFUNCTION("""COMPUTED_VALUE"""),"Link")</f>
        <v>Link</v>
      </c>
      <c r="S85" s="174"/>
    </row>
    <row r="86">
      <c r="A86" s="104" t="s">
        <v>5584</v>
      </c>
      <c r="B86" s="104" t="s">
        <v>6045</v>
      </c>
      <c r="C86" s="104" t="s">
        <v>6046</v>
      </c>
      <c r="D86" s="104" t="s">
        <v>148</v>
      </c>
      <c r="E86" s="104">
        <v>15.0</v>
      </c>
      <c r="F86" s="104">
        <v>7.0</v>
      </c>
      <c r="G86" s="168" t="s">
        <v>5605</v>
      </c>
      <c r="H86" s="168" t="s">
        <v>6047</v>
      </c>
      <c r="I86" s="144" t="str">
        <f>IFERROR(__xludf.DUMMYFUNCTION("LET(changes,FILTER('Pool Changes'!$B:$D, 'Pool Changes'!$B:$B = $D86),added,FILTER(INDEX(changes,0,3),INDEX(changes,0,2)=""add pack""),IFERROR(TRANSPOSE(ARRAYFORMULA(IF(added&lt;&gt;"""",HYPERLINK(""https://sealeddeck.tech/""&amp;added,""Link""),""""))),""""))"),"Link")</f>
        <v>Link</v>
      </c>
      <c r="J86" s="144" t="str">
        <f>IFERROR(__xludf.DUMMYFUNCTION("""COMPUTED_VALUE"""),"Link")</f>
        <v>Link</v>
      </c>
      <c r="K86" s="144" t="str">
        <f>IFERROR(__xludf.DUMMYFUNCTION("""COMPUTED_VALUE"""),"Link")</f>
        <v>Link</v>
      </c>
      <c r="L86" s="144" t="str">
        <f>IFERROR(__xludf.DUMMYFUNCTION("""COMPUTED_VALUE"""),"Link")</f>
        <v>Link</v>
      </c>
      <c r="M86" s="144" t="str">
        <f>IFERROR(__xludf.DUMMYFUNCTION("""COMPUTED_VALUE"""),"Link")</f>
        <v>Link</v>
      </c>
      <c r="N86" s="144" t="str">
        <f>IFERROR(__xludf.DUMMYFUNCTION("""COMPUTED_VALUE"""),"Link")</f>
        <v>Link</v>
      </c>
      <c r="O86" s="144" t="str">
        <f>IFERROR(__xludf.DUMMYFUNCTION("""COMPUTED_VALUE"""),"Link")</f>
        <v>Link</v>
      </c>
      <c r="P86" s="144"/>
      <c r="Q86" s="174"/>
      <c r="R86" s="174"/>
      <c r="S86" s="174"/>
    </row>
    <row r="87">
      <c r="A87" s="104" t="s">
        <v>5608</v>
      </c>
      <c r="B87" s="104" t="s">
        <v>6048</v>
      </c>
      <c r="C87" s="104" t="s">
        <v>6049</v>
      </c>
      <c r="D87" s="104" t="s">
        <v>244</v>
      </c>
      <c r="E87" s="104">
        <v>6.0</v>
      </c>
      <c r="F87" s="104">
        <v>11.0</v>
      </c>
      <c r="G87" s="168" t="s">
        <v>5609</v>
      </c>
      <c r="H87" s="168" t="s">
        <v>6050</v>
      </c>
      <c r="I87" s="144" t="str">
        <f>IFERROR(__xludf.DUMMYFUNCTION("LET(changes,FILTER('Pool Changes'!$B:$D, 'Pool Changes'!$B:$B = $D87),added,FILTER(INDEX(changes,0,3),INDEX(changes,0,2)=""add pack""),IFERROR(TRANSPOSE(ARRAYFORMULA(IF(added&lt;&gt;"""",HYPERLINK(""https://sealeddeck.tech/""&amp;added,""Link""),""""))),""""))"),"Link")</f>
        <v>Link</v>
      </c>
      <c r="J87" s="144" t="str">
        <f>IFERROR(__xludf.DUMMYFUNCTION("""COMPUTED_VALUE"""),"Link")</f>
        <v>Link</v>
      </c>
      <c r="K87" s="144" t="str">
        <f>IFERROR(__xludf.DUMMYFUNCTION("""COMPUTED_VALUE"""),"Link")</f>
        <v>Link</v>
      </c>
      <c r="L87" s="144" t="str">
        <f>IFERROR(__xludf.DUMMYFUNCTION("""COMPUTED_VALUE"""),"Link")</f>
        <v>Link</v>
      </c>
      <c r="M87" s="144" t="str">
        <f>IFERROR(__xludf.DUMMYFUNCTION("""COMPUTED_VALUE"""),"Link")</f>
        <v>Link</v>
      </c>
      <c r="N87" s="144" t="str">
        <f>IFERROR(__xludf.DUMMYFUNCTION("""COMPUTED_VALUE"""),"Link")</f>
        <v>Link</v>
      </c>
      <c r="O87" s="144" t="str">
        <f>IFERROR(__xludf.DUMMYFUNCTION("""COMPUTED_VALUE"""),"Link")</f>
        <v>Link</v>
      </c>
      <c r="P87" s="144" t="str">
        <f>IFERROR(__xludf.DUMMYFUNCTION("""COMPUTED_VALUE"""),"Link")</f>
        <v>Link</v>
      </c>
      <c r="Q87" s="144" t="str">
        <f>IFERROR(__xludf.DUMMYFUNCTION("""COMPUTED_VALUE"""),"Link")</f>
        <v>Link</v>
      </c>
      <c r="R87" s="144" t="str">
        <f>IFERROR(__xludf.DUMMYFUNCTION("""COMPUTED_VALUE"""),"Link")</f>
        <v>Link</v>
      </c>
      <c r="S87" s="144" t="str">
        <f>IFERROR(__xludf.DUMMYFUNCTION("""COMPUTED_VALUE"""),"Link")</f>
        <v>Link</v>
      </c>
    </row>
    <row r="88">
      <c r="A88" s="104" t="s">
        <v>5610</v>
      </c>
      <c r="B88" s="104" t="s">
        <v>6051</v>
      </c>
      <c r="C88" s="104" t="s">
        <v>6052</v>
      </c>
      <c r="D88" s="104" t="s">
        <v>224</v>
      </c>
      <c r="E88" s="104">
        <v>13.0</v>
      </c>
      <c r="F88" s="104">
        <v>11.0</v>
      </c>
      <c r="G88" s="168" t="s">
        <v>5611</v>
      </c>
      <c r="H88" s="168" t="s">
        <v>6053</v>
      </c>
      <c r="I88" s="144" t="str">
        <f>IFERROR(__xludf.DUMMYFUNCTION("LET(changes,FILTER('Pool Changes'!$B:$D, 'Pool Changes'!$B:$B = $D88),added,FILTER(INDEX(changes,0,3),INDEX(changes,0,2)=""add pack""),IFERROR(TRANSPOSE(ARRAYFORMULA(IF(added&lt;&gt;"""",HYPERLINK(""https://sealeddeck.tech/""&amp;added,""Link""),""""))),""""))"),"Link")</f>
        <v>Link</v>
      </c>
      <c r="J88" s="144" t="str">
        <f>IFERROR(__xludf.DUMMYFUNCTION("""COMPUTED_VALUE"""),"Link")</f>
        <v>Link</v>
      </c>
      <c r="K88" s="144" t="str">
        <f>IFERROR(__xludf.DUMMYFUNCTION("""COMPUTED_VALUE"""),"Link")</f>
        <v>Link</v>
      </c>
      <c r="L88" s="144" t="str">
        <f>IFERROR(__xludf.DUMMYFUNCTION("""COMPUTED_VALUE"""),"Link")</f>
        <v>Link</v>
      </c>
      <c r="M88" s="144" t="str">
        <f>IFERROR(__xludf.DUMMYFUNCTION("""COMPUTED_VALUE"""),"Link")</f>
        <v>Link</v>
      </c>
      <c r="N88" s="144" t="str">
        <f>IFERROR(__xludf.DUMMYFUNCTION("""COMPUTED_VALUE"""),"Link")</f>
        <v>Link</v>
      </c>
      <c r="O88" s="144" t="str">
        <f>IFERROR(__xludf.DUMMYFUNCTION("""COMPUTED_VALUE"""),"Link")</f>
        <v>Link</v>
      </c>
      <c r="P88" s="144" t="str">
        <f>IFERROR(__xludf.DUMMYFUNCTION("""COMPUTED_VALUE"""),"Link")</f>
        <v>Link</v>
      </c>
      <c r="Q88" s="144" t="str">
        <f>IFERROR(__xludf.DUMMYFUNCTION("""COMPUTED_VALUE"""),"Link")</f>
        <v>Link</v>
      </c>
      <c r="R88" s="144"/>
      <c r="S88" s="144"/>
    </row>
    <row r="89">
      <c r="A89" s="104" t="s">
        <v>5612</v>
      </c>
      <c r="B89" s="104" t="s">
        <v>6054</v>
      </c>
      <c r="C89" s="104" t="s">
        <v>6055</v>
      </c>
      <c r="D89" s="104" t="s">
        <v>302</v>
      </c>
      <c r="E89" s="104">
        <v>12.0</v>
      </c>
      <c r="F89" s="104">
        <v>8.0</v>
      </c>
      <c r="G89" s="168" t="s">
        <v>5613</v>
      </c>
      <c r="H89" s="168" t="s">
        <v>6056</v>
      </c>
      <c r="I89" s="144" t="str">
        <f>IFERROR(__xludf.DUMMYFUNCTION("LET(changes,FILTER('Pool Changes'!$B:$D, 'Pool Changes'!$B:$B = $D89),added,FILTER(INDEX(changes,0,3),INDEX(changes,0,2)=""add pack""),IFERROR(TRANSPOSE(ARRAYFORMULA(IF(added&lt;&gt;"""",HYPERLINK(""https://sealeddeck.tech/""&amp;added,""Link""),""""))),""""))"),"Link")</f>
        <v>Link</v>
      </c>
      <c r="J89" s="144" t="str">
        <f>IFERROR(__xludf.DUMMYFUNCTION("""COMPUTED_VALUE"""),"Link")</f>
        <v>Link</v>
      </c>
      <c r="K89" s="144" t="str">
        <f>IFERROR(__xludf.DUMMYFUNCTION("""COMPUTED_VALUE"""),"Link")</f>
        <v>Link</v>
      </c>
      <c r="L89" s="144" t="str">
        <f>IFERROR(__xludf.DUMMYFUNCTION("""COMPUTED_VALUE"""),"Link")</f>
        <v>Link</v>
      </c>
      <c r="M89" s="144" t="str">
        <f>IFERROR(__xludf.DUMMYFUNCTION("""COMPUTED_VALUE"""),"Link")</f>
        <v>Link</v>
      </c>
      <c r="N89" s="144" t="str">
        <f>IFERROR(__xludf.DUMMYFUNCTION("""COMPUTED_VALUE"""),"Link")</f>
        <v>Link</v>
      </c>
      <c r="O89" s="144" t="str">
        <f>IFERROR(__xludf.DUMMYFUNCTION("""COMPUTED_VALUE"""),"Link")</f>
        <v>Link</v>
      </c>
      <c r="P89" s="144" t="str">
        <f>IFERROR(__xludf.DUMMYFUNCTION("""COMPUTED_VALUE"""),"Link")</f>
        <v>Link</v>
      </c>
      <c r="Q89" s="144" t="str">
        <f>IFERROR(__xludf.DUMMYFUNCTION("""COMPUTED_VALUE"""),"Link")</f>
        <v>Link</v>
      </c>
      <c r="R89" s="174"/>
      <c r="S89" s="174"/>
    </row>
    <row r="90">
      <c r="A90" s="104" t="s">
        <v>5614</v>
      </c>
      <c r="B90" s="104" t="s">
        <v>6057</v>
      </c>
      <c r="C90" s="104" t="s">
        <v>6058</v>
      </c>
      <c r="D90" s="104" t="s">
        <v>164</v>
      </c>
      <c r="E90" s="104">
        <v>9.0</v>
      </c>
      <c r="F90" s="104">
        <v>11.0</v>
      </c>
      <c r="G90" s="168" t="s">
        <v>5615</v>
      </c>
      <c r="H90" s="168" t="s">
        <v>6059</v>
      </c>
      <c r="I90" s="144" t="str">
        <f>IFERROR(__xludf.DUMMYFUNCTION("LET(changes,FILTER('Pool Changes'!$B:$D, 'Pool Changes'!$B:$B = $D90),added,FILTER(INDEX(changes,0,3),INDEX(changes,0,2)=""add pack""),IFERROR(TRANSPOSE(ARRAYFORMULA(IF(added&lt;&gt;"""",HYPERLINK(""https://sealeddeck.tech/""&amp;added,""Link""),""""))),""""))"),"Link")</f>
        <v>Link</v>
      </c>
      <c r="J90" s="144" t="str">
        <f>IFERROR(__xludf.DUMMYFUNCTION("""COMPUTED_VALUE"""),"Link")</f>
        <v>Link</v>
      </c>
      <c r="K90" s="144" t="str">
        <f>IFERROR(__xludf.DUMMYFUNCTION("""COMPUTED_VALUE"""),"Link")</f>
        <v>Link</v>
      </c>
      <c r="L90" s="144" t="str">
        <f>IFERROR(__xludf.DUMMYFUNCTION("""COMPUTED_VALUE"""),"Link")</f>
        <v>Link</v>
      </c>
      <c r="M90" s="144" t="str">
        <f>IFERROR(__xludf.DUMMYFUNCTION("""COMPUTED_VALUE"""),"Link")</f>
        <v>Link</v>
      </c>
      <c r="N90" s="144" t="str">
        <f>IFERROR(__xludf.DUMMYFUNCTION("""COMPUTED_VALUE"""),"Link")</f>
        <v>Link</v>
      </c>
      <c r="O90" s="144" t="str">
        <f>IFERROR(__xludf.DUMMYFUNCTION("""COMPUTED_VALUE"""),"Link")</f>
        <v>Link</v>
      </c>
      <c r="P90" s="144" t="str">
        <f>IFERROR(__xludf.DUMMYFUNCTION("""COMPUTED_VALUE"""),"Link")</f>
        <v>Link</v>
      </c>
      <c r="Q90" s="144" t="str">
        <f>IFERROR(__xludf.DUMMYFUNCTION("""COMPUTED_VALUE"""),"Link")</f>
        <v>Link</v>
      </c>
      <c r="R90" s="144" t="str">
        <f>IFERROR(__xludf.DUMMYFUNCTION("""COMPUTED_VALUE"""),"Link")</f>
        <v>Link</v>
      </c>
      <c r="S90" s="144" t="str">
        <f>IFERROR(__xludf.DUMMYFUNCTION("""COMPUTED_VALUE"""),"Link")</f>
        <v>Link</v>
      </c>
    </row>
    <row r="91">
      <c r="A91" s="104" t="s">
        <v>5616</v>
      </c>
      <c r="B91" s="104" t="s">
        <v>6061</v>
      </c>
      <c r="C91" s="104" t="s">
        <v>6062</v>
      </c>
      <c r="D91" s="104" t="s">
        <v>229</v>
      </c>
      <c r="E91" s="104">
        <v>8.0</v>
      </c>
      <c r="F91" s="104">
        <v>10.0</v>
      </c>
      <c r="G91" s="168" t="s">
        <v>5617</v>
      </c>
      <c r="H91" s="168" t="s">
        <v>6063</v>
      </c>
      <c r="I91" s="144" t="str">
        <f>IFERROR(__xludf.DUMMYFUNCTION("LET(changes,FILTER('Pool Changes'!$B:$D, 'Pool Changes'!$B:$B = $D91),added,FILTER(INDEX(changes,0,3),INDEX(changes,0,2)=""add pack""),IFERROR(TRANSPOSE(ARRAYFORMULA(IF(added&lt;&gt;"""",HYPERLINK(""https://sealeddeck.tech/""&amp;added,""Link""),""""))),""""))"),"Link")</f>
        <v>Link</v>
      </c>
      <c r="J91" s="144" t="str">
        <f>IFERROR(__xludf.DUMMYFUNCTION("""COMPUTED_VALUE"""),"Link")</f>
        <v>Link</v>
      </c>
      <c r="K91" s="144" t="str">
        <f>IFERROR(__xludf.DUMMYFUNCTION("""COMPUTED_VALUE"""),"Link")</f>
        <v>Link</v>
      </c>
      <c r="L91" s="144" t="str">
        <f>IFERROR(__xludf.DUMMYFUNCTION("""COMPUTED_VALUE"""),"Link")</f>
        <v>Link</v>
      </c>
      <c r="M91" s="144" t="str">
        <f>IFERROR(__xludf.DUMMYFUNCTION("""COMPUTED_VALUE"""),"Link")</f>
        <v>Link</v>
      </c>
      <c r="N91" s="144" t="str">
        <f>IFERROR(__xludf.DUMMYFUNCTION("""COMPUTED_VALUE"""),"Link")</f>
        <v>Link</v>
      </c>
      <c r="O91" s="144" t="str">
        <f>IFERROR(__xludf.DUMMYFUNCTION("""COMPUTED_VALUE"""),"Link")</f>
        <v>Link</v>
      </c>
      <c r="P91" s="144" t="str">
        <f>IFERROR(__xludf.DUMMYFUNCTION("""COMPUTED_VALUE"""),"Link")</f>
        <v>Link</v>
      </c>
      <c r="Q91" s="144" t="str">
        <f>IFERROR(__xludf.DUMMYFUNCTION("""COMPUTED_VALUE"""),"Link")</f>
        <v>Link</v>
      </c>
      <c r="R91" s="174"/>
      <c r="S91" s="174"/>
    </row>
    <row r="92">
      <c r="A92" s="104" t="s">
        <v>5618</v>
      </c>
      <c r="B92" s="104" t="s">
        <v>6064</v>
      </c>
      <c r="C92" s="104" t="s">
        <v>6065</v>
      </c>
      <c r="D92" s="104" t="s">
        <v>242</v>
      </c>
      <c r="E92" s="104">
        <v>15.0</v>
      </c>
      <c r="F92" s="104">
        <v>8.0</v>
      </c>
      <c r="G92" s="168" t="s">
        <v>6066</v>
      </c>
      <c r="H92" s="168" t="s">
        <v>6068</v>
      </c>
      <c r="I92" s="144" t="str">
        <f>IFERROR(__xludf.DUMMYFUNCTION("LET(changes,FILTER('Pool Changes'!$B:$D, 'Pool Changes'!$B:$B = $D92),added,FILTER(INDEX(changes,0,3),INDEX(changes,0,2)=""add pack""),IFERROR(TRANSPOSE(ARRAYFORMULA(IF(added&lt;&gt;"""",HYPERLINK(""https://sealeddeck.tech/""&amp;added,""Link""),""""))),""""))"),"Link")</f>
        <v>Link</v>
      </c>
      <c r="J92" s="144" t="str">
        <f>IFERROR(__xludf.DUMMYFUNCTION("""COMPUTED_VALUE"""),"Link")</f>
        <v>Link</v>
      </c>
      <c r="K92" s="144" t="str">
        <f>IFERROR(__xludf.DUMMYFUNCTION("""COMPUTED_VALUE"""),"Link")</f>
        <v>Link</v>
      </c>
      <c r="L92" s="144" t="str">
        <f>IFERROR(__xludf.DUMMYFUNCTION("""COMPUTED_VALUE"""),"Link")</f>
        <v>Link</v>
      </c>
      <c r="M92" s="144" t="str">
        <f>IFERROR(__xludf.DUMMYFUNCTION("""COMPUTED_VALUE"""),"Link")</f>
        <v>Link</v>
      </c>
      <c r="N92" s="144" t="str">
        <f>IFERROR(__xludf.DUMMYFUNCTION("""COMPUTED_VALUE"""),"Link")</f>
        <v>Link</v>
      </c>
      <c r="O92" s="144" t="str">
        <f>IFERROR(__xludf.DUMMYFUNCTION("""COMPUTED_VALUE"""),"Link")</f>
        <v>Link</v>
      </c>
      <c r="P92" s="144" t="str">
        <f>IFERROR(__xludf.DUMMYFUNCTION("""COMPUTED_VALUE"""),"Link")</f>
        <v>Link</v>
      </c>
      <c r="Q92" s="144"/>
      <c r="R92" s="174"/>
      <c r="S92" s="174"/>
    </row>
    <row r="93">
      <c r="A93" s="104" t="s">
        <v>5620</v>
      </c>
      <c r="B93" s="104" t="s">
        <v>6069</v>
      </c>
      <c r="C93" s="104" t="s">
        <v>6070</v>
      </c>
      <c r="D93" s="104" t="s">
        <v>197</v>
      </c>
      <c r="E93" s="104">
        <v>4.0</v>
      </c>
      <c r="F93" s="104">
        <v>11.0</v>
      </c>
      <c r="G93" s="168" t="s">
        <v>5621</v>
      </c>
      <c r="H93" s="168" t="s">
        <v>6071</v>
      </c>
      <c r="I93" s="144" t="str">
        <f>IFERROR(__xludf.DUMMYFUNCTION("LET(changes,FILTER('Pool Changes'!$B:$D, 'Pool Changes'!$B:$B = $D93),added,FILTER(INDEX(changes,0,3),INDEX(changes,0,2)=""add pack""),IFERROR(TRANSPOSE(ARRAYFORMULA(IF(added&lt;&gt;"""",HYPERLINK(""https://sealeddeck.tech/""&amp;added,""Link""),""""))),""""))"),"Link")</f>
        <v>Link</v>
      </c>
      <c r="J93" s="144" t="str">
        <f>IFERROR(__xludf.DUMMYFUNCTION("""COMPUTED_VALUE"""),"Link")</f>
        <v>Link</v>
      </c>
      <c r="K93" s="144" t="str">
        <f>IFERROR(__xludf.DUMMYFUNCTION("""COMPUTED_VALUE"""),"Link")</f>
        <v>Link</v>
      </c>
      <c r="L93" s="144" t="str">
        <f>IFERROR(__xludf.DUMMYFUNCTION("""COMPUTED_VALUE"""),"Link")</f>
        <v>Link</v>
      </c>
      <c r="M93" s="144" t="str">
        <f>IFERROR(__xludf.DUMMYFUNCTION("""COMPUTED_VALUE"""),"Link")</f>
        <v>Link</v>
      </c>
      <c r="N93" s="144" t="str">
        <f>IFERROR(__xludf.DUMMYFUNCTION("""COMPUTED_VALUE"""),"Link")</f>
        <v>Link</v>
      </c>
      <c r="O93" s="144" t="str">
        <f>IFERROR(__xludf.DUMMYFUNCTION("""COMPUTED_VALUE"""),"Link")</f>
        <v>Link</v>
      </c>
      <c r="P93" s="144" t="str">
        <f>IFERROR(__xludf.DUMMYFUNCTION("""COMPUTED_VALUE"""),"Link")</f>
        <v>Link</v>
      </c>
      <c r="Q93" s="144" t="str">
        <f>IFERROR(__xludf.DUMMYFUNCTION("""COMPUTED_VALUE"""),"Link")</f>
        <v>Link</v>
      </c>
      <c r="R93" s="144" t="str">
        <f>IFERROR(__xludf.DUMMYFUNCTION("""COMPUTED_VALUE"""),"Link")</f>
        <v>Link</v>
      </c>
      <c r="S93" s="144" t="str">
        <f>IFERROR(__xludf.DUMMYFUNCTION("""COMPUTED_VALUE"""),"Link")</f>
        <v>Link</v>
      </c>
    </row>
    <row r="94">
      <c r="A94" s="104" t="s">
        <v>5622</v>
      </c>
      <c r="B94" s="104" t="s">
        <v>6073</v>
      </c>
      <c r="C94" s="104" t="s">
        <v>6074</v>
      </c>
      <c r="D94" s="104" t="s">
        <v>195</v>
      </c>
      <c r="E94" s="104">
        <v>13.0</v>
      </c>
      <c r="F94" s="104">
        <v>9.0</v>
      </c>
      <c r="G94" s="168" t="s">
        <v>5623</v>
      </c>
      <c r="H94" s="168" t="s">
        <v>6075</v>
      </c>
      <c r="I94" s="144" t="str">
        <f>IFERROR(__xludf.DUMMYFUNCTION("LET(changes,FILTER('Pool Changes'!$B:$D, 'Pool Changes'!$B:$B = $D94),added,FILTER(INDEX(changes,0,3),INDEX(changes,0,2)=""add pack""),IFERROR(TRANSPOSE(ARRAYFORMULA(IF(added&lt;&gt;"""",HYPERLINK(""https://sealeddeck.tech/""&amp;added,""Link""),""""))),""""))"),"Link")</f>
        <v>Link</v>
      </c>
      <c r="J94" s="144" t="str">
        <f>IFERROR(__xludf.DUMMYFUNCTION("""COMPUTED_VALUE"""),"Link")</f>
        <v>Link</v>
      </c>
      <c r="K94" s="144" t="str">
        <f>IFERROR(__xludf.DUMMYFUNCTION("""COMPUTED_VALUE"""),"Link")</f>
        <v>Link</v>
      </c>
      <c r="L94" s="144" t="str">
        <f>IFERROR(__xludf.DUMMYFUNCTION("""COMPUTED_VALUE"""),"Link")</f>
        <v>Link</v>
      </c>
      <c r="M94" s="144" t="str">
        <f>IFERROR(__xludf.DUMMYFUNCTION("""COMPUTED_VALUE"""),"Link")</f>
        <v>Link</v>
      </c>
      <c r="N94" s="144" t="str">
        <f>IFERROR(__xludf.DUMMYFUNCTION("""COMPUTED_VALUE"""),"Link")</f>
        <v>Link</v>
      </c>
      <c r="O94" s="144" t="str">
        <f>IFERROR(__xludf.DUMMYFUNCTION("""COMPUTED_VALUE"""),"Link")</f>
        <v>Link</v>
      </c>
      <c r="P94" s="144" t="str">
        <f>IFERROR(__xludf.DUMMYFUNCTION("""COMPUTED_VALUE"""),"Link")</f>
        <v>Link</v>
      </c>
      <c r="Q94" s="144"/>
      <c r="R94" s="144"/>
      <c r="S94" s="174"/>
    </row>
    <row r="95">
      <c r="A95" s="104" t="s">
        <v>5624</v>
      </c>
      <c r="B95" s="104" t="s">
        <v>6077</v>
      </c>
      <c r="C95" s="104" t="s">
        <v>6078</v>
      </c>
      <c r="D95" s="104" t="s">
        <v>279</v>
      </c>
      <c r="E95" s="104">
        <v>13.0</v>
      </c>
      <c r="F95" s="104">
        <v>8.0</v>
      </c>
      <c r="G95" s="168" t="s">
        <v>5625</v>
      </c>
      <c r="H95" s="168" t="s">
        <v>6079</v>
      </c>
      <c r="I95" s="144" t="str">
        <f>IFERROR(__xludf.DUMMYFUNCTION("LET(changes,FILTER('Pool Changes'!$B:$D, 'Pool Changes'!$B:$B = $D95),added,FILTER(INDEX(changes,0,3),INDEX(changes,0,2)=""add pack""),IFERROR(TRANSPOSE(ARRAYFORMULA(IF(added&lt;&gt;"""",HYPERLINK(""https://sealeddeck.tech/""&amp;added,""Link""),""""))),""""))"),"Link")</f>
        <v>Link</v>
      </c>
      <c r="J95" s="144" t="str">
        <f>IFERROR(__xludf.DUMMYFUNCTION("""COMPUTED_VALUE"""),"Link")</f>
        <v>Link</v>
      </c>
      <c r="K95" s="144" t="str">
        <f>IFERROR(__xludf.DUMMYFUNCTION("""COMPUTED_VALUE"""),"Link")</f>
        <v>Link</v>
      </c>
      <c r="L95" s="144" t="str">
        <f>IFERROR(__xludf.DUMMYFUNCTION("""COMPUTED_VALUE"""),"Link")</f>
        <v>Link</v>
      </c>
      <c r="M95" s="144" t="str">
        <f>IFERROR(__xludf.DUMMYFUNCTION("""COMPUTED_VALUE"""),"Link")</f>
        <v>Link</v>
      </c>
      <c r="N95" s="144" t="str">
        <f>IFERROR(__xludf.DUMMYFUNCTION("""COMPUTED_VALUE"""),"Link")</f>
        <v>Link</v>
      </c>
      <c r="O95" s="144" t="str">
        <f>IFERROR(__xludf.DUMMYFUNCTION("""COMPUTED_VALUE"""),"Link")</f>
        <v>Link</v>
      </c>
      <c r="P95" s="144" t="str">
        <f>IFERROR(__xludf.DUMMYFUNCTION("""COMPUTED_VALUE"""),"Link")</f>
        <v>Link</v>
      </c>
      <c r="Q95" s="144"/>
      <c r="R95" s="174"/>
      <c r="S95" s="174"/>
    </row>
    <row r="96">
      <c r="A96" s="104" t="s">
        <v>5626</v>
      </c>
      <c r="B96" s="104" t="s">
        <v>6099</v>
      </c>
      <c r="C96" s="104" t="s">
        <v>6100</v>
      </c>
      <c r="D96" s="104" t="s">
        <v>271</v>
      </c>
      <c r="E96" s="104">
        <v>8.0</v>
      </c>
      <c r="F96" s="104">
        <v>11.0</v>
      </c>
      <c r="G96" s="168" t="s">
        <v>5627</v>
      </c>
      <c r="H96" s="168" t="s">
        <v>6102</v>
      </c>
      <c r="I96" s="144" t="str">
        <f>IFERROR(__xludf.DUMMYFUNCTION("LET(changes,FILTER('Pool Changes'!$B:$D, 'Pool Changes'!$B:$B = $D96),added,FILTER(INDEX(changes,0,3),INDEX(changes,0,2)=""add pack""),IFERROR(TRANSPOSE(ARRAYFORMULA(IF(added&lt;&gt;"""",HYPERLINK(""https://sealeddeck.tech/""&amp;added,""Link""),""""))),""""))"),"Link")</f>
        <v>Link</v>
      </c>
      <c r="J96" s="144" t="str">
        <f>IFERROR(__xludf.DUMMYFUNCTION("""COMPUTED_VALUE"""),"Link")</f>
        <v>Link</v>
      </c>
      <c r="K96" s="144" t="str">
        <f>IFERROR(__xludf.DUMMYFUNCTION("""COMPUTED_VALUE"""),"Link")</f>
        <v>Link</v>
      </c>
      <c r="L96" s="144" t="str">
        <f>IFERROR(__xludf.DUMMYFUNCTION("""COMPUTED_VALUE"""),"Link")</f>
        <v>Link</v>
      </c>
      <c r="M96" s="144" t="str">
        <f>IFERROR(__xludf.DUMMYFUNCTION("""COMPUTED_VALUE"""),"Link")</f>
        <v>Link</v>
      </c>
      <c r="N96" s="144" t="str">
        <f>IFERROR(__xludf.DUMMYFUNCTION("""COMPUTED_VALUE"""),"Link")</f>
        <v>Link</v>
      </c>
      <c r="O96" s="144" t="str">
        <f>IFERROR(__xludf.DUMMYFUNCTION("""COMPUTED_VALUE"""),"Link")</f>
        <v>Link</v>
      </c>
      <c r="P96" s="144" t="str">
        <f>IFERROR(__xludf.DUMMYFUNCTION("""COMPUTED_VALUE"""),"Link")</f>
        <v>Link</v>
      </c>
      <c r="Q96" s="144" t="str">
        <f>IFERROR(__xludf.DUMMYFUNCTION("""COMPUTED_VALUE"""),"Link")</f>
        <v>Link</v>
      </c>
      <c r="R96" s="144" t="str">
        <f>IFERROR(__xludf.DUMMYFUNCTION("""COMPUTED_VALUE"""),"Link")</f>
        <v>Link</v>
      </c>
      <c r="S96" s="144" t="str">
        <f>IFERROR(__xludf.DUMMYFUNCTION("""COMPUTED_VALUE"""),"Link")</f>
        <v>Link</v>
      </c>
    </row>
    <row r="97">
      <c r="A97" s="104" t="s">
        <v>5628</v>
      </c>
      <c r="B97" s="104" t="s">
        <v>6119</v>
      </c>
      <c r="C97" s="104" t="s">
        <v>6120</v>
      </c>
      <c r="D97" s="104" t="s">
        <v>114</v>
      </c>
      <c r="E97" s="104">
        <v>1.0</v>
      </c>
      <c r="F97" s="104">
        <v>11.0</v>
      </c>
      <c r="G97" s="168" t="s">
        <v>5629</v>
      </c>
      <c r="H97" s="168" t="s">
        <v>6124</v>
      </c>
      <c r="I97" s="144" t="str">
        <f>IFERROR(__xludf.DUMMYFUNCTION("LET(changes,FILTER('Pool Changes'!$B:$D, 'Pool Changes'!$B:$B = $D97),added,FILTER(INDEX(changes,0,3),INDEX(changes,0,2)=""add pack""),IFERROR(TRANSPOSE(ARRAYFORMULA(IF(added&lt;&gt;"""",HYPERLINK(""https://sealeddeck.tech/""&amp;added,""Link""),""""))),""""))"),"Link")</f>
        <v>Link</v>
      </c>
      <c r="J97" s="144" t="str">
        <f>IFERROR(__xludf.DUMMYFUNCTION("""COMPUTED_VALUE"""),"Link")</f>
        <v>Link</v>
      </c>
      <c r="K97" s="144" t="str">
        <f>IFERROR(__xludf.DUMMYFUNCTION("""COMPUTED_VALUE"""),"Link")</f>
        <v>Link</v>
      </c>
      <c r="L97" s="144" t="str">
        <f>IFERROR(__xludf.DUMMYFUNCTION("""COMPUTED_VALUE"""),"Link")</f>
        <v>Link</v>
      </c>
      <c r="M97" s="174"/>
      <c r="N97" s="174"/>
      <c r="O97" s="174"/>
      <c r="P97" s="174"/>
      <c r="Q97" s="174"/>
      <c r="R97" s="174"/>
      <c r="S97" s="174"/>
    </row>
    <row r="98">
      <c r="A98" s="104" t="s">
        <v>5630</v>
      </c>
      <c r="B98" s="104" t="s">
        <v>6103</v>
      </c>
      <c r="C98" s="104" t="s">
        <v>6129</v>
      </c>
      <c r="D98" s="104" t="s">
        <v>315</v>
      </c>
      <c r="E98" s="104">
        <v>13.0</v>
      </c>
      <c r="F98" s="104">
        <v>5.0</v>
      </c>
      <c r="G98" s="168" t="s">
        <v>5631</v>
      </c>
      <c r="H98" s="168" t="s">
        <v>6132</v>
      </c>
      <c r="I98" s="144" t="str">
        <f>IFERROR(__xludf.DUMMYFUNCTION("LET(changes,FILTER('Pool Changes'!$B:$D, 'Pool Changes'!$B:$B = $D98),added,FILTER(INDEX(changes,0,3),INDEX(changes,0,2)=""add pack""),IFERROR(TRANSPOSE(ARRAYFORMULA(IF(added&lt;&gt;"""",HYPERLINK(""https://sealeddeck.tech/""&amp;added,""Link""),""""))),""""))"),"Link")</f>
        <v>Link</v>
      </c>
      <c r="J98" s="144" t="str">
        <f>IFERROR(__xludf.DUMMYFUNCTION("""COMPUTED_VALUE"""),"Link")</f>
        <v>Link</v>
      </c>
      <c r="K98" s="144" t="str">
        <f>IFERROR(__xludf.DUMMYFUNCTION("""COMPUTED_VALUE"""),"Link")</f>
        <v>Link</v>
      </c>
      <c r="L98" s="144" t="str">
        <f>IFERROR(__xludf.DUMMYFUNCTION("""COMPUTED_VALUE"""),"Link")</f>
        <v>Link</v>
      </c>
      <c r="M98" s="144" t="str">
        <f>IFERROR(__xludf.DUMMYFUNCTION("""COMPUTED_VALUE"""),"Link")</f>
        <v>Link</v>
      </c>
      <c r="N98" s="144" t="str">
        <f>IFERROR(__xludf.DUMMYFUNCTION("""COMPUTED_VALUE"""),"Link")</f>
        <v>Link</v>
      </c>
      <c r="O98" s="174"/>
      <c r="P98" s="174"/>
      <c r="Q98" s="174"/>
      <c r="R98" s="174"/>
      <c r="S98" s="174"/>
    </row>
    <row r="99">
      <c r="A99" s="104" t="s">
        <v>5633</v>
      </c>
      <c r="B99" s="104" t="s">
        <v>6115</v>
      </c>
      <c r="C99" s="104" t="s">
        <v>6142</v>
      </c>
      <c r="D99" s="104" t="s">
        <v>296</v>
      </c>
      <c r="E99" s="104">
        <v>11.0</v>
      </c>
      <c r="F99" s="104">
        <v>9.0</v>
      </c>
      <c r="G99" s="168" t="s">
        <v>5634</v>
      </c>
      <c r="H99" s="168" t="s">
        <v>6145</v>
      </c>
      <c r="I99" s="144" t="str">
        <f>IFERROR(__xludf.DUMMYFUNCTION("LET(changes,FILTER('Pool Changes'!$B:$D, 'Pool Changes'!$B:$B = $D99),added,FILTER(INDEX(changes,0,3),INDEX(changes,0,2)=""add pack""),IFERROR(TRANSPOSE(ARRAYFORMULA(IF(added&lt;&gt;"""",HYPERLINK(""https://sealeddeck.tech/""&amp;added,""Link""),""""))),""""))"),"Link")</f>
        <v>Link</v>
      </c>
      <c r="J99" s="144" t="str">
        <f>IFERROR(__xludf.DUMMYFUNCTION("""COMPUTED_VALUE"""),"Link")</f>
        <v>Link</v>
      </c>
      <c r="K99" s="144" t="str">
        <f>IFERROR(__xludf.DUMMYFUNCTION("""COMPUTED_VALUE"""),"Link")</f>
        <v>Link</v>
      </c>
      <c r="L99" s="144" t="str">
        <f>IFERROR(__xludf.DUMMYFUNCTION("""COMPUTED_VALUE"""),"Link")</f>
        <v>Link</v>
      </c>
      <c r="M99" s="144" t="str">
        <f>IFERROR(__xludf.DUMMYFUNCTION("""COMPUTED_VALUE"""),"Link")</f>
        <v>Link</v>
      </c>
      <c r="N99" s="144" t="str">
        <f>IFERROR(__xludf.DUMMYFUNCTION("""COMPUTED_VALUE"""),"Link")</f>
        <v>Link</v>
      </c>
      <c r="O99" s="144" t="str">
        <f>IFERROR(__xludf.DUMMYFUNCTION("""COMPUTED_VALUE"""),"Link")</f>
        <v>Link</v>
      </c>
      <c r="P99" s="144" t="str">
        <f>IFERROR(__xludf.DUMMYFUNCTION("""COMPUTED_VALUE"""),"Link")</f>
        <v>Link</v>
      </c>
      <c r="Q99" s="144" t="str">
        <f>IFERROR(__xludf.DUMMYFUNCTION("""COMPUTED_VALUE"""),"Link")</f>
        <v>Link</v>
      </c>
      <c r="R99" s="144" t="str">
        <f>IFERROR(__xludf.DUMMYFUNCTION("""COMPUTED_VALUE"""),"Link")</f>
        <v>Link</v>
      </c>
      <c r="S99" s="174"/>
    </row>
    <row r="100">
      <c r="A100" s="104" t="s">
        <v>5635</v>
      </c>
      <c r="B100" s="104" t="s">
        <v>6143</v>
      </c>
      <c r="C100" s="104" t="s">
        <v>6162</v>
      </c>
      <c r="D100" s="104" t="s">
        <v>241</v>
      </c>
      <c r="E100" s="104">
        <v>8.0</v>
      </c>
      <c r="F100" s="104">
        <v>10.0</v>
      </c>
      <c r="G100" s="168" t="s">
        <v>5636</v>
      </c>
      <c r="H100" s="168" t="s">
        <v>6165</v>
      </c>
      <c r="I100" s="144" t="str">
        <f>IFERROR(__xludf.DUMMYFUNCTION("LET(changes,FILTER('Pool Changes'!$B:$D, 'Pool Changes'!$B:$B = $D100),added,FILTER(INDEX(changes,0,3),INDEX(changes,0,2)=""add pack""),IFERROR(TRANSPOSE(ARRAYFORMULA(IF(added&lt;&gt;"""",HYPERLINK(""https://sealeddeck.tech/""&amp;added,""Link""),""""))),""""))"),"Link")</f>
        <v>Link</v>
      </c>
      <c r="J100" s="144" t="str">
        <f>IFERROR(__xludf.DUMMYFUNCTION("""COMPUTED_VALUE"""),"Link")</f>
        <v>Link</v>
      </c>
      <c r="K100" s="144" t="str">
        <f>IFERROR(__xludf.DUMMYFUNCTION("""COMPUTED_VALUE"""),"Link")</f>
        <v>Link</v>
      </c>
      <c r="L100" s="144" t="str">
        <f>IFERROR(__xludf.DUMMYFUNCTION("""COMPUTED_VALUE"""),"Link")</f>
        <v>Link</v>
      </c>
      <c r="M100" s="144" t="str">
        <f>IFERROR(__xludf.DUMMYFUNCTION("""COMPUTED_VALUE"""),"Link")</f>
        <v>Link</v>
      </c>
      <c r="N100" s="144" t="str">
        <f>IFERROR(__xludf.DUMMYFUNCTION("""COMPUTED_VALUE"""),"Link")</f>
        <v>Link</v>
      </c>
      <c r="O100" s="174"/>
      <c r="P100" s="174"/>
      <c r="Q100" s="174"/>
      <c r="R100" s="174"/>
      <c r="S100" s="174"/>
    </row>
    <row r="101">
      <c r="A101" s="104" t="s">
        <v>5637</v>
      </c>
      <c r="B101" s="104" t="s">
        <v>6153</v>
      </c>
      <c r="C101" s="104" t="s">
        <v>6174</v>
      </c>
      <c r="D101" s="104" t="s">
        <v>196</v>
      </c>
      <c r="E101" s="104">
        <v>8.0</v>
      </c>
      <c r="F101" s="104">
        <v>11.0</v>
      </c>
      <c r="G101" s="168" t="s">
        <v>5638</v>
      </c>
      <c r="H101" s="168" t="s">
        <v>6178</v>
      </c>
      <c r="I101" s="144" t="str">
        <f>IFERROR(__xludf.DUMMYFUNCTION("LET(changes,FILTER('Pool Changes'!$B:$D, 'Pool Changes'!$B:$B = $D101),added,FILTER(INDEX(changes,0,3),INDEX(changes,0,2)=""add pack""),IFERROR(TRANSPOSE(ARRAYFORMULA(IF(added&lt;&gt;"""",HYPERLINK(""https://sealeddeck.tech/""&amp;added,""Link""),""""))),""""))"),"Link")</f>
        <v>Link</v>
      </c>
      <c r="J101" s="144" t="str">
        <f>IFERROR(__xludf.DUMMYFUNCTION("""COMPUTED_VALUE"""),"Link")</f>
        <v>Link</v>
      </c>
      <c r="K101" s="144" t="str">
        <f>IFERROR(__xludf.DUMMYFUNCTION("""COMPUTED_VALUE"""),"Link")</f>
        <v>Link</v>
      </c>
      <c r="L101" s="144" t="str">
        <f>IFERROR(__xludf.DUMMYFUNCTION("""COMPUTED_VALUE"""),"Link")</f>
        <v>Link</v>
      </c>
      <c r="M101" s="144" t="str">
        <f>IFERROR(__xludf.DUMMYFUNCTION("""COMPUTED_VALUE"""),"Link")</f>
        <v>Link</v>
      </c>
      <c r="N101" s="144" t="str">
        <f>IFERROR(__xludf.DUMMYFUNCTION("""COMPUTED_VALUE"""),"Link")</f>
        <v>Link</v>
      </c>
      <c r="O101" s="144" t="str">
        <f>IFERROR(__xludf.DUMMYFUNCTION("""COMPUTED_VALUE"""),"Link")</f>
        <v>Link</v>
      </c>
      <c r="P101" s="144" t="str">
        <f>IFERROR(__xludf.DUMMYFUNCTION("""COMPUTED_VALUE"""),"Link")</f>
        <v>Link</v>
      </c>
      <c r="Q101" s="144" t="str">
        <f>IFERROR(__xludf.DUMMYFUNCTION("""COMPUTED_VALUE"""),"Link")</f>
        <v>Link</v>
      </c>
      <c r="R101" s="144" t="str">
        <f>IFERROR(__xludf.DUMMYFUNCTION("""COMPUTED_VALUE"""),"Link")</f>
        <v>Link</v>
      </c>
      <c r="S101" s="144" t="str">
        <f>IFERROR(__xludf.DUMMYFUNCTION("""COMPUTED_VALUE"""),"Link")</f>
        <v>Link</v>
      </c>
    </row>
    <row r="102">
      <c r="A102" s="104" t="s">
        <v>5639</v>
      </c>
      <c r="B102" s="104" t="s">
        <v>6122</v>
      </c>
      <c r="C102" s="104" t="s">
        <v>6186</v>
      </c>
      <c r="D102" s="104" t="s">
        <v>288</v>
      </c>
      <c r="E102" s="104">
        <v>11.0</v>
      </c>
      <c r="F102" s="104">
        <v>11.0</v>
      </c>
      <c r="G102" s="168" t="s">
        <v>5640</v>
      </c>
      <c r="H102" s="168" t="s">
        <v>6188</v>
      </c>
      <c r="I102" s="144" t="str">
        <f>IFERROR(__xludf.DUMMYFUNCTION("LET(changes,FILTER('Pool Changes'!$B:$D, 'Pool Changes'!$B:$B = $D102),added,FILTER(INDEX(changes,0,3),INDEX(changes,0,2)=""add pack""),IFERROR(TRANSPOSE(ARRAYFORMULA(IF(added&lt;&gt;"""",HYPERLINK(""https://sealeddeck.tech/""&amp;added,""Link""),""""))),""""))"),"Link")</f>
        <v>Link</v>
      </c>
      <c r="J102" s="144" t="str">
        <f>IFERROR(__xludf.DUMMYFUNCTION("""COMPUTED_VALUE"""),"Link")</f>
        <v>Link</v>
      </c>
      <c r="K102" s="144" t="str">
        <f>IFERROR(__xludf.DUMMYFUNCTION("""COMPUTED_VALUE"""),"Link")</f>
        <v>Link</v>
      </c>
      <c r="L102" s="144" t="str">
        <f>IFERROR(__xludf.DUMMYFUNCTION("""COMPUTED_VALUE"""),"Link")</f>
        <v>Link</v>
      </c>
      <c r="M102" s="144" t="str">
        <f>IFERROR(__xludf.DUMMYFUNCTION("""COMPUTED_VALUE"""),"Link")</f>
        <v>Link</v>
      </c>
      <c r="N102" s="144" t="str">
        <f>IFERROR(__xludf.DUMMYFUNCTION("""COMPUTED_VALUE"""),"Link")</f>
        <v>Link</v>
      </c>
      <c r="O102" s="144" t="str">
        <f>IFERROR(__xludf.DUMMYFUNCTION("""COMPUTED_VALUE"""),"Link")</f>
        <v>Link</v>
      </c>
      <c r="P102" s="144" t="str">
        <f>IFERROR(__xludf.DUMMYFUNCTION("""COMPUTED_VALUE"""),"Link")</f>
        <v>Link</v>
      </c>
      <c r="Q102" s="144" t="str">
        <f>IFERROR(__xludf.DUMMYFUNCTION("""COMPUTED_VALUE"""),"Link")</f>
        <v>Link</v>
      </c>
      <c r="R102" s="144"/>
      <c r="S102" s="144"/>
    </row>
    <row r="103">
      <c r="A103" s="104" t="s">
        <v>5641</v>
      </c>
      <c r="B103" s="104" t="s">
        <v>6097</v>
      </c>
      <c r="C103" s="104" t="s">
        <v>6190</v>
      </c>
      <c r="D103" s="104" t="s">
        <v>260</v>
      </c>
      <c r="E103" s="104">
        <v>13.0</v>
      </c>
      <c r="F103" s="104">
        <v>7.0</v>
      </c>
      <c r="G103" s="168" t="s">
        <v>5642</v>
      </c>
      <c r="H103" s="168" t="s">
        <v>6191</v>
      </c>
      <c r="I103" s="144" t="str">
        <f>IFERROR(__xludf.DUMMYFUNCTION("LET(changes,FILTER('Pool Changes'!$B:$D, 'Pool Changes'!$B:$B = $D103),added,FILTER(INDEX(changes,0,3),INDEX(changes,0,2)=""add pack""),IFERROR(TRANSPOSE(ARRAYFORMULA(IF(added&lt;&gt;"""",HYPERLINK(""https://sealeddeck.tech/""&amp;added,""Link""),""""))),""""))"),"Link")</f>
        <v>Link</v>
      </c>
      <c r="J103" s="144" t="str">
        <f>IFERROR(__xludf.DUMMYFUNCTION("""COMPUTED_VALUE"""),"Link")</f>
        <v>Link</v>
      </c>
      <c r="K103" s="144" t="str">
        <f>IFERROR(__xludf.DUMMYFUNCTION("""COMPUTED_VALUE"""),"Link")</f>
        <v>Link</v>
      </c>
      <c r="L103" s="144" t="str">
        <f>IFERROR(__xludf.DUMMYFUNCTION("""COMPUTED_VALUE"""),"Link")</f>
        <v>Link</v>
      </c>
      <c r="M103" s="144" t="str">
        <f>IFERROR(__xludf.DUMMYFUNCTION("""COMPUTED_VALUE"""),"Link")</f>
        <v>Link</v>
      </c>
      <c r="N103" s="144" t="str">
        <f>IFERROR(__xludf.DUMMYFUNCTION("""COMPUTED_VALUE"""),"Link")</f>
        <v>Link</v>
      </c>
      <c r="O103" s="144" t="str">
        <f>IFERROR(__xludf.DUMMYFUNCTION("""COMPUTED_VALUE"""),"Link")</f>
        <v>Link</v>
      </c>
      <c r="P103" s="144" t="str">
        <f>IFERROR(__xludf.DUMMYFUNCTION("""COMPUTED_VALUE"""),"Link")</f>
        <v>Link</v>
      </c>
      <c r="Q103" s="174"/>
      <c r="R103" s="174"/>
      <c r="S103" s="174"/>
    </row>
    <row r="104">
      <c r="A104" s="104" t="s">
        <v>5643</v>
      </c>
      <c r="B104" s="104" t="s">
        <v>6158</v>
      </c>
      <c r="C104" s="104" t="s">
        <v>6192</v>
      </c>
      <c r="D104" s="104" t="s">
        <v>184</v>
      </c>
      <c r="E104" s="104">
        <v>7.0</v>
      </c>
      <c r="F104" s="104">
        <v>11.0</v>
      </c>
      <c r="G104" s="168" t="s">
        <v>5644</v>
      </c>
      <c r="H104" s="168" t="s">
        <v>6193</v>
      </c>
      <c r="I104" s="144" t="str">
        <f>IFERROR(__xludf.DUMMYFUNCTION("LET(changes,FILTER('Pool Changes'!$B:$D, 'Pool Changes'!$B:$B = $D104),added,FILTER(INDEX(changes,0,3),INDEX(changes,0,2)=""add pack""),IFERROR(TRANSPOSE(ARRAYFORMULA(IF(added&lt;&gt;"""",HYPERLINK(""https://sealeddeck.tech/""&amp;added,""Link""),""""))),""""))"),"Link")</f>
        <v>Link</v>
      </c>
      <c r="J104" s="144" t="str">
        <f>IFERROR(__xludf.DUMMYFUNCTION("""COMPUTED_VALUE"""),"Link")</f>
        <v>Link</v>
      </c>
      <c r="K104" s="144" t="str">
        <f>IFERROR(__xludf.DUMMYFUNCTION("""COMPUTED_VALUE"""),"Link")</f>
        <v>Link</v>
      </c>
      <c r="L104" s="144" t="str">
        <f>IFERROR(__xludf.DUMMYFUNCTION("""COMPUTED_VALUE"""),"Link")</f>
        <v>Link</v>
      </c>
      <c r="M104" s="144" t="str">
        <f>IFERROR(__xludf.DUMMYFUNCTION("""COMPUTED_VALUE"""),"Link")</f>
        <v>Link</v>
      </c>
      <c r="N104" s="144" t="str">
        <f>IFERROR(__xludf.DUMMYFUNCTION("""COMPUTED_VALUE"""),"Link")</f>
        <v>Link</v>
      </c>
      <c r="O104" s="144" t="str">
        <f>IFERROR(__xludf.DUMMYFUNCTION("""COMPUTED_VALUE"""),"Link")</f>
        <v>Link</v>
      </c>
      <c r="P104" s="144" t="str">
        <f>IFERROR(__xludf.DUMMYFUNCTION("""COMPUTED_VALUE"""),"Link")</f>
        <v>Link</v>
      </c>
      <c r="Q104" s="144" t="str">
        <f>IFERROR(__xludf.DUMMYFUNCTION("""COMPUTED_VALUE"""),"Link")</f>
        <v>Link</v>
      </c>
      <c r="R104" s="144" t="str">
        <f>IFERROR(__xludf.DUMMYFUNCTION("""COMPUTED_VALUE"""),"Link")</f>
        <v>Link</v>
      </c>
      <c r="S104" s="144" t="str">
        <f>IFERROR(__xludf.DUMMYFUNCTION("""COMPUTED_VALUE"""),"Link")</f>
        <v>Link</v>
      </c>
    </row>
    <row r="105">
      <c r="A105" s="104" t="s">
        <v>5645</v>
      </c>
      <c r="B105" s="104" t="s">
        <v>6159</v>
      </c>
      <c r="C105" s="104" t="s">
        <v>6194</v>
      </c>
      <c r="D105" s="104" t="s">
        <v>190</v>
      </c>
      <c r="E105" s="104">
        <v>7.0</v>
      </c>
      <c r="F105" s="104">
        <v>11.0</v>
      </c>
      <c r="G105" s="168" t="s">
        <v>5646</v>
      </c>
      <c r="H105" s="168" t="s">
        <v>6195</v>
      </c>
      <c r="I105" s="144" t="str">
        <f>IFERROR(__xludf.DUMMYFUNCTION("LET(changes,FILTER('Pool Changes'!$B:$D, 'Pool Changes'!$B:$B = $D105),added,FILTER(INDEX(changes,0,3),INDEX(changes,0,2)=""add pack""),IFERROR(TRANSPOSE(ARRAYFORMULA(IF(added&lt;&gt;"""",HYPERLINK(""https://sealeddeck.tech/""&amp;added,""Link""),""""))),""""))"),"Link")</f>
        <v>Link</v>
      </c>
      <c r="J105" s="144" t="str">
        <f>IFERROR(__xludf.DUMMYFUNCTION("""COMPUTED_VALUE"""),"Link")</f>
        <v>Link</v>
      </c>
      <c r="K105" s="144" t="str">
        <f>IFERROR(__xludf.DUMMYFUNCTION("""COMPUTED_VALUE"""),"Link")</f>
        <v>Link</v>
      </c>
      <c r="L105" s="144" t="str">
        <f>IFERROR(__xludf.DUMMYFUNCTION("""COMPUTED_VALUE"""),"Link")</f>
        <v>Link</v>
      </c>
      <c r="M105" s="144" t="str">
        <f>IFERROR(__xludf.DUMMYFUNCTION("""COMPUTED_VALUE"""),"Link")</f>
        <v>Link</v>
      </c>
      <c r="N105" s="144" t="str">
        <f>IFERROR(__xludf.DUMMYFUNCTION("""COMPUTED_VALUE"""),"Link")</f>
        <v>Link</v>
      </c>
      <c r="O105" s="144" t="str">
        <f>IFERROR(__xludf.DUMMYFUNCTION("""COMPUTED_VALUE"""),"Link")</f>
        <v>Link</v>
      </c>
      <c r="P105" s="144" t="str">
        <f>IFERROR(__xludf.DUMMYFUNCTION("""COMPUTED_VALUE"""),"Link")</f>
        <v>Link</v>
      </c>
      <c r="Q105" s="144" t="str">
        <f>IFERROR(__xludf.DUMMYFUNCTION("""COMPUTED_VALUE"""),"Link")</f>
        <v>Link</v>
      </c>
      <c r="R105" s="144" t="str">
        <f>IFERROR(__xludf.DUMMYFUNCTION("""COMPUTED_VALUE"""),"Link")</f>
        <v>Link</v>
      </c>
      <c r="S105" s="144" t="str">
        <f>IFERROR(__xludf.DUMMYFUNCTION("""COMPUTED_VALUE"""),"Link")</f>
        <v>Link</v>
      </c>
    </row>
    <row r="106">
      <c r="A106" s="104" t="s">
        <v>5647</v>
      </c>
      <c r="B106" s="104" t="s">
        <v>6179</v>
      </c>
      <c r="C106" s="104" t="s">
        <v>6196</v>
      </c>
      <c r="D106" s="104" t="s">
        <v>115</v>
      </c>
      <c r="E106" s="104">
        <v>2.0</v>
      </c>
      <c r="F106" s="104">
        <v>11.0</v>
      </c>
      <c r="G106" s="168" t="s">
        <v>5648</v>
      </c>
      <c r="H106" s="168" t="s">
        <v>6197</v>
      </c>
      <c r="I106" s="144" t="str">
        <f>IFERROR(__xludf.DUMMYFUNCTION("LET(changes,FILTER('Pool Changes'!$B:$D, 'Pool Changes'!$B:$B = $D106),added,FILTER(INDEX(changes,0,3),INDEX(changes,0,2)=""add pack""),IFERROR(TRANSPOSE(ARRAYFORMULA(IF(added&lt;&gt;"""",HYPERLINK(""https://sealeddeck.tech/""&amp;added,""Link""),""""))),""""))"),"Link")</f>
        <v>Link</v>
      </c>
      <c r="J106" s="144" t="str">
        <f>IFERROR(__xludf.DUMMYFUNCTION("""COMPUTED_VALUE"""),"Link")</f>
        <v>Link</v>
      </c>
      <c r="K106" s="144" t="str">
        <f>IFERROR(__xludf.DUMMYFUNCTION("""COMPUTED_VALUE"""),"Link")</f>
        <v>Link</v>
      </c>
      <c r="L106" s="144" t="str">
        <f>IFERROR(__xludf.DUMMYFUNCTION("""COMPUTED_VALUE"""),"Link")</f>
        <v>Link</v>
      </c>
      <c r="M106" s="144" t="str">
        <f>IFERROR(__xludf.DUMMYFUNCTION("""COMPUTED_VALUE"""),"Link")</f>
        <v>Link</v>
      </c>
      <c r="N106" s="144" t="str">
        <f>IFERROR(__xludf.DUMMYFUNCTION("""COMPUTED_VALUE"""),"Link")</f>
        <v>Link</v>
      </c>
      <c r="O106" s="144" t="str">
        <f>IFERROR(__xludf.DUMMYFUNCTION("""COMPUTED_VALUE"""),"Link")</f>
        <v>Link</v>
      </c>
      <c r="P106" s="144" t="str">
        <f>IFERROR(__xludf.DUMMYFUNCTION("""COMPUTED_VALUE"""),"Link")</f>
        <v>Link</v>
      </c>
      <c r="Q106" s="144" t="str">
        <f>IFERROR(__xludf.DUMMYFUNCTION("""COMPUTED_VALUE"""),"Link")</f>
        <v>Link</v>
      </c>
      <c r="R106" s="144" t="str">
        <f>IFERROR(__xludf.DUMMYFUNCTION("""COMPUTED_VALUE"""),"Link")</f>
        <v>Link</v>
      </c>
      <c r="S106" s="144" t="str">
        <f>IFERROR(__xludf.DUMMYFUNCTION("""COMPUTED_VALUE"""),"Link")</f>
        <v>Link</v>
      </c>
    </row>
    <row r="107">
      <c r="A107" s="104" t="s">
        <v>5649</v>
      </c>
      <c r="B107" s="104" t="s">
        <v>6168</v>
      </c>
      <c r="C107" s="104" t="s">
        <v>6198</v>
      </c>
      <c r="D107" s="104" t="s">
        <v>204</v>
      </c>
      <c r="E107" s="104">
        <v>4.0</v>
      </c>
      <c r="F107" s="104">
        <v>11.0</v>
      </c>
      <c r="G107" s="168" t="s">
        <v>5650</v>
      </c>
      <c r="H107" s="168" t="s">
        <v>6200</v>
      </c>
      <c r="I107" s="144" t="str">
        <f>IFERROR(__xludf.DUMMYFUNCTION("LET(changes,FILTER('Pool Changes'!$B:$D, 'Pool Changes'!$B:$B = $D107),added,FILTER(INDEX(changes,0,3),INDEX(changes,0,2)=""add pack""),IFERROR(TRANSPOSE(ARRAYFORMULA(IF(added&lt;&gt;"""",HYPERLINK(""https://sealeddeck.tech/""&amp;added,""Link""),""""))),""""))"),"Link")</f>
        <v>Link</v>
      </c>
      <c r="J107" s="144" t="str">
        <f>IFERROR(__xludf.DUMMYFUNCTION("""COMPUTED_VALUE"""),"Link")</f>
        <v>Link</v>
      </c>
      <c r="K107" s="144" t="str">
        <f>IFERROR(__xludf.DUMMYFUNCTION("""COMPUTED_VALUE"""),"Link")</f>
        <v>Link</v>
      </c>
      <c r="L107" s="144" t="str">
        <f>IFERROR(__xludf.DUMMYFUNCTION("""COMPUTED_VALUE"""),"Link")</f>
        <v>Link</v>
      </c>
      <c r="M107" s="144" t="str">
        <f>IFERROR(__xludf.DUMMYFUNCTION("""COMPUTED_VALUE"""),"Link")</f>
        <v>Link</v>
      </c>
      <c r="N107" s="144" t="str">
        <f>IFERROR(__xludf.DUMMYFUNCTION("""COMPUTED_VALUE"""),"Link")</f>
        <v>Link</v>
      </c>
      <c r="O107" s="144" t="str">
        <f>IFERROR(__xludf.DUMMYFUNCTION("""COMPUTED_VALUE"""),"Link")</f>
        <v>Link</v>
      </c>
      <c r="P107" s="144" t="str">
        <f>IFERROR(__xludf.DUMMYFUNCTION("""COMPUTED_VALUE"""),"Link")</f>
        <v>Link</v>
      </c>
      <c r="Q107" s="144" t="str">
        <f>IFERROR(__xludf.DUMMYFUNCTION("""COMPUTED_VALUE"""),"Link")</f>
        <v>Link</v>
      </c>
      <c r="R107" s="144" t="str">
        <f>IFERROR(__xludf.DUMMYFUNCTION("""COMPUTED_VALUE"""),"Link")</f>
        <v>Link</v>
      </c>
      <c r="S107" s="144" t="str">
        <f>IFERROR(__xludf.DUMMYFUNCTION("""COMPUTED_VALUE"""),"Link")</f>
        <v>Link</v>
      </c>
    </row>
    <row r="108">
      <c r="A108" s="104" t="s">
        <v>5651</v>
      </c>
      <c r="B108" s="104" t="s">
        <v>6169</v>
      </c>
      <c r="C108" s="104" t="s">
        <v>6202</v>
      </c>
      <c r="D108" s="104" t="s">
        <v>198</v>
      </c>
      <c r="E108" s="104">
        <v>4.0</v>
      </c>
      <c r="F108" s="104">
        <v>11.0</v>
      </c>
      <c r="G108" s="168" t="s">
        <v>5652</v>
      </c>
      <c r="H108" s="168" t="s">
        <v>6203</v>
      </c>
      <c r="I108" s="144" t="str">
        <f>IFERROR(__xludf.DUMMYFUNCTION("LET(changes,FILTER('Pool Changes'!$B:$D, 'Pool Changes'!$B:$B = $D108),added,FILTER(INDEX(changes,0,3),INDEX(changes,0,2)=""add pack""),IFERROR(TRANSPOSE(ARRAYFORMULA(IF(added&lt;&gt;"""",HYPERLINK(""https://sealeddeck.tech/""&amp;added,""Link""),""""))),""""))"),"Link")</f>
        <v>Link</v>
      </c>
      <c r="J108" s="144" t="str">
        <f>IFERROR(__xludf.DUMMYFUNCTION("""COMPUTED_VALUE"""),"Link")</f>
        <v>Link</v>
      </c>
      <c r="K108" s="144" t="str">
        <f>IFERROR(__xludf.DUMMYFUNCTION("""COMPUTED_VALUE"""),"Link")</f>
        <v>Link</v>
      </c>
      <c r="L108" s="144" t="str">
        <f>IFERROR(__xludf.DUMMYFUNCTION("""COMPUTED_VALUE"""),"Link")</f>
        <v>Link</v>
      </c>
      <c r="M108" s="144" t="str">
        <f>IFERROR(__xludf.DUMMYFUNCTION("""COMPUTED_VALUE"""),"Link")</f>
        <v>Link</v>
      </c>
      <c r="N108" s="144" t="str">
        <f>IFERROR(__xludf.DUMMYFUNCTION("""COMPUTED_VALUE"""),"Link")</f>
        <v>Link</v>
      </c>
      <c r="O108" s="144" t="str">
        <f>IFERROR(__xludf.DUMMYFUNCTION("""COMPUTED_VALUE"""),"Link")</f>
        <v>Link</v>
      </c>
      <c r="P108" s="144" t="str">
        <f>IFERROR(__xludf.DUMMYFUNCTION("""COMPUTED_VALUE"""),"Link")</f>
        <v>Link</v>
      </c>
      <c r="Q108" s="144" t="str">
        <f>IFERROR(__xludf.DUMMYFUNCTION("""COMPUTED_VALUE"""),"Link")</f>
        <v>Link</v>
      </c>
      <c r="R108" s="144" t="str">
        <f>IFERROR(__xludf.DUMMYFUNCTION("""COMPUTED_VALUE"""),"Link")</f>
        <v>Link</v>
      </c>
      <c r="S108" s="144" t="str">
        <f>IFERROR(__xludf.DUMMYFUNCTION("""COMPUTED_VALUE"""),"Link")</f>
        <v>Link</v>
      </c>
    </row>
    <row r="109">
      <c r="A109" s="104" t="s">
        <v>5653</v>
      </c>
      <c r="B109" s="104" t="s">
        <v>6110</v>
      </c>
      <c r="C109" s="104" t="s">
        <v>6205</v>
      </c>
      <c r="D109" s="104" t="s">
        <v>320</v>
      </c>
      <c r="E109" s="104">
        <v>11.0</v>
      </c>
      <c r="F109" s="104">
        <v>9.0</v>
      </c>
      <c r="G109" s="168" t="s">
        <v>5654</v>
      </c>
      <c r="H109" s="168" t="s">
        <v>6206</v>
      </c>
      <c r="I109" s="144" t="str">
        <f>IFERROR(__xludf.DUMMYFUNCTION("LET(changes,FILTER('Pool Changes'!$B:$D, 'Pool Changes'!$B:$B = $D109),added,FILTER(INDEX(changes,0,3),INDEX(changes,0,2)=""add pack""),IFERROR(TRANSPOSE(ARRAYFORMULA(IF(added&lt;&gt;"""",HYPERLINK(""https://sealeddeck.tech/""&amp;added,""Link""),""""))),""""))"),"Link")</f>
        <v>Link</v>
      </c>
      <c r="J109" s="144" t="str">
        <f>IFERROR(__xludf.DUMMYFUNCTION("""COMPUTED_VALUE"""),"Link")</f>
        <v>Link</v>
      </c>
      <c r="K109" s="144" t="str">
        <f>IFERROR(__xludf.DUMMYFUNCTION("""COMPUTED_VALUE"""),"Link")</f>
        <v>Link</v>
      </c>
      <c r="L109" s="144" t="str">
        <f>IFERROR(__xludf.DUMMYFUNCTION("""COMPUTED_VALUE"""),"Link")</f>
        <v>Link</v>
      </c>
      <c r="M109" s="144" t="str">
        <f>IFERROR(__xludf.DUMMYFUNCTION("""COMPUTED_VALUE"""),"Link")</f>
        <v>Link</v>
      </c>
      <c r="N109" s="144" t="str">
        <f>IFERROR(__xludf.DUMMYFUNCTION("""COMPUTED_VALUE"""),"Link")</f>
        <v>Link</v>
      </c>
      <c r="O109" s="144" t="str">
        <f>IFERROR(__xludf.DUMMYFUNCTION("""COMPUTED_VALUE"""),"Link")</f>
        <v>Link</v>
      </c>
      <c r="P109" s="144" t="str">
        <f>IFERROR(__xludf.DUMMYFUNCTION("""COMPUTED_VALUE"""),"Link")</f>
        <v>Link</v>
      </c>
      <c r="Q109" s="144" t="str">
        <f>IFERROR(__xludf.DUMMYFUNCTION("""COMPUTED_VALUE"""),"Link")</f>
        <v>Link</v>
      </c>
      <c r="R109" s="144"/>
      <c r="S109" s="174"/>
    </row>
    <row r="110">
      <c r="A110" s="104" t="s">
        <v>5656</v>
      </c>
      <c r="B110" s="104" t="s">
        <v>6112</v>
      </c>
      <c r="C110" s="104" t="s">
        <v>6207</v>
      </c>
      <c r="D110" s="104" t="s">
        <v>171</v>
      </c>
      <c r="E110" s="104">
        <v>14.0</v>
      </c>
      <c r="F110" s="104">
        <v>11.0</v>
      </c>
      <c r="G110" s="168" t="s">
        <v>5657</v>
      </c>
      <c r="H110" s="168" t="s">
        <v>6208</v>
      </c>
      <c r="I110" s="144" t="str">
        <f>IFERROR(__xludf.DUMMYFUNCTION("LET(changes,FILTER('Pool Changes'!$B:$D, 'Pool Changes'!$B:$B = $D110),added,FILTER(INDEX(changes,0,3),INDEX(changes,0,2)=""add pack""),IFERROR(TRANSPOSE(ARRAYFORMULA(IF(added&lt;&gt;"""",HYPERLINK(""https://sealeddeck.tech/""&amp;added,""Link""),""""))),""""))"),"Link")</f>
        <v>Link</v>
      </c>
      <c r="J110" s="144" t="str">
        <f>IFERROR(__xludf.DUMMYFUNCTION("""COMPUTED_VALUE"""),"Link")</f>
        <v>Link</v>
      </c>
      <c r="K110" s="144" t="str">
        <f>IFERROR(__xludf.DUMMYFUNCTION("""COMPUTED_VALUE"""),"Link")</f>
        <v>Link</v>
      </c>
      <c r="L110" s="144" t="str">
        <f>IFERROR(__xludf.DUMMYFUNCTION("""COMPUTED_VALUE"""),"Link")</f>
        <v>Link</v>
      </c>
      <c r="M110" s="144" t="str">
        <f>IFERROR(__xludf.DUMMYFUNCTION("""COMPUTED_VALUE"""),"Link")</f>
        <v>Link</v>
      </c>
      <c r="N110" s="144" t="str">
        <f>IFERROR(__xludf.DUMMYFUNCTION("""COMPUTED_VALUE"""),"Link")</f>
        <v>Link</v>
      </c>
      <c r="O110" s="144" t="str">
        <f>IFERROR(__xludf.DUMMYFUNCTION("""COMPUTED_VALUE"""),"Link")</f>
        <v>Link</v>
      </c>
      <c r="P110" s="144" t="str">
        <f>IFERROR(__xludf.DUMMYFUNCTION("""COMPUTED_VALUE"""),"Link")</f>
        <v>Link</v>
      </c>
      <c r="Q110" s="144" t="str">
        <f>IFERROR(__xludf.DUMMYFUNCTION("""COMPUTED_VALUE"""),"Link")</f>
        <v>Link</v>
      </c>
      <c r="R110" s="144" t="str">
        <f>IFERROR(__xludf.DUMMYFUNCTION("""COMPUTED_VALUE"""),"Link")</f>
        <v>Link</v>
      </c>
      <c r="S110" s="144"/>
    </row>
    <row r="111">
      <c r="A111" s="104" t="s">
        <v>5477</v>
      </c>
      <c r="B111" s="104" t="s">
        <v>6089</v>
      </c>
      <c r="C111" s="104" t="s">
        <v>6209</v>
      </c>
      <c r="D111" s="104" t="s">
        <v>142</v>
      </c>
      <c r="E111" s="104">
        <v>14.0</v>
      </c>
      <c r="F111" s="104">
        <v>11.0</v>
      </c>
      <c r="G111" s="168" t="s">
        <v>5658</v>
      </c>
      <c r="H111" s="168" t="s">
        <v>6210</v>
      </c>
      <c r="I111" s="144" t="str">
        <f>IFERROR(__xludf.DUMMYFUNCTION("LET(changes,FILTER('Pool Changes'!$B:$D, 'Pool Changes'!$B:$B = $D111),added,FILTER(INDEX(changes,0,3),INDEX(changes,0,2)=""add pack""),IFERROR(TRANSPOSE(ARRAYFORMULA(IF(added&lt;&gt;"""",HYPERLINK(""https://sealeddeck.tech/""&amp;added,""Link""),""""))),""""))"),"Link")</f>
        <v>Link</v>
      </c>
      <c r="J111" s="144" t="str">
        <f>IFERROR(__xludf.DUMMYFUNCTION("""COMPUTED_VALUE"""),"Link")</f>
        <v>Link</v>
      </c>
      <c r="K111" s="144" t="str">
        <f>IFERROR(__xludf.DUMMYFUNCTION("""COMPUTED_VALUE"""),"Link")</f>
        <v>Link</v>
      </c>
      <c r="L111" s="144" t="str">
        <f>IFERROR(__xludf.DUMMYFUNCTION("""COMPUTED_VALUE"""),"Link")</f>
        <v>Link</v>
      </c>
      <c r="M111" s="144" t="str">
        <f>IFERROR(__xludf.DUMMYFUNCTION("""COMPUTED_VALUE"""),"Link")</f>
        <v>Link</v>
      </c>
      <c r="N111" s="144" t="str">
        <f>IFERROR(__xludf.DUMMYFUNCTION("""COMPUTED_VALUE"""),"Link")</f>
        <v>Link</v>
      </c>
      <c r="O111" s="144" t="str">
        <f>IFERROR(__xludf.DUMMYFUNCTION("""COMPUTED_VALUE"""),"Link")</f>
        <v>Link</v>
      </c>
      <c r="P111" s="144"/>
      <c r="Q111" s="144"/>
      <c r="R111" s="144"/>
      <c r="S111" s="144"/>
    </row>
    <row r="112">
      <c r="A112" s="104" t="s">
        <v>5431</v>
      </c>
      <c r="B112" s="104" t="s">
        <v>6088</v>
      </c>
      <c r="C112" s="104" t="s">
        <v>6212</v>
      </c>
      <c r="D112" s="104" t="s">
        <v>137</v>
      </c>
      <c r="E112" s="104">
        <v>19.0</v>
      </c>
      <c r="F112" s="104">
        <v>5.0</v>
      </c>
      <c r="G112" s="168" t="s">
        <v>5659</v>
      </c>
      <c r="H112" s="168" t="s">
        <v>6213</v>
      </c>
      <c r="I112" s="144" t="str">
        <f>IFERROR(__xludf.DUMMYFUNCTION("LET(changes,FILTER('Pool Changes'!$B:$D, 'Pool Changes'!$B:$B = $D112),added,FILTER(INDEX(changes,0,3),INDEX(changes,0,2)=""add pack""),IFERROR(TRANSPOSE(ARRAYFORMULA(IF(added&lt;&gt;"""",HYPERLINK(""https://sealeddeck.tech/""&amp;added,""Link""),""""))),""""))"),"Link")</f>
        <v>Link</v>
      </c>
      <c r="J112" s="144" t="str">
        <f>IFERROR(__xludf.DUMMYFUNCTION("""COMPUTED_VALUE"""),"Link")</f>
        <v>Link</v>
      </c>
      <c r="K112" s="144" t="str">
        <f>IFERROR(__xludf.DUMMYFUNCTION("""COMPUTED_VALUE"""),"Link")</f>
        <v>Link</v>
      </c>
      <c r="L112" s="144" t="str">
        <f>IFERROR(__xludf.DUMMYFUNCTION("""COMPUTED_VALUE"""),"Link")</f>
        <v>Link</v>
      </c>
      <c r="M112" s="144" t="str">
        <f>IFERROR(__xludf.DUMMYFUNCTION("""COMPUTED_VALUE"""),"Link")</f>
        <v>Link</v>
      </c>
      <c r="N112" s="144" t="str">
        <f>IFERROR(__xludf.DUMMYFUNCTION("""COMPUTED_VALUE"""),"Link")</f>
        <v>Link</v>
      </c>
      <c r="O112" s="174"/>
      <c r="P112" s="174"/>
      <c r="Q112" s="174"/>
      <c r="R112" s="174"/>
      <c r="S112" s="174"/>
    </row>
    <row r="113">
      <c r="A113" s="104" t="s">
        <v>5660</v>
      </c>
      <c r="B113" s="104" t="s">
        <v>6155</v>
      </c>
      <c r="C113" s="104" t="s">
        <v>6214</v>
      </c>
      <c r="D113" s="104" t="s">
        <v>186</v>
      </c>
      <c r="E113" s="104">
        <v>7.0</v>
      </c>
      <c r="F113" s="104">
        <v>11.0</v>
      </c>
      <c r="G113" s="168" t="s">
        <v>5661</v>
      </c>
      <c r="H113" s="168" t="s">
        <v>6215</v>
      </c>
      <c r="I113" s="144" t="str">
        <f>IFERROR(__xludf.DUMMYFUNCTION("LET(changes,FILTER('Pool Changes'!$B:$D, 'Pool Changes'!$B:$B = $D113),added,FILTER(INDEX(changes,0,3),INDEX(changes,0,2)=""add pack""),IFERROR(TRANSPOSE(ARRAYFORMULA(IF(added&lt;&gt;"""",HYPERLINK(""https://sealeddeck.tech/""&amp;added,""Link""),""""))),""""))"),"Link")</f>
        <v>Link</v>
      </c>
      <c r="J113" s="144" t="str">
        <f>IFERROR(__xludf.DUMMYFUNCTION("""COMPUTED_VALUE"""),"Link")</f>
        <v>Link</v>
      </c>
      <c r="K113" s="144" t="str">
        <f>IFERROR(__xludf.DUMMYFUNCTION("""COMPUTED_VALUE"""),"Link")</f>
        <v>Link</v>
      </c>
      <c r="L113" s="144" t="str">
        <f>IFERROR(__xludf.DUMMYFUNCTION("""COMPUTED_VALUE"""),"Link")</f>
        <v>Link</v>
      </c>
      <c r="M113" s="144" t="str">
        <f>IFERROR(__xludf.DUMMYFUNCTION("""COMPUTED_VALUE"""),"Link")</f>
        <v>Link</v>
      </c>
      <c r="N113" s="144" t="str">
        <f>IFERROR(__xludf.DUMMYFUNCTION("""COMPUTED_VALUE"""),"Link")</f>
        <v>Link</v>
      </c>
      <c r="O113" s="144" t="str">
        <f>IFERROR(__xludf.DUMMYFUNCTION("""COMPUTED_VALUE"""),"Link")</f>
        <v>Link</v>
      </c>
      <c r="P113" s="144" t="str">
        <f>IFERROR(__xludf.DUMMYFUNCTION("""COMPUTED_VALUE"""),"Link")</f>
        <v>Link</v>
      </c>
      <c r="Q113" s="144" t="str">
        <f>IFERROR(__xludf.DUMMYFUNCTION("""COMPUTED_VALUE"""),"Link")</f>
        <v>Link</v>
      </c>
      <c r="R113" s="174"/>
      <c r="S113" s="174"/>
    </row>
    <row r="114">
      <c r="A114" s="104" t="s">
        <v>5662</v>
      </c>
      <c r="B114" s="104" t="s">
        <v>6173</v>
      </c>
      <c r="C114" s="104" t="s">
        <v>6216</v>
      </c>
      <c r="D114" s="104" t="s">
        <v>248</v>
      </c>
      <c r="E114" s="104">
        <v>2.0</v>
      </c>
      <c r="F114" s="104">
        <v>11.0</v>
      </c>
      <c r="G114" s="168" t="s">
        <v>5663</v>
      </c>
      <c r="H114" s="168" t="s">
        <v>6217</v>
      </c>
      <c r="I114" s="144" t="str">
        <f>IFERROR(__xludf.DUMMYFUNCTION("LET(changes,FILTER('Pool Changes'!$B:$D, 'Pool Changes'!$B:$B = $D114),added,FILTER(INDEX(changes,0,3),INDEX(changes,0,2)=""add pack""),IFERROR(TRANSPOSE(ARRAYFORMULA(IF(added&lt;&gt;"""",HYPERLINK(""https://sealeddeck.tech/""&amp;added,""Link""),""""))),""""))"),"Link")</f>
        <v>Link</v>
      </c>
      <c r="J114" s="144" t="str">
        <f>IFERROR(__xludf.DUMMYFUNCTION("""COMPUTED_VALUE"""),"Link")</f>
        <v>Link</v>
      </c>
      <c r="K114" s="144" t="str">
        <f>IFERROR(__xludf.DUMMYFUNCTION("""COMPUTED_VALUE"""),"Link")</f>
        <v>Link</v>
      </c>
      <c r="L114" s="144" t="str">
        <f>IFERROR(__xludf.DUMMYFUNCTION("""COMPUTED_VALUE"""),"Link")</f>
        <v>Link</v>
      </c>
      <c r="M114" s="144" t="str">
        <f>IFERROR(__xludf.DUMMYFUNCTION("""COMPUTED_VALUE"""),"Link")</f>
        <v>Link</v>
      </c>
      <c r="N114" s="144" t="str">
        <f>IFERROR(__xludf.DUMMYFUNCTION("""COMPUTED_VALUE"""),"Link")</f>
        <v>Link</v>
      </c>
      <c r="O114" s="144" t="str">
        <f>IFERROR(__xludf.DUMMYFUNCTION("""COMPUTED_VALUE"""),"Link")</f>
        <v>Link</v>
      </c>
      <c r="P114" s="144" t="str">
        <f>IFERROR(__xludf.DUMMYFUNCTION("""COMPUTED_VALUE"""),"Link")</f>
        <v>Link</v>
      </c>
      <c r="Q114" s="144" t="str">
        <f>IFERROR(__xludf.DUMMYFUNCTION("""COMPUTED_VALUE"""),"Link")</f>
        <v>Link</v>
      </c>
      <c r="R114" s="144" t="str">
        <f>IFERROR(__xludf.DUMMYFUNCTION("""COMPUTED_VALUE"""),"Link")</f>
        <v>Link</v>
      </c>
      <c r="S114" s="144" t="str">
        <f>IFERROR(__xludf.DUMMYFUNCTION("""COMPUTED_VALUE"""),"Link")</f>
        <v>Link</v>
      </c>
    </row>
    <row r="115">
      <c r="A115" s="104" t="s">
        <v>5664</v>
      </c>
      <c r="B115" s="104" t="s">
        <v>6146</v>
      </c>
      <c r="C115" s="104" t="s">
        <v>6219</v>
      </c>
      <c r="D115" s="104" t="s">
        <v>232</v>
      </c>
      <c r="E115" s="104">
        <v>8.0</v>
      </c>
      <c r="F115" s="104">
        <v>10.0</v>
      </c>
      <c r="G115" s="168" t="s">
        <v>5665</v>
      </c>
      <c r="H115" s="168" t="s">
        <v>6220</v>
      </c>
      <c r="I115" s="144" t="str">
        <f>IFERROR(__xludf.DUMMYFUNCTION("LET(changes,FILTER('Pool Changes'!$B:$D, 'Pool Changes'!$B:$B = $D115),added,FILTER(INDEX(changes,0,3),INDEX(changes,0,2)=""add pack""),IFERROR(TRANSPOSE(ARRAYFORMULA(IF(added&lt;&gt;"""",HYPERLINK(""https://sealeddeck.tech/""&amp;added,""Link""),""""))),""""))"),"Link")</f>
        <v>Link</v>
      </c>
      <c r="J115" s="144" t="str">
        <f>IFERROR(__xludf.DUMMYFUNCTION("""COMPUTED_VALUE"""),"Link")</f>
        <v>Link</v>
      </c>
      <c r="K115" s="144" t="str">
        <f>IFERROR(__xludf.DUMMYFUNCTION("""COMPUTED_VALUE"""),"Link")</f>
        <v>Link</v>
      </c>
      <c r="L115" s="144" t="str">
        <f>IFERROR(__xludf.DUMMYFUNCTION("""COMPUTED_VALUE"""),"Link")</f>
        <v>Link</v>
      </c>
      <c r="M115" s="144" t="str">
        <f>IFERROR(__xludf.DUMMYFUNCTION("""COMPUTED_VALUE"""),"Link")</f>
        <v>Link</v>
      </c>
      <c r="N115" s="144" t="str">
        <f>IFERROR(__xludf.DUMMYFUNCTION("""COMPUTED_VALUE"""),"Link")</f>
        <v>Link</v>
      </c>
      <c r="O115" s="144" t="str">
        <f>IFERROR(__xludf.DUMMYFUNCTION("""COMPUTED_VALUE"""),"Link")</f>
        <v>Link</v>
      </c>
      <c r="P115" s="144" t="str">
        <f>IFERROR(__xludf.DUMMYFUNCTION("""COMPUTED_VALUE"""),"Link")</f>
        <v>Link</v>
      </c>
      <c r="Q115" s="144" t="str">
        <f>IFERROR(__xludf.DUMMYFUNCTION("""COMPUTED_VALUE"""),"Link")</f>
        <v>Link</v>
      </c>
      <c r="R115" s="174"/>
      <c r="S115" s="174"/>
    </row>
    <row r="116">
      <c r="A116" s="104" t="s">
        <v>5666</v>
      </c>
      <c r="B116" s="104" t="s">
        <v>6135</v>
      </c>
      <c r="C116" s="104" t="s">
        <v>6221</v>
      </c>
      <c r="D116" s="104" t="s">
        <v>162</v>
      </c>
      <c r="E116" s="104">
        <v>9.0</v>
      </c>
      <c r="F116" s="104">
        <v>10.0</v>
      </c>
      <c r="G116" s="168" t="s">
        <v>5667</v>
      </c>
      <c r="H116" s="168" t="s">
        <v>6222</v>
      </c>
      <c r="I116" s="144" t="str">
        <f>IFERROR(__xludf.DUMMYFUNCTION("LET(changes,FILTER('Pool Changes'!$B:$D, 'Pool Changes'!$B:$B = $D116),added,FILTER(INDEX(changes,0,3),INDEX(changes,0,2)=""add pack""),IFERROR(TRANSPOSE(ARRAYFORMULA(IF(added&lt;&gt;"""",HYPERLINK(""https://sealeddeck.tech/""&amp;added,""Link""),""""))),""""))"),"Link")</f>
        <v>Link</v>
      </c>
      <c r="J116" s="144" t="str">
        <f>IFERROR(__xludf.DUMMYFUNCTION("""COMPUTED_VALUE"""),"Link")</f>
        <v>Link</v>
      </c>
      <c r="K116" s="144" t="str">
        <f>IFERROR(__xludf.DUMMYFUNCTION("""COMPUTED_VALUE"""),"Link")</f>
        <v>Link</v>
      </c>
      <c r="L116" s="144" t="str">
        <f>IFERROR(__xludf.DUMMYFUNCTION("""COMPUTED_VALUE"""),"Link")</f>
        <v>Link</v>
      </c>
      <c r="M116" s="144" t="str">
        <f>IFERROR(__xludf.DUMMYFUNCTION("""COMPUTED_VALUE"""),"Link")</f>
        <v>Link</v>
      </c>
      <c r="N116" s="144" t="str">
        <f>IFERROR(__xludf.DUMMYFUNCTION("""COMPUTED_VALUE"""),"Link")</f>
        <v>Link</v>
      </c>
      <c r="O116" s="144" t="str">
        <f>IFERROR(__xludf.DUMMYFUNCTION("""COMPUTED_VALUE"""),"Link")</f>
        <v>Link</v>
      </c>
      <c r="P116" s="144" t="str">
        <f>IFERROR(__xludf.DUMMYFUNCTION("""COMPUTED_VALUE"""),"Link")</f>
        <v>Link</v>
      </c>
      <c r="Q116" s="144" t="str">
        <f>IFERROR(__xludf.DUMMYFUNCTION("""COMPUTED_VALUE"""),"Link")</f>
        <v>Link</v>
      </c>
      <c r="R116" s="144" t="str">
        <f>IFERROR(__xludf.DUMMYFUNCTION("""COMPUTED_VALUE"""),"Link")</f>
        <v>Link</v>
      </c>
      <c r="S116" s="144"/>
    </row>
    <row r="117">
      <c r="A117" s="104" t="s">
        <v>5668</v>
      </c>
      <c r="B117" s="104" t="s">
        <v>6160</v>
      </c>
      <c r="C117" s="104" t="s">
        <v>6224</v>
      </c>
      <c r="D117" s="104" t="s">
        <v>129</v>
      </c>
      <c r="E117" s="104">
        <v>7.0</v>
      </c>
      <c r="F117" s="104">
        <v>11.0</v>
      </c>
      <c r="G117" s="168" t="s">
        <v>5669</v>
      </c>
      <c r="H117" s="168" t="s">
        <v>6225</v>
      </c>
      <c r="I117" s="144" t="str">
        <f>IFERROR(__xludf.DUMMYFUNCTION("LET(changes,FILTER('Pool Changes'!$B:$D, 'Pool Changes'!$B:$B = $D117),added,FILTER(INDEX(changes,0,3),INDEX(changes,0,2)=""add pack""),IFERROR(TRANSPOSE(ARRAYFORMULA(IF(added&lt;&gt;"""",HYPERLINK(""https://sealeddeck.tech/""&amp;added,""Link""),""""))),""""))"),"Link")</f>
        <v>Link</v>
      </c>
      <c r="J117" s="144" t="str">
        <f>IFERROR(__xludf.DUMMYFUNCTION("""COMPUTED_VALUE"""),"Link")</f>
        <v>Link</v>
      </c>
      <c r="K117" s="144" t="str">
        <f>IFERROR(__xludf.DUMMYFUNCTION("""COMPUTED_VALUE"""),"Link")</f>
        <v>Link</v>
      </c>
      <c r="L117" s="144" t="str">
        <f>IFERROR(__xludf.DUMMYFUNCTION("""COMPUTED_VALUE"""),"Link")</f>
        <v>Link</v>
      </c>
      <c r="M117" s="144" t="str">
        <f>IFERROR(__xludf.DUMMYFUNCTION("""COMPUTED_VALUE"""),"Link")</f>
        <v>Link</v>
      </c>
      <c r="N117" s="144" t="str">
        <f>IFERROR(__xludf.DUMMYFUNCTION("""COMPUTED_VALUE"""),"Link")</f>
        <v>Link</v>
      </c>
      <c r="O117" s="144" t="str">
        <f>IFERROR(__xludf.DUMMYFUNCTION("""COMPUTED_VALUE"""),"Link")</f>
        <v>Link</v>
      </c>
      <c r="P117" s="144" t="str">
        <f>IFERROR(__xludf.DUMMYFUNCTION("""COMPUTED_VALUE"""),"Link")</f>
        <v>Link</v>
      </c>
      <c r="Q117" s="144" t="str">
        <f>IFERROR(__xludf.DUMMYFUNCTION("""COMPUTED_VALUE"""),"Link")</f>
        <v>Link</v>
      </c>
      <c r="R117" s="144" t="str">
        <f>IFERROR(__xludf.DUMMYFUNCTION("""COMPUTED_VALUE"""),"Link")</f>
        <v>Link</v>
      </c>
      <c r="S117" s="144" t="str">
        <f>IFERROR(__xludf.DUMMYFUNCTION("""COMPUTED_VALUE"""),"Link")</f>
        <v>Link</v>
      </c>
    </row>
    <row r="118">
      <c r="A118" s="104" t="s">
        <v>5670</v>
      </c>
      <c r="B118" s="104" t="s">
        <v>6161</v>
      </c>
      <c r="C118" s="104" t="s">
        <v>6226</v>
      </c>
      <c r="D118" s="104" t="s">
        <v>291</v>
      </c>
      <c r="E118" s="104">
        <v>6.0</v>
      </c>
      <c r="F118" s="104">
        <v>11.0</v>
      </c>
      <c r="G118" s="168" t="s">
        <v>5671</v>
      </c>
      <c r="H118" s="168" t="s">
        <v>6227</v>
      </c>
      <c r="I118" s="144" t="str">
        <f>IFERROR(__xludf.DUMMYFUNCTION("LET(changes,FILTER('Pool Changes'!$B:$D, 'Pool Changes'!$B:$B = $D118),added,FILTER(INDEX(changes,0,3),INDEX(changes,0,2)=""add pack""),IFERROR(TRANSPOSE(ARRAYFORMULA(IF(added&lt;&gt;"""",HYPERLINK(""https://sealeddeck.tech/""&amp;added,""Link""),""""))),""""))"),"Link")</f>
        <v>Link</v>
      </c>
      <c r="J118" s="144" t="str">
        <f>IFERROR(__xludf.DUMMYFUNCTION("""COMPUTED_VALUE"""),"Link")</f>
        <v>Link</v>
      </c>
      <c r="K118" s="144" t="str">
        <f>IFERROR(__xludf.DUMMYFUNCTION("""COMPUTED_VALUE"""),"Link")</f>
        <v>Link</v>
      </c>
      <c r="L118" s="144" t="str">
        <f>IFERROR(__xludf.DUMMYFUNCTION("""COMPUTED_VALUE"""),"Link")</f>
        <v>Link</v>
      </c>
      <c r="M118" s="144" t="str">
        <f>IFERROR(__xludf.DUMMYFUNCTION("""COMPUTED_VALUE"""),"Link")</f>
        <v>Link</v>
      </c>
      <c r="N118" s="144" t="str">
        <f>IFERROR(__xludf.DUMMYFUNCTION("""COMPUTED_VALUE"""),"Link")</f>
        <v>Link</v>
      </c>
      <c r="O118" s="144" t="str">
        <f>IFERROR(__xludf.DUMMYFUNCTION("""COMPUTED_VALUE"""),"Link")</f>
        <v>Link</v>
      </c>
      <c r="P118" s="144" t="str">
        <f>IFERROR(__xludf.DUMMYFUNCTION("""COMPUTED_VALUE"""),"Link")</f>
        <v>Link</v>
      </c>
      <c r="Q118" s="144" t="str">
        <f>IFERROR(__xludf.DUMMYFUNCTION("""COMPUTED_VALUE"""),"Link")</f>
        <v>Link</v>
      </c>
      <c r="R118" s="144" t="str">
        <f>IFERROR(__xludf.DUMMYFUNCTION("""COMPUTED_VALUE"""),"Link")</f>
        <v>Link</v>
      </c>
      <c r="S118" s="144" t="str">
        <f>IFERROR(__xludf.DUMMYFUNCTION("""COMPUTED_VALUE"""),"Link")</f>
        <v>Link</v>
      </c>
    </row>
    <row r="119">
      <c r="A119" s="104" t="s">
        <v>5672</v>
      </c>
      <c r="B119" s="104" t="s">
        <v>6133</v>
      </c>
      <c r="C119" s="104" t="s">
        <v>6228</v>
      </c>
      <c r="D119" s="104" t="s">
        <v>275</v>
      </c>
      <c r="E119" s="104">
        <v>10.0</v>
      </c>
      <c r="F119" s="104">
        <v>11.0</v>
      </c>
      <c r="G119" s="168" t="s">
        <v>5673</v>
      </c>
      <c r="H119" s="168" t="s">
        <v>6229</v>
      </c>
      <c r="I119" s="144" t="str">
        <f>IFERROR(__xludf.DUMMYFUNCTION("LET(changes,FILTER('Pool Changes'!$B:$D, 'Pool Changes'!$B:$B = $D119),added,FILTER(INDEX(changes,0,3),INDEX(changes,0,2)=""add pack""),IFERROR(TRANSPOSE(ARRAYFORMULA(IF(added&lt;&gt;"""",HYPERLINK(""https://sealeddeck.tech/""&amp;added,""Link""),""""))),""""))"),"Link")</f>
        <v>Link</v>
      </c>
      <c r="J119" s="144" t="str">
        <f>IFERROR(__xludf.DUMMYFUNCTION("""COMPUTED_VALUE"""),"Link")</f>
        <v>Link</v>
      </c>
      <c r="K119" s="144" t="str">
        <f>IFERROR(__xludf.DUMMYFUNCTION("""COMPUTED_VALUE"""),"Link")</f>
        <v>Link</v>
      </c>
      <c r="L119" s="144" t="str">
        <f>IFERROR(__xludf.DUMMYFUNCTION("""COMPUTED_VALUE"""),"Link")</f>
        <v>Link</v>
      </c>
      <c r="M119" s="144" t="str">
        <f>IFERROR(__xludf.DUMMYFUNCTION("""COMPUTED_VALUE"""),"Link")</f>
        <v>Link</v>
      </c>
      <c r="N119" s="144" t="str">
        <f>IFERROR(__xludf.DUMMYFUNCTION("""COMPUTED_VALUE"""),"Link")</f>
        <v>Link</v>
      </c>
      <c r="O119" s="144" t="str">
        <f>IFERROR(__xludf.DUMMYFUNCTION("""COMPUTED_VALUE"""),"Link")</f>
        <v>Link</v>
      </c>
      <c r="P119" s="144" t="str">
        <f>IFERROR(__xludf.DUMMYFUNCTION("""COMPUTED_VALUE"""),"Link")</f>
        <v>Link</v>
      </c>
      <c r="Q119" s="144" t="str">
        <f>IFERROR(__xludf.DUMMYFUNCTION("""COMPUTED_VALUE"""),"Link")</f>
        <v>Link</v>
      </c>
      <c r="R119" s="144" t="str">
        <f>IFERROR(__xludf.DUMMYFUNCTION("""COMPUTED_VALUE"""),"Link")</f>
        <v>Link</v>
      </c>
      <c r="S119" s="144" t="str">
        <f>IFERROR(__xludf.DUMMYFUNCTION("""COMPUTED_VALUE"""),"Link")</f>
        <v>Link</v>
      </c>
    </row>
    <row r="120">
      <c r="A120" s="104" t="s">
        <v>5674</v>
      </c>
      <c r="B120" s="104" t="s">
        <v>6148</v>
      </c>
      <c r="C120" s="104" t="s">
        <v>6230</v>
      </c>
      <c r="D120" s="104" t="s">
        <v>168</v>
      </c>
      <c r="E120" s="104">
        <v>8.0</v>
      </c>
      <c r="F120" s="104">
        <v>11.0</v>
      </c>
      <c r="G120" s="168" t="s">
        <v>5675</v>
      </c>
      <c r="H120" s="168" t="s">
        <v>6231</v>
      </c>
      <c r="I120" s="144" t="str">
        <f>IFERROR(__xludf.DUMMYFUNCTION("LET(changes,FILTER('Pool Changes'!$B:$D, 'Pool Changes'!$B:$B = $D120),added,FILTER(INDEX(changes,0,3),INDEX(changes,0,2)=""add pack""),IFERROR(TRANSPOSE(ARRAYFORMULA(IF(added&lt;&gt;"""",HYPERLINK(""https://sealeddeck.tech/""&amp;added,""Link""),""""))),""""))"),"Link")</f>
        <v>Link</v>
      </c>
      <c r="J120" s="144" t="str">
        <f>IFERROR(__xludf.DUMMYFUNCTION("""COMPUTED_VALUE"""),"Link")</f>
        <v>Link</v>
      </c>
      <c r="K120" s="144" t="str">
        <f>IFERROR(__xludf.DUMMYFUNCTION("""COMPUTED_VALUE"""),"Link")</f>
        <v>Link</v>
      </c>
      <c r="L120" s="144" t="str">
        <f>IFERROR(__xludf.DUMMYFUNCTION("""COMPUTED_VALUE"""),"Link")</f>
        <v>Link</v>
      </c>
      <c r="M120" s="144" t="str">
        <f>IFERROR(__xludf.DUMMYFUNCTION("""COMPUTED_VALUE"""),"Link")</f>
        <v>Link</v>
      </c>
      <c r="N120" s="144" t="str">
        <f>IFERROR(__xludf.DUMMYFUNCTION("""COMPUTED_VALUE"""),"Link")</f>
        <v>Link</v>
      </c>
      <c r="O120" s="144" t="str">
        <f>IFERROR(__xludf.DUMMYFUNCTION("""COMPUTED_VALUE"""),"Link")</f>
        <v>Link</v>
      </c>
      <c r="P120" s="144" t="str">
        <f>IFERROR(__xludf.DUMMYFUNCTION("""COMPUTED_VALUE"""),"Link")</f>
        <v>Link</v>
      </c>
      <c r="Q120" s="144" t="str">
        <f>IFERROR(__xludf.DUMMYFUNCTION("""COMPUTED_VALUE"""),"Link")</f>
        <v>Link</v>
      </c>
      <c r="R120" s="144" t="str">
        <f>IFERROR(__xludf.DUMMYFUNCTION("""COMPUTED_VALUE"""),"Link")</f>
        <v>Link</v>
      </c>
      <c r="S120" s="144" t="str">
        <f>IFERROR(__xludf.DUMMYFUNCTION("""COMPUTED_VALUE"""),"Link")</f>
        <v>Link</v>
      </c>
    </row>
    <row r="121">
      <c r="A121" s="104" t="s">
        <v>5561</v>
      </c>
      <c r="B121" s="104" t="s">
        <v>6092</v>
      </c>
      <c r="C121" s="104" t="s">
        <v>6232</v>
      </c>
      <c r="D121" s="104" t="s">
        <v>222</v>
      </c>
      <c r="E121" s="104">
        <v>14.0</v>
      </c>
      <c r="F121" s="104">
        <v>6.0</v>
      </c>
      <c r="G121" s="168" t="s">
        <v>5676</v>
      </c>
      <c r="H121" s="168" t="s">
        <v>6233</v>
      </c>
      <c r="I121" s="144" t="str">
        <f>IFERROR(__xludf.DUMMYFUNCTION("LET(changes,FILTER('Pool Changes'!$B:$D, 'Pool Changes'!$B:$B = $D121),added,FILTER(INDEX(changes,0,3),INDEX(changes,0,2)=""add pack""),IFERROR(TRANSPOSE(ARRAYFORMULA(IF(added&lt;&gt;"""",HYPERLINK(""https://sealeddeck.tech/""&amp;added,""Link""),""""))),""""))"),"Link")</f>
        <v>Link</v>
      </c>
      <c r="J121" s="144" t="str">
        <f>IFERROR(__xludf.DUMMYFUNCTION("""COMPUTED_VALUE"""),"Link")</f>
        <v>Link</v>
      </c>
      <c r="K121" s="144" t="str">
        <f>IFERROR(__xludf.DUMMYFUNCTION("""COMPUTED_VALUE"""),"Link")</f>
        <v>Link</v>
      </c>
      <c r="L121" s="144" t="str">
        <f>IFERROR(__xludf.DUMMYFUNCTION("""COMPUTED_VALUE"""),"Link")</f>
        <v>Link</v>
      </c>
      <c r="M121" s="144" t="str">
        <f>IFERROR(__xludf.DUMMYFUNCTION("""COMPUTED_VALUE"""),"Link")</f>
        <v>Link</v>
      </c>
      <c r="N121" s="144" t="str">
        <f>IFERROR(__xludf.DUMMYFUNCTION("""COMPUTED_VALUE"""),"Link")</f>
        <v>Link</v>
      </c>
      <c r="O121" s="144" t="str">
        <f>IFERROR(__xludf.DUMMYFUNCTION("""COMPUTED_VALUE"""),"Link")</f>
        <v>Link</v>
      </c>
      <c r="P121" s="174"/>
      <c r="Q121" s="174"/>
      <c r="R121" s="174"/>
      <c r="S121" s="174"/>
    </row>
    <row r="122">
      <c r="A122" s="104" t="s">
        <v>5677</v>
      </c>
      <c r="B122" s="104" t="s">
        <v>6134</v>
      </c>
      <c r="C122" s="104" t="s">
        <v>6234</v>
      </c>
      <c r="D122" s="104" t="s">
        <v>319</v>
      </c>
      <c r="E122" s="104">
        <v>10.0</v>
      </c>
      <c r="F122" s="104">
        <v>8.0</v>
      </c>
      <c r="G122" s="168" t="s">
        <v>5678</v>
      </c>
      <c r="H122" s="168" t="s">
        <v>6235</v>
      </c>
      <c r="I122" s="144" t="str">
        <f>IFERROR(__xludf.DUMMYFUNCTION("LET(changes,FILTER('Pool Changes'!$B:$D, 'Pool Changes'!$B:$B = $D122),added,FILTER(INDEX(changes,0,3),INDEX(changes,0,2)=""add pack""),IFERROR(TRANSPOSE(ARRAYFORMULA(IF(added&lt;&gt;"""",HYPERLINK(""https://sealeddeck.tech/""&amp;added,""Link""),""""))),""""))"),"Link")</f>
        <v>Link</v>
      </c>
      <c r="J122" s="144" t="str">
        <f>IFERROR(__xludf.DUMMYFUNCTION("""COMPUTED_VALUE"""),"Link")</f>
        <v>Link</v>
      </c>
      <c r="K122" s="144" t="str">
        <f>IFERROR(__xludf.DUMMYFUNCTION("""COMPUTED_VALUE"""),"Link")</f>
        <v>Link</v>
      </c>
      <c r="L122" s="144" t="str">
        <f>IFERROR(__xludf.DUMMYFUNCTION("""COMPUTED_VALUE"""),"Link")</f>
        <v>Link</v>
      </c>
      <c r="M122" s="144" t="str">
        <f>IFERROR(__xludf.DUMMYFUNCTION("""COMPUTED_VALUE"""),"Link")</f>
        <v>Link</v>
      </c>
      <c r="N122" s="144" t="str">
        <f>IFERROR(__xludf.DUMMYFUNCTION("""COMPUTED_VALUE"""),"Link")</f>
        <v>Link</v>
      </c>
      <c r="O122" s="144" t="str">
        <f>IFERROR(__xludf.DUMMYFUNCTION("""COMPUTED_VALUE"""),"Link")</f>
        <v>Link</v>
      </c>
      <c r="P122" s="144" t="str">
        <f>IFERROR(__xludf.DUMMYFUNCTION("""COMPUTED_VALUE"""),"Link")</f>
        <v>Link</v>
      </c>
      <c r="Q122" s="144" t="str">
        <f>IFERROR(__xludf.DUMMYFUNCTION("""COMPUTED_VALUE"""),"Link")</f>
        <v>Link</v>
      </c>
      <c r="R122" s="179" t="str">
        <f>IFERROR(__xludf.DUMMYFUNCTION("""COMPUTED_VALUE"""),"Link")</f>
        <v>Link</v>
      </c>
      <c r="S122" s="174"/>
    </row>
    <row r="123">
      <c r="A123" s="104" t="s">
        <v>5679</v>
      </c>
      <c r="B123" s="104" t="s">
        <v>6157</v>
      </c>
      <c r="C123" s="104" t="s">
        <v>6236</v>
      </c>
      <c r="D123" s="104" t="s">
        <v>91</v>
      </c>
      <c r="E123" s="104">
        <v>7.0</v>
      </c>
      <c r="F123" s="104">
        <v>11.0</v>
      </c>
      <c r="G123" s="168" t="s">
        <v>5680</v>
      </c>
      <c r="H123" s="168" t="s">
        <v>6237</v>
      </c>
      <c r="I123" s="144" t="str">
        <f>IFERROR(__xludf.DUMMYFUNCTION("LET(changes,FILTER('Pool Changes'!$B:$D, 'Pool Changes'!$B:$B = $D123),added,FILTER(INDEX(changes,0,3),INDEX(changes,0,2)=""add pack""),IFERROR(TRANSPOSE(ARRAYFORMULA(IF(added&lt;&gt;"""",HYPERLINK(""https://sealeddeck.tech/""&amp;added,""Link""),""""))),""""))"),"Link")</f>
        <v>Link</v>
      </c>
      <c r="J123" s="144" t="str">
        <f>IFERROR(__xludf.DUMMYFUNCTION("""COMPUTED_VALUE"""),"Link")</f>
        <v>Link</v>
      </c>
      <c r="K123" s="144" t="str">
        <f>IFERROR(__xludf.DUMMYFUNCTION("""COMPUTED_VALUE"""),"Link")</f>
        <v>Link</v>
      </c>
      <c r="L123" s="144" t="str">
        <f>IFERROR(__xludf.DUMMYFUNCTION("""COMPUTED_VALUE"""),"Link")</f>
        <v>Link</v>
      </c>
      <c r="M123" s="144" t="str">
        <f>IFERROR(__xludf.DUMMYFUNCTION("""COMPUTED_VALUE"""),"Link")</f>
        <v>Link</v>
      </c>
      <c r="N123" s="144" t="str">
        <f>IFERROR(__xludf.DUMMYFUNCTION("""COMPUTED_VALUE"""),"Link")</f>
        <v>Link</v>
      </c>
      <c r="O123" s="144" t="str">
        <f>IFERROR(__xludf.DUMMYFUNCTION("""COMPUTED_VALUE"""),"Link")</f>
        <v>Link</v>
      </c>
      <c r="P123" s="144" t="str">
        <f>IFERROR(__xludf.DUMMYFUNCTION("""COMPUTED_VALUE"""),"Link")</f>
        <v>Link</v>
      </c>
      <c r="Q123" s="144" t="str">
        <f>IFERROR(__xludf.DUMMYFUNCTION("""COMPUTED_VALUE"""),"Link")</f>
        <v>Link</v>
      </c>
      <c r="R123" s="144" t="str">
        <f>IFERROR(__xludf.DUMMYFUNCTION("""COMPUTED_VALUE"""),"Link")</f>
        <v>Link</v>
      </c>
      <c r="S123" s="144" t="str">
        <f>IFERROR(__xludf.DUMMYFUNCTION("""COMPUTED_VALUE"""),"Link")</f>
        <v>Link</v>
      </c>
    </row>
    <row r="124">
      <c r="A124" s="104" t="s">
        <v>5681</v>
      </c>
      <c r="B124" s="104" t="s">
        <v>6107</v>
      </c>
      <c r="C124" s="104" t="s">
        <v>6238</v>
      </c>
      <c r="D124" s="104" t="s">
        <v>160</v>
      </c>
      <c r="E124" s="104">
        <v>16.0</v>
      </c>
      <c r="F124" s="104">
        <v>9.0</v>
      </c>
      <c r="G124" s="168" t="s">
        <v>5682</v>
      </c>
      <c r="H124" s="168" t="s">
        <v>6239</v>
      </c>
      <c r="I124" s="144" t="str">
        <f>IFERROR(__xludf.DUMMYFUNCTION("LET(changes,FILTER('Pool Changes'!$B:$D, 'Pool Changes'!$B:$B = $D124),added,FILTER(INDEX(changes,0,3),INDEX(changes,0,2)=""add pack""),IFERROR(TRANSPOSE(ARRAYFORMULA(IF(added&lt;&gt;"""",HYPERLINK(""https://sealeddeck.tech/""&amp;added,""Link""),""""))),""""))"),"Link")</f>
        <v>Link</v>
      </c>
      <c r="J124" s="144" t="str">
        <f>IFERROR(__xludf.DUMMYFUNCTION("""COMPUTED_VALUE"""),"Link")</f>
        <v>Link</v>
      </c>
      <c r="K124" s="144" t="str">
        <f>IFERROR(__xludf.DUMMYFUNCTION("""COMPUTED_VALUE"""),"Link")</f>
        <v>Link</v>
      </c>
      <c r="L124" s="144" t="str">
        <f>IFERROR(__xludf.DUMMYFUNCTION("""COMPUTED_VALUE"""),"Link")</f>
        <v>Link</v>
      </c>
      <c r="M124" s="144" t="str">
        <f>IFERROR(__xludf.DUMMYFUNCTION("""COMPUTED_VALUE"""),"Link")</f>
        <v>Link</v>
      </c>
      <c r="N124" s="144" t="str">
        <f>IFERROR(__xludf.DUMMYFUNCTION("""COMPUTED_VALUE"""),"Link")</f>
        <v>Link</v>
      </c>
      <c r="O124" s="144" t="str">
        <f>IFERROR(__xludf.DUMMYFUNCTION("""COMPUTED_VALUE"""),"Link")</f>
        <v>Link</v>
      </c>
      <c r="P124" s="144" t="str">
        <f>IFERROR(__xludf.DUMMYFUNCTION("""COMPUTED_VALUE"""),"Link")</f>
        <v>Link</v>
      </c>
      <c r="Q124" s="144" t="str">
        <f>IFERROR(__xludf.DUMMYFUNCTION("""COMPUTED_VALUE"""),"Link")</f>
        <v>Link</v>
      </c>
      <c r="R124" s="144"/>
      <c r="S124" s="174"/>
    </row>
    <row r="125">
      <c r="A125" s="104" t="s">
        <v>5426</v>
      </c>
      <c r="B125" s="104" t="s">
        <v>6084</v>
      </c>
      <c r="C125" s="104" t="s">
        <v>6240</v>
      </c>
      <c r="D125" s="104" t="s">
        <v>267</v>
      </c>
      <c r="E125" s="104">
        <v>16.0</v>
      </c>
      <c r="F125" s="104">
        <v>5.0</v>
      </c>
      <c r="G125" s="168" t="s">
        <v>5683</v>
      </c>
      <c r="H125" s="168" t="s">
        <v>6241</v>
      </c>
      <c r="I125" s="144" t="str">
        <f>IFERROR(__xludf.DUMMYFUNCTION("LET(changes,FILTER('Pool Changes'!$B:$D, 'Pool Changes'!$B:$B = $D125),added,FILTER(INDEX(changes,0,3),INDEX(changes,0,2)=""add pack""),IFERROR(TRANSPOSE(ARRAYFORMULA(IF(added&lt;&gt;"""",HYPERLINK(""https://sealeddeck.tech/""&amp;added,""Link""),""""))),""""))"),"Link")</f>
        <v>Link</v>
      </c>
      <c r="J125" s="144" t="str">
        <f>IFERROR(__xludf.DUMMYFUNCTION("""COMPUTED_VALUE"""),"Link")</f>
        <v>Link</v>
      </c>
      <c r="K125" s="144" t="str">
        <f>IFERROR(__xludf.DUMMYFUNCTION("""COMPUTED_VALUE"""),"Link")</f>
        <v>Link</v>
      </c>
      <c r="L125" s="144" t="str">
        <f>IFERROR(__xludf.DUMMYFUNCTION("""COMPUTED_VALUE"""),"Link")</f>
        <v>Link</v>
      </c>
      <c r="M125" s="144" t="str">
        <f>IFERROR(__xludf.DUMMYFUNCTION("""COMPUTED_VALUE"""),"Link")</f>
        <v>Link</v>
      </c>
      <c r="N125" s="144"/>
      <c r="O125" s="174"/>
      <c r="P125" s="174"/>
      <c r="Q125" s="174"/>
      <c r="R125" s="174"/>
      <c r="S125" s="174"/>
    </row>
    <row r="126">
      <c r="A126" s="104" t="s">
        <v>5684</v>
      </c>
      <c r="B126" s="104" t="s">
        <v>6138</v>
      </c>
      <c r="C126" s="104" t="s">
        <v>6242</v>
      </c>
      <c r="D126" s="104" t="s">
        <v>212</v>
      </c>
      <c r="E126" s="104">
        <v>9.0</v>
      </c>
      <c r="F126" s="104">
        <v>10.0</v>
      </c>
      <c r="G126" s="168" t="s">
        <v>5685</v>
      </c>
      <c r="H126" s="168" t="s">
        <v>6243</v>
      </c>
      <c r="I126" s="144" t="str">
        <f>IFERROR(__xludf.DUMMYFUNCTION("LET(changes,FILTER('Pool Changes'!$B:$D, 'Pool Changes'!$B:$B = $D126),added,FILTER(INDEX(changes,0,3),INDEX(changes,0,2)=""add pack""),IFERROR(TRANSPOSE(ARRAYFORMULA(IF(added&lt;&gt;"""",HYPERLINK(""https://sealeddeck.tech/""&amp;added,""Link""),""""))),""""))"),"Link")</f>
        <v>Link</v>
      </c>
      <c r="J126" s="144" t="str">
        <f>IFERROR(__xludf.DUMMYFUNCTION("""COMPUTED_VALUE"""),"Link")</f>
        <v>Link</v>
      </c>
      <c r="K126" s="144" t="str">
        <f>IFERROR(__xludf.DUMMYFUNCTION("""COMPUTED_VALUE"""),"Link")</f>
        <v>Link</v>
      </c>
      <c r="L126" s="144" t="str">
        <f>IFERROR(__xludf.DUMMYFUNCTION("""COMPUTED_VALUE"""),"Link")</f>
        <v>Link</v>
      </c>
      <c r="M126" s="144" t="str">
        <f>IFERROR(__xludf.DUMMYFUNCTION("""COMPUTED_VALUE"""),"Link")</f>
        <v>Link</v>
      </c>
      <c r="N126" s="144" t="str">
        <f>IFERROR(__xludf.DUMMYFUNCTION("""COMPUTED_VALUE"""),"Link")</f>
        <v>Link</v>
      </c>
      <c r="O126" s="144" t="str">
        <f>IFERROR(__xludf.DUMMYFUNCTION("""COMPUTED_VALUE"""),"Link")</f>
        <v>Link</v>
      </c>
      <c r="P126" s="144" t="str">
        <f>IFERROR(__xludf.DUMMYFUNCTION("""COMPUTED_VALUE"""),"Link")</f>
        <v>Link</v>
      </c>
      <c r="Q126" s="144" t="str">
        <f>IFERROR(__xludf.DUMMYFUNCTION("""COMPUTED_VALUE"""),"Link")</f>
        <v>Link</v>
      </c>
      <c r="R126" s="144" t="str">
        <f>IFERROR(__xludf.DUMMYFUNCTION("""COMPUTED_VALUE"""),"Link")</f>
        <v>Link</v>
      </c>
      <c r="S126" s="144" t="str">
        <f>IFERROR(__xludf.DUMMYFUNCTION("""COMPUTED_VALUE"""),"Link")</f>
        <v>Link</v>
      </c>
    </row>
    <row r="127">
      <c r="A127" s="104" t="s">
        <v>5686</v>
      </c>
      <c r="B127" s="104" t="s">
        <v>6125</v>
      </c>
      <c r="C127" s="104" t="s">
        <v>6244</v>
      </c>
      <c r="D127" s="104" t="s">
        <v>256</v>
      </c>
      <c r="E127" s="104">
        <v>10.0</v>
      </c>
      <c r="F127" s="104">
        <v>9.0</v>
      </c>
      <c r="G127" s="168" t="s">
        <v>5687</v>
      </c>
      <c r="H127" s="168" t="s">
        <v>6245</v>
      </c>
      <c r="I127" s="144" t="str">
        <f>IFERROR(__xludf.DUMMYFUNCTION("LET(changes,FILTER('Pool Changes'!$B:$D, 'Pool Changes'!$B:$B = $D127),added,FILTER(INDEX(changes,0,3),INDEX(changes,0,2)=""add pack""),IFERROR(TRANSPOSE(ARRAYFORMULA(IF(added&lt;&gt;"""",HYPERLINK(""https://sealeddeck.tech/""&amp;added,""Link""),""""))),""""))"),"Link")</f>
        <v>Link</v>
      </c>
      <c r="J127" s="144" t="str">
        <f>IFERROR(__xludf.DUMMYFUNCTION("""COMPUTED_VALUE"""),"Link")</f>
        <v>Link</v>
      </c>
      <c r="K127" s="144" t="str">
        <f>IFERROR(__xludf.DUMMYFUNCTION("""COMPUTED_VALUE"""),"Link")</f>
        <v>Link</v>
      </c>
      <c r="L127" s="144" t="str">
        <f>IFERROR(__xludf.DUMMYFUNCTION("""COMPUTED_VALUE"""),"Link")</f>
        <v>Link</v>
      </c>
      <c r="M127" s="144" t="str">
        <f>IFERROR(__xludf.DUMMYFUNCTION("""COMPUTED_VALUE"""),"Link")</f>
        <v>Link</v>
      </c>
      <c r="N127" s="144" t="str">
        <f>IFERROR(__xludf.DUMMYFUNCTION("""COMPUTED_VALUE"""),"Link")</f>
        <v>Link</v>
      </c>
      <c r="O127" s="144" t="str">
        <f>IFERROR(__xludf.DUMMYFUNCTION("""COMPUTED_VALUE"""),"Link")</f>
        <v>Link</v>
      </c>
      <c r="P127" s="144" t="str">
        <f>IFERROR(__xludf.DUMMYFUNCTION("""COMPUTED_VALUE"""),"Link")</f>
        <v>Link</v>
      </c>
      <c r="Q127" s="144" t="str">
        <f>IFERROR(__xludf.DUMMYFUNCTION("""COMPUTED_VALUE"""),"Link")</f>
        <v>Link</v>
      </c>
      <c r="R127" s="144" t="str">
        <f>IFERROR(__xludf.DUMMYFUNCTION("""COMPUTED_VALUE"""),"Link")</f>
        <v>Link</v>
      </c>
      <c r="S127" s="174"/>
    </row>
    <row r="128">
      <c r="A128" s="104" t="s">
        <v>5422</v>
      </c>
      <c r="B128" s="104" t="s">
        <v>6080</v>
      </c>
      <c r="C128" s="104" t="s">
        <v>6247</v>
      </c>
      <c r="D128" s="104" t="s">
        <v>144</v>
      </c>
      <c r="E128" s="104">
        <v>18.0</v>
      </c>
      <c r="F128" s="104">
        <v>4.0</v>
      </c>
      <c r="G128" s="168" t="s">
        <v>5688</v>
      </c>
      <c r="H128" s="168" t="s">
        <v>6248</v>
      </c>
      <c r="I128" s="144" t="str">
        <f>IFERROR(__xludf.DUMMYFUNCTION("LET(changes,FILTER('Pool Changes'!$B:$D, 'Pool Changes'!$B:$B = $D128),added,FILTER(INDEX(changes,0,3),INDEX(changes,0,2)=""add pack""),IFERROR(TRANSPOSE(ARRAYFORMULA(IF(added&lt;&gt;"""",HYPERLINK(""https://sealeddeck.tech/""&amp;added,""Link""),""""))),""""))"),"Link")</f>
        <v>Link</v>
      </c>
      <c r="J128" s="144" t="str">
        <f>IFERROR(__xludf.DUMMYFUNCTION("""COMPUTED_VALUE"""),"Link")</f>
        <v>Link</v>
      </c>
      <c r="K128" s="144" t="str">
        <f>IFERROR(__xludf.DUMMYFUNCTION("""COMPUTED_VALUE"""),"Link")</f>
        <v>Link</v>
      </c>
      <c r="L128" s="144" t="str">
        <f>IFERROR(__xludf.DUMMYFUNCTION("""COMPUTED_VALUE"""),"Link")</f>
        <v>Link</v>
      </c>
      <c r="M128" s="144"/>
      <c r="N128" s="174"/>
      <c r="O128" s="174"/>
      <c r="P128" s="174"/>
      <c r="Q128" s="174"/>
      <c r="R128" s="174"/>
      <c r="S128" s="174"/>
    </row>
    <row r="129">
      <c r="A129" s="104" t="s">
        <v>5689</v>
      </c>
      <c r="B129" s="104" t="s">
        <v>6104</v>
      </c>
      <c r="C129" s="104" t="s">
        <v>6249</v>
      </c>
      <c r="D129" s="104" t="s">
        <v>143</v>
      </c>
      <c r="E129" s="104">
        <v>12.0</v>
      </c>
      <c r="F129" s="104">
        <v>8.0</v>
      </c>
      <c r="G129" s="168" t="s">
        <v>6250</v>
      </c>
      <c r="H129" s="168" t="s">
        <v>6251</v>
      </c>
      <c r="I129" s="144" t="str">
        <f>IFERROR(__xludf.DUMMYFUNCTION("LET(changes,FILTER('Pool Changes'!$B:$D, 'Pool Changes'!$B:$B = $D129),added,FILTER(INDEX(changes,0,3),INDEX(changes,0,2)=""add pack""),IFERROR(TRANSPOSE(ARRAYFORMULA(IF(added&lt;&gt;"""",HYPERLINK(""https://sealeddeck.tech/""&amp;added,""Link""),""""))),""""))"),"Link")</f>
        <v>Link</v>
      </c>
      <c r="J129" s="144" t="str">
        <f>IFERROR(__xludf.DUMMYFUNCTION("""COMPUTED_VALUE"""),"Link")</f>
        <v>Link</v>
      </c>
      <c r="K129" s="144" t="str">
        <f>IFERROR(__xludf.DUMMYFUNCTION("""COMPUTED_VALUE"""),"Link")</f>
        <v>Link</v>
      </c>
      <c r="L129" s="144" t="str">
        <f>IFERROR(__xludf.DUMMYFUNCTION("""COMPUTED_VALUE"""),"Link")</f>
        <v>Link</v>
      </c>
      <c r="M129" s="144" t="str">
        <f>IFERROR(__xludf.DUMMYFUNCTION("""COMPUTED_VALUE"""),"Link")</f>
        <v>Link</v>
      </c>
      <c r="N129" s="144" t="str">
        <f>IFERROR(__xludf.DUMMYFUNCTION("""COMPUTED_VALUE"""),"Link")</f>
        <v>Link</v>
      </c>
      <c r="O129" s="144" t="str">
        <f>IFERROR(__xludf.DUMMYFUNCTION("""COMPUTED_VALUE"""),"Link")</f>
        <v>Link</v>
      </c>
      <c r="P129" s="144" t="str">
        <f>IFERROR(__xludf.DUMMYFUNCTION("""COMPUTED_VALUE"""),"Link")</f>
        <v>Link</v>
      </c>
      <c r="Q129" s="144"/>
      <c r="R129" s="174"/>
      <c r="S129" s="174"/>
    </row>
    <row r="130">
      <c r="A130" s="104" t="s">
        <v>5691</v>
      </c>
      <c r="B130" s="104" t="s">
        <v>6114</v>
      </c>
      <c r="C130" s="104" t="s">
        <v>6252</v>
      </c>
      <c r="D130" s="104" t="s">
        <v>193</v>
      </c>
      <c r="E130" s="104">
        <v>11.0</v>
      </c>
      <c r="F130" s="104">
        <v>10.0</v>
      </c>
      <c r="G130" s="168" t="s">
        <v>5692</v>
      </c>
      <c r="H130" s="168" t="s">
        <v>6253</v>
      </c>
      <c r="I130" s="144" t="str">
        <f>IFERROR(__xludf.DUMMYFUNCTION("LET(changes,FILTER('Pool Changes'!$B:$D, 'Pool Changes'!$B:$B = $D130),added,FILTER(INDEX(changes,0,3),INDEX(changes,0,2)=""add pack""),IFERROR(TRANSPOSE(ARRAYFORMULA(IF(added&lt;&gt;"""",HYPERLINK(""https://sealeddeck.tech/""&amp;added,""Link""),""""))),""""))"),"Link")</f>
        <v>Link</v>
      </c>
      <c r="J130" s="144" t="str">
        <f>IFERROR(__xludf.DUMMYFUNCTION("""COMPUTED_VALUE"""),"Link")</f>
        <v>Link</v>
      </c>
      <c r="K130" s="144" t="str">
        <f>IFERROR(__xludf.DUMMYFUNCTION("""COMPUTED_VALUE"""),"Link")</f>
        <v>Link</v>
      </c>
      <c r="L130" s="144" t="str">
        <f>IFERROR(__xludf.DUMMYFUNCTION("""COMPUTED_VALUE"""),"Link")</f>
        <v>Link</v>
      </c>
      <c r="M130" s="144" t="str">
        <f>IFERROR(__xludf.DUMMYFUNCTION("""COMPUTED_VALUE"""),"Link")</f>
        <v>Link</v>
      </c>
      <c r="N130" s="144" t="str">
        <f>IFERROR(__xludf.DUMMYFUNCTION("""COMPUTED_VALUE"""),"Link")</f>
        <v>Link</v>
      </c>
      <c r="O130" s="144" t="str">
        <f>IFERROR(__xludf.DUMMYFUNCTION("""COMPUTED_VALUE"""),"Link")</f>
        <v>Link</v>
      </c>
      <c r="P130" s="144" t="str">
        <f>IFERROR(__xludf.DUMMYFUNCTION("""COMPUTED_VALUE"""),"Link")</f>
        <v>Link</v>
      </c>
      <c r="Q130" s="144" t="str">
        <f>IFERROR(__xludf.DUMMYFUNCTION("""COMPUTED_VALUE"""),"Link")</f>
        <v>Link</v>
      </c>
      <c r="R130" s="144" t="str">
        <f>IFERROR(__xludf.DUMMYFUNCTION("""COMPUTED_VALUE"""),"Link")</f>
        <v>Link</v>
      </c>
      <c r="S130" s="144"/>
    </row>
    <row r="131">
      <c r="A131" s="104" t="s">
        <v>5693</v>
      </c>
      <c r="B131" s="104" t="s">
        <v>6182</v>
      </c>
      <c r="C131" s="104" t="s">
        <v>6254</v>
      </c>
      <c r="D131" s="104" t="s">
        <v>116</v>
      </c>
      <c r="E131" s="104">
        <v>1.0</v>
      </c>
      <c r="F131" s="104">
        <v>11.0</v>
      </c>
      <c r="G131" s="168" t="s">
        <v>5694</v>
      </c>
      <c r="H131" s="168" t="s">
        <v>6255</v>
      </c>
      <c r="I131" s="144" t="str">
        <f>IFERROR(__xludf.DUMMYFUNCTION("LET(changes,FILTER('Pool Changes'!$B:$D, 'Pool Changes'!$B:$B = $D131),added,FILTER(INDEX(changes,0,3),INDEX(changes,0,2)=""add pack""),IFERROR(TRANSPOSE(ARRAYFORMULA(IF(added&lt;&gt;"""",HYPERLINK(""https://sealeddeck.tech/""&amp;added,""Link""),""""))),""""))"),"Link")</f>
        <v>Link</v>
      </c>
      <c r="J131" s="144" t="str">
        <f>IFERROR(__xludf.DUMMYFUNCTION("""COMPUTED_VALUE"""),"Link")</f>
        <v>Link</v>
      </c>
      <c r="K131" s="144" t="str">
        <f>IFERROR(__xludf.DUMMYFUNCTION("""COMPUTED_VALUE"""),"Link")</f>
        <v>Link</v>
      </c>
      <c r="L131" s="144" t="str">
        <f>IFERROR(__xludf.DUMMYFUNCTION("""COMPUTED_VALUE"""),"Link")</f>
        <v>Link</v>
      </c>
      <c r="M131" s="144" t="str">
        <f>IFERROR(__xludf.DUMMYFUNCTION("""COMPUTED_VALUE"""),"Link")</f>
        <v>Link</v>
      </c>
      <c r="N131" s="174"/>
      <c r="O131" s="174"/>
      <c r="P131" s="174"/>
      <c r="Q131" s="174"/>
      <c r="R131" s="174"/>
      <c r="S131" s="174"/>
    </row>
    <row r="132">
      <c r="A132" s="104" t="s">
        <v>5695</v>
      </c>
      <c r="B132" s="104" t="s">
        <v>6113</v>
      </c>
      <c r="C132" s="104" t="s">
        <v>6256</v>
      </c>
      <c r="D132" s="104" t="s">
        <v>289</v>
      </c>
      <c r="E132" s="104">
        <v>12.0</v>
      </c>
      <c r="F132" s="104">
        <v>11.0</v>
      </c>
      <c r="G132" s="168" t="s">
        <v>5696</v>
      </c>
      <c r="H132" s="168" t="s">
        <v>6257</v>
      </c>
      <c r="I132" s="144" t="str">
        <f>IFERROR(__xludf.DUMMYFUNCTION("LET(changes,FILTER('Pool Changes'!$B:$D, 'Pool Changes'!$B:$B = $D132),added,FILTER(INDEX(changes,0,3),INDEX(changes,0,2)=""add pack""),IFERROR(TRANSPOSE(ARRAYFORMULA(IF(added&lt;&gt;"""",HYPERLINK(""https://sealeddeck.tech/""&amp;added,""Link""),""""))),""""))"),"Link")</f>
        <v>Link</v>
      </c>
      <c r="J132" s="144" t="str">
        <f>IFERROR(__xludf.DUMMYFUNCTION("""COMPUTED_VALUE"""),"Link")</f>
        <v>Link</v>
      </c>
      <c r="K132" s="144" t="str">
        <f>IFERROR(__xludf.DUMMYFUNCTION("""COMPUTED_VALUE"""),"Link")</f>
        <v>Link</v>
      </c>
      <c r="L132" s="144" t="str">
        <f>IFERROR(__xludf.DUMMYFUNCTION("""COMPUTED_VALUE"""),"Link")</f>
        <v>Link</v>
      </c>
      <c r="M132" s="144" t="str">
        <f>IFERROR(__xludf.DUMMYFUNCTION("""COMPUTED_VALUE"""),"Link")</f>
        <v>Link</v>
      </c>
      <c r="N132" s="144" t="str">
        <f>IFERROR(__xludf.DUMMYFUNCTION("""COMPUTED_VALUE"""),"Link")</f>
        <v>Link</v>
      </c>
      <c r="O132" s="144" t="str">
        <f>IFERROR(__xludf.DUMMYFUNCTION("""COMPUTED_VALUE"""),"Link")</f>
        <v>Link</v>
      </c>
      <c r="P132" s="144" t="str">
        <f>IFERROR(__xludf.DUMMYFUNCTION("""COMPUTED_VALUE"""),"Link")</f>
        <v>Link</v>
      </c>
      <c r="Q132" s="144" t="str">
        <f>IFERROR(__xludf.DUMMYFUNCTION("""COMPUTED_VALUE"""),"Link")</f>
        <v>Link</v>
      </c>
      <c r="R132" s="144" t="str">
        <f>IFERROR(__xludf.DUMMYFUNCTION("""COMPUTED_VALUE"""),"Link")</f>
        <v>Link</v>
      </c>
      <c r="S132" s="144"/>
    </row>
    <row r="133">
      <c r="A133" s="104" t="s">
        <v>5697</v>
      </c>
      <c r="B133" s="104" t="s">
        <v>6127</v>
      </c>
      <c r="C133" s="104" t="s">
        <v>6258</v>
      </c>
      <c r="D133" s="104" t="s">
        <v>205</v>
      </c>
      <c r="E133" s="104">
        <v>10.0</v>
      </c>
      <c r="F133" s="104">
        <v>11.0</v>
      </c>
      <c r="G133" s="168" t="s">
        <v>5698</v>
      </c>
      <c r="H133" s="168" t="s">
        <v>6259</v>
      </c>
      <c r="I133" s="144" t="str">
        <f>IFERROR(__xludf.DUMMYFUNCTION("LET(changes,FILTER('Pool Changes'!$B:$D, 'Pool Changes'!$B:$B = $D133),added,FILTER(INDEX(changes,0,3),INDEX(changes,0,2)=""add pack""),IFERROR(TRANSPOSE(ARRAYFORMULA(IF(added&lt;&gt;"""",HYPERLINK(""https://sealeddeck.tech/""&amp;added,""Link""),""""))),""""))"),"Link")</f>
        <v>Link</v>
      </c>
      <c r="J133" s="144" t="str">
        <f>IFERROR(__xludf.DUMMYFUNCTION("""COMPUTED_VALUE"""),"Link")</f>
        <v>Link</v>
      </c>
      <c r="K133" s="144" t="str">
        <f>IFERROR(__xludf.DUMMYFUNCTION("""COMPUTED_VALUE"""),"Link")</f>
        <v>Link</v>
      </c>
      <c r="L133" s="144" t="str">
        <f>IFERROR(__xludf.DUMMYFUNCTION("""COMPUTED_VALUE"""),"Link")</f>
        <v>Link</v>
      </c>
      <c r="M133" s="144" t="str">
        <f>IFERROR(__xludf.DUMMYFUNCTION("""COMPUTED_VALUE"""),"Link")</f>
        <v>Link</v>
      </c>
      <c r="N133" s="144" t="str">
        <f>IFERROR(__xludf.DUMMYFUNCTION("""COMPUTED_VALUE"""),"Link")</f>
        <v>Link</v>
      </c>
      <c r="O133" s="144" t="str">
        <f>IFERROR(__xludf.DUMMYFUNCTION("""COMPUTED_VALUE"""),"Link")</f>
        <v>Link</v>
      </c>
      <c r="P133" s="144" t="str">
        <f>IFERROR(__xludf.DUMMYFUNCTION("""COMPUTED_VALUE"""),"Link")</f>
        <v>Link</v>
      </c>
      <c r="Q133" s="144" t="str">
        <f>IFERROR(__xludf.DUMMYFUNCTION("""COMPUTED_VALUE"""),"Link")</f>
        <v>Link</v>
      </c>
      <c r="R133" s="144" t="str">
        <f>IFERROR(__xludf.DUMMYFUNCTION("""COMPUTED_VALUE"""),"Link")</f>
        <v>Link</v>
      </c>
      <c r="S133" s="144" t="str">
        <f>IFERROR(__xludf.DUMMYFUNCTION("""COMPUTED_VALUE"""),"Link")</f>
        <v>Link</v>
      </c>
    </row>
    <row r="134">
      <c r="A134" s="104" t="s">
        <v>5699</v>
      </c>
      <c r="B134" s="104" t="s">
        <v>6187</v>
      </c>
      <c r="C134" s="104" t="s">
        <v>6261</v>
      </c>
      <c r="D134" s="104" t="s">
        <v>92</v>
      </c>
      <c r="E134" s="104">
        <v>0.0</v>
      </c>
      <c r="F134" s="104">
        <v>11.0</v>
      </c>
      <c r="G134" s="168" t="s">
        <v>5700</v>
      </c>
      <c r="H134" s="168" t="s">
        <v>6262</v>
      </c>
      <c r="I134" s="144" t="str">
        <f>IFERROR(__xludf.DUMMYFUNCTION("LET(changes,FILTER('Pool Changes'!$B:$D, 'Pool Changes'!$B:$B = $D134),added,FILTER(INDEX(changes,0,3),INDEX(changes,0,2)=""add pack""),IFERROR(TRANSPOSE(ARRAYFORMULA(IF(added&lt;&gt;"""",HYPERLINK(""https://sealeddeck.tech/""&amp;added,""Link""),""""))),""""))"),"Link")</f>
        <v>Link</v>
      </c>
      <c r="J134" s="174"/>
      <c r="K134" s="174"/>
      <c r="L134" s="174"/>
      <c r="M134" s="174"/>
      <c r="N134" s="174"/>
      <c r="O134" s="174"/>
      <c r="P134" s="174"/>
      <c r="Q134" s="174"/>
      <c r="R134" s="174"/>
      <c r="S134" s="174"/>
    </row>
    <row r="135">
      <c r="A135" s="104" t="s">
        <v>5701</v>
      </c>
      <c r="B135" s="104" t="s">
        <v>6156</v>
      </c>
      <c r="C135" s="104" t="s">
        <v>6263</v>
      </c>
      <c r="D135" s="104" t="s">
        <v>161</v>
      </c>
      <c r="E135" s="104">
        <v>8.0</v>
      </c>
      <c r="F135" s="104">
        <v>11.0</v>
      </c>
      <c r="G135" s="168" t="s">
        <v>5702</v>
      </c>
      <c r="H135" s="168" t="s">
        <v>6264</v>
      </c>
      <c r="I135" s="144" t="str">
        <f>IFERROR(__xludf.DUMMYFUNCTION("LET(changes,FILTER('Pool Changes'!$B:$D, 'Pool Changes'!$B:$B = $D135),added,FILTER(INDEX(changes,0,3),INDEX(changes,0,2)=""add pack""),IFERROR(TRANSPOSE(ARRAYFORMULA(IF(added&lt;&gt;"""",HYPERLINK(""https://sealeddeck.tech/""&amp;added,""Link""),""""))),""""))"),"Link")</f>
        <v>Link</v>
      </c>
      <c r="J135" s="144" t="str">
        <f>IFERROR(__xludf.DUMMYFUNCTION("""COMPUTED_VALUE"""),"Link")</f>
        <v>Link</v>
      </c>
      <c r="K135" s="144" t="str">
        <f>IFERROR(__xludf.DUMMYFUNCTION("""COMPUTED_VALUE"""),"Link")</f>
        <v>Link</v>
      </c>
      <c r="L135" s="144" t="str">
        <f>IFERROR(__xludf.DUMMYFUNCTION("""COMPUTED_VALUE"""),"Link")</f>
        <v>Link</v>
      </c>
      <c r="M135" s="144" t="str">
        <f>IFERROR(__xludf.DUMMYFUNCTION("""COMPUTED_VALUE"""),"Link")</f>
        <v>Link</v>
      </c>
      <c r="N135" s="144" t="str">
        <f>IFERROR(__xludf.DUMMYFUNCTION("""COMPUTED_VALUE"""),"Link")</f>
        <v>Link</v>
      </c>
      <c r="O135" s="144" t="str">
        <f>IFERROR(__xludf.DUMMYFUNCTION("""COMPUTED_VALUE"""),"Link")</f>
        <v>Link</v>
      </c>
      <c r="P135" s="144" t="str">
        <f>IFERROR(__xludf.DUMMYFUNCTION("""COMPUTED_VALUE"""),"Link")</f>
        <v>Link</v>
      </c>
      <c r="Q135" s="144" t="str">
        <f>IFERROR(__xludf.DUMMYFUNCTION("""COMPUTED_VALUE"""),"Link")</f>
        <v>Link</v>
      </c>
      <c r="R135" s="144" t="str">
        <f>IFERROR(__xludf.DUMMYFUNCTION("""COMPUTED_VALUE"""),"Link")</f>
        <v>Link</v>
      </c>
      <c r="S135" s="144" t="str">
        <f>IFERROR(__xludf.DUMMYFUNCTION("""COMPUTED_VALUE"""),"Link")</f>
        <v>Link</v>
      </c>
    </row>
    <row r="136">
      <c r="A136" s="104" t="s">
        <v>5703</v>
      </c>
      <c r="B136" s="104" t="s">
        <v>6137</v>
      </c>
      <c r="C136" s="104" t="s">
        <v>6266</v>
      </c>
      <c r="D136" s="104" t="s">
        <v>278</v>
      </c>
      <c r="E136" s="104">
        <v>9.0</v>
      </c>
      <c r="F136" s="104">
        <v>9.0</v>
      </c>
      <c r="G136" s="168" t="s">
        <v>5704</v>
      </c>
      <c r="H136" s="168" t="s">
        <v>6267</v>
      </c>
      <c r="I136" s="144" t="str">
        <f>IFERROR(__xludf.DUMMYFUNCTION("LET(changes,FILTER('Pool Changes'!$B:$D, 'Pool Changes'!$B:$B = $D136),added,FILTER(INDEX(changes,0,3),INDEX(changes,0,2)=""add pack""),IFERROR(TRANSPOSE(ARRAYFORMULA(IF(added&lt;&gt;"""",HYPERLINK(""https://sealeddeck.tech/""&amp;added,""Link""),""""))),""""))"),"Link")</f>
        <v>Link</v>
      </c>
      <c r="J136" s="144" t="str">
        <f>IFERROR(__xludf.DUMMYFUNCTION("""COMPUTED_VALUE"""),"Link")</f>
        <v>Link</v>
      </c>
      <c r="K136" s="144" t="str">
        <f>IFERROR(__xludf.DUMMYFUNCTION("""COMPUTED_VALUE"""),"Link")</f>
        <v>Link</v>
      </c>
      <c r="L136" s="144" t="str">
        <f>IFERROR(__xludf.DUMMYFUNCTION("""COMPUTED_VALUE"""),"Link")</f>
        <v>Link</v>
      </c>
      <c r="M136" s="144" t="str">
        <f>IFERROR(__xludf.DUMMYFUNCTION("""COMPUTED_VALUE"""),"Link")</f>
        <v>Link</v>
      </c>
      <c r="N136" s="144" t="str">
        <f>IFERROR(__xludf.DUMMYFUNCTION("""COMPUTED_VALUE"""),"Link")</f>
        <v>Link</v>
      </c>
      <c r="O136" s="144" t="str">
        <f>IFERROR(__xludf.DUMMYFUNCTION("""COMPUTED_VALUE"""),"Link")</f>
        <v>Link</v>
      </c>
      <c r="P136" s="144" t="str">
        <f>IFERROR(__xludf.DUMMYFUNCTION("""COMPUTED_VALUE"""),"Link")</f>
        <v>Link</v>
      </c>
      <c r="Q136" s="144" t="str">
        <f>IFERROR(__xludf.DUMMYFUNCTION("""COMPUTED_VALUE"""),"Link")</f>
        <v>Link</v>
      </c>
      <c r="R136" s="144" t="str">
        <f>IFERROR(__xludf.DUMMYFUNCTION("""COMPUTED_VALUE"""),"Link")</f>
        <v>Link</v>
      </c>
      <c r="S136" s="174"/>
    </row>
    <row r="137">
      <c r="A137" s="104" t="s">
        <v>5705</v>
      </c>
      <c r="B137" s="104" t="s">
        <v>6128</v>
      </c>
      <c r="C137" s="104" t="s">
        <v>6268</v>
      </c>
      <c r="D137" s="104" t="s">
        <v>145</v>
      </c>
      <c r="E137" s="104">
        <v>11.0</v>
      </c>
      <c r="F137" s="104">
        <v>11.0</v>
      </c>
      <c r="G137" s="168" t="s">
        <v>5706</v>
      </c>
      <c r="H137" s="168" t="s">
        <v>6269</v>
      </c>
      <c r="I137" s="144" t="str">
        <f>IFERROR(__xludf.DUMMYFUNCTION("LET(changes,FILTER('Pool Changes'!$B:$D, 'Pool Changes'!$B:$B = $D137),added,FILTER(INDEX(changes,0,3),INDEX(changes,0,2)=""add pack""),IFERROR(TRANSPOSE(ARRAYFORMULA(IF(added&lt;&gt;"""",HYPERLINK(""https://sealeddeck.tech/""&amp;added,""Link""),""""))),""""))"),"Link")</f>
        <v>Link</v>
      </c>
      <c r="J137" s="144" t="str">
        <f>IFERROR(__xludf.DUMMYFUNCTION("""COMPUTED_VALUE"""),"Link")</f>
        <v>Link</v>
      </c>
      <c r="K137" s="144" t="str">
        <f>IFERROR(__xludf.DUMMYFUNCTION("""COMPUTED_VALUE"""),"Link")</f>
        <v>Link</v>
      </c>
      <c r="L137" s="144" t="str">
        <f>IFERROR(__xludf.DUMMYFUNCTION("""COMPUTED_VALUE"""),"Link")</f>
        <v>Link</v>
      </c>
      <c r="M137" s="144" t="str">
        <f>IFERROR(__xludf.DUMMYFUNCTION("""COMPUTED_VALUE"""),"Link")</f>
        <v>Link</v>
      </c>
      <c r="N137" s="144" t="str">
        <f>IFERROR(__xludf.DUMMYFUNCTION("""COMPUTED_VALUE"""),"Link")</f>
        <v>Link</v>
      </c>
      <c r="O137" s="144" t="str">
        <f>IFERROR(__xludf.DUMMYFUNCTION("""COMPUTED_VALUE"""),"Link")</f>
        <v>Link</v>
      </c>
      <c r="P137" s="144" t="str">
        <f>IFERROR(__xludf.DUMMYFUNCTION("""COMPUTED_VALUE"""),"Link")</f>
        <v>Link</v>
      </c>
      <c r="Q137" s="144" t="str">
        <f>IFERROR(__xludf.DUMMYFUNCTION("""COMPUTED_VALUE"""),"Link")</f>
        <v>Link</v>
      </c>
      <c r="R137" s="144" t="str">
        <f>IFERROR(__xludf.DUMMYFUNCTION("""COMPUTED_VALUE"""),"Link")</f>
        <v>Link</v>
      </c>
      <c r="S137" s="144" t="str">
        <f>IFERROR(__xludf.DUMMYFUNCTION("""COMPUTED_VALUE"""),"Link")</f>
        <v>Link</v>
      </c>
    </row>
    <row r="138">
      <c r="A138" s="104" t="s">
        <v>5707</v>
      </c>
      <c r="B138" s="104" t="s">
        <v>6140</v>
      </c>
      <c r="C138" s="104" t="s">
        <v>6270</v>
      </c>
      <c r="D138" s="104" t="s">
        <v>219</v>
      </c>
      <c r="E138" s="104">
        <v>9.0</v>
      </c>
      <c r="F138" s="104">
        <v>11.0</v>
      </c>
      <c r="G138" s="168" t="s">
        <v>5708</v>
      </c>
      <c r="H138" s="168" t="s">
        <v>6271</v>
      </c>
      <c r="I138" s="144" t="str">
        <f>IFERROR(__xludf.DUMMYFUNCTION("LET(changes,FILTER('Pool Changes'!$B:$D, 'Pool Changes'!$B:$B = $D138),added,FILTER(INDEX(changes,0,3),INDEX(changes,0,2)=""add pack""),IFERROR(TRANSPOSE(ARRAYFORMULA(IF(added&lt;&gt;"""",HYPERLINK(""https://sealeddeck.tech/""&amp;added,""Link""),""""))),""""))"),"Link")</f>
        <v>Link</v>
      </c>
      <c r="J138" s="144" t="str">
        <f>IFERROR(__xludf.DUMMYFUNCTION("""COMPUTED_VALUE"""),"Link")</f>
        <v>Link</v>
      </c>
      <c r="K138" s="144" t="str">
        <f>IFERROR(__xludf.DUMMYFUNCTION("""COMPUTED_VALUE"""),"Link")</f>
        <v>Link</v>
      </c>
      <c r="L138" s="144" t="str">
        <f>IFERROR(__xludf.DUMMYFUNCTION("""COMPUTED_VALUE"""),"Link")</f>
        <v>Link</v>
      </c>
      <c r="M138" s="144" t="str">
        <f>IFERROR(__xludf.DUMMYFUNCTION("""COMPUTED_VALUE"""),"Link")</f>
        <v>Link</v>
      </c>
      <c r="N138" s="144" t="str">
        <f>IFERROR(__xludf.DUMMYFUNCTION("""COMPUTED_VALUE"""),"Link")</f>
        <v>Link</v>
      </c>
      <c r="O138" s="144" t="str">
        <f>IFERROR(__xludf.DUMMYFUNCTION("""COMPUTED_VALUE"""),"Link")</f>
        <v>Link</v>
      </c>
      <c r="P138" s="144" t="str">
        <f>IFERROR(__xludf.DUMMYFUNCTION("""COMPUTED_VALUE"""),"Link")</f>
        <v>Link</v>
      </c>
      <c r="Q138" s="144" t="str">
        <f>IFERROR(__xludf.DUMMYFUNCTION("""COMPUTED_VALUE"""),"Link")</f>
        <v>Link</v>
      </c>
      <c r="R138" s="144" t="str">
        <f>IFERROR(__xludf.DUMMYFUNCTION("""COMPUTED_VALUE"""),"Link")</f>
        <v>Link</v>
      </c>
      <c r="S138" s="144" t="str">
        <f>IFERROR(__xludf.DUMMYFUNCTION("""COMPUTED_VALUE"""),"Link")</f>
        <v>Link</v>
      </c>
    </row>
    <row r="139">
      <c r="A139" s="104" t="s">
        <v>5606</v>
      </c>
      <c r="B139" s="104" t="s">
        <v>6094</v>
      </c>
      <c r="C139" s="104" t="s">
        <v>6272</v>
      </c>
      <c r="D139" s="104" t="s">
        <v>287</v>
      </c>
      <c r="E139" s="104">
        <v>13.0</v>
      </c>
      <c r="F139" s="104">
        <v>8.0</v>
      </c>
      <c r="G139" s="168" t="s">
        <v>5709</v>
      </c>
      <c r="H139" s="168" t="s">
        <v>6273</v>
      </c>
      <c r="I139" s="144" t="str">
        <f>IFERROR(__xludf.DUMMYFUNCTION("LET(changes,FILTER('Pool Changes'!$B:$D, 'Pool Changes'!$B:$B = $D139),added,FILTER(INDEX(changes,0,3),INDEX(changes,0,2)=""add pack""),IFERROR(TRANSPOSE(ARRAYFORMULA(IF(added&lt;&gt;"""",HYPERLINK(""https://sealeddeck.tech/""&amp;added,""Link""),""""))),""""))"),"Link")</f>
        <v>Link</v>
      </c>
      <c r="J139" s="144" t="str">
        <f>IFERROR(__xludf.DUMMYFUNCTION("""COMPUTED_VALUE"""),"Link")</f>
        <v>Link</v>
      </c>
      <c r="K139" s="144" t="str">
        <f>IFERROR(__xludf.DUMMYFUNCTION("""COMPUTED_VALUE"""),"Link")</f>
        <v>Link</v>
      </c>
      <c r="L139" s="144" t="str">
        <f>IFERROR(__xludf.DUMMYFUNCTION("""COMPUTED_VALUE"""),"Link")</f>
        <v>Link</v>
      </c>
      <c r="M139" s="144" t="str">
        <f>IFERROR(__xludf.DUMMYFUNCTION("""COMPUTED_VALUE"""),"Link")</f>
        <v>Link</v>
      </c>
      <c r="N139" s="144" t="str">
        <f>IFERROR(__xludf.DUMMYFUNCTION("""COMPUTED_VALUE"""),"Link")</f>
        <v>Link</v>
      </c>
      <c r="O139" s="144" t="str">
        <f>IFERROR(__xludf.DUMMYFUNCTION("""COMPUTED_VALUE"""),"Link")</f>
        <v>Link</v>
      </c>
      <c r="P139" s="144"/>
      <c r="Q139" s="144"/>
      <c r="R139" s="174"/>
      <c r="S139" s="174"/>
    </row>
    <row r="140">
      <c r="A140" s="104" t="s">
        <v>5710</v>
      </c>
      <c r="B140" s="104" t="s">
        <v>6175</v>
      </c>
      <c r="C140" s="104" t="s">
        <v>6274</v>
      </c>
      <c r="D140" s="104" t="s">
        <v>117</v>
      </c>
      <c r="E140" s="104">
        <v>2.0</v>
      </c>
      <c r="F140" s="104">
        <v>11.0</v>
      </c>
      <c r="G140" s="168" t="s">
        <v>5711</v>
      </c>
      <c r="H140" s="168" t="s">
        <v>6275</v>
      </c>
      <c r="I140" s="144" t="str">
        <f>IFERROR(__xludf.DUMMYFUNCTION("LET(changes,FILTER('Pool Changes'!$B:$D, 'Pool Changes'!$B:$B = $D140),added,FILTER(INDEX(changes,0,3),INDEX(changes,0,2)=""add pack""),IFERROR(TRANSPOSE(ARRAYFORMULA(IF(added&lt;&gt;"""",HYPERLINK(""https://sealeddeck.tech/""&amp;added,""Link""),""""))),""""))"),"Link")</f>
        <v>Link</v>
      </c>
      <c r="J140" s="144" t="str">
        <f>IFERROR(__xludf.DUMMYFUNCTION("""COMPUTED_VALUE"""),"Link")</f>
        <v>Link</v>
      </c>
      <c r="K140" s="144" t="str">
        <f>IFERROR(__xludf.DUMMYFUNCTION("""COMPUTED_VALUE"""),"Link")</f>
        <v>Link</v>
      </c>
      <c r="L140" s="144" t="str">
        <f>IFERROR(__xludf.DUMMYFUNCTION("""COMPUTED_VALUE"""),"Link")</f>
        <v>Link</v>
      </c>
      <c r="M140" s="144" t="str">
        <f>IFERROR(__xludf.DUMMYFUNCTION("""COMPUTED_VALUE"""),"Link")</f>
        <v>Link</v>
      </c>
      <c r="N140" s="144" t="str">
        <f>IFERROR(__xludf.DUMMYFUNCTION("""COMPUTED_VALUE"""),"Link")</f>
        <v>Link</v>
      </c>
      <c r="O140" s="144" t="str">
        <f>IFERROR(__xludf.DUMMYFUNCTION("""COMPUTED_VALUE"""),"Link")</f>
        <v>Link</v>
      </c>
      <c r="P140" s="144" t="str">
        <f>IFERROR(__xludf.DUMMYFUNCTION("""COMPUTED_VALUE"""),"Link")</f>
        <v>Link</v>
      </c>
      <c r="Q140" s="144" t="str">
        <f>IFERROR(__xludf.DUMMYFUNCTION("""COMPUTED_VALUE"""),"Link")</f>
        <v>Link</v>
      </c>
      <c r="R140" s="144" t="str">
        <f>IFERROR(__xludf.DUMMYFUNCTION("""COMPUTED_VALUE"""),"Link")</f>
        <v>Link</v>
      </c>
      <c r="S140" s="174"/>
    </row>
    <row r="141">
      <c r="A141" s="104" t="s">
        <v>5712</v>
      </c>
      <c r="B141" s="104" t="s">
        <v>6121</v>
      </c>
      <c r="C141" s="104" t="s">
        <v>6276</v>
      </c>
      <c r="D141" s="104" t="s">
        <v>235</v>
      </c>
      <c r="E141" s="104">
        <v>13.0</v>
      </c>
      <c r="F141" s="104">
        <v>8.0</v>
      </c>
      <c r="G141" s="168" t="s">
        <v>5713</v>
      </c>
      <c r="H141" s="168" t="s">
        <v>6277</v>
      </c>
      <c r="I141" s="144" t="str">
        <f>IFERROR(__xludf.DUMMYFUNCTION("LET(changes,FILTER('Pool Changes'!$B:$D, 'Pool Changes'!$B:$B = $D141),added,FILTER(INDEX(changes,0,3),INDEX(changes,0,2)=""add pack""),IFERROR(TRANSPOSE(ARRAYFORMULA(IF(added&lt;&gt;"""",HYPERLINK(""https://sealeddeck.tech/""&amp;added,""Link""),""""))),""""))"),"Link")</f>
        <v>Link</v>
      </c>
      <c r="J141" s="144" t="str">
        <f>IFERROR(__xludf.DUMMYFUNCTION("""COMPUTED_VALUE"""),"Link")</f>
        <v>Link</v>
      </c>
      <c r="K141" s="144" t="str">
        <f>IFERROR(__xludf.DUMMYFUNCTION("""COMPUTED_VALUE"""),"Link")</f>
        <v>Link</v>
      </c>
      <c r="L141" s="144" t="str">
        <f>IFERROR(__xludf.DUMMYFUNCTION("""COMPUTED_VALUE"""),"Link")</f>
        <v>Link</v>
      </c>
      <c r="M141" s="144" t="str">
        <f>IFERROR(__xludf.DUMMYFUNCTION("""COMPUTED_VALUE"""),"Link")</f>
        <v>Link</v>
      </c>
      <c r="N141" s="144" t="str">
        <f>IFERROR(__xludf.DUMMYFUNCTION("""COMPUTED_VALUE"""),"Link")</f>
        <v>Link</v>
      </c>
      <c r="O141" s="144" t="str">
        <f>IFERROR(__xludf.DUMMYFUNCTION("""COMPUTED_VALUE"""),"Link")</f>
        <v>Link</v>
      </c>
      <c r="P141" s="144" t="str">
        <f>IFERROR(__xludf.DUMMYFUNCTION("""COMPUTED_VALUE"""),"Link")</f>
        <v>Link</v>
      </c>
      <c r="Q141" s="144"/>
      <c r="R141" s="174"/>
      <c r="S141" s="174"/>
    </row>
    <row r="142">
      <c r="A142" s="104" t="s">
        <v>5714</v>
      </c>
      <c r="B142" s="104" t="s">
        <v>6098</v>
      </c>
      <c r="C142" s="104" t="s">
        <v>6278</v>
      </c>
      <c r="D142" s="104" t="s">
        <v>234</v>
      </c>
      <c r="E142" s="104">
        <v>17.0</v>
      </c>
      <c r="F142" s="104">
        <v>7.0</v>
      </c>
      <c r="G142" s="168" t="s">
        <v>5715</v>
      </c>
      <c r="H142" s="168" t="s">
        <v>6279</v>
      </c>
      <c r="I142" s="144" t="str">
        <f>IFERROR(__xludf.DUMMYFUNCTION("LET(changes,FILTER('Pool Changes'!$B:$D, 'Pool Changes'!$B:$B = $D142),added,FILTER(INDEX(changes,0,3),INDEX(changes,0,2)=""add pack""),IFERROR(TRANSPOSE(ARRAYFORMULA(IF(added&lt;&gt;"""",HYPERLINK(""https://sealeddeck.tech/""&amp;added,""Link""),""""))),""""))"),"Link")</f>
        <v>Link</v>
      </c>
      <c r="J142" s="144" t="str">
        <f>IFERROR(__xludf.DUMMYFUNCTION("""COMPUTED_VALUE"""),"Link")</f>
        <v>Link</v>
      </c>
      <c r="K142" s="144" t="str">
        <f>IFERROR(__xludf.DUMMYFUNCTION("""COMPUTED_VALUE"""),"Link")</f>
        <v>Link</v>
      </c>
      <c r="L142" s="144" t="str">
        <f>IFERROR(__xludf.DUMMYFUNCTION("""COMPUTED_VALUE"""),"Link")</f>
        <v>Link</v>
      </c>
      <c r="M142" s="144" t="str">
        <f>IFERROR(__xludf.DUMMYFUNCTION("""COMPUTED_VALUE"""),"Link")</f>
        <v>Link</v>
      </c>
      <c r="N142" s="144" t="str">
        <f>IFERROR(__xludf.DUMMYFUNCTION("""COMPUTED_VALUE"""),"Link")</f>
        <v>Link</v>
      </c>
      <c r="O142" s="144" t="str">
        <f>IFERROR(__xludf.DUMMYFUNCTION("""COMPUTED_VALUE"""),"Link")</f>
        <v>Link</v>
      </c>
      <c r="P142" s="144" t="str">
        <f>IFERROR(__xludf.DUMMYFUNCTION("""COMPUTED_VALUE"""),"Link")</f>
        <v>Link</v>
      </c>
      <c r="Q142" s="174"/>
      <c r="R142" s="174"/>
      <c r="S142" s="174"/>
    </row>
    <row r="143">
      <c r="A143" s="104" t="s">
        <v>5716</v>
      </c>
      <c r="B143" s="104" t="s">
        <v>6105</v>
      </c>
      <c r="C143" s="104" t="s">
        <v>6280</v>
      </c>
      <c r="D143" s="104" t="s">
        <v>210</v>
      </c>
      <c r="E143" s="104">
        <v>14.0</v>
      </c>
      <c r="F143" s="104">
        <v>10.0</v>
      </c>
      <c r="G143" s="168" t="s">
        <v>5717</v>
      </c>
      <c r="H143" s="168" t="s">
        <v>6281</v>
      </c>
      <c r="I143" s="144" t="str">
        <f>IFERROR(__xludf.DUMMYFUNCTION("LET(changes,FILTER('Pool Changes'!$B:$D, 'Pool Changes'!$B:$B = $D143),added,FILTER(INDEX(changes,0,3),INDEX(changes,0,2)=""add pack""),IFERROR(TRANSPOSE(ARRAYFORMULA(IF(added&lt;&gt;"""",HYPERLINK(""https://sealeddeck.tech/""&amp;added,""Link""),""""))),""""))"),"Link")</f>
        <v>Link</v>
      </c>
      <c r="J143" s="144" t="str">
        <f>IFERROR(__xludf.DUMMYFUNCTION("""COMPUTED_VALUE"""),"Link")</f>
        <v>Link</v>
      </c>
      <c r="K143" s="144" t="str">
        <f>IFERROR(__xludf.DUMMYFUNCTION("""COMPUTED_VALUE"""),"Link")</f>
        <v>Link</v>
      </c>
      <c r="L143" s="144" t="str">
        <f>IFERROR(__xludf.DUMMYFUNCTION("""COMPUTED_VALUE"""),"Link")</f>
        <v>Link</v>
      </c>
      <c r="M143" s="144" t="str">
        <f>IFERROR(__xludf.DUMMYFUNCTION("""COMPUTED_VALUE"""),"Link")</f>
        <v>Link</v>
      </c>
      <c r="N143" s="144" t="str">
        <f>IFERROR(__xludf.DUMMYFUNCTION("""COMPUTED_VALUE"""),"Link")</f>
        <v>Link</v>
      </c>
      <c r="O143" s="144" t="str">
        <f>IFERROR(__xludf.DUMMYFUNCTION("""COMPUTED_VALUE"""),"Link")</f>
        <v>Link</v>
      </c>
      <c r="P143" s="144" t="str">
        <f>IFERROR(__xludf.DUMMYFUNCTION("""COMPUTED_VALUE"""),"Link")</f>
        <v>Link</v>
      </c>
      <c r="Q143" s="144" t="str">
        <f>IFERROR(__xludf.DUMMYFUNCTION("""COMPUTED_VALUE"""),"Link")</f>
        <v>Link</v>
      </c>
      <c r="R143" s="144"/>
      <c r="S143" s="144"/>
    </row>
    <row r="144">
      <c r="A144" s="104" t="s">
        <v>5718</v>
      </c>
      <c r="B144" s="104" t="s">
        <v>6126</v>
      </c>
      <c r="C144" s="104" t="s">
        <v>6282</v>
      </c>
      <c r="D144" s="104" t="s">
        <v>156</v>
      </c>
      <c r="E144" s="104">
        <v>10.0</v>
      </c>
      <c r="F144" s="104">
        <v>10.0</v>
      </c>
      <c r="G144" s="168" t="s">
        <v>5719</v>
      </c>
      <c r="H144" s="168" t="s">
        <v>6283</v>
      </c>
      <c r="I144" s="144" t="str">
        <f>IFERROR(__xludf.DUMMYFUNCTION("LET(changes,FILTER('Pool Changes'!$B:$D, 'Pool Changes'!$B:$B = $D144),added,FILTER(INDEX(changes,0,3),INDEX(changes,0,2)=""add pack""),IFERROR(TRANSPOSE(ARRAYFORMULA(IF(added&lt;&gt;"""",HYPERLINK(""https://sealeddeck.tech/""&amp;added,""Link""),""""))),""""))"),"Link")</f>
        <v>Link</v>
      </c>
      <c r="J144" s="144" t="str">
        <f>IFERROR(__xludf.DUMMYFUNCTION("""COMPUTED_VALUE"""),"Link")</f>
        <v>Link</v>
      </c>
      <c r="K144" s="144" t="str">
        <f>IFERROR(__xludf.DUMMYFUNCTION("""COMPUTED_VALUE"""),"Link")</f>
        <v>Link</v>
      </c>
      <c r="L144" s="144" t="str">
        <f>IFERROR(__xludf.DUMMYFUNCTION("""COMPUTED_VALUE"""),"Link")</f>
        <v>Link</v>
      </c>
      <c r="M144" s="144" t="str">
        <f>IFERROR(__xludf.DUMMYFUNCTION("""COMPUTED_VALUE"""),"Link")</f>
        <v>Link</v>
      </c>
      <c r="N144" s="144" t="str">
        <f>IFERROR(__xludf.DUMMYFUNCTION("""COMPUTED_VALUE"""),"Link")</f>
        <v>Link</v>
      </c>
      <c r="O144" s="144" t="str">
        <f>IFERROR(__xludf.DUMMYFUNCTION("""COMPUTED_VALUE"""),"Link")</f>
        <v>Link</v>
      </c>
      <c r="P144" s="144" t="str">
        <f>IFERROR(__xludf.DUMMYFUNCTION("""COMPUTED_VALUE"""),"Link")</f>
        <v>Link</v>
      </c>
      <c r="Q144" s="144" t="str">
        <f>IFERROR(__xludf.DUMMYFUNCTION("""COMPUTED_VALUE"""),"Link")</f>
        <v>Link</v>
      </c>
      <c r="R144" s="144" t="str">
        <f>IFERROR(__xludf.DUMMYFUNCTION("""COMPUTED_VALUE"""),"Link")</f>
        <v>Link</v>
      </c>
      <c r="S144" s="144" t="str">
        <f>IFERROR(__xludf.DUMMYFUNCTION("""COMPUTED_VALUE"""),"Link")</f>
        <v>Link</v>
      </c>
    </row>
    <row r="145">
      <c r="A145" s="104" t="s">
        <v>5720</v>
      </c>
      <c r="B145" s="104" t="s">
        <v>6167</v>
      </c>
      <c r="C145" s="104" t="s">
        <v>6284</v>
      </c>
      <c r="D145" s="104" t="s">
        <v>200</v>
      </c>
      <c r="E145" s="104">
        <v>4.0</v>
      </c>
      <c r="F145" s="104">
        <v>11.0</v>
      </c>
      <c r="G145" s="168" t="s">
        <v>5721</v>
      </c>
      <c r="H145" s="168" t="s">
        <v>6285</v>
      </c>
      <c r="I145" s="144" t="str">
        <f>IFERROR(__xludf.DUMMYFUNCTION("LET(changes,FILTER('Pool Changes'!$B:$D, 'Pool Changes'!$B:$B = $D145),added,FILTER(INDEX(changes,0,3),INDEX(changes,0,2)=""add pack""),IFERROR(TRANSPOSE(ARRAYFORMULA(IF(added&lt;&gt;"""",HYPERLINK(""https://sealeddeck.tech/""&amp;added,""Link""),""""))),""""))"),"Link")</f>
        <v>Link</v>
      </c>
      <c r="J145" s="144" t="str">
        <f>IFERROR(__xludf.DUMMYFUNCTION("""COMPUTED_VALUE"""),"Link")</f>
        <v>Link</v>
      </c>
      <c r="K145" s="144" t="str">
        <f>IFERROR(__xludf.DUMMYFUNCTION("""COMPUTED_VALUE"""),"Link")</f>
        <v>Link</v>
      </c>
      <c r="L145" s="144" t="str">
        <f>IFERROR(__xludf.DUMMYFUNCTION("""COMPUTED_VALUE"""),"Link")</f>
        <v>Link</v>
      </c>
      <c r="M145" s="144" t="str">
        <f>IFERROR(__xludf.DUMMYFUNCTION("""COMPUTED_VALUE"""),"Link")</f>
        <v>Link</v>
      </c>
      <c r="N145" s="144" t="str">
        <f>IFERROR(__xludf.DUMMYFUNCTION("""COMPUTED_VALUE"""),"Link")</f>
        <v>Link</v>
      </c>
      <c r="O145" s="144" t="str">
        <f>IFERROR(__xludf.DUMMYFUNCTION("""COMPUTED_VALUE"""),"Link")</f>
        <v>Link</v>
      </c>
      <c r="P145" s="144" t="str">
        <f>IFERROR(__xludf.DUMMYFUNCTION("""COMPUTED_VALUE"""),"Link")</f>
        <v>Link</v>
      </c>
      <c r="Q145" s="144" t="str">
        <f>IFERROR(__xludf.DUMMYFUNCTION("""COMPUTED_VALUE"""),"Link")</f>
        <v>Link</v>
      </c>
      <c r="R145" s="144" t="str">
        <f>IFERROR(__xludf.DUMMYFUNCTION("""COMPUTED_VALUE"""),"Link")</f>
        <v>Link</v>
      </c>
      <c r="S145" s="144" t="str">
        <f>IFERROR(__xludf.DUMMYFUNCTION("""COMPUTED_VALUE"""),"Link")</f>
        <v>Link</v>
      </c>
    </row>
    <row r="146">
      <c r="A146" s="104" t="s">
        <v>5428</v>
      </c>
      <c r="B146" s="104" t="s">
        <v>6086</v>
      </c>
      <c r="C146" s="104" t="s">
        <v>6286</v>
      </c>
      <c r="D146" s="104" t="s">
        <v>183</v>
      </c>
      <c r="E146" s="104">
        <v>17.0</v>
      </c>
      <c r="F146" s="104">
        <v>8.0</v>
      </c>
      <c r="G146" s="168" t="s">
        <v>6287</v>
      </c>
      <c r="H146" s="168" t="s">
        <v>6288</v>
      </c>
      <c r="I146" s="144" t="str">
        <f>IFERROR(__xludf.DUMMYFUNCTION("LET(changes,FILTER('Pool Changes'!$B:$D, 'Pool Changes'!$B:$B = $D146),added,FILTER(INDEX(changes,0,3),INDEX(changes,0,2)=""add pack""),IFERROR(TRANSPOSE(ARRAYFORMULA(IF(added&lt;&gt;"""",HYPERLINK(""https://sealeddeck.tech/""&amp;added,""Link""),""""))),""""))"),"Link")</f>
        <v>Link</v>
      </c>
      <c r="J146" s="144" t="str">
        <f>IFERROR(__xludf.DUMMYFUNCTION("""COMPUTED_VALUE"""),"Link")</f>
        <v>Link</v>
      </c>
      <c r="K146" s="144" t="str">
        <f>IFERROR(__xludf.DUMMYFUNCTION("""COMPUTED_VALUE"""),"Link")</f>
        <v>Link</v>
      </c>
      <c r="L146" s="144" t="str">
        <f>IFERROR(__xludf.DUMMYFUNCTION("""COMPUTED_VALUE"""),"Link")</f>
        <v>Link</v>
      </c>
      <c r="M146" s="144" t="str">
        <f>IFERROR(__xludf.DUMMYFUNCTION("""COMPUTED_VALUE"""),"Link")</f>
        <v>Link</v>
      </c>
      <c r="N146" s="144" t="str">
        <f>IFERROR(__xludf.DUMMYFUNCTION("""COMPUTED_VALUE"""),"Link")</f>
        <v>Link</v>
      </c>
      <c r="O146" s="144"/>
      <c r="P146" s="144"/>
      <c r="Q146" s="144"/>
      <c r="R146" s="174"/>
      <c r="S146" s="174"/>
    </row>
    <row r="147">
      <c r="A147" s="104" t="s">
        <v>5723</v>
      </c>
      <c r="B147" s="104" t="s">
        <v>6164</v>
      </c>
      <c r="C147" s="104" t="s">
        <v>6289</v>
      </c>
      <c r="D147" s="104" t="s">
        <v>305</v>
      </c>
      <c r="E147" s="104">
        <v>4.0</v>
      </c>
      <c r="F147" s="104">
        <v>11.0</v>
      </c>
      <c r="G147" s="168" t="s">
        <v>5724</v>
      </c>
      <c r="H147" s="168" t="s">
        <v>6290</v>
      </c>
      <c r="I147" s="144" t="str">
        <f>IFERROR(__xludf.DUMMYFUNCTION("LET(changes,FILTER('Pool Changes'!$B:$D, 'Pool Changes'!$B:$B = $D147),added,FILTER(INDEX(changes,0,3),INDEX(changes,0,2)=""add pack""),IFERROR(TRANSPOSE(ARRAYFORMULA(IF(added&lt;&gt;"""",HYPERLINK(""https://sealeddeck.tech/""&amp;added,""Link""),""""))),""""))"),"Link")</f>
        <v>Link</v>
      </c>
      <c r="J147" s="144" t="str">
        <f>IFERROR(__xludf.DUMMYFUNCTION("""COMPUTED_VALUE"""),"Link")</f>
        <v>Link</v>
      </c>
      <c r="K147" s="144" t="str">
        <f>IFERROR(__xludf.DUMMYFUNCTION("""COMPUTED_VALUE"""),"Link")</f>
        <v>Link</v>
      </c>
      <c r="L147" s="144" t="str">
        <f>IFERROR(__xludf.DUMMYFUNCTION("""COMPUTED_VALUE"""),"Link")</f>
        <v>Link</v>
      </c>
      <c r="M147" s="144" t="str">
        <f>IFERROR(__xludf.DUMMYFUNCTION("""COMPUTED_VALUE"""),"Link")</f>
        <v>Link</v>
      </c>
      <c r="N147" s="144" t="str">
        <f>IFERROR(__xludf.DUMMYFUNCTION("""COMPUTED_VALUE"""),"Link")</f>
        <v>Link</v>
      </c>
      <c r="O147" s="174"/>
      <c r="P147" s="174"/>
      <c r="Q147" s="174"/>
      <c r="R147" s="174"/>
      <c r="S147" s="174"/>
    </row>
    <row r="148">
      <c r="A148" s="104" t="s">
        <v>5725</v>
      </c>
      <c r="B148" s="104" t="s">
        <v>6172</v>
      </c>
      <c r="C148" s="104" t="s">
        <v>6291</v>
      </c>
      <c r="D148" s="104" t="s">
        <v>264</v>
      </c>
      <c r="E148" s="104">
        <v>2.0</v>
      </c>
      <c r="F148" s="104">
        <v>11.0</v>
      </c>
      <c r="G148" s="168" t="s">
        <v>5726</v>
      </c>
      <c r="H148" s="168" t="s">
        <v>6292</v>
      </c>
      <c r="I148" s="144" t="str">
        <f>IFERROR(__xludf.DUMMYFUNCTION("LET(changes,FILTER('Pool Changes'!$B:$D, 'Pool Changes'!$B:$B = $D148),added,FILTER(INDEX(changes,0,3),INDEX(changes,0,2)=""add pack""),IFERROR(TRANSPOSE(ARRAYFORMULA(IF(added&lt;&gt;"""",HYPERLINK(""https://sealeddeck.tech/""&amp;added,""Link""),""""))),""""))"),"Link")</f>
        <v>Link</v>
      </c>
      <c r="J148" s="144" t="str">
        <f>IFERROR(__xludf.DUMMYFUNCTION("""COMPUTED_VALUE"""),"Link")</f>
        <v>Link</v>
      </c>
      <c r="K148" s="144" t="str">
        <f>IFERROR(__xludf.DUMMYFUNCTION("""COMPUTED_VALUE"""),"Link")</f>
        <v>Link</v>
      </c>
      <c r="L148" s="144" t="str">
        <f>IFERROR(__xludf.DUMMYFUNCTION("""COMPUTED_VALUE"""),"Link")</f>
        <v>Link</v>
      </c>
      <c r="M148" s="144" t="str">
        <f>IFERROR(__xludf.DUMMYFUNCTION("""COMPUTED_VALUE"""),"Link")</f>
        <v>Link</v>
      </c>
      <c r="N148" s="144" t="str">
        <f>IFERROR(__xludf.DUMMYFUNCTION("""COMPUTED_VALUE"""),"Link")</f>
        <v>Link</v>
      </c>
      <c r="O148" s="174"/>
      <c r="P148" s="174"/>
      <c r="Q148" s="174"/>
      <c r="R148" s="174"/>
      <c r="S148" s="174"/>
    </row>
    <row r="149">
      <c r="A149" s="104" t="s">
        <v>5727</v>
      </c>
      <c r="B149" s="104" t="s">
        <v>6151</v>
      </c>
      <c r="C149" s="104" t="s">
        <v>6293</v>
      </c>
      <c r="D149" s="104" t="s">
        <v>298</v>
      </c>
      <c r="E149" s="104">
        <v>8.0</v>
      </c>
      <c r="F149" s="104">
        <v>11.0</v>
      </c>
      <c r="G149" s="168" t="s">
        <v>5728</v>
      </c>
      <c r="H149" s="168" t="s">
        <v>6294</v>
      </c>
      <c r="I149" s="144" t="str">
        <f>IFERROR(__xludf.DUMMYFUNCTION("LET(changes,FILTER('Pool Changes'!$B:$D, 'Pool Changes'!$B:$B = $D149),added,FILTER(INDEX(changes,0,3),INDEX(changes,0,2)=""add pack""),IFERROR(TRANSPOSE(ARRAYFORMULA(IF(added&lt;&gt;"""",HYPERLINK(""https://sealeddeck.tech/""&amp;added,""Link""),""""))),""""))"),"Link")</f>
        <v>Link</v>
      </c>
      <c r="J149" s="144" t="str">
        <f>IFERROR(__xludf.DUMMYFUNCTION("""COMPUTED_VALUE"""),"Link")</f>
        <v>Link</v>
      </c>
      <c r="K149" s="144" t="str">
        <f>IFERROR(__xludf.DUMMYFUNCTION("""COMPUTED_VALUE"""),"Link")</f>
        <v>Link</v>
      </c>
      <c r="L149" s="144" t="str">
        <f>IFERROR(__xludf.DUMMYFUNCTION("""COMPUTED_VALUE"""),"Link")</f>
        <v>Link</v>
      </c>
      <c r="M149" s="144" t="str">
        <f>IFERROR(__xludf.DUMMYFUNCTION("""COMPUTED_VALUE"""),"Link")</f>
        <v>Link</v>
      </c>
      <c r="N149" s="144" t="str">
        <f>IFERROR(__xludf.DUMMYFUNCTION("""COMPUTED_VALUE"""),"Link")</f>
        <v>Link</v>
      </c>
      <c r="O149" s="144" t="str">
        <f>IFERROR(__xludf.DUMMYFUNCTION("""COMPUTED_VALUE"""),"Link")</f>
        <v>Link</v>
      </c>
      <c r="P149" s="144" t="str">
        <f>IFERROR(__xludf.DUMMYFUNCTION("""COMPUTED_VALUE"""),"Link")</f>
        <v>Link</v>
      </c>
      <c r="Q149" s="144" t="str">
        <f>IFERROR(__xludf.DUMMYFUNCTION("""COMPUTED_VALUE"""),"Link")</f>
        <v>Link</v>
      </c>
      <c r="R149" s="144" t="str">
        <f>IFERROR(__xludf.DUMMYFUNCTION("""COMPUTED_VALUE"""),"Link")</f>
        <v>Link</v>
      </c>
      <c r="S149" s="144" t="str">
        <f>IFERROR(__xludf.DUMMYFUNCTION("""COMPUTED_VALUE"""),"Link")</f>
        <v>Link</v>
      </c>
    </row>
    <row r="150">
      <c r="A150" s="104" t="s">
        <v>5729</v>
      </c>
      <c r="B150" s="104" t="s">
        <v>6166</v>
      </c>
      <c r="C150" s="104" t="s">
        <v>6295</v>
      </c>
      <c r="D150" s="104" t="s">
        <v>263</v>
      </c>
      <c r="E150" s="104">
        <v>4.0</v>
      </c>
      <c r="F150" s="104">
        <v>11.0</v>
      </c>
      <c r="G150" s="168" t="s">
        <v>5730</v>
      </c>
      <c r="H150" s="168" t="s">
        <v>6296</v>
      </c>
      <c r="I150" s="144" t="str">
        <f>IFERROR(__xludf.DUMMYFUNCTION("LET(changes,FILTER('Pool Changes'!$B:$D, 'Pool Changes'!$B:$B = $D150),added,FILTER(INDEX(changes,0,3),INDEX(changes,0,2)=""add pack""),IFERROR(TRANSPOSE(ARRAYFORMULA(IF(added&lt;&gt;"""",HYPERLINK(""https://sealeddeck.tech/""&amp;added,""Link""),""""))),""""))"),"Link")</f>
        <v>Link</v>
      </c>
      <c r="J150" s="144" t="str">
        <f>IFERROR(__xludf.DUMMYFUNCTION("""COMPUTED_VALUE"""),"Link")</f>
        <v>Link</v>
      </c>
      <c r="K150" s="144" t="str">
        <f>IFERROR(__xludf.DUMMYFUNCTION("""COMPUTED_VALUE"""),"Link")</f>
        <v>Link</v>
      </c>
      <c r="L150" s="144" t="str">
        <f>IFERROR(__xludf.DUMMYFUNCTION("""COMPUTED_VALUE"""),"Link")</f>
        <v>Link</v>
      </c>
      <c r="M150" s="144" t="str">
        <f>IFERROR(__xludf.DUMMYFUNCTION("""COMPUTED_VALUE"""),"Link")</f>
        <v>Link</v>
      </c>
      <c r="N150" s="144" t="str">
        <f>IFERROR(__xludf.DUMMYFUNCTION("""COMPUTED_VALUE"""),"Link")</f>
        <v>Link</v>
      </c>
      <c r="O150" s="144" t="str">
        <f>IFERROR(__xludf.DUMMYFUNCTION("""COMPUTED_VALUE"""),"Link")</f>
        <v>Link</v>
      </c>
      <c r="P150" s="144" t="str">
        <f>IFERROR(__xludf.DUMMYFUNCTION("""COMPUTED_VALUE"""),"Link")</f>
        <v>Link</v>
      </c>
      <c r="Q150" s="144" t="str">
        <f>IFERROR(__xludf.DUMMYFUNCTION("""COMPUTED_VALUE"""),"Link")</f>
        <v>Link</v>
      </c>
      <c r="R150" s="144" t="str">
        <f>IFERROR(__xludf.DUMMYFUNCTION("""COMPUTED_VALUE"""),"Link")</f>
        <v>Link</v>
      </c>
      <c r="S150" s="144" t="str">
        <f>IFERROR(__xludf.DUMMYFUNCTION("""COMPUTED_VALUE"""),"Link")</f>
        <v>Link</v>
      </c>
    </row>
    <row r="151">
      <c r="A151" s="104" t="s">
        <v>5731</v>
      </c>
      <c r="B151" s="104" t="s">
        <v>6149</v>
      </c>
      <c r="C151" s="104" t="s">
        <v>6297</v>
      </c>
      <c r="D151" s="104" t="s">
        <v>293</v>
      </c>
      <c r="E151" s="104">
        <v>8.0</v>
      </c>
      <c r="F151" s="104">
        <v>11.0</v>
      </c>
      <c r="G151" s="168" t="s">
        <v>5732</v>
      </c>
      <c r="H151" s="168" t="s">
        <v>6298</v>
      </c>
      <c r="I151" s="144" t="str">
        <f>IFERROR(__xludf.DUMMYFUNCTION("LET(changes,FILTER('Pool Changes'!$B:$D, 'Pool Changes'!$B:$B = $D151),added,FILTER(INDEX(changes,0,3),INDEX(changes,0,2)=""add pack""),IFERROR(TRANSPOSE(ARRAYFORMULA(IF(added&lt;&gt;"""",HYPERLINK(""https://sealeddeck.tech/""&amp;added,""Link""),""""))),""""))"),"Link")</f>
        <v>Link</v>
      </c>
      <c r="J151" s="144" t="str">
        <f>IFERROR(__xludf.DUMMYFUNCTION("""COMPUTED_VALUE"""),"Link")</f>
        <v>Link</v>
      </c>
      <c r="K151" s="144" t="str">
        <f>IFERROR(__xludf.DUMMYFUNCTION("""COMPUTED_VALUE"""),"Link")</f>
        <v>Link</v>
      </c>
      <c r="L151" s="144" t="str">
        <f>IFERROR(__xludf.DUMMYFUNCTION("""COMPUTED_VALUE"""),"Link")</f>
        <v>Link</v>
      </c>
      <c r="M151" s="144" t="str">
        <f>IFERROR(__xludf.DUMMYFUNCTION("""COMPUTED_VALUE"""),"Link")</f>
        <v>Link</v>
      </c>
      <c r="N151" s="144" t="str">
        <f>IFERROR(__xludf.DUMMYFUNCTION("""COMPUTED_VALUE"""),"Link")</f>
        <v>Link</v>
      </c>
      <c r="O151" s="144" t="str">
        <f>IFERROR(__xludf.DUMMYFUNCTION("""COMPUTED_VALUE"""),"Link")</f>
        <v>Link</v>
      </c>
      <c r="P151" s="144" t="str">
        <f>IFERROR(__xludf.DUMMYFUNCTION("""COMPUTED_VALUE"""),"Link")</f>
        <v>Link</v>
      </c>
      <c r="Q151" s="144" t="str">
        <f>IFERROR(__xludf.DUMMYFUNCTION("""COMPUTED_VALUE"""),"Link")</f>
        <v>Link</v>
      </c>
      <c r="R151" s="144" t="str">
        <f>IFERROR(__xludf.DUMMYFUNCTION("""COMPUTED_VALUE"""),"Link")</f>
        <v>Link</v>
      </c>
      <c r="S151" s="144" t="str">
        <f>IFERROR(__xludf.DUMMYFUNCTION("""COMPUTED_VALUE"""),"Link")</f>
        <v>Link</v>
      </c>
    </row>
    <row r="152">
      <c r="A152" s="104" t="s">
        <v>5733</v>
      </c>
      <c r="B152" s="104" t="s">
        <v>6163</v>
      </c>
      <c r="C152" s="104" t="s">
        <v>6300</v>
      </c>
      <c r="D152" s="104" t="s">
        <v>94</v>
      </c>
      <c r="E152" s="104">
        <v>5.0</v>
      </c>
      <c r="F152" s="104">
        <v>11.0</v>
      </c>
      <c r="G152" s="168" t="s">
        <v>5734</v>
      </c>
      <c r="H152" s="168" t="s">
        <v>6301</v>
      </c>
      <c r="I152" s="144" t="str">
        <f>IFERROR(__xludf.DUMMYFUNCTION("LET(changes,FILTER('Pool Changes'!$B:$D, 'Pool Changes'!$B:$B = $D152),added,FILTER(INDEX(changes,0,3),INDEX(changes,0,2)=""add pack""),IFERROR(TRANSPOSE(ARRAYFORMULA(IF(added&lt;&gt;"""",HYPERLINK(""https://sealeddeck.tech/""&amp;added,""Link""),""""))),""""))"),"Link")</f>
        <v>Link</v>
      </c>
      <c r="J152" s="144" t="str">
        <f>IFERROR(__xludf.DUMMYFUNCTION("""COMPUTED_VALUE"""),"Link")</f>
        <v>Link</v>
      </c>
      <c r="K152" s="144" t="str">
        <f>IFERROR(__xludf.DUMMYFUNCTION("""COMPUTED_VALUE"""),"Link")</f>
        <v>Link</v>
      </c>
      <c r="L152" s="144" t="str">
        <f>IFERROR(__xludf.DUMMYFUNCTION("""COMPUTED_VALUE"""),"Link")</f>
        <v>Link</v>
      </c>
      <c r="M152" s="144" t="str">
        <f>IFERROR(__xludf.DUMMYFUNCTION("""COMPUTED_VALUE"""),"Link")</f>
        <v>Link</v>
      </c>
      <c r="N152" s="144" t="str">
        <f>IFERROR(__xludf.DUMMYFUNCTION("""COMPUTED_VALUE"""),"Link")</f>
        <v>Link</v>
      </c>
      <c r="O152" s="144" t="str">
        <f>IFERROR(__xludf.DUMMYFUNCTION("""COMPUTED_VALUE"""),"Link")</f>
        <v>Link</v>
      </c>
      <c r="P152" s="144" t="str">
        <f>IFERROR(__xludf.DUMMYFUNCTION("""COMPUTED_VALUE"""),"Link")</f>
        <v>Link</v>
      </c>
      <c r="Q152" s="144" t="str">
        <f>IFERROR(__xludf.DUMMYFUNCTION("""COMPUTED_VALUE"""),"Link")</f>
        <v>Link</v>
      </c>
      <c r="R152" s="144"/>
      <c r="S152" s="174"/>
    </row>
    <row r="153">
      <c r="A153" s="104" t="s">
        <v>5735</v>
      </c>
      <c r="B153" s="104" t="s">
        <v>6152</v>
      </c>
      <c r="C153" s="104">
        <v>1.8983641030656E17</v>
      </c>
      <c r="D153" s="104" t="s">
        <v>208</v>
      </c>
      <c r="E153" s="104">
        <v>8.0</v>
      </c>
      <c r="F153" s="104">
        <v>11.0</v>
      </c>
      <c r="G153" s="168" t="s">
        <v>5736</v>
      </c>
      <c r="H153" s="168" t="s">
        <v>6302</v>
      </c>
      <c r="I153" s="144" t="str">
        <f>IFERROR(__xludf.DUMMYFUNCTION("LET(changes,FILTER('Pool Changes'!$B:$D, 'Pool Changes'!$B:$B = $D153),added,FILTER(INDEX(changes,0,3),INDEX(changes,0,2)=""add pack""),IFERROR(TRANSPOSE(ARRAYFORMULA(IF(added&lt;&gt;"""",HYPERLINK(""https://sealeddeck.tech/""&amp;added,""Link""),""""))),""""))"),"Link")</f>
        <v>Link</v>
      </c>
      <c r="J153" s="144" t="str">
        <f>IFERROR(__xludf.DUMMYFUNCTION("""COMPUTED_VALUE"""),"Link")</f>
        <v>Link</v>
      </c>
      <c r="K153" s="144" t="str">
        <f>IFERROR(__xludf.DUMMYFUNCTION("""COMPUTED_VALUE"""),"Link")</f>
        <v>Link</v>
      </c>
      <c r="L153" s="144" t="str">
        <f>IFERROR(__xludf.DUMMYFUNCTION("""COMPUTED_VALUE"""),"Link")</f>
        <v>Link</v>
      </c>
      <c r="M153" s="144" t="str">
        <f>IFERROR(__xludf.DUMMYFUNCTION("""COMPUTED_VALUE"""),"Link")</f>
        <v>Link</v>
      </c>
      <c r="N153" s="144" t="str">
        <f>IFERROR(__xludf.DUMMYFUNCTION("""COMPUTED_VALUE"""),"Link")</f>
        <v>Link</v>
      </c>
      <c r="O153" s="144" t="str">
        <f>IFERROR(__xludf.DUMMYFUNCTION("""COMPUTED_VALUE"""),"Link")</f>
        <v>Link</v>
      </c>
      <c r="P153" s="144" t="str">
        <f>IFERROR(__xludf.DUMMYFUNCTION("""COMPUTED_VALUE"""),"Link")</f>
        <v>Link</v>
      </c>
      <c r="Q153" s="144" t="str">
        <f>IFERROR(__xludf.DUMMYFUNCTION("""COMPUTED_VALUE"""),"Link")</f>
        <v>Link</v>
      </c>
      <c r="R153" s="144" t="str">
        <f>IFERROR(__xludf.DUMMYFUNCTION("""COMPUTED_VALUE"""),"Link")</f>
        <v>Link</v>
      </c>
      <c r="S153" s="144" t="str">
        <f>IFERROR(__xludf.DUMMYFUNCTION("""COMPUTED_VALUE"""),"Link")</f>
        <v>Link</v>
      </c>
    </row>
    <row r="154">
      <c r="A154" s="104" t="s">
        <v>5737</v>
      </c>
      <c r="B154" s="104" t="s">
        <v>6109</v>
      </c>
      <c r="C154" s="104" t="s">
        <v>6303</v>
      </c>
      <c r="D154" s="104" t="s">
        <v>191</v>
      </c>
      <c r="E154" s="104">
        <v>11.0</v>
      </c>
      <c r="F154" s="104">
        <v>9.0</v>
      </c>
      <c r="G154" s="168" t="s">
        <v>5738</v>
      </c>
      <c r="H154" s="168" t="s">
        <v>6304</v>
      </c>
      <c r="I154" s="144" t="str">
        <f>IFERROR(__xludf.DUMMYFUNCTION("LET(changes,FILTER('Pool Changes'!$B:$D, 'Pool Changes'!$B:$B = $D154),added,FILTER(INDEX(changes,0,3),INDEX(changes,0,2)=""add pack""),IFERROR(TRANSPOSE(ARRAYFORMULA(IF(added&lt;&gt;"""",HYPERLINK(""https://sealeddeck.tech/""&amp;added,""Link""),""""))),""""))"),"Link")</f>
        <v>Link</v>
      </c>
      <c r="J154" s="144" t="str">
        <f>IFERROR(__xludf.DUMMYFUNCTION("""COMPUTED_VALUE"""),"Link")</f>
        <v>Link</v>
      </c>
      <c r="K154" s="144" t="str">
        <f>IFERROR(__xludf.DUMMYFUNCTION("""COMPUTED_VALUE"""),"Link")</f>
        <v>Link</v>
      </c>
      <c r="L154" s="144" t="str">
        <f>IFERROR(__xludf.DUMMYFUNCTION("""COMPUTED_VALUE"""),"Link")</f>
        <v>Link</v>
      </c>
      <c r="M154" s="144" t="str">
        <f>IFERROR(__xludf.DUMMYFUNCTION("""COMPUTED_VALUE"""),"Link")</f>
        <v>Link</v>
      </c>
      <c r="N154" s="144" t="str">
        <f>IFERROR(__xludf.DUMMYFUNCTION("""COMPUTED_VALUE"""),"Link")</f>
        <v>Link</v>
      </c>
      <c r="O154" s="144" t="str">
        <f>IFERROR(__xludf.DUMMYFUNCTION("""COMPUTED_VALUE"""),"Link")</f>
        <v>Link</v>
      </c>
      <c r="P154" s="144" t="str">
        <f>IFERROR(__xludf.DUMMYFUNCTION("""COMPUTED_VALUE"""),"Link")</f>
        <v>Link</v>
      </c>
      <c r="Q154" s="144"/>
      <c r="R154" s="144"/>
      <c r="S154" s="174"/>
    </row>
    <row r="155">
      <c r="A155" s="104" t="s">
        <v>5655</v>
      </c>
      <c r="B155" s="104" t="s">
        <v>6095</v>
      </c>
      <c r="C155" s="104" t="s">
        <v>6305</v>
      </c>
      <c r="D155" s="104" t="s">
        <v>261</v>
      </c>
      <c r="E155" s="104">
        <v>14.0</v>
      </c>
      <c r="F155" s="104">
        <v>10.0</v>
      </c>
      <c r="G155" s="168" t="s">
        <v>5739</v>
      </c>
      <c r="H155" s="168" t="s">
        <v>6306</v>
      </c>
      <c r="I155" s="144" t="str">
        <f>IFERROR(__xludf.DUMMYFUNCTION("LET(changes,FILTER('Pool Changes'!$B:$D, 'Pool Changes'!$B:$B = $D155),added,FILTER(INDEX(changes,0,3),INDEX(changes,0,2)=""add pack""),IFERROR(TRANSPOSE(ARRAYFORMULA(IF(added&lt;&gt;"""",HYPERLINK(""https://sealeddeck.tech/""&amp;added,""Link""),""""))),""""))"),"Link")</f>
        <v>Link</v>
      </c>
      <c r="J155" s="144" t="str">
        <f>IFERROR(__xludf.DUMMYFUNCTION("""COMPUTED_VALUE"""),"Link")</f>
        <v>Link</v>
      </c>
      <c r="K155" s="144" t="str">
        <f>IFERROR(__xludf.DUMMYFUNCTION("""COMPUTED_VALUE"""),"Link")</f>
        <v>Link</v>
      </c>
      <c r="L155" s="144" t="str">
        <f>IFERROR(__xludf.DUMMYFUNCTION("""COMPUTED_VALUE"""),"Link")</f>
        <v>Link</v>
      </c>
      <c r="M155" s="144" t="str">
        <f>IFERROR(__xludf.DUMMYFUNCTION("""COMPUTED_VALUE"""),"Link")</f>
        <v>Link</v>
      </c>
      <c r="N155" s="144" t="str">
        <f>IFERROR(__xludf.DUMMYFUNCTION("""COMPUTED_VALUE"""),"Link")</f>
        <v>Link</v>
      </c>
      <c r="O155" s="144" t="str">
        <f>IFERROR(__xludf.DUMMYFUNCTION("""COMPUTED_VALUE"""),"Link")</f>
        <v>Link</v>
      </c>
      <c r="P155" s="144" t="str">
        <f>IFERROR(__xludf.DUMMYFUNCTION("""COMPUTED_VALUE"""),"Link")</f>
        <v>Link</v>
      </c>
      <c r="Q155" s="144"/>
      <c r="R155" s="144"/>
      <c r="S155" s="144"/>
    </row>
    <row r="156">
      <c r="A156" s="104" t="s">
        <v>5740</v>
      </c>
      <c r="B156" s="104" t="s">
        <v>6130</v>
      </c>
      <c r="C156" s="104" t="s">
        <v>6307</v>
      </c>
      <c r="D156" s="104" t="s">
        <v>150</v>
      </c>
      <c r="E156" s="104">
        <v>14.0</v>
      </c>
      <c r="F156" s="104">
        <v>10.0</v>
      </c>
      <c r="G156" s="168" t="s">
        <v>5741</v>
      </c>
      <c r="H156" s="168" t="s">
        <v>6308</v>
      </c>
      <c r="I156" s="144" t="str">
        <f>IFERROR(__xludf.DUMMYFUNCTION("LET(changes,FILTER('Pool Changes'!$B:$D, 'Pool Changes'!$B:$B = $D156),added,FILTER(INDEX(changes,0,3),INDEX(changes,0,2)=""add pack""),IFERROR(TRANSPOSE(ARRAYFORMULA(IF(added&lt;&gt;"""",HYPERLINK(""https://sealeddeck.tech/""&amp;added,""Link""),""""))),""""))"),"Link")</f>
        <v>Link</v>
      </c>
      <c r="J156" s="144" t="str">
        <f>IFERROR(__xludf.DUMMYFUNCTION("""COMPUTED_VALUE"""),"Link")</f>
        <v>Link</v>
      </c>
      <c r="K156" s="144" t="str">
        <f>IFERROR(__xludf.DUMMYFUNCTION("""COMPUTED_VALUE"""),"Link")</f>
        <v>Link</v>
      </c>
      <c r="L156" s="144" t="str">
        <f>IFERROR(__xludf.DUMMYFUNCTION("""COMPUTED_VALUE"""),"Link")</f>
        <v>Link</v>
      </c>
      <c r="M156" s="144" t="str">
        <f>IFERROR(__xludf.DUMMYFUNCTION("""COMPUTED_VALUE"""),"Link")</f>
        <v>Link</v>
      </c>
      <c r="N156" s="144" t="str">
        <f>IFERROR(__xludf.DUMMYFUNCTION("""COMPUTED_VALUE"""),"Link")</f>
        <v>Link</v>
      </c>
      <c r="O156" s="144" t="str">
        <f>IFERROR(__xludf.DUMMYFUNCTION("""COMPUTED_VALUE"""),"Link")</f>
        <v>Link</v>
      </c>
      <c r="P156" s="144" t="str">
        <f>IFERROR(__xludf.DUMMYFUNCTION("""COMPUTED_VALUE"""),"Link")</f>
        <v>Link</v>
      </c>
      <c r="Q156" s="144" t="str">
        <f>IFERROR(__xludf.DUMMYFUNCTION("""COMPUTED_VALUE"""),"Link")</f>
        <v>Link</v>
      </c>
      <c r="R156" s="144" t="str">
        <f>IFERROR(__xludf.DUMMYFUNCTION("""COMPUTED_VALUE"""),"Link")</f>
        <v>Link</v>
      </c>
      <c r="S156" s="144" t="str">
        <f>IFERROR(__xludf.DUMMYFUNCTION("""COMPUTED_VALUE"""),"Link")</f>
        <v>Link</v>
      </c>
    </row>
    <row r="157">
      <c r="A157" s="104" t="s">
        <v>5742</v>
      </c>
      <c r="B157" s="104" t="s">
        <v>6154</v>
      </c>
      <c r="C157" s="104" t="s">
        <v>6309</v>
      </c>
      <c r="D157" s="104" t="s">
        <v>286</v>
      </c>
      <c r="E157" s="104">
        <v>7.0</v>
      </c>
      <c r="F157" s="104">
        <v>11.0</v>
      </c>
      <c r="G157" s="168" t="s">
        <v>5743</v>
      </c>
      <c r="H157" s="168" t="s">
        <v>6310</v>
      </c>
      <c r="I157" s="144" t="str">
        <f>IFERROR(__xludf.DUMMYFUNCTION("LET(changes,FILTER('Pool Changes'!$B:$D, 'Pool Changes'!$B:$B = $D157),added,FILTER(INDEX(changes,0,3),INDEX(changes,0,2)=""add pack""),IFERROR(TRANSPOSE(ARRAYFORMULA(IF(added&lt;&gt;"""",HYPERLINK(""https://sealeddeck.tech/""&amp;added,""Link""),""""))),""""))"),"Link")</f>
        <v>Link</v>
      </c>
      <c r="J157" s="144" t="str">
        <f>IFERROR(__xludf.DUMMYFUNCTION("""COMPUTED_VALUE"""),"Link")</f>
        <v>Link</v>
      </c>
      <c r="K157" s="144" t="str">
        <f>IFERROR(__xludf.DUMMYFUNCTION("""COMPUTED_VALUE"""),"Link")</f>
        <v>Link</v>
      </c>
      <c r="L157" s="144" t="str">
        <f>IFERROR(__xludf.DUMMYFUNCTION("""COMPUTED_VALUE"""),"Link")</f>
        <v>Link</v>
      </c>
      <c r="M157" s="144" t="str">
        <f>IFERROR(__xludf.DUMMYFUNCTION("""COMPUTED_VALUE"""),"Link")</f>
        <v>Link</v>
      </c>
      <c r="N157" s="144" t="str">
        <f>IFERROR(__xludf.DUMMYFUNCTION("""COMPUTED_VALUE"""),"Link")</f>
        <v>Link</v>
      </c>
      <c r="O157" s="144" t="str">
        <f>IFERROR(__xludf.DUMMYFUNCTION("""COMPUTED_VALUE"""),"Link")</f>
        <v>Link</v>
      </c>
      <c r="P157" s="174"/>
      <c r="Q157" s="174"/>
      <c r="R157" s="174"/>
      <c r="S157" s="174"/>
    </row>
    <row r="158">
      <c r="A158" s="104" t="s">
        <v>5744</v>
      </c>
      <c r="B158" s="104" t="s">
        <v>6181</v>
      </c>
      <c r="C158" s="104" t="s">
        <v>6311</v>
      </c>
      <c r="D158" s="104" t="s">
        <v>274</v>
      </c>
      <c r="E158" s="104">
        <v>1.0</v>
      </c>
      <c r="F158" s="104">
        <v>11.0</v>
      </c>
      <c r="G158" s="168" t="s">
        <v>5745</v>
      </c>
      <c r="H158" s="168" t="s">
        <v>6312</v>
      </c>
      <c r="I158" s="144" t="str">
        <f>IFERROR(__xludf.DUMMYFUNCTION("LET(changes,FILTER('Pool Changes'!$B:$D, 'Pool Changes'!$B:$B = $D158),added,FILTER(INDEX(changes,0,3),INDEX(changes,0,2)=""add pack""),IFERROR(TRANSPOSE(ARRAYFORMULA(IF(added&lt;&gt;"""",HYPERLINK(""https://sealeddeck.tech/""&amp;added,""Link""),""""))),""""))"),"Link")</f>
        <v>Link</v>
      </c>
      <c r="J158" s="144" t="str">
        <f>IFERROR(__xludf.DUMMYFUNCTION("""COMPUTED_VALUE"""),"Link")</f>
        <v>Link</v>
      </c>
      <c r="K158" s="144" t="str">
        <f>IFERROR(__xludf.DUMMYFUNCTION("""COMPUTED_VALUE"""),"Link")</f>
        <v>Link</v>
      </c>
      <c r="L158" s="144" t="str">
        <f>IFERROR(__xludf.DUMMYFUNCTION("""COMPUTED_VALUE"""),"Link")</f>
        <v>Link</v>
      </c>
      <c r="M158" s="144" t="str">
        <f>IFERROR(__xludf.DUMMYFUNCTION("""COMPUTED_VALUE"""),"Link")</f>
        <v>Link</v>
      </c>
      <c r="N158" s="144" t="str">
        <f>IFERROR(__xludf.DUMMYFUNCTION("""COMPUTED_VALUE"""),"Link")</f>
        <v>Link</v>
      </c>
      <c r="O158" s="144" t="str">
        <f>IFERROR(__xludf.DUMMYFUNCTION("""COMPUTED_VALUE"""),"Link")</f>
        <v>Link</v>
      </c>
      <c r="P158" s="144" t="str">
        <f>IFERROR(__xludf.DUMMYFUNCTION("""COMPUTED_VALUE"""),"Link")</f>
        <v>Link</v>
      </c>
      <c r="Q158" s="144" t="str">
        <f>IFERROR(__xludf.DUMMYFUNCTION("""COMPUTED_VALUE"""),"Link")</f>
        <v>Link</v>
      </c>
      <c r="R158" s="144" t="str">
        <f>IFERROR(__xludf.DUMMYFUNCTION("""COMPUTED_VALUE"""),"Link")</f>
        <v>Link</v>
      </c>
      <c r="S158" s="144" t="str">
        <f>IFERROR(__xludf.DUMMYFUNCTION("""COMPUTED_VALUE"""),"Link")</f>
        <v>Link</v>
      </c>
    </row>
    <row r="159">
      <c r="A159" s="104" t="s">
        <v>5746</v>
      </c>
      <c r="B159" s="104" t="s">
        <v>6147</v>
      </c>
      <c r="C159" s="104" t="s">
        <v>6313</v>
      </c>
      <c r="D159" s="104" t="s">
        <v>257</v>
      </c>
      <c r="E159" s="104">
        <v>8.0</v>
      </c>
      <c r="F159" s="104">
        <v>11.0</v>
      </c>
      <c r="G159" s="168" t="s">
        <v>5747</v>
      </c>
      <c r="H159" s="168" t="s">
        <v>6314</v>
      </c>
      <c r="I159" s="144" t="str">
        <f>IFERROR(__xludf.DUMMYFUNCTION("LET(changes,FILTER('Pool Changes'!$B:$D, 'Pool Changes'!$B:$B = $D159),added,FILTER(INDEX(changes,0,3),INDEX(changes,0,2)=""add pack""),IFERROR(TRANSPOSE(ARRAYFORMULA(IF(added&lt;&gt;"""",HYPERLINK(""https://sealeddeck.tech/""&amp;added,""Link""),""""))),""""))"),"Link")</f>
        <v>Link</v>
      </c>
      <c r="J159" s="144" t="str">
        <f>IFERROR(__xludf.DUMMYFUNCTION("""COMPUTED_VALUE"""),"Link")</f>
        <v>Link</v>
      </c>
      <c r="K159" s="144" t="str">
        <f>IFERROR(__xludf.DUMMYFUNCTION("""COMPUTED_VALUE"""),"Link")</f>
        <v>Link</v>
      </c>
      <c r="L159" s="144" t="str">
        <f>IFERROR(__xludf.DUMMYFUNCTION("""COMPUTED_VALUE"""),"Link")</f>
        <v>Link</v>
      </c>
      <c r="M159" s="144" t="str">
        <f>IFERROR(__xludf.DUMMYFUNCTION("""COMPUTED_VALUE"""),"Link")</f>
        <v>Link</v>
      </c>
      <c r="N159" s="144" t="str">
        <f>IFERROR(__xludf.DUMMYFUNCTION("""COMPUTED_VALUE"""),"Link")</f>
        <v>Link</v>
      </c>
      <c r="O159" s="144" t="str">
        <f>IFERROR(__xludf.DUMMYFUNCTION("""COMPUTED_VALUE"""),"Link")</f>
        <v>Link</v>
      </c>
      <c r="P159" s="144" t="str">
        <f>IFERROR(__xludf.DUMMYFUNCTION("""COMPUTED_VALUE"""),"Link")</f>
        <v>Link</v>
      </c>
      <c r="Q159" s="144" t="str">
        <f>IFERROR(__xludf.DUMMYFUNCTION("""COMPUTED_VALUE"""),"Link")</f>
        <v>Link</v>
      </c>
      <c r="R159" s="144" t="str">
        <f>IFERROR(__xludf.DUMMYFUNCTION("""COMPUTED_VALUE"""),"Link")</f>
        <v>Link</v>
      </c>
      <c r="S159" s="144" t="str">
        <f>IFERROR(__xludf.DUMMYFUNCTION("""COMPUTED_VALUE"""),"Link")</f>
        <v>Link</v>
      </c>
    </row>
    <row r="160">
      <c r="A160" s="104" t="s">
        <v>5748</v>
      </c>
      <c r="B160" s="104" t="s">
        <v>6176</v>
      </c>
      <c r="C160" s="104" t="s">
        <v>6315</v>
      </c>
      <c r="D160" s="104" t="s">
        <v>221</v>
      </c>
      <c r="E160" s="104">
        <v>2.0</v>
      </c>
      <c r="F160" s="104">
        <v>11.0</v>
      </c>
      <c r="G160" s="168" t="s">
        <v>5749</v>
      </c>
      <c r="H160" s="168" t="s">
        <v>6316</v>
      </c>
      <c r="I160" s="144" t="str">
        <f>IFERROR(__xludf.DUMMYFUNCTION("LET(changes,FILTER('Pool Changes'!$B:$D, 'Pool Changes'!$B:$B = $D160),added,FILTER(INDEX(changes,0,3),INDEX(changes,0,2)=""add pack""),IFERROR(TRANSPOSE(ARRAYFORMULA(IF(added&lt;&gt;"""",HYPERLINK(""https://sealeddeck.tech/""&amp;added,""Link""),""""))),""""))"),"Link")</f>
        <v>Link</v>
      </c>
      <c r="J160" s="144" t="str">
        <f>IFERROR(__xludf.DUMMYFUNCTION("""COMPUTED_VALUE"""),"Link")</f>
        <v>Link</v>
      </c>
      <c r="K160" s="144" t="str">
        <f>IFERROR(__xludf.DUMMYFUNCTION("""COMPUTED_VALUE"""),"Link")</f>
        <v>Link</v>
      </c>
      <c r="L160" s="144" t="str">
        <f>IFERROR(__xludf.DUMMYFUNCTION("""COMPUTED_VALUE"""),"Link")</f>
        <v>Link</v>
      </c>
      <c r="M160" s="144" t="str">
        <f>IFERROR(__xludf.DUMMYFUNCTION("""COMPUTED_VALUE"""),"Link")</f>
        <v>Link</v>
      </c>
      <c r="N160" s="144" t="str">
        <f>IFERROR(__xludf.DUMMYFUNCTION("""COMPUTED_VALUE"""),"Link")</f>
        <v>Link</v>
      </c>
      <c r="O160" s="144" t="str">
        <f>IFERROR(__xludf.DUMMYFUNCTION("""COMPUTED_VALUE"""),"Link")</f>
        <v>Link</v>
      </c>
      <c r="P160" s="174"/>
      <c r="Q160" s="174"/>
      <c r="R160" s="174"/>
      <c r="S160" s="174"/>
    </row>
    <row r="161">
      <c r="A161" s="104" t="s">
        <v>5750</v>
      </c>
      <c r="B161" s="104" t="s">
        <v>6184</v>
      </c>
      <c r="C161" s="104" t="s">
        <v>6317</v>
      </c>
      <c r="D161" s="104" t="s">
        <v>119</v>
      </c>
      <c r="E161" s="104">
        <v>1.0</v>
      </c>
      <c r="F161" s="104">
        <v>11.0</v>
      </c>
      <c r="G161" s="168" t="s">
        <v>5751</v>
      </c>
      <c r="H161" s="168" t="s">
        <v>6318</v>
      </c>
      <c r="I161" s="144" t="str">
        <f>IFERROR(__xludf.DUMMYFUNCTION("LET(changes,FILTER('Pool Changes'!$B:$D, 'Pool Changes'!$B:$B = $D161),added,FILTER(INDEX(changes,0,3),INDEX(changes,0,2)=""add pack""),IFERROR(TRANSPOSE(ARRAYFORMULA(IF(added&lt;&gt;"""",HYPERLINK(""https://sealeddeck.tech/""&amp;added,""Link""),""""))),""""))"),"Link")</f>
        <v>Link</v>
      </c>
      <c r="J161" s="144" t="str">
        <f>IFERROR(__xludf.DUMMYFUNCTION("""COMPUTED_VALUE"""),"Link")</f>
        <v>Link</v>
      </c>
      <c r="K161" s="144" t="str">
        <f>IFERROR(__xludf.DUMMYFUNCTION("""COMPUTED_VALUE"""),"Link")</f>
        <v>Link</v>
      </c>
      <c r="L161" s="144" t="str">
        <f>IFERROR(__xludf.DUMMYFUNCTION("""COMPUTED_VALUE"""),"Link")</f>
        <v>Link</v>
      </c>
      <c r="M161" s="144" t="str">
        <f>IFERROR(__xludf.DUMMYFUNCTION("""COMPUTED_VALUE"""),"Link")</f>
        <v>Link</v>
      </c>
      <c r="N161" s="174"/>
      <c r="O161" s="174"/>
      <c r="P161" s="174"/>
      <c r="Q161" s="174"/>
      <c r="R161" s="174"/>
      <c r="S161" s="174"/>
    </row>
    <row r="162">
      <c r="A162" s="104" t="s">
        <v>5430</v>
      </c>
      <c r="B162" s="104" t="s">
        <v>6087</v>
      </c>
      <c r="C162" s="104" t="s">
        <v>6319</v>
      </c>
      <c r="D162" s="104" t="s">
        <v>215</v>
      </c>
      <c r="E162" s="104">
        <v>18.0</v>
      </c>
      <c r="F162" s="104">
        <v>5.0</v>
      </c>
      <c r="G162" s="168" t="s">
        <v>5752</v>
      </c>
      <c r="H162" s="168" t="s">
        <v>6320</v>
      </c>
      <c r="I162" s="144" t="str">
        <f>IFERROR(__xludf.DUMMYFUNCTION("LET(changes,FILTER('Pool Changes'!$B:$D, 'Pool Changes'!$B:$B = $D162),added,FILTER(INDEX(changes,0,3),INDEX(changes,0,2)=""add pack""),IFERROR(TRANSPOSE(ARRAYFORMULA(IF(added&lt;&gt;"""",HYPERLINK(""https://sealeddeck.tech/""&amp;added,""Link""),""""))),""""))"),"Link")</f>
        <v>Link</v>
      </c>
      <c r="J162" s="144" t="str">
        <f>IFERROR(__xludf.DUMMYFUNCTION("""COMPUTED_VALUE"""),"Link")</f>
        <v>Link</v>
      </c>
      <c r="K162" s="144" t="str">
        <f>IFERROR(__xludf.DUMMYFUNCTION("""COMPUTED_VALUE"""),"Link")</f>
        <v>Link</v>
      </c>
      <c r="L162" s="144" t="str">
        <f>IFERROR(__xludf.DUMMYFUNCTION("""COMPUTED_VALUE"""),"Link")</f>
        <v>Link</v>
      </c>
      <c r="M162" s="144" t="str">
        <f>IFERROR(__xludf.DUMMYFUNCTION("""COMPUTED_VALUE"""),"Link")</f>
        <v>Link</v>
      </c>
      <c r="N162" s="144" t="str">
        <f>IFERROR(__xludf.DUMMYFUNCTION("""COMPUTED_VALUE"""),"Link")</f>
        <v>Link</v>
      </c>
      <c r="O162" s="174"/>
      <c r="P162" s="174"/>
      <c r="Q162" s="174"/>
      <c r="R162" s="174"/>
      <c r="S162" s="174"/>
    </row>
    <row r="163">
      <c r="A163" s="104" t="s">
        <v>5542</v>
      </c>
      <c r="B163" s="104" t="s">
        <v>6091</v>
      </c>
      <c r="C163" s="104" t="s">
        <v>6321</v>
      </c>
      <c r="D163" s="104" t="s">
        <v>218</v>
      </c>
      <c r="E163" s="104">
        <v>16.0</v>
      </c>
      <c r="F163" s="104">
        <v>9.0</v>
      </c>
      <c r="G163" s="168" t="s">
        <v>5753</v>
      </c>
      <c r="H163" s="168" t="s">
        <v>6322</v>
      </c>
      <c r="I163" s="144" t="str">
        <f>IFERROR(__xludf.DUMMYFUNCTION("LET(changes,FILTER('Pool Changes'!$B:$D, 'Pool Changes'!$B:$B = $D163),added,FILTER(INDEX(changes,0,3),INDEX(changes,0,2)=""add pack""),IFERROR(TRANSPOSE(ARRAYFORMULA(IF(added&lt;&gt;"""",HYPERLINK(""https://sealeddeck.tech/""&amp;added,""Link""),""""))),""""))"),"Link")</f>
        <v>Link</v>
      </c>
      <c r="J163" s="144" t="str">
        <f>IFERROR(__xludf.DUMMYFUNCTION("""COMPUTED_VALUE"""),"Link")</f>
        <v>Link</v>
      </c>
      <c r="K163" s="144" t="str">
        <f>IFERROR(__xludf.DUMMYFUNCTION("""COMPUTED_VALUE"""),"Link")</f>
        <v>Link</v>
      </c>
      <c r="L163" s="144" t="str">
        <f>IFERROR(__xludf.DUMMYFUNCTION("""COMPUTED_VALUE"""),"Link")</f>
        <v>Link</v>
      </c>
      <c r="M163" s="144" t="str">
        <f>IFERROR(__xludf.DUMMYFUNCTION("""COMPUTED_VALUE"""),"Link")</f>
        <v>Link</v>
      </c>
      <c r="N163" s="144" t="str">
        <f>IFERROR(__xludf.DUMMYFUNCTION("""COMPUTED_VALUE"""),"Link")</f>
        <v>Link</v>
      </c>
      <c r="O163" s="144" t="str">
        <f>IFERROR(__xludf.DUMMYFUNCTION("""COMPUTED_VALUE"""),"Link")</f>
        <v>Link</v>
      </c>
      <c r="P163" s="144"/>
      <c r="Q163" s="144"/>
      <c r="R163" s="174"/>
      <c r="S163" s="174"/>
    </row>
    <row r="164">
      <c r="A164" s="104" t="s">
        <v>5754</v>
      </c>
      <c r="B164" s="104" t="s">
        <v>6116</v>
      </c>
      <c r="C164" s="104" t="s">
        <v>6323</v>
      </c>
      <c r="D164" s="104" t="s">
        <v>154</v>
      </c>
      <c r="E164" s="104">
        <v>11.0</v>
      </c>
      <c r="F164" s="104">
        <v>11.0</v>
      </c>
      <c r="G164" s="168" t="s">
        <v>5755</v>
      </c>
      <c r="H164" s="168" t="s">
        <v>6324</v>
      </c>
      <c r="I164" s="144" t="str">
        <f>IFERROR(__xludf.DUMMYFUNCTION("LET(changes,FILTER('Pool Changes'!$B:$D, 'Pool Changes'!$B:$B = $D164),added,FILTER(INDEX(changes,0,3),INDEX(changes,0,2)=""add pack""),IFERROR(TRANSPOSE(ARRAYFORMULA(IF(added&lt;&gt;"""",HYPERLINK(""https://sealeddeck.tech/""&amp;added,""Link""),""""))),""""))"),"Link")</f>
        <v>Link</v>
      </c>
      <c r="J164" s="144" t="str">
        <f>IFERROR(__xludf.DUMMYFUNCTION("""COMPUTED_VALUE"""),"Link")</f>
        <v>Link</v>
      </c>
      <c r="K164" s="144" t="str">
        <f>IFERROR(__xludf.DUMMYFUNCTION("""COMPUTED_VALUE"""),"Link")</f>
        <v>Link</v>
      </c>
      <c r="L164" s="144" t="str">
        <f>IFERROR(__xludf.DUMMYFUNCTION("""COMPUTED_VALUE"""),"Link")</f>
        <v>Link</v>
      </c>
      <c r="M164" s="144" t="str">
        <f>IFERROR(__xludf.DUMMYFUNCTION("""COMPUTED_VALUE"""),"Link")</f>
        <v>Link</v>
      </c>
      <c r="N164" s="144" t="str">
        <f>IFERROR(__xludf.DUMMYFUNCTION("""COMPUTED_VALUE"""),"Link")</f>
        <v>Link</v>
      </c>
      <c r="O164" s="144" t="str">
        <f>IFERROR(__xludf.DUMMYFUNCTION("""COMPUTED_VALUE"""),"Link")</f>
        <v>Link</v>
      </c>
      <c r="P164" s="144" t="str">
        <f>IFERROR(__xludf.DUMMYFUNCTION("""COMPUTED_VALUE"""),"Link")</f>
        <v>Link</v>
      </c>
      <c r="Q164" s="144" t="str">
        <f>IFERROR(__xludf.DUMMYFUNCTION("""COMPUTED_VALUE"""),"Link")</f>
        <v>Link</v>
      </c>
      <c r="R164" s="144" t="str">
        <f>IFERROR(__xludf.DUMMYFUNCTION("""COMPUTED_VALUE"""),"Link")</f>
        <v>Link</v>
      </c>
      <c r="S164" s="144"/>
    </row>
    <row r="165">
      <c r="A165" s="104" t="s">
        <v>5756</v>
      </c>
      <c r="B165" s="104" t="s">
        <v>6139</v>
      </c>
      <c r="C165" s="104" t="s">
        <v>6325</v>
      </c>
      <c r="D165" s="104" t="s">
        <v>245</v>
      </c>
      <c r="E165" s="104">
        <v>9.0</v>
      </c>
      <c r="F165" s="104">
        <v>11.0</v>
      </c>
      <c r="G165" s="168" t="s">
        <v>5757</v>
      </c>
      <c r="H165" s="168" t="s">
        <v>6326</v>
      </c>
      <c r="I165" s="144" t="str">
        <f>IFERROR(__xludf.DUMMYFUNCTION("LET(changes,FILTER('Pool Changes'!$B:$D, 'Pool Changes'!$B:$B = $D165),added,FILTER(INDEX(changes,0,3),INDEX(changes,0,2)=""add pack""),IFERROR(TRANSPOSE(ARRAYFORMULA(IF(added&lt;&gt;"""",HYPERLINK(""https://sealeddeck.tech/""&amp;added,""Link""),""""))),""""))"),"Link")</f>
        <v>Link</v>
      </c>
      <c r="J165" s="144" t="str">
        <f>IFERROR(__xludf.DUMMYFUNCTION("""COMPUTED_VALUE"""),"Link")</f>
        <v>Link</v>
      </c>
      <c r="K165" s="144" t="str">
        <f>IFERROR(__xludf.DUMMYFUNCTION("""COMPUTED_VALUE"""),"Link")</f>
        <v>Link</v>
      </c>
      <c r="L165" s="144" t="str">
        <f>IFERROR(__xludf.DUMMYFUNCTION("""COMPUTED_VALUE"""),"Link")</f>
        <v>Link</v>
      </c>
      <c r="M165" s="144" t="str">
        <f>IFERROR(__xludf.DUMMYFUNCTION("""COMPUTED_VALUE"""),"Link")</f>
        <v>Link</v>
      </c>
      <c r="N165" s="144" t="str">
        <f>IFERROR(__xludf.DUMMYFUNCTION("""COMPUTED_VALUE"""),"Link")</f>
        <v>Link</v>
      </c>
      <c r="O165" s="144" t="str">
        <f>IFERROR(__xludf.DUMMYFUNCTION("""COMPUTED_VALUE"""),"Link")</f>
        <v>Link</v>
      </c>
      <c r="P165" s="144" t="str">
        <f>IFERROR(__xludf.DUMMYFUNCTION("""COMPUTED_VALUE"""),"Link")</f>
        <v>Link</v>
      </c>
      <c r="Q165" s="144" t="str">
        <f>IFERROR(__xludf.DUMMYFUNCTION("""COMPUTED_VALUE"""),"Link")</f>
        <v>Link</v>
      </c>
      <c r="R165" s="144" t="str">
        <f>IFERROR(__xludf.DUMMYFUNCTION("""COMPUTED_VALUE"""),"Link")</f>
        <v>Link</v>
      </c>
      <c r="S165" s="144" t="str">
        <f>IFERROR(__xludf.DUMMYFUNCTION("""COMPUTED_VALUE"""),"Link")</f>
        <v>Link</v>
      </c>
    </row>
    <row r="166">
      <c r="A166" s="104" t="s">
        <v>5758</v>
      </c>
      <c r="B166" s="104" t="s">
        <v>6106</v>
      </c>
      <c r="C166" s="104" t="s">
        <v>6328</v>
      </c>
      <c r="D166" s="104" t="s">
        <v>321</v>
      </c>
      <c r="E166" s="104">
        <v>14.0</v>
      </c>
      <c r="F166" s="104">
        <v>10.0</v>
      </c>
      <c r="G166" s="168" t="s">
        <v>5759</v>
      </c>
      <c r="H166" s="168" t="s">
        <v>6329</v>
      </c>
      <c r="I166" s="144" t="str">
        <f>IFERROR(__xludf.DUMMYFUNCTION("LET(changes,FILTER('Pool Changes'!$B:$D, 'Pool Changes'!$B:$B = $D166),added,FILTER(INDEX(changes,0,3),INDEX(changes,0,2)=""add pack""),IFERROR(TRANSPOSE(ARRAYFORMULA(IF(added&lt;&gt;"""",HYPERLINK(""https://sealeddeck.tech/""&amp;added,""Link""),""""))),""""))"),"Link")</f>
        <v>Link</v>
      </c>
      <c r="J166" s="144" t="str">
        <f>IFERROR(__xludf.DUMMYFUNCTION("""COMPUTED_VALUE"""),"Link")</f>
        <v>Link</v>
      </c>
      <c r="K166" s="144" t="str">
        <f>IFERROR(__xludf.DUMMYFUNCTION("""COMPUTED_VALUE"""),"Link")</f>
        <v>Link</v>
      </c>
      <c r="L166" s="144" t="str">
        <f>IFERROR(__xludf.DUMMYFUNCTION("""COMPUTED_VALUE"""),"Link")</f>
        <v>Link</v>
      </c>
      <c r="M166" s="144" t="str">
        <f>IFERROR(__xludf.DUMMYFUNCTION("""COMPUTED_VALUE"""),"Link")</f>
        <v>Link</v>
      </c>
      <c r="N166" s="144" t="str">
        <f>IFERROR(__xludf.DUMMYFUNCTION("""COMPUTED_VALUE"""),"Link")</f>
        <v>Link</v>
      </c>
      <c r="O166" s="144" t="str">
        <f>IFERROR(__xludf.DUMMYFUNCTION("""COMPUTED_VALUE"""),"Link")</f>
        <v>Link</v>
      </c>
      <c r="P166" s="144" t="str">
        <f>IFERROR(__xludf.DUMMYFUNCTION("""COMPUTED_VALUE"""),"Link")</f>
        <v>Link</v>
      </c>
      <c r="Q166" s="144" t="str">
        <f>IFERROR(__xludf.DUMMYFUNCTION("""COMPUTED_VALUE"""),"Link")</f>
        <v>Link</v>
      </c>
      <c r="R166" s="144"/>
      <c r="S166" s="144"/>
    </row>
    <row r="167">
      <c r="A167" s="104" t="s">
        <v>5760</v>
      </c>
      <c r="B167" s="104" t="s">
        <v>6101</v>
      </c>
      <c r="C167" s="104" t="s">
        <v>6330</v>
      </c>
      <c r="D167" s="104" t="s">
        <v>176</v>
      </c>
      <c r="E167" s="104">
        <v>13.0</v>
      </c>
      <c r="F167" s="104">
        <v>10.0</v>
      </c>
      <c r="G167" s="168" t="s">
        <v>5761</v>
      </c>
      <c r="H167" s="168" t="s">
        <v>6331</v>
      </c>
      <c r="I167" s="144" t="str">
        <f>IFERROR(__xludf.DUMMYFUNCTION("LET(changes,FILTER('Pool Changes'!$B:$D, 'Pool Changes'!$B:$B = $D167),added,FILTER(INDEX(changes,0,3),INDEX(changes,0,2)=""add pack""),IFERROR(TRANSPOSE(ARRAYFORMULA(IF(added&lt;&gt;"""",HYPERLINK(""https://sealeddeck.tech/""&amp;added,""Link""),""""))),""""))"),"Link")</f>
        <v>Link</v>
      </c>
      <c r="J167" s="144" t="str">
        <f>IFERROR(__xludf.DUMMYFUNCTION("""COMPUTED_VALUE"""),"Link")</f>
        <v>Link</v>
      </c>
      <c r="K167" s="144" t="str">
        <f>IFERROR(__xludf.DUMMYFUNCTION("""COMPUTED_VALUE"""),"Link")</f>
        <v>Link</v>
      </c>
      <c r="L167" s="144" t="str">
        <f>IFERROR(__xludf.DUMMYFUNCTION("""COMPUTED_VALUE"""),"Link")</f>
        <v>Link</v>
      </c>
      <c r="M167" s="144" t="str">
        <f>IFERROR(__xludf.DUMMYFUNCTION("""COMPUTED_VALUE"""),"Link")</f>
        <v>Link</v>
      </c>
      <c r="N167" s="144" t="str">
        <f>IFERROR(__xludf.DUMMYFUNCTION("""COMPUTED_VALUE"""),"Link")</f>
        <v>Link</v>
      </c>
      <c r="O167" s="144" t="str">
        <f>IFERROR(__xludf.DUMMYFUNCTION("""COMPUTED_VALUE"""),"Link")</f>
        <v>Link</v>
      </c>
      <c r="P167" s="144" t="str">
        <f>IFERROR(__xludf.DUMMYFUNCTION("""COMPUTED_VALUE"""),"Link")</f>
        <v>Link</v>
      </c>
      <c r="Q167" s="144"/>
      <c r="R167" s="144"/>
      <c r="S167" s="174"/>
    </row>
    <row r="168">
      <c r="A168" s="104" t="s">
        <v>5762</v>
      </c>
      <c r="B168" s="104" t="s">
        <v>6136</v>
      </c>
      <c r="C168" s="104" t="s">
        <v>6332</v>
      </c>
      <c r="D168" s="104" t="s">
        <v>303</v>
      </c>
      <c r="E168" s="104">
        <v>9.0</v>
      </c>
      <c r="F168" s="104">
        <v>9.0</v>
      </c>
      <c r="G168" s="168" t="s">
        <v>5763</v>
      </c>
      <c r="H168" s="168" t="s">
        <v>6333</v>
      </c>
      <c r="I168" s="144" t="str">
        <f>IFERROR(__xludf.DUMMYFUNCTION("LET(changes,FILTER('Pool Changes'!$B:$D, 'Pool Changes'!$B:$B = $D168),added,FILTER(INDEX(changes,0,3),INDEX(changes,0,2)=""add pack""),IFERROR(TRANSPOSE(ARRAYFORMULA(IF(added&lt;&gt;"""",HYPERLINK(""https://sealeddeck.tech/""&amp;added,""Link""),""""))),""""))"),"Link")</f>
        <v>Link</v>
      </c>
      <c r="J168" s="144" t="str">
        <f>IFERROR(__xludf.DUMMYFUNCTION("""COMPUTED_VALUE"""),"Link")</f>
        <v>Link</v>
      </c>
      <c r="K168" s="144" t="str">
        <f>IFERROR(__xludf.DUMMYFUNCTION("""COMPUTED_VALUE"""),"Link")</f>
        <v>Link</v>
      </c>
      <c r="L168" s="144" t="str">
        <f>IFERROR(__xludf.DUMMYFUNCTION("""COMPUTED_VALUE"""),"Link")</f>
        <v>Link</v>
      </c>
      <c r="M168" s="144" t="str">
        <f>IFERROR(__xludf.DUMMYFUNCTION("""COMPUTED_VALUE"""),"Link")</f>
        <v>Link</v>
      </c>
      <c r="N168" s="144" t="str">
        <f>IFERROR(__xludf.DUMMYFUNCTION("""COMPUTED_VALUE"""),"Link")</f>
        <v>Link</v>
      </c>
      <c r="O168" s="144" t="str">
        <f>IFERROR(__xludf.DUMMYFUNCTION("""COMPUTED_VALUE"""),"Link")</f>
        <v>Link</v>
      </c>
      <c r="P168" s="144" t="str">
        <f>IFERROR(__xludf.DUMMYFUNCTION("""COMPUTED_VALUE"""),"Link")</f>
        <v>Link</v>
      </c>
      <c r="Q168" s="144" t="str">
        <f>IFERROR(__xludf.DUMMYFUNCTION("""COMPUTED_VALUE"""),"Link")</f>
        <v>Link</v>
      </c>
      <c r="R168" s="144" t="str">
        <f>IFERROR(__xludf.DUMMYFUNCTION("""COMPUTED_VALUE"""),"Link")</f>
        <v>Link</v>
      </c>
      <c r="S168" s="174"/>
    </row>
    <row r="169">
      <c r="A169" s="104" t="s">
        <v>5764</v>
      </c>
      <c r="B169" s="104" t="s">
        <v>6141</v>
      </c>
      <c r="C169" s="104" t="s">
        <v>6334</v>
      </c>
      <c r="D169" s="104" t="s">
        <v>131</v>
      </c>
      <c r="E169" s="104">
        <v>9.0</v>
      </c>
      <c r="F169" s="104">
        <v>11.0</v>
      </c>
      <c r="G169" s="168" t="s">
        <v>5765</v>
      </c>
      <c r="H169" s="168" t="s">
        <v>6335</v>
      </c>
      <c r="I169" s="144" t="str">
        <f>IFERROR(__xludf.DUMMYFUNCTION("LET(changes,FILTER('Pool Changes'!$B:$D, 'Pool Changes'!$B:$B = $D169),added,FILTER(INDEX(changes,0,3),INDEX(changes,0,2)=""add pack""),IFERROR(TRANSPOSE(ARRAYFORMULA(IF(added&lt;&gt;"""",HYPERLINK(""https://sealeddeck.tech/""&amp;added,""Link""),""""))),""""))"),"Link")</f>
        <v>Link</v>
      </c>
      <c r="J169" s="144" t="str">
        <f>IFERROR(__xludf.DUMMYFUNCTION("""COMPUTED_VALUE"""),"Link")</f>
        <v>Link</v>
      </c>
      <c r="K169" s="144" t="str">
        <f>IFERROR(__xludf.DUMMYFUNCTION("""COMPUTED_VALUE"""),"Link")</f>
        <v>Link</v>
      </c>
      <c r="L169" s="144" t="str">
        <f>IFERROR(__xludf.DUMMYFUNCTION("""COMPUTED_VALUE"""),"Link")</f>
        <v>Link</v>
      </c>
      <c r="M169" s="144" t="str">
        <f>IFERROR(__xludf.DUMMYFUNCTION("""COMPUTED_VALUE"""),"Link")</f>
        <v>Link</v>
      </c>
      <c r="N169" s="144" t="str">
        <f>IFERROR(__xludf.DUMMYFUNCTION("""COMPUTED_VALUE"""),"Link")</f>
        <v>Link</v>
      </c>
      <c r="O169" s="144" t="str">
        <f>IFERROR(__xludf.DUMMYFUNCTION("""COMPUTED_VALUE"""),"Link")</f>
        <v>Link</v>
      </c>
      <c r="P169" s="144" t="str">
        <f>IFERROR(__xludf.DUMMYFUNCTION("""COMPUTED_VALUE"""),"Link")</f>
        <v>Link</v>
      </c>
      <c r="Q169" s="144" t="str">
        <f>IFERROR(__xludf.DUMMYFUNCTION("""COMPUTED_VALUE"""),"Link")</f>
        <v>Link</v>
      </c>
      <c r="R169" s="144" t="str">
        <f>IFERROR(__xludf.DUMMYFUNCTION("""COMPUTED_VALUE"""),"Link")</f>
        <v>Link</v>
      </c>
      <c r="S169" s="144" t="str">
        <f>IFERROR(__xludf.DUMMYFUNCTION("""COMPUTED_VALUE"""),"Link")</f>
        <v>Link</v>
      </c>
    </row>
    <row r="170">
      <c r="A170" s="104" t="s">
        <v>5766</v>
      </c>
      <c r="B170" s="104" t="s">
        <v>6180</v>
      </c>
      <c r="C170" s="104" t="s">
        <v>6336</v>
      </c>
      <c r="D170" s="104" t="s">
        <v>121</v>
      </c>
      <c r="E170" s="104">
        <v>1.0</v>
      </c>
      <c r="F170" s="104">
        <v>11.0</v>
      </c>
      <c r="G170" s="168" t="s">
        <v>5767</v>
      </c>
      <c r="H170" s="168" t="s">
        <v>6337</v>
      </c>
      <c r="I170" s="144" t="str">
        <f>IFERROR(__xludf.DUMMYFUNCTION("LET(changes,FILTER('Pool Changes'!$B:$D, 'Pool Changes'!$B:$B = $D170),added,FILTER(INDEX(changes,0,3),INDEX(changes,0,2)=""add pack""),IFERROR(TRANSPOSE(ARRAYFORMULA(IF(added&lt;&gt;"""",HYPERLINK(""https://sealeddeck.tech/""&amp;added,""Link""),""""))),""""))"),"Link")</f>
        <v>Link</v>
      </c>
      <c r="J170" s="144" t="str">
        <f>IFERROR(__xludf.DUMMYFUNCTION("""COMPUTED_VALUE"""),"Link")</f>
        <v>Link</v>
      </c>
      <c r="K170" s="144" t="str">
        <f>IFERROR(__xludf.DUMMYFUNCTION("""COMPUTED_VALUE"""),"Link")</f>
        <v>Link</v>
      </c>
      <c r="L170" s="144" t="str">
        <f>IFERROR(__xludf.DUMMYFUNCTION("""COMPUTED_VALUE"""),"Link")</f>
        <v>Link</v>
      </c>
      <c r="M170" s="144" t="str">
        <f>IFERROR(__xludf.DUMMYFUNCTION("""COMPUTED_VALUE"""),"Link")</f>
        <v>Link</v>
      </c>
      <c r="N170" s="144" t="str">
        <f>IFERROR(__xludf.DUMMYFUNCTION("""COMPUTED_VALUE"""),"Link")</f>
        <v>Link</v>
      </c>
      <c r="O170" s="174"/>
      <c r="P170" s="174"/>
      <c r="Q170" s="174"/>
      <c r="R170" s="174"/>
      <c r="S170" s="174"/>
    </row>
    <row r="171">
      <c r="A171" s="104" t="s">
        <v>5768</v>
      </c>
      <c r="B171" s="104" t="s">
        <v>6183</v>
      </c>
      <c r="C171" s="104" t="s">
        <v>6338</v>
      </c>
      <c r="D171" s="104" t="s">
        <v>177</v>
      </c>
      <c r="E171" s="104">
        <v>1.0</v>
      </c>
      <c r="F171" s="104">
        <v>11.0</v>
      </c>
      <c r="G171" s="168" t="s">
        <v>5769</v>
      </c>
      <c r="H171" s="168" t="s">
        <v>6339</v>
      </c>
      <c r="I171" s="144" t="str">
        <f>IFERROR(__xludf.DUMMYFUNCTION("LET(changes,FILTER('Pool Changes'!$B:$D, 'Pool Changes'!$B:$B = $D171),added,FILTER(INDEX(changes,0,3),INDEX(changes,0,2)=""add pack""),IFERROR(TRANSPOSE(ARRAYFORMULA(IF(added&lt;&gt;"""",HYPERLINK(""https://sealeddeck.tech/""&amp;added,""Link""),""""))),""""))"),"Link")</f>
        <v>Link</v>
      </c>
      <c r="J171" s="144" t="str">
        <f>IFERROR(__xludf.DUMMYFUNCTION("""COMPUTED_VALUE"""),"Link")</f>
        <v>Link</v>
      </c>
      <c r="K171" s="144" t="str">
        <f>IFERROR(__xludf.DUMMYFUNCTION("""COMPUTED_VALUE"""),"Link")</f>
        <v>Link</v>
      </c>
      <c r="L171" s="144" t="str">
        <f>IFERROR(__xludf.DUMMYFUNCTION("""COMPUTED_VALUE"""),"Link")</f>
        <v>Link</v>
      </c>
      <c r="M171" s="144" t="str">
        <f>IFERROR(__xludf.DUMMYFUNCTION("""COMPUTED_VALUE"""),"Link")</f>
        <v>Link</v>
      </c>
      <c r="N171" s="144" t="str">
        <f>IFERROR(__xludf.DUMMYFUNCTION("""COMPUTED_VALUE"""),"Link")</f>
        <v>Link</v>
      </c>
      <c r="O171" s="144" t="str">
        <f>IFERROR(__xludf.DUMMYFUNCTION("""COMPUTED_VALUE"""),"Link")</f>
        <v>Link</v>
      </c>
      <c r="P171" s="144" t="str">
        <f>IFERROR(__xludf.DUMMYFUNCTION("""COMPUTED_VALUE"""),"Link")</f>
        <v>Link</v>
      </c>
      <c r="Q171" s="144" t="str">
        <f>IFERROR(__xludf.DUMMYFUNCTION("""COMPUTED_VALUE"""),"Link")</f>
        <v>Link</v>
      </c>
      <c r="R171" s="144" t="str">
        <f>IFERROR(__xludf.DUMMYFUNCTION("""COMPUTED_VALUE"""),"Link")</f>
        <v>Link</v>
      </c>
      <c r="S171" s="144" t="str">
        <f>IFERROR(__xludf.DUMMYFUNCTION("""COMPUTED_VALUE"""),"Link")</f>
        <v>Link</v>
      </c>
    </row>
    <row r="172">
      <c r="A172" s="104" t="s">
        <v>5424</v>
      </c>
      <c r="B172" s="104" t="s">
        <v>6082</v>
      </c>
      <c r="C172" s="104" t="s">
        <v>6340</v>
      </c>
      <c r="D172" s="104" t="s">
        <v>170</v>
      </c>
      <c r="E172" s="104">
        <v>17.0</v>
      </c>
      <c r="F172" s="104">
        <v>8.0</v>
      </c>
      <c r="G172" s="168" t="s">
        <v>5770</v>
      </c>
      <c r="H172" s="168" t="s">
        <v>6341</v>
      </c>
      <c r="I172" s="144" t="str">
        <f>IFERROR(__xludf.DUMMYFUNCTION("LET(changes,FILTER('Pool Changes'!$B:$D, 'Pool Changes'!$B:$B = $D172),added,FILTER(INDEX(changes,0,3),INDEX(changes,0,2)=""add pack""),IFERROR(TRANSPOSE(ARRAYFORMULA(IF(added&lt;&gt;"""",HYPERLINK(""https://sealeddeck.tech/""&amp;added,""Link""),""""))),""""))"),"Link")</f>
        <v>Link</v>
      </c>
      <c r="J172" s="144" t="str">
        <f>IFERROR(__xludf.DUMMYFUNCTION("""COMPUTED_VALUE"""),"Link")</f>
        <v>Link</v>
      </c>
      <c r="K172" s="144" t="str">
        <f>IFERROR(__xludf.DUMMYFUNCTION("""COMPUTED_VALUE"""),"Link")</f>
        <v>Link</v>
      </c>
      <c r="L172" s="144" t="str">
        <f>IFERROR(__xludf.DUMMYFUNCTION("""COMPUTED_VALUE"""),"Link")</f>
        <v>Link</v>
      </c>
      <c r="M172" s="144" t="str">
        <f>IFERROR(__xludf.DUMMYFUNCTION("""COMPUTED_VALUE"""),"Link")</f>
        <v>Link</v>
      </c>
      <c r="N172" s="144"/>
      <c r="O172" s="144"/>
      <c r="P172" s="144"/>
      <c r="Q172" s="174"/>
      <c r="R172" s="174"/>
      <c r="S172" s="174"/>
    </row>
    <row r="173">
      <c r="A173" s="104" t="s">
        <v>5771</v>
      </c>
      <c r="B173" s="104" t="s">
        <v>6171</v>
      </c>
      <c r="C173" s="104" t="s">
        <v>6342</v>
      </c>
      <c r="D173" s="104" t="s">
        <v>122</v>
      </c>
      <c r="E173" s="104">
        <v>3.0</v>
      </c>
      <c r="F173" s="104">
        <v>11.0</v>
      </c>
      <c r="G173" s="168" t="s">
        <v>5772</v>
      </c>
      <c r="H173" s="168" t="s">
        <v>6343</v>
      </c>
      <c r="I173" s="144" t="str">
        <f>IFERROR(__xludf.DUMMYFUNCTION("LET(changes,FILTER('Pool Changes'!$B:$D, 'Pool Changes'!$B:$B = $D173),added,FILTER(INDEX(changes,0,3),INDEX(changes,0,2)=""add pack""),IFERROR(TRANSPOSE(ARRAYFORMULA(IF(added&lt;&gt;"""",HYPERLINK(""https://sealeddeck.tech/""&amp;added,""Link""),""""))),""""))"),"Link")</f>
        <v>Link</v>
      </c>
      <c r="J173" s="144" t="str">
        <f>IFERROR(__xludf.DUMMYFUNCTION("""COMPUTED_VALUE"""),"Link")</f>
        <v>Link</v>
      </c>
      <c r="K173" s="144" t="str">
        <f>IFERROR(__xludf.DUMMYFUNCTION("""COMPUTED_VALUE"""),"Link")</f>
        <v>Link</v>
      </c>
      <c r="L173" s="144" t="str">
        <f>IFERROR(__xludf.DUMMYFUNCTION("""COMPUTED_VALUE"""),"Link")</f>
        <v>Link</v>
      </c>
      <c r="M173" s="144" t="str">
        <f>IFERROR(__xludf.DUMMYFUNCTION("""COMPUTED_VALUE"""),"Link")</f>
        <v>Link</v>
      </c>
      <c r="N173" s="144" t="str">
        <f>IFERROR(__xludf.DUMMYFUNCTION("""COMPUTED_VALUE"""),"Link")</f>
        <v>Link</v>
      </c>
      <c r="O173" s="144" t="str">
        <f>IFERROR(__xludf.DUMMYFUNCTION("""COMPUTED_VALUE"""),"Link")</f>
        <v>Link</v>
      </c>
      <c r="P173" s="144" t="str">
        <f>IFERROR(__xludf.DUMMYFUNCTION("""COMPUTED_VALUE"""),"Link")</f>
        <v>Link</v>
      </c>
      <c r="Q173" s="144" t="str">
        <f>IFERROR(__xludf.DUMMYFUNCTION("""COMPUTED_VALUE"""),"Link")</f>
        <v>Link</v>
      </c>
      <c r="R173" s="144" t="str">
        <f>IFERROR(__xludf.DUMMYFUNCTION("""COMPUTED_VALUE"""),"Link")</f>
        <v>Link</v>
      </c>
      <c r="S173" s="144" t="str">
        <f>IFERROR(__xludf.DUMMYFUNCTION("""COMPUTED_VALUE"""),"Link")</f>
        <v>Link</v>
      </c>
    </row>
    <row r="174">
      <c r="I174" s="1"/>
      <c r="J174" s="1"/>
      <c r="K174" s="1"/>
      <c r="L174" s="1"/>
      <c r="M174" s="1"/>
      <c r="N174" s="1"/>
      <c r="O174" s="1"/>
      <c r="P174" s="1"/>
      <c r="Q174" s="1"/>
      <c r="R174" s="1"/>
      <c r="S174" s="1"/>
    </row>
    <row r="175">
      <c r="I175" s="1"/>
      <c r="J175" s="1"/>
      <c r="K175" s="1"/>
      <c r="L175" s="1"/>
      <c r="M175" s="1"/>
      <c r="N175" s="1"/>
      <c r="O175" s="1"/>
      <c r="P175" s="1"/>
      <c r="Q175" s="1"/>
      <c r="R175" s="1"/>
      <c r="S175" s="1"/>
    </row>
    <row r="176">
      <c r="I176" s="1"/>
      <c r="J176" s="1"/>
      <c r="K176" s="1"/>
      <c r="L176" s="1"/>
      <c r="M176" s="1"/>
      <c r="N176" s="1"/>
      <c r="O176" s="1"/>
      <c r="P176" s="1"/>
      <c r="Q176" s="1"/>
      <c r="R176" s="1"/>
      <c r="S176" s="1"/>
    </row>
    <row r="177">
      <c r="I177" s="1"/>
      <c r="J177" s="1"/>
      <c r="K177" s="1"/>
      <c r="L177" s="1"/>
      <c r="M177" s="1"/>
      <c r="N177" s="1"/>
      <c r="O177" s="1"/>
      <c r="P177" s="1"/>
      <c r="Q177" s="1"/>
      <c r="R177" s="1"/>
      <c r="S177" s="1"/>
    </row>
    <row r="178">
      <c r="I178" s="1"/>
      <c r="J178" s="1"/>
      <c r="K178" s="1"/>
      <c r="L178" s="1"/>
      <c r="M178" s="1"/>
      <c r="N178" s="1"/>
      <c r="O178" s="1"/>
      <c r="P178" s="1"/>
      <c r="Q178" s="1"/>
      <c r="R178" s="1"/>
      <c r="S178" s="1"/>
    </row>
    <row r="179">
      <c r="I179" s="1"/>
      <c r="J179" s="1"/>
      <c r="K179" s="1"/>
      <c r="L179" s="1"/>
      <c r="M179" s="1"/>
      <c r="N179" s="1"/>
      <c r="O179" s="1"/>
      <c r="P179" s="1"/>
      <c r="Q179" s="1"/>
      <c r="R179" s="1"/>
      <c r="S179" s="1"/>
    </row>
    <row r="180">
      <c r="I180" s="1"/>
      <c r="J180" s="1"/>
      <c r="K180" s="1"/>
      <c r="L180" s="1"/>
      <c r="M180" s="1"/>
      <c r="N180" s="1"/>
      <c r="O180" s="1"/>
      <c r="P180" s="1"/>
      <c r="Q180" s="1"/>
      <c r="R180" s="1"/>
      <c r="S180" s="1"/>
    </row>
    <row r="181">
      <c r="I181" s="1"/>
      <c r="J181" s="1"/>
      <c r="K181" s="1"/>
      <c r="L181" s="1"/>
      <c r="M181" s="1"/>
      <c r="N181" s="1"/>
      <c r="O181" s="1"/>
      <c r="P181" s="1"/>
      <c r="Q181" s="1"/>
      <c r="R181" s="1"/>
      <c r="S181" s="1"/>
    </row>
    <row r="182">
      <c r="I182" s="1"/>
      <c r="J182" s="1"/>
      <c r="K182" s="1"/>
      <c r="L182" s="1"/>
      <c r="M182" s="1"/>
      <c r="N182" s="1"/>
      <c r="O182" s="1"/>
      <c r="P182" s="1"/>
      <c r="Q182" s="1"/>
      <c r="R182" s="1"/>
      <c r="S182" s="1"/>
    </row>
    <row r="183">
      <c r="I183" s="1"/>
      <c r="J183" s="1"/>
      <c r="K183" s="1"/>
      <c r="L183" s="1"/>
      <c r="M183" s="1"/>
      <c r="N183" s="1"/>
      <c r="O183" s="1"/>
      <c r="P183" s="1"/>
      <c r="Q183" s="1"/>
      <c r="R183" s="1"/>
      <c r="S183" s="1"/>
    </row>
    <row r="184">
      <c r="I184" s="1"/>
      <c r="J184" s="1"/>
      <c r="K184" s="1"/>
      <c r="L184" s="1"/>
      <c r="M184" s="1"/>
      <c r="N184" s="1"/>
      <c r="O184" s="1"/>
      <c r="P184" s="1"/>
      <c r="Q184" s="1"/>
      <c r="R184" s="1"/>
      <c r="S184" s="1"/>
    </row>
    <row r="185">
      <c r="I185" s="1"/>
      <c r="J185" s="1"/>
      <c r="K185" s="1"/>
      <c r="L185" s="1"/>
      <c r="M185" s="1"/>
      <c r="N185" s="1"/>
      <c r="O185" s="1"/>
      <c r="P185" s="1"/>
      <c r="Q185" s="1"/>
      <c r="R185" s="1"/>
      <c r="S185" s="1"/>
    </row>
    <row r="186">
      <c r="I186" s="1"/>
      <c r="J186" s="1"/>
      <c r="K186" s="1"/>
      <c r="L186" s="1"/>
      <c r="M186" s="1"/>
      <c r="N186" s="1"/>
      <c r="O186" s="1"/>
      <c r="P186" s="1"/>
      <c r="Q186" s="1"/>
      <c r="R186" s="1"/>
      <c r="S186" s="1"/>
    </row>
    <row r="187">
      <c r="I187" s="1"/>
      <c r="J187" s="1"/>
      <c r="K187" s="1"/>
      <c r="L187" s="1"/>
      <c r="M187" s="1"/>
      <c r="N187" s="1"/>
      <c r="O187" s="1"/>
      <c r="P187" s="1"/>
      <c r="Q187" s="1"/>
      <c r="R187" s="1"/>
      <c r="S187" s="1"/>
    </row>
    <row r="188">
      <c r="I188" s="1"/>
      <c r="J188" s="1"/>
      <c r="K188" s="1"/>
      <c r="L188" s="1"/>
      <c r="M188" s="1"/>
      <c r="N188" s="1"/>
      <c r="O188" s="1"/>
      <c r="P188" s="1"/>
      <c r="Q188" s="1"/>
      <c r="R188" s="1"/>
      <c r="S188" s="1"/>
    </row>
    <row r="189">
      <c r="I189" s="1"/>
      <c r="J189" s="1"/>
      <c r="K189" s="1"/>
      <c r="L189" s="1"/>
      <c r="M189" s="1"/>
      <c r="N189" s="1"/>
      <c r="O189" s="1"/>
      <c r="P189" s="1"/>
      <c r="Q189" s="1"/>
      <c r="R189" s="1"/>
      <c r="S189" s="1"/>
    </row>
    <row r="190">
      <c r="I190" s="1"/>
      <c r="J190" s="1"/>
      <c r="K190" s="1"/>
      <c r="L190" s="1"/>
      <c r="M190" s="1"/>
      <c r="N190" s="1"/>
      <c r="O190" s="1"/>
      <c r="P190" s="1"/>
      <c r="Q190" s="1"/>
      <c r="R190" s="1"/>
      <c r="S190" s="1"/>
    </row>
    <row r="191">
      <c r="I191" s="1"/>
      <c r="J191" s="1"/>
      <c r="K191" s="1"/>
      <c r="L191" s="1"/>
      <c r="M191" s="1"/>
      <c r="N191" s="1"/>
      <c r="O191" s="1"/>
      <c r="P191" s="1"/>
      <c r="Q191" s="1"/>
      <c r="R191" s="1"/>
      <c r="S191" s="1"/>
    </row>
    <row r="192">
      <c r="I192" s="1"/>
      <c r="J192" s="1"/>
      <c r="K192" s="1"/>
      <c r="L192" s="1"/>
      <c r="M192" s="1"/>
      <c r="N192" s="1"/>
      <c r="O192" s="1"/>
      <c r="P192" s="1"/>
      <c r="Q192" s="1"/>
      <c r="R192" s="1"/>
      <c r="S192" s="1"/>
    </row>
    <row r="193">
      <c r="I193" s="1"/>
      <c r="J193" s="1"/>
      <c r="K193" s="1"/>
      <c r="L193" s="1"/>
      <c r="M193" s="1"/>
      <c r="N193" s="1"/>
      <c r="O193" s="1"/>
      <c r="P193" s="1"/>
      <c r="Q193" s="1"/>
      <c r="R193" s="1"/>
      <c r="S193" s="1"/>
    </row>
    <row r="194">
      <c r="I194" s="1"/>
      <c r="J194" s="1"/>
      <c r="K194" s="1"/>
      <c r="L194" s="1"/>
      <c r="M194" s="1"/>
      <c r="N194" s="1"/>
      <c r="O194" s="1"/>
      <c r="P194" s="1"/>
      <c r="Q194" s="1"/>
      <c r="R194" s="1"/>
      <c r="S194" s="1"/>
    </row>
    <row r="195">
      <c r="I195" s="1"/>
      <c r="J195" s="1"/>
      <c r="K195" s="1"/>
      <c r="L195" s="1"/>
      <c r="M195" s="1"/>
      <c r="N195" s="1"/>
      <c r="O195" s="1"/>
      <c r="P195" s="1"/>
      <c r="Q195" s="1"/>
      <c r="R195" s="1"/>
      <c r="S195" s="1"/>
    </row>
    <row r="196">
      <c r="I196" s="1"/>
      <c r="J196" s="1"/>
      <c r="K196" s="1"/>
      <c r="L196" s="1"/>
      <c r="M196" s="1"/>
      <c r="N196" s="1"/>
      <c r="O196" s="1"/>
      <c r="P196" s="1"/>
      <c r="Q196" s="1"/>
      <c r="R196" s="1"/>
      <c r="S196" s="1"/>
    </row>
    <row r="197">
      <c r="I197" s="1"/>
      <c r="J197" s="1"/>
      <c r="K197" s="1"/>
      <c r="L197" s="1"/>
      <c r="M197" s="1"/>
      <c r="N197" s="1"/>
      <c r="O197" s="1"/>
      <c r="P197" s="1"/>
      <c r="Q197" s="1"/>
      <c r="R197" s="1"/>
      <c r="S197" s="1"/>
    </row>
    <row r="198">
      <c r="I198" s="1"/>
      <c r="J198" s="1"/>
      <c r="K198" s="1"/>
      <c r="L198" s="1"/>
      <c r="M198" s="1"/>
      <c r="N198" s="1"/>
      <c r="O198" s="1"/>
      <c r="P198" s="1"/>
      <c r="Q198" s="1"/>
      <c r="R198" s="1"/>
      <c r="S198" s="1"/>
    </row>
    <row r="199">
      <c r="I199" s="1"/>
      <c r="J199" s="1"/>
      <c r="K199" s="1"/>
      <c r="L199" s="1"/>
      <c r="M199" s="1"/>
      <c r="N199" s="1"/>
      <c r="O199" s="1"/>
      <c r="P199" s="1"/>
      <c r="Q199" s="1"/>
      <c r="R199" s="1"/>
      <c r="S199" s="1"/>
    </row>
    <row r="200">
      <c r="I200" s="1"/>
      <c r="J200" s="1"/>
      <c r="K200" s="1"/>
      <c r="L200" s="1"/>
      <c r="M200" s="1"/>
      <c r="N200" s="1"/>
      <c r="O200" s="1"/>
      <c r="P200" s="1"/>
      <c r="Q200" s="1"/>
      <c r="R200" s="1"/>
      <c r="S200" s="1"/>
    </row>
    <row r="201">
      <c r="I201" s="1"/>
      <c r="J201" s="1"/>
      <c r="K201" s="1"/>
      <c r="L201" s="1"/>
      <c r="M201" s="1"/>
      <c r="N201" s="1"/>
      <c r="O201" s="1"/>
      <c r="P201" s="1"/>
      <c r="Q201" s="1"/>
      <c r="R201" s="1"/>
      <c r="S201" s="1"/>
    </row>
    <row r="202">
      <c r="I202" s="1"/>
      <c r="J202" s="1"/>
      <c r="K202" s="1"/>
      <c r="L202" s="1"/>
      <c r="M202" s="1"/>
      <c r="N202" s="1"/>
      <c r="O202" s="1"/>
      <c r="P202" s="1"/>
      <c r="Q202" s="1"/>
      <c r="R202" s="1"/>
      <c r="S202" s="1"/>
    </row>
    <row r="203">
      <c r="I203" s="1"/>
      <c r="J203" s="1"/>
      <c r="K203" s="1"/>
      <c r="L203" s="1"/>
      <c r="M203" s="1"/>
      <c r="N203" s="1"/>
      <c r="O203" s="1"/>
      <c r="P203" s="1"/>
      <c r="Q203" s="1"/>
      <c r="R203" s="1"/>
      <c r="S203" s="1"/>
    </row>
    <row r="204">
      <c r="I204" s="1"/>
      <c r="J204" s="1"/>
      <c r="K204" s="1"/>
      <c r="L204" s="1"/>
      <c r="M204" s="1"/>
      <c r="N204" s="1"/>
      <c r="O204" s="1"/>
      <c r="P204" s="1"/>
      <c r="Q204" s="1"/>
      <c r="R204" s="1"/>
      <c r="S204" s="1"/>
    </row>
    <row r="205">
      <c r="I205" s="1"/>
      <c r="J205" s="1"/>
      <c r="K205" s="1"/>
      <c r="L205" s="1"/>
      <c r="M205" s="1"/>
      <c r="N205" s="1"/>
      <c r="O205" s="1"/>
      <c r="P205" s="1"/>
      <c r="Q205" s="1"/>
      <c r="R205" s="1"/>
      <c r="S205" s="1"/>
    </row>
    <row r="206">
      <c r="I206" s="1"/>
      <c r="J206" s="1"/>
      <c r="K206" s="1"/>
      <c r="L206" s="1"/>
      <c r="M206" s="1"/>
      <c r="N206" s="1"/>
      <c r="O206" s="1"/>
      <c r="P206" s="1"/>
      <c r="Q206" s="1"/>
      <c r="R206" s="1"/>
      <c r="S206" s="1"/>
    </row>
    <row r="207">
      <c r="I207" s="1"/>
      <c r="J207" s="1"/>
      <c r="K207" s="1"/>
      <c r="L207" s="1"/>
      <c r="M207" s="1"/>
      <c r="N207" s="1"/>
      <c r="O207" s="1"/>
      <c r="P207" s="1"/>
      <c r="Q207" s="1"/>
      <c r="R207" s="1"/>
      <c r="S207" s="1"/>
    </row>
    <row r="208">
      <c r="I208" s="1"/>
      <c r="J208" s="1"/>
      <c r="K208" s="1"/>
      <c r="L208" s="1"/>
      <c r="M208" s="1"/>
      <c r="N208" s="1"/>
      <c r="O208" s="1"/>
      <c r="P208" s="1"/>
      <c r="Q208" s="1"/>
      <c r="R208" s="1"/>
      <c r="S208" s="1"/>
    </row>
    <row r="209">
      <c r="I209" s="1"/>
      <c r="J209" s="1"/>
      <c r="K209" s="1"/>
      <c r="L209" s="1"/>
      <c r="M209" s="1"/>
      <c r="N209" s="1"/>
      <c r="O209" s="1"/>
      <c r="P209" s="1"/>
      <c r="Q209" s="1"/>
      <c r="R209" s="1"/>
      <c r="S209" s="1"/>
    </row>
    <row r="210">
      <c r="I210" s="1"/>
      <c r="J210" s="1"/>
      <c r="K210" s="1"/>
      <c r="L210" s="1"/>
      <c r="M210" s="1"/>
      <c r="N210" s="1"/>
      <c r="O210" s="1"/>
      <c r="P210" s="1"/>
      <c r="Q210" s="1"/>
      <c r="R210" s="1"/>
      <c r="S210" s="1"/>
    </row>
    <row r="211">
      <c r="I211" s="1"/>
      <c r="J211" s="1"/>
      <c r="K211" s="1"/>
      <c r="L211" s="1"/>
      <c r="M211" s="1"/>
      <c r="N211" s="1"/>
      <c r="O211" s="1"/>
      <c r="P211" s="1"/>
      <c r="Q211" s="1"/>
      <c r="R211" s="1"/>
      <c r="S211" s="1"/>
    </row>
    <row r="212">
      <c r="I212" s="1"/>
      <c r="J212" s="1"/>
      <c r="K212" s="1"/>
      <c r="L212" s="1"/>
      <c r="M212" s="1"/>
      <c r="N212" s="1"/>
      <c r="O212" s="1"/>
      <c r="P212" s="1"/>
      <c r="Q212" s="1"/>
      <c r="R212" s="1"/>
      <c r="S212" s="1"/>
    </row>
    <row r="213">
      <c r="I213" s="1"/>
      <c r="J213" s="1"/>
      <c r="K213" s="1"/>
      <c r="L213" s="1"/>
      <c r="M213" s="1"/>
      <c r="N213" s="1"/>
      <c r="O213" s="1"/>
      <c r="P213" s="1"/>
      <c r="Q213" s="1"/>
      <c r="R213" s="1"/>
      <c r="S213" s="1"/>
    </row>
    <row r="214">
      <c r="I214" s="1"/>
      <c r="J214" s="1"/>
      <c r="K214" s="1"/>
      <c r="L214" s="1"/>
      <c r="M214" s="1"/>
      <c r="N214" s="1"/>
      <c r="O214" s="1"/>
      <c r="P214" s="1"/>
      <c r="Q214" s="1"/>
      <c r="R214" s="1"/>
      <c r="S214" s="1"/>
    </row>
    <row r="215">
      <c r="I215" s="1"/>
      <c r="J215" s="1"/>
      <c r="K215" s="1"/>
      <c r="L215" s="1"/>
      <c r="M215" s="1"/>
      <c r="N215" s="1"/>
      <c r="O215" s="1"/>
      <c r="P215" s="1"/>
      <c r="Q215" s="1"/>
      <c r="R215" s="1"/>
      <c r="S215" s="1"/>
    </row>
    <row r="216">
      <c r="I216" s="1"/>
      <c r="J216" s="1"/>
      <c r="K216" s="1"/>
      <c r="L216" s="1"/>
      <c r="M216" s="1"/>
      <c r="N216" s="1"/>
      <c r="O216" s="1"/>
      <c r="P216" s="1"/>
      <c r="Q216" s="1"/>
      <c r="R216" s="1"/>
      <c r="S216" s="1"/>
    </row>
    <row r="217">
      <c r="I217" s="1"/>
      <c r="J217" s="1"/>
      <c r="K217" s="1"/>
      <c r="L217" s="1"/>
      <c r="M217" s="1"/>
      <c r="N217" s="1"/>
      <c r="O217" s="1"/>
      <c r="P217" s="1"/>
      <c r="Q217" s="1"/>
      <c r="R217" s="1"/>
      <c r="S217" s="1"/>
    </row>
    <row r="218">
      <c r="I218" s="1"/>
      <c r="J218" s="1"/>
      <c r="K218" s="1"/>
      <c r="L218" s="1"/>
      <c r="M218" s="1"/>
      <c r="N218" s="1"/>
      <c r="O218" s="1"/>
      <c r="P218" s="1"/>
      <c r="Q218" s="1"/>
      <c r="R218" s="1"/>
      <c r="S218" s="1"/>
    </row>
    <row r="219">
      <c r="I219" s="1"/>
      <c r="J219" s="1"/>
      <c r="K219" s="1"/>
      <c r="L219" s="1"/>
      <c r="M219" s="1"/>
      <c r="N219" s="1"/>
      <c r="O219" s="1"/>
      <c r="P219" s="1"/>
      <c r="Q219" s="1"/>
      <c r="R219" s="1"/>
      <c r="S219" s="1"/>
    </row>
    <row r="220">
      <c r="I220" s="1"/>
      <c r="J220" s="1"/>
      <c r="K220" s="1"/>
      <c r="L220" s="1"/>
      <c r="M220" s="1"/>
      <c r="N220" s="1"/>
      <c r="O220" s="1"/>
      <c r="P220" s="1"/>
      <c r="Q220" s="1"/>
      <c r="R220" s="1"/>
      <c r="S220" s="1"/>
    </row>
    <row r="221">
      <c r="I221" s="1"/>
      <c r="J221" s="1"/>
      <c r="K221" s="1"/>
      <c r="L221" s="1"/>
      <c r="M221" s="1"/>
      <c r="N221" s="1"/>
      <c r="O221" s="1"/>
      <c r="P221" s="1"/>
      <c r="Q221" s="1"/>
      <c r="R221" s="1"/>
      <c r="S221" s="1"/>
    </row>
    <row r="222">
      <c r="I222" s="1"/>
      <c r="J222" s="1"/>
      <c r="K222" s="1"/>
      <c r="L222" s="1"/>
      <c r="M222" s="1"/>
      <c r="N222" s="1"/>
      <c r="O222" s="1"/>
      <c r="P222" s="1"/>
      <c r="Q222" s="1"/>
      <c r="R222" s="1"/>
      <c r="S222" s="1"/>
    </row>
    <row r="223">
      <c r="I223" s="1"/>
      <c r="J223" s="1"/>
      <c r="K223" s="1"/>
      <c r="L223" s="1"/>
      <c r="M223" s="1"/>
      <c r="N223" s="1"/>
      <c r="O223" s="1"/>
      <c r="P223" s="1"/>
      <c r="Q223" s="1"/>
      <c r="R223" s="1"/>
      <c r="S223" s="1"/>
    </row>
    <row r="224">
      <c r="I224" s="1"/>
      <c r="J224" s="1"/>
      <c r="K224" s="1"/>
      <c r="L224" s="1"/>
      <c r="M224" s="1"/>
      <c r="N224" s="1"/>
      <c r="O224" s="1"/>
      <c r="P224" s="1"/>
      <c r="Q224" s="1"/>
      <c r="R224" s="1"/>
      <c r="S224" s="1"/>
    </row>
    <row r="225">
      <c r="I225" s="1"/>
      <c r="J225" s="1"/>
      <c r="K225" s="1"/>
      <c r="L225" s="1"/>
      <c r="M225" s="1"/>
      <c r="N225" s="1"/>
      <c r="O225" s="1"/>
      <c r="P225" s="1"/>
      <c r="Q225" s="1"/>
      <c r="R225" s="1"/>
      <c r="S225" s="1"/>
    </row>
    <row r="226">
      <c r="I226" s="1"/>
      <c r="J226" s="1"/>
      <c r="K226" s="1"/>
      <c r="L226" s="1"/>
      <c r="M226" s="1"/>
      <c r="N226" s="1"/>
      <c r="O226" s="1"/>
      <c r="P226" s="1"/>
      <c r="Q226" s="1"/>
      <c r="R226" s="1"/>
      <c r="S226" s="1"/>
    </row>
    <row r="227">
      <c r="I227" s="1"/>
      <c r="J227" s="1"/>
      <c r="K227" s="1"/>
      <c r="L227" s="1"/>
      <c r="M227" s="1"/>
      <c r="N227" s="1"/>
      <c r="O227" s="1"/>
      <c r="P227" s="1"/>
      <c r="Q227" s="1"/>
      <c r="R227" s="1"/>
      <c r="S227" s="1"/>
    </row>
    <row r="228">
      <c r="I228" s="1"/>
      <c r="J228" s="1"/>
      <c r="K228" s="1"/>
      <c r="L228" s="1"/>
      <c r="M228" s="1"/>
      <c r="N228" s="1"/>
      <c r="O228" s="1"/>
      <c r="P228" s="1"/>
      <c r="Q228" s="1"/>
      <c r="R228" s="1"/>
      <c r="S228" s="1"/>
    </row>
    <row r="229">
      <c r="I229" s="1"/>
      <c r="J229" s="1"/>
      <c r="K229" s="1"/>
      <c r="L229" s="1"/>
      <c r="M229" s="1"/>
      <c r="N229" s="1"/>
      <c r="O229" s="1"/>
      <c r="P229" s="1"/>
      <c r="Q229" s="1"/>
      <c r="R229" s="1"/>
      <c r="S229" s="1"/>
    </row>
    <row r="230">
      <c r="I230" s="1"/>
      <c r="J230" s="1"/>
      <c r="K230" s="1"/>
      <c r="L230" s="1"/>
      <c r="M230" s="1"/>
      <c r="N230" s="1"/>
      <c r="O230" s="1"/>
      <c r="P230" s="1"/>
      <c r="Q230" s="1"/>
      <c r="R230" s="1"/>
      <c r="S230" s="1"/>
    </row>
    <row r="231">
      <c r="I231" s="1"/>
      <c r="J231" s="1"/>
      <c r="K231" s="1"/>
      <c r="L231" s="1"/>
      <c r="M231" s="1"/>
      <c r="N231" s="1"/>
      <c r="O231" s="1"/>
      <c r="P231" s="1"/>
      <c r="Q231" s="1"/>
      <c r="R231" s="1"/>
      <c r="S231" s="1"/>
    </row>
    <row r="232">
      <c r="I232" s="1"/>
      <c r="J232" s="1"/>
      <c r="K232" s="1"/>
      <c r="L232" s="1"/>
      <c r="M232" s="1"/>
      <c r="N232" s="1"/>
      <c r="O232" s="1"/>
      <c r="P232" s="1"/>
      <c r="Q232" s="1"/>
      <c r="R232" s="1"/>
      <c r="S232" s="1"/>
    </row>
    <row r="233">
      <c r="I233" s="1"/>
      <c r="J233" s="1"/>
      <c r="K233" s="1"/>
      <c r="L233" s="1"/>
      <c r="M233" s="1"/>
      <c r="N233" s="1"/>
      <c r="O233" s="1"/>
      <c r="P233" s="1"/>
      <c r="Q233" s="1"/>
      <c r="R233" s="1"/>
      <c r="S233" s="1"/>
    </row>
    <row r="234">
      <c r="I234" s="1"/>
      <c r="J234" s="1"/>
      <c r="K234" s="1"/>
      <c r="L234" s="1"/>
      <c r="M234" s="1"/>
      <c r="N234" s="1"/>
      <c r="O234" s="1"/>
      <c r="P234" s="1"/>
      <c r="Q234" s="1"/>
      <c r="R234" s="1"/>
      <c r="S234" s="1"/>
    </row>
    <row r="235">
      <c r="I235" s="1"/>
      <c r="J235" s="1"/>
      <c r="K235" s="1"/>
      <c r="L235" s="1"/>
      <c r="M235" s="1"/>
      <c r="N235" s="1"/>
      <c r="O235" s="1"/>
      <c r="P235" s="1"/>
      <c r="Q235" s="1"/>
      <c r="R235" s="1"/>
      <c r="S235" s="1"/>
    </row>
    <row r="236">
      <c r="I236" s="1"/>
      <c r="J236" s="1"/>
      <c r="K236" s="1"/>
      <c r="L236" s="1"/>
      <c r="M236" s="1"/>
      <c r="N236" s="1"/>
      <c r="O236" s="1"/>
      <c r="P236" s="1"/>
      <c r="Q236" s="1"/>
      <c r="R236" s="1"/>
      <c r="S236" s="1"/>
    </row>
    <row r="237">
      <c r="I237" s="1"/>
      <c r="J237" s="1"/>
      <c r="K237" s="1"/>
      <c r="L237" s="1"/>
      <c r="M237" s="1"/>
      <c r="N237" s="1"/>
      <c r="O237" s="1"/>
      <c r="P237" s="1"/>
      <c r="Q237" s="1"/>
      <c r="R237" s="1"/>
      <c r="S237" s="1"/>
    </row>
    <row r="238">
      <c r="I238" s="1"/>
      <c r="J238" s="1"/>
      <c r="K238" s="1"/>
      <c r="L238" s="1"/>
      <c r="M238" s="1"/>
      <c r="N238" s="1"/>
      <c r="O238" s="1"/>
      <c r="P238" s="1"/>
      <c r="Q238" s="1"/>
      <c r="R238" s="1"/>
      <c r="S238" s="1"/>
    </row>
    <row r="239">
      <c r="I239" s="1"/>
      <c r="J239" s="1"/>
      <c r="K239" s="1"/>
      <c r="L239" s="1"/>
      <c r="M239" s="1"/>
      <c r="N239" s="1"/>
      <c r="O239" s="1"/>
      <c r="P239" s="1"/>
      <c r="Q239" s="1"/>
      <c r="R239" s="1"/>
      <c r="S239" s="1"/>
    </row>
    <row r="240">
      <c r="I240" s="1"/>
      <c r="J240" s="1"/>
      <c r="K240" s="1"/>
      <c r="L240" s="1"/>
      <c r="M240" s="1"/>
      <c r="N240" s="1"/>
      <c r="O240" s="1"/>
      <c r="P240" s="1"/>
      <c r="Q240" s="1"/>
      <c r="R240" s="1"/>
      <c r="S240" s="1"/>
    </row>
    <row r="241">
      <c r="I241" s="1"/>
      <c r="J241" s="1"/>
      <c r="K241" s="1"/>
      <c r="L241" s="1"/>
      <c r="M241" s="1"/>
      <c r="N241" s="1"/>
      <c r="O241" s="1"/>
      <c r="P241" s="1"/>
      <c r="Q241" s="1"/>
      <c r="R241" s="1"/>
      <c r="S241" s="1"/>
    </row>
    <row r="242">
      <c r="I242" s="1"/>
      <c r="J242" s="1"/>
      <c r="K242" s="1"/>
      <c r="L242" s="1"/>
      <c r="M242" s="1"/>
      <c r="N242" s="1"/>
      <c r="O242" s="1"/>
      <c r="P242" s="1"/>
      <c r="Q242" s="1"/>
      <c r="R242" s="1"/>
      <c r="S242" s="1"/>
    </row>
    <row r="243">
      <c r="I243" s="1"/>
      <c r="J243" s="1"/>
      <c r="K243" s="1"/>
      <c r="L243" s="1"/>
      <c r="M243" s="1"/>
      <c r="N243" s="1"/>
      <c r="O243" s="1"/>
      <c r="P243" s="1"/>
      <c r="Q243" s="1"/>
      <c r="R243" s="1"/>
      <c r="S243" s="1"/>
    </row>
    <row r="244">
      <c r="I244" s="1"/>
      <c r="J244" s="1"/>
      <c r="K244" s="1"/>
      <c r="L244" s="1"/>
      <c r="M244" s="1"/>
      <c r="N244" s="1"/>
      <c r="O244" s="1"/>
      <c r="P244" s="1"/>
      <c r="Q244" s="1"/>
      <c r="R244" s="1"/>
      <c r="S244" s="1"/>
    </row>
    <row r="245">
      <c r="I245" s="1"/>
      <c r="J245" s="1"/>
      <c r="K245" s="1"/>
      <c r="L245" s="1"/>
      <c r="M245" s="1"/>
      <c r="N245" s="1"/>
      <c r="O245" s="1"/>
      <c r="P245" s="1"/>
      <c r="Q245" s="1"/>
      <c r="R245" s="1"/>
      <c r="S245" s="1"/>
    </row>
    <row r="246">
      <c r="I246" s="1"/>
      <c r="J246" s="1"/>
      <c r="K246" s="1"/>
      <c r="L246" s="1"/>
      <c r="M246" s="1"/>
      <c r="N246" s="1"/>
      <c r="O246" s="1"/>
      <c r="P246" s="1"/>
      <c r="Q246" s="1"/>
      <c r="R246" s="1"/>
      <c r="S246" s="1"/>
    </row>
    <row r="247">
      <c r="I247" s="1"/>
      <c r="J247" s="1"/>
      <c r="K247" s="1"/>
      <c r="L247" s="1"/>
      <c r="M247" s="1"/>
      <c r="N247" s="1"/>
      <c r="O247" s="1"/>
      <c r="P247" s="1"/>
      <c r="Q247" s="1"/>
      <c r="R247" s="1"/>
      <c r="S247" s="1"/>
    </row>
    <row r="248">
      <c r="I248" s="1"/>
      <c r="J248" s="1"/>
      <c r="K248" s="1"/>
      <c r="L248" s="1"/>
      <c r="M248" s="1"/>
      <c r="N248" s="1"/>
      <c r="O248" s="1"/>
      <c r="P248" s="1"/>
      <c r="Q248" s="1"/>
      <c r="R248" s="1"/>
      <c r="S248" s="1"/>
    </row>
    <row r="249">
      <c r="I249" s="1"/>
      <c r="J249" s="1"/>
      <c r="K249" s="1"/>
      <c r="L249" s="1"/>
      <c r="M249" s="1"/>
      <c r="N249" s="1"/>
      <c r="O249" s="1"/>
      <c r="P249" s="1"/>
      <c r="Q249" s="1"/>
      <c r="R249" s="1"/>
      <c r="S249" s="1"/>
    </row>
    <row r="250">
      <c r="I250" s="1"/>
      <c r="J250" s="1"/>
      <c r="K250" s="1"/>
      <c r="L250" s="1"/>
      <c r="M250" s="1"/>
      <c r="N250" s="1"/>
      <c r="O250" s="1"/>
      <c r="P250" s="1"/>
      <c r="Q250" s="1"/>
      <c r="R250" s="1"/>
      <c r="S250" s="1"/>
    </row>
    <row r="251">
      <c r="I251" s="1"/>
      <c r="J251" s="1"/>
      <c r="K251" s="1"/>
      <c r="L251" s="1"/>
      <c r="M251" s="1"/>
      <c r="N251" s="1"/>
      <c r="O251" s="1"/>
      <c r="P251" s="1"/>
      <c r="Q251" s="1"/>
      <c r="R251" s="1"/>
      <c r="S251" s="1"/>
    </row>
    <row r="252">
      <c r="I252" s="1"/>
      <c r="J252" s="1"/>
      <c r="K252" s="1"/>
      <c r="L252" s="1"/>
      <c r="M252" s="1"/>
      <c r="N252" s="1"/>
      <c r="O252" s="1"/>
      <c r="P252" s="1"/>
      <c r="Q252" s="1"/>
      <c r="R252" s="1"/>
      <c r="S252" s="1"/>
    </row>
    <row r="253">
      <c r="I253" s="1"/>
      <c r="J253" s="1"/>
      <c r="K253" s="1"/>
      <c r="L253" s="1"/>
      <c r="M253" s="1"/>
      <c r="N253" s="1"/>
      <c r="O253" s="1"/>
      <c r="P253" s="1"/>
      <c r="Q253" s="1"/>
      <c r="R253" s="1"/>
      <c r="S253" s="1"/>
    </row>
    <row r="254">
      <c r="I254" s="1"/>
      <c r="J254" s="1"/>
      <c r="K254" s="1"/>
      <c r="L254" s="1"/>
      <c r="M254" s="1"/>
      <c r="N254" s="1"/>
      <c r="O254" s="1"/>
      <c r="P254" s="1"/>
      <c r="Q254" s="1"/>
      <c r="R254" s="1"/>
      <c r="S254" s="1"/>
    </row>
    <row r="255">
      <c r="I255" s="1"/>
      <c r="J255" s="1"/>
      <c r="K255" s="1"/>
      <c r="L255" s="1"/>
      <c r="M255" s="1"/>
      <c r="N255" s="1"/>
      <c r="O255" s="1"/>
      <c r="P255" s="1"/>
      <c r="Q255" s="1"/>
      <c r="R255" s="1"/>
      <c r="S255" s="1"/>
    </row>
    <row r="256">
      <c r="I256" s="1"/>
      <c r="J256" s="1"/>
      <c r="K256" s="1"/>
      <c r="L256" s="1"/>
      <c r="M256" s="1"/>
      <c r="N256" s="1"/>
      <c r="O256" s="1"/>
      <c r="P256" s="1"/>
      <c r="Q256" s="1"/>
      <c r="R256" s="1"/>
      <c r="S256" s="1"/>
    </row>
    <row r="257">
      <c r="I257" s="1"/>
      <c r="J257" s="1"/>
      <c r="K257" s="1"/>
      <c r="L257" s="1"/>
      <c r="M257" s="1"/>
      <c r="N257" s="1"/>
      <c r="O257" s="1"/>
      <c r="P257" s="1"/>
      <c r="Q257" s="1"/>
      <c r="R257" s="1"/>
      <c r="S257" s="1"/>
    </row>
    <row r="258">
      <c r="I258" s="1"/>
      <c r="J258" s="1"/>
      <c r="K258" s="1"/>
      <c r="L258" s="1"/>
      <c r="M258" s="1"/>
      <c r="N258" s="1"/>
      <c r="O258" s="1"/>
      <c r="P258" s="1"/>
      <c r="Q258" s="1"/>
      <c r="R258" s="1"/>
      <c r="S258" s="1"/>
    </row>
    <row r="259">
      <c r="I259" s="1"/>
      <c r="J259" s="1"/>
      <c r="K259" s="1"/>
      <c r="L259" s="1"/>
      <c r="M259" s="1"/>
      <c r="N259" s="1"/>
      <c r="O259" s="1"/>
      <c r="P259" s="1"/>
      <c r="Q259" s="1"/>
      <c r="R259" s="1"/>
      <c r="S259" s="1"/>
    </row>
    <row r="260">
      <c r="I260" s="1"/>
      <c r="J260" s="1"/>
      <c r="K260" s="1"/>
      <c r="L260" s="1"/>
      <c r="M260" s="1"/>
      <c r="N260" s="1"/>
      <c r="O260" s="1"/>
      <c r="P260" s="1"/>
      <c r="Q260" s="1"/>
      <c r="R260" s="1"/>
      <c r="S260" s="1"/>
    </row>
    <row r="261">
      <c r="I261" s="1"/>
      <c r="J261" s="1"/>
      <c r="K261" s="1"/>
      <c r="L261" s="1"/>
      <c r="M261" s="1"/>
      <c r="N261" s="1"/>
      <c r="O261" s="1"/>
      <c r="P261" s="1"/>
      <c r="Q261" s="1"/>
      <c r="R261" s="1"/>
      <c r="S261" s="1"/>
    </row>
    <row r="262">
      <c r="I262" s="1"/>
      <c r="J262" s="1"/>
      <c r="K262" s="1"/>
      <c r="L262" s="1"/>
      <c r="M262" s="1"/>
      <c r="N262" s="1"/>
      <c r="O262" s="1"/>
      <c r="P262" s="1"/>
      <c r="Q262" s="1"/>
      <c r="R262" s="1"/>
      <c r="S262" s="1"/>
    </row>
    <row r="263">
      <c r="I263" s="1"/>
      <c r="J263" s="1"/>
      <c r="K263" s="1"/>
      <c r="L263" s="1"/>
      <c r="M263" s="1"/>
      <c r="N263" s="1"/>
      <c r="O263" s="1"/>
      <c r="P263" s="1"/>
      <c r="Q263" s="1"/>
      <c r="R263" s="1"/>
      <c r="S263" s="1"/>
    </row>
    <row r="264">
      <c r="I264" s="1"/>
      <c r="J264" s="1"/>
      <c r="K264" s="1"/>
      <c r="L264" s="1"/>
      <c r="M264" s="1"/>
      <c r="N264" s="1"/>
      <c r="O264" s="1"/>
      <c r="P264" s="1"/>
      <c r="Q264" s="1"/>
      <c r="R264" s="1"/>
      <c r="S264" s="1"/>
    </row>
    <row r="265">
      <c r="I265" s="1"/>
      <c r="J265" s="1"/>
      <c r="K265" s="1"/>
      <c r="L265" s="1"/>
      <c r="M265" s="1"/>
      <c r="N265" s="1"/>
      <c r="O265" s="1"/>
      <c r="P265" s="1"/>
      <c r="Q265" s="1"/>
      <c r="R265" s="1"/>
      <c r="S265" s="1"/>
    </row>
    <row r="266">
      <c r="I266" s="1"/>
      <c r="J266" s="1"/>
      <c r="K266" s="1"/>
      <c r="L266" s="1"/>
      <c r="M266" s="1"/>
      <c r="N266" s="1"/>
      <c r="O266" s="1"/>
      <c r="P266" s="1"/>
      <c r="Q266" s="1"/>
      <c r="R266" s="1"/>
      <c r="S266" s="1"/>
    </row>
    <row r="267">
      <c r="I267" s="1"/>
      <c r="J267" s="1"/>
      <c r="K267" s="1"/>
      <c r="L267" s="1"/>
      <c r="M267" s="1"/>
      <c r="N267" s="1"/>
      <c r="O267" s="1"/>
      <c r="P267" s="1"/>
      <c r="Q267" s="1"/>
      <c r="R267" s="1"/>
      <c r="S267" s="1"/>
    </row>
    <row r="268">
      <c r="I268" s="1"/>
      <c r="J268" s="1"/>
      <c r="K268" s="1"/>
      <c r="L268" s="1"/>
      <c r="M268" s="1"/>
      <c r="N268" s="1"/>
      <c r="O268" s="1"/>
      <c r="P268" s="1"/>
      <c r="Q268" s="1"/>
      <c r="R268" s="1"/>
      <c r="S268" s="1"/>
    </row>
    <row r="269">
      <c r="I269" s="1"/>
      <c r="J269" s="1"/>
      <c r="K269" s="1"/>
      <c r="L269" s="1"/>
      <c r="M269" s="1"/>
      <c r="N269" s="1"/>
      <c r="O269" s="1"/>
      <c r="P269" s="1"/>
      <c r="Q269" s="1"/>
      <c r="R269" s="1"/>
      <c r="S269" s="1"/>
    </row>
    <row r="270">
      <c r="I270" s="1"/>
      <c r="J270" s="1"/>
      <c r="K270" s="1"/>
      <c r="L270" s="1"/>
      <c r="M270" s="1"/>
      <c r="N270" s="1"/>
      <c r="O270" s="1"/>
      <c r="P270" s="1"/>
      <c r="Q270" s="1"/>
      <c r="R270" s="1"/>
      <c r="S270" s="1"/>
    </row>
    <row r="271">
      <c r="I271" s="1"/>
      <c r="J271" s="1"/>
      <c r="K271" s="1"/>
      <c r="L271" s="1"/>
      <c r="M271" s="1"/>
      <c r="N271" s="1"/>
      <c r="O271" s="1"/>
      <c r="P271" s="1"/>
      <c r="Q271" s="1"/>
      <c r="R271" s="1"/>
      <c r="S271" s="1"/>
    </row>
    <row r="272">
      <c r="I272" s="1"/>
      <c r="J272" s="1"/>
      <c r="K272" s="1"/>
      <c r="L272" s="1"/>
      <c r="M272" s="1"/>
      <c r="N272" s="1"/>
      <c r="O272" s="1"/>
      <c r="P272" s="1"/>
      <c r="Q272" s="1"/>
      <c r="R272" s="1"/>
      <c r="S272" s="1"/>
    </row>
    <row r="273">
      <c r="I273" s="1"/>
      <c r="J273" s="1"/>
      <c r="K273" s="1"/>
      <c r="L273" s="1"/>
      <c r="M273" s="1"/>
      <c r="N273" s="1"/>
      <c r="O273" s="1"/>
      <c r="P273" s="1"/>
      <c r="Q273" s="1"/>
      <c r="R273" s="1"/>
      <c r="S273" s="1"/>
    </row>
    <row r="274">
      <c r="I274" s="1"/>
      <c r="J274" s="1"/>
      <c r="K274" s="1"/>
      <c r="L274" s="1"/>
      <c r="M274" s="1"/>
      <c r="N274" s="1"/>
      <c r="O274" s="1"/>
      <c r="P274" s="1"/>
      <c r="Q274" s="1"/>
      <c r="R274" s="1"/>
      <c r="S274" s="1"/>
    </row>
    <row r="275">
      <c r="I275" s="1"/>
      <c r="J275" s="1"/>
      <c r="K275" s="1"/>
      <c r="L275" s="1"/>
      <c r="M275" s="1"/>
      <c r="N275" s="1"/>
      <c r="O275" s="1"/>
      <c r="P275" s="1"/>
      <c r="Q275" s="1"/>
      <c r="R275" s="1"/>
      <c r="S275" s="1"/>
    </row>
    <row r="276">
      <c r="I276" s="1"/>
      <c r="J276" s="1"/>
      <c r="K276" s="1"/>
      <c r="L276" s="1"/>
      <c r="M276" s="1"/>
      <c r="N276" s="1"/>
      <c r="O276" s="1"/>
      <c r="P276" s="1"/>
      <c r="Q276" s="1"/>
      <c r="R276" s="1"/>
      <c r="S276" s="1"/>
    </row>
    <row r="277">
      <c r="I277" s="1"/>
      <c r="J277" s="1"/>
      <c r="K277" s="1"/>
      <c r="L277" s="1"/>
      <c r="M277" s="1"/>
      <c r="N277" s="1"/>
      <c r="O277" s="1"/>
      <c r="P277" s="1"/>
      <c r="Q277" s="1"/>
      <c r="R277" s="1"/>
      <c r="S277" s="1"/>
    </row>
    <row r="278">
      <c r="I278" s="1"/>
      <c r="J278" s="1"/>
      <c r="K278" s="1"/>
      <c r="L278" s="1"/>
      <c r="M278" s="1"/>
      <c r="N278" s="1"/>
      <c r="O278" s="1"/>
      <c r="P278" s="1"/>
      <c r="Q278" s="1"/>
      <c r="R278" s="1"/>
      <c r="S278" s="1"/>
    </row>
    <row r="279">
      <c r="I279" s="1"/>
      <c r="J279" s="1"/>
      <c r="K279" s="1"/>
      <c r="L279" s="1"/>
      <c r="M279" s="1"/>
      <c r="N279" s="1"/>
      <c r="O279" s="1"/>
      <c r="P279" s="1"/>
      <c r="Q279" s="1"/>
      <c r="R279" s="1"/>
      <c r="S279" s="1"/>
    </row>
    <row r="280">
      <c r="I280" s="1"/>
      <c r="J280" s="1"/>
      <c r="K280" s="1"/>
      <c r="L280" s="1"/>
      <c r="M280" s="1"/>
      <c r="N280" s="1"/>
      <c r="O280" s="1"/>
      <c r="P280" s="1"/>
      <c r="Q280" s="1"/>
      <c r="R280" s="1"/>
      <c r="S280" s="1"/>
    </row>
    <row r="281">
      <c r="I281" s="1"/>
      <c r="J281" s="1"/>
      <c r="K281" s="1"/>
      <c r="L281" s="1"/>
      <c r="M281" s="1"/>
      <c r="N281" s="1"/>
      <c r="O281" s="1"/>
      <c r="P281" s="1"/>
      <c r="Q281" s="1"/>
      <c r="R281" s="1"/>
      <c r="S281" s="1"/>
    </row>
    <row r="282">
      <c r="I282" s="1"/>
      <c r="J282" s="1"/>
      <c r="K282" s="1"/>
      <c r="L282" s="1"/>
      <c r="M282" s="1"/>
      <c r="N282" s="1"/>
      <c r="O282" s="1"/>
      <c r="P282" s="1"/>
      <c r="Q282" s="1"/>
      <c r="R282" s="1"/>
      <c r="S282" s="1"/>
    </row>
    <row r="283">
      <c r="I283" s="1"/>
      <c r="J283" s="1"/>
      <c r="K283" s="1"/>
      <c r="L283" s="1"/>
      <c r="M283" s="1"/>
      <c r="N283" s="1"/>
      <c r="O283" s="1"/>
      <c r="P283" s="1"/>
      <c r="Q283" s="1"/>
      <c r="R283" s="1"/>
      <c r="S283" s="1"/>
    </row>
    <row r="284">
      <c r="I284" s="1"/>
      <c r="J284" s="1"/>
      <c r="K284" s="1"/>
      <c r="L284" s="1"/>
      <c r="M284" s="1"/>
      <c r="N284" s="1"/>
      <c r="O284" s="1"/>
      <c r="P284" s="1"/>
      <c r="Q284" s="1"/>
      <c r="R284" s="1"/>
      <c r="S284" s="1"/>
    </row>
    <row r="285">
      <c r="I285" s="1"/>
      <c r="J285" s="1"/>
      <c r="K285" s="1"/>
      <c r="L285" s="1"/>
      <c r="M285" s="1"/>
      <c r="N285" s="1"/>
      <c r="O285" s="1"/>
      <c r="P285" s="1"/>
      <c r="Q285" s="1"/>
      <c r="R285" s="1"/>
      <c r="S285" s="1"/>
    </row>
    <row r="286">
      <c r="I286" s="1"/>
      <c r="J286" s="1"/>
      <c r="K286" s="1"/>
      <c r="L286" s="1"/>
      <c r="M286" s="1"/>
      <c r="N286" s="1"/>
      <c r="O286" s="1"/>
      <c r="P286" s="1"/>
      <c r="Q286" s="1"/>
      <c r="R286" s="1"/>
      <c r="S286" s="1"/>
    </row>
    <row r="287">
      <c r="I287" s="1"/>
      <c r="J287" s="1"/>
      <c r="K287" s="1"/>
      <c r="L287" s="1"/>
      <c r="M287" s="1"/>
      <c r="N287" s="1"/>
      <c r="O287" s="1"/>
      <c r="P287" s="1"/>
      <c r="Q287" s="1"/>
      <c r="R287" s="1"/>
      <c r="S287" s="1"/>
    </row>
    <row r="288">
      <c r="I288" s="1"/>
      <c r="J288" s="1"/>
      <c r="K288" s="1"/>
      <c r="L288" s="1"/>
      <c r="M288" s="1"/>
      <c r="N288" s="1"/>
      <c r="O288" s="1"/>
      <c r="P288" s="1"/>
      <c r="Q288" s="1"/>
      <c r="R288" s="1"/>
      <c r="S288" s="1"/>
    </row>
    <row r="289">
      <c r="I289" s="1"/>
      <c r="J289" s="1"/>
      <c r="K289" s="1"/>
      <c r="L289" s="1"/>
      <c r="M289" s="1"/>
      <c r="N289" s="1"/>
      <c r="O289" s="1"/>
      <c r="P289" s="1"/>
      <c r="Q289" s="1"/>
      <c r="R289" s="1"/>
      <c r="S289" s="1"/>
    </row>
    <row r="290">
      <c r="I290" s="1"/>
      <c r="J290" s="1"/>
      <c r="K290" s="1"/>
      <c r="L290" s="1"/>
      <c r="M290" s="1"/>
      <c r="N290" s="1"/>
      <c r="O290" s="1"/>
      <c r="P290" s="1"/>
      <c r="Q290" s="1"/>
      <c r="R290" s="1"/>
      <c r="S290" s="1"/>
    </row>
    <row r="291">
      <c r="I291" s="1"/>
      <c r="J291" s="1"/>
      <c r="K291" s="1"/>
      <c r="L291" s="1"/>
      <c r="M291" s="1"/>
      <c r="N291" s="1"/>
      <c r="O291" s="1"/>
      <c r="P291" s="1"/>
      <c r="Q291" s="1"/>
      <c r="R291" s="1"/>
      <c r="S291" s="1"/>
    </row>
    <row r="292">
      <c r="I292" s="1"/>
      <c r="J292" s="1"/>
      <c r="K292" s="1"/>
      <c r="L292" s="1"/>
      <c r="M292" s="1"/>
      <c r="N292" s="1"/>
      <c r="O292" s="1"/>
      <c r="P292" s="1"/>
      <c r="Q292" s="1"/>
      <c r="R292" s="1"/>
      <c r="S292" s="1"/>
    </row>
    <row r="293">
      <c r="I293" s="1"/>
      <c r="J293" s="1"/>
      <c r="K293" s="1"/>
      <c r="L293" s="1"/>
      <c r="M293" s="1"/>
      <c r="N293" s="1"/>
      <c r="O293" s="1"/>
      <c r="P293" s="1"/>
      <c r="Q293" s="1"/>
      <c r="R293" s="1"/>
      <c r="S293" s="1"/>
    </row>
    <row r="294">
      <c r="I294" s="1"/>
      <c r="J294" s="1"/>
      <c r="K294" s="1"/>
      <c r="L294" s="1"/>
      <c r="M294" s="1"/>
      <c r="N294" s="1"/>
      <c r="O294" s="1"/>
      <c r="P294" s="1"/>
      <c r="Q294" s="1"/>
      <c r="R294" s="1"/>
      <c r="S294" s="1"/>
    </row>
    <row r="295">
      <c r="I295" s="1"/>
      <c r="J295" s="1"/>
      <c r="K295" s="1"/>
      <c r="L295" s="1"/>
      <c r="M295" s="1"/>
      <c r="N295" s="1"/>
      <c r="O295" s="1"/>
      <c r="P295" s="1"/>
      <c r="Q295" s="1"/>
      <c r="R295" s="1"/>
      <c r="S295" s="1"/>
    </row>
    <row r="296">
      <c r="I296" s="1"/>
      <c r="J296" s="1"/>
      <c r="K296" s="1"/>
      <c r="L296" s="1"/>
      <c r="M296" s="1"/>
      <c r="N296" s="1"/>
      <c r="O296" s="1"/>
      <c r="P296" s="1"/>
      <c r="Q296" s="1"/>
      <c r="R296" s="1"/>
      <c r="S296" s="1"/>
    </row>
    <row r="297">
      <c r="I297" s="1"/>
      <c r="J297" s="1"/>
      <c r="K297" s="1"/>
      <c r="L297" s="1"/>
      <c r="M297" s="1"/>
      <c r="N297" s="1"/>
      <c r="O297" s="1"/>
      <c r="P297" s="1"/>
      <c r="Q297" s="1"/>
      <c r="R297" s="1"/>
      <c r="S297" s="1"/>
    </row>
    <row r="298">
      <c r="I298" s="1"/>
      <c r="J298" s="1"/>
      <c r="K298" s="1"/>
      <c r="L298" s="1"/>
      <c r="M298" s="1"/>
      <c r="N298" s="1"/>
      <c r="O298" s="1"/>
      <c r="P298" s="1"/>
      <c r="Q298" s="1"/>
      <c r="R298" s="1"/>
      <c r="S298" s="1"/>
    </row>
    <row r="299">
      <c r="I299" s="1"/>
      <c r="J299" s="1"/>
      <c r="K299" s="1"/>
      <c r="L299" s="1"/>
      <c r="M299" s="1"/>
      <c r="N299" s="1"/>
      <c r="O299" s="1"/>
      <c r="P299" s="1"/>
      <c r="Q299" s="1"/>
      <c r="R299" s="1"/>
      <c r="S299" s="1"/>
    </row>
    <row r="300">
      <c r="I300" s="1"/>
      <c r="J300" s="1"/>
      <c r="K300" s="1"/>
      <c r="L300" s="1"/>
      <c r="M300" s="1"/>
      <c r="N300" s="1"/>
      <c r="O300" s="1"/>
      <c r="P300" s="1"/>
      <c r="Q300" s="1"/>
      <c r="R300" s="1"/>
      <c r="S300" s="1"/>
    </row>
    <row r="301">
      <c r="I301" s="1"/>
      <c r="J301" s="1"/>
      <c r="K301" s="1"/>
      <c r="L301" s="1"/>
      <c r="M301" s="1"/>
      <c r="N301" s="1"/>
      <c r="O301" s="1"/>
      <c r="P301" s="1"/>
      <c r="Q301" s="1"/>
      <c r="R301" s="1"/>
      <c r="S301" s="1"/>
    </row>
    <row r="302">
      <c r="I302" s="1"/>
      <c r="J302" s="1"/>
      <c r="K302" s="1"/>
      <c r="L302" s="1"/>
      <c r="M302" s="1"/>
      <c r="N302" s="1"/>
      <c r="O302" s="1"/>
      <c r="P302" s="1"/>
      <c r="Q302" s="1"/>
      <c r="R302" s="1"/>
      <c r="S302" s="1"/>
    </row>
    <row r="303">
      <c r="I303" s="1"/>
      <c r="J303" s="1"/>
      <c r="K303" s="1"/>
      <c r="L303" s="1"/>
      <c r="M303" s="1"/>
      <c r="N303" s="1"/>
      <c r="O303" s="1"/>
      <c r="P303" s="1"/>
      <c r="Q303" s="1"/>
      <c r="R303" s="1"/>
      <c r="S303" s="1"/>
    </row>
    <row r="304">
      <c r="I304" s="1"/>
      <c r="J304" s="1"/>
      <c r="K304" s="1"/>
      <c r="L304" s="1"/>
      <c r="M304" s="1"/>
      <c r="N304" s="1"/>
      <c r="O304" s="1"/>
      <c r="P304" s="1"/>
      <c r="Q304" s="1"/>
      <c r="R304" s="1"/>
      <c r="S304" s="1"/>
    </row>
    <row r="305">
      <c r="I305" s="1"/>
      <c r="J305" s="1"/>
      <c r="K305" s="1"/>
      <c r="L305" s="1"/>
      <c r="M305" s="1"/>
      <c r="N305" s="1"/>
      <c r="O305" s="1"/>
      <c r="P305" s="1"/>
      <c r="Q305" s="1"/>
      <c r="R305" s="1"/>
      <c r="S305" s="1"/>
    </row>
    <row r="306">
      <c r="I306" s="1"/>
      <c r="J306" s="1"/>
      <c r="K306" s="1"/>
      <c r="L306" s="1"/>
      <c r="M306" s="1"/>
      <c r="N306" s="1"/>
      <c r="O306" s="1"/>
      <c r="P306" s="1"/>
      <c r="Q306" s="1"/>
      <c r="R306" s="1"/>
      <c r="S306" s="1"/>
    </row>
    <row r="307">
      <c r="I307" s="1"/>
      <c r="J307" s="1"/>
      <c r="K307" s="1"/>
      <c r="L307" s="1"/>
      <c r="M307" s="1"/>
      <c r="N307" s="1"/>
      <c r="O307" s="1"/>
      <c r="P307" s="1"/>
      <c r="Q307" s="1"/>
      <c r="R307" s="1"/>
      <c r="S307" s="1"/>
    </row>
    <row r="308">
      <c r="I308" s="1"/>
      <c r="J308" s="1"/>
      <c r="K308" s="1"/>
      <c r="L308" s="1"/>
      <c r="M308" s="1"/>
      <c r="N308" s="1"/>
      <c r="O308" s="1"/>
      <c r="P308" s="1"/>
      <c r="Q308" s="1"/>
      <c r="R308" s="1"/>
      <c r="S308" s="1"/>
    </row>
    <row r="309">
      <c r="I309" s="1"/>
      <c r="J309" s="1"/>
      <c r="K309" s="1"/>
      <c r="L309" s="1"/>
      <c r="M309" s="1"/>
      <c r="N309" s="1"/>
      <c r="O309" s="1"/>
      <c r="P309" s="1"/>
      <c r="Q309" s="1"/>
      <c r="R309" s="1"/>
      <c r="S309" s="1"/>
    </row>
    <row r="310">
      <c r="I310" s="1"/>
      <c r="J310" s="1"/>
      <c r="K310" s="1"/>
      <c r="L310" s="1"/>
      <c r="M310" s="1"/>
      <c r="N310" s="1"/>
      <c r="O310" s="1"/>
      <c r="P310" s="1"/>
      <c r="Q310" s="1"/>
      <c r="R310" s="1"/>
      <c r="S310" s="1"/>
    </row>
    <row r="311">
      <c r="I311" s="1"/>
      <c r="J311" s="1"/>
      <c r="K311" s="1"/>
      <c r="L311" s="1"/>
      <c r="M311" s="1"/>
      <c r="N311" s="1"/>
      <c r="O311" s="1"/>
      <c r="P311" s="1"/>
      <c r="Q311" s="1"/>
      <c r="R311" s="1"/>
      <c r="S311" s="1"/>
    </row>
    <row r="312">
      <c r="I312" s="1"/>
      <c r="J312" s="1"/>
      <c r="K312" s="1"/>
      <c r="L312" s="1"/>
      <c r="M312" s="1"/>
      <c r="N312" s="1"/>
      <c r="O312" s="1"/>
      <c r="P312" s="1"/>
      <c r="Q312" s="1"/>
      <c r="R312" s="1"/>
      <c r="S312" s="1"/>
    </row>
    <row r="313">
      <c r="I313" s="1"/>
      <c r="J313" s="1"/>
      <c r="K313" s="1"/>
      <c r="L313" s="1"/>
      <c r="M313" s="1"/>
      <c r="N313" s="1"/>
      <c r="O313" s="1"/>
      <c r="P313" s="1"/>
      <c r="Q313" s="1"/>
      <c r="R313" s="1"/>
      <c r="S313" s="1"/>
    </row>
    <row r="314">
      <c r="I314" s="1"/>
      <c r="J314" s="1"/>
      <c r="K314" s="1"/>
      <c r="L314" s="1"/>
      <c r="M314" s="1"/>
      <c r="N314" s="1"/>
      <c r="O314" s="1"/>
      <c r="P314" s="1"/>
      <c r="Q314" s="1"/>
      <c r="R314" s="1"/>
      <c r="S314" s="1"/>
    </row>
    <row r="315">
      <c r="I315" s="1"/>
      <c r="J315" s="1"/>
      <c r="K315" s="1"/>
      <c r="L315" s="1"/>
      <c r="M315" s="1"/>
      <c r="N315" s="1"/>
      <c r="O315" s="1"/>
      <c r="P315" s="1"/>
      <c r="Q315" s="1"/>
      <c r="R315" s="1"/>
      <c r="S315" s="1"/>
    </row>
    <row r="316">
      <c r="I316" s="1"/>
      <c r="J316" s="1"/>
      <c r="K316" s="1"/>
      <c r="L316" s="1"/>
      <c r="M316" s="1"/>
      <c r="N316" s="1"/>
      <c r="O316" s="1"/>
      <c r="P316" s="1"/>
      <c r="Q316" s="1"/>
      <c r="R316" s="1"/>
      <c r="S316" s="1"/>
    </row>
    <row r="317">
      <c r="I317" s="1"/>
      <c r="J317" s="1"/>
      <c r="K317" s="1"/>
      <c r="L317" s="1"/>
      <c r="M317" s="1"/>
      <c r="N317" s="1"/>
      <c r="O317" s="1"/>
      <c r="P317" s="1"/>
      <c r="Q317" s="1"/>
      <c r="R317" s="1"/>
      <c r="S317" s="1"/>
    </row>
    <row r="318">
      <c r="I318" s="1"/>
      <c r="J318" s="1"/>
      <c r="K318" s="1"/>
      <c r="L318" s="1"/>
      <c r="M318" s="1"/>
      <c r="N318" s="1"/>
      <c r="O318" s="1"/>
      <c r="P318" s="1"/>
      <c r="Q318" s="1"/>
      <c r="R318" s="1"/>
      <c r="S318" s="1"/>
    </row>
    <row r="319">
      <c r="I319" s="1"/>
      <c r="J319" s="1"/>
      <c r="K319" s="1"/>
      <c r="L319" s="1"/>
      <c r="M319" s="1"/>
      <c r="N319" s="1"/>
      <c r="O319" s="1"/>
      <c r="P319" s="1"/>
      <c r="Q319" s="1"/>
      <c r="R319" s="1"/>
      <c r="S319" s="1"/>
    </row>
    <row r="320">
      <c r="I320" s="1"/>
      <c r="J320" s="1"/>
      <c r="K320" s="1"/>
      <c r="L320" s="1"/>
      <c r="M320" s="1"/>
      <c r="N320" s="1"/>
      <c r="O320" s="1"/>
      <c r="P320" s="1"/>
      <c r="Q320" s="1"/>
      <c r="R320" s="1"/>
      <c r="S320" s="1"/>
    </row>
    <row r="321">
      <c r="I321" s="1"/>
      <c r="J321" s="1"/>
      <c r="K321" s="1"/>
      <c r="L321" s="1"/>
      <c r="M321" s="1"/>
      <c r="N321" s="1"/>
      <c r="O321" s="1"/>
      <c r="P321" s="1"/>
      <c r="Q321" s="1"/>
      <c r="R321" s="1"/>
      <c r="S321" s="1"/>
    </row>
    <row r="322">
      <c r="I322" s="1"/>
      <c r="J322" s="1"/>
      <c r="K322" s="1"/>
      <c r="L322" s="1"/>
      <c r="M322" s="1"/>
      <c r="N322" s="1"/>
      <c r="O322" s="1"/>
      <c r="P322" s="1"/>
      <c r="Q322" s="1"/>
      <c r="R322" s="1"/>
      <c r="S322" s="1"/>
    </row>
    <row r="323">
      <c r="I323" s="1"/>
      <c r="J323" s="1"/>
      <c r="K323" s="1"/>
      <c r="L323" s="1"/>
      <c r="M323" s="1"/>
      <c r="N323" s="1"/>
      <c r="O323" s="1"/>
      <c r="P323" s="1"/>
      <c r="Q323" s="1"/>
      <c r="R323" s="1"/>
      <c r="S323" s="1"/>
    </row>
    <row r="324">
      <c r="I324" s="1"/>
      <c r="J324" s="1"/>
      <c r="K324" s="1"/>
      <c r="L324" s="1"/>
      <c r="M324" s="1"/>
      <c r="N324" s="1"/>
      <c r="O324" s="1"/>
      <c r="P324" s="1"/>
      <c r="Q324" s="1"/>
      <c r="R324" s="1"/>
      <c r="S324" s="1"/>
    </row>
    <row r="325">
      <c r="I325" s="1"/>
      <c r="J325" s="1"/>
      <c r="K325" s="1"/>
      <c r="L325" s="1"/>
      <c r="M325" s="1"/>
      <c r="N325" s="1"/>
      <c r="O325" s="1"/>
      <c r="P325" s="1"/>
      <c r="Q325" s="1"/>
      <c r="R325" s="1"/>
      <c r="S325" s="1"/>
    </row>
    <row r="326">
      <c r="I326" s="1"/>
      <c r="J326" s="1"/>
      <c r="K326" s="1"/>
      <c r="L326" s="1"/>
      <c r="M326" s="1"/>
      <c r="N326" s="1"/>
      <c r="O326" s="1"/>
      <c r="P326" s="1"/>
      <c r="Q326" s="1"/>
      <c r="R326" s="1"/>
      <c r="S326" s="1"/>
    </row>
    <row r="327">
      <c r="I327" s="1"/>
      <c r="J327" s="1"/>
      <c r="K327" s="1"/>
      <c r="L327" s="1"/>
      <c r="M327" s="1"/>
      <c r="N327" s="1"/>
      <c r="O327" s="1"/>
      <c r="P327" s="1"/>
      <c r="Q327" s="1"/>
      <c r="R327" s="1"/>
      <c r="S327" s="1"/>
    </row>
    <row r="328">
      <c r="I328" s="1"/>
      <c r="J328" s="1"/>
      <c r="K328" s="1"/>
      <c r="L328" s="1"/>
      <c r="M328" s="1"/>
      <c r="N328" s="1"/>
      <c r="O328" s="1"/>
      <c r="P328" s="1"/>
      <c r="Q328" s="1"/>
      <c r="R328" s="1"/>
      <c r="S328" s="1"/>
    </row>
    <row r="329">
      <c r="I329" s="1"/>
      <c r="J329" s="1"/>
      <c r="K329" s="1"/>
      <c r="L329" s="1"/>
      <c r="M329" s="1"/>
      <c r="N329" s="1"/>
      <c r="O329" s="1"/>
      <c r="P329" s="1"/>
      <c r="Q329" s="1"/>
      <c r="R329" s="1"/>
      <c r="S329" s="1"/>
    </row>
    <row r="330">
      <c r="I330" s="1"/>
      <c r="J330" s="1"/>
      <c r="K330" s="1"/>
      <c r="L330" s="1"/>
      <c r="M330" s="1"/>
      <c r="N330" s="1"/>
      <c r="O330" s="1"/>
      <c r="P330" s="1"/>
      <c r="Q330" s="1"/>
      <c r="R330" s="1"/>
      <c r="S330" s="1"/>
    </row>
    <row r="331">
      <c r="I331" s="1"/>
      <c r="J331" s="1"/>
      <c r="K331" s="1"/>
      <c r="L331" s="1"/>
      <c r="M331" s="1"/>
      <c r="N331" s="1"/>
      <c r="O331" s="1"/>
      <c r="P331" s="1"/>
      <c r="Q331" s="1"/>
      <c r="R331" s="1"/>
      <c r="S331" s="1"/>
    </row>
    <row r="332">
      <c r="I332" s="1"/>
      <c r="J332" s="1"/>
      <c r="K332" s="1"/>
      <c r="L332" s="1"/>
      <c r="M332" s="1"/>
      <c r="N332" s="1"/>
      <c r="O332" s="1"/>
      <c r="P332" s="1"/>
      <c r="Q332" s="1"/>
      <c r="R332" s="1"/>
      <c r="S332" s="1"/>
    </row>
    <row r="333">
      <c r="I333" s="1"/>
      <c r="J333" s="1"/>
      <c r="K333" s="1"/>
      <c r="L333" s="1"/>
      <c r="M333" s="1"/>
      <c r="N333" s="1"/>
      <c r="O333" s="1"/>
      <c r="P333" s="1"/>
      <c r="Q333" s="1"/>
      <c r="R333" s="1"/>
      <c r="S333" s="1"/>
    </row>
    <row r="334">
      <c r="I334" s="1"/>
      <c r="J334" s="1"/>
      <c r="K334" s="1"/>
      <c r="L334" s="1"/>
      <c r="M334" s="1"/>
      <c r="N334" s="1"/>
      <c r="O334" s="1"/>
      <c r="P334" s="1"/>
      <c r="Q334" s="1"/>
      <c r="R334" s="1"/>
      <c r="S334" s="1"/>
    </row>
    <row r="335">
      <c r="I335" s="1"/>
      <c r="J335" s="1"/>
      <c r="K335" s="1"/>
      <c r="L335" s="1"/>
      <c r="M335" s="1"/>
      <c r="N335" s="1"/>
      <c r="O335" s="1"/>
      <c r="P335" s="1"/>
      <c r="Q335" s="1"/>
      <c r="R335" s="1"/>
      <c r="S335" s="1"/>
    </row>
    <row r="336">
      <c r="I336" s="1"/>
      <c r="J336" s="1"/>
      <c r="K336" s="1"/>
      <c r="L336" s="1"/>
      <c r="M336" s="1"/>
      <c r="N336" s="1"/>
      <c r="O336" s="1"/>
      <c r="P336" s="1"/>
      <c r="Q336" s="1"/>
      <c r="R336" s="1"/>
      <c r="S336" s="1"/>
    </row>
    <row r="337">
      <c r="I337" s="1"/>
      <c r="J337" s="1"/>
      <c r="K337" s="1"/>
      <c r="L337" s="1"/>
      <c r="M337" s="1"/>
      <c r="N337" s="1"/>
      <c r="O337" s="1"/>
      <c r="P337" s="1"/>
      <c r="Q337" s="1"/>
      <c r="R337" s="1"/>
      <c r="S337" s="1"/>
    </row>
    <row r="338">
      <c r="I338" s="1"/>
      <c r="J338" s="1"/>
      <c r="K338" s="1"/>
      <c r="L338" s="1"/>
      <c r="M338" s="1"/>
      <c r="N338" s="1"/>
      <c r="O338" s="1"/>
      <c r="P338" s="1"/>
      <c r="Q338" s="1"/>
      <c r="R338" s="1"/>
      <c r="S338" s="1"/>
    </row>
    <row r="339">
      <c r="I339" s="1"/>
      <c r="J339" s="1"/>
      <c r="K339" s="1"/>
      <c r="L339" s="1"/>
      <c r="M339" s="1"/>
      <c r="N339" s="1"/>
      <c r="O339" s="1"/>
      <c r="P339" s="1"/>
      <c r="Q339" s="1"/>
      <c r="R339" s="1"/>
      <c r="S339" s="1"/>
    </row>
    <row r="340">
      <c r="I340" s="1"/>
      <c r="J340" s="1"/>
      <c r="K340" s="1"/>
      <c r="L340" s="1"/>
      <c r="M340" s="1"/>
      <c r="N340" s="1"/>
      <c r="O340" s="1"/>
      <c r="P340" s="1"/>
      <c r="Q340" s="1"/>
      <c r="R340" s="1"/>
      <c r="S340" s="1"/>
    </row>
    <row r="341">
      <c r="I341" s="1"/>
      <c r="J341" s="1"/>
      <c r="K341" s="1"/>
      <c r="L341" s="1"/>
      <c r="M341" s="1"/>
      <c r="N341" s="1"/>
      <c r="O341" s="1"/>
      <c r="P341" s="1"/>
      <c r="Q341" s="1"/>
      <c r="R341" s="1"/>
      <c r="S341" s="1"/>
    </row>
    <row r="342">
      <c r="I342" s="1"/>
      <c r="J342" s="1"/>
      <c r="K342" s="1"/>
      <c r="L342" s="1"/>
      <c r="M342" s="1"/>
      <c r="N342" s="1"/>
      <c r="O342" s="1"/>
      <c r="P342" s="1"/>
      <c r="Q342" s="1"/>
      <c r="R342" s="1"/>
      <c r="S342" s="1"/>
    </row>
    <row r="343">
      <c r="I343" s="1"/>
      <c r="J343" s="1"/>
      <c r="K343" s="1"/>
      <c r="L343" s="1"/>
      <c r="M343" s="1"/>
      <c r="N343" s="1"/>
      <c r="O343" s="1"/>
      <c r="P343" s="1"/>
      <c r="Q343" s="1"/>
      <c r="R343" s="1"/>
      <c r="S343" s="1"/>
    </row>
    <row r="344">
      <c r="I344" s="1"/>
      <c r="J344" s="1"/>
      <c r="K344" s="1"/>
      <c r="L344" s="1"/>
      <c r="M344" s="1"/>
      <c r="N344" s="1"/>
      <c r="O344" s="1"/>
      <c r="P344" s="1"/>
      <c r="Q344" s="1"/>
      <c r="R344" s="1"/>
      <c r="S344" s="1"/>
    </row>
    <row r="345">
      <c r="I345" s="1"/>
      <c r="J345" s="1"/>
      <c r="K345" s="1"/>
      <c r="L345" s="1"/>
      <c r="M345" s="1"/>
      <c r="N345" s="1"/>
      <c r="O345" s="1"/>
      <c r="P345" s="1"/>
      <c r="Q345" s="1"/>
      <c r="R345" s="1"/>
      <c r="S345" s="1"/>
    </row>
    <row r="346">
      <c r="I346" s="1"/>
      <c r="J346" s="1"/>
      <c r="K346" s="1"/>
      <c r="L346" s="1"/>
      <c r="M346" s="1"/>
      <c r="N346" s="1"/>
      <c r="O346" s="1"/>
      <c r="P346" s="1"/>
      <c r="Q346" s="1"/>
      <c r="R346" s="1"/>
      <c r="S346" s="1"/>
    </row>
    <row r="347">
      <c r="I347" s="1"/>
      <c r="J347" s="1"/>
      <c r="K347" s="1"/>
      <c r="L347" s="1"/>
      <c r="M347" s="1"/>
      <c r="N347" s="1"/>
      <c r="O347" s="1"/>
      <c r="P347" s="1"/>
      <c r="Q347" s="1"/>
      <c r="R347" s="1"/>
      <c r="S347" s="1"/>
    </row>
    <row r="348">
      <c r="I348" s="1"/>
      <c r="J348" s="1"/>
      <c r="K348" s="1"/>
      <c r="L348" s="1"/>
      <c r="M348" s="1"/>
      <c r="N348" s="1"/>
      <c r="O348" s="1"/>
      <c r="P348" s="1"/>
      <c r="Q348" s="1"/>
      <c r="R348" s="1"/>
      <c r="S348" s="1"/>
    </row>
    <row r="349">
      <c r="I349" s="1"/>
      <c r="J349" s="1"/>
      <c r="K349" s="1"/>
      <c r="L349" s="1"/>
      <c r="M349" s="1"/>
      <c r="N349" s="1"/>
      <c r="O349" s="1"/>
      <c r="P349" s="1"/>
      <c r="Q349" s="1"/>
      <c r="R349" s="1"/>
      <c r="S349" s="1"/>
    </row>
    <row r="350">
      <c r="I350" s="1"/>
      <c r="J350" s="1"/>
      <c r="K350" s="1"/>
      <c r="L350" s="1"/>
      <c r="M350" s="1"/>
      <c r="N350" s="1"/>
      <c r="O350" s="1"/>
      <c r="P350" s="1"/>
      <c r="Q350" s="1"/>
      <c r="R350" s="1"/>
      <c r="S350" s="1"/>
    </row>
    <row r="351">
      <c r="I351" s="1"/>
      <c r="J351" s="1"/>
      <c r="K351" s="1"/>
      <c r="L351" s="1"/>
      <c r="M351" s="1"/>
      <c r="N351" s="1"/>
      <c r="O351" s="1"/>
      <c r="P351" s="1"/>
      <c r="Q351" s="1"/>
      <c r="R351" s="1"/>
      <c r="S351" s="1"/>
    </row>
    <row r="352">
      <c r="I352" s="1"/>
      <c r="J352" s="1"/>
      <c r="K352" s="1"/>
      <c r="L352" s="1"/>
      <c r="M352" s="1"/>
      <c r="N352" s="1"/>
      <c r="O352" s="1"/>
      <c r="P352" s="1"/>
      <c r="Q352" s="1"/>
      <c r="R352" s="1"/>
      <c r="S352" s="1"/>
    </row>
    <row r="353">
      <c r="I353" s="1"/>
      <c r="J353" s="1"/>
      <c r="K353" s="1"/>
      <c r="L353" s="1"/>
      <c r="M353" s="1"/>
      <c r="N353" s="1"/>
      <c r="O353" s="1"/>
      <c r="P353" s="1"/>
      <c r="Q353" s="1"/>
      <c r="R353" s="1"/>
      <c r="S353" s="1"/>
    </row>
    <row r="354">
      <c r="I354" s="1"/>
      <c r="J354" s="1"/>
      <c r="K354" s="1"/>
      <c r="L354" s="1"/>
      <c r="M354" s="1"/>
      <c r="N354" s="1"/>
      <c r="O354" s="1"/>
      <c r="P354" s="1"/>
      <c r="Q354" s="1"/>
      <c r="R354" s="1"/>
      <c r="S354" s="1"/>
    </row>
    <row r="355">
      <c r="I355" s="1"/>
      <c r="J355" s="1"/>
      <c r="K355" s="1"/>
      <c r="L355" s="1"/>
      <c r="M355" s="1"/>
      <c r="N355" s="1"/>
      <c r="O355" s="1"/>
      <c r="P355" s="1"/>
      <c r="Q355" s="1"/>
      <c r="R355" s="1"/>
      <c r="S355" s="1"/>
    </row>
    <row r="356">
      <c r="I356" s="1"/>
      <c r="J356" s="1"/>
      <c r="K356" s="1"/>
      <c r="L356" s="1"/>
      <c r="M356" s="1"/>
      <c r="N356" s="1"/>
      <c r="O356" s="1"/>
      <c r="P356" s="1"/>
      <c r="Q356" s="1"/>
      <c r="R356" s="1"/>
      <c r="S356" s="1"/>
    </row>
    <row r="357">
      <c r="I357" s="1"/>
      <c r="J357" s="1"/>
      <c r="K357" s="1"/>
      <c r="L357" s="1"/>
      <c r="M357" s="1"/>
      <c r="N357" s="1"/>
      <c r="O357" s="1"/>
      <c r="P357" s="1"/>
      <c r="Q357" s="1"/>
      <c r="R357" s="1"/>
      <c r="S357" s="1"/>
    </row>
    <row r="358">
      <c r="I358" s="1"/>
      <c r="J358" s="1"/>
      <c r="K358" s="1"/>
      <c r="L358" s="1"/>
      <c r="M358" s="1"/>
      <c r="N358" s="1"/>
      <c r="O358" s="1"/>
      <c r="P358" s="1"/>
      <c r="Q358" s="1"/>
      <c r="R358" s="1"/>
      <c r="S358" s="1"/>
    </row>
    <row r="359">
      <c r="I359" s="1"/>
      <c r="J359" s="1"/>
      <c r="K359" s="1"/>
      <c r="L359" s="1"/>
      <c r="M359" s="1"/>
      <c r="N359" s="1"/>
      <c r="O359" s="1"/>
      <c r="P359" s="1"/>
      <c r="Q359" s="1"/>
      <c r="R359" s="1"/>
      <c r="S359" s="1"/>
    </row>
    <row r="360">
      <c r="I360" s="1"/>
      <c r="J360" s="1"/>
      <c r="K360" s="1"/>
      <c r="L360" s="1"/>
      <c r="M360" s="1"/>
      <c r="N360" s="1"/>
      <c r="O360" s="1"/>
      <c r="P360" s="1"/>
      <c r="Q360" s="1"/>
      <c r="R360" s="1"/>
      <c r="S360" s="1"/>
    </row>
    <row r="361">
      <c r="I361" s="1"/>
      <c r="J361" s="1"/>
      <c r="K361" s="1"/>
      <c r="L361" s="1"/>
      <c r="M361" s="1"/>
      <c r="N361" s="1"/>
      <c r="O361" s="1"/>
      <c r="P361" s="1"/>
      <c r="Q361" s="1"/>
      <c r="R361" s="1"/>
      <c r="S361" s="1"/>
    </row>
    <row r="362">
      <c r="I362" s="1"/>
      <c r="J362" s="1"/>
      <c r="K362" s="1"/>
      <c r="L362" s="1"/>
      <c r="M362" s="1"/>
      <c r="N362" s="1"/>
      <c r="O362" s="1"/>
      <c r="P362" s="1"/>
      <c r="Q362" s="1"/>
      <c r="R362" s="1"/>
      <c r="S362" s="1"/>
    </row>
    <row r="363">
      <c r="I363" s="1"/>
      <c r="J363" s="1"/>
      <c r="K363" s="1"/>
      <c r="L363" s="1"/>
      <c r="M363" s="1"/>
      <c r="N363" s="1"/>
      <c r="O363" s="1"/>
      <c r="P363" s="1"/>
      <c r="Q363" s="1"/>
      <c r="R363" s="1"/>
      <c r="S363" s="1"/>
    </row>
    <row r="364">
      <c r="I364" s="1"/>
      <c r="J364" s="1"/>
      <c r="K364" s="1"/>
      <c r="L364" s="1"/>
      <c r="M364" s="1"/>
      <c r="N364" s="1"/>
      <c r="O364" s="1"/>
      <c r="P364" s="1"/>
      <c r="Q364" s="1"/>
      <c r="R364" s="1"/>
      <c r="S364" s="1"/>
    </row>
    <row r="365">
      <c r="I365" s="1"/>
      <c r="J365" s="1"/>
      <c r="K365" s="1"/>
      <c r="L365" s="1"/>
      <c r="M365" s="1"/>
      <c r="N365" s="1"/>
      <c r="O365" s="1"/>
      <c r="P365" s="1"/>
      <c r="Q365" s="1"/>
      <c r="R365" s="1"/>
      <c r="S365" s="1"/>
    </row>
    <row r="366">
      <c r="I366" s="1"/>
      <c r="J366" s="1"/>
      <c r="K366" s="1"/>
      <c r="L366" s="1"/>
      <c r="M366" s="1"/>
      <c r="N366" s="1"/>
      <c r="O366" s="1"/>
      <c r="P366" s="1"/>
      <c r="Q366" s="1"/>
      <c r="R366" s="1"/>
      <c r="S366" s="1"/>
    </row>
    <row r="367">
      <c r="I367" s="1"/>
      <c r="J367" s="1"/>
      <c r="K367" s="1"/>
      <c r="L367" s="1"/>
      <c r="M367" s="1"/>
      <c r="N367" s="1"/>
      <c r="O367" s="1"/>
      <c r="P367" s="1"/>
      <c r="Q367" s="1"/>
      <c r="R367" s="1"/>
      <c r="S367" s="1"/>
    </row>
    <row r="368">
      <c r="I368" s="1"/>
      <c r="J368" s="1"/>
      <c r="K368" s="1"/>
      <c r="L368" s="1"/>
      <c r="M368" s="1"/>
      <c r="N368" s="1"/>
      <c r="O368" s="1"/>
      <c r="P368" s="1"/>
      <c r="Q368" s="1"/>
      <c r="R368" s="1"/>
      <c r="S368" s="1"/>
    </row>
    <row r="369">
      <c r="I369" s="1"/>
      <c r="J369" s="1"/>
      <c r="K369" s="1"/>
      <c r="L369" s="1"/>
      <c r="M369" s="1"/>
      <c r="N369" s="1"/>
      <c r="O369" s="1"/>
      <c r="P369" s="1"/>
      <c r="Q369" s="1"/>
      <c r="R369" s="1"/>
      <c r="S369" s="1"/>
    </row>
    <row r="370">
      <c r="I370" s="1"/>
      <c r="J370" s="1"/>
      <c r="K370" s="1"/>
      <c r="L370" s="1"/>
      <c r="M370" s="1"/>
      <c r="N370" s="1"/>
      <c r="O370" s="1"/>
      <c r="P370" s="1"/>
      <c r="Q370" s="1"/>
      <c r="R370" s="1"/>
      <c r="S370" s="1"/>
    </row>
    <row r="371">
      <c r="I371" s="1"/>
      <c r="J371" s="1"/>
      <c r="K371" s="1"/>
      <c r="L371" s="1"/>
      <c r="M371" s="1"/>
      <c r="N371" s="1"/>
      <c r="O371" s="1"/>
      <c r="P371" s="1"/>
      <c r="Q371" s="1"/>
      <c r="R371" s="1"/>
      <c r="S371" s="1"/>
    </row>
    <row r="372">
      <c r="I372" s="1"/>
      <c r="J372" s="1"/>
      <c r="K372" s="1"/>
      <c r="L372" s="1"/>
      <c r="M372" s="1"/>
      <c r="N372" s="1"/>
      <c r="O372" s="1"/>
      <c r="P372" s="1"/>
      <c r="Q372" s="1"/>
      <c r="R372" s="1"/>
      <c r="S372" s="1"/>
    </row>
    <row r="373">
      <c r="I373" s="1"/>
      <c r="J373" s="1"/>
      <c r="K373" s="1"/>
      <c r="L373" s="1"/>
      <c r="M373" s="1"/>
      <c r="N373" s="1"/>
      <c r="O373" s="1"/>
      <c r="P373" s="1"/>
      <c r="Q373" s="1"/>
      <c r="R373" s="1"/>
      <c r="S373" s="1"/>
    </row>
    <row r="374">
      <c r="I374" s="1"/>
      <c r="J374" s="1"/>
      <c r="K374" s="1"/>
      <c r="L374" s="1"/>
      <c r="M374" s="1"/>
      <c r="N374" s="1"/>
      <c r="O374" s="1"/>
      <c r="P374" s="1"/>
      <c r="Q374" s="1"/>
      <c r="R374" s="1"/>
      <c r="S374" s="1"/>
    </row>
    <row r="375">
      <c r="I375" s="1"/>
      <c r="J375" s="1"/>
      <c r="K375" s="1"/>
      <c r="L375" s="1"/>
      <c r="M375" s="1"/>
      <c r="N375" s="1"/>
      <c r="O375" s="1"/>
      <c r="P375" s="1"/>
      <c r="Q375" s="1"/>
      <c r="R375" s="1"/>
      <c r="S375" s="1"/>
    </row>
    <row r="376">
      <c r="I376" s="1"/>
      <c r="J376" s="1"/>
      <c r="K376" s="1"/>
      <c r="L376" s="1"/>
      <c r="M376" s="1"/>
      <c r="N376" s="1"/>
      <c r="O376" s="1"/>
      <c r="P376" s="1"/>
      <c r="Q376" s="1"/>
      <c r="R376" s="1"/>
      <c r="S376" s="1"/>
    </row>
    <row r="377">
      <c r="I377" s="1"/>
      <c r="J377" s="1"/>
      <c r="K377" s="1"/>
      <c r="L377" s="1"/>
      <c r="M377" s="1"/>
      <c r="N377" s="1"/>
      <c r="O377" s="1"/>
      <c r="P377" s="1"/>
      <c r="Q377" s="1"/>
      <c r="R377" s="1"/>
      <c r="S377" s="1"/>
    </row>
    <row r="378">
      <c r="I378" s="1"/>
      <c r="J378" s="1"/>
      <c r="K378" s="1"/>
      <c r="L378" s="1"/>
      <c r="M378" s="1"/>
      <c r="N378" s="1"/>
      <c r="O378" s="1"/>
      <c r="P378" s="1"/>
      <c r="Q378" s="1"/>
      <c r="R378" s="1"/>
      <c r="S378" s="1"/>
    </row>
    <row r="379">
      <c r="I379" s="1"/>
      <c r="J379" s="1"/>
      <c r="K379" s="1"/>
      <c r="L379" s="1"/>
      <c r="M379" s="1"/>
      <c r="N379" s="1"/>
      <c r="O379" s="1"/>
      <c r="P379" s="1"/>
      <c r="Q379" s="1"/>
      <c r="R379" s="1"/>
      <c r="S379" s="1"/>
    </row>
    <row r="380">
      <c r="I380" s="1"/>
      <c r="J380" s="1"/>
      <c r="K380" s="1"/>
      <c r="L380" s="1"/>
      <c r="M380" s="1"/>
      <c r="N380" s="1"/>
      <c r="O380" s="1"/>
      <c r="P380" s="1"/>
      <c r="Q380" s="1"/>
      <c r="R380" s="1"/>
      <c r="S380" s="1"/>
    </row>
    <row r="381">
      <c r="I381" s="1"/>
      <c r="J381" s="1"/>
      <c r="K381" s="1"/>
      <c r="L381" s="1"/>
      <c r="M381" s="1"/>
      <c r="N381" s="1"/>
      <c r="O381" s="1"/>
      <c r="P381" s="1"/>
      <c r="Q381" s="1"/>
      <c r="R381" s="1"/>
      <c r="S381" s="1"/>
    </row>
    <row r="382">
      <c r="I382" s="1"/>
      <c r="J382" s="1"/>
      <c r="K382" s="1"/>
      <c r="L382" s="1"/>
      <c r="M382" s="1"/>
      <c r="N382" s="1"/>
      <c r="O382" s="1"/>
      <c r="P382" s="1"/>
      <c r="Q382" s="1"/>
      <c r="R382" s="1"/>
      <c r="S382" s="1"/>
    </row>
    <row r="383">
      <c r="I383" s="1"/>
      <c r="J383" s="1"/>
      <c r="K383" s="1"/>
      <c r="L383" s="1"/>
      <c r="M383" s="1"/>
      <c r="N383" s="1"/>
      <c r="O383" s="1"/>
      <c r="P383" s="1"/>
      <c r="Q383" s="1"/>
      <c r="R383" s="1"/>
      <c r="S383" s="1"/>
    </row>
    <row r="384">
      <c r="I384" s="1"/>
      <c r="J384" s="1"/>
      <c r="K384" s="1"/>
      <c r="L384" s="1"/>
      <c r="M384" s="1"/>
      <c r="N384" s="1"/>
      <c r="O384" s="1"/>
      <c r="P384" s="1"/>
      <c r="Q384" s="1"/>
      <c r="R384" s="1"/>
      <c r="S384" s="1"/>
    </row>
    <row r="385">
      <c r="I385" s="1"/>
      <c r="J385" s="1"/>
      <c r="K385" s="1"/>
      <c r="L385" s="1"/>
      <c r="M385" s="1"/>
      <c r="N385" s="1"/>
      <c r="O385" s="1"/>
      <c r="P385" s="1"/>
      <c r="Q385" s="1"/>
      <c r="R385" s="1"/>
      <c r="S385" s="1"/>
    </row>
    <row r="386">
      <c r="I386" s="1"/>
      <c r="J386" s="1"/>
      <c r="K386" s="1"/>
      <c r="L386" s="1"/>
      <c r="M386" s="1"/>
      <c r="N386" s="1"/>
      <c r="O386" s="1"/>
      <c r="P386" s="1"/>
      <c r="Q386" s="1"/>
      <c r="R386" s="1"/>
      <c r="S386" s="1"/>
    </row>
    <row r="387">
      <c r="I387" s="1"/>
      <c r="J387" s="1"/>
      <c r="K387" s="1"/>
      <c r="L387" s="1"/>
      <c r="M387" s="1"/>
      <c r="N387" s="1"/>
      <c r="O387" s="1"/>
      <c r="P387" s="1"/>
      <c r="Q387" s="1"/>
      <c r="R387" s="1"/>
      <c r="S387" s="1"/>
    </row>
    <row r="388">
      <c r="I388" s="1"/>
      <c r="J388" s="1"/>
      <c r="K388" s="1"/>
      <c r="L388" s="1"/>
      <c r="M388" s="1"/>
      <c r="N388" s="1"/>
      <c r="O388" s="1"/>
      <c r="P388" s="1"/>
      <c r="Q388" s="1"/>
      <c r="R388" s="1"/>
      <c r="S388" s="1"/>
    </row>
    <row r="389">
      <c r="I389" s="1"/>
      <c r="J389" s="1"/>
      <c r="K389" s="1"/>
      <c r="L389" s="1"/>
      <c r="M389" s="1"/>
      <c r="N389" s="1"/>
      <c r="O389" s="1"/>
      <c r="P389" s="1"/>
      <c r="Q389" s="1"/>
      <c r="R389" s="1"/>
      <c r="S389" s="1"/>
    </row>
    <row r="390">
      <c r="I390" s="1"/>
      <c r="J390" s="1"/>
      <c r="K390" s="1"/>
      <c r="L390" s="1"/>
      <c r="M390" s="1"/>
      <c r="N390" s="1"/>
      <c r="O390" s="1"/>
      <c r="P390" s="1"/>
      <c r="Q390" s="1"/>
      <c r="R390" s="1"/>
      <c r="S390" s="1"/>
    </row>
    <row r="391">
      <c r="I391" s="1"/>
      <c r="J391" s="1"/>
      <c r="K391" s="1"/>
      <c r="L391" s="1"/>
      <c r="M391" s="1"/>
      <c r="N391" s="1"/>
      <c r="O391" s="1"/>
      <c r="P391" s="1"/>
      <c r="Q391" s="1"/>
      <c r="R391" s="1"/>
      <c r="S391" s="1"/>
    </row>
    <row r="392">
      <c r="I392" s="1"/>
      <c r="J392" s="1"/>
      <c r="K392" s="1"/>
      <c r="L392" s="1"/>
      <c r="M392" s="1"/>
      <c r="N392" s="1"/>
      <c r="O392" s="1"/>
      <c r="P392" s="1"/>
      <c r="Q392" s="1"/>
      <c r="R392" s="1"/>
      <c r="S392" s="1"/>
    </row>
    <row r="393">
      <c r="I393" s="1"/>
      <c r="J393" s="1"/>
      <c r="K393" s="1"/>
      <c r="L393" s="1"/>
      <c r="M393" s="1"/>
      <c r="N393" s="1"/>
      <c r="O393" s="1"/>
      <c r="P393" s="1"/>
      <c r="Q393" s="1"/>
      <c r="R393" s="1"/>
      <c r="S393" s="1"/>
    </row>
    <row r="394">
      <c r="I394" s="1"/>
      <c r="J394" s="1"/>
      <c r="K394" s="1"/>
      <c r="L394" s="1"/>
      <c r="M394" s="1"/>
      <c r="N394" s="1"/>
      <c r="O394" s="1"/>
      <c r="P394" s="1"/>
      <c r="Q394" s="1"/>
      <c r="R394" s="1"/>
      <c r="S394" s="1"/>
    </row>
    <row r="395">
      <c r="I395" s="1"/>
      <c r="J395" s="1"/>
      <c r="K395" s="1"/>
      <c r="L395" s="1"/>
      <c r="M395" s="1"/>
      <c r="N395" s="1"/>
      <c r="O395" s="1"/>
      <c r="P395" s="1"/>
      <c r="Q395" s="1"/>
      <c r="R395" s="1"/>
      <c r="S395" s="1"/>
    </row>
    <row r="396">
      <c r="I396" s="1"/>
      <c r="J396" s="1"/>
      <c r="K396" s="1"/>
      <c r="L396" s="1"/>
      <c r="M396" s="1"/>
      <c r="N396" s="1"/>
      <c r="O396" s="1"/>
      <c r="P396" s="1"/>
      <c r="Q396" s="1"/>
      <c r="R396" s="1"/>
      <c r="S396" s="1"/>
    </row>
    <row r="397">
      <c r="I397" s="1"/>
      <c r="J397" s="1"/>
      <c r="K397" s="1"/>
      <c r="L397" s="1"/>
      <c r="M397" s="1"/>
      <c r="N397" s="1"/>
      <c r="O397" s="1"/>
      <c r="P397" s="1"/>
      <c r="Q397" s="1"/>
      <c r="R397" s="1"/>
      <c r="S397" s="1"/>
    </row>
    <row r="398">
      <c r="I398" s="1"/>
      <c r="J398" s="1"/>
      <c r="K398" s="1"/>
      <c r="L398" s="1"/>
      <c r="M398" s="1"/>
      <c r="N398" s="1"/>
      <c r="O398" s="1"/>
      <c r="P398" s="1"/>
      <c r="Q398" s="1"/>
      <c r="R398" s="1"/>
      <c r="S398" s="1"/>
    </row>
    <row r="399">
      <c r="I399" s="1"/>
      <c r="J399" s="1"/>
      <c r="K399" s="1"/>
      <c r="L399" s="1"/>
      <c r="M399" s="1"/>
      <c r="N399" s="1"/>
      <c r="O399" s="1"/>
      <c r="P399" s="1"/>
      <c r="Q399" s="1"/>
      <c r="R399" s="1"/>
      <c r="S399" s="1"/>
    </row>
    <row r="400">
      <c r="I400" s="1"/>
      <c r="J400" s="1"/>
      <c r="K400" s="1"/>
      <c r="L400" s="1"/>
      <c r="M400" s="1"/>
      <c r="N400" s="1"/>
      <c r="O400" s="1"/>
      <c r="P400" s="1"/>
      <c r="Q400" s="1"/>
      <c r="R400" s="1"/>
      <c r="S400" s="1"/>
    </row>
    <row r="401">
      <c r="I401" s="1"/>
      <c r="J401" s="1"/>
      <c r="K401" s="1"/>
      <c r="L401" s="1"/>
      <c r="M401" s="1"/>
      <c r="N401" s="1"/>
      <c r="O401" s="1"/>
      <c r="P401" s="1"/>
      <c r="Q401" s="1"/>
      <c r="R401" s="1"/>
      <c r="S401" s="1"/>
    </row>
    <row r="402">
      <c r="I402" s="1"/>
      <c r="J402" s="1"/>
      <c r="K402" s="1"/>
      <c r="L402" s="1"/>
      <c r="M402" s="1"/>
      <c r="N402" s="1"/>
      <c r="O402" s="1"/>
      <c r="P402" s="1"/>
      <c r="Q402" s="1"/>
      <c r="R402" s="1"/>
      <c r="S402" s="1"/>
    </row>
    <row r="403">
      <c r="I403" s="1"/>
      <c r="J403" s="1"/>
      <c r="K403" s="1"/>
      <c r="L403" s="1"/>
      <c r="M403" s="1"/>
      <c r="N403" s="1"/>
      <c r="O403" s="1"/>
      <c r="P403" s="1"/>
      <c r="Q403" s="1"/>
      <c r="R403" s="1"/>
      <c r="S403" s="1"/>
    </row>
    <row r="404">
      <c r="I404" s="1"/>
      <c r="J404" s="1"/>
      <c r="K404" s="1"/>
      <c r="L404" s="1"/>
      <c r="M404" s="1"/>
      <c r="N404" s="1"/>
      <c r="O404" s="1"/>
      <c r="P404" s="1"/>
      <c r="Q404" s="1"/>
      <c r="R404" s="1"/>
      <c r="S404" s="1"/>
    </row>
    <row r="405">
      <c r="I405" s="1"/>
      <c r="J405" s="1"/>
      <c r="K405" s="1"/>
      <c r="L405" s="1"/>
      <c r="M405" s="1"/>
      <c r="N405" s="1"/>
      <c r="O405" s="1"/>
      <c r="P405" s="1"/>
      <c r="Q405" s="1"/>
      <c r="R405" s="1"/>
      <c r="S405" s="1"/>
    </row>
    <row r="406">
      <c r="I406" s="1"/>
      <c r="J406" s="1"/>
      <c r="K406" s="1"/>
      <c r="L406" s="1"/>
      <c r="M406" s="1"/>
      <c r="N406" s="1"/>
      <c r="O406" s="1"/>
      <c r="P406" s="1"/>
      <c r="Q406" s="1"/>
      <c r="R406" s="1"/>
      <c r="S406" s="1"/>
    </row>
    <row r="407">
      <c r="I407" s="1"/>
      <c r="J407" s="1"/>
      <c r="K407" s="1"/>
      <c r="L407" s="1"/>
      <c r="M407" s="1"/>
      <c r="N407" s="1"/>
      <c r="O407" s="1"/>
      <c r="P407" s="1"/>
      <c r="Q407" s="1"/>
      <c r="R407" s="1"/>
      <c r="S407" s="1"/>
    </row>
    <row r="408">
      <c r="I408" s="1"/>
      <c r="J408" s="1"/>
      <c r="K408" s="1"/>
      <c r="L408" s="1"/>
      <c r="M408" s="1"/>
      <c r="N408" s="1"/>
      <c r="O408" s="1"/>
      <c r="P408" s="1"/>
      <c r="Q408" s="1"/>
      <c r="R408" s="1"/>
      <c r="S408" s="1"/>
    </row>
    <row r="409">
      <c r="I409" s="1"/>
      <c r="J409" s="1"/>
      <c r="K409" s="1"/>
      <c r="L409" s="1"/>
      <c r="M409" s="1"/>
      <c r="N409" s="1"/>
      <c r="O409" s="1"/>
      <c r="P409" s="1"/>
      <c r="Q409" s="1"/>
      <c r="R409" s="1"/>
      <c r="S409" s="1"/>
    </row>
    <row r="410">
      <c r="I410" s="1"/>
      <c r="J410" s="1"/>
      <c r="K410" s="1"/>
      <c r="L410" s="1"/>
      <c r="M410" s="1"/>
      <c r="N410" s="1"/>
      <c r="O410" s="1"/>
      <c r="P410" s="1"/>
      <c r="Q410" s="1"/>
      <c r="R410" s="1"/>
      <c r="S410" s="1"/>
    </row>
    <row r="411">
      <c r="I411" s="1"/>
      <c r="J411" s="1"/>
      <c r="K411" s="1"/>
      <c r="L411" s="1"/>
      <c r="M411" s="1"/>
      <c r="N411" s="1"/>
      <c r="O411" s="1"/>
      <c r="P411" s="1"/>
      <c r="Q411" s="1"/>
      <c r="R411" s="1"/>
      <c r="S411" s="1"/>
    </row>
    <row r="412">
      <c r="I412" s="1"/>
      <c r="J412" s="1"/>
      <c r="K412" s="1"/>
      <c r="L412" s="1"/>
      <c r="M412" s="1"/>
      <c r="N412" s="1"/>
      <c r="O412" s="1"/>
      <c r="P412" s="1"/>
      <c r="Q412" s="1"/>
      <c r="R412" s="1"/>
      <c r="S412" s="1"/>
    </row>
    <row r="413">
      <c r="I413" s="1"/>
      <c r="J413" s="1"/>
      <c r="K413" s="1"/>
      <c r="L413" s="1"/>
      <c r="M413" s="1"/>
      <c r="N413" s="1"/>
      <c r="O413" s="1"/>
      <c r="P413" s="1"/>
      <c r="Q413" s="1"/>
      <c r="R413" s="1"/>
      <c r="S413" s="1"/>
    </row>
    <row r="414">
      <c r="I414" s="1"/>
      <c r="J414" s="1"/>
      <c r="K414" s="1"/>
      <c r="L414" s="1"/>
      <c r="M414" s="1"/>
      <c r="N414" s="1"/>
      <c r="O414" s="1"/>
      <c r="P414" s="1"/>
      <c r="Q414" s="1"/>
      <c r="R414" s="1"/>
      <c r="S414" s="1"/>
    </row>
    <row r="415">
      <c r="I415" s="1"/>
      <c r="J415" s="1"/>
      <c r="K415" s="1"/>
      <c r="L415" s="1"/>
      <c r="M415" s="1"/>
      <c r="N415" s="1"/>
      <c r="O415" s="1"/>
      <c r="P415" s="1"/>
      <c r="Q415" s="1"/>
      <c r="R415" s="1"/>
      <c r="S415" s="1"/>
    </row>
    <row r="416">
      <c r="I416" s="1"/>
      <c r="J416" s="1"/>
      <c r="K416" s="1"/>
      <c r="L416" s="1"/>
      <c r="M416" s="1"/>
      <c r="N416" s="1"/>
      <c r="O416" s="1"/>
      <c r="P416" s="1"/>
      <c r="Q416" s="1"/>
      <c r="R416" s="1"/>
      <c r="S416" s="1"/>
    </row>
    <row r="417">
      <c r="I417" s="1"/>
      <c r="J417" s="1"/>
      <c r="K417" s="1"/>
      <c r="L417" s="1"/>
      <c r="M417" s="1"/>
      <c r="N417" s="1"/>
      <c r="O417" s="1"/>
      <c r="P417" s="1"/>
      <c r="Q417" s="1"/>
      <c r="R417" s="1"/>
      <c r="S417" s="1"/>
    </row>
    <row r="418">
      <c r="I418" s="1"/>
      <c r="J418" s="1"/>
      <c r="K418" s="1"/>
      <c r="L418" s="1"/>
      <c r="M418" s="1"/>
      <c r="N418" s="1"/>
      <c r="O418" s="1"/>
      <c r="P418" s="1"/>
      <c r="Q418" s="1"/>
      <c r="R418" s="1"/>
      <c r="S418" s="1"/>
    </row>
    <row r="419">
      <c r="I419" s="1"/>
      <c r="J419" s="1"/>
      <c r="K419" s="1"/>
      <c r="L419" s="1"/>
      <c r="M419" s="1"/>
      <c r="N419" s="1"/>
      <c r="O419" s="1"/>
      <c r="P419" s="1"/>
      <c r="Q419" s="1"/>
      <c r="R419" s="1"/>
      <c r="S419" s="1"/>
    </row>
    <row r="420">
      <c r="I420" s="1"/>
      <c r="J420" s="1"/>
      <c r="K420" s="1"/>
      <c r="L420" s="1"/>
      <c r="M420" s="1"/>
      <c r="N420" s="1"/>
      <c r="O420" s="1"/>
      <c r="P420" s="1"/>
      <c r="Q420" s="1"/>
      <c r="R420" s="1"/>
      <c r="S420" s="1"/>
    </row>
    <row r="421">
      <c r="I421" s="1"/>
      <c r="J421" s="1"/>
      <c r="K421" s="1"/>
      <c r="L421" s="1"/>
      <c r="M421" s="1"/>
      <c r="N421" s="1"/>
      <c r="O421" s="1"/>
      <c r="P421" s="1"/>
      <c r="Q421" s="1"/>
      <c r="R421" s="1"/>
      <c r="S421" s="1"/>
    </row>
    <row r="422">
      <c r="I422" s="1"/>
      <c r="J422" s="1"/>
      <c r="K422" s="1"/>
      <c r="L422" s="1"/>
      <c r="M422" s="1"/>
      <c r="N422" s="1"/>
      <c r="O422" s="1"/>
      <c r="P422" s="1"/>
      <c r="Q422" s="1"/>
      <c r="R422" s="1"/>
      <c r="S422" s="1"/>
    </row>
    <row r="423">
      <c r="I423" s="1"/>
      <c r="J423" s="1"/>
      <c r="K423" s="1"/>
      <c r="L423" s="1"/>
      <c r="M423" s="1"/>
      <c r="N423" s="1"/>
      <c r="O423" s="1"/>
      <c r="P423" s="1"/>
      <c r="Q423" s="1"/>
      <c r="R423" s="1"/>
      <c r="S423" s="1"/>
    </row>
    <row r="424">
      <c r="I424" s="1"/>
      <c r="J424" s="1"/>
      <c r="K424" s="1"/>
      <c r="L424" s="1"/>
      <c r="M424" s="1"/>
      <c r="N424" s="1"/>
      <c r="O424" s="1"/>
      <c r="P424" s="1"/>
      <c r="Q424" s="1"/>
      <c r="R424" s="1"/>
      <c r="S424" s="1"/>
    </row>
    <row r="425">
      <c r="I425" s="1"/>
      <c r="J425" s="1"/>
      <c r="K425" s="1"/>
      <c r="L425" s="1"/>
      <c r="M425" s="1"/>
      <c r="N425" s="1"/>
      <c r="O425" s="1"/>
      <c r="P425" s="1"/>
      <c r="Q425" s="1"/>
      <c r="R425" s="1"/>
      <c r="S425" s="1"/>
    </row>
    <row r="426">
      <c r="I426" s="1"/>
      <c r="J426" s="1"/>
      <c r="K426" s="1"/>
      <c r="L426" s="1"/>
      <c r="M426" s="1"/>
      <c r="N426" s="1"/>
      <c r="O426" s="1"/>
      <c r="P426" s="1"/>
      <c r="Q426" s="1"/>
      <c r="R426" s="1"/>
      <c r="S426" s="1"/>
    </row>
    <row r="427">
      <c r="I427" s="1"/>
      <c r="J427" s="1"/>
      <c r="K427" s="1"/>
      <c r="L427" s="1"/>
      <c r="M427" s="1"/>
      <c r="N427" s="1"/>
      <c r="O427" s="1"/>
      <c r="P427" s="1"/>
      <c r="Q427" s="1"/>
      <c r="R427" s="1"/>
      <c r="S427" s="1"/>
    </row>
    <row r="428">
      <c r="I428" s="1"/>
      <c r="J428" s="1"/>
      <c r="K428" s="1"/>
      <c r="L428" s="1"/>
      <c r="M428" s="1"/>
      <c r="N428" s="1"/>
      <c r="O428" s="1"/>
      <c r="P428" s="1"/>
      <c r="Q428" s="1"/>
      <c r="R428" s="1"/>
      <c r="S428" s="1"/>
    </row>
    <row r="429">
      <c r="I429" s="1"/>
      <c r="J429" s="1"/>
      <c r="K429" s="1"/>
      <c r="L429" s="1"/>
      <c r="M429" s="1"/>
      <c r="N429" s="1"/>
      <c r="O429" s="1"/>
      <c r="P429" s="1"/>
      <c r="Q429" s="1"/>
      <c r="R429" s="1"/>
      <c r="S429" s="1"/>
    </row>
    <row r="430">
      <c r="I430" s="1"/>
      <c r="J430" s="1"/>
      <c r="K430" s="1"/>
      <c r="L430" s="1"/>
      <c r="M430" s="1"/>
      <c r="N430" s="1"/>
      <c r="O430" s="1"/>
      <c r="P430" s="1"/>
      <c r="Q430" s="1"/>
      <c r="R430" s="1"/>
      <c r="S430" s="1"/>
    </row>
    <row r="431">
      <c r="I431" s="1"/>
      <c r="J431" s="1"/>
      <c r="K431" s="1"/>
      <c r="L431" s="1"/>
      <c r="M431" s="1"/>
      <c r="N431" s="1"/>
      <c r="O431" s="1"/>
      <c r="P431" s="1"/>
      <c r="Q431" s="1"/>
      <c r="R431" s="1"/>
      <c r="S431" s="1"/>
    </row>
    <row r="432">
      <c r="I432" s="1"/>
      <c r="J432" s="1"/>
      <c r="K432" s="1"/>
      <c r="L432" s="1"/>
      <c r="M432" s="1"/>
      <c r="N432" s="1"/>
      <c r="O432" s="1"/>
      <c r="P432" s="1"/>
      <c r="Q432" s="1"/>
      <c r="R432" s="1"/>
      <c r="S432" s="1"/>
    </row>
    <row r="433">
      <c r="I433" s="1"/>
      <c r="J433" s="1"/>
      <c r="K433" s="1"/>
      <c r="L433" s="1"/>
      <c r="M433" s="1"/>
      <c r="N433" s="1"/>
      <c r="O433" s="1"/>
      <c r="P433" s="1"/>
      <c r="Q433" s="1"/>
      <c r="R433" s="1"/>
      <c r="S433" s="1"/>
    </row>
    <row r="434">
      <c r="I434" s="1"/>
      <c r="J434" s="1"/>
      <c r="K434" s="1"/>
      <c r="L434" s="1"/>
      <c r="M434" s="1"/>
      <c r="N434" s="1"/>
      <c r="O434" s="1"/>
      <c r="P434" s="1"/>
      <c r="Q434" s="1"/>
      <c r="R434" s="1"/>
      <c r="S434" s="1"/>
    </row>
    <row r="435">
      <c r="I435" s="1"/>
      <c r="J435" s="1"/>
      <c r="K435" s="1"/>
      <c r="L435" s="1"/>
      <c r="M435" s="1"/>
      <c r="N435" s="1"/>
      <c r="O435" s="1"/>
      <c r="P435" s="1"/>
      <c r="Q435" s="1"/>
      <c r="R435" s="1"/>
      <c r="S435" s="1"/>
    </row>
    <row r="436">
      <c r="I436" s="1"/>
      <c r="J436" s="1"/>
      <c r="K436" s="1"/>
      <c r="L436" s="1"/>
      <c r="M436" s="1"/>
      <c r="N436" s="1"/>
      <c r="O436" s="1"/>
      <c r="P436" s="1"/>
      <c r="Q436" s="1"/>
      <c r="R436" s="1"/>
      <c r="S436" s="1"/>
    </row>
    <row r="437">
      <c r="I437" s="1"/>
      <c r="J437" s="1"/>
      <c r="K437" s="1"/>
      <c r="L437" s="1"/>
      <c r="M437" s="1"/>
      <c r="N437" s="1"/>
      <c r="O437" s="1"/>
      <c r="P437" s="1"/>
      <c r="Q437" s="1"/>
      <c r="R437" s="1"/>
      <c r="S437" s="1"/>
    </row>
    <row r="438">
      <c r="I438" s="1"/>
      <c r="J438" s="1"/>
      <c r="K438" s="1"/>
      <c r="L438" s="1"/>
      <c r="M438" s="1"/>
      <c r="N438" s="1"/>
      <c r="O438" s="1"/>
      <c r="P438" s="1"/>
      <c r="Q438" s="1"/>
      <c r="R438" s="1"/>
      <c r="S438" s="1"/>
    </row>
    <row r="439">
      <c r="I439" s="1"/>
      <c r="J439" s="1"/>
      <c r="K439" s="1"/>
      <c r="L439" s="1"/>
      <c r="M439" s="1"/>
      <c r="N439" s="1"/>
      <c r="O439" s="1"/>
      <c r="P439" s="1"/>
      <c r="Q439" s="1"/>
      <c r="R439" s="1"/>
      <c r="S439" s="1"/>
    </row>
    <row r="440">
      <c r="I440" s="1"/>
      <c r="J440" s="1"/>
      <c r="K440" s="1"/>
      <c r="L440" s="1"/>
      <c r="M440" s="1"/>
      <c r="N440" s="1"/>
      <c r="O440" s="1"/>
      <c r="P440" s="1"/>
      <c r="Q440" s="1"/>
      <c r="R440" s="1"/>
      <c r="S440" s="1"/>
    </row>
    <row r="441">
      <c r="I441" s="1"/>
      <c r="J441" s="1"/>
      <c r="K441" s="1"/>
      <c r="L441" s="1"/>
      <c r="M441" s="1"/>
      <c r="N441" s="1"/>
      <c r="O441" s="1"/>
      <c r="P441" s="1"/>
      <c r="Q441" s="1"/>
      <c r="R441" s="1"/>
      <c r="S441" s="1"/>
    </row>
    <row r="442">
      <c r="I442" s="1"/>
      <c r="J442" s="1"/>
      <c r="K442" s="1"/>
      <c r="L442" s="1"/>
      <c r="M442" s="1"/>
      <c r="N442" s="1"/>
      <c r="O442" s="1"/>
      <c r="P442" s="1"/>
      <c r="Q442" s="1"/>
      <c r="R442" s="1"/>
      <c r="S442" s="1"/>
    </row>
    <row r="443">
      <c r="I443" s="1"/>
      <c r="J443" s="1"/>
      <c r="K443" s="1"/>
      <c r="L443" s="1"/>
      <c r="M443" s="1"/>
      <c r="N443" s="1"/>
      <c r="O443" s="1"/>
      <c r="P443" s="1"/>
      <c r="Q443" s="1"/>
      <c r="R443" s="1"/>
      <c r="S443" s="1"/>
    </row>
    <row r="444">
      <c r="I444" s="1"/>
      <c r="J444" s="1"/>
      <c r="K444" s="1"/>
      <c r="L444" s="1"/>
      <c r="M444" s="1"/>
      <c r="N444" s="1"/>
      <c r="O444" s="1"/>
      <c r="P444" s="1"/>
      <c r="Q444" s="1"/>
      <c r="R444" s="1"/>
      <c r="S444" s="1"/>
    </row>
    <row r="445">
      <c r="I445" s="1"/>
      <c r="J445" s="1"/>
      <c r="K445" s="1"/>
      <c r="L445" s="1"/>
      <c r="M445" s="1"/>
      <c r="N445" s="1"/>
      <c r="O445" s="1"/>
      <c r="P445" s="1"/>
      <c r="Q445" s="1"/>
      <c r="R445" s="1"/>
      <c r="S445" s="1"/>
    </row>
    <row r="446">
      <c r="I446" s="1"/>
      <c r="J446" s="1"/>
      <c r="K446" s="1"/>
      <c r="L446" s="1"/>
      <c r="M446" s="1"/>
      <c r="N446" s="1"/>
      <c r="O446" s="1"/>
      <c r="P446" s="1"/>
      <c r="Q446" s="1"/>
      <c r="R446" s="1"/>
      <c r="S446" s="1"/>
    </row>
    <row r="447">
      <c r="I447" s="1"/>
      <c r="J447" s="1"/>
      <c r="K447" s="1"/>
      <c r="L447" s="1"/>
      <c r="M447" s="1"/>
      <c r="N447" s="1"/>
      <c r="O447" s="1"/>
      <c r="P447" s="1"/>
      <c r="Q447" s="1"/>
      <c r="R447" s="1"/>
      <c r="S447" s="1"/>
    </row>
    <row r="448">
      <c r="I448" s="1"/>
      <c r="J448" s="1"/>
      <c r="K448" s="1"/>
      <c r="L448" s="1"/>
      <c r="M448" s="1"/>
      <c r="N448" s="1"/>
      <c r="O448" s="1"/>
      <c r="P448" s="1"/>
      <c r="Q448" s="1"/>
      <c r="R448" s="1"/>
      <c r="S448" s="1"/>
    </row>
    <row r="449">
      <c r="I449" s="1"/>
      <c r="J449" s="1"/>
      <c r="K449" s="1"/>
      <c r="L449" s="1"/>
      <c r="M449" s="1"/>
      <c r="N449" s="1"/>
      <c r="O449" s="1"/>
      <c r="P449" s="1"/>
      <c r="Q449" s="1"/>
      <c r="R449" s="1"/>
      <c r="S449" s="1"/>
    </row>
    <row r="450">
      <c r="I450" s="1"/>
      <c r="J450" s="1"/>
      <c r="K450" s="1"/>
      <c r="L450" s="1"/>
      <c r="M450" s="1"/>
      <c r="N450" s="1"/>
      <c r="O450" s="1"/>
      <c r="P450" s="1"/>
      <c r="Q450" s="1"/>
      <c r="R450" s="1"/>
      <c r="S450" s="1"/>
    </row>
    <row r="451">
      <c r="I451" s="1"/>
      <c r="J451" s="1"/>
      <c r="K451" s="1"/>
      <c r="L451" s="1"/>
      <c r="M451" s="1"/>
      <c r="N451" s="1"/>
      <c r="O451" s="1"/>
      <c r="P451" s="1"/>
      <c r="Q451" s="1"/>
      <c r="R451" s="1"/>
      <c r="S451" s="1"/>
    </row>
    <row r="452">
      <c r="I452" s="1"/>
      <c r="J452" s="1"/>
      <c r="K452" s="1"/>
      <c r="L452" s="1"/>
      <c r="M452" s="1"/>
      <c r="N452" s="1"/>
      <c r="O452" s="1"/>
      <c r="P452" s="1"/>
      <c r="Q452" s="1"/>
      <c r="R452" s="1"/>
      <c r="S452" s="1"/>
    </row>
    <row r="453">
      <c r="I453" s="1"/>
      <c r="J453" s="1"/>
      <c r="K453" s="1"/>
      <c r="L453" s="1"/>
      <c r="M453" s="1"/>
      <c r="N453" s="1"/>
      <c r="O453" s="1"/>
      <c r="P453" s="1"/>
      <c r="Q453" s="1"/>
      <c r="R453" s="1"/>
      <c r="S453" s="1"/>
    </row>
    <row r="454">
      <c r="I454" s="1"/>
      <c r="J454" s="1"/>
      <c r="K454" s="1"/>
      <c r="L454" s="1"/>
      <c r="M454" s="1"/>
      <c r="N454" s="1"/>
      <c r="O454" s="1"/>
      <c r="P454" s="1"/>
      <c r="Q454" s="1"/>
      <c r="R454" s="1"/>
      <c r="S454" s="1"/>
    </row>
    <row r="455">
      <c r="I455" s="1"/>
      <c r="J455" s="1"/>
      <c r="K455" s="1"/>
      <c r="L455" s="1"/>
      <c r="M455" s="1"/>
      <c r="N455" s="1"/>
      <c r="O455" s="1"/>
      <c r="P455" s="1"/>
      <c r="Q455" s="1"/>
      <c r="R455" s="1"/>
      <c r="S455" s="1"/>
    </row>
    <row r="456">
      <c r="I456" s="1"/>
      <c r="J456" s="1"/>
      <c r="K456" s="1"/>
      <c r="L456" s="1"/>
      <c r="M456" s="1"/>
      <c r="N456" s="1"/>
      <c r="O456" s="1"/>
      <c r="P456" s="1"/>
      <c r="Q456" s="1"/>
      <c r="R456" s="1"/>
      <c r="S456" s="1"/>
    </row>
    <row r="457">
      <c r="I457" s="1"/>
      <c r="J457" s="1"/>
      <c r="K457" s="1"/>
      <c r="L457" s="1"/>
      <c r="M457" s="1"/>
      <c r="N457" s="1"/>
      <c r="O457" s="1"/>
      <c r="P457" s="1"/>
      <c r="Q457" s="1"/>
      <c r="R457" s="1"/>
      <c r="S457" s="1"/>
    </row>
    <row r="458">
      <c r="I458" s="1"/>
      <c r="J458" s="1"/>
      <c r="K458" s="1"/>
      <c r="L458" s="1"/>
      <c r="M458" s="1"/>
      <c r="N458" s="1"/>
      <c r="O458" s="1"/>
      <c r="P458" s="1"/>
      <c r="Q458" s="1"/>
      <c r="R458" s="1"/>
      <c r="S458" s="1"/>
    </row>
    <row r="459">
      <c r="I459" s="1"/>
      <c r="J459" s="1"/>
      <c r="K459" s="1"/>
      <c r="L459" s="1"/>
      <c r="M459" s="1"/>
      <c r="N459" s="1"/>
      <c r="O459" s="1"/>
      <c r="P459" s="1"/>
      <c r="Q459" s="1"/>
      <c r="R459" s="1"/>
      <c r="S459" s="1"/>
    </row>
    <row r="460">
      <c r="I460" s="1"/>
      <c r="J460" s="1"/>
      <c r="K460" s="1"/>
      <c r="L460" s="1"/>
      <c r="M460" s="1"/>
      <c r="N460" s="1"/>
      <c r="O460" s="1"/>
      <c r="P460" s="1"/>
      <c r="Q460" s="1"/>
      <c r="R460" s="1"/>
      <c r="S460" s="1"/>
    </row>
    <row r="461">
      <c r="I461" s="1"/>
      <c r="J461" s="1"/>
      <c r="K461" s="1"/>
      <c r="L461" s="1"/>
      <c r="M461" s="1"/>
      <c r="N461" s="1"/>
      <c r="O461" s="1"/>
      <c r="P461" s="1"/>
      <c r="Q461" s="1"/>
      <c r="R461" s="1"/>
      <c r="S461" s="1"/>
    </row>
    <row r="462">
      <c r="I462" s="1"/>
      <c r="J462" s="1"/>
      <c r="K462" s="1"/>
      <c r="L462" s="1"/>
      <c r="M462" s="1"/>
      <c r="N462" s="1"/>
      <c r="O462" s="1"/>
      <c r="P462" s="1"/>
      <c r="Q462" s="1"/>
      <c r="R462" s="1"/>
      <c r="S462" s="1"/>
    </row>
    <row r="463">
      <c r="I463" s="1"/>
      <c r="J463" s="1"/>
      <c r="K463" s="1"/>
      <c r="L463" s="1"/>
      <c r="M463" s="1"/>
      <c r="N463" s="1"/>
      <c r="O463" s="1"/>
      <c r="P463" s="1"/>
      <c r="Q463" s="1"/>
      <c r="R463" s="1"/>
      <c r="S463" s="1"/>
    </row>
    <row r="464">
      <c r="I464" s="1"/>
      <c r="J464" s="1"/>
      <c r="K464" s="1"/>
      <c r="L464" s="1"/>
      <c r="M464" s="1"/>
      <c r="N464" s="1"/>
      <c r="O464" s="1"/>
      <c r="P464" s="1"/>
      <c r="Q464" s="1"/>
      <c r="R464" s="1"/>
      <c r="S464" s="1"/>
    </row>
    <row r="465">
      <c r="I465" s="1"/>
      <c r="J465" s="1"/>
      <c r="K465" s="1"/>
      <c r="L465" s="1"/>
      <c r="M465" s="1"/>
      <c r="N465" s="1"/>
      <c r="O465" s="1"/>
      <c r="P465" s="1"/>
      <c r="Q465" s="1"/>
      <c r="R465" s="1"/>
      <c r="S465" s="1"/>
    </row>
    <row r="466">
      <c r="I466" s="1"/>
      <c r="J466" s="1"/>
      <c r="K466" s="1"/>
      <c r="L466" s="1"/>
      <c r="M466" s="1"/>
      <c r="N466" s="1"/>
      <c r="O466" s="1"/>
      <c r="P466" s="1"/>
      <c r="Q466" s="1"/>
      <c r="R466" s="1"/>
      <c r="S466" s="1"/>
    </row>
    <row r="467">
      <c r="I467" s="1"/>
      <c r="J467" s="1"/>
      <c r="K467" s="1"/>
      <c r="L467" s="1"/>
      <c r="M467" s="1"/>
      <c r="N467" s="1"/>
      <c r="O467" s="1"/>
      <c r="P467" s="1"/>
      <c r="Q467" s="1"/>
      <c r="R467" s="1"/>
      <c r="S467" s="1"/>
    </row>
    <row r="468">
      <c r="I468" s="1"/>
      <c r="J468" s="1"/>
      <c r="K468" s="1"/>
      <c r="L468" s="1"/>
      <c r="M468" s="1"/>
      <c r="N468" s="1"/>
      <c r="O468" s="1"/>
      <c r="P468" s="1"/>
      <c r="Q468" s="1"/>
      <c r="R468" s="1"/>
      <c r="S468" s="1"/>
    </row>
    <row r="469">
      <c r="I469" s="1"/>
      <c r="J469" s="1"/>
      <c r="K469" s="1"/>
      <c r="L469" s="1"/>
      <c r="M469" s="1"/>
      <c r="N469" s="1"/>
      <c r="O469" s="1"/>
      <c r="P469" s="1"/>
      <c r="Q469" s="1"/>
      <c r="R469" s="1"/>
      <c r="S469" s="1"/>
    </row>
    <row r="470">
      <c r="I470" s="1"/>
      <c r="J470" s="1"/>
      <c r="K470" s="1"/>
      <c r="L470" s="1"/>
      <c r="M470" s="1"/>
      <c r="N470" s="1"/>
      <c r="O470" s="1"/>
      <c r="P470" s="1"/>
      <c r="Q470" s="1"/>
      <c r="R470" s="1"/>
      <c r="S470" s="1"/>
    </row>
    <row r="471">
      <c r="I471" s="1"/>
      <c r="J471" s="1"/>
      <c r="K471" s="1"/>
      <c r="L471" s="1"/>
      <c r="M471" s="1"/>
      <c r="N471" s="1"/>
      <c r="O471" s="1"/>
      <c r="P471" s="1"/>
      <c r="Q471" s="1"/>
      <c r="R471" s="1"/>
      <c r="S471" s="1"/>
    </row>
    <row r="472">
      <c r="I472" s="1"/>
      <c r="J472" s="1"/>
      <c r="K472" s="1"/>
      <c r="L472" s="1"/>
      <c r="M472" s="1"/>
      <c r="N472" s="1"/>
      <c r="O472" s="1"/>
      <c r="P472" s="1"/>
      <c r="Q472" s="1"/>
      <c r="R472" s="1"/>
      <c r="S472" s="1"/>
    </row>
    <row r="473">
      <c r="I473" s="1"/>
      <c r="J473" s="1"/>
      <c r="K473" s="1"/>
      <c r="L473" s="1"/>
      <c r="M473" s="1"/>
      <c r="N473" s="1"/>
      <c r="O473" s="1"/>
      <c r="P473" s="1"/>
      <c r="Q473" s="1"/>
      <c r="R473" s="1"/>
      <c r="S473" s="1"/>
    </row>
    <row r="474">
      <c r="I474" s="1"/>
      <c r="J474" s="1"/>
      <c r="K474" s="1"/>
      <c r="L474" s="1"/>
      <c r="M474" s="1"/>
      <c r="N474" s="1"/>
      <c r="O474" s="1"/>
      <c r="P474" s="1"/>
      <c r="Q474" s="1"/>
      <c r="R474" s="1"/>
      <c r="S474" s="1"/>
    </row>
    <row r="475">
      <c r="I475" s="1"/>
      <c r="J475" s="1"/>
      <c r="K475" s="1"/>
      <c r="L475" s="1"/>
      <c r="M475" s="1"/>
      <c r="N475" s="1"/>
      <c r="O475" s="1"/>
      <c r="P475" s="1"/>
      <c r="Q475" s="1"/>
      <c r="R475" s="1"/>
      <c r="S475" s="1"/>
    </row>
    <row r="476">
      <c r="I476" s="1"/>
      <c r="J476" s="1"/>
      <c r="K476" s="1"/>
      <c r="L476" s="1"/>
      <c r="M476" s="1"/>
      <c r="N476" s="1"/>
      <c r="O476" s="1"/>
      <c r="P476" s="1"/>
      <c r="Q476" s="1"/>
      <c r="R476" s="1"/>
      <c r="S476" s="1"/>
    </row>
    <row r="477">
      <c r="I477" s="1"/>
      <c r="J477" s="1"/>
      <c r="K477" s="1"/>
      <c r="L477" s="1"/>
      <c r="M477" s="1"/>
      <c r="N477" s="1"/>
      <c r="O477" s="1"/>
      <c r="P477" s="1"/>
      <c r="Q477" s="1"/>
      <c r="R477" s="1"/>
      <c r="S477" s="1"/>
    </row>
    <row r="478">
      <c r="I478" s="1"/>
      <c r="J478" s="1"/>
      <c r="K478" s="1"/>
      <c r="L478" s="1"/>
      <c r="M478" s="1"/>
      <c r="N478" s="1"/>
      <c r="O478" s="1"/>
      <c r="P478" s="1"/>
      <c r="Q478" s="1"/>
      <c r="R478" s="1"/>
      <c r="S478" s="1"/>
    </row>
    <row r="479">
      <c r="I479" s="1"/>
      <c r="J479" s="1"/>
      <c r="K479" s="1"/>
      <c r="L479" s="1"/>
      <c r="M479" s="1"/>
      <c r="N479" s="1"/>
      <c r="O479" s="1"/>
      <c r="P479" s="1"/>
      <c r="Q479" s="1"/>
      <c r="R479" s="1"/>
      <c r="S479" s="1"/>
    </row>
    <row r="480">
      <c r="I480" s="1"/>
      <c r="J480" s="1"/>
      <c r="K480" s="1"/>
      <c r="L480" s="1"/>
      <c r="M480" s="1"/>
      <c r="N480" s="1"/>
      <c r="O480" s="1"/>
      <c r="P480" s="1"/>
      <c r="Q480" s="1"/>
      <c r="R480" s="1"/>
      <c r="S480" s="1"/>
    </row>
    <row r="481">
      <c r="I481" s="1"/>
      <c r="J481" s="1"/>
      <c r="K481" s="1"/>
      <c r="L481" s="1"/>
      <c r="M481" s="1"/>
      <c r="N481" s="1"/>
      <c r="O481" s="1"/>
      <c r="P481" s="1"/>
      <c r="Q481" s="1"/>
      <c r="R481" s="1"/>
      <c r="S481" s="1"/>
    </row>
    <row r="482">
      <c r="I482" s="1"/>
      <c r="J482" s="1"/>
      <c r="K482" s="1"/>
      <c r="L482" s="1"/>
      <c r="M482" s="1"/>
      <c r="N482" s="1"/>
      <c r="O482" s="1"/>
      <c r="P482" s="1"/>
      <c r="Q482" s="1"/>
      <c r="R482" s="1"/>
      <c r="S482" s="1"/>
    </row>
    <row r="483">
      <c r="I483" s="1"/>
      <c r="J483" s="1"/>
      <c r="K483" s="1"/>
      <c r="L483" s="1"/>
      <c r="M483" s="1"/>
      <c r="N483" s="1"/>
      <c r="O483" s="1"/>
      <c r="P483" s="1"/>
      <c r="Q483" s="1"/>
      <c r="R483" s="1"/>
      <c r="S483" s="1"/>
    </row>
    <row r="484">
      <c r="I484" s="1"/>
      <c r="J484" s="1"/>
      <c r="K484" s="1"/>
      <c r="L484" s="1"/>
      <c r="M484" s="1"/>
      <c r="N484" s="1"/>
      <c r="O484" s="1"/>
      <c r="P484" s="1"/>
      <c r="Q484" s="1"/>
      <c r="R484" s="1"/>
      <c r="S484" s="1"/>
    </row>
    <row r="485">
      <c r="I485" s="1"/>
      <c r="J485" s="1"/>
      <c r="K485" s="1"/>
      <c r="L485" s="1"/>
      <c r="M485" s="1"/>
      <c r="N485" s="1"/>
      <c r="O485" s="1"/>
      <c r="P485" s="1"/>
      <c r="Q485" s="1"/>
      <c r="R485" s="1"/>
      <c r="S485" s="1"/>
    </row>
    <row r="486">
      <c r="I486" s="1"/>
      <c r="J486" s="1"/>
      <c r="K486" s="1"/>
      <c r="L486" s="1"/>
      <c r="M486" s="1"/>
      <c r="N486" s="1"/>
      <c r="O486" s="1"/>
      <c r="P486" s="1"/>
      <c r="Q486" s="1"/>
      <c r="R486" s="1"/>
      <c r="S486" s="1"/>
    </row>
    <row r="487">
      <c r="I487" s="1"/>
      <c r="J487" s="1"/>
      <c r="K487" s="1"/>
      <c r="L487" s="1"/>
      <c r="M487" s="1"/>
      <c r="N487" s="1"/>
      <c r="O487" s="1"/>
      <c r="P487" s="1"/>
      <c r="Q487" s="1"/>
      <c r="R487" s="1"/>
      <c r="S487" s="1"/>
    </row>
    <row r="488">
      <c r="I488" s="1"/>
      <c r="J488" s="1"/>
      <c r="K488" s="1"/>
      <c r="L488" s="1"/>
      <c r="M488" s="1"/>
      <c r="N488" s="1"/>
      <c r="O488" s="1"/>
      <c r="P488" s="1"/>
      <c r="Q488" s="1"/>
      <c r="R488" s="1"/>
      <c r="S488" s="1"/>
    </row>
    <row r="489">
      <c r="I489" s="1"/>
      <c r="J489" s="1"/>
      <c r="K489" s="1"/>
      <c r="L489" s="1"/>
      <c r="M489" s="1"/>
      <c r="N489" s="1"/>
      <c r="O489" s="1"/>
      <c r="P489" s="1"/>
      <c r="Q489" s="1"/>
      <c r="R489" s="1"/>
      <c r="S489" s="1"/>
    </row>
    <row r="490">
      <c r="I490" s="1"/>
      <c r="J490" s="1"/>
      <c r="K490" s="1"/>
      <c r="L490" s="1"/>
      <c r="M490" s="1"/>
      <c r="N490" s="1"/>
      <c r="O490" s="1"/>
      <c r="P490" s="1"/>
      <c r="Q490" s="1"/>
      <c r="R490" s="1"/>
      <c r="S490" s="1"/>
    </row>
    <row r="491">
      <c r="I491" s="1"/>
      <c r="J491" s="1"/>
      <c r="K491" s="1"/>
      <c r="L491" s="1"/>
      <c r="M491" s="1"/>
      <c r="N491" s="1"/>
      <c r="O491" s="1"/>
      <c r="P491" s="1"/>
      <c r="Q491" s="1"/>
      <c r="R491" s="1"/>
      <c r="S491" s="1"/>
    </row>
    <row r="492">
      <c r="I492" s="1"/>
      <c r="J492" s="1"/>
      <c r="K492" s="1"/>
      <c r="L492" s="1"/>
      <c r="M492" s="1"/>
      <c r="N492" s="1"/>
      <c r="O492" s="1"/>
      <c r="P492" s="1"/>
      <c r="Q492" s="1"/>
      <c r="R492" s="1"/>
      <c r="S492" s="1"/>
    </row>
    <row r="493">
      <c r="I493" s="1"/>
      <c r="J493" s="1"/>
      <c r="K493" s="1"/>
      <c r="L493" s="1"/>
      <c r="M493" s="1"/>
      <c r="N493" s="1"/>
      <c r="O493" s="1"/>
      <c r="P493" s="1"/>
      <c r="Q493" s="1"/>
      <c r="R493" s="1"/>
      <c r="S493" s="1"/>
    </row>
    <row r="494">
      <c r="I494" s="1"/>
      <c r="J494" s="1"/>
      <c r="K494" s="1"/>
      <c r="L494" s="1"/>
      <c r="M494" s="1"/>
      <c r="N494" s="1"/>
      <c r="O494" s="1"/>
      <c r="P494" s="1"/>
      <c r="Q494" s="1"/>
      <c r="R494" s="1"/>
      <c r="S494" s="1"/>
    </row>
    <row r="495">
      <c r="I495" s="1"/>
      <c r="J495" s="1"/>
      <c r="K495" s="1"/>
      <c r="L495" s="1"/>
      <c r="M495" s="1"/>
      <c r="N495" s="1"/>
      <c r="O495" s="1"/>
      <c r="P495" s="1"/>
      <c r="Q495" s="1"/>
      <c r="R495" s="1"/>
      <c r="S495" s="1"/>
    </row>
    <row r="496">
      <c r="I496" s="1"/>
      <c r="J496" s="1"/>
      <c r="K496" s="1"/>
      <c r="L496" s="1"/>
      <c r="M496" s="1"/>
      <c r="N496" s="1"/>
      <c r="O496" s="1"/>
      <c r="P496" s="1"/>
      <c r="Q496" s="1"/>
      <c r="R496" s="1"/>
      <c r="S496" s="1"/>
    </row>
    <row r="497">
      <c r="I497" s="1"/>
      <c r="J497" s="1"/>
      <c r="K497" s="1"/>
      <c r="L497" s="1"/>
      <c r="M497" s="1"/>
      <c r="N497" s="1"/>
      <c r="O497" s="1"/>
      <c r="P497" s="1"/>
      <c r="Q497" s="1"/>
      <c r="R497" s="1"/>
      <c r="S497" s="1"/>
    </row>
    <row r="498">
      <c r="I498" s="1"/>
      <c r="J498" s="1"/>
      <c r="K498" s="1"/>
      <c r="L498" s="1"/>
      <c r="M498" s="1"/>
      <c r="N498" s="1"/>
      <c r="O498" s="1"/>
      <c r="P498" s="1"/>
      <c r="Q498" s="1"/>
      <c r="R498" s="1"/>
      <c r="S498" s="1"/>
    </row>
    <row r="499">
      <c r="I499" s="1"/>
      <c r="J499" s="1"/>
      <c r="K499" s="1"/>
      <c r="L499" s="1"/>
      <c r="M499" s="1"/>
      <c r="N499" s="1"/>
      <c r="O499" s="1"/>
      <c r="P499" s="1"/>
      <c r="Q499" s="1"/>
      <c r="R499" s="1"/>
      <c r="S499" s="1"/>
    </row>
    <row r="500">
      <c r="I500" s="1"/>
      <c r="J500" s="1"/>
      <c r="K500" s="1"/>
      <c r="L500" s="1"/>
      <c r="M500" s="1"/>
      <c r="N500" s="1"/>
      <c r="O500" s="1"/>
      <c r="P500" s="1"/>
      <c r="Q500" s="1"/>
      <c r="R500" s="1"/>
      <c r="S500" s="1"/>
    </row>
    <row r="501">
      <c r="I501" s="1"/>
      <c r="J501" s="1"/>
      <c r="K501" s="1"/>
      <c r="L501" s="1"/>
      <c r="M501" s="1"/>
      <c r="N501" s="1"/>
      <c r="O501" s="1"/>
      <c r="P501" s="1"/>
      <c r="Q501" s="1"/>
      <c r="R501" s="1"/>
      <c r="S501" s="1"/>
    </row>
    <row r="502">
      <c r="I502" s="1"/>
      <c r="J502" s="1"/>
      <c r="K502" s="1"/>
      <c r="L502" s="1"/>
      <c r="M502" s="1"/>
      <c r="N502" s="1"/>
      <c r="O502" s="1"/>
      <c r="P502" s="1"/>
      <c r="Q502" s="1"/>
      <c r="R502" s="1"/>
      <c r="S502" s="1"/>
    </row>
    <row r="503">
      <c r="I503" s="1"/>
      <c r="J503" s="1"/>
      <c r="K503" s="1"/>
      <c r="L503" s="1"/>
      <c r="M503" s="1"/>
      <c r="N503" s="1"/>
      <c r="O503" s="1"/>
      <c r="P503" s="1"/>
      <c r="Q503" s="1"/>
      <c r="R503" s="1"/>
      <c r="S503" s="1"/>
    </row>
    <row r="504">
      <c r="I504" s="1"/>
      <c r="J504" s="1"/>
      <c r="K504" s="1"/>
      <c r="L504" s="1"/>
      <c r="M504" s="1"/>
      <c r="N504" s="1"/>
      <c r="O504" s="1"/>
      <c r="P504" s="1"/>
      <c r="Q504" s="1"/>
      <c r="R504" s="1"/>
      <c r="S504" s="1"/>
    </row>
    <row r="505">
      <c r="I505" s="1"/>
      <c r="J505" s="1"/>
      <c r="K505" s="1"/>
      <c r="L505" s="1"/>
      <c r="M505" s="1"/>
      <c r="N505" s="1"/>
      <c r="O505" s="1"/>
      <c r="P505" s="1"/>
      <c r="Q505" s="1"/>
      <c r="R505" s="1"/>
      <c r="S505" s="1"/>
    </row>
    <row r="506">
      <c r="I506" s="1"/>
      <c r="J506" s="1"/>
      <c r="K506" s="1"/>
      <c r="L506" s="1"/>
      <c r="M506" s="1"/>
      <c r="N506" s="1"/>
      <c r="O506" s="1"/>
      <c r="P506" s="1"/>
      <c r="Q506" s="1"/>
      <c r="R506" s="1"/>
      <c r="S506" s="1"/>
    </row>
    <row r="507">
      <c r="I507" s="1"/>
      <c r="J507" s="1"/>
      <c r="K507" s="1"/>
      <c r="L507" s="1"/>
      <c r="M507" s="1"/>
      <c r="N507" s="1"/>
      <c r="O507" s="1"/>
      <c r="P507" s="1"/>
      <c r="Q507" s="1"/>
      <c r="R507" s="1"/>
      <c r="S507" s="1"/>
    </row>
    <row r="508">
      <c r="I508" s="1"/>
      <c r="J508" s="1"/>
      <c r="K508" s="1"/>
      <c r="L508" s="1"/>
      <c r="M508" s="1"/>
      <c r="N508" s="1"/>
      <c r="O508" s="1"/>
      <c r="P508" s="1"/>
      <c r="Q508" s="1"/>
      <c r="R508" s="1"/>
      <c r="S508" s="1"/>
    </row>
    <row r="509">
      <c r="I509" s="1"/>
      <c r="J509" s="1"/>
      <c r="K509" s="1"/>
      <c r="L509" s="1"/>
      <c r="M509" s="1"/>
      <c r="N509" s="1"/>
      <c r="O509" s="1"/>
      <c r="P509" s="1"/>
      <c r="Q509" s="1"/>
      <c r="R509" s="1"/>
      <c r="S509" s="1"/>
    </row>
    <row r="510">
      <c r="I510" s="1"/>
      <c r="J510" s="1"/>
      <c r="K510" s="1"/>
      <c r="L510" s="1"/>
      <c r="M510" s="1"/>
      <c r="N510" s="1"/>
      <c r="O510" s="1"/>
      <c r="P510" s="1"/>
      <c r="Q510" s="1"/>
      <c r="R510" s="1"/>
      <c r="S510" s="1"/>
    </row>
    <row r="511">
      <c r="I511" s="1"/>
      <c r="J511" s="1"/>
      <c r="K511" s="1"/>
      <c r="L511" s="1"/>
      <c r="M511" s="1"/>
      <c r="N511" s="1"/>
      <c r="O511" s="1"/>
      <c r="P511" s="1"/>
      <c r="Q511" s="1"/>
      <c r="R511" s="1"/>
      <c r="S511" s="1"/>
    </row>
    <row r="512">
      <c r="I512" s="1"/>
      <c r="J512" s="1"/>
      <c r="K512" s="1"/>
      <c r="L512" s="1"/>
      <c r="M512" s="1"/>
      <c r="N512" s="1"/>
      <c r="O512" s="1"/>
      <c r="P512" s="1"/>
      <c r="Q512" s="1"/>
      <c r="R512" s="1"/>
      <c r="S512" s="1"/>
    </row>
    <row r="513">
      <c r="I513" s="1"/>
      <c r="J513" s="1"/>
      <c r="K513" s="1"/>
      <c r="L513" s="1"/>
      <c r="M513" s="1"/>
      <c r="N513" s="1"/>
      <c r="O513" s="1"/>
      <c r="P513" s="1"/>
      <c r="Q513" s="1"/>
      <c r="R513" s="1"/>
      <c r="S513" s="1"/>
    </row>
    <row r="514">
      <c r="I514" s="1"/>
      <c r="J514" s="1"/>
      <c r="K514" s="1"/>
      <c r="L514" s="1"/>
      <c r="M514" s="1"/>
      <c r="N514" s="1"/>
      <c r="O514" s="1"/>
      <c r="P514" s="1"/>
      <c r="Q514" s="1"/>
      <c r="R514" s="1"/>
      <c r="S514" s="1"/>
    </row>
    <row r="515">
      <c r="I515" s="1"/>
      <c r="J515" s="1"/>
      <c r="K515" s="1"/>
      <c r="L515" s="1"/>
      <c r="M515" s="1"/>
      <c r="N515" s="1"/>
      <c r="O515" s="1"/>
      <c r="P515" s="1"/>
      <c r="Q515" s="1"/>
      <c r="R515" s="1"/>
      <c r="S515" s="1"/>
    </row>
    <row r="516">
      <c r="I516" s="1"/>
      <c r="J516" s="1"/>
      <c r="K516" s="1"/>
      <c r="L516" s="1"/>
      <c r="M516" s="1"/>
      <c r="N516" s="1"/>
      <c r="O516" s="1"/>
      <c r="P516" s="1"/>
      <c r="Q516" s="1"/>
      <c r="R516" s="1"/>
      <c r="S516" s="1"/>
    </row>
    <row r="517">
      <c r="I517" s="1"/>
      <c r="J517" s="1"/>
      <c r="K517" s="1"/>
      <c r="L517" s="1"/>
      <c r="M517" s="1"/>
      <c r="N517" s="1"/>
      <c r="O517" s="1"/>
      <c r="P517" s="1"/>
      <c r="Q517" s="1"/>
      <c r="R517" s="1"/>
      <c r="S517" s="1"/>
    </row>
    <row r="518">
      <c r="I518" s="1"/>
      <c r="J518" s="1"/>
      <c r="K518" s="1"/>
      <c r="L518" s="1"/>
      <c r="M518" s="1"/>
      <c r="N518" s="1"/>
      <c r="O518" s="1"/>
      <c r="P518" s="1"/>
      <c r="Q518" s="1"/>
      <c r="R518" s="1"/>
      <c r="S518" s="1"/>
    </row>
    <row r="519">
      <c r="I519" s="1"/>
      <c r="J519" s="1"/>
      <c r="K519" s="1"/>
      <c r="L519" s="1"/>
      <c r="M519" s="1"/>
      <c r="N519" s="1"/>
      <c r="O519" s="1"/>
      <c r="P519" s="1"/>
      <c r="Q519" s="1"/>
      <c r="R519" s="1"/>
      <c r="S519" s="1"/>
    </row>
    <row r="520">
      <c r="I520" s="1"/>
      <c r="J520" s="1"/>
      <c r="K520" s="1"/>
      <c r="L520" s="1"/>
      <c r="M520" s="1"/>
      <c r="N520" s="1"/>
      <c r="O520" s="1"/>
      <c r="P520" s="1"/>
      <c r="Q520" s="1"/>
      <c r="R520" s="1"/>
      <c r="S520" s="1"/>
    </row>
    <row r="521">
      <c r="I521" s="1"/>
      <c r="J521" s="1"/>
      <c r="K521" s="1"/>
      <c r="L521" s="1"/>
      <c r="M521" s="1"/>
      <c r="N521" s="1"/>
      <c r="O521" s="1"/>
      <c r="P521" s="1"/>
      <c r="Q521" s="1"/>
      <c r="R521" s="1"/>
      <c r="S521" s="1"/>
    </row>
    <row r="522">
      <c r="I522" s="1"/>
      <c r="J522" s="1"/>
      <c r="K522" s="1"/>
      <c r="L522" s="1"/>
      <c r="M522" s="1"/>
      <c r="N522" s="1"/>
      <c r="O522" s="1"/>
      <c r="P522" s="1"/>
      <c r="Q522" s="1"/>
      <c r="R522" s="1"/>
      <c r="S522" s="1"/>
    </row>
    <row r="523">
      <c r="I523" s="1"/>
      <c r="J523" s="1"/>
      <c r="K523" s="1"/>
      <c r="L523" s="1"/>
      <c r="M523" s="1"/>
      <c r="N523" s="1"/>
      <c r="O523" s="1"/>
      <c r="P523" s="1"/>
      <c r="Q523" s="1"/>
      <c r="R523" s="1"/>
      <c r="S523" s="1"/>
    </row>
    <row r="524">
      <c r="I524" s="1"/>
      <c r="J524" s="1"/>
      <c r="K524" s="1"/>
      <c r="L524" s="1"/>
      <c r="M524" s="1"/>
      <c r="N524" s="1"/>
      <c r="O524" s="1"/>
      <c r="P524" s="1"/>
      <c r="Q524" s="1"/>
      <c r="R524" s="1"/>
      <c r="S524" s="1"/>
    </row>
    <row r="525">
      <c r="I525" s="1"/>
      <c r="J525" s="1"/>
      <c r="K525" s="1"/>
      <c r="L525" s="1"/>
      <c r="M525" s="1"/>
      <c r="N525" s="1"/>
      <c r="O525" s="1"/>
      <c r="P525" s="1"/>
      <c r="Q525" s="1"/>
      <c r="R525" s="1"/>
      <c r="S525" s="1"/>
    </row>
    <row r="526">
      <c r="I526" s="1"/>
      <c r="J526" s="1"/>
      <c r="K526" s="1"/>
      <c r="L526" s="1"/>
      <c r="M526" s="1"/>
      <c r="N526" s="1"/>
      <c r="O526" s="1"/>
      <c r="P526" s="1"/>
      <c r="Q526" s="1"/>
      <c r="R526" s="1"/>
      <c r="S526" s="1"/>
    </row>
    <row r="527">
      <c r="I527" s="1"/>
      <c r="J527" s="1"/>
      <c r="K527" s="1"/>
      <c r="L527" s="1"/>
      <c r="M527" s="1"/>
      <c r="N527" s="1"/>
      <c r="O527" s="1"/>
      <c r="P527" s="1"/>
      <c r="Q527" s="1"/>
      <c r="R527" s="1"/>
      <c r="S527" s="1"/>
    </row>
    <row r="528">
      <c r="I528" s="1"/>
      <c r="J528" s="1"/>
      <c r="K528" s="1"/>
      <c r="L528" s="1"/>
      <c r="M528" s="1"/>
      <c r="N528" s="1"/>
      <c r="O528" s="1"/>
      <c r="P528" s="1"/>
      <c r="Q528" s="1"/>
      <c r="R528" s="1"/>
      <c r="S528" s="1"/>
    </row>
    <row r="529">
      <c r="I529" s="1"/>
      <c r="J529" s="1"/>
      <c r="K529" s="1"/>
      <c r="L529" s="1"/>
      <c r="M529" s="1"/>
      <c r="N529" s="1"/>
      <c r="O529" s="1"/>
      <c r="P529" s="1"/>
      <c r="Q529" s="1"/>
      <c r="R529" s="1"/>
      <c r="S529" s="1"/>
    </row>
    <row r="530">
      <c r="I530" s="1"/>
      <c r="J530" s="1"/>
      <c r="K530" s="1"/>
      <c r="L530" s="1"/>
      <c r="M530" s="1"/>
      <c r="N530" s="1"/>
      <c r="O530" s="1"/>
      <c r="P530" s="1"/>
      <c r="Q530" s="1"/>
      <c r="R530" s="1"/>
      <c r="S530" s="1"/>
    </row>
    <row r="531">
      <c r="I531" s="1"/>
      <c r="J531" s="1"/>
      <c r="K531" s="1"/>
      <c r="L531" s="1"/>
      <c r="M531" s="1"/>
      <c r="N531" s="1"/>
      <c r="O531" s="1"/>
      <c r="P531" s="1"/>
      <c r="Q531" s="1"/>
      <c r="R531" s="1"/>
      <c r="S531" s="1"/>
    </row>
    <row r="532">
      <c r="I532" s="1"/>
      <c r="J532" s="1"/>
      <c r="K532" s="1"/>
      <c r="L532" s="1"/>
      <c r="M532" s="1"/>
      <c r="N532" s="1"/>
      <c r="O532" s="1"/>
      <c r="P532" s="1"/>
      <c r="Q532" s="1"/>
      <c r="R532" s="1"/>
      <c r="S532" s="1"/>
    </row>
    <row r="533">
      <c r="I533" s="1"/>
      <c r="J533" s="1"/>
      <c r="K533" s="1"/>
      <c r="L533" s="1"/>
      <c r="M533" s="1"/>
      <c r="N533" s="1"/>
      <c r="O533" s="1"/>
      <c r="P533" s="1"/>
      <c r="Q533" s="1"/>
      <c r="R533" s="1"/>
      <c r="S533" s="1"/>
    </row>
    <row r="534">
      <c r="I534" s="1"/>
      <c r="J534" s="1"/>
      <c r="K534" s="1"/>
      <c r="L534" s="1"/>
      <c r="M534" s="1"/>
      <c r="N534" s="1"/>
      <c r="O534" s="1"/>
      <c r="P534" s="1"/>
      <c r="Q534" s="1"/>
      <c r="R534" s="1"/>
      <c r="S534" s="1"/>
    </row>
    <row r="535">
      <c r="I535" s="1"/>
      <c r="J535" s="1"/>
      <c r="K535" s="1"/>
      <c r="L535" s="1"/>
      <c r="M535" s="1"/>
      <c r="N535" s="1"/>
      <c r="O535" s="1"/>
      <c r="P535" s="1"/>
      <c r="Q535" s="1"/>
      <c r="R535" s="1"/>
      <c r="S535" s="1"/>
    </row>
    <row r="536">
      <c r="I536" s="1"/>
      <c r="J536" s="1"/>
      <c r="K536" s="1"/>
      <c r="L536" s="1"/>
      <c r="M536" s="1"/>
      <c r="N536" s="1"/>
      <c r="O536" s="1"/>
      <c r="P536" s="1"/>
      <c r="Q536" s="1"/>
      <c r="R536" s="1"/>
      <c r="S536" s="1"/>
    </row>
    <row r="537">
      <c r="I537" s="1"/>
      <c r="J537" s="1"/>
      <c r="K537" s="1"/>
      <c r="L537" s="1"/>
      <c r="M537" s="1"/>
      <c r="N537" s="1"/>
      <c r="O537" s="1"/>
      <c r="P537" s="1"/>
      <c r="Q537" s="1"/>
      <c r="R537" s="1"/>
      <c r="S537" s="1"/>
    </row>
    <row r="538">
      <c r="I538" s="1"/>
      <c r="J538" s="1"/>
      <c r="K538" s="1"/>
      <c r="L538" s="1"/>
      <c r="M538" s="1"/>
      <c r="N538" s="1"/>
      <c r="O538" s="1"/>
      <c r="P538" s="1"/>
      <c r="Q538" s="1"/>
      <c r="R538" s="1"/>
      <c r="S538" s="1"/>
    </row>
    <row r="539">
      <c r="I539" s="1"/>
      <c r="J539" s="1"/>
      <c r="K539" s="1"/>
      <c r="L539" s="1"/>
      <c r="M539" s="1"/>
      <c r="N539" s="1"/>
      <c r="O539" s="1"/>
      <c r="P539" s="1"/>
      <c r="Q539" s="1"/>
      <c r="R539" s="1"/>
      <c r="S539" s="1"/>
    </row>
    <row r="540">
      <c r="I540" s="1"/>
      <c r="J540" s="1"/>
      <c r="K540" s="1"/>
      <c r="L540" s="1"/>
      <c r="M540" s="1"/>
      <c r="N540" s="1"/>
      <c r="O540" s="1"/>
      <c r="P540" s="1"/>
      <c r="Q540" s="1"/>
      <c r="R540" s="1"/>
      <c r="S540" s="1"/>
    </row>
    <row r="541">
      <c r="I541" s="1"/>
      <c r="J541" s="1"/>
      <c r="K541" s="1"/>
      <c r="L541" s="1"/>
      <c r="M541" s="1"/>
      <c r="N541" s="1"/>
      <c r="O541" s="1"/>
      <c r="P541" s="1"/>
      <c r="Q541" s="1"/>
      <c r="R541" s="1"/>
      <c r="S541" s="1"/>
    </row>
    <row r="542">
      <c r="I542" s="1"/>
      <c r="J542" s="1"/>
      <c r="K542" s="1"/>
      <c r="L542" s="1"/>
      <c r="M542" s="1"/>
      <c r="N542" s="1"/>
      <c r="O542" s="1"/>
      <c r="P542" s="1"/>
      <c r="Q542" s="1"/>
      <c r="R542" s="1"/>
      <c r="S542" s="1"/>
    </row>
    <row r="543">
      <c r="I543" s="1"/>
      <c r="J543" s="1"/>
      <c r="K543" s="1"/>
      <c r="L543" s="1"/>
      <c r="M543" s="1"/>
      <c r="N543" s="1"/>
      <c r="O543" s="1"/>
      <c r="P543" s="1"/>
      <c r="Q543" s="1"/>
      <c r="R543" s="1"/>
      <c r="S543" s="1"/>
    </row>
    <row r="544">
      <c r="I544" s="1"/>
      <c r="J544" s="1"/>
      <c r="K544" s="1"/>
      <c r="L544" s="1"/>
      <c r="M544" s="1"/>
      <c r="N544" s="1"/>
      <c r="O544" s="1"/>
      <c r="P544" s="1"/>
      <c r="Q544" s="1"/>
      <c r="R544" s="1"/>
      <c r="S544" s="1"/>
    </row>
    <row r="545">
      <c r="I545" s="1"/>
      <c r="J545" s="1"/>
      <c r="K545" s="1"/>
      <c r="L545" s="1"/>
      <c r="M545" s="1"/>
      <c r="N545" s="1"/>
      <c r="O545" s="1"/>
      <c r="P545" s="1"/>
      <c r="Q545" s="1"/>
      <c r="R545" s="1"/>
      <c r="S545" s="1"/>
    </row>
    <row r="546">
      <c r="I546" s="1"/>
      <c r="J546" s="1"/>
      <c r="K546" s="1"/>
      <c r="L546" s="1"/>
      <c r="M546" s="1"/>
      <c r="N546" s="1"/>
      <c r="O546" s="1"/>
      <c r="P546" s="1"/>
      <c r="Q546" s="1"/>
      <c r="R546" s="1"/>
      <c r="S546" s="1"/>
    </row>
    <row r="547">
      <c r="I547" s="1"/>
      <c r="J547" s="1"/>
      <c r="K547" s="1"/>
      <c r="L547" s="1"/>
      <c r="M547" s="1"/>
      <c r="N547" s="1"/>
      <c r="O547" s="1"/>
      <c r="P547" s="1"/>
      <c r="Q547" s="1"/>
      <c r="R547" s="1"/>
      <c r="S547" s="1"/>
    </row>
    <row r="548">
      <c r="I548" s="1"/>
      <c r="J548" s="1"/>
      <c r="K548" s="1"/>
      <c r="L548" s="1"/>
      <c r="M548" s="1"/>
      <c r="N548" s="1"/>
      <c r="O548" s="1"/>
      <c r="P548" s="1"/>
      <c r="Q548" s="1"/>
      <c r="R548" s="1"/>
      <c r="S548" s="1"/>
    </row>
    <row r="549">
      <c r="I549" s="1"/>
      <c r="J549" s="1"/>
      <c r="K549" s="1"/>
      <c r="L549" s="1"/>
      <c r="M549" s="1"/>
      <c r="N549" s="1"/>
      <c r="O549" s="1"/>
      <c r="P549" s="1"/>
      <c r="Q549" s="1"/>
      <c r="R549" s="1"/>
      <c r="S549" s="1"/>
    </row>
    <row r="550">
      <c r="I550" s="1"/>
      <c r="J550" s="1"/>
      <c r="K550" s="1"/>
      <c r="L550" s="1"/>
      <c r="M550" s="1"/>
      <c r="N550" s="1"/>
      <c r="O550" s="1"/>
      <c r="P550" s="1"/>
      <c r="Q550" s="1"/>
      <c r="R550" s="1"/>
      <c r="S550" s="1"/>
    </row>
    <row r="551">
      <c r="I551" s="1"/>
      <c r="J551" s="1"/>
      <c r="K551" s="1"/>
      <c r="L551" s="1"/>
      <c r="M551" s="1"/>
      <c r="N551" s="1"/>
      <c r="O551" s="1"/>
      <c r="P551" s="1"/>
      <c r="Q551" s="1"/>
      <c r="R551" s="1"/>
      <c r="S551" s="1"/>
    </row>
    <row r="552">
      <c r="I552" s="1"/>
      <c r="J552" s="1"/>
      <c r="K552" s="1"/>
      <c r="L552" s="1"/>
      <c r="M552" s="1"/>
      <c r="N552" s="1"/>
      <c r="O552" s="1"/>
      <c r="P552" s="1"/>
      <c r="Q552" s="1"/>
      <c r="R552" s="1"/>
      <c r="S552" s="1"/>
    </row>
    <row r="553">
      <c r="I553" s="1"/>
      <c r="J553" s="1"/>
      <c r="K553" s="1"/>
      <c r="L553" s="1"/>
      <c r="M553" s="1"/>
      <c r="N553" s="1"/>
      <c r="O553" s="1"/>
      <c r="P553" s="1"/>
      <c r="Q553" s="1"/>
      <c r="R553" s="1"/>
      <c r="S553" s="1"/>
    </row>
    <row r="554">
      <c r="I554" s="1"/>
      <c r="J554" s="1"/>
      <c r="K554" s="1"/>
      <c r="L554" s="1"/>
      <c r="M554" s="1"/>
      <c r="N554" s="1"/>
      <c r="O554" s="1"/>
      <c r="P554" s="1"/>
      <c r="Q554" s="1"/>
      <c r="R554" s="1"/>
      <c r="S554" s="1"/>
    </row>
    <row r="555">
      <c r="I555" s="1"/>
      <c r="J555" s="1"/>
      <c r="K555" s="1"/>
      <c r="L555" s="1"/>
      <c r="M555" s="1"/>
      <c r="N555" s="1"/>
      <c r="O555" s="1"/>
      <c r="P555" s="1"/>
      <c r="Q555" s="1"/>
      <c r="R555" s="1"/>
      <c r="S555" s="1"/>
    </row>
    <row r="556">
      <c r="I556" s="1"/>
      <c r="J556" s="1"/>
      <c r="K556" s="1"/>
      <c r="L556" s="1"/>
      <c r="M556" s="1"/>
      <c r="N556" s="1"/>
      <c r="O556" s="1"/>
      <c r="P556" s="1"/>
      <c r="Q556" s="1"/>
      <c r="R556" s="1"/>
      <c r="S556" s="1"/>
    </row>
    <row r="557">
      <c r="I557" s="1"/>
      <c r="J557" s="1"/>
      <c r="K557" s="1"/>
      <c r="L557" s="1"/>
      <c r="M557" s="1"/>
      <c r="N557" s="1"/>
      <c r="O557" s="1"/>
      <c r="P557" s="1"/>
      <c r="Q557" s="1"/>
      <c r="R557" s="1"/>
      <c r="S557" s="1"/>
    </row>
    <row r="558">
      <c r="I558" s="1"/>
      <c r="J558" s="1"/>
      <c r="K558" s="1"/>
      <c r="L558" s="1"/>
      <c r="M558" s="1"/>
      <c r="N558" s="1"/>
      <c r="O558" s="1"/>
      <c r="P558" s="1"/>
      <c r="Q558" s="1"/>
      <c r="R558" s="1"/>
      <c r="S558" s="1"/>
    </row>
    <row r="559">
      <c r="I559" s="1"/>
      <c r="J559" s="1"/>
      <c r="K559" s="1"/>
      <c r="L559" s="1"/>
      <c r="M559" s="1"/>
      <c r="N559" s="1"/>
      <c r="O559" s="1"/>
      <c r="P559" s="1"/>
      <c r="Q559" s="1"/>
      <c r="R559" s="1"/>
      <c r="S559" s="1"/>
    </row>
    <row r="560">
      <c r="I560" s="1"/>
      <c r="J560" s="1"/>
      <c r="K560" s="1"/>
      <c r="L560" s="1"/>
      <c r="M560" s="1"/>
      <c r="N560" s="1"/>
      <c r="O560" s="1"/>
      <c r="P560" s="1"/>
      <c r="Q560" s="1"/>
      <c r="R560" s="1"/>
      <c r="S560" s="1"/>
    </row>
    <row r="561">
      <c r="I561" s="1"/>
      <c r="J561" s="1"/>
      <c r="K561" s="1"/>
      <c r="L561" s="1"/>
      <c r="M561" s="1"/>
      <c r="N561" s="1"/>
      <c r="O561" s="1"/>
      <c r="P561" s="1"/>
      <c r="Q561" s="1"/>
      <c r="R561" s="1"/>
      <c r="S561" s="1"/>
    </row>
    <row r="562">
      <c r="I562" s="1"/>
      <c r="J562" s="1"/>
      <c r="K562" s="1"/>
      <c r="L562" s="1"/>
      <c r="M562" s="1"/>
      <c r="N562" s="1"/>
      <c r="O562" s="1"/>
      <c r="P562" s="1"/>
      <c r="Q562" s="1"/>
      <c r="R562" s="1"/>
      <c r="S562" s="1"/>
    </row>
    <row r="563">
      <c r="I563" s="1"/>
      <c r="J563" s="1"/>
      <c r="K563" s="1"/>
      <c r="L563" s="1"/>
      <c r="M563" s="1"/>
      <c r="N563" s="1"/>
      <c r="O563" s="1"/>
      <c r="P563" s="1"/>
      <c r="Q563" s="1"/>
      <c r="R563" s="1"/>
      <c r="S563" s="1"/>
    </row>
    <row r="564">
      <c r="I564" s="1"/>
      <c r="J564" s="1"/>
      <c r="K564" s="1"/>
      <c r="L564" s="1"/>
      <c r="M564" s="1"/>
      <c r="N564" s="1"/>
      <c r="O564" s="1"/>
      <c r="P564" s="1"/>
      <c r="Q564" s="1"/>
      <c r="R564" s="1"/>
      <c r="S564" s="1"/>
    </row>
    <row r="565">
      <c r="I565" s="1"/>
      <c r="J565" s="1"/>
      <c r="K565" s="1"/>
      <c r="L565" s="1"/>
      <c r="M565" s="1"/>
      <c r="N565" s="1"/>
      <c r="O565" s="1"/>
      <c r="P565" s="1"/>
      <c r="Q565" s="1"/>
      <c r="R565" s="1"/>
      <c r="S565" s="1"/>
    </row>
    <row r="566">
      <c r="I566" s="1"/>
      <c r="J566" s="1"/>
      <c r="K566" s="1"/>
      <c r="L566" s="1"/>
      <c r="M566" s="1"/>
      <c r="N566" s="1"/>
      <c r="O566" s="1"/>
      <c r="P566" s="1"/>
      <c r="Q566" s="1"/>
      <c r="R566" s="1"/>
      <c r="S566" s="1"/>
    </row>
    <row r="567">
      <c r="I567" s="1"/>
      <c r="J567" s="1"/>
      <c r="K567" s="1"/>
      <c r="L567" s="1"/>
      <c r="M567" s="1"/>
      <c r="N567" s="1"/>
      <c r="O567" s="1"/>
      <c r="P567" s="1"/>
      <c r="Q567" s="1"/>
      <c r="R567" s="1"/>
      <c r="S567" s="1"/>
    </row>
    <row r="568">
      <c r="I568" s="1"/>
      <c r="J568" s="1"/>
      <c r="K568" s="1"/>
      <c r="L568" s="1"/>
      <c r="M568" s="1"/>
      <c r="N568" s="1"/>
      <c r="O568" s="1"/>
      <c r="P568" s="1"/>
      <c r="Q568" s="1"/>
      <c r="R568" s="1"/>
      <c r="S568" s="1"/>
    </row>
    <row r="569">
      <c r="I569" s="1"/>
      <c r="J569" s="1"/>
      <c r="K569" s="1"/>
      <c r="L569" s="1"/>
      <c r="M569" s="1"/>
      <c r="N569" s="1"/>
      <c r="O569" s="1"/>
      <c r="P569" s="1"/>
      <c r="Q569" s="1"/>
      <c r="R569" s="1"/>
      <c r="S569" s="1"/>
    </row>
    <row r="570">
      <c r="I570" s="1"/>
      <c r="J570" s="1"/>
      <c r="K570" s="1"/>
      <c r="L570" s="1"/>
      <c r="M570" s="1"/>
      <c r="N570" s="1"/>
      <c r="O570" s="1"/>
      <c r="P570" s="1"/>
      <c r="Q570" s="1"/>
      <c r="R570" s="1"/>
      <c r="S570" s="1"/>
    </row>
    <row r="571">
      <c r="I571" s="1"/>
      <c r="J571" s="1"/>
      <c r="K571" s="1"/>
      <c r="L571" s="1"/>
      <c r="M571" s="1"/>
      <c r="N571" s="1"/>
      <c r="O571" s="1"/>
      <c r="P571" s="1"/>
      <c r="Q571" s="1"/>
      <c r="R571" s="1"/>
      <c r="S571" s="1"/>
    </row>
    <row r="572">
      <c r="I572" s="1"/>
      <c r="J572" s="1"/>
      <c r="K572" s="1"/>
      <c r="L572" s="1"/>
      <c r="M572" s="1"/>
      <c r="N572" s="1"/>
      <c r="O572" s="1"/>
      <c r="P572" s="1"/>
      <c r="Q572" s="1"/>
      <c r="R572" s="1"/>
      <c r="S572" s="1"/>
    </row>
    <row r="573">
      <c r="I573" s="1"/>
      <c r="J573" s="1"/>
      <c r="K573" s="1"/>
      <c r="L573" s="1"/>
      <c r="M573" s="1"/>
      <c r="N573" s="1"/>
      <c r="O573" s="1"/>
      <c r="P573" s="1"/>
      <c r="Q573" s="1"/>
      <c r="R573" s="1"/>
      <c r="S573" s="1"/>
    </row>
    <row r="574">
      <c r="I574" s="1"/>
      <c r="J574" s="1"/>
      <c r="K574" s="1"/>
      <c r="L574" s="1"/>
      <c r="M574" s="1"/>
      <c r="N574" s="1"/>
      <c r="O574" s="1"/>
      <c r="P574" s="1"/>
      <c r="Q574" s="1"/>
      <c r="R574" s="1"/>
      <c r="S574" s="1"/>
    </row>
    <row r="575">
      <c r="I575" s="1"/>
      <c r="J575" s="1"/>
      <c r="K575" s="1"/>
      <c r="L575" s="1"/>
      <c r="M575" s="1"/>
      <c r="N575" s="1"/>
      <c r="O575" s="1"/>
      <c r="P575" s="1"/>
      <c r="Q575" s="1"/>
      <c r="R575" s="1"/>
      <c r="S575" s="1"/>
    </row>
    <row r="576">
      <c r="I576" s="1"/>
      <c r="J576" s="1"/>
      <c r="K576" s="1"/>
      <c r="L576" s="1"/>
      <c r="M576" s="1"/>
      <c r="N576" s="1"/>
      <c r="O576" s="1"/>
      <c r="P576" s="1"/>
      <c r="Q576" s="1"/>
      <c r="R576" s="1"/>
      <c r="S576" s="1"/>
    </row>
    <row r="577">
      <c r="I577" s="1"/>
      <c r="J577" s="1"/>
      <c r="K577" s="1"/>
      <c r="L577" s="1"/>
      <c r="M577" s="1"/>
      <c r="N577" s="1"/>
      <c r="O577" s="1"/>
      <c r="P577" s="1"/>
      <c r="Q577" s="1"/>
      <c r="R577" s="1"/>
      <c r="S577" s="1"/>
    </row>
    <row r="578">
      <c r="I578" s="1"/>
      <c r="J578" s="1"/>
      <c r="K578" s="1"/>
      <c r="L578" s="1"/>
      <c r="M578" s="1"/>
      <c r="N578" s="1"/>
      <c r="O578" s="1"/>
      <c r="P578" s="1"/>
      <c r="Q578" s="1"/>
      <c r="R578" s="1"/>
      <c r="S578" s="1"/>
    </row>
    <row r="579">
      <c r="I579" s="1"/>
      <c r="J579" s="1"/>
      <c r="K579" s="1"/>
      <c r="L579" s="1"/>
      <c r="M579" s="1"/>
      <c r="N579" s="1"/>
      <c r="O579" s="1"/>
      <c r="P579" s="1"/>
      <c r="Q579" s="1"/>
      <c r="R579" s="1"/>
      <c r="S579" s="1"/>
    </row>
    <row r="580">
      <c r="I580" s="1"/>
      <c r="J580" s="1"/>
      <c r="K580" s="1"/>
      <c r="L580" s="1"/>
      <c r="M580" s="1"/>
      <c r="N580" s="1"/>
      <c r="O580" s="1"/>
      <c r="P580" s="1"/>
      <c r="Q580" s="1"/>
      <c r="R580" s="1"/>
      <c r="S580" s="1"/>
    </row>
    <row r="581">
      <c r="I581" s="1"/>
      <c r="J581" s="1"/>
      <c r="K581" s="1"/>
      <c r="L581" s="1"/>
      <c r="M581" s="1"/>
      <c r="N581" s="1"/>
      <c r="O581" s="1"/>
      <c r="P581" s="1"/>
      <c r="Q581" s="1"/>
      <c r="R581" s="1"/>
      <c r="S581" s="1"/>
    </row>
    <row r="582">
      <c r="I582" s="1"/>
      <c r="J582" s="1"/>
      <c r="K582" s="1"/>
      <c r="L582" s="1"/>
      <c r="M582" s="1"/>
      <c r="N582" s="1"/>
      <c r="O582" s="1"/>
      <c r="P582" s="1"/>
      <c r="Q582" s="1"/>
      <c r="R582" s="1"/>
      <c r="S582" s="1"/>
    </row>
    <row r="583">
      <c r="I583" s="1"/>
      <c r="J583" s="1"/>
      <c r="K583" s="1"/>
      <c r="L583" s="1"/>
      <c r="M583" s="1"/>
      <c r="N583" s="1"/>
      <c r="O583" s="1"/>
      <c r="P583" s="1"/>
      <c r="Q583" s="1"/>
      <c r="R583" s="1"/>
      <c r="S583" s="1"/>
    </row>
    <row r="584">
      <c r="I584" s="1"/>
      <c r="J584" s="1"/>
      <c r="K584" s="1"/>
      <c r="L584" s="1"/>
      <c r="M584" s="1"/>
      <c r="N584" s="1"/>
      <c r="O584" s="1"/>
      <c r="P584" s="1"/>
      <c r="Q584" s="1"/>
      <c r="R584" s="1"/>
      <c r="S584" s="1"/>
    </row>
    <row r="585">
      <c r="I585" s="1"/>
      <c r="J585" s="1"/>
      <c r="K585" s="1"/>
      <c r="L585" s="1"/>
      <c r="M585" s="1"/>
      <c r="N585" s="1"/>
      <c r="O585" s="1"/>
      <c r="P585" s="1"/>
      <c r="Q585" s="1"/>
      <c r="R585" s="1"/>
      <c r="S585" s="1"/>
    </row>
    <row r="586">
      <c r="I586" s="1"/>
      <c r="J586" s="1"/>
      <c r="K586" s="1"/>
      <c r="L586" s="1"/>
      <c r="M586" s="1"/>
      <c r="N586" s="1"/>
      <c r="O586" s="1"/>
      <c r="P586" s="1"/>
      <c r="Q586" s="1"/>
      <c r="R586" s="1"/>
      <c r="S586" s="1"/>
    </row>
    <row r="587">
      <c r="I587" s="1"/>
      <c r="J587" s="1"/>
      <c r="K587" s="1"/>
      <c r="L587" s="1"/>
      <c r="M587" s="1"/>
      <c r="N587" s="1"/>
      <c r="O587" s="1"/>
      <c r="P587" s="1"/>
      <c r="Q587" s="1"/>
      <c r="R587" s="1"/>
      <c r="S587" s="1"/>
    </row>
    <row r="588">
      <c r="I588" s="1"/>
      <c r="J588" s="1"/>
      <c r="K588" s="1"/>
      <c r="L588" s="1"/>
      <c r="M588" s="1"/>
      <c r="N588" s="1"/>
      <c r="O588" s="1"/>
      <c r="P588" s="1"/>
      <c r="Q588" s="1"/>
      <c r="R588" s="1"/>
      <c r="S588" s="1"/>
    </row>
    <row r="589">
      <c r="I589" s="1"/>
      <c r="J589" s="1"/>
      <c r="K589" s="1"/>
      <c r="L589" s="1"/>
      <c r="M589" s="1"/>
      <c r="N589" s="1"/>
      <c r="O589" s="1"/>
      <c r="P589" s="1"/>
      <c r="Q589" s="1"/>
      <c r="R589" s="1"/>
      <c r="S589" s="1"/>
    </row>
    <row r="590">
      <c r="I590" s="1"/>
      <c r="J590" s="1"/>
      <c r="K590" s="1"/>
      <c r="L590" s="1"/>
      <c r="M590" s="1"/>
      <c r="N590" s="1"/>
      <c r="O590" s="1"/>
      <c r="P590" s="1"/>
      <c r="Q590" s="1"/>
      <c r="R590" s="1"/>
      <c r="S590" s="1"/>
    </row>
    <row r="591">
      <c r="I591" s="1"/>
      <c r="J591" s="1"/>
      <c r="K591" s="1"/>
      <c r="L591" s="1"/>
      <c r="M591" s="1"/>
      <c r="N591" s="1"/>
      <c r="O591" s="1"/>
      <c r="P591" s="1"/>
      <c r="Q591" s="1"/>
      <c r="R591" s="1"/>
      <c r="S591" s="1"/>
    </row>
    <row r="592">
      <c r="I592" s="1"/>
      <c r="J592" s="1"/>
      <c r="K592" s="1"/>
      <c r="L592" s="1"/>
      <c r="M592" s="1"/>
      <c r="N592" s="1"/>
      <c r="O592" s="1"/>
      <c r="P592" s="1"/>
      <c r="Q592" s="1"/>
      <c r="R592" s="1"/>
      <c r="S592" s="1"/>
    </row>
    <row r="593">
      <c r="I593" s="1"/>
      <c r="J593" s="1"/>
      <c r="K593" s="1"/>
      <c r="L593" s="1"/>
      <c r="M593" s="1"/>
      <c r="N593" s="1"/>
      <c r="O593" s="1"/>
      <c r="P593" s="1"/>
      <c r="Q593" s="1"/>
      <c r="R593" s="1"/>
      <c r="S593" s="1"/>
    </row>
    <row r="594">
      <c r="I594" s="1"/>
      <c r="J594" s="1"/>
      <c r="K594" s="1"/>
      <c r="L594" s="1"/>
      <c r="M594" s="1"/>
      <c r="N594" s="1"/>
      <c r="O594" s="1"/>
      <c r="P594" s="1"/>
      <c r="Q594" s="1"/>
      <c r="R594" s="1"/>
      <c r="S594" s="1"/>
    </row>
    <row r="595">
      <c r="I595" s="1"/>
      <c r="J595" s="1"/>
      <c r="K595" s="1"/>
      <c r="L595" s="1"/>
      <c r="M595" s="1"/>
      <c r="N595" s="1"/>
      <c r="O595" s="1"/>
      <c r="P595" s="1"/>
      <c r="Q595" s="1"/>
      <c r="R595" s="1"/>
      <c r="S595" s="1"/>
    </row>
    <row r="596">
      <c r="I596" s="1"/>
      <c r="J596" s="1"/>
      <c r="K596" s="1"/>
      <c r="L596" s="1"/>
      <c r="M596" s="1"/>
      <c r="N596" s="1"/>
      <c r="O596" s="1"/>
      <c r="P596" s="1"/>
      <c r="Q596" s="1"/>
      <c r="R596" s="1"/>
      <c r="S596" s="1"/>
    </row>
    <row r="597">
      <c r="I597" s="1"/>
      <c r="J597" s="1"/>
      <c r="K597" s="1"/>
      <c r="L597" s="1"/>
      <c r="M597" s="1"/>
      <c r="N597" s="1"/>
      <c r="O597" s="1"/>
      <c r="P597" s="1"/>
      <c r="Q597" s="1"/>
      <c r="R597" s="1"/>
      <c r="S597" s="1"/>
    </row>
    <row r="598">
      <c r="I598" s="1"/>
      <c r="J598" s="1"/>
      <c r="K598" s="1"/>
      <c r="L598" s="1"/>
      <c r="M598" s="1"/>
      <c r="N598" s="1"/>
      <c r="O598" s="1"/>
      <c r="P598" s="1"/>
      <c r="Q598" s="1"/>
      <c r="R598" s="1"/>
      <c r="S598" s="1"/>
    </row>
    <row r="599">
      <c r="I599" s="1"/>
      <c r="J599" s="1"/>
      <c r="K599" s="1"/>
      <c r="L599" s="1"/>
      <c r="M599" s="1"/>
      <c r="N599" s="1"/>
      <c r="O599" s="1"/>
      <c r="P599" s="1"/>
      <c r="Q599" s="1"/>
      <c r="R599" s="1"/>
      <c r="S599" s="1"/>
    </row>
    <row r="600">
      <c r="I600" s="1"/>
      <c r="J600" s="1"/>
      <c r="K600" s="1"/>
      <c r="L600" s="1"/>
      <c r="M600" s="1"/>
      <c r="N600" s="1"/>
      <c r="O600" s="1"/>
      <c r="P600" s="1"/>
      <c r="Q600" s="1"/>
      <c r="R600" s="1"/>
      <c r="S600" s="1"/>
    </row>
    <row r="601">
      <c r="I601" s="1"/>
      <c r="J601" s="1"/>
      <c r="K601" s="1"/>
      <c r="L601" s="1"/>
      <c r="M601" s="1"/>
      <c r="N601" s="1"/>
      <c r="O601" s="1"/>
      <c r="P601" s="1"/>
      <c r="Q601" s="1"/>
      <c r="R601" s="1"/>
      <c r="S601" s="1"/>
    </row>
    <row r="602">
      <c r="I602" s="1"/>
      <c r="J602" s="1"/>
      <c r="K602" s="1"/>
      <c r="L602" s="1"/>
      <c r="M602" s="1"/>
      <c r="N602" s="1"/>
      <c r="O602" s="1"/>
      <c r="P602" s="1"/>
      <c r="Q602" s="1"/>
      <c r="R602" s="1"/>
      <c r="S602" s="1"/>
    </row>
    <row r="603">
      <c r="I603" s="1"/>
      <c r="J603" s="1"/>
      <c r="K603" s="1"/>
      <c r="L603" s="1"/>
      <c r="M603" s="1"/>
      <c r="N603" s="1"/>
      <c r="O603" s="1"/>
      <c r="P603" s="1"/>
      <c r="Q603" s="1"/>
      <c r="R603" s="1"/>
      <c r="S603" s="1"/>
    </row>
    <row r="604">
      <c r="I604" s="1"/>
      <c r="J604" s="1"/>
      <c r="K604" s="1"/>
      <c r="L604" s="1"/>
      <c r="M604" s="1"/>
      <c r="N604" s="1"/>
      <c r="O604" s="1"/>
      <c r="P604" s="1"/>
      <c r="Q604" s="1"/>
      <c r="R604" s="1"/>
      <c r="S604" s="1"/>
    </row>
    <row r="605">
      <c r="I605" s="1"/>
      <c r="J605" s="1"/>
      <c r="K605" s="1"/>
      <c r="L605" s="1"/>
      <c r="M605" s="1"/>
      <c r="N605" s="1"/>
      <c r="O605" s="1"/>
      <c r="P605" s="1"/>
      <c r="Q605" s="1"/>
      <c r="R605" s="1"/>
      <c r="S605" s="1"/>
    </row>
    <row r="606">
      <c r="I606" s="1"/>
      <c r="J606" s="1"/>
      <c r="K606" s="1"/>
      <c r="L606" s="1"/>
      <c r="M606" s="1"/>
      <c r="N606" s="1"/>
      <c r="O606" s="1"/>
      <c r="P606" s="1"/>
      <c r="Q606" s="1"/>
      <c r="R606" s="1"/>
      <c r="S606" s="1"/>
    </row>
    <row r="607">
      <c r="I607" s="1"/>
      <c r="J607" s="1"/>
      <c r="K607" s="1"/>
      <c r="L607" s="1"/>
      <c r="M607" s="1"/>
      <c r="N607" s="1"/>
      <c r="O607" s="1"/>
      <c r="P607" s="1"/>
      <c r="Q607" s="1"/>
      <c r="R607" s="1"/>
      <c r="S607" s="1"/>
    </row>
    <row r="608">
      <c r="I608" s="1"/>
      <c r="J608" s="1"/>
      <c r="K608" s="1"/>
      <c r="L608" s="1"/>
      <c r="M608" s="1"/>
      <c r="N608" s="1"/>
      <c r="O608" s="1"/>
      <c r="P608" s="1"/>
      <c r="Q608" s="1"/>
      <c r="R608" s="1"/>
      <c r="S608" s="1"/>
    </row>
    <row r="609">
      <c r="I609" s="1"/>
      <c r="J609" s="1"/>
      <c r="K609" s="1"/>
      <c r="L609" s="1"/>
      <c r="M609" s="1"/>
      <c r="N609" s="1"/>
      <c r="O609" s="1"/>
      <c r="P609" s="1"/>
      <c r="Q609" s="1"/>
      <c r="R609" s="1"/>
      <c r="S609" s="1"/>
    </row>
    <row r="610">
      <c r="I610" s="1"/>
      <c r="J610" s="1"/>
      <c r="K610" s="1"/>
      <c r="L610" s="1"/>
      <c r="M610" s="1"/>
      <c r="N610" s="1"/>
      <c r="O610" s="1"/>
      <c r="P610" s="1"/>
      <c r="Q610" s="1"/>
      <c r="R610" s="1"/>
      <c r="S610" s="1"/>
    </row>
    <row r="611">
      <c r="I611" s="1"/>
      <c r="J611" s="1"/>
      <c r="K611" s="1"/>
      <c r="L611" s="1"/>
      <c r="M611" s="1"/>
      <c r="N611" s="1"/>
      <c r="O611" s="1"/>
      <c r="P611" s="1"/>
      <c r="Q611" s="1"/>
      <c r="R611" s="1"/>
      <c r="S611" s="1"/>
    </row>
    <row r="612">
      <c r="I612" s="1"/>
      <c r="J612" s="1"/>
      <c r="K612" s="1"/>
      <c r="L612" s="1"/>
      <c r="M612" s="1"/>
      <c r="N612" s="1"/>
      <c r="O612" s="1"/>
      <c r="P612" s="1"/>
      <c r="Q612" s="1"/>
      <c r="R612" s="1"/>
      <c r="S612" s="1"/>
    </row>
    <row r="613">
      <c r="I613" s="1"/>
      <c r="J613" s="1"/>
      <c r="K613" s="1"/>
      <c r="L613" s="1"/>
      <c r="M613" s="1"/>
      <c r="N613" s="1"/>
      <c r="O613" s="1"/>
      <c r="P613" s="1"/>
      <c r="Q613" s="1"/>
      <c r="R613" s="1"/>
      <c r="S613" s="1"/>
    </row>
    <row r="614">
      <c r="I614" s="1"/>
      <c r="J614" s="1"/>
      <c r="K614" s="1"/>
      <c r="L614" s="1"/>
      <c r="M614" s="1"/>
      <c r="N614" s="1"/>
      <c r="O614" s="1"/>
      <c r="P614" s="1"/>
      <c r="Q614" s="1"/>
      <c r="R614" s="1"/>
      <c r="S614" s="1"/>
    </row>
    <row r="615">
      <c r="I615" s="1"/>
      <c r="J615" s="1"/>
      <c r="K615" s="1"/>
      <c r="L615" s="1"/>
      <c r="M615" s="1"/>
      <c r="N615" s="1"/>
      <c r="O615" s="1"/>
      <c r="P615" s="1"/>
      <c r="Q615" s="1"/>
      <c r="R615" s="1"/>
      <c r="S615" s="1"/>
    </row>
    <row r="616">
      <c r="I616" s="1"/>
      <c r="J616" s="1"/>
      <c r="K616" s="1"/>
      <c r="L616" s="1"/>
      <c r="M616" s="1"/>
      <c r="N616" s="1"/>
      <c r="O616" s="1"/>
      <c r="P616" s="1"/>
      <c r="Q616" s="1"/>
      <c r="R616" s="1"/>
      <c r="S616" s="1"/>
    </row>
    <row r="617">
      <c r="I617" s="1"/>
      <c r="J617" s="1"/>
      <c r="K617" s="1"/>
      <c r="L617" s="1"/>
      <c r="M617" s="1"/>
      <c r="N617" s="1"/>
      <c r="O617" s="1"/>
      <c r="P617" s="1"/>
      <c r="Q617" s="1"/>
      <c r="R617" s="1"/>
      <c r="S617" s="1"/>
    </row>
    <row r="618">
      <c r="I618" s="1"/>
      <c r="J618" s="1"/>
      <c r="K618" s="1"/>
      <c r="L618" s="1"/>
      <c r="M618" s="1"/>
      <c r="N618" s="1"/>
      <c r="O618" s="1"/>
      <c r="P618" s="1"/>
      <c r="Q618" s="1"/>
      <c r="R618" s="1"/>
      <c r="S618" s="1"/>
    </row>
    <row r="619">
      <c r="I619" s="1"/>
      <c r="J619" s="1"/>
      <c r="K619" s="1"/>
      <c r="L619" s="1"/>
      <c r="M619" s="1"/>
      <c r="N619" s="1"/>
      <c r="O619" s="1"/>
      <c r="P619" s="1"/>
      <c r="Q619" s="1"/>
      <c r="R619" s="1"/>
      <c r="S619" s="1"/>
    </row>
    <row r="620">
      <c r="I620" s="1"/>
      <c r="J620" s="1"/>
      <c r="K620" s="1"/>
      <c r="L620" s="1"/>
      <c r="M620" s="1"/>
      <c r="N620" s="1"/>
      <c r="O620" s="1"/>
      <c r="P620" s="1"/>
      <c r="Q620" s="1"/>
      <c r="R620" s="1"/>
      <c r="S620" s="1"/>
    </row>
    <row r="621">
      <c r="I621" s="1"/>
      <c r="J621" s="1"/>
      <c r="K621" s="1"/>
      <c r="L621" s="1"/>
      <c r="M621" s="1"/>
      <c r="N621" s="1"/>
      <c r="O621" s="1"/>
      <c r="P621" s="1"/>
      <c r="Q621" s="1"/>
      <c r="R621" s="1"/>
      <c r="S621" s="1"/>
    </row>
    <row r="622">
      <c r="I622" s="1"/>
      <c r="J622" s="1"/>
      <c r="K622" s="1"/>
      <c r="L622" s="1"/>
      <c r="M622" s="1"/>
      <c r="N622" s="1"/>
      <c r="O622" s="1"/>
      <c r="P622" s="1"/>
      <c r="Q622" s="1"/>
      <c r="R622" s="1"/>
      <c r="S622" s="1"/>
    </row>
    <row r="623">
      <c r="I623" s="1"/>
      <c r="J623" s="1"/>
      <c r="K623" s="1"/>
      <c r="L623" s="1"/>
      <c r="M623" s="1"/>
      <c r="N623" s="1"/>
      <c r="O623" s="1"/>
      <c r="P623" s="1"/>
      <c r="Q623" s="1"/>
      <c r="R623" s="1"/>
      <c r="S623" s="1"/>
    </row>
    <row r="624">
      <c r="I624" s="1"/>
      <c r="J624" s="1"/>
      <c r="K624" s="1"/>
      <c r="L624" s="1"/>
      <c r="M624" s="1"/>
      <c r="N624" s="1"/>
      <c r="O624" s="1"/>
      <c r="P624" s="1"/>
      <c r="Q624" s="1"/>
      <c r="R624" s="1"/>
      <c r="S624" s="1"/>
    </row>
    <row r="625">
      <c r="I625" s="1"/>
      <c r="J625" s="1"/>
      <c r="K625" s="1"/>
      <c r="L625" s="1"/>
      <c r="M625" s="1"/>
      <c r="N625" s="1"/>
      <c r="O625" s="1"/>
      <c r="P625" s="1"/>
      <c r="Q625" s="1"/>
      <c r="R625" s="1"/>
      <c r="S625" s="1"/>
    </row>
    <row r="626">
      <c r="I626" s="1"/>
      <c r="J626" s="1"/>
      <c r="K626" s="1"/>
      <c r="L626" s="1"/>
      <c r="M626" s="1"/>
      <c r="N626" s="1"/>
      <c r="O626" s="1"/>
      <c r="P626" s="1"/>
      <c r="Q626" s="1"/>
      <c r="R626" s="1"/>
      <c r="S626" s="1"/>
    </row>
    <row r="627">
      <c r="I627" s="1"/>
      <c r="J627" s="1"/>
      <c r="K627" s="1"/>
      <c r="L627" s="1"/>
      <c r="M627" s="1"/>
      <c r="N627" s="1"/>
      <c r="O627" s="1"/>
      <c r="P627" s="1"/>
      <c r="Q627" s="1"/>
      <c r="R627" s="1"/>
      <c r="S627" s="1"/>
    </row>
    <row r="628">
      <c r="I628" s="1"/>
      <c r="J628" s="1"/>
      <c r="K628" s="1"/>
      <c r="L628" s="1"/>
      <c r="M628" s="1"/>
      <c r="N628" s="1"/>
      <c r="O628" s="1"/>
      <c r="P628" s="1"/>
      <c r="Q628" s="1"/>
      <c r="R628" s="1"/>
      <c r="S628" s="1"/>
    </row>
    <row r="629">
      <c r="I629" s="1"/>
      <c r="J629" s="1"/>
      <c r="K629" s="1"/>
      <c r="L629" s="1"/>
      <c r="M629" s="1"/>
      <c r="N629" s="1"/>
      <c r="O629" s="1"/>
      <c r="P629" s="1"/>
      <c r="Q629" s="1"/>
      <c r="R629" s="1"/>
      <c r="S629" s="1"/>
    </row>
    <row r="630">
      <c r="I630" s="1"/>
      <c r="J630" s="1"/>
      <c r="K630" s="1"/>
      <c r="L630" s="1"/>
      <c r="M630" s="1"/>
      <c r="N630" s="1"/>
      <c r="O630" s="1"/>
      <c r="P630" s="1"/>
      <c r="Q630" s="1"/>
      <c r="R630" s="1"/>
      <c r="S630" s="1"/>
    </row>
    <row r="631">
      <c r="I631" s="1"/>
      <c r="J631" s="1"/>
      <c r="K631" s="1"/>
      <c r="L631" s="1"/>
      <c r="M631" s="1"/>
      <c r="N631" s="1"/>
      <c r="O631" s="1"/>
      <c r="P631" s="1"/>
      <c r="Q631" s="1"/>
      <c r="R631" s="1"/>
      <c r="S631" s="1"/>
    </row>
    <row r="632">
      <c r="I632" s="1"/>
      <c r="J632" s="1"/>
      <c r="K632" s="1"/>
      <c r="L632" s="1"/>
      <c r="M632" s="1"/>
      <c r="N632" s="1"/>
      <c r="O632" s="1"/>
      <c r="P632" s="1"/>
      <c r="Q632" s="1"/>
      <c r="R632" s="1"/>
      <c r="S632" s="1"/>
    </row>
    <row r="633">
      <c r="I633" s="1"/>
      <c r="J633" s="1"/>
      <c r="K633" s="1"/>
      <c r="L633" s="1"/>
      <c r="M633" s="1"/>
      <c r="N633" s="1"/>
      <c r="O633" s="1"/>
      <c r="P633" s="1"/>
      <c r="Q633" s="1"/>
      <c r="R633" s="1"/>
      <c r="S633" s="1"/>
    </row>
    <row r="634">
      <c r="I634" s="1"/>
      <c r="J634" s="1"/>
      <c r="K634" s="1"/>
      <c r="L634" s="1"/>
      <c r="M634" s="1"/>
      <c r="N634" s="1"/>
      <c r="O634" s="1"/>
      <c r="P634" s="1"/>
      <c r="Q634" s="1"/>
      <c r="R634" s="1"/>
      <c r="S634" s="1"/>
    </row>
    <row r="635">
      <c r="I635" s="1"/>
      <c r="J635" s="1"/>
      <c r="K635" s="1"/>
      <c r="L635" s="1"/>
      <c r="M635" s="1"/>
      <c r="N635" s="1"/>
      <c r="O635" s="1"/>
      <c r="P635" s="1"/>
      <c r="Q635" s="1"/>
      <c r="R635" s="1"/>
      <c r="S635" s="1"/>
    </row>
    <row r="636">
      <c r="I636" s="1"/>
      <c r="J636" s="1"/>
      <c r="K636" s="1"/>
      <c r="L636" s="1"/>
      <c r="M636" s="1"/>
      <c r="N636" s="1"/>
      <c r="O636" s="1"/>
      <c r="P636" s="1"/>
      <c r="Q636" s="1"/>
      <c r="R636" s="1"/>
      <c r="S636" s="1"/>
    </row>
    <row r="637">
      <c r="I637" s="1"/>
      <c r="J637" s="1"/>
      <c r="K637" s="1"/>
      <c r="L637" s="1"/>
      <c r="M637" s="1"/>
      <c r="N637" s="1"/>
      <c r="O637" s="1"/>
      <c r="P637" s="1"/>
      <c r="Q637" s="1"/>
      <c r="R637" s="1"/>
      <c r="S637" s="1"/>
    </row>
    <row r="638">
      <c r="I638" s="1"/>
      <c r="J638" s="1"/>
      <c r="K638" s="1"/>
      <c r="L638" s="1"/>
      <c r="M638" s="1"/>
      <c r="N638" s="1"/>
      <c r="O638" s="1"/>
      <c r="P638" s="1"/>
      <c r="Q638" s="1"/>
      <c r="R638" s="1"/>
      <c r="S638" s="1"/>
    </row>
    <row r="639">
      <c r="I639" s="1"/>
      <c r="J639" s="1"/>
      <c r="K639" s="1"/>
      <c r="L639" s="1"/>
      <c r="M639" s="1"/>
      <c r="N639" s="1"/>
      <c r="O639" s="1"/>
      <c r="P639" s="1"/>
      <c r="Q639" s="1"/>
      <c r="R639" s="1"/>
      <c r="S639" s="1"/>
    </row>
    <row r="640">
      <c r="I640" s="1"/>
      <c r="J640" s="1"/>
      <c r="K640" s="1"/>
      <c r="L640" s="1"/>
      <c r="M640" s="1"/>
      <c r="N640" s="1"/>
      <c r="O640" s="1"/>
      <c r="P640" s="1"/>
      <c r="Q640" s="1"/>
      <c r="R640" s="1"/>
      <c r="S640" s="1"/>
    </row>
    <row r="641">
      <c r="I641" s="1"/>
      <c r="J641" s="1"/>
      <c r="K641" s="1"/>
      <c r="L641" s="1"/>
      <c r="M641" s="1"/>
      <c r="N641" s="1"/>
      <c r="O641" s="1"/>
      <c r="P641" s="1"/>
      <c r="Q641" s="1"/>
      <c r="R641" s="1"/>
      <c r="S641" s="1"/>
    </row>
    <row r="642">
      <c r="I642" s="1"/>
      <c r="J642" s="1"/>
      <c r="K642" s="1"/>
      <c r="L642" s="1"/>
      <c r="M642" s="1"/>
      <c r="N642" s="1"/>
      <c r="O642" s="1"/>
      <c r="P642" s="1"/>
      <c r="Q642" s="1"/>
      <c r="R642" s="1"/>
      <c r="S642" s="1"/>
    </row>
    <row r="643">
      <c r="I643" s="1"/>
      <c r="J643" s="1"/>
      <c r="K643" s="1"/>
      <c r="L643" s="1"/>
      <c r="M643" s="1"/>
      <c r="N643" s="1"/>
      <c r="O643" s="1"/>
      <c r="P643" s="1"/>
      <c r="Q643" s="1"/>
      <c r="R643" s="1"/>
      <c r="S643" s="1"/>
    </row>
    <row r="644">
      <c r="I644" s="1"/>
      <c r="J644" s="1"/>
      <c r="K644" s="1"/>
      <c r="L644" s="1"/>
      <c r="M644" s="1"/>
      <c r="N644" s="1"/>
      <c r="O644" s="1"/>
      <c r="P644" s="1"/>
      <c r="Q644" s="1"/>
      <c r="R644" s="1"/>
      <c r="S644" s="1"/>
    </row>
    <row r="645">
      <c r="I645" s="1"/>
      <c r="J645" s="1"/>
      <c r="K645" s="1"/>
      <c r="L645" s="1"/>
      <c r="M645" s="1"/>
      <c r="N645" s="1"/>
      <c r="O645" s="1"/>
      <c r="P645" s="1"/>
      <c r="Q645" s="1"/>
      <c r="R645" s="1"/>
      <c r="S645" s="1"/>
    </row>
    <row r="646">
      <c r="I646" s="1"/>
      <c r="J646" s="1"/>
      <c r="K646" s="1"/>
      <c r="L646" s="1"/>
      <c r="M646" s="1"/>
      <c r="N646" s="1"/>
      <c r="O646" s="1"/>
      <c r="P646" s="1"/>
      <c r="Q646" s="1"/>
      <c r="R646" s="1"/>
      <c r="S646" s="1"/>
    </row>
    <row r="647">
      <c r="I647" s="1"/>
      <c r="J647" s="1"/>
      <c r="K647" s="1"/>
      <c r="L647" s="1"/>
      <c r="M647" s="1"/>
      <c r="N647" s="1"/>
      <c r="O647" s="1"/>
      <c r="P647" s="1"/>
      <c r="Q647" s="1"/>
      <c r="R647" s="1"/>
      <c r="S647" s="1"/>
    </row>
    <row r="648">
      <c r="I648" s="1"/>
      <c r="J648" s="1"/>
      <c r="K648" s="1"/>
      <c r="L648" s="1"/>
      <c r="M648" s="1"/>
      <c r="N648" s="1"/>
      <c r="O648" s="1"/>
      <c r="P648" s="1"/>
      <c r="Q648" s="1"/>
      <c r="R648" s="1"/>
      <c r="S648" s="1"/>
    </row>
    <row r="649">
      <c r="I649" s="1"/>
      <c r="J649" s="1"/>
      <c r="K649" s="1"/>
      <c r="L649" s="1"/>
      <c r="M649" s="1"/>
      <c r="N649" s="1"/>
      <c r="O649" s="1"/>
      <c r="P649" s="1"/>
      <c r="Q649" s="1"/>
      <c r="R649" s="1"/>
      <c r="S649" s="1"/>
    </row>
    <row r="650">
      <c r="I650" s="1"/>
      <c r="J650" s="1"/>
      <c r="K650" s="1"/>
      <c r="L650" s="1"/>
      <c r="M650" s="1"/>
      <c r="N650" s="1"/>
      <c r="O650" s="1"/>
      <c r="P650" s="1"/>
      <c r="Q650" s="1"/>
      <c r="R650" s="1"/>
      <c r="S650" s="1"/>
    </row>
    <row r="651">
      <c r="I651" s="1"/>
      <c r="J651" s="1"/>
      <c r="K651" s="1"/>
      <c r="L651" s="1"/>
      <c r="M651" s="1"/>
      <c r="N651" s="1"/>
      <c r="O651" s="1"/>
      <c r="P651" s="1"/>
      <c r="Q651" s="1"/>
      <c r="R651" s="1"/>
      <c r="S651" s="1"/>
    </row>
    <row r="652">
      <c r="I652" s="1"/>
      <c r="J652" s="1"/>
      <c r="K652" s="1"/>
      <c r="L652" s="1"/>
      <c r="M652" s="1"/>
      <c r="N652" s="1"/>
      <c r="O652" s="1"/>
      <c r="P652" s="1"/>
      <c r="Q652" s="1"/>
      <c r="R652" s="1"/>
      <c r="S652" s="1"/>
    </row>
    <row r="653">
      <c r="I653" s="1"/>
      <c r="J653" s="1"/>
      <c r="K653" s="1"/>
      <c r="L653" s="1"/>
      <c r="M653" s="1"/>
      <c r="N653" s="1"/>
      <c r="O653" s="1"/>
      <c r="P653" s="1"/>
      <c r="Q653" s="1"/>
      <c r="R653" s="1"/>
      <c r="S653" s="1"/>
    </row>
    <row r="654">
      <c r="I654" s="1"/>
      <c r="J654" s="1"/>
      <c r="K654" s="1"/>
      <c r="L654" s="1"/>
      <c r="M654" s="1"/>
      <c r="N654" s="1"/>
      <c r="O654" s="1"/>
      <c r="P654" s="1"/>
      <c r="Q654" s="1"/>
      <c r="R654" s="1"/>
      <c r="S654" s="1"/>
    </row>
    <row r="655">
      <c r="I655" s="1"/>
      <c r="J655" s="1"/>
      <c r="K655" s="1"/>
      <c r="L655" s="1"/>
      <c r="M655" s="1"/>
      <c r="N655" s="1"/>
      <c r="O655" s="1"/>
      <c r="P655" s="1"/>
      <c r="Q655" s="1"/>
      <c r="R655" s="1"/>
      <c r="S655" s="1"/>
    </row>
    <row r="656">
      <c r="I656" s="1"/>
      <c r="J656" s="1"/>
      <c r="K656" s="1"/>
      <c r="L656" s="1"/>
      <c r="M656" s="1"/>
      <c r="N656" s="1"/>
      <c r="O656" s="1"/>
      <c r="P656" s="1"/>
      <c r="Q656" s="1"/>
      <c r="R656" s="1"/>
      <c r="S656" s="1"/>
    </row>
    <row r="657">
      <c r="I657" s="1"/>
      <c r="J657" s="1"/>
      <c r="K657" s="1"/>
      <c r="L657" s="1"/>
      <c r="M657" s="1"/>
      <c r="N657" s="1"/>
      <c r="O657" s="1"/>
      <c r="P657" s="1"/>
      <c r="Q657" s="1"/>
      <c r="R657" s="1"/>
      <c r="S657" s="1"/>
    </row>
    <row r="658">
      <c r="I658" s="1"/>
      <c r="J658" s="1"/>
      <c r="K658" s="1"/>
      <c r="L658" s="1"/>
      <c r="M658" s="1"/>
      <c r="N658" s="1"/>
      <c r="O658" s="1"/>
      <c r="P658" s="1"/>
      <c r="Q658" s="1"/>
      <c r="R658" s="1"/>
      <c r="S658" s="1"/>
    </row>
    <row r="659">
      <c r="I659" s="1"/>
      <c r="J659" s="1"/>
      <c r="K659" s="1"/>
      <c r="L659" s="1"/>
      <c r="M659" s="1"/>
      <c r="N659" s="1"/>
      <c r="O659" s="1"/>
      <c r="P659" s="1"/>
      <c r="Q659" s="1"/>
      <c r="R659" s="1"/>
      <c r="S659" s="1"/>
    </row>
    <row r="660">
      <c r="I660" s="1"/>
      <c r="J660" s="1"/>
      <c r="K660" s="1"/>
      <c r="L660" s="1"/>
      <c r="M660" s="1"/>
      <c r="N660" s="1"/>
      <c r="O660" s="1"/>
      <c r="P660" s="1"/>
      <c r="Q660" s="1"/>
      <c r="R660" s="1"/>
      <c r="S660" s="1"/>
    </row>
    <row r="661">
      <c r="I661" s="1"/>
      <c r="J661" s="1"/>
      <c r="K661" s="1"/>
      <c r="L661" s="1"/>
      <c r="M661" s="1"/>
      <c r="N661" s="1"/>
      <c r="O661" s="1"/>
      <c r="P661" s="1"/>
      <c r="Q661" s="1"/>
      <c r="R661" s="1"/>
      <c r="S661" s="1"/>
    </row>
    <row r="662">
      <c r="I662" s="1"/>
      <c r="J662" s="1"/>
      <c r="K662" s="1"/>
      <c r="L662" s="1"/>
      <c r="M662" s="1"/>
      <c r="N662" s="1"/>
      <c r="O662" s="1"/>
      <c r="P662" s="1"/>
      <c r="Q662" s="1"/>
      <c r="R662" s="1"/>
      <c r="S662" s="1"/>
    </row>
    <row r="663">
      <c r="I663" s="1"/>
      <c r="J663" s="1"/>
      <c r="K663" s="1"/>
      <c r="L663" s="1"/>
      <c r="M663" s="1"/>
      <c r="N663" s="1"/>
      <c r="O663" s="1"/>
      <c r="P663" s="1"/>
      <c r="Q663" s="1"/>
      <c r="R663" s="1"/>
      <c r="S663" s="1"/>
    </row>
    <row r="664">
      <c r="I664" s="1"/>
      <c r="J664" s="1"/>
      <c r="K664" s="1"/>
      <c r="L664" s="1"/>
      <c r="M664" s="1"/>
      <c r="N664" s="1"/>
      <c r="O664" s="1"/>
      <c r="P664" s="1"/>
      <c r="Q664" s="1"/>
      <c r="R664" s="1"/>
      <c r="S664" s="1"/>
    </row>
    <row r="665">
      <c r="I665" s="1"/>
      <c r="J665" s="1"/>
      <c r="K665" s="1"/>
      <c r="L665" s="1"/>
      <c r="M665" s="1"/>
      <c r="N665" s="1"/>
      <c r="O665" s="1"/>
      <c r="P665" s="1"/>
      <c r="Q665" s="1"/>
      <c r="R665" s="1"/>
      <c r="S665" s="1"/>
    </row>
    <row r="666">
      <c r="I666" s="1"/>
      <c r="J666" s="1"/>
      <c r="K666" s="1"/>
      <c r="L666" s="1"/>
      <c r="M666" s="1"/>
      <c r="N666" s="1"/>
      <c r="O666" s="1"/>
      <c r="P666" s="1"/>
      <c r="Q666" s="1"/>
      <c r="R666" s="1"/>
      <c r="S666" s="1"/>
    </row>
    <row r="667">
      <c r="I667" s="1"/>
      <c r="J667" s="1"/>
      <c r="K667" s="1"/>
      <c r="L667" s="1"/>
      <c r="M667" s="1"/>
      <c r="N667" s="1"/>
      <c r="O667" s="1"/>
      <c r="P667" s="1"/>
      <c r="Q667" s="1"/>
      <c r="R667" s="1"/>
      <c r="S667" s="1"/>
    </row>
    <row r="668">
      <c r="I668" s="1"/>
      <c r="J668" s="1"/>
      <c r="K668" s="1"/>
      <c r="L668" s="1"/>
      <c r="M668" s="1"/>
      <c r="N668" s="1"/>
      <c r="O668" s="1"/>
      <c r="P668" s="1"/>
      <c r="Q668" s="1"/>
      <c r="R668" s="1"/>
      <c r="S668" s="1"/>
    </row>
    <row r="669">
      <c r="I669" s="1"/>
      <c r="J669" s="1"/>
      <c r="K669" s="1"/>
      <c r="L669" s="1"/>
      <c r="M669" s="1"/>
      <c r="N669" s="1"/>
      <c r="O669" s="1"/>
      <c r="P669" s="1"/>
      <c r="Q669" s="1"/>
      <c r="R669" s="1"/>
      <c r="S669" s="1"/>
    </row>
    <row r="670">
      <c r="I670" s="1"/>
      <c r="J670" s="1"/>
      <c r="K670" s="1"/>
      <c r="L670" s="1"/>
      <c r="M670" s="1"/>
      <c r="N670" s="1"/>
      <c r="O670" s="1"/>
      <c r="P670" s="1"/>
      <c r="Q670" s="1"/>
      <c r="R670" s="1"/>
      <c r="S670" s="1"/>
    </row>
    <row r="671">
      <c r="I671" s="1"/>
      <c r="J671" s="1"/>
      <c r="K671" s="1"/>
      <c r="L671" s="1"/>
      <c r="M671" s="1"/>
      <c r="N671" s="1"/>
      <c r="O671" s="1"/>
      <c r="P671" s="1"/>
      <c r="Q671" s="1"/>
      <c r="R671" s="1"/>
      <c r="S671" s="1"/>
    </row>
    <row r="672">
      <c r="I672" s="1"/>
      <c r="J672" s="1"/>
      <c r="K672" s="1"/>
      <c r="L672" s="1"/>
      <c r="M672" s="1"/>
      <c r="N672" s="1"/>
      <c r="O672" s="1"/>
      <c r="P672" s="1"/>
      <c r="Q672" s="1"/>
      <c r="R672" s="1"/>
      <c r="S672" s="1"/>
    </row>
    <row r="673">
      <c r="I673" s="1"/>
      <c r="J673" s="1"/>
      <c r="K673" s="1"/>
      <c r="L673" s="1"/>
      <c r="M673" s="1"/>
      <c r="N673" s="1"/>
      <c r="O673" s="1"/>
      <c r="P673" s="1"/>
      <c r="Q673" s="1"/>
      <c r="R673" s="1"/>
      <c r="S673" s="1"/>
    </row>
    <row r="674">
      <c r="I674" s="1"/>
      <c r="J674" s="1"/>
      <c r="K674" s="1"/>
      <c r="L674" s="1"/>
      <c r="M674" s="1"/>
      <c r="N674" s="1"/>
      <c r="O674" s="1"/>
      <c r="P674" s="1"/>
      <c r="Q674" s="1"/>
      <c r="R674" s="1"/>
      <c r="S674" s="1"/>
    </row>
    <row r="675">
      <c r="I675" s="1"/>
      <c r="J675" s="1"/>
      <c r="K675" s="1"/>
      <c r="L675" s="1"/>
      <c r="M675" s="1"/>
      <c r="N675" s="1"/>
      <c r="O675" s="1"/>
      <c r="P675" s="1"/>
      <c r="Q675" s="1"/>
      <c r="R675" s="1"/>
      <c r="S675" s="1"/>
    </row>
    <row r="676">
      <c r="I676" s="1"/>
      <c r="J676" s="1"/>
      <c r="K676" s="1"/>
      <c r="L676" s="1"/>
      <c r="M676" s="1"/>
      <c r="N676" s="1"/>
      <c r="O676" s="1"/>
      <c r="P676" s="1"/>
      <c r="Q676" s="1"/>
      <c r="R676" s="1"/>
      <c r="S676" s="1"/>
    </row>
    <row r="677">
      <c r="I677" s="1"/>
      <c r="J677" s="1"/>
      <c r="K677" s="1"/>
      <c r="L677" s="1"/>
      <c r="M677" s="1"/>
      <c r="N677" s="1"/>
      <c r="O677" s="1"/>
      <c r="P677" s="1"/>
      <c r="Q677" s="1"/>
      <c r="R677" s="1"/>
      <c r="S677" s="1"/>
    </row>
    <row r="678">
      <c r="I678" s="1"/>
      <c r="J678" s="1"/>
      <c r="K678" s="1"/>
      <c r="L678" s="1"/>
      <c r="M678" s="1"/>
      <c r="N678" s="1"/>
      <c r="O678" s="1"/>
      <c r="P678" s="1"/>
      <c r="Q678" s="1"/>
      <c r="R678" s="1"/>
      <c r="S678" s="1"/>
    </row>
    <row r="679">
      <c r="I679" s="1"/>
      <c r="J679" s="1"/>
      <c r="K679" s="1"/>
      <c r="L679" s="1"/>
      <c r="M679" s="1"/>
      <c r="N679" s="1"/>
      <c r="O679" s="1"/>
      <c r="P679" s="1"/>
      <c r="Q679" s="1"/>
      <c r="R679" s="1"/>
      <c r="S679" s="1"/>
    </row>
    <row r="680">
      <c r="I680" s="1"/>
      <c r="J680" s="1"/>
      <c r="K680" s="1"/>
      <c r="L680" s="1"/>
      <c r="M680" s="1"/>
      <c r="N680" s="1"/>
      <c r="O680" s="1"/>
      <c r="P680" s="1"/>
      <c r="Q680" s="1"/>
      <c r="R680" s="1"/>
      <c r="S680" s="1"/>
    </row>
    <row r="681">
      <c r="I681" s="1"/>
      <c r="J681" s="1"/>
      <c r="K681" s="1"/>
      <c r="L681" s="1"/>
      <c r="M681" s="1"/>
      <c r="N681" s="1"/>
      <c r="O681" s="1"/>
      <c r="P681" s="1"/>
      <c r="Q681" s="1"/>
      <c r="R681" s="1"/>
      <c r="S681" s="1"/>
    </row>
    <row r="682">
      <c r="I682" s="1"/>
      <c r="J682" s="1"/>
      <c r="K682" s="1"/>
      <c r="L682" s="1"/>
      <c r="M682" s="1"/>
      <c r="N682" s="1"/>
      <c r="O682" s="1"/>
      <c r="P682" s="1"/>
      <c r="Q682" s="1"/>
      <c r="R682" s="1"/>
      <c r="S682" s="1"/>
    </row>
    <row r="683">
      <c r="I683" s="1"/>
      <c r="J683" s="1"/>
      <c r="K683" s="1"/>
      <c r="L683" s="1"/>
      <c r="M683" s="1"/>
      <c r="N683" s="1"/>
      <c r="O683" s="1"/>
      <c r="P683" s="1"/>
      <c r="Q683" s="1"/>
      <c r="R683" s="1"/>
      <c r="S683" s="1"/>
    </row>
    <row r="684">
      <c r="I684" s="1"/>
      <c r="J684" s="1"/>
      <c r="K684" s="1"/>
      <c r="L684" s="1"/>
      <c r="M684" s="1"/>
      <c r="N684" s="1"/>
      <c r="O684" s="1"/>
      <c r="P684" s="1"/>
      <c r="Q684" s="1"/>
      <c r="R684" s="1"/>
      <c r="S684" s="1"/>
    </row>
    <row r="685">
      <c r="I685" s="1"/>
      <c r="J685" s="1"/>
      <c r="K685" s="1"/>
      <c r="L685" s="1"/>
      <c r="M685" s="1"/>
      <c r="N685" s="1"/>
      <c r="O685" s="1"/>
      <c r="P685" s="1"/>
      <c r="Q685" s="1"/>
      <c r="R685" s="1"/>
      <c r="S685" s="1"/>
    </row>
    <row r="686">
      <c r="I686" s="1"/>
      <c r="J686" s="1"/>
      <c r="K686" s="1"/>
      <c r="L686" s="1"/>
      <c r="M686" s="1"/>
      <c r="N686" s="1"/>
      <c r="O686" s="1"/>
      <c r="P686" s="1"/>
      <c r="Q686" s="1"/>
      <c r="R686" s="1"/>
      <c r="S686" s="1"/>
    </row>
    <row r="687">
      <c r="I687" s="1"/>
      <c r="J687" s="1"/>
      <c r="K687" s="1"/>
      <c r="L687" s="1"/>
      <c r="M687" s="1"/>
      <c r="N687" s="1"/>
      <c r="O687" s="1"/>
      <c r="P687" s="1"/>
      <c r="Q687" s="1"/>
      <c r="R687" s="1"/>
      <c r="S687" s="1"/>
    </row>
    <row r="688">
      <c r="I688" s="1"/>
      <c r="J688" s="1"/>
      <c r="K688" s="1"/>
      <c r="L688" s="1"/>
      <c r="M688" s="1"/>
      <c r="N688" s="1"/>
      <c r="O688" s="1"/>
      <c r="P688" s="1"/>
      <c r="Q688" s="1"/>
      <c r="R688" s="1"/>
      <c r="S688" s="1"/>
    </row>
    <row r="689">
      <c r="I689" s="1"/>
      <c r="J689" s="1"/>
      <c r="K689" s="1"/>
      <c r="L689" s="1"/>
      <c r="M689" s="1"/>
      <c r="N689" s="1"/>
      <c r="O689" s="1"/>
      <c r="P689" s="1"/>
      <c r="Q689" s="1"/>
      <c r="R689" s="1"/>
      <c r="S689" s="1"/>
    </row>
    <row r="690">
      <c r="I690" s="1"/>
      <c r="J690" s="1"/>
      <c r="K690" s="1"/>
      <c r="L690" s="1"/>
      <c r="M690" s="1"/>
      <c r="N690" s="1"/>
      <c r="O690" s="1"/>
      <c r="P690" s="1"/>
      <c r="Q690" s="1"/>
      <c r="R690" s="1"/>
      <c r="S690" s="1"/>
    </row>
    <row r="691">
      <c r="I691" s="1"/>
      <c r="J691" s="1"/>
      <c r="K691" s="1"/>
      <c r="L691" s="1"/>
      <c r="M691" s="1"/>
      <c r="N691" s="1"/>
      <c r="O691" s="1"/>
      <c r="P691" s="1"/>
      <c r="Q691" s="1"/>
      <c r="R691" s="1"/>
      <c r="S691" s="1"/>
    </row>
    <row r="692">
      <c r="I692" s="1"/>
      <c r="J692" s="1"/>
      <c r="K692" s="1"/>
      <c r="L692" s="1"/>
      <c r="M692" s="1"/>
      <c r="N692" s="1"/>
      <c r="O692" s="1"/>
      <c r="P692" s="1"/>
      <c r="Q692" s="1"/>
      <c r="R692" s="1"/>
      <c r="S692" s="1"/>
    </row>
    <row r="693">
      <c r="I693" s="1"/>
      <c r="J693" s="1"/>
      <c r="K693" s="1"/>
      <c r="L693" s="1"/>
      <c r="M693" s="1"/>
      <c r="N693" s="1"/>
      <c r="O693" s="1"/>
      <c r="P693" s="1"/>
      <c r="Q693" s="1"/>
      <c r="R693" s="1"/>
      <c r="S693" s="1"/>
    </row>
    <row r="694">
      <c r="I694" s="1"/>
      <c r="J694" s="1"/>
      <c r="K694" s="1"/>
      <c r="L694" s="1"/>
      <c r="M694" s="1"/>
      <c r="N694" s="1"/>
      <c r="O694" s="1"/>
      <c r="P694" s="1"/>
      <c r="Q694" s="1"/>
      <c r="R694" s="1"/>
      <c r="S694" s="1"/>
    </row>
    <row r="695">
      <c r="I695" s="1"/>
      <c r="J695" s="1"/>
      <c r="K695" s="1"/>
      <c r="L695" s="1"/>
      <c r="M695" s="1"/>
      <c r="N695" s="1"/>
      <c r="O695" s="1"/>
      <c r="P695" s="1"/>
      <c r="Q695" s="1"/>
      <c r="R695" s="1"/>
      <c r="S695" s="1"/>
    </row>
    <row r="696">
      <c r="I696" s="1"/>
      <c r="J696" s="1"/>
      <c r="K696" s="1"/>
      <c r="L696" s="1"/>
      <c r="M696" s="1"/>
      <c r="N696" s="1"/>
      <c r="O696" s="1"/>
      <c r="P696" s="1"/>
      <c r="Q696" s="1"/>
      <c r="R696" s="1"/>
      <c r="S696" s="1"/>
    </row>
    <row r="697">
      <c r="I697" s="1"/>
      <c r="J697" s="1"/>
      <c r="K697" s="1"/>
      <c r="L697" s="1"/>
      <c r="M697" s="1"/>
      <c r="N697" s="1"/>
      <c r="O697" s="1"/>
      <c r="P697" s="1"/>
      <c r="Q697" s="1"/>
      <c r="R697" s="1"/>
      <c r="S697" s="1"/>
    </row>
    <row r="698">
      <c r="I698" s="1"/>
      <c r="J698" s="1"/>
      <c r="K698" s="1"/>
      <c r="L698" s="1"/>
      <c r="M698" s="1"/>
      <c r="N698" s="1"/>
      <c r="O698" s="1"/>
      <c r="P698" s="1"/>
      <c r="Q698" s="1"/>
      <c r="R698" s="1"/>
      <c r="S698" s="1"/>
    </row>
    <row r="699">
      <c r="I699" s="1"/>
      <c r="J699" s="1"/>
      <c r="K699" s="1"/>
      <c r="L699" s="1"/>
      <c r="M699" s="1"/>
      <c r="N699" s="1"/>
      <c r="O699" s="1"/>
      <c r="P699" s="1"/>
      <c r="Q699" s="1"/>
      <c r="R699" s="1"/>
      <c r="S699" s="1"/>
    </row>
    <row r="700">
      <c r="I700" s="1"/>
      <c r="J700" s="1"/>
      <c r="K700" s="1"/>
      <c r="L700" s="1"/>
      <c r="M700" s="1"/>
      <c r="N700" s="1"/>
      <c r="O700" s="1"/>
      <c r="P700" s="1"/>
      <c r="Q700" s="1"/>
      <c r="R700" s="1"/>
      <c r="S700" s="1"/>
    </row>
    <row r="701">
      <c r="I701" s="1"/>
      <c r="J701" s="1"/>
      <c r="K701" s="1"/>
      <c r="L701" s="1"/>
      <c r="M701" s="1"/>
      <c r="N701" s="1"/>
      <c r="O701" s="1"/>
      <c r="P701" s="1"/>
      <c r="Q701" s="1"/>
      <c r="R701" s="1"/>
      <c r="S701" s="1"/>
    </row>
    <row r="702">
      <c r="I702" s="1"/>
      <c r="J702" s="1"/>
      <c r="K702" s="1"/>
      <c r="L702" s="1"/>
      <c r="M702" s="1"/>
      <c r="N702" s="1"/>
      <c r="O702" s="1"/>
      <c r="P702" s="1"/>
      <c r="Q702" s="1"/>
      <c r="R702" s="1"/>
      <c r="S702" s="1"/>
    </row>
    <row r="703">
      <c r="I703" s="1"/>
      <c r="J703" s="1"/>
      <c r="K703" s="1"/>
      <c r="L703" s="1"/>
      <c r="M703" s="1"/>
      <c r="N703" s="1"/>
      <c r="O703" s="1"/>
      <c r="P703" s="1"/>
      <c r="Q703" s="1"/>
      <c r="R703" s="1"/>
      <c r="S703" s="1"/>
    </row>
    <row r="704">
      <c r="I704" s="1"/>
      <c r="J704" s="1"/>
      <c r="K704" s="1"/>
      <c r="L704" s="1"/>
      <c r="M704" s="1"/>
      <c r="N704" s="1"/>
      <c r="O704" s="1"/>
      <c r="P704" s="1"/>
      <c r="Q704" s="1"/>
      <c r="R704" s="1"/>
      <c r="S704" s="1"/>
    </row>
    <row r="705">
      <c r="I705" s="1"/>
      <c r="J705" s="1"/>
      <c r="K705" s="1"/>
      <c r="L705" s="1"/>
      <c r="M705" s="1"/>
      <c r="N705" s="1"/>
      <c r="O705" s="1"/>
      <c r="P705" s="1"/>
      <c r="Q705" s="1"/>
      <c r="R705" s="1"/>
      <c r="S705" s="1"/>
    </row>
    <row r="706">
      <c r="I706" s="1"/>
      <c r="J706" s="1"/>
      <c r="K706" s="1"/>
      <c r="L706" s="1"/>
      <c r="M706" s="1"/>
      <c r="N706" s="1"/>
      <c r="O706" s="1"/>
      <c r="P706" s="1"/>
      <c r="Q706" s="1"/>
      <c r="R706" s="1"/>
      <c r="S706" s="1"/>
    </row>
    <row r="707">
      <c r="I707" s="1"/>
      <c r="J707" s="1"/>
      <c r="K707" s="1"/>
      <c r="L707" s="1"/>
      <c r="M707" s="1"/>
      <c r="N707" s="1"/>
      <c r="O707" s="1"/>
      <c r="P707" s="1"/>
      <c r="Q707" s="1"/>
      <c r="R707" s="1"/>
      <c r="S707" s="1"/>
    </row>
    <row r="708">
      <c r="I708" s="1"/>
      <c r="J708" s="1"/>
      <c r="K708" s="1"/>
      <c r="L708" s="1"/>
      <c r="M708" s="1"/>
      <c r="N708" s="1"/>
      <c r="O708" s="1"/>
      <c r="P708" s="1"/>
      <c r="Q708" s="1"/>
      <c r="R708" s="1"/>
      <c r="S708" s="1"/>
    </row>
    <row r="709">
      <c r="I709" s="1"/>
      <c r="J709" s="1"/>
      <c r="K709" s="1"/>
      <c r="L709" s="1"/>
      <c r="M709" s="1"/>
      <c r="N709" s="1"/>
      <c r="O709" s="1"/>
      <c r="P709" s="1"/>
      <c r="Q709" s="1"/>
      <c r="R709" s="1"/>
      <c r="S709" s="1"/>
    </row>
    <row r="710">
      <c r="I710" s="1"/>
      <c r="J710" s="1"/>
      <c r="K710" s="1"/>
      <c r="L710" s="1"/>
      <c r="M710" s="1"/>
      <c r="N710" s="1"/>
      <c r="O710" s="1"/>
      <c r="P710" s="1"/>
      <c r="Q710" s="1"/>
      <c r="R710" s="1"/>
      <c r="S710" s="1"/>
    </row>
    <row r="711">
      <c r="I711" s="1"/>
      <c r="J711" s="1"/>
      <c r="K711" s="1"/>
      <c r="L711" s="1"/>
      <c r="M711" s="1"/>
      <c r="N711" s="1"/>
      <c r="O711" s="1"/>
      <c r="P711" s="1"/>
      <c r="Q711" s="1"/>
      <c r="R711" s="1"/>
      <c r="S711" s="1"/>
    </row>
    <row r="712">
      <c r="I712" s="1"/>
      <c r="J712" s="1"/>
      <c r="K712" s="1"/>
      <c r="L712" s="1"/>
      <c r="M712" s="1"/>
      <c r="N712" s="1"/>
      <c r="O712" s="1"/>
      <c r="P712" s="1"/>
      <c r="Q712" s="1"/>
      <c r="R712" s="1"/>
      <c r="S712" s="1"/>
    </row>
    <row r="713">
      <c r="I713" s="1"/>
      <c r="J713" s="1"/>
      <c r="K713" s="1"/>
      <c r="L713" s="1"/>
      <c r="M713" s="1"/>
      <c r="N713" s="1"/>
      <c r="O713" s="1"/>
      <c r="P713" s="1"/>
      <c r="Q713" s="1"/>
      <c r="R713" s="1"/>
      <c r="S713" s="1"/>
    </row>
    <row r="714">
      <c r="I714" s="1"/>
      <c r="J714" s="1"/>
      <c r="K714" s="1"/>
      <c r="L714" s="1"/>
      <c r="M714" s="1"/>
      <c r="N714" s="1"/>
      <c r="O714" s="1"/>
      <c r="P714" s="1"/>
      <c r="Q714" s="1"/>
      <c r="R714" s="1"/>
      <c r="S714" s="1"/>
    </row>
    <row r="715">
      <c r="I715" s="1"/>
      <c r="J715" s="1"/>
      <c r="K715" s="1"/>
      <c r="L715" s="1"/>
      <c r="M715" s="1"/>
      <c r="N715" s="1"/>
      <c r="O715" s="1"/>
      <c r="P715" s="1"/>
      <c r="Q715" s="1"/>
      <c r="R715" s="1"/>
      <c r="S715" s="1"/>
    </row>
    <row r="716">
      <c r="I716" s="1"/>
      <c r="J716" s="1"/>
      <c r="K716" s="1"/>
      <c r="L716" s="1"/>
      <c r="M716" s="1"/>
      <c r="N716" s="1"/>
      <c r="O716" s="1"/>
      <c r="P716" s="1"/>
      <c r="Q716" s="1"/>
      <c r="R716" s="1"/>
      <c r="S716" s="1"/>
    </row>
    <row r="717">
      <c r="I717" s="1"/>
      <c r="J717" s="1"/>
      <c r="K717" s="1"/>
      <c r="L717" s="1"/>
      <c r="M717" s="1"/>
      <c r="N717" s="1"/>
      <c r="O717" s="1"/>
      <c r="P717" s="1"/>
      <c r="Q717" s="1"/>
      <c r="R717" s="1"/>
      <c r="S717" s="1"/>
    </row>
    <row r="718">
      <c r="I718" s="1"/>
      <c r="J718" s="1"/>
      <c r="K718" s="1"/>
      <c r="L718" s="1"/>
      <c r="M718" s="1"/>
      <c r="N718" s="1"/>
      <c r="O718" s="1"/>
      <c r="P718" s="1"/>
      <c r="Q718" s="1"/>
      <c r="R718" s="1"/>
      <c r="S718" s="1"/>
    </row>
    <row r="719">
      <c r="I719" s="1"/>
      <c r="J719" s="1"/>
      <c r="K719" s="1"/>
      <c r="L719" s="1"/>
      <c r="M719" s="1"/>
      <c r="N719" s="1"/>
      <c r="O719" s="1"/>
      <c r="P719" s="1"/>
      <c r="Q719" s="1"/>
      <c r="R719" s="1"/>
      <c r="S719" s="1"/>
    </row>
    <row r="720">
      <c r="I720" s="1"/>
      <c r="J720" s="1"/>
      <c r="K720" s="1"/>
      <c r="L720" s="1"/>
      <c r="M720" s="1"/>
      <c r="N720" s="1"/>
      <c r="O720" s="1"/>
      <c r="P720" s="1"/>
      <c r="Q720" s="1"/>
      <c r="R720" s="1"/>
      <c r="S720" s="1"/>
    </row>
    <row r="721">
      <c r="I721" s="1"/>
      <c r="J721" s="1"/>
      <c r="K721" s="1"/>
      <c r="L721" s="1"/>
      <c r="M721" s="1"/>
      <c r="N721" s="1"/>
      <c r="O721" s="1"/>
      <c r="P721" s="1"/>
      <c r="Q721" s="1"/>
      <c r="R721" s="1"/>
      <c r="S721" s="1"/>
    </row>
    <row r="722">
      <c r="I722" s="1"/>
      <c r="J722" s="1"/>
      <c r="K722" s="1"/>
      <c r="L722" s="1"/>
      <c r="M722" s="1"/>
      <c r="N722" s="1"/>
      <c r="O722" s="1"/>
      <c r="P722" s="1"/>
      <c r="Q722" s="1"/>
      <c r="R722" s="1"/>
      <c r="S722" s="1"/>
    </row>
    <row r="723">
      <c r="I723" s="1"/>
      <c r="J723" s="1"/>
      <c r="K723" s="1"/>
      <c r="L723" s="1"/>
      <c r="M723" s="1"/>
      <c r="N723" s="1"/>
      <c r="O723" s="1"/>
      <c r="P723" s="1"/>
      <c r="Q723" s="1"/>
      <c r="R723" s="1"/>
      <c r="S723" s="1"/>
    </row>
    <row r="724">
      <c r="I724" s="1"/>
      <c r="J724" s="1"/>
      <c r="K724" s="1"/>
      <c r="L724" s="1"/>
      <c r="M724" s="1"/>
      <c r="N724" s="1"/>
      <c r="O724" s="1"/>
      <c r="P724" s="1"/>
      <c r="Q724" s="1"/>
      <c r="R724" s="1"/>
      <c r="S724" s="1"/>
    </row>
    <row r="725">
      <c r="I725" s="1"/>
      <c r="J725" s="1"/>
      <c r="K725" s="1"/>
      <c r="L725" s="1"/>
      <c r="M725" s="1"/>
      <c r="N725" s="1"/>
      <c r="O725" s="1"/>
      <c r="P725" s="1"/>
      <c r="Q725" s="1"/>
      <c r="R725" s="1"/>
      <c r="S725" s="1"/>
    </row>
    <row r="726">
      <c r="I726" s="1"/>
      <c r="J726" s="1"/>
      <c r="K726" s="1"/>
      <c r="L726" s="1"/>
      <c r="M726" s="1"/>
      <c r="N726" s="1"/>
      <c r="O726" s="1"/>
      <c r="P726" s="1"/>
      <c r="Q726" s="1"/>
      <c r="R726" s="1"/>
      <c r="S726" s="1"/>
    </row>
    <row r="727">
      <c r="I727" s="1"/>
      <c r="J727" s="1"/>
      <c r="K727" s="1"/>
      <c r="L727" s="1"/>
      <c r="M727" s="1"/>
      <c r="N727" s="1"/>
      <c r="O727" s="1"/>
      <c r="P727" s="1"/>
      <c r="Q727" s="1"/>
      <c r="R727" s="1"/>
      <c r="S727" s="1"/>
    </row>
    <row r="728">
      <c r="I728" s="1"/>
      <c r="J728" s="1"/>
      <c r="K728" s="1"/>
      <c r="L728" s="1"/>
      <c r="M728" s="1"/>
      <c r="N728" s="1"/>
      <c r="O728" s="1"/>
      <c r="P728" s="1"/>
      <c r="Q728" s="1"/>
      <c r="R728" s="1"/>
      <c r="S728" s="1"/>
    </row>
    <row r="729">
      <c r="I729" s="1"/>
      <c r="J729" s="1"/>
      <c r="K729" s="1"/>
      <c r="L729" s="1"/>
      <c r="M729" s="1"/>
      <c r="N729" s="1"/>
      <c r="O729" s="1"/>
      <c r="P729" s="1"/>
      <c r="Q729" s="1"/>
      <c r="R729" s="1"/>
      <c r="S729" s="1"/>
    </row>
    <row r="730">
      <c r="I730" s="1"/>
      <c r="J730" s="1"/>
      <c r="K730" s="1"/>
      <c r="L730" s="1"/>
      <c r="M730" s="1"/>
      <c r="N730" s="1"/>
      <c r="O730" s="1"/>
      <c r="P730" s="1"/>
      <c r="Q730" s="1"/>
      <c r="R730" s="1"/>
      <c r="S730" s="1"/>
    </row>
    <row r="731">
      <c r="I731" s="1"/>
      <c r="J731" s="1"/>
      <c r="K731" s="1"/>
      <c r="L731" s="1"/>
      <c r="M731" s="1"/>
      <c r="N731" s="1"/>
      <c r="O731" s="1"/>
      <c r="P731" s="1"/>
      <c r="Q731" s="1"/>
      <c r="R731" s="1"/>
      <c r="S731" s="1"/>
    </row>
    <row r="732">
      <c r="I732" s="1"/>
      <c r="J732" s="1"/>
      <c r="K732" s="1"/>
      <c r="L732" s="1"/>
      <c r="M732" s="1"/>
      <c r="N732" s="1"/>
      <c r="O732" s="1"/>
      <c r="P732" s="1"/>
      <c r="Q732" s="1"/>
      <c r="R732" s="1"/>
      <c r="S732" s="1"/>
    </row>
    <row r="733">
      <c r="I733" s="1"/>
      <c r="J733" s="1"/>
      <c r="K733" s="1"/>
      <c r="L733" s="1"/>
      <c r="M733" s="1"/>
      <c r="N733" s="1"/>
      <c r="O733" s="1"/>
      <c r="P733" s="1"/>
      <c r="Q733" s="1"/>
      <c r="R733" s="1"/>
      <c r="S733" s="1"/>
    </row>
    <row r="734">
      <c r="I734" s="1"/>
      <c r="J734" s="1"/>
      <c r="K734" s="1"/>
      <c r="L734" s="1"/>
      <c r="M734" s="1"/>
      <c r="N734" s="1"/>
      <c r="O734" s="1"/>
      <c r="P734" s="1"/>
      <c r="Q734" s="1"/>
      <c r="R734" s="1"/>
      <c r="S734" s="1"/>
    </row>
    <row r="735">
      <c r="I735" s="1"/>
      <c r="J735" s="1"/>
      <c r="K735" s="1"/>
      <c r="L735" s="1"/>
      <c r="M735" s="1"/>
      <c r="N735" s="1"/>
      <c r="O735" s="1"/>
      <c r="P735" s="1"/>
      <c r="Q735" s="1"/>
      <c r="R735" s="1"/>
      <c r="S735" s="1"/>
    </row>
    <row r="736">
      <c r="I736" s="1"/>
      <c r="J736" s="1"/>
      <c r="K736" s="1"/>
      <c r="L736" s="1"/>
      <c r="M736" s="1"/>
      <c r="N736" s="1"/>
      <c r="O736" s="1"/>
      <c r="P736" s="1"/>
      <c r="Q736" s="1"/>
      <c r="R736" s="1"/>
      <c r="S736" s="1"/>
    </row>
    <row r="737">
      <c r="I737" s="1"/>
      <c r="J737" s="1"/>
      <c r="K737" s="1"/>
      <c r="L737" s="1"/>
      <c r="M737" s="1"/>
      <c r="N737" s="1"/>
      <c r="O737" s="1"/>
      <c r="P737" s="1"/>
      <c r="Q737" s="1"/>
      <c r="R737" s="1"/>
      <c r="S737" s="1"/>
    </row>
    <row r="738">
      <c r="I738" s="1"/>
      <c r="J738" s="1"/>
      <c r="K738" s="1"/>
      <c r="L738" s="1"/>
      <c r="M738" s="1"/>
      <c r="N738" s="1"/>
      <c r="O738" s="1"/>
      <c r="P738" s="1"/>
      <c r="Q738" s="1"/>
      <c r="R738" s="1"/>
      <c r="S738" s="1"/>
    </row>
    <row r="739">
      <c r="I739" s="1"/>
      <c r="J739" s="1"/>
      <c r="K739" s="1"/>
      <c r="L739" s="1"/>
      <c r="M739" s="1"/>
      <c r="N739" s="1"/>
      <c r="O739" s="1"/>
      <c r="P739" s="1"/>
      <c r="Q739" s="1"/>
      <c r="R739" s="1"/>
      <c r="S739" s="1"/>
    </row>
    <row r="740">
      <c r="I740" s="1"/>
      <c r="J740" s="1"/>
      <c r="K740" s="1"/>
      <c r="L740" s="1"/>
      <c r="M740" s="1"/>
      <c r="N740" s="1"/>
      <c r="O740" s="1"/>
      <c r="P740" s="1"/>
      <c r="Q740" s="1"/>
      <c r="R740" s="1"/>
      <c r="S740" s="1"/>
    </row>
    <row r="741">
      <c r="I741" s="1"/>
      <c r="J741" s="1"/>
      <c r="K741" s="1"/>
      <c r="L741" s="1"/>
      <c r="M741" s="1"/>
      <c r="N741" s="1"/>
      <c r="O741" s="1"/>
      <c r="P741" s="1"/>
      <c r="Q741" s="1"/>
      <c r="R741" s="1"/>
      <c r="S741" s="1"/>
    </row>
    <row r="742">
      <c r="I742" s="1"/>
      <c r="J742" s="1"/>
      <c r="K742" s="1"/>
      <c r="L742" s="1"/>
      <c r="M742" s="1"/>
      <c r="N742" s="1"/>
      <c r="O742" s="1"/>
      <c r="P742" s="1"/>
      <c r="Q742" s="1"/>
      <c r="R742" s="1"/>
      <c r="S742" s="1"/>
    </row>
    <row r="743">
      <c r="I743" s="1"/>
      <c r="J743" s="1"/>
      <c r="K743" s="1"/>
      <c r="L743" s="1"/>
      <c r="M743" s="1"/>
      <c r="N743" s="1"/>
      <c r="O743" s="1"/>
      <c r="P743" s="1"/>
      <c r="Q743" s="1"/>
      <c r="R743" s="1"/>
      <c r="S743" s="1"/>
    </row>
    <row r="744">
      <c r="I744" s="1"/>
      <c r="J744" s="1"/>
      <c r="K744" s="1"/>
      <c r="L744" s="1"/>
      <c r="M744" s="1"/>
      <c r="N744" s="1"/>
      <c r="O744" s="1"/>
      <c r="P744" s="1"/>
      <c r="Q744" s="1"/>
      <c r="R744" s="1"/>
      <c r="S744" s="1"/>
    </row>
    <row r="745">
      <c r="I745" s="1"/>
      <c r="J745" s="1"/>
      <c r="K745" s="1"/>
      <c r="L745" s="1"/>
      <c r="M745" s="1"/>
      <c r="N745" s="1"/>
      <c r="O745" s="1"/>
      <c r="P745" s="1"/>
      <c r="Q745" s="1"/>
      <c r="R745" s="1"/>
      <c r="S745" s="1"/>
    </row>
    <row r="746">
      <c r="I746" s="1"/>
      <c r="J746" s="1"/>
      <c r="K746" s="1"/>
      <c r="L746" s="1"/>
      <c r="M746" s="1"/>
      <c r="N746" s="1"/>
      <c r="O746" s="1"/>
      <c r="P746" s="1"/>
      <c r="Q746" s="1"/>
      <c r="R746" s="1"/>
      <c r="S746" s="1"/>
    </row>
    <row r="747">
      <c r="I747" s="1"/>
      <c r="J747" s="1"/>
      <c r="K747" s="1"/>
      <c r="L747" s="1"/>
      <c r="M747" s="1"/>
      <c r="N747" s="1"/>
      <c r="O747" s="1"/>
      <c r="P747" s="1"/>
      <c r="Q747" s="1"/>
      <c r="R747" s="1"/>
      <c r="S747" s="1"/>
    </row>
    <row r="748">
      <c r="I748" s="1"/>
      <c r="J748" s="1"/>
      <c r="K748" s="1"/>
      <c r="L748" s="1"/>
      <c r="M748" s="1"/>
      <c r="N748" s="1"/>
      <c r="O748" s="1"/>
      <c r="P748" s="1"/>
      <c r="Q748" s="1"/>
      <c r="R748" s="1"/>
      <c r="S748" s="1"/>
    </row>
    <row r="749">
      <c r="I749" s="1"/>
      <c r="J749" s="1"/>
      <c r="K749" s="1"/>
      <c r="L749" s="1"/>
      <c r="M749" s="1"/>
      <c r="N749" s="1"/>
      <c r="O749" s="1"/>
      <c r="P749" s="1"/>
      <c r="Q749" s="1"/>
      <c r="R749" s="1"/>
      <c r="S749" s="1"/>
    </row>
    <row r="750">
      <c r="I750" s="1"/>
      <c r="J750" s="1"/>
      <c r="K750" s="1"/>
      <c r="L750" s="1"/>
      <c r="M750" s="1"/>
      <c r="N750" s="1"/>
      <c r="O750" s="1"/>
      <c r="P750" s="1"/>
      <c r="Q750" s="1"/>
      <c r="R750" s="1"/>
      <c r="S750" s="1"/>
    </row>
    <row r="751">
      <c r="I751" s="1"/>
      <c r="J751" s="1"/>
      <c r="K751" s="1"/>
      <c r="L751" s="1"/>
      <c r="M751" s="1"/>
      <c r="N751" s="1"/>
      <c r="O751" s="1"/>
      <c r="P751" s="1"/>
      <c r="Q751" s="1"/>
      <c r="R751" s="1"/>
      <c r="S751" s="1"/>
    </row>
    <row r="752">
      <c r="I752" s="1"/>
      <c r="J752" s="1"/>
      <c r="K752" s="1"/>
      <c r="L752" s="1"/>
      <c r="M752" s="1"/>
      <c r="N752" s="1"/>
      <c r="O752" s="1"/>
      <c r="P752" s="1"/>
      <c r="Q752" s="1"/>
      <c r="R752" s="1"/>
      <c r="S752" s="1"/>
    </row>
    <row r="753">
      <c r="I753" s="1"/>
      <c r="J753" s="1"/>
      <c r="K753" s="1"/>
      <c r="L753" s="1"/>
      <c r="M753" s="1"/>
      <c r="N753" s="1"/>
      <c r="O753" s="1"/>
      <c r="P753" s="1"/>
      <c r="Q753" s="1"/>
      <c r="R753" s="1"/>
      <c r="S753" s="1"/>
    </row>
    <row r="754">
      <c r="I754" s="1"/>
      <c r="J754" s="1"/>
      <c r="K754" s="1"/>
      <c r="L754" s="1"/>
      <c r="M754" s="1"/>
      <c r="N754" s="1"/>
      <c r="O754" s="1"/>
      <c r="P754" s="1"/>
      <c r="Q754" s="1"/>
      <c r="R754" s="1"/>
      <c r="S754" s="1"/>
    </row>
    <row r="755">
      <c r="I755" s="1"/>
      <c r="J755" s="1"/>
      <c r="K755" s="1"/>
      <c r="L755" s="1"/>
      <c r="M755" s="1"/>
      <c r="N755" s="1"/>
      <c r="O755" s="1"/>
      <c r="P755" s="1"/>
      <c r="Q755" s="1"/>
      <c r="R755" s="1"/>
      <c r="S755" s="1"/>
    </row>
    <row r="756">
      <c r="I756" s="1"/>
      <c r="J756" s="1"/>
      <c r="K756" s="1"/>
      <c r="L756" s="1"/>
      <c r="M756" s="1"/>
      <c r="N756" s="1"/>
      <c r="O756" s="1"/>
      <c r="P756" s="1"/>
      <c r="Q756" s="1"/>
      <c r="R756" s="1"/>
      <c r="S756" s="1"/>
    </row>
    <row r="757">
      <c r="I757" s="1"/>
      <c r="J757" s="1"/>
      <c r="K757" s="1"/>
      <c r="L757" s="1"/>
      <c r="M757" s="1"/>
      <c r="N757" s="1"/>
      <c r="O757" s="1"/>
      <c r="P757" s="1"/>
      <c r="Q757" s="1"/>
      <c r="R757" s="1"/>
      <c r="S757" s="1"/>
    </row>
    <row r="758">
      <c r="I758" s="1"/>
      <c r="J758" s="1"/>
      <c r="K758" s="1"/>
      <c r="L758" s="1"/>
      <c r="M758" s="1"/>
      <c r="N758" s="1"/>
      <c r="O758" s="1"/>
      <c r="P758" s="1"/>
      <c r="Q758" s="1"/>
      <c r="R758" s="1"/>
      <c r="S758" s="1"/>
    </row>
    <row r="759">
      <c r="I759" s="1"/>
      <c r="J759" s="1"/>
      <c r="K759" s="1"/>
      <c r="L759" s="1"/>
      <c r="M759" s="1"/>
      <c r="N759" s="1"/>
      <c r="O759" s="1"/>
      <c r="P759" s="1"/>
      <c r="Q759" s="1"/>
      <c r="R759" s="1"/>
      <c r="S759" s="1"/>
    </row>
    <row r="760">
      <c r="I760" s="1"/>
      <c r="J760" s="1"/>
      <c r="K760" s="1"/>
      <c r="L760" s="1"/>
      <c r="M760" s="1"/>
      <c r="N760" s="1"/>
      <c r="O760" s="1"/>
      <c r="P760" s="1"/>
      <c r="Q760" s="1"/>
      <c r="R760" s="1"/>
      <c r="S760" s="1"/>
    </row>
    <row r="761">
      <c r="I761" s="1"/>
      <c r="J761" s="1"/>
      <c r="K761" s="1"/>
      <c r="L761" s="1"/>
      <c r="M761" s="1"/>
      <c r="N761" s="1"/>
      <c r="O761" s="1"/>
      <c r="P761" s="1"/>
      <c r="Q761" s="1"/>
      <c r="R761" s="1"/>
      <c r="S761" s="1"/>
    </row>
    <row r="762">
      <c r="I762" s="1"/>
      <c r="J762" s="1"/>
      <c r="K762" s="1"/>
      <c r="L762" s="1"/>
      <c r="M762" s="1"/>
      <c r="N762" s="1"/>
      <c r="O762" s="1"/>
      <c r="P762" s="1"/>
      <c r="Q762" s="1"/>
      <c r="R762" s="1"/>
      <c r="S762" s="1"/>
    </row>
    <row r="763">
      <c r="I763" s="1"/>
      <c r="J763" s="1"/>
      <c r="K763" s="1"/>
      <c r="L763" s="1"/>
      <c r="M763" s="1"/>
      <c r="N763" s="1"/>
      <c r="O763" s="1"/>
      <c r="P763" s="1"/>
      <c r="Q763" s="1"/>
      <c r="R763" s="1"/>
      <c r="S763" s="1"/>
    </row>
    <row r="764">
      <c r="I764" s="1"/>
      <c r="J764" s="1"/>
      <c r="K764" s="1"/>
      <c r="L764" s="1"/>
      <c r="M764" s="1"/>
      <c r="N764" s="1"/>
      <c r="O764" s="1"/>
      <c r="P764" s="1"/>
      <c r="Q764" s="1"/>
      <c r="R764" s="1"/>
      <c r="S764" s="1"/>
    </row>
    <row r="765">
      <c r="I765" s="1"/>
      <c r="J765" s="1"/>
      <c r="K765" s="1"/>
      <c r="L765" s="1"/>
      <c r="M765" s="1"/>
      <c r="N765" s="1"/>
      <c r="O765" s="1"/>
      <c r="P765" s="1"/>
      <c r="Q765" s="1"/>
      <c r="R765" s="1"/>
      <c r="S765" s="1"/>
    </row>
    <row r="766">
      <c r="I766" s="1"/>
      <c r="J766" s="1"/>
      <c r="K766" s="1"/>
      <c r="L766" s="1"/>
      <c r="M766" s="1"/>
      <c r="N766" s="1"/>
      <c r="O766" s="1"/>
      <c r="P766" s="1"/>
      <c r="Q766" s="1"/>
      <c r="R766" s="1"/>
      <c r="S766" s="1"/>
    </row>
    <row r="767">
      <c r="I767" s="1"/>
      <c r="J767" s="1"/>
      <c r="K767" s="1"/>
      <c r="L767" s="1"/>
      <c r="M767" s="1"/>
      <c r="N767" s="1"/>
      <c r="O767" s="1"/>
      <c r="P767" s="1"/>
      <c r="Q767" s="1"/>
      <c r="R767" s="1"/>
      <c r="S767" s="1"/>
    </row>
    <row r="768">
      <c r="I768" s="1"/>
      <c r="J768" s="1"/>
      <c r="K768" s="1"/>
      <c r="L768" s="1"/>
      <c r="M768" s="1"/>
      <c r="N768" s="1"/>
      <c r="O768" s="1"/>
      <c r="P768" s="1"/>
      <c r="Q768" s="1"/>
      <c r="R768" s="1"/>
      <c r="S768" s="1"/>
    </row>
    <row r="769">
      <c r="I769" s="1"/>
      <c r="J769" s="1"/>
      <c r="K769" s="1"/>
      <c r="L769" s="1"/>
      <c r="M769" s="1"/>
      <c r="N769" s="1"/>
      <c r="O769" s="1"/>
      <c r="P769" s="1"/>
      <c r="Q769" s="1"/>
      <c r="R769" s="1"/>
      <c r="S769" s="1"/>
    </row>
    <row r="770">
      <c r="I770" s="1"/>
      <c r="J770" s="1"/>
      <c r="K770" s="1"/>
      <c r="L770" s="1"/>
      <c r="M770" s="1"/>
      <c r="N770" s="1"/>
      <c r="O770" s="1"/>
      <c r="P770" s="1"/>
      <c r="Q770" s="1"/>
      <c r="R770" s="1"/>
      <c r="S770" s="1"/>
    </row>
    <row r="771">
      <c r="I771" s="1"/>
      <c r="J771" s="1"/>
      <c r="K771" s="1"/>
      <c r="L771" s="1"/>
      <c r="M771" s="1"/>
      <c r="N771" s="1"/>
      <c r="O771" s="1"/>
      <c r="P771" s="1"/>
      <c r="Q771" s="1"/>
      <c r="R771" s="1"/>
      <c r="S771" s="1"/>
    </row>
    <row r="772">
      <c r="I772" s="1"/>
      <c r="J772" s="1"/>
      <c r="K772" s="1"/>
      <c r="L772" s="1"/>
      <c r="M772" s="1"/>
      <c r="N772" s="1"/>
      <c r="O772" s="1"/>
      <c r="P772" s="1"/>
      <c r="Q772" s="1"/>
      <c r="R772" s="1"/>
      <c r="S772" s="1"/>
    </row>
    <row r="773">
      <c r="I773" s="1"/>
      <c r="J773" s="1"/>
      <c r="K773" s="1"/>
      <c r="L773" s="1"/>
      <c r="M773" s="1"/>
      <c r="N773" s="1"/>
      <c r="O773" s="1"/>
      <c r="P773" s="1"/>
      <c r="Q773" s="1"/>
      <c r="R773" s="1"/>
      <c r="S773" s="1"/>
    </row>
    <row r="774">
      <c r="I774" s="1"/>
      <c r="J774" s="1"/>
      <c r="K774" s="1"/>
      <c r="L774" s="1"/>
      <c r="M774" s="1"/>
      <c r="N774" s="1"/>
      <c r="O774" s="1"/>
      <c r="P774" s="1"/>
      <c r="Q774" s="1"/>
      <c r="R774" s="1"/>
      <c r="S774" s="1"/>
    </row>
    <row r="775">
      <c r="I775" s="1"/>
      <c r="J775" s="1"/>
      <c r="K775" s="1"/>
      <c r="L775" s="1"/>
      <c r="M775" s="1"/>
      <c r="N775" s="1"/>
      <c r="O775" s="1"/>
      <c r="P775" s="1"/>
      <c r="Q775" s="1"/>
      <c r="R775" s="1"/>
      <c r="S775" s="1"/>
    </row>
    <row r="776">
      <c r="I776" s="1"/>
      <c r="J776" s="1"/>
      <c r="K776" s="1"/>
      <c r="L776" s="1"/>
      <c r="M776" s="1"/>
      <c r="N776" s="1"/>
      <c r="O776" s="1"/>
      <c r="P776" s="1"/>
      <c r="Q776" s="1"/>
      <c r="R776" s="1"/>
      <c r="S776" s="1"/>
    </row>
    <row r="777">
      <c r="I777" s="1"/>
      <c r="J777" s="1"/>
      <c r="K777" s="1"/>
      <c r="L777" s="1"/>
      <c r="M777" s="1"/>
      <c r="N777" s="1"/>
      <c r="O777" s="1"/>
      <c r="P777" s="1"/>
      <c r="Q777" s="1"/>
      <c r="R777" s="1"/>
      <c r="S777" s="1"/>
    </row>
    <row r="778">
      <c r="I778" s="1"/>
      <c r="J778" s="1"/>
      <c r="K778" s="1"/>
      <c r="L778" s="1"/>
      <c r="M778" s="1"/>
      <c r="N778" s="1"/>
      <c r="O778" s="1"/>
      <c r="P778" s="1"/>
      <c r="Q778" s="1"/>
      <c r="R778" s="1"/>
      <c r="S778" s="1"/>
    </row>
    <row r="779">
      <c r="I779" s="1"/>
      <c r="J779" s="1"/>
      <c r="K779" s="1"/>
      <c r="L779" s="1"/>
      <c r="M779" s="1"/>
      <c r="N779" s="1"/>
      <c r="O779" s="1"/>
      <c r="P779" s="1"/>
      <c r="Q779" s="1"/>
      <c r="R779" s="1"/>
      <c r="S779" s="1"/>
    </row>
    <row r="780">
      <c r="I780" s="1"/>
      <c r="J780" s="1"/>
      <c r="K780" s="1"/>
      <c r="L780" s="1"/>
      <c r="M780" s="1"/>
      <c r="N780" s="1"/>
      <c r="O780" s="1"/>
      <c r="P780" s="1"/>
      <c r="Q780" s="1"/>
      <c r="R780" s="1"/>
      <c r="S780" s="1"/>
    </row>
    <row r="781">
      <c r="I781" s="1"/>
      <c r="J781" s="1"/>
      <c r="K781" s="1"/>
      <c r="L781" s="1"/>
      <c r="M781" s="1"/>
      <c r="N781" s="1"/>
      <c r="O781" s="1"/>
      <c r="P781" s="1"/>
      <c r="Q781" s="1"/>
      <c r="R781" s="1"/>
      <c r="S781" s="1"/>
    </row>
    <row r="782">
      <c r="I782" s="1"/>
      <c r="J782" s="1"/>
      <c r="K782" s="1"/>
      <c r="L782" s="1"/>
      <c r="M782" s="1"/>
      <c r="N782" s="1"/>
      <c r="O782" s="1"/>
      <c r="P782" s="1"/>
      <c r="Q782" s="1"/>
      <c r="R782" s="1"/>
      <c r="S782" s="1"/>
    </row>
    <row r="783">
      <c r="I783" s="1"/>
      <c r="J783" s="1"/>
      <c r="K783" s="1"/>
      <c r="L783" s="1"/>
      <c r="M783" s="1"/>
      <c r="N783" s="1"/>
      <c r="O783" s="1"/>
      <c r="P783" s="1"/>
      <c r="Q783" s="1"/>
      <c r="R783" s="1"/>
      <c r="S783" s="1"/>
    </row>
    <row r="784">
      <c r="I784" s="1"/>
      <c r="J784" s="1"/>
      <c r="K784" s="1"/>
      <c r="L784" s="1"/>
      <c r="M784" s="1"/>
      <c r="N784" s="1"/>
      <c r="O784" s="1"/>
      <c r="P784" s="1"/>
      <c r="Q784" s="1"/>
      <c r="R784" s="1"/>
      <c r="S784" s="1"/>
    </row>
    <row r="785">
      <c r="I785" s="1"/>
      <c r="J785" s="1"/>
      <c r="K785" s="1"/>
      <c r="L785" s="1"/>
      <c r="M785" s="1"/>
      <c r="N785" s="1"/>
      <c r="O785" s="1"/>
      <c r="P785" s="1"/>
      <c r="Q785" s="1"/>
      <c r="R785" s="1"/>
      <c r="S785" s="1"/>
    </row>
    <row r="786">
      <c r="I786" s="1"/>
      <c r="J786" s="1"/>
      <c r="K786" s="1"/>
      <c r="L786" s="1"/>
      <c r="M786" s="1"/>
      <c r="N786" s="1"/>
      <c r="O786" s="1"/>
      <c r="P786" s="1"/>
      <c r="Q786" s="1"/>
      <c r="R786" s="1"/>
      <c r="S786" s="1"/>
    </row>
    <row r="787">
      <c r="I787" s="1"/>
      <c r="J787" s="1"/>
      <c r="K787" s="1"/>
      <c r="L787" s="1"/>
      <c r="M787" s="1"/>
      <c r="N787" s="1"/>
      <c r="O787" s="1"/>
      <c r="P787" s="1"/>
      <c r="Q787" s="1"/>
      <c r="R787" s="1"/>
      <c r="S787" s="1"/>
    </row>
    <row r="788">
      <c r="I788" s="1"/>
      <c r="J788" s="1"/>
      <c r="K788" s="1"/>
      <c r="L788" s="1"/>
      <c r="M788" s="1"/>
      <c r="N788" s="1"/>
      <c r="O788" s="1"/>
      <c r="P788" s="1"/>
      <c r="Q788" s="1"/>
      <c r="R788" s="1"/>
      <c r="S788" s="1"/>
    </row>
    <row r="789">
      <c r="I789" s="1"/>
      <c r="J789" s="1"/>
      <c r="K789" s="1"/>
      <c r="L789" s="1"/>
      <c r="M789" s="1"/>
      <c r="N789" s="1"/>
      <c r="O789" s="1"/>
      <c r="P789" s="1"/>
      <c r="Q789" s="1"/>
      <c r="R789" s="1"/>
      <c r="S789" s="1"/>
    </row>
    <row r="790">
      <c r="I790" s="1"/>
      <c r="J790" s="1"/>
      <c r="K790" s="1"/>
      <c r="L790" s="1"/>
      <c r="M790" s="1"/>
      <c r="N790" s="1"/>
      <c r="O790" s="1"/>
      <c r="P790" s="1"/>
      <c r="Q790" s="1"/>
      <c r="R790" s="1"/>
      <c r="S790" s="1"/>
    </row>
    <row r="791">
      <c r="I791" s="1"/>
      <c r="J791" s="1"/>
      <c r="K791" s="1"/>
      <c r="L791" s="1"/>
      <c r="M791" s="1"/>
      <c r="N791" s="1"/>
      <c r="O791" s="1"/>
      <c r="P791" s="1"/>
      <c r="Q791" s="1"/>
      <c r="R791" s="1"/>
      <c r="S791" s="1"/>
    </row>
    <row r="792">
      <c r="I792" s="1"/>
      <c r="J792" s="1"/>
      <c r="K792" s="1"/>
      <c r="L792" s="1"/>
      <c r="M792" s="1"/>
      <c r="N792" s="1"/>
      <c r="O792" s="1"/>
      <c r="P792" s="1"/>
      <c r="Q792" s="1"/>
      <c r="R792" s="1"/>
      <c r="S792" s="1"/>
    </row>
    <row r="793">
      <c r="I793" s="1"/>
      <c r="J793" s="1"/>
      <c r="K793" s="1"/>
      <c r="L793" s="1"/>
      <c r="M793" s="1"/>
      <c r="N793" s="1"/>
      <c r="O793" s="1"/>
      <c r="P793" s="1"/>
      <c r="Q793" s="1"/>
      <c r="R793" s="1"/>
      <c r="S793" s="1"/>
    </row>
    <row r="794">
      <c r="I794" s="1"/>
      <c r="J794" s="1"/>
      <c r="K794" s="1"/>
      <c r="L794" s="1"/>
      <c r="M794" s="1"/>
      <c r="N794" s="1"/>
      <c r="O794" s="1"/>
      <c r="P794" s="1"/>
      <c r="Q794" s="1"/>
      <c r="R794" s="1"/>
      <c r="S794" s="1"/>
    </row>
    <row r="795">
      <c r="I795" s="1"/>
      <c r="J795" s="1"/>
      <c r="K795" s="1"/>
      <c r="L795" s="1"/>
      <c r="M795" s="1"/>
      <c r="N795" s="1"/>
      <c r="O795" s="1"/>
      <c r="P795" s="1"/>
      <c r="Q795" s="1"/>
      <c r="R795" s="1"/>
      <c r="S795" s="1"/>
    </row>
    <row r="796">
      <c r="I796" s="1"/>
      <c r="J796" s="1"/>
      <c r="K796" s="1"/>
      <c r="L796" s="1"/>
      <c r="M796" s="1"/>
      <c r="N796" s="1"/>
      <c r="O796" s="1"/>
      <c r="P796" s="1"/>
      <c r="Q796" s="1"/>
      <c r="R796" s="1"/>
      <c r="S796" s="1"/>
    </row>
    <row r="797">
      <c r="I797" s="1"/>
      <c r="J797" s="1"/>
      <c r="K797" s="1"/>
      <c r="L797" s="1"/>
      <c r="M797" s="1"/>
      <c r="N797" s="1"/>
      <c r="O797" s="1"/>
      <c r="P797" s="1"/>
      <c r="Q797" s="1"/>
      <c r="R797" s="1"/>
      <c r="S797" s="1"/>
    </row>
    <row r="798">
      <c r="I798" s="1"/>
      <c r="J798" s="1"/>
      <c r="K798" s="1"/>
      <c r="L798" s="1"/>
      <c r="M798" s="1"/>
      <c r="N798" s="1"/>
      <c r="O798" s="1"/>
      <c r="P798" s="1"/>
      <c r="Q798" s="1"/>
      <c r="R798" s="1"/>
      <c r="S798" s="1"/>
    </row>
    <row r="799">
      <c r="I799" s="1"/>
      <c r="J799" s="1"/>
      <c r="K799" s="1"/>
      <c r="L799" s="1"/>
      <c r="M799" s="1"/>
      <c r="N799" s="1"/>
      <c r="O799" s="1"/>
      <c r="P799" s="1"/>
      <c r="Q799" s="1"/>
      <c r="R799" s="1"/>
      <c r="S799" s="1"/>
    </row>
    <row r="800">
      <c r="I800" s="1"/>
      <c r="J800" s="1"/>
      <c r="K800" s="1"/>
      <c r="L800" s="1"/>
      <c r="M800" s="1"/>
      <c r="N800" s="1"/>
      <c r="O800" s="1"/>
      <c r="P800" s="1"/>
      <c r="Q800" s="1"/>
      <c r="R800" s="1"/>
      <c r="S800" s="1"/>
    </row>
    <row r="801">
      <c r="I801" s="1"/>
      <c r="J801" s="1"/>
      <c r="K801" s="1"/>
      <c r="L801" s="1"/>
      <c r="M801" s="1"/>
      <c r="N801" s="1"/>
      <c r="O801" s="1"/>
      <c r="P801" s="1"/>
      <c r="Q801" s="1"/>
      <c r="R801" s="1"/>
      <c r="S801" s="1"/>
    </row>
    <row r="802">
      <c r="I802" s="1"/>
      <c r="J802" s="1"/>
      <c r="K802" s="1"/>
      <c r="L802" s="1"/>
      <c r="M802" s="1"/>
      <c r="N802" s="1"/>
      <c r="O802" s="1"/>
      <c r="P802" s="1"/>
      <c r="Q802" s="1"/>
      <c r="R802" s="1"/>
      <c r="S802" s="1"/>
    </row>
    <row r="803">
      <c r="I803" s="1"/>
      <c r="J803" s="1"/>
      <c r="K803" s="1"/>
      <c r="L803" s="1"/>
      <c r="M803" s="1"/>
      <c r="N803" s="1"/>
      <c r="O803" s="1"/>
      <c r="P803" s="1"/>
      <c r="Q803" s="1"/>
      <c r="R803" s="1"/>
      <c r="S803" s="1"/>
    </row>
    <row r="804">
      <c r="I804" s="1"/>
      <c r="J804" s="1"/>
      <c r="K804" s="1"/>
      <c r="L804" s="1"/>
      <c r="M804" s="1"/>
      <c r="N804" s="1"/>
      <c r="O804" s="1"/>
      <c r="P804" s="1"/>
      <c r="Q804" s="1"/>
      <c r="R804" s="1"/>
      <c r="S804" s="1"/>
    </row>
    <row r="805">
      <c r="I805" s="1"/>
      <c r="J805" s="1"/>
      <c r="K805" s="1"/>
      <c r="L805" s="1"/>
      <c r="M805" s="1"/>
      <c r="N805" s="1"/>
      <c r="O805" s="1"/>
      <c r="P805" s="1"/>
      <c r="Q805" s="1"/>
      <c r="R805" s="1"/>
      <c r="S805" s="1"/>
    </row>
    <row r="806">
      <c r="I806" s="1"/>
      <c r="J806" s="1"/>
      <c r="K806" s="1"/>
      <c r="L806" s="1"/>
      <c r="M806" s="1"/>
      <c r="N806" s="1"/>
      <c r="O806" s="1"/>
      <c r="P806" s="1"/>
      <c r="Q806" s="1"/>
      <c r="R806" s="1"/>
      <c r="S806" s="1"/>
    </row>
    <row r="807">
      <c r="I807" s="1"/>
      <c r="J807" s="1"/>
      <c r="K807" s="1"/>
      <c r="L807" s="1"/>
      <c r="M807" s="1"/>
      <c r="N807" s="1"/>
      <c r="O807" s="1"/>
      <c r="P807" s="1"/>
      <c r="Q807" s="1"/>
      <c r="R807" s="1"/>
      <c r="S807" s="1"/>
    </row>
    <row r="808">
      <c r="I808" s="1"/>
      <c r="J808" s="1"/>
      <c r="K808" s="1"/>
      <c r="L808" s="1"/>
      <c r="M808" s="1"/>
      <c r="N808" s="1"/>
      <c r="O808" s="1"/>
      <c r="P808" s="1"/>
      <c r="Q808" s="1"/>
      <c r="R808" s="1"/>
      <c r="S808" s="1"/>
    </row>
    <row r="809">
      <c r="I809" s="1"/>
      <c r="J809" s="1"/>
      <c r="K809" s="1"/>
      <c r="L809" s="1"/>
      <c r="M809" s="1"/>
      <c r="N809" s="1"/>
      <c r="O809" s="1"/>
      <c r="P809" s="1"/>
      <c r="Q809" s="1"/>
      <c r="R809" s="1"/>
      <c r="S809" s="1"/>
    </row>
    <row r="810">
      <c r="I810" s="1"/>
      <c r="J810" s="1"/>
      <c r="K810" s="1"/>
      <c r="L810" s="1"/>
      <c r="M810" s="1"/>
      <c r="N810" s="1"/>
      <c r="O810" s="1"/>
      <c r="P810" s="1"/>
      <c r="Q810" s="1"/>
      <c r="R810" s="1"/>
      <c r="S810" s="1"/>
    </row>
    <row r="811">
      <c r="I811" s="1"/>
      <c r="J811" s="1"/>
      <c r="K811" s="1"/>
      <c r="L811" s="1"/>
      <c r="M811" s="1"/>
      <c r="N811" s="1"/>
      <c r="O811" s="1"/>
      <c r="P811" s="1"/>
      <c r="Q811" s="1"/>
      <c r="R811" s="1"/>
      <c r="S811" s="1"/>
    </row>
    <row r="812">
      <c r="I812" s="1"/>
      <c r="J812" s="1"/>
      <c r="K812" s="1"/>
      <c r="L812" s="1"/>
      <c r="M812" s="1"/>
      <c r="N812" s="1"/>
      <c r="O812" s="1"/>
      <c r="P812" s="1"/>
      <c r="Q812" s="1"/>
      <c r="R812" s="1"/>
      <c r="S812" s="1"/>
    </row>
    <row r="813">
      <c r="I813" s="1"/>
      <c r="J813" s="1"/>
      <c r="K813" s="1"/>
      <c r="L813" s="1"/>
      <c r="M813" s="1"/>
      <c r="N813" s="1"/>
      <c r="O813" s="1"/>
      <c r="P813" s="1"/>
      <c r="Q813" s="1"/>
      <c r="R813" s="1"/>
      <c r="S813" s="1"/>
    </row>
    <row r="814">
      <c r="I814" s="1"/>
      <c r="J814" s="1"/>
      <c r="K814" s="1"/>
      <c r="L814" s="1"/>
      <c r="M814" s="1"/>
      <c r="N814" s="1"/>
      <c r="O814" s="1"/>
      <c r="P814" s="1"/>
      <c r="Q814" s="1"/>
      <c r="R814" s="1"/>
      <c r="S814" s="1"/>
    </row>
    <row r="815">
      <c r="I815" s="1"/>
      <c r="J815" s="1"/>
      <c r="K815" s="1"/>
      <c r="L815" s="1"/>
      <c r="M815" s="1"/>
      <c r="N815" s="1"/>
      <c r="O815" s="1"/>
      <c r="P815" s="1"/>
      <c r="Q815" s="1"/>
      <c r="R815" s="1"/>
      <c r="S815" s="1"/>
    </row>
    <row r="816">
      <c r="I816" s="1"/>
      <c r="J816" s="1"/>
      <c r="K816" s="1"/>
      <c r="L816" s="1"/>
      <c r="M816" s="1"/>
      <c r="N816" s="1"/>
      <c r="O816" s="1"/>
      <c r="P816" s="1"/>
      <c r="Q816" s="1"/>
      <c r="R816" s="1"/>
      <c r="S816" s="1"/>
    </row>
    <row r="817">
      <c r="I817" s="1"/>
      <c r="J817" s="1"/>
      <c r="K817" s="1"/>
      <c r="L817" s="1"/>
      <c r="M817" s="1"/>
      <c r="N817" s="1"/>
      <c r="O817" s="1"/>
      <c r="P817" s="1"/>
      <c r="Q817" s="1"/>
      <c r="R817" s="1"/>
      <c r="S817" s="1"/>
    </row>
    <row r="818">
      <c r="I818" s="1"/>
      <c r="J818" s="1"/>
      <c r="K818" s="1"/>
      <c r="L818" s="1"/>
      <c r="M818" s="1"/>
      <c r="N818" s="1"/>
      <c r="O818" s="1"/>
      <c r="P818" s="1"/>
      <c r="Q818" s="1"/>
      <c r="R818" s="1"/>
      <c r="S818" s="1"/>
    </row>
    <row r="819">
      <c r="I819" s="1"/>
      <c r="J819" s="1"/>
      <c r="K819" s="1"/>
      <c r="L819" s="1"/>
      <c r="M819" s="1"/>
      <c r="N819" s="1"/>
      <c r="O819" s="1"/>
      <c r="P819" s="1"/>
      <c r="Q819" s="1"/>
      <c r="R819" s="1"/>
      <c r="S819" s="1"/>
    </row>
    <row r="820">
      <c r="I820" s="1"/>
      <c r="J820" s="1"/>
      <c r="K820" s="1"/>
      <c r="L820" s="1"/>
      <c r="M820" s="1"/>
      <c r="N820" s="1"/>
      <c r="O820" s="1"/>
      <c r="P820" s="1"/>
      <c r="Q820" s="1"/>
      <c r="R820" s="1"/>
      <c r="S820" s="1"/>
    </row>
    <row r="821">
      <c r="I821" s="1"/>
      <c r="J821" s="1"/>
      <c r="K821" s="1"/>
      <c r="L821" s="1"/>
      <c r="M821" s="1"/>
      <c r="N821" s="1"/>
      <c r="O821" s="1"/>
      <c r="P821" s="1"/>
      <c r="Q821" s="1"/>
      <c r="R821" s="1"/>
      <c r="S821" s="1"/>
    </row>
    <row r="822">
      <c r="I822" s="1"/>
      <c r="J822" s="1"/>
      <c r="K822" s="1"/>
      <c r="L822" s="1"/>
      <c r="M822" s="1"/>
      <c r="N822" s="1"/>
      <c r="O822" s="1"/>
      <c r="P822" s="1"/>
      <c r="Q822" s="1"/>
      <c r="R822" s="1"/>
      <c r="S822" s="1"/>
    </row>
    <row r="823">
      <c r="I823" s="1"/>
      <c r="J823" s="1"/>
      <c r="K823" s="1"/>
      <c r="L823" s="1"/>
      <c r="M823" s="1"/>
      <c r="N823" s="1"/>
      <c r="O823" s="1"/>
      <c r="P823" s="1"/>
      <c r="Q823" s="1"/>
      <c r="R823" s="1"/>
      <c r="S823" s="1"/>
    </row>
    <row r="824">
      <c r="I824" s="1"/>
      <c r="J824" s="1"/>
      <c r="K824" s="1"/>
      <c r="L824" s="1"/>
      <c r="M824" s="1"/>
      <c r="N824" s="1"/>
      <c r="O824" s="1"/>
      <c r="P824" s="1"/>
      <c r="Q824" s="1"/>
      <c r="R824" s="1"/>
      <c r="S824" s="1"/>
    </row>
    <row r="825">
      <c r="I825" s="1"/>
      <c r="J825" s="1"/>
      <c r="K825" s="1"/>
      <c r="L825" s="1"/>
      <c r="M825" s="1"/>
      <c r="N825" s="1"/>
      <c r="O825" s="1"/>
      <c r="P825" s="1"/>
      <c r="Q825" s="1"/>
      <c r="R825" s="1"/>
      <c r="S825" s="1"/>
    </row>
    <row r="826">
      <c r="I826" s="1"/>
      <c r="J826" s="1"/>
      <c r="K826" s="1"/>
      <c r="L826" s="1"/>
      <c r="M826" s="1"/>
      <c r="N826" s="1"/>
      <c r="O826" s="1"/>
      <c r="P826" s="1"/>
      <c r="Q826" s="1"/>
      <c r="R826" s="1"/>
      <c r="S826" s="1"/>
    </row>
    <row r="827">
      <c r="I827" s="1"/>
      <c r="J827" s="1"/>
      <c r="K827" s="1"/>
      <c r="L827" s="1"/>
      <c r="M827" s="1"/>
      <c r="N827" s="1"/>
      <c r="O827" s="1"/>
      <c r="P827" s="1"/>
      <c r="Q827" s="1"/>
      <c r="R827" s="1"/>
      <c r="S827" s="1"/>
    </row>
    <row r="828">
      <c r="I828" s="1"/>
      <c r="J828" s="1"/>
      <c r="K828" s="1"/>
      <c r="L828" s="1"/>
      <c r="M828" s="1"/>
      <c r="N828" s="1"/>
      <c r="O828" s="1"/>
      <c r="P828" s="1"/>
      <c r="Q828" s="1"/>
      <c r="R828" s="1"/>
      <c r="S828" s="1"/>
    </row>
    <row r="829">
      <c r="I829" s="1"/>
      <c r="J829" s="1"/>
      <c r="K829" s="1"/>
      <c r="L829" s="1"/>
      <c r="M829" s="1"/>
      <c r="N829" s="1"/>
      <c r="O829" s="1"/>
      <c r="P829" s="1"/>
      <c r="Q829" s="1"/>
      <c r="R829" s="1"/>
      <c r="S829" s="1"/>
    </row>
    <row r="830">
      <c r="I830" s="1"/>
      <c r="J830" s="1"/>
      <c r="K830" s="1"/>
      <c r="L830" s="1"/>
      <c r="M830" s="1"/>
      <c r="N830" s="1"/>
      <c r="O830" s="1"/>
      <c r="P830" s="1"/>
      <c r="Q830" s="1"/>
      <c r="R830" s="1"/>
      <c r="S830" s="1"/>
    </row>
    <row r="831">
      <c r="I831" s="1"/>
      <c r="J831" s="1"/>
      <c r="K831" s="1"/>
      <c r="L831" s="1"/>
      <c r="M831" s="1"/>
      <c r="N831" s="1"/>
      <c r="O831" s="1"/>
      <c r="P831" s="1"/>
      <c r="Q831" s="1"/>
      <c r="R831" s="1"/>
      <c r="S831" s="1"/>
    </row>
    <row r="832">
      <c r="I832" s="1"/>
      <c r="J832" s="1"/>
      <c r="K832" s="1"/>
      <c r="L832" s="1"/>
      <c r="M832" s="1"/>
      <c r="N832" s="1"/>
      <c r="O832" s="1"/>
      <c r="P832" s="1"/>
      <c r="Q832" s="1"/>
      <c r="R832" s="1"/>
      <c r="S832" s="1"/>
    </row>
    <row r="833">
      <c r="I833" s="1"/>
      <c r="J833" s="1"/>
      <c r="K833" s="1"/>
      <c r="L833" s="1"/>
      <c r="M833" s="1"/>
      <c r="N833" s="1"/>
      <c r="O833" s="1"/>
      <c r="P833" s="1"/>
      <c r="Q833" s="1"/>
      <c r="R833" s="1"/>
      <c r="S833" s="1"/>
    </row>
    <row r="834">
      <c r="I834" s="1"/>
      <c r="J834" s="1"/>
      <c r="K834" s="1"/>
      <c r="L834" s="1"/>
      <c r="M834" s="1"/>
      <c r="N834" s="1"/>
      <c r="O834" s="1"/>
      <c r="P834" s="1"/>
      <c r="Q834" s="1"/>
      <c r="R834" s="1"/>
      <c r="S834" s="1"/>
    </row>
    <row r="835">
      <c r="I835" s="1"/>
      <c r="J835" s="1"/>
      <c r="K835" s="1"/>
      <c r="L835" s="1"/>
      <c r="M835" s="1"/>
      <c r="N835" s="1"/>
      <c r="O835" s="1"/>
      <c r="P835" s="1"/>
      <c r="Q835" s="1"/>
      <c r="R835" s="1"/>
      <c r="S835" s="1"/>
    </row>
    <row r="836">
      <c r="I836" s="1"/>
      <c r="J836" s="1"/>
      <c r="K836" s="1"/>
      <c r="L836" s="1"/>
      <c r="M836" s="1"/>
      <c r="N836" s="1"/>
      <c r="O836" s="1"/>
      <c r="P836" s="1"/>
      <c r="Q836" s="1"/>
      <c r="R836" s="1"/>
      <c r="S836" s="1"/>
    </row>
    <row r="837">
      <c r="I837" s="1"/>
      <c r="J837" s="1"/>
      <c r="K837" s="1"/>
      <c r="L837" s="1"/>
      <c r="M837" s="1"/>
      <c r="N837" s="1"/>
      <c r="O837" s="1"/>
      <c r="P837" s="1"/>
      <c r="Q837" s="1"/>
      <c r="R837" s="1"/>
      <c r="S837" s="1"/>
    </row>
    <row r="838">
      <c r="I838" s="1"/>
      <c r="J838" s="1"/>
      <c r="K838" s="1"/>
      <c r="L838" s="1"/>
      <c r="M838" s="1"/>
      <c r="N838" s="1"/>
      <c r="O838" s="1"/>
      <c r="P838" s="1"/>
      <c r="Q838" s="1"/>
      <c r="R838" s="1"/>
      <c r="S838" s="1"/>
    </row>
    <row r="839">
      <c r="I839" s="1"/>
      <c r="J839" s="1"/>
      <c r="K839" s="1"/>
      <c r="L839" s="1"/>
      <c r="M839" s="1"/>
      <c r="N839" s="1"/>
      <c r="O839" s="1"/>
      <c r="P839" s="1"/>
      <c r="Q839" s="1"/>
      <c r="R839" s="1"/>
      <c r="S839" s="1"/>
    </row>
    <row r="840">
      <c r="I840" s="1"/>
      <c r="J840" s="1"/>
      <c r="K840" s="1"/>
      <c r="L840" s="1"/>
      <c r="M840" s="1"/>
      <c r="N840" s="1"/>
      <c r="O840" s="1"/>
      <c r="P840" s="1"/>
      <c r="Q840" s="1"/>
      <c r="R840" s="1"/>
      <c r="S840" s="1"/>
    </row>
    <row r="841">
      <c r="I841" s="1"/>
      <c r="J841" s="1"/>
      <c r="K841" s="1"/>
      <c r="L841" s="1"/>
      <c r="M841" s="1"/>
      <c r="N841" s="1"/>
      <c r="O841" s="1"/>
      <c r="P841" s="1"/>
      <c r="Q841" s="1"/>
      <c r="R841" s="1"/>
      <c r="S841" s="1"/>
    </row>
    <row r="842">
      <c r="I842" s="1"/>
      <c r="J842" s="1"/>
      <c r="K842" s="1"/>
      <c r="L842" s="1"/>
      <c r="M842" s="1"/>
      <c r="N842" s="1"/>
      <c r="O842" s="1"/>
      <c r="P842" s="1"/>
      <c r="Q842" s="1"/>
      <c r="R842" s="1"/>
      <c r="S842" s="1"/>
    </row>
    <row r="843">
      <c r="I843" s="1"/>
      <c r="J843" s="1"/>
      <c r="K843" s="1"/>
      <c r="L843" s="1"/>
      <c r="M843" s="1"/>
      <c r="N843" s="1"/>
      <c r="O843" s="1"/>
      <c r="P843" s="1"/>
      <c r="Q843" s="1"/>
      <c r="R843" s="1"/>
      <c r="S843" s="1"/>
    </row>
    <row r="844">
      <c r="I844" s="1"/>
      <c r="J844" s="1"/>
      <c r="K844" s="1"/>
      <c r="L844" s="1"/>
      <c r="M844" s="1"/>
      <c r="N844" s="1"/>
      <c r="O844" s="1"/>
      <c r="P844" s="1"/>
      <c r="Q844" s="1"/>
      <c r="R844" s="1"/>
      <c r="S844" s="1"/>
    </row>
    <row r="845">
      <c r="I845" s="1"/>
      <c r="J845" s="1"/>
      <c r="K845" s="1"/>
      <c r="L845" s="1"/>
      <c r="M845" s="1"/>
      <c r="N845" s="1"/>
      <c r="O845" s="1"/>
      <c r="P845" s="1"/>
      <c r="Q845" s="1"/>
      <c r="R845" s="1"/>
      <c r="S845" s="1"/>
    </row>
    <row r="846">
      <c r="I846" s="1"/>
      <c r="J846" s="1"/>
      <c r="K846" s="1"/>
      <c r="L846" s="1"/>
      <c r="M846" s="1"/>
      <c r="N846" s="1"/>
      <c r="O846" s="1"/>
      <c r="P846" s="1"/>
      <c r="Q846" s="1"/>
      <c r="R846" s="1"/>
      <c r="S846" s="1"/>
    </row>
    <row r="847">
      <c r="I847" s="1"/>
      <c r="J847" s="1"/>
      <c r="K847" s="1"/>
      <c r="L847" s="1"/>
      <c r="M847" s="1"/>
      <c r="N847" s="1"/>
      <c r="O847" s="1"/>
      <c r="P847" s="1"/>
      <c r="Q847" s="1"/>
      <c r="R847" s="1"/>
      <c r="S847" s="1"/>
    </row>
    <row r="848">
      <c r="I848" s="1"/>
      <c r="J848" s="1"/>
      <c r="K848" s="1"/>
      <c r="L848" s="1"/>
      <c r="M848" s="1"/>
      <c r="N848" s="1"/>
      <c r="O848" s="1"/>
      <c r="P848" s="1"/>
      <c r="Q848" s="1"/>
      <c r="R848" s="1"/>
      <c r="S848" s="1"/>
    </row>
    <row r="849">
      <c r="I849" s="1"/>
      <c r="J849" s="1"/>
      <c r="K849" s="1"/>
      <c r="L849" s="1"/>
      <c r="M849" s="1"/>
      <c r="N849" s="1"/>
      <c r="O849" s="1"/>
      <c r="P849" s="1"/>
      <c r="Q849" s="1"/>
      <c r="R849" s="1"/>
      <c r="S849" s="1"/>
    </row>
    <row r="850">
      <c r="I850" s="1"/>
      <c r="J850" s="1"/>
      <c r="K850" s="1"/>
      <c r="L850" s="1"/>
      <c r="M850" s="1"/>
      <c r="N850" s="1"/>
      <c r="O850" s="1"/>
      <c r="P850" s="1"/>
      <c r="Q850" s="1"/>
      <c r="R850" s="1"/>
      <c r="S850" s="1"/>
    </row>
    <row r="851">
      <c r="I851" s="1"/>
      <c r="J851" s="1"/>
      <c r="K851" s="1"/>
      <c r="L851" s="1"/>
      <c r="M851" s="1"/>
      <c r="N851" s="1"/>
      <c r="O851" s="1"/>
      <c r="P851" s="1"/>
      <c r="Q851" s="1"/>
      <c r="R851" s="1"/>
      <c r="S851" s="1"/>
    </row>
    <row r="852">
      <c r="I852" s="1"/>
      <c r="J852" s="1"/>
      <c r="K852" s="1"/>
      <c r="L852" s="1"/>
      <c r="M852" s="1"/>
      <c r="N852" s="1"/>
      <c r="O852" s="1"/>
      <c r="P852" s="1"/>
      <c r="Q852" s="1"/>
      <c r="R852" s="1"/>
      <c r="S852" s="1"/>
    </row>
    <row r="853">
      <c r="I853" s="1"/>
      <c r="J853" s="1"/>
      <c r="K853" s="1"/>
      <c r="L853" s="1"/>
      <c r="M853" s="1"/>
      <c r="N853" s="1"/>
      <c r="O853" s="1"/>
      <c r="P853" s="1"/>
      <c r="Q853" s="1"/>
      <c r="R853" s="1"/>
      <c r="S853" s="1"/>
    </row>
    <row r="854">
      <c r="I854" s="1"/>
      <c r="J854" s="1"/>
      <c r="K854" s="1"/>
      <c r="L854" s="1"/>
      <c r="M854" s="1"/>
      <c r="N854" s="1"/>
      <c r="O854" s="1"/>
      <c r="P854" s="1"/>
      <c r="Q854" s="1"/>
      <c r="R854" s="1"/>
      <c r="S854" s="1"/>
    </row>
    <row r="855">
      <c r="I855" s="1"/>
      <c r="J855" s="1"/>
      <c r="K855" s="1"/>
      <c r="L855" s="1"/>
      <c r="M855" s="1"/>
      <c r="N855" s="1"/>
      <c r="O855" s="1"/>
      <c r="P855" s="1"/>
      <c r="Q855" s="1"/>
      <c r="R855" s="1"/>
      <c r="S855" s="1"/>
    </row>
    <row r="856">
      <c r="I856" s="1"/>
      <c r="J856" s="1"/>
      <c r="K856" s="1"/>
      <c r="L856" s="1"/>
      <c r="M856" s="1"/>
      <c r="N856" s="1"/>
      <c r="O856" s="1"/>
      <c r="P856" s="1"/>
      <c r="Q856" s="1"/>
      <c r="R856" s="1"/>
      <c r="S856" s="1"/>
    </row>
    <row r="857">
      <c r="I857" s="1"/>
      <c r="J857" s="1"/>
      <c r="K857" s="1"/>
      <c r="L857" s="1"/>
      <c r="M857" s="1"/>
      <c r="N857" s="1"/>
      <c r="O857" s="1"/>
      <c r="P857" s="1"/>
      <c r="Q857" s="1"/>
      <c r="R857" s="1"/>
      <c r="S857" s="1"/>
    </row>
    <row r="858">
      <c r="I858" s="1"/>
      <c r="J858" s="1"/>
      <c r="K858" s="1"/>
      <c r="L858" s="1"/>
      <c r="M858" s="1"/>
      <c r="N858" s="1"/>
      <c r="O858" s="1"/>
      <c r="P858" s="1"/>
      <c r="Q858" s="1"/>
      <c r="R858" s="1"/>
      <c r="S858" s="1"/>
    </row>
    <row r="859">
      <c r="I859" s="1"/>
      <c r="J859" s="1"/>
      <c r="K859" s="1"/>
      <c r="L859" s="1"/>
      <c r="M859" s="1"/>
      <c r="N859" s="1"/>
      <c r="O859" s="1"/>
      <c r="P859" s="1"/>
      <c r="Q859" s="1"/>
      <c r="R859" s="1"/>
      <c r="S859" s="1"/>
    </row>
    <row r="860">
      <c r="I860" s="1"/>
      <c r="J860" s="1"/>
      <c r="K860" s="1"/>
      <c r="L860" s="1"/>
      <c r="M860" s="1"/>
      <c r="N860" s="1"/>
      <c r="O860" s="1"/>
      <c r="P860" s="1"/>
      <c r="Q860" s="1"/>
      <c r="R860" s="1"/>
      <c r="S860" s="1"/>
    </row>
    <row r="861">
      <c r="I861" s="1"/>
      <c r="J861" s="1"/>
      <c r="K861" s="1"/>
      <c r="L861" s="1"/>
      <c r="M861" s="1"/>
      <c r="N861" s="1"/>
      <c r="O861" s="1"/>
      <c r="P861" s="1"/>
      <c r="Q861" s="1"/>
      <c r="R861" s="1"/>
      <c r="S861" s="1"/>
    </row>
    <row r="862">
      <c r="I862" s="1"/>
      <c r="J862" s="1"/>
      <c r="K862" s="1"/>
      <c r="L862" s="1"/>
      <c r="M862" s="1"/>
      <c r="N862" s="1"/>
      <c r="O862" s="1"/>
      <c r="P862" s="1"/>
      <c r="Q862" s="1"/>
      <c r="R862" s="1"/>
      <c r="S862" s="1"/>
    </row>
    <row r="863">
      <c r="I863" s="1"/>
      <c r="J863" s="1"/>
      <c r="K863" s="1"/>
      <c r="L863" s="1"/>
      <c r="M863" s="1"/>
      <c r="N863" s="1"/>
      <c r="O863" s="1"/>
      <c r="P863" s="1"/>
      <c r="Q863" s="1"/>
      <c r="R863" s="1"/>
      <c r="S863" s="1"/>
    </row>
    <row r="864">
      <c r="I864" s="1"/>
      <c r="J864" s="1"/>
      <c r="K864" s="1"/>
      <c r="L864" s="1"/>
      <c r="M864" s="1"/>
      <c r="N864" s="1"/>
      <c r="O864" s="1"/>
      <c r="P864" s="1"/>
      <c r="Q864" s="1"/>
      <c r="R864" s="1"/>
      <c r="S864" s="1"/>
    </row>
    <row r="865">
      <c r="I865" s="1"/>
      <c r="J865" s="1"/>
      <c r="K865" s="1"/>
      <c r="L865" s="1"/>
      <c r="M865" s="1"/>
      <c r="N865" s="1"/>
      <c r="O865" s="1"/>
      <c r="P865" s="1"/>
      <c r="Q865" s="1"/>
      <c r="R865" s="1"/>
      <c r="S865" s="1"/>
    </row>
    <row r="866">
      <c r="I866" s="1"/>
      <c r="J866" s="1"/>
      <c r="K866" s="1"/>
      <c r="L866" s="1"/>
      <c r="M866" s="1"/>
      <c r="N866" s="1"/>
      <c r="O866" s="1"/>
      <c r="P866" s="1"/>
      <c r="Q866" s="1"/>
      <c r="R866" s="1"/>
      <c r="S866" s="1"/>
    </row>
    <row r="867">
      <c r="I867" s="1"/>
      <c r="J867" s="1"/>
      <c r="K867" s="1"/>
      <c r="L867" s="1"/>
      <c r="M867" s="1"/>
      <c r="N867" s="1"/>
      <c r="O867" s="1"/>
      <c r="P867" s="1"/>
      <c r="Q867" s="1"/>
      <c r="R867" s="1"/>
      <c r="S867" s="1"/>
    </row>
    <row r="868">
      <c r="I868" s="1"/>
      <c r="J868" s="1"/>
      <c r="K868" s="1"/>
      <c r="L868" s="1"/>
      <c r="M868" s="1"/>
      <c r="N868" s="1"/>
      <c r="O868" s="1"/>
      <c r="P868" s="1"/>
      <c r="Q868" s="1"/>
      <c r="R868" s="1"/>
      <c r="S868" s="1"/>
    </row>
    <row r="869">
      <c r="I869" s="1"/>
      <c r="J869" s="1"/>
      <c r="K869" s="1"/>
      <c r="L869" s="1"/>
      <c r="M869" s="1"/>
      <c r="N869" s="1"/>
      <c r="O869" s="1"/>
      <c r="P869" s="1"/>
      <c r="Q869" s="1"/>
      <c r="R869" s="1"/>
      <c r="S869" s="1"/>
    </row>
    <row r="870">
      <c r="I870" s="1"/>
      <c r="J870" s="1"/>
      <c r="K870" s="1"/>
      <c r="L870" s="1"/>
      <c r="M870" s="1"/>
      <c r="N870" s="1"/>
      <c r="O870" s="1"/>
      <c r="P870" s="1"/>
      <c r="Q870" s="1"/>
      <c r="R870" s="1"/>
      <c r="S870" s="1"/>
    </row>
    <row r="871">
      <c r="I871" s="1"/>
      <c r="J871" s="1"/>
      <c r="K871" s="1"/>
      <c r="L871" s="1"/>
      <c r="M871" s="1"/>
      <c r="N871" s="1"/>
      <c r="O871" s="1"/>
      <c r="P871" s="1"/>
      <c r="Q871" s="1"/>
      <c r="R871" s="1"/>
      <c r="S871" s="1"/>
    </row>
    <row r="872">
      <c r="I872" s="1"/>
      <c r="J872" s="1"/>
      <c r="K872" s="1"/>
      <c r="L872" s="1"/>
      <c r="M872" s="1"/>
      <c r="N872" s="1"/>
      <c r="O872" s="1"/>
      <c r="P872" s="1"/>
      <c r="Q872" s="1"/>
      <c r="R872" s="1"/>
      <c r="S872" s="1"/>
    </row>
    <row r="873">
      <c r="I873" s="1"/>
      <c r="J873" s="1"/>
      <c r="K873" s="1"/>
      <c r="L873" s="1"/>
      <c r="M873" s="1"/>
      <c r="N873" s="1"/>
      <c r="O873" s="1"/>
      <c r="P873" s="1"/>
      <c r="Q873" s="1"/>
      <c r="R873" s="1"/>
      <c r="S873" s="1"/>
    </row>
    <row r="874">
      <c r="I874" s="1"/>
      <c r="J874" s="1"/>
      <c r="K874" s="1"/>
      <c r="L874" s="1"/>
      <c r="M874" s="1"/>
      <c r="N874" s="1"/>
      <c r="O874" s="1"/>
      <c r="P874" s="1"/>
      <c r="Q874" s="1"/>
      <c r="R874" s="1"/>
      <c r="S874" s="1"/>
    </row>
    <row r="875">
      <c r="I875" s="1"/>
      <c r="J875" s="1"/>
      <c r="K875" s="1"/>
      <c r="L875" s="1"/>
      <c r="M875" s="1"/>
      <c r="N875" s="1"/>
      <c r="O875" s="1"/>
      <c r="P875" s="1"/>
      <c r="Q875" s="1"/>
      <c r="R875" s="1"/>
      <c r="S875" s="1"/>
    </row>
    <row r="876">
      <c r="I876" s="1"/>
      <c r="J876" s="1"/>
      <c r="K876" s="1"/>
      <c r="L876" s="1"/>
      <c r="M876" s="1"/>
      <c r="N876" s="1"/>
      <c r="O876" s="1"/>
      <c r="P876" s="1"/>
      <c r="Q876" s="1"/>
      <c r="R876" s="1"/>
      <c r="S876" s="1"/>
    </row>
    <row r="877">
      <c r="I877" s="1"/>
      <c r="J877" s="1"/>
      <c r="K877" s="1"/>
      <c r="L877" s="1"/>
      <c r="M877" s="1"/>
      <c r="N877" s="1"/>
      <c r="O877" s="1"/>
      <c r="P877" s="1"/>
      <c r="Q877" s="1"/>
      <c r="R877" s="1"/>
      <c r="S877" s="1"/>
    </row>
    <row r="878">
      <c r="I878" s="1"/>
      <c r="J878" s="1"/>
      <c r="K878" s="1"/>
      <c r="L878" s="1"/>
      <c r="M878" s="1"/>
      <c r="N878" s="1"/>
      <c r="O878" s="1"/>
      <c r="P878" s="1"/>
      <c r="Q878" s="1"/>
      <c r="R878" s="1"/>
      <c r="S878" s="1"/>
    </row>
    <row r="879">
      <c r="I879" s="1"/>
      <c r="J879" s="1"/>
      <c r="K879" s="1"/>
      <c r="L879" s="1"/>
      <c r="M879" s="1"/>
      <c r="N879" s="1"/>
      <c r="O879" s="1"/>
      <c r="P879" s="1"/>
      <c r="Q879" s="1"/>
      <c r="R879" s="1"/>
      <c r="S879" s="1"/>
    </row>
    <row r="880">
      <c r="I880" s="1"/>
      <c r="J880" s="1"/>
      <c r="K880" s="1"/>
      <c r="L880" s="1"/>
      <c r="M880" s="1"/>
      <c r="N880" s="1"/>
      <c r="O880" s="1"/>
      <c r="P880" s="1"/>
      <c r="Q880" s="1"/>
      <c r="R880" s="1"/>
      <c r="S880" s="1"/>
    </row>
    <row r="881">
      <c r="I881" s="1"/>
      <c r="J881" s="1"/>
      <c r="K881" s="1"/>
      <c r="L881" s="1"/>
      <c r="M881" s="1"/>
      <c r="N881" s="1"/>
      <c r="O881" s="1"/>
      <c r="P881" s="1"/>
      <c r="Q881" s="1"/>
      <c r="R881" s="1"/>
      <c r="S881" s="1"/>
    </row>
    <row r="882">
      <c r="I882" s="1"/>
      <c r="J882" s="1"/>
      <c r="K882" s="1"/>
      <c r="L882" s="1"/>
      <c r="M882" s="1"/>
      <c r="N882" s="1"/>
      <c r="O882" s="1"/>
      <c r="P882" s="1"/>
      <c r="Q882" s="1"/>
      <c r="R882" s="1"/>
      <c r="S882" s="1"/>
    </row>
    <row r="883">
      <c r="I883" s="1"/>
      <c r="J883" s="1"/>
      <c r="K883" s="1"/>
      <c r="L883" s="1"/>
      <c r="M883" s="1"/>
      <c r="N883" s="1"/>
      <c r="O883" s="1"/>
      <c r="P883" s="1"/>
      <c r="Q883" s="1"/>
      <c r="R883" s="1"/>
      <c r="S883" s="1"/>
    </row>
    <row r="884">
      <c r="I884" s="1"/>
      <c r="J884" s="1"/>
      <c r="K884" s="1"/>
      <c r="L884" s="1"/>
      <c r="M884" s="1"/>
      <c r="N884" s="1"/>
      <c r="O884" s="1"/>
      <c r="P884" s="1"/>
      <c r="Q884" s="1"/>
      <c r="R884" s="1"/>
      <c r="S884" s="1"/>
    </row>
    <row r="885">
      <c r="I885" s="1"/>
      <c r="J885" s="1"/>
      <c r="K885" s="1"/>
      <c r="L885" s="1"/>
      <c r="M885" s="1"/>
      <c r="N885" s="1"/>
      <c r="O885" s="1"/>
      <c r="P885" s="1"/>
      <c r="Q885" s="1"/>
      <c r="R885" s="1"/>
      <c r="S885" s="1"/>
    </row>
    <row r="886">
      <c r="I886" s="1"/>
      <c r="J886" s="1"/>
      <c r="K886" s="1"/>
      <c r="L886" s="1"/>
      <c r="M886" s="1"/>
      <c r="N886" s="1"/>
      <c r="O886" s="1"/>
      <c r="P886" s="1"/>
      <c r="Q886" s="1"/>
      <c r="R886" s="1"/>
      <c r="S886" s="1"/>
    </row>
    <row r="887">
      <c r="I887" s="1"/>
      <c r="J887" s="1"/>
      <c r="K887" s="1"/>
      <c r="L887" s="1"/>
      <c r="M887" s="1"/>
      <c r="N887" s="1"/>
      <c r="O887" s="1"/>
      <c r="P887" s="1"/>
      <c r="Q887" s="1"/>
      <c r="R887" s="1"/>
      <c r="S887" s="1"/>
    </row>
    <row r="888">
      <c r="I888" s="1"/>
      <c r="J888" s="1"/>
      <c r="K888" s="1"/>
      <c r="L888" s="1"/>
      <c r="M888" s="1"/>
      <c r="N888" s="1"/>
      <c r="O888" s="1"/>
      <c r="P888" s="1"/>
      <c r="Q888" s="1"/>
      <c r="R888" s="1"/>
      <c r="S888" s="1"/>
    </row>
    <row r="889">
      <c r="I889" s="1"/>
      <c r="J889" s="1"/>
      <c r="K889" s="1"/>
      <c r="L889" s="1"/>
      <c r="M889" s="1"/>
      <c r="N889" s="1"/>
      <c r="O889" s="1"/>
      <c r="P889" s="1"/>
      <c r="Q889" s="1"/>
      <c r="R889" s="1"/>
      <c r="S889" s="1"/>
    </row>
    <row r="890">
      <c r="I890" s="1"/>
      <c r="J890" s="1"/>
      <c r="K890" s="1"/>
      <c r="L890" s="1"/>
      <c r="M890" s="1"/>
      <c r="N890" s="1"/>
      <c r="O890" s="1"/>
      <c r="P890" s="1"/>
      <c r="Q890" s="1"/>
      <c r="R890" s="1"/>
      <c r="S890" s="1"/>
    </row>
    <row r="891">
      <c r="I891" s="1"/>
      <c r="J891" s="1"/>
      <c r="K891" s="1"/>
      <c r="L891" s="1"/>
      <c r="M891" s="1"/>
      <c r="N891" s="1"/>
      <c r="O891" s="1"/>
      <c r="P891" s="1"/>
      <c r="Q891" s="1"/>
      <c r="R891" s="1"/>
      <c r="S891" s="1"/>
    </row>
    <row r="892">
      <c r="I892" s="1"/>
      <c r="J892" s="1"/>
      <c r="K892" s="1"/>
      <c r="L892" s="1"/>
      <c r="M892" s="1"/>
      <c r="N892" s="1"/>
      <c r="O892" s="1"/>
      <c r="P892" s="1"/>
      <c r="Q892" s="1"/>
      <c r="R892" s="1"/>
      <c r="S892" s="1"/>
    </row>
    <row r="893">
      <c r="I893" s="1"/>
      <c r="J893" s="1"/>
      <c r="K893" s="1"/>
      <c r="L893" s="1"/>
      <c r="M893" s="1"/>
      <c r="N893" s="1"/>
      <c r="O893" s="1"/>
      <c r="P893" s="1"/>
      <c r="Q893" s="1"/>
      <c r="R893" s="1"/>
      <c r="S893" s="1"/>
    </row>
    <row r="894">
      <c r="I894" s="1"/>
      <c r="J894" s="1"/>
      <c r="K894" s="1"/>
      <c r="L894" s="1"/>
      <c r="M894" s="1"/>
      <c r="N894" s="1"/>
      <c r="O894" s="1"/>
      <c r="P894" s="1"/>
      <c r="Q894" s="1"/>
      <c r="R894" s="1"/>
      <c r="S894" s="1"/>
    </row>
    <row r="895">
      <c r="I895" s="1"/>
      <c r="J895" s="1"/>
      <c r="K895" s="1"/>
      <c r="L895" s="1"/>
      <c r="M895" s="1"/>
      <c r="N895" s="1"/>
      <c r="O895" s="1"/>
      <c r="P895" s="1"/>
      <c r="Q895" s="1"/>
      <c r="R895" s="1"/>
      <c r="S895" s="1"/>
    </row>
    <row r="896">
      <c r="I896" s="1"/>
      <c r="J896" s="1"/>
      <c r="K896" s="1"/>
      <c r="L896" s="1"/>
      <c r="M896" s="1"/>
      <c r="N896" s="1"/>
      <c r="O896" s="1"/>
      <c r="P896" s="1"/>
      <c r="Q896" s="1"/>
      <c r="R896" s="1"/>
      <c r="S896" s="1"/>
    </row>
    <row r="897">
      <c r="I897" s="1"/>
      <c r="J897" s="1"/>
      <c r="K897" s="1"/>
      <c r="L897" s="1"/>
      <c r="M897" s="1"/>
      <c r="N897" s="1"/>
      <c r="O897" s="1"/>
      <c r="P897" s="1"/>
      <c r="Q897" s="1"/>
      <c r="R897" s="1"/>
      <c r="S897" s="1"/>
    </row>
    <row r="898">
      <c r="I898" s="1"/>
      <c r="J898" s="1"/>
      <c r="K898" s="1"/>
      <c r="L898" s="1"/>
      <c r="M898" s="1"/>
      <c r="N898" s="1"/>
      <c r="O898" s="1"/>
      <c r="P898" s="1"/>
      <c r="Q898" s="1"/>
      <c r="R898" s="1"/>
      <c r="S898" s="1"/>
    </row>
    <row r="899">
      <c r="I899" s="1"/>
      <c r="J899" s="1"/>
      <c r="K899" s="1"/>
      <c r="L899" s="1"/>
      <c r="M899" s="1"/>
      <c r="N899" s="1"/>
      <c r="O899" s="1"/>
      <c r="P899" s="1"/>
      <c r="Q899" s="1"/>
      <c r="R899" s="1"/>
      <c r="S899" s="1"/>
    </row>
    <row r="900">
      <c r="I900" s="1"/>
      <c r="J900" s="1"/>
      <c r="K900" s="1"/>
      <c r="L900" s="1"/>
      <c r="M900" s="1"/>
      <c r="N900" s="1"/>
      <c r="O900" s="1"/>
      <c r="P900" s="1"/>
      <c r="Q900" s="1"/>
      <c r="R900" s="1"/>
      <c r="S900" s="1"/>
    </row>
    <row r="901">
      <c r="I901" s="1"/>
      <c r="J901" s="1"/>
      <c r="K901" s="1"/>
      <c r="L901" s="1"/>
      <c r="M901" s="1"/>
      <c r="N901" s="1"/>
      <c r="O901" s="1"/>
      <c r="P901" s="1"/>
      <c r="Q901" s="1"/>
      <c r="R901" s="1"/>
      <c r="S901" s="1"/>
    </row>
    <row r="902">
      <c r="I902" s="1"/>
      <c r="J902" s="1"/>
      <c r="K902" s="1"/>
      <c r="L902" s="1"/>
      <c r="M902" s="1"/>
      <c r="N902" s="1"/>
      <c r="O902" s="1"/>
      <c r="P902" s="1"/>
      <c r="Q902" s="1"/>
      <c r="R902" s="1"/>
      <c r="S902" s="1"/>
    </row>
    <row r="903">
      <c r="I903" s="1"/>
      <c r="J903" s="1"/>
      <c r="K903" s="1"/>
      <c r="L903" s="1"/>
      <c r="M903" s="1"/>
      <c r="N903" s="1"/>
      <c r="O903" s="1"/>
      <c r="P903" s="1"/>
      <c r="Q903" s="1"/>
      <c r="R903" s="1"/>
      <c r="S903" s="1"/>
    </row>
    <row r="904">
      <c r="I904" s="1"/>
      <c r="J904" s="1"/>
      <c r="K904" s="1"/>
      <c r="L904" s="1"/>
      <c r="M904" s="1"/>
      <c r="N904" s="1"/>
      <c r="O904" s="1"/>
      <c r="P904" s="1"/>
      <c r="Q904" s="1"/>
      <c r="R904" s="1"/>
      <c r="S904" s="1"/>
    </row>
    <row r="905">
      <c r="I905" s="1"/>
      <c r="J905" s="1"/>
      <c r="K905" s="1"/>
      <c r="L905" s="1"/>
      <c r="M905" s="1"/>
      <c r="N905" s="1"/>
      <c r="O905" s="1"/>
      <c r="P905" s="1"/>
      <c r="Q905" s="1"/>
      <c r="R905" s="1"/>
      <c r="S905" s="1"/>
    </row>
    <row r="906">
      <c r="I906" s="1"/>
      <c r="J906" s="1"/>
      <c r="K906" s="1"/>
      <c r="L906" s="1"/>
      <c r="M906" s="1"/>
      <c r="N906" s="1"/>
      <c r="O906" s="1"/>
      <c r="P906" s="1"/>
      <c r="Q906" s="1"/>
      <c r="R906" s="1"/>
      <c r="S906" s="1"/>
    </row>
    <row r="907">
      <c r="I907" s="1"/>
      <c r="J907" s="1"/>
      <c r="K907" s="1"/>
      <c r="L907" s="1"/>
      <c r="M907" s="1"/>
      <c r="N907" s="1"/>
      <c r="O907" s="1"/>
      <c r="P907" s="1"/>
      <c r="Q907" s="1"/>
      <c r="R907" s="1"/>
      <c r="S907" s="1"/>
    </row>
    <row r="908">
      <c r="I908" s="1"/>
      <c r="J908" s="1"/>
      <c r="K908" s="1"/>
      <c r="L908" s="1"/>
      <c r="M908" s="1"/>
      <c r="N908" s="1"/>
      <c r="O908" s="1"/>
      <c r="P908" s="1"/>
      <c r="Q908" s="1"/>
      <c r="R908" s="1"/>
      <c r="S908" s="1"/>
    </row>
    <row r="909">
      <c r="I909" s="1"/>
      <c r="J909" s="1"/>
      <c r="K909" s="1"/>
      <c r="L909" s="1"/>
      <c r="M909" s="1"/>
      <c r="N909" s="1"/>
      <c r="O909" s="1"/>
      <c r="P909" s="1"/>
      <c r="Q909" s="1"/>
      <c r="R909" s="1"/>
      <c r="S909" s="1"/>
    </row>
    <row r="910">
      <c r="I910" s="1"/>
      <c r="J910" s="1"/>
      <c r="K910" s="1"/>
      <c r="L910" s="1"/>
      <c r="M910" s="1"/>
      <c r="N910" s="1"/>
      <c r="O910" s="1"/>
      <c r="P910" s="1"/>
      <c r="Q910" s="1"/>
      <c r="R910" s="1"/>
      <c r="S910" s="1"/>
    </row>
    <row r="911">
      <c r="I911" s="1"/>
      <c r="J911" s="1"/>
      <c r="K911" s="1"/>
      <c r="L911" s="1"/>
      <c r="M911" s="1"/>
      <c r="N911" s="1"/>
      <c r="O911" s="1"/>
      <c r="P911" s="1"/>
      <c r="Q911" s="1"/>
      <c r="R911" s="1"/>
      <c r="S911" s="1"/>
    </row>
    <row r="912">
      <c r="I912" s="1"/>
      <c r="J912" s="1"/>
      <c r="K912" s="1"/>
      <c r="L912" s="1"/>
      <c r="M912" s="1"/>
      <c r="N912" s="1"/>
      <c r="O912" s="1"/>
      <c r="P912" s="1"/>
      <c r="Q912" s="1"/>
      <c r="R912" s="1"/>
      <c r="S912" s="1"/>
    </row>
    <row r="913">
      <c r="I913" s="1"/>
      <c r="J913" s="1"/>
      <c r="K913" s="1"/>
      <c r="L913" s="1"/>
      <c r="M913" s="1"/>
      <c r="N913" s="1"/>
      <c r="O913" s="1"/>
      <c r="P913" s="1"/>
      <c r="Q913" s="1"/>
      <c r="R913" s="1"/>
      <c r="S913" s="1"/>
    </row>
    <row r="914">
      <c r="I914" s="1"/>
      <c r="J914" s="1"/>
      <c r="K914" s="1"/>
      <c r="L914" s="1"/>
      <c r="M914" s="1"/>
      <c r="N914" s="1"/>
      <c r="O914" s="1"/>
      <c r="P914" s="1"/>
      <c r="Q914" s="1"/>
      <c r="R914" s="1"/>
      <c r="S914" s="1"/>
    </row>
    <row r="915">
      <c r="I915" s="1"/>
      <c r="J915" s="1"/>
      <c r="K915" s="1"/>
      <c r="L915" s="1"/>
      <c r="M915" s="1"/>
      <c r="N915" s="1"/>
      <c r="O915" s="1"/>
      <c r="P915" s="1"/>
      <c r="Q915" s="1"/>
      <c r="R915" s="1"/>
      <c r="S915" s="1"/>
    </row>
    <row r="916">
      <c r="I916" s="1"/>
      <c r="J916" s="1"/>
      <c r="K916" s="1"/>
      <c r="L916" s="1"/>
      <c r="M916" s="1"/>
      <c r="N916" s="1"/>
      <c r="O916" s="1"/>
      <c r="P916" s="1"/>
      <c r="Q916" s="1"/>
      <c r="R916" s="1"/>
      <c r="S916" s="1"/>
    </row>
    <row r="917">
      <c r="I917" s="1"/>
      <c r="J917" s="1"/>
      <c r="K917" s="1"/>
      <c r="L917" s="1"/>
      <c r="M917" s="1"/>
      <c r="N917" s="1"/>
      <c r="O917" s="1"/>
      <c r="P917" s="1"/>
      <c r="Q917" s="1"/>
      <c r="R917" s="1"/>
      <c r="S917" s="1"/>
    </row>
    <row r="918">
      <c r="I918" s="1"/>
      <c r="J918" s="1"/>
      <c r="K918" s="1"/>
      <c r="L918" s="1"/>
      <c r="M918" s="1"/>
      <c r="N918" s="1"/>
      <c r="O918" s="1"/>
      <c r="P918" s="1"/>
      <c r="Q918" s="1"/>
      <c r="R918" s="1"/>
      <c r="S918" s="1"/>
    </row>
    <row r="919">
      <c r="I919" s="1"/>
      <c r="J919" s="1"/>
      <c r="K919" s="1"/>
      <c r="L919" s="1"/>
      <c r="M919" s="1"/>
      <c r="N919" s="1"/>
      <c r="O919" s="1"/>
      <c r="P919" s="1"/>
      <c r="Q919" s="1"/>
      <c r="R919" s="1"/>
      <c r="S919" s="1"/>
    </row>
    <row r="920">
      <c r="I920" s="1"/>
      <c r="J920" s="1"/>
      <c r="K920" s="1"/>
      <c r="L920" s="1"/>
      <c r="M920" s="1"/>
      <c r="N920" s="1"/>
      <c r="O920" s="1"/>
      <c r="P920" s="1"/>
      <c r="Q920" s="1"/>
      <c r="R920" s="1"/>
      <c r="S920" s="1"/>
    </row>
    <row r="921">
      <c r="I921" s="1"/>
      <c r="J921" s="1"/>
      <c r="K921" s="1"/>
      <c r="L921" s="1"/>
      <c r="M921" s="1"/>
      <c r="N921" s="1"/>
      <c r="O921" s="1"/>
      <c r="P921" s="1"/>
      <c r="Q921" s="1"/>
      <c r="R921" s="1"/>
      <c r="S921" s="1"/>
    </row>
    <row r="922">
      <c r="I922" s="1"/>
      <c r="J922" s="1"/>
      <c r="K922" s="1"/>
      <c r="L922" s="1"/>
      <c r="M922" s="1"/>
      <c r="N922" s="1"/>
      <c r="O922" s="1"/>
      <c r="P922" s="1"/>
      <c r="Q922" s="1"/>
      <c r="R922" s="1"/>
      <c r="S922" s="1"/>
    </row>
    <row r="923">
      <c r="I923" s="1"/>
      <c r="J923" s="1"/>
      <c r="K923" s="1"/>
      <c r="L923" s="1"/>
      <c r="M923" s="1"/>
      <c r="N923" s="1"/>
      <c r="O923" s="1"/>
      <c r="P923" s="1"/>
      <c r="Q923" s="1"/>
      <c r="R923" s="1"/>
      <c r="S923" s="1"/>
    </row>
    <row r="924">
      <c r="I924" s="1"/>
      <c r="J924" s="1"/>
      <c r="K924" s="1"/>
      <c r="L924" s="1"/>
      <c r="M924" s="1"/>
      <c r="N924" s="1"/>
      <c r="O924" s="1"/>
      <c r="P924" s="1"/>
      <c r="Q924" s="1"/>
      <c r="R924" s="1"/>
      <c r="S924" s="1"/>
    </row>
    <row r="925">
      <c r="I925" s="1"/>
      <c r="J925" s="1"/>
      <c r="K925" s="1"/>
      <c r="L925" s="1"/>
      <c r="M925" s="1"/>
      <c r="N925" s="1"/>
      <c r="O925" s="1"/>
      <c r="P925" s="1"/>
      <c r="Q925" s="1"/>
      <c r="R925" s="1"/>
      <c r="S925" s="1"/>
    </row>
    <row r="926">
      <c r="I926" s="1"/>
      <c r="J926" s="1"/>
      <c r="K926" s="1"/>
      <c r="L926" s="1"/>
      <c r="M926" s="1"/>
      <c r="N926" s="1"/>
      <c r="O926" s="1"/>
      <c r="P926" s="1"/>
      <c r="Q926" s="1"/>
      <c r="R926" s="1"/>
      <c r="S926" s="1"/>
    </row>
    <row r="927">
      <c r="I927" s="1"/>
      <c r="J927" s="1"/>
      <c r="K927" s="1"/>
      <c r="L927" s="1"/>
      <c r="M927" s="1"/>
      <c r="N927" s="1"/>
      <c r="O927" s="1"/>
      <c r="P927" s="1"/>
      <c r="Q927" s="1"/>
      <c r="R927" s="1"/>
      <c r="S927" s="1"/>
    </row>
    <row r="928">
      <c r="I928" s="1"/>
      <c r="J928" s="1"/>
      <c r="K928" s="1"/>
      <c r="L928" s="1"/>
      <c r="M928" s="1"/>
      <c r="N928" s="1"/>
      <c r="O928" s="1"/>
      <c r="P928" s="1"/>
      <c r="Q928" s="1"/>
      <c r="R928" s="1"/>
      <c r="S928" s="1"/>
    </row>
    <row r="929">
      <c r="I929" s="1"/>
      <c r="J929" s="1"/>
      <c r="K929" s="1"/>
      <c r="L929" s="1"/>
      <c r="M929" s="1"/>
      <c r="N929" s="1"/>
      <c r="O929" s="1"/>
      <c r="P929" s="1"/>
      <c r="Q929" s="1"/>
      <c r="R929" s="1"/>
      <c r="S929" s="1"/>
    </row>
    <row r="930">
      <c r="I930" s="1"/>
      <c r="J930" s="1"/>
      <c r="K930" s="1"/>
      <c r="L930" s="1"/>
      <c r="M930" s="1"/>
      <c r="N930" s="1"/>
      <c r="O930" s="1"/>
      <c r="P930" s="1"/>
      <c r="Q930" s="1"/>
      <c r="R930" s="1"/>
      <c r="S930" s="1"/>
    </row>
    <row r="931">
      <c r="I931" s="1"/>
      <c r="J931" s="1"/>
      <c r="K931" s="1"/>
      <c r="L931" s="1"/>
      <c r="M931" s="1"/>
      <c r="N931" s="1"/>
      <c r="O931" s="1"/>
      <c r="P931" s="1"/>
      <c r="Q931" s="1"/>
      <c r="R931" s="1"/>
      <c r="S931" s="1"/>
    </row>
    <row r="932">
      <c r="I932" s="1"/>
      <c r="J932" s="1"/>
      <c r="K932" s="1"/>
      <c r="L932" s="1"/>
      <c r="M932" s="1"/>
      <c r="N932" s="1"/>
      <c r="O932" s="1"/>
      <c r="P932" s="1"/>
      <c r="Q932" s="1"/>
      <c r="R932" s="1"/>
      <c r="S932" s="1"/>
    </row>
    <row r="933">
      <c r="I933" s="1"/>
      <c r="J933" s="1"/>
      <c r="K933" s="1"/>
      <c r="L933" s="1"/>
      <c r="M933" s="1"/>
      <c r="N933" s="1"/>
      <c r="O933" s="1"/>
      <c r="P933" s="1"/>
      <c r="Q933" s="1"/>
      <c r="R933" s="1"/>
      <c r="S933" s="1"/>
    </row>
    <row r="934">
      <c r="I934" s="1"/>
      <c r="J934" s="1"/>
      <c r="K934" s="1"/>
      <c r="L934" s="1"/>
      <c r="M934" s="1"/>
      <c r="N934" s="1"/>
      <c r="O934" s="1"/>
      <c r="P934" s="1"/>
      <c r="Q934" s="1"/>
      <c r="R934" s="1"/>
      <c r="S934" s="1"/>
    </row>
    <row r="935">
      <c r="I935" s="1"/>
      <c r="J935" s="1"/>
      <c r="K935" s="1"/>
      <c r="L935" s="1"/>
      <c r="M935" s="1"/>
      <c r="N935" s="1"/>
      <c r="O935" s="1"/>
      <c r="P935" s="1"/>
      <c r="Q935" s="1"/>
      <c r="R935" s="1"/>
      <c r="S935" s="1"/>
    </row>
    <row r="936">
      <c r="I936" s="1"/>
      <c r="J936" s="1"/>
      <c r="K936" s="1"/>
      <c r="L936" s="1"/>
      <c r="M936" s="1"/>
      <c r="N936" s="1"/>
      <c r="O936" s="1"/>
      <c r="P936" s="1"/>
      <c r="Q936" s="1"/>
      <c r="R936" s="1"/>
      <c r="S936" s="1"/>
    </row>
    <row r="937">
      <c r="I937" s="1"/>
      <c r="J937" s="1"/>
      <c r="K937" s="1"/>
      <c r="L937" s="1"/>
      <c r="M937" s="1"/>
      <c r="N937" s="1"/>
      <c r="O937" s="1"/>
      <c r="P937" s="1"/>
      <c r="Q937" s="1"/>
      <c r="R937" s="1"/>
      <c r="S937" s="1"/>
    </row>
    <row r="938">
      <c r="I938" s="1"/>
      <c r="J938" s="1"/>
      <c r="K938" s="1"/>
      <c r="L938" s="1"/>
      <c r="M938" s="1"/>
      <c r="N938" s="1"/>
      <c r="O938" s="1"/>
      <c r="P938" s="1"/>
      <c r="Q938" s="1"/>
      <c r="R938" s="1"/>
      <c r="S938" s="1"/>
    </row>
    <row r="939">
      <c r="I939" s="1"/>
      <c r="J939" s="1"/>
      <c r="K939" s="1"/>
      <c r="L939" s="1"/>
      <c r="M939" s="1"/>
      <c r="N939" s="1"/>
      <c r="O939" s="1"/>
      <c r="P939" s="1"/>
      <c r="Q939" s="1"/>
      <c r="R939" s="1"/>
      <c r="S939" s="1"/>
    </row>
    <row r="940">
      <c r="I940" s="1"/>
      <c r="J940" s="1"/>
      <c r="K940" s="1"/>
      <c r="L940" s="1"/>
      <c r="M940" s="1"/>
      <c r="N940" s="1"/>
      <c r="O940" s="1"/>
      <c r="P940" s="1"/>
      <c r="Q940" s="1"/>
      <c r="R940" s="1"/>
      <c r="S940" s="1"/>
    </row>
    <row r="941">
      <c r="I941" s="1"/>
      <c r="J941" s="1"/>
      <c r="K941" s="1"/>
      <c r="L941" s="1"/>
      <c r="M941" s="1"/>
      <c r="N941" s="1"/>
      <c r="O941" s="1"/>
      <c r="P941" s="1"/>
      <c r="Q941" s="1"/>
      <c r="R941" s="1"/>
      <c r="S941" s="1"/>
    </row>
    <row r="942">
      <c r="I942" s="1"/>
      <c r="J942" s="1"/>
      <c r="K942" s="1"/>
      <c r="L942" s="1"/>
      <c r="M942" s="1"/>
      <c r="N942" s="1"/>
      <c r="O942" s="1"/>
      <c r="P942" s="1"/>
      <c r="Q942" s="1"/>
      <c r="R942" s="1"/>
      <c r="S942" s="1"/>
    </row>
    <row r="943">
      <c r="I943" s="1"/>
      <c r="J943" s="1"/>
      <c r="K943" s="1"/>
      <c r="L943" s="1"/>
      <c r="M943" s="1"/>
      <c r="N943" s="1"/>
      <c r="O943" s="1"/>
      <c r="P943" s="1"/>
      <c r="Q943" s="1"/>
      <c r="R943" s="1"/>
      <c r="S943" s="1"/>
    </row>
    <row r="944">
      <c r="I944" s="1"/>
      <c r="J944" s="1"/>
      <c r="K944" s="1"/>
      <c r="L944" s="1"/>
      <c r="M944" s="1"/>
      <c r="N944" s="1"/>
      <c r="O944" s="1"/>
      <c r="P944" s="1"/>
      <c r="Q944" s="1"/>
      <c r="R944" s="1"/>
      <c r="S944" s="1"/>
    </row>
    <row r="945">
      <c r="I945" s="1"/>
      <c r="J945" s="1"/>
      <c r="K945" s="1"/>
      <c r="L945" s="1"/>
      <c r="M945" s="1"/>
      <c r="N945" s="1"/>
      <c r="O945" s="1"/>
      <c r="P945" s="1"/>
      <c r="Q945" s="1"/>
      <c r="R945" s="1"/>
      <c r="S945" s="1"/>
    </row>
    <row r="946">
      <c r="I946" s="1"/>
      <c r="J946" s="1"/>
      <c r="K946" s="1"/>
      <c r="L946" s="1"/>
      <c r="M946" s="1"/>
      <c r="N946" s="1"/>
      <c r="O946" s="1"/>
      <c r="P946" s="1"/>
      <c r="Q946" s="1"/>
      <c r="R946" s="1"/>
      <c r="S946" s="1"/>
    </row>
    <row r="947">
      <c r="I947" s="1"/>
      <c r="J947" s="1"/>
      <c r="K947" s="1"/>
      <c r="L947" s="1"/>
      <c r="M947" s="1"/>
      <c r="N947" s="1"/>
      <c r="O947" s="1"/>
      <c r="P947" s="1"/>
      <c r="Q947" s="1"/>
      <c r="R947" s="1"/>
      <c r="S947" s="1"/>
    </row>
    <row r="948">
      <c r="I948" s="1"/>
      <c r="J948" s="1"/>
      <c r="K948" s="1"/>
      <c r="L948" s="1"/>
      <c r="M948" s="1"/>
      <c r="N948" s="1"/>
      <c r="O948" s="1"/>
      <c r="P948" s="1"/>
      <c r="Q948" s="1"/>
      <c r="R948" s="1"/>
      <c r="S948" s="1"/>
    </row>
    <row r="949">
      <c r="I949" s="1"/>
      <c r="J949" s="1"/>
      <c r="K949" s="1"/>
      <c r="L949" s="1"/>
      <c r="M949" s="1"/>
      <c r="N949" s="1"/>
      <c r="O949" s="1"/>
      <c r="P949" s="1"/>
      <c r="Q949" s="1"/>
      <c r="R949" s="1"/>
      <c r="S949" s="1"/>
    </row>
    <row r="950">
      <c r="I950" s="1"/>
      <c r="J950" s="1"/>
      <c r="K950" s="1"/>
      <c r="L950" s="1"/>
      <c r="M950" s="1"/>
      <c r="N950" s="1"/>
      <c r="O950" s="1"/>
      <c r="P950" s="1"/>
      <c r="Q950" s="1"/>
      <c r="R950" s="1"/>
      <c r="S950" s="1"/>
    </row>
    <row r="951">
      <c r="I951" s="1"/>
      <c r="J951" s="1"/>
      <c r="K951" s="1"/>
      <c r="L951" s="1"/>
      <c r="M951" s="1"/>
      <c r="N951" s="1"/>
      <c r="O951" s="1"/>
      <c r="P951" s="1"/>
      <c r="Q951" s="1"/>
      <c r="R951" s="1"/>
      <c r="S951" s="1"/>
    </row>
    <row r="952">
      <c r="I952" s="1"/>
      <c r="J952" s="1"/>
      <c r="K952" s="1"/>
      <c r="L952" s="1"/>
      <c r="M952" s="1"/>
      <c r="N952" s="1"/>
      <c r="O952" s="1"/>
      <c r="P952" s="1"/>
      <c r="Q952" s="1"/>
      <c r="R952" s="1"/>
      <c r="S952" s="1"/>
    </row>
    <row r="953">
      <c r="I953" s="1"/>
      <c r="J953" s="1"/>
      <c r="K953" s="1"/>
      <c r="L953" s="1"/>
      <c r="M953" s="1"/>
      <c r="N953" s="1"/>
      <c r="O953" s="1"/>
      <c r="P953" s="1"/>
      <c r="Q953" s="1"/>
      <c r="R953" s="1"/>
      <c r="S953" s="1"/>
    </row>
    <row r="954">
      <c r="I954" s="1"/>
      <c r="J954" s="1"/>
      <c r="K954" s="1"/>
      <c r="L954" s="1"/>
      <c r="M954" s="1"/>
      <c r="N954" s="1"/>
      <c r="O954" s="1"/>
      <c r="P954" s="1"/>
      <c r="Q954" s="1"/>
      <c r="R954" s="1"/>
      <c r="S954" s="1"/>
    </row>
    <row r="955">
      <c r="I955" s="1"/>
      <c r="J955" s="1"/>
      <c r="K955" s="1"/>
      <c r="L955" s="1"/>
      <c r="M955" s="1"/>
      <c r="N955" s="1"/>
      <c r="O955" s="1"/>
      <c r="P955" s="1"/>
      <c r="Q955" s="1"/>
      <c r="R955" s="1"/>
      <c r="S955" s="1"/>
    </row>
    <row r="956">
      <c r="I956" s="1"/>
      <c r="J956" s="1"/>
      <c r="K956" s="1"/>
      <c r="L956" s="1"/>
      <c r="M956" s="1"/>
      <c r="N956" s="1"/>
      <c r="O956" s="1"/>
      <c r="P956" s="1"/>
      <c r="Q956" s="1"/>
      <c r="R956" s="1"/>
      <c r="S956" s="1"/>
    </row>
    <row r="957">
      <c r="I957" s="1"/>
      <c r="J957" s="1"/>
      <c r="K957" s="1"/>
      <c r="L957" s="1"/>
      <c r="M957" s="1"/>
      <c r="N957" s="1"/>
      <c r="O957" s="1"/>
      <c r="P957" s="1"/>
      <c r="Q957" s="1"/>
      <c r="R957" s="1"/>
      <c r="S957" s="1"/>
    </row>
    <row r="958">
      <c r="I958" s="1"/>
      <c r="J958" s="1"/>
      <c r="K958" s="1"/>
      <c r="L958" s="1"/>
      <c r="M958" s="1"/>
      <c r="N958" s="1"/>
      <c r="O958" s="1"/>
      <c r="P958" s="1"/>
      <c r="Q958" s="1"/>
      <c r="R958" s="1"/>
      <c r="S958" s="1"/>
    </row>
    <row r="959">
      <c r="I959" s="1"/>
      <c r="J959" s="1"/>
      <c r="K959" s="1"/>
      <c r="L959" s="1"/>
      <c r="M959" s="1"/>
      <c r="N959" s="1"/>
      <c r="O959" s="1"/>
      <c r="P959" s="1"/>
      <c r="Q959" s="1"/>
      <c r="R959" s="1"/>
      <c r="S959" s="1"/>
    </row>
    <row r="960">
      <c r="I960" s="1"/>
      <c r="J960" s="1"/>
      <c r="K960" s="1"/>
      <c r="L960" s="1"/>
      <c r="M960" s="1"/>
      <c r="N960" s="1"/>
      <c r="O960" s="1"/>
      <c r="P960" s="1"/>
      <c r="Q960" s="1"/>
      <c r="R960" s="1"/>
      <c r="S960" s="1"/>
    </row>
    <row r="961">
      <c r="I961" s="1"/>
      <c r="J961" s="1"/>
      <c r="K961" s="1"/>
      <c r="L961" s="1"/>
      <c r="M961" s="1"/>
      <c r="N961" s="1"/>
      <c r="O961" s="1"/>
      <c r="P961" s="1"/>
      <c r="Q961" s="1"/>
      <c r="R961" s="1"/>
      <c r="S961" s="1"/>
    </row>
    <row r="962">
      <c r="I962" s="1"/>
      <c r="J962" s="1"/>
      <c r="K962" s="1"/>
      <c r="L962" s="1"/>
      <c r="M962" s="1"/>
      <c r="N962" s="1"/>
      <c r="O962" s="1"/>
      <c r="P962" s="1"/>
      <c r="Q962" s="1"/>
      <c r="R962" s="1"/>
      <c r="S962" s="1"/>
    </row>
    <row r="963">
      <c r="I963" s="1"/>
      <c r="J963" s="1"/>
      <c r="K963" s="1"/>
      <c r="L963" s="1"/>
      <c r="M963" s="1"/>
      <c r="N963" s="1"/>
      <c r="O963" s="1"/>
      <c r="P963" s="1"/>
      <c r="Q963" s="1"/>
      <c r="R963" s="1"/>
      <c r="S963" s="1"/>
    </row>
    <row r="964">
      <c r="I964" s="1"/>
      <c r="J964" s="1"/>
      <c r="K964" s="1"/>
      <c r="L964" s="1"/>
      <c r="M964" s="1"/>
      <c r="N964" s="1"/>
      <c r="O964" s="1"/>
      <c r="P964" s="1"/>
      <c r="Q964" s="1"/>
      <c r="R964" s="1"/>
      <c r="S964" s="1"/>
    </row>
    <row r="965">
      <c r="I965" s="1"/>
      <c r="J965" s="1"/>
      <c r="K965" s="1"/>
      <c r="L965" s="1"/>
      <c r="M965" s="1"/>
      <c r="N965" s="1"/>
      <c r="O965" s="1"/>
      <c r="P965" s="1"/>
      <c r="Q965" s="1"/>
      <c r="R965" s="1"/>
      <c r="S965" s="1"/>
    </row>
    <row r="966">
      <c r="I966" s="1"/>
      <c r="J966" s="1"/>
      <c r="K966" s="1"/>
      <c r="L966" s="1"/>
      <c r="M966" s="1"/>
      <c r="N966" s="1"/>
      <c r="O966" s="1"/>
      <c r="P966" s="1"/>
      <c r="Q966" s="1"/>
      <c r="R966" s="1"/>
      <c r="S966" s="1"/>
    </row>
    <row r="967">
      <c r="I967" s="1"/>
      <c r="J967" s="1"/>
      <c r="K967" s="1"/>
      <c r="L967" s="1"/>
      <c r="M967" s="1"/>
      <c r="N967" s="1"/>
      <c r="O967" s="1"/>
      <c r="P967" s="1"/>
      <c r="Q967" s="1"/>
      <c r="R967" s="1"/>
      <c r="S967" s="1"/>
    </row>
    <row r="968">
      <c r="I968" s="1"/>
      <c r="J968" s="1"/>
      <c r="K968" s="1"/>
      <c r="L968" s="1"/>
      <c r="M968" s="1"/>
      <c r="N968" s="1"/>
      <c r="O968" s="1"/>
      <c r="P968" s="1"/>
      <c r="Q968" s="1"/>
      <c r="R968" s="1"/>
      <c r="S968" s="1"/>
    </row>
    <row r="969">
      <c r="I969" s="1"/>
      <c r="J969" s="1"/>
      <c r="K969" s="1"/>
      <c r="L969" s="1"/>
      <c r="M969" s="1"/>
      <c r="N969" s="1"/>
      <c r="O969" s="1"/>
      <c r="P969" s="1"/>
      <c r="Q969" s="1"/>
      <c r="R969" s="1"/>
      <c r="S969" s="1"/>
    </row>
    <row r="970">
      <c r="I970" s="1"/>
      <c r="J970" s="1"/>
      <c r="K970" s="1"/>
      <c r="L970" s="1"/>
      <c r="M970" s="1"/>
      <c r="N970" s="1"/>
      <c r="O970" s="1"/>
      <c r="P970" s="1"/>
      <c r="Q970" s="1"/>
      <c r="R970" s="1"/>
      <c r="S970" s="1"/>
    </row>
    <row r="971">
      <c r="I971" s="1"/>
      <c r="J971" s="1"/>
      <c r="K971" s="1"/>
      <c r="L971" s="1"/>
      <c r="M971" s="1"/>
      <c r="N971" s="1"/>
      <c r="O971" s="1"/>
      <c r="P971" s="1"/>
      <c r="Q971" s="1"/>
      <c r="R971" s="1"/>
      <c r="S971" s="1"/>
    </row>
    <row r="972">
      <c r="I972" s="1"/>
      <c r="J972" s="1"/>
      <c r="K972" s="1"/>
      <c r="L972" s="1"/>
      <c r="M972" s="1"/>
      <c r="N972" s="1"/>
      <c r="O972" s="1"/>
      <c r="P972" s="1"/>
      <c r="Q972" s="1"/>
      <c r="R972" s="1"/>
      <c r="S972" s="1"/>
    </row>
    <row r="973">
      <c r="I973" s="1"/>
      <c r="J973" s="1"/>
      <c r="K973" s="1"/>
      <c r="L973" s="1"/>
      <c r="M973" s="1"/>
      <c r="N973" s="1"/>
      <c r="O973" s="1"/>
      <c r="P973" s="1"/>
      <c r="Q973" s="1"/>
      <c r="R973" s="1"/>
      <c r="S973" s="1"/>
    </row>
    <row r="974">
      <c r="I974" s="1"/>
      <c r="J974" s="1"/>
      <c r="K974" s="1"/>
      <c r="L974" s="1"/>
      <c r="M974" s="1"/>
      <c r="N974" s="1"/>
      <c r="O974" s="1"/>
      <c r="P974" s="1"/>
      <c r="Q974" s="1"/>
      <c r="R974" s="1"/>
      <c r="S974" s="1"/>
    </row>
    <row r="975">
      <c r="I975" s="1"/>
      <c r="J975" s="1"/>
      <c r="K975" s="1"/>
      <c r="L975" s="1"/>
      <c r="M975" s="1"/>
      <c r="N975" s="1"/>
      <c r="O975" s="1"/>
      <c r="P975" s="1"/>
      <c r="Q975" s="1"/>
      <c r="R975" s="1"/>
      <c r="S975" s="1"/>
    </row>
    <row r="976">
      <c r="I976" s="1"/>
      <c r="J976" s="1"/>
      <c r="K976" s="1"/>
      <c r="L976" s="1"/>
      <c r="M976" s="1"/>
      <c r="N976" s="1"/>
      <c r="O976" s="1"/>
      <c r="P976" s="1"/>
      <c r="Q976" s="1"/>
      <c r="R976" s="1"/>
      <c r="S976" s="1"/>
    </row>
    <row r="977">
      <c r="I977" s="1"/>
      <c r="J977" s="1"/>
      <c r="K977" s="1"/>
      <c r="L977" s="1"/>
      <c r="M977" s="1"/>
      <c r="N977" s="1"/>
      <c r="O977" s="1"/>
      <c r="P977" s="1"/>
      <c r="Q977" s="1"/>
      <c r="R977" s="1"/>
      <c r="S977" s="1"/>
    </row>
    <row r="978">
      <c r="I978" s="1"/>
      <c r="J978" s="1"/>
      <c r="K978" s="1"/>
      <c r="L978" s="1"/>
      <c r="M978" s="1"/>
      <c r="N978" s="1"/>
      <c r="O978" s="1"/>
      <c r="P978" s="1"/>
      <c r="Q978" s="1"/>
      <c r="R978" s="1"/>
      <c r="S978" s="1"/>
    </row>
    <row r="979">
      <c r="I979" s="1"/>
      <c r="J979" s="1"/>
      <c r="K979" s="1"/>
      <c r="L979" s="1"/>
      <c r="M979" s="1"/>
      <c r="N979" s="1"/>
      <c r="O979" s="1"/>
      <c r="P979" s="1"/>
      <c r="Q979" s="1"/>
      <c r="R979" s="1"/>
      <c r="S979" s="1"/>
    </row>
    <row r="980">
      <c r="I980" s="1"/>
      <c r="J980" s="1"/>
      <c r="K980" s="1"/>
      <c r="L980" s="1"/>
      <c r="M980" s="1"/>
      <c r="N980" s="1"/>
      <c r="O980" s="1"/>
      <c r="P980" s="1"/>
      <c r="Q980" s="1"/>
      <c r="R980" s="1"/>
      <c r="S980" s="1"/>
    </row>
    <row r="981">
      <c r="I981" s="1"/>
      <c r="J981" s="1"/>
      <c r="K981" s="1"/>
      <c r="L981" s="1"/>
      <c r="M981" s="1"/>
      <c r="N981" s="1"/>
      <c r="O981" s="1"/>
      <c r="P981" s="1"/>
      <c r="Q981" s="1"/>
      <c r="R981" s="1"/>
      <c r="S981" s="1"/>
    </row>
    <row r="982">
      <c r="I982" s="1"/>
      <c r="J982" s="1"/>
      <c r="K982" s="1"/>
      <c r="L982" s="1"/>
      <c r="M982" s="1"/>
      <c r="N982" s="1"/>
      <c r="O982" s="1"/>
      <c r="P982" s="1"/>
      <c r="Q982" s="1"/>
      <c r="R982" s="1"/>
      <c r="S982" s="1"/>
    </row>
    <row r="983">
      <c r="I983" s="1"/>
      <c r="J983" s="1"/>
      <c r="K983" s="1"/>
      <c r="L983" s="1"/>
      <c r="M983" s="1"/>
      <c r="N983" s="1"/>
      <c r="O983" s="1"/>
      <c r="P983" s="1"/>
      <c r="Q983" s="1"/>
      <c r="R983" s="1"/>
      <c r="S983" s="1"/>
    </row>
    <row r="984">
      <c r="I984" s="1"/>
      <c r="J984" s="1"/>
      <c r="K984" s="1"/>
      <c r="L984" s="1"/>
      <c r="M984" s="1"/>
      <c r="N984" s="1"/>
      <c r="O984" s="1"/>
      <c r="P984" s="1"/>
      <c r="Q984" s="1"/>
      <c r="R984" s="1"/>
      <c r="S984" s="1"/>
    </row>
    <row r="985">
      <c r="I985" s="1"/>
      <c r="J985" s="1"/>
      <c r="K985" s="1"/>
      <c r="L985" s="1"/>
      <c r="M985" s="1"/>
      <c r="N985" s="1"/>
      <c r="O985" s="1"/>
      <c r="P985" s="1"/>
      <c r="Q985" s="1"/>
      <c r="R985" s="1"/>
      <c r="S985" s="1"/>
    </row>
    <row r="986">
      <c r="I986" s="1"/>
      <c r="J986" s="1"/>
      <c r="K986" s="1"/>
      <c r="L986" s="1"/>
      <c r="M986" s="1"/>
      <c r="N986" s="1"/>
      <c r="O986" s="1"/>
      <c r="P986" s="1"/>
      <c r="Q986" s="1"/>
      <c r="R986" s="1"/>
      <c r="S986" s="1"/>
    </row>
    <row r="987">
      <c r="I987" s="1"/>
      <c r="J987" s="1"/>
      <c r="K987" s="1"/>
      <c r="L987" s="1"/>
      <c r="M987" s="1"/>
      <c r="N987" s="1"/>
      <c r="O987" s="1"/>
      <c r="P987" s="1"/>
      <c r="Q987" s="1"/>
      <c r="R987" s="1"/>
      <c r="S987" s="1"/>
    </row>
    <row r="988">
      <c r="I988" s="1"/>
      <c r="J988" s="1"/>
      <c r="K988" s="1"/>
      <c r="L988" s="1"/>
      <c r="M988" s="1"/>
      <c r="N988" s="1"/>
      <c r="O988" s="1"/>
      <c r="P988" s="1"/>
      <c r="Q988" s="1"/>
      <c r="R988" s="1"/>
      <c r="S988" s="1"/>
    </row>
    <row r="989">
      <c r="I989" s="1"/>
      <c r="J989" s="1"/>
      <c r="K989" s="1"/>
      <c r="L989" s="1"/>
      <c r="M989" s="1"/>
      <c r="N989" s="1"/>
      <c r="O989" s="1"/>
      <c r="P989" s="1"/>
      <c r="Q989" s="1"/>
      <c r="R989" s="1"/>
      <c r="S989" s="1"/>
    </row>
    <row r="990">
      <c r="I990" s="1"/>
      <c r="J990" s="1"/>
      <c r="K990" s="1"/>
      <c r="L990" s="1"/>
      <c r="M990" s="1"/>
      <c r="N990" s="1"/>
      <c r="O990" s="1"/>
      <c r="P990" s="1"/>
      <c r="Q990" s="1"/>
      <c r="R990" s="1"/>
      <c r="S990" s="1"/>
    </row>
    <row r="991">
      <c r="I991" s="1"/>
      <c r="J991" s="1"/>
      <c r="K991" s="1"/>
      <c r="L991" s="1"/>
      <c r="M991" s="1"/>
      <c r="N991" s="1"/>
      <c r="O991" s="1"/>
      <c r="P991" s="1"/>
      <c r="Q991" s="1"/>
      <c r="R991" s="1"/>
      <c r="S991" s="1"/>
    </row>
    <row r="992">
      <c r="I992" s="1"/>
      <c r="J992" s="1"/>
      <c r="K992" s="1"/>
      <c r="L992" s="1"/>
      <c r="M992" s="1"/>
      <c r="N992" s="1"/>
      <c r="O992" s="1"/>
      <c r="P992" s="1"/>
      <c r="Q992" s="1"/>
      <c r="R992" s="1"/>
      <c r="S992" s="1"/>
    </row>
    <row r="993">
      <c r="I993" s="1"/>
      <c r="J993" s="1"/>
      <c r="K993" s="1"/>
      <c r="L993" s="1"/>
      <c r="M993" s="1"/>
      <c r="N993" s="1"/>
      <c r="O993" s="1"/>
      <c r="P993" s="1"/>
      <c r="Q993" s="1"/>
      <c r="R993" s="1"/>
      <c r="S993" s="1"/>
    </row>
    <row r="994">
      <c r="I994" s="1"/>
      <c r="J994" s="1"/>
      <c r="K994" s="1"/>
      <c r="L994" s="1"/>
      <c r="M994" s="1"/>
      <c r="N994" s="1"/>
      <c r="O994" s="1"/>
      <c r="P994" s="1"/>
      <c r="Q994" s="1"/>
      <c r="R994" s="1"/>
      <c r="S994" s="1"/>
    </row>
    <row r="995">
      <c r="I995" s="1"/>
      <c r="J995" s="1"/>
      <c r="K995" s="1"/>
      <c r="L995" s="1"/>
      <c r="M995" s="1"/>
      <c r="N995" s="1"/>
      <c r="O995" s="1"/>
      <c r="P995" s="1"/>
      <c r="Q995" s="1"/>
      <c r="R995" s="1"/>
      <c r="S995" s="1"/>
    </row>
    <row r="996">
      <c r="I996" s="1"/>
      <c r="J996" s="1"/>
      <c r="K996" s="1"/>
      <c r="L996" s="1"/>
      <c r="M996" s="1"/>
      <c r="N996" s="1"/>
      <c r="O996" s="1"/>
      <c r="P996" s="1"/>
      <c r="Q996" s="1"/>
      <c r="R996" s="1"/>
      <c r="S996" s="1"/>
    </row>
    <row r="997">
      <c r="I997" s="1"/>
      <c r="J997" s="1"/>
      <c r="K997" s="1"/>
      <c r="L997" s="1"/>
      <c r="M997" s="1"/>
      <c r="N997" s="1"/>
      <c r="O997" s="1"/>
      <c r="P997" s="1"/>
      <c r="Q997" s="1"/>
      <c r="R997" s="1"/>
      <c r="S997" s="1"/>
    </row>
    <row r="998">
      <c r="I998" s="1"/>
      <c r="J998" s="1"/>
      <c r="K998" s="1"/>
      <c r="L998" s="1"/>
      <c r="M998" s="1"/>
      <c r="N998" s="1"/>
      <c r="O998" s="1"/>
      <c r="P998" s="1"/>
      <c r="Q998" s="1"/>
      <c r="R998" s="1"/>
      <c r="S998" s="1"/>
    </row>
    <row r="999">
      <c r="I999" s="1"/>
      <c r="J999" s="1"/>
      <c r="K999" s="1"/>
      <c r="L999" s="1"/>
      <c r="M999" s="1"/>
      <c r="N999" s="1"/>
      <c r="O999" s="1"/>
      <c r="P999" s="1"/>
      <c r="Q999" s="1"/>
      <c r="R999" s="1"/>
      <c r="S999" s="1"/>
    </row>
    <row r="1000">
      <c r="I1000" s="1"/>
      <c r="J1000" s="1"/>
      <c r="K1000" s="1"/>
      <c r="L1000" s="1"/>
      <c r="M1000" s="1"/>
      <c r="N1000" s="1"/>
      <c r="O1000" s="1"/>
      <c r="P1000" s="1"/>
      <c r="Q1000" s="1"/>
      <c r="R1000" s="1"/>
      <c r="S1000" s="1"/>
    </row>
    <row r="1001">
      <c r="I1001" s="1"/>
      <c r="J1001" s="1"/>
      <c r="K1001" s="1"/>
      <c r="L1001" s="1"/>
      <c r="M1001" s="1"/>
      <c r="N1001" s="1"/>
      <c r="O1001" s="1"/>
      <c r="P1001" s="1"/>
      <c r="Q1001" s="1"/>
      <c r="R1001" s="1"/>
      <c r="S1001" s="1"/>
    </row>
    <row r="1002">
      <c r="I1002" s="1"/>
      <c r="J1002" s="1"/>
      <c r="K1002" s="1"/>
      <c r="L1002" s="1"/>
      <c r="M1002" s="1"/>
      <c r="N1002" s="1"/>
      <c r="O1002" s="1"/>
      <c r="P1002" s="1"/>
      <c r="Q1002" s="1"/>
      <c r="R1002" s="1"/>
      <c r="S1002" s="1"/>
    </row>
    <row r="1003">
      <c r="I1003" s="1"/>
      <c r="J1003" s="1"/>
      <c r="K1003" s="1"/>
      <c r="L1003" s="1"/>
      <c r="M1003" s="1"/>
      <c r="N1003" s="1"/>
      <c r="O1003" s="1"/>
      <c r="P1003" s="1"/>
      <c r="Q1003" s="1"/>
      <c r="R1003" s="1"/>
      <c r="S1003" s="1"/>
    </row>
    <row r="1004">
      <c r="I1004" s="1"/>
      <c r="J1004" s="1"/>
      <c r="K1004" s="1"/>
      <c r="L1004" s="1"/>
      <c r="M1004" s="1"/>
      <c r="N1004" s="1"/>
      <c r="O1004" s="1"/>
      <c r="P1004" s="1"/>
      <c r="Q1004" s="1"/>
      <c r="R1004" s="1"/>
      <c r="S1004" s="1"/>
    </row>
  </sheetData>
  <hyperlinks>
    <hyperlink r:id="rId1" ref="G2"/>
    <hyperlink r:id="rId2" ref="H2"/>
    <hyperlink r:id="rId3" ref="J2"/>
    <hyperlink r:id="rId4" ref="K2"/>
    <hyperlink r:id="rId5" ref="L2"/>
    <hyperlink r:id="rId6" ref="M2"/>
    <hyperlink r:id="rId7" ref="N2"/>
    <hyperlink r:id="rId8" ref="O2"/>
    <hyperlink r:id="rId9" ref="G3"/>
    <hyperlink r:id="rId10" ref="H3"/>
    <hyperlink r:id="rId11" ref="J3"/>
    <hyperlink r:id="rId12" ref="K3"/>
    <hyperlink r:id="rId13" ref="L3"/>
    <hyperlink r:id="rId14" ref="M3"/>
    <hyperlink r:id="rId15" ref="N3"/>
    <hyperlink r:id="rId16" ref="O3"/>
    <hyperlink r:id="rId17" ref="P3"/>
    <hyperlink r:id="rId18" ref="Q3"/>
    <hyperlink r:id="rId19" ref="R3"/>
    <hyperlink r:id="rId20" ref="S3"/>
    <hyperlink r:id="rId21" ref="G4"/>
    <hyperlink r:id="rId22" ref="H4"/>
    <hyperlink r:id="rId23" ref="J4"/>
    <hyperlink r:id="rId24" ref="K4"/>
    <hyperlink r:id="rId25" ref="L4"/>
    <hyperlink r:id="rId26" ref="M4"/>
    <hyperlink r:id="rId27" ref="N4"/>
    <hyperlink r:id="rId28" ref="O4"/>
    <hyperlink r:id="rId29" ref="G5"/>
    <hyperlink r:id="rId30" ref="H5"/>
    <hyperlink r:id="rId31" ref="J5"/>
    <hyperlink r:id="rId32" ref="K5"/>
    <hyperlink r:id="rId33" ref="L5"/>
    <hyperlink r:id="rId34" ref="M5"/>
    <hyperlink r:id="rId35" ref="N5"/>
    <hyperlink r:id="rId36" ref="G6"/>
    <hyperlink r:id="rId37" ref="H6"/>
    <hyperlink r:id="rId38" ref="J6"/>
    <hyperlink r:id="rId39" ref="K6"/>
    <hyperlink r:id="rId40" ref="L6"/>
    <hyperlink r:id="rId41" ref="M6"/>
    <hyperlink r:id="rId42" ref="N6"/>
    <hyperlink r:id="rId43" ref="O6"/>
    <hyperlink r:id="rId44" ref="P6"/>
    <hyperlink r:id="rId45" ref="G7"/>
    <hyperlink r:id="rId46" ref="H7"/>
    <hyperlink r:id="rId47" ref="G8"/>
    <hyperlink r:id="rId48" ref="H8"/>
    <hyperlink r:id="rId49" ref="J8"/>
    <hyperlink r:id="rId50" ref="K8"/>
    <hyperlink r:id="rId51" ref="L8"/>
    <hyperlink r:id="rId52" ref="M8"/>
    <hyperlink r:id="rId53" ref="N8"/>
    <hyperlink r:id="rId54" ref="O8"/>
    <hyperlink r:id="rId55" ref="P8"/>
    <hyperlink r:id="rId56" ref="Q8"/>
    <hyperlink r:id="rId57" ref="R8"/>
    <hyperlink r:id="rId58" ref="S8"/>
    <hyperlink r:id="rId59" ref="G9"/>
    <hyperlink r:id="rId60" ref="H9"/>
    <hyperlink r:id="rId61" ref="J9"/>
    <hyperlink r:id="rId62" ref="K9"/>
    <hyperlink r:id="rId63" ref="L9"/>
    <hyperlink r:id="rId64" ref="M9"/>
    <hyperlink r:id="rId65" ref="N9"/>
    <hyperlink r:id="rId66" ref="O9"/>
    <hyperlink r:id="rId67" ref="P9"/>
    <hyperlink r:id="rId68" ref="Q9"/>
    <hyperlink r:id="rId69" ref="R9"/>
    <hyperlink r:id="rId70" ref="G10"/>
    <hyperlink r:id="rId71" ref="H10"/>
    <hyperlink r:id="rId72" ref="J10"/>
    <hyperlink r:id="rId73" ref="K10"/>
    <hyperlink r:id="rId74" ref="L10"/>
    <hyperlink r:id="rId75" ref="M10"/>
    <hyperlink r:id="rId76" ref="N10"/>
    <hyperlink r:id="rId77" ref="O10"/>
    <hyperlink r:id="rId78" ref="P10"/>
    <hyperlink r:id="rId79" ref="Q10"/>
    <hyperlink r:id="rId80" ref="R10"/>
    <hyperlink r:id="rId81" ref="G11"/>
    <hyperlink r:id="rId82" ref="H11"/>
    <hyperlink r:id="rId83" ref="J11"/>
    <hyperlink r:id="rId84" ref="K11"/>
    <hyperlink r:id="rId85" ref="L11"/>
    <hyperlink r:id="rId86" ref="M11"/>
    <hyperlink r:id="rId87" ref="G12"/>
    <hyperlink r:id="rId88" ref="H12"/>
    <hyperlink r:id="rId89" ref="J12"/>
    <hyperlink r:id="rId90" ref="K12"/>
    <hyperlink r:id="rId91" ref="L12"/>
    <hyperlink r:id="rId92" ref="M12"/>
    <hyperlink r:id="rId93" ref="N12"/>
    <hyperlink r:id="rId94" ref="O12"/>
    <hyperlink r:id="rId95" ref="P12"/>
    <hyperlink r:id="rId96" ref="Q12"/>
    <hyperlink r:id="rId97" ref="R12"/>
    <hyperlink r:id="rId98" ref="S12"/>
    <hyperlink r:id="rId99" ref="G13"/>
    <hyperlink r:id="rId100" ref="H13"/>
    <hyperlink r:id="rId101" ref="J13"/>
    <hyperlink r:id="rId102" ref="K13"/>
    <hyperlink r:id="rId103" ref="L13"/>
    <hyperlink r:id="rId104" ref="M13"/>
    <hyperlink r:id="rId105" ref="N13"/>
    <hyperlink r:id="rId106" ref="O13"/>
    <hyperlink r:id="rId107" ref="P13"/>
    <hyperlink r:id="rId108" ref="Q13"/>
    <hyperlink r:id="rId109" ref="R13"/>
    <hyperlink r:id="rId110" ref="S13"/>
    <hyperlink r:id="rId111" ref="G14"/>
    <hyperlink r:id="rId112" ref="H14"/>
    <hyperlink r:id="rId113" ref="J14"/>
    <hyperlink r:id="rId114" ref="K14"/>
    <hyperlink r:id="rId115" ref="L14"/>
    <hyperlink r:id="rId116" ref="M14"/>
    <hyperlink r:id="rId117" ref="N14"/>
    <hyperlink r:id="rId118" ref="O14"/>
    <hyperlink r:id="rId119" ref="P14"/>
    <hyperlink r:id="rId120" ref="Q14"/>
    <hyperlink r:id="rId121" ref="R14"/>
    <hyperlink r:id="rId122" ref="S14"/>
    <hyperlink r:id="rId123" ref="G15"/>
    <hyperlink r:id="rId124" ref="H15"/>
    <hyperlink r:id="rId125" ref="J15"/>
    <hyperlink r:id="rId126" ref="K15"/>
    <hyperlink r:id="rId127" ref="L15"/>
    <hyperlink r:id="rId128" ref="M15"/>
    <hyperlink r:id="rId129" ref="G16"/>
    <hyperlink r:id="rId130" ref="H16"/>
    <hyperlink r:id="rId131" ref="J16"/>
    <hyperlink r:id="rId132" ref="G17"/>
    <hyperlink r:id="rId133" ref="H17"/>
    <hyperlink r:id="rId134" ref="J17"/>
    <hyperlink r:id="rId135" ref="K17"/>
    <hyperlink r:id="rId136" ref="L17"/>
    <hyperlink r:id="rId137" ref="M17"/>
    <hyperlink r:id="rId138" ref="N17"/>
    <hyperlink r:id="rId139" ref="O17"/>
    <hyperlink r:id="rId140" ref="P17"/>
    <hyperlink r:id="rId141" ref="Q17"/>
    <hyperlink r:id="rId142" ref="R17"/>
    <hyperlink r:id="rId143" ref="S17"/>
    <hyperlink r:id="rId144" ref="G18"/>
    <hyperlink r:id="rId145" ref="H18"/>
    <hyperlink r:id="rId146" ref="J18"/>
    <hyperlink r:id="rId147" ref="K18"/>
    <hyperlink r:id="rId148" ref="L18"/>
    <hyperlink r:id="rId149" ref="M18"/>
    <hyperlink r:id="rId150" ref="N18"/>
    <hyperlink r:id="rId151" ref="O18"/>
    <hyperlink r:id="rId152" ref="P18"/>
    <hyperlink r:id="rId153" ref="Q18"/>
    <hyperlink r:id="rId154" ref="R18"/>
    <hyperlink r:id="rId155" ref="S18"/>
    <hyperlink r:id="rId156" ref="G19"/>
    <hyperlink r:id="rId157" ref="H19"/>
    <hyperlink r:id="rId158" ref="J19"/>
    <hyperlink r:id="rId159" ref="K19"/>
    <hyperlink r:id="rId160" ref="L19"/>
    <hyperlink r:id="rId161" ref="M19"/>
    <hyperlink r:id="rId162" ref="N19"/>
    <hyperlink r:id="rId163" ref="O19"/>
    <hyperlink r:id="rId164" ref="P19"/>
    <hyperlink r:id="rId165" ref="G20"/>
    <hyperlink r:id="rId166" ref="H20"/>
    <hyperlink r:id="rId167" ref="J20"/>
    <hyperlink r:id="rId168" ref="K20"/>
    <hyperlink r:id="rId169" ref="L20"/>
    <hyperlink r:id="rId170" ref="M20"/>
    <hyperlink r:id="rId171" ref="N20"/>
    <hyperlink r:id="rId172" ref="O20"/>
    <hyperlink r:id="rId173" ref="P20"/>
    <hyperlink r:id="rId174" ref="G21"/>
    <hyperlink r:id="rId175" ref="H21"/>
    <hyperlink r:id="rId176" ref="J21"/>
    <hyperlink r:id="rId177" ref="K21"/>
    <hyperlink r:id="rId178" ref="L21"/>
    <hyperlink r:id="rId179" ref="G22"/>
    <hyperlink r:id="rId180" ref="H22"/>
    <hyperlink r:id="rId181" ref="J22"/>
    <hyperlink r:id="rId182" ref="K22"/>
    <hyperlink r:id="rId183" ref="L22"/>
    <hyperlink r:id="rId184" ref="M22"/>
    <hyperlink r:id="rId185" ref="G23"/>
    <hyperlink r:id="rId186" ref="H23"/>
    <hyperlink r:id="rId187" ref="J23"/>
    <hyperlink r:id="rId188" ref="K23"/>
    <hyperlink r:id="rId189" ref="L23"/>
    <hyperlink r:id="rId190" ref="M23"/>
    <hyperlink r:id="rId191" ref="N23"/>
    <hyperlink r:id="rId192" ref="O23"/>
    <hyperlink r:id="rId193" ref="P23"/>
    <hyperlink r:id="rId194" ref="Q23"/>
    <hyperlink r:id="rId195" ref="R23"/>
    <hyperlink r:id="rId196" ref="S23"/>
    <hyperlink r:id="rId197" ref="G24"/>
    <hyperlink r:id="rId198" ref="H24"/>
    <hyperlink r:id="rId199" ref="J24"/>
    <hyperlink r:id="rId200" ref="K24"/>
    <hyperlink r:id="rId201" ref="L24"/>
    <hyperlink r:id="rId202" ref="M24"/>
    <hyperlink r:id="rId203" ref="N24"/>
    <hyperlink r:id="rId204" ref="G25"/>
    <hyperlink r:id="rId205" ref="H25"/>
    <hyperlink r:id="rId206" ref="J25"/>
    <hyperlink r:id="rId207" ref="K25"/>
    <hyperlink r:id="rId208" ref="L25"/>
    <hyperlink r:id="rId209" ref="M25"/>
    <hyperlink r:id="rId210" ref="N25"/>
    <hyperlink r:id="rId211" ref="O25"/>
    <hyperlink r:id="rId212" ref="P25"/>
    <hyperlink r:id="rId213" ref="Q25"/>
    <hyperlink r:id="rId214" ref="R25"/>
    <hyperlink r:id="rId215" ref="S25"/>
    <hyperlink r:id="rId216" ref="G26"/>
    <hyperlink r:id="rId217" ref="H26"/>
    <hyperlink r:id="rId218" ref="J26"/>
    <hyperlink r:id="rId219" ref="K26"/>
    <hyperlink r:id="rId220" ref="L26"/>
    <hyperlink r:id="rId221" ref="M26"/>
    <hyperlink r:id="rId222" ref="N26"/>
    <hyperlink r:id="rId223" ref="O26"/>
    <hyperlink r:id="rId224" ref="P26"/>
    <hyperlink r:id="rId225" ref="G27"/>
    <hyperlink r:id="rId226" ref="H27"/>
    <hyperlink r:id="rId227" ref="J27"/>
    <hyperlink r:id="rId228" ref="K27"/>
    <hyperlink r:id="rId229" ref="L27"/>
    <hyperlink r:id="rId230" ref="M27"/>
    <hyperlink r:id="rId231" ref="N27"/>
    <hyperlink r:id="rId232" ref="O27"/>
    <hyperlink r:id="rId233" ref="P27"/>
    <hyperlink r:id="rId234" ref="Q27"/>
    <hyperlink r:id="rId235" ref="R27"/>
    <hyperlink r:id="rId236" ref="S27"/>
    <hyperlink r:id="rId237" ref="G28"/>
    <hyperlink r:id="rId238" ref="H28"/>
    <hyperlink r:id="rId239" ref="J28"/>
    <hyperlink r:id="rId240" ref="K28"/>
    <hyperlink r:id="rId241" ref="L28"/>
    <hyperlink r:id="rId242" ref="M28"/>
    <hyperlink r:id="rId243" ref="N28"/>
    <hyperlink r:id="rId244" ref="O28"/>
    <hyperlink r:id="rId245" ref="P28"/>
    <hyperlink r:id="rId246" ref="Q28"/>
    <hyperlink r:id="rId247" ref="R28"/>
    <hyperlink r:id="rId248" ref="G29"/>
    <hyperlink r:id="rId249" ref="H29"/>
    <hyperlink r:id="rId250" ref="J29"/>
    <hyperlink r:id="rId251" ref="K29"/>
    <hyperlink r:id="rId252" ref="L29"/>
    <hyperlink r:id="rId253" ref="M29"/>
    <hyperlink r:id="rId254" ref="N29"/>
    <hyperlink r:id="rId255" ref="O29"/>
    <hyperlink r:id="rId256" ref="P29"/>
    <hyperlink r:id="rId257" ref="Q29"/>
    <hyperlink r:id="rId258" ref="G30"/>
    <hyperlink r:id="rId259" ref="H30"/>
    <hyperlink r:id="rId260" ref="J30"/>
    <hyperlink r:id="rId261" ref="K30"/>
    <hyperlink r:id="rId262" ref="L30"/>
    <hyperlink r:id="rId263" ref="M30"/>
    <hyperlink r:id="rId264" ref="N30"/>
    <hyperlink r:id="rId265" ref="O30"/>
    <hyperlink r:id="rId266" ref="P30"/>
    <hyperlink r:id="rId267" ref="Q30"/>
    <hyperlink r:id="rId268" ref="R30"/>
    <hyperlink r:id="rId269" ref="S30"/>
    <hyperlink r:id="rId270" ref="G31"/>
    <hyperlink r:id="rId271" ref="H31"/>
    <hyperlink r:id="rId272" ref="J31"/>
    <hyperlink r:id="rId273" ref="K31"/>
    <hyperlink r:id="rId274" ref="L31"/>
    <hyperlink r:id="rId275" ref="M31"/>
    <hyperlink r:id="rId276" ref="N31"/>
    <hyperlink r:id="rId277" ref="O31"/>
    <hyperlink r:id="rId278" ref="P31"/>
    <hyperlink r:id="rId279" ref="Q31"/>
    <hyperlink r:id="rId280" ref="R31"/>
    <hyperlink r:id="rId281" ref="S31"/>
    <hyperlink r:id="rId282" ref="G32"/>
    <hyperlink r:id="rId283" ref="H32"/>
    <hyperlink r:id="rId284" ref="J32"/>
    <hyperlink r:id="rId285" ref="K32"/>
    <hyperlink r:id="rId286" ref="L32"/>
    <hyperlink r:id="rId287" ref="M32"/>
    <hyperlink r:id="rId288" ref="N32"/>
    <hyperlink r:id="rId289" ref="O32"/>
    <hyperlink r:id="rId290" ref="P32"/>
    <hyperlink r:id="rId291" ref="Q32"/>
    <hyperlink r:id="rId292" ref="R32"/>
    <hyperlink r:id="rId293" ref="G33"/>
    <hyperlink r:id="rId294" ref="H33"/>
    <hyperlink r:id="rId295" ref="J33"/>
    <hyperlink r:id="rId296" ref="K33"/>
    <hyperlink r:id="rId297" ref="L33"/>
    <hyperlink r:id="rId298" ref="M33"/>
    <hyperlink r:id="rId299" ref="N33"/>
    <hyperlink r:id="rId300" ref="O33"/>
    <hyperlink r:id="rId301" ref="P33"/>
    <hyperlink r:id="rId302" ref="Q33"/>
    <hyperlink r:id="rId303" ref="R33"/>
    <hyperlink r:id="rId304" ref="S33"/>
    <hyperlink r:id="rId305" ref="G34"/>
    <hyperlink r:id="rId306" ref="H34"/>
    <hyperlink r:id="rId307" ref="J34"/>
    <hyperlink r:id="rId308" ref="K34"/>
    <hyperlink r:id="rId309" ref="L34"/>
    <hyperlink r:id="rId310" ref="M34"/>
    <hyperlink r:id="rId311" ref="N34"/>
    <hyperlink r:id="rId312" ref="O34"/>
    <hyperlink r:id="rId313" ref="P34"/>
    <hyperlink r:id="rId314" ref="Q34"/>
    <hyperlink r:id="rId315" ref="G35"/>
    <hyperlink r:id="rId316" ref="H35"/>
    <hyperlink r:id="rId317" ref="J35"/>
    <hyperlink r:id="rId318" ref="K35"/>
    <hyperlink r:id="rId319" ref="L35"/>
    <hyperlink r:id="rId320" ref="M35"/>
    <hyperlink r:id="rId321" ref="N35"/>
    <hyperlink r:id="rId322" ref="O35"/>
    <hyperlink r:id="rId323" ref="P35"/>
    <hyperlink r:id="rId324" ref="Q35"/>
    <hyperlink r:id="rId325" ref="R35"/>
    <hyperlink r:id="rId326" ref="S35"/>
    <hyperlink r:id="rId327" ref="G36"/>
    <hyperlink r:id="rId328" ref="H36"/>
    <hyperlink r:id="rId329" ref="J36"/>
    <hyperlink r:id="rId330" ref="K36"/>
    <hyperlink r:id="rId331" ref="L36"/>
    <hyperlink r:id="rId332" ref="M36"/>
    <hyperlink r:id="rId333" ref="N36"/>
    <hyperlink r:id="rId334" ref="G37"/>
    <hyperlink r:id="rId335" ref="H37"/>
    <hyperlink r:id="rId336" ref="J37"/>
    <hyperlink r:id="rId337" ref="K37"/>
    <hyperlink r:id="rId338" ref="L37"/>
    <hyperlink r:id="rId339" ref="M37"/>
    <hyperlink r:id="rId340" ref="N37"/>
    <hyperlink r:id="rId341" ref="O37"/>
    <hyperlink r:id="rId342" ref="G38"/>
    <hyperlink r:id="rId343" ref="H38"/>
    <hyperlink r:id="rId344" ref="J38"/>
    <hyperlink r:id="rId345" ref="K38"/>
    <hyperlink r:id="rId346" ref="L38"/>
    <hyperlink r:id="rId347" ref="M38"/>
    <hyperlink r:id="rId348" ref="N38"/>
    <hyperlink r:id="rId349" ref="O38"/>
    <hyperlink r:id="rId350" ref="P38"/>
    <hyperlink r:id="rId351" ref="Q38"/>
    <hyperlink r:id="rId352" ref="R38"/>
    <hyperlink r:id="rId353" ref="S38"/>
    <hyperlink r:id="rId354" ref="G39"/>
    <hyperlink r:id="rId355" ref="H39"/>
    <hyperlink r:id="rId356" ref="J39"/>
    <hyperlink r:id="rId357" ref="K39"/>
    <hyperlink r:id="rId358" ref="L39"/>
    <hyperlink r:id="rId359" ref="M39"/>
    <hyperlink r:id="rId360" ref="N39"/>
    <hyperlink r:id="rId361" ref="O39"/>
    <hyperlink r:id="rId362" ref="P39"/>
    <hyperlink r:id="rId363" ref="Q39"/>
    <hyperlink r:id="rId364" ref="R39"/>
    <hyperlink r:id="rId365" ref="S39"/>
    <hyperlink r:id="rId366" ref="G40"/>
    <hyperlink r:id="rId367" ref="H40"/>
    <hyperlink r:id="rId368" ref="J40"/>
    <hyperlink r:id="rId369" ref="K40"/>
    <hyperlink r:id="rId370" ref="L40"/>
    <hyperlink r:id="rId371" ref="M40"/>
    <hyperlink r:id="rId372" ref="N40"/>
    <hyperlink r:id="rId373" ref="O40"/>
    <hyperlink r:id="rId374" ref="P40"/>
    <hyperlink r:id="rId375" ref="Q40"/>
    <hyperlink r:id="rId376" ref="R40"/>
    <hyperlink r:id="rId377" ref="S40"/>
    <hyperlink r:id="rId378" ref="G41"/>
    <hyperlink r:id="rId379" ref="H41"/>
    <hyperlink r:id="rId380" ref="J41"/>
    <hyperlink r:id="rId381" ref="K41"/>
    <hyperlink r:id="rId382" ref="L41"/>
    <hyperlink r:id="rId383" ref="M41"/>
    <hyperlink r:id="rId384" ref="N41"/>
    <hyperlink r:id="rId385" ref="O41"/>
    <hyperlink r:id="rId386" ref="P41"/>
    <hyperlink r:id="rId387" ref="Q41"/>
    <hyperlink r:id="rId388" ref="R41"/>
    <hyperlink r:id="rId389" ref="S41"/>
    <hyperlink r:id="rId390" ref="G42"/>
    <hyperlink r:id="rId391" ref="H42"/>
    <hyperlink r:id="rId392" ref="J42"/>
    <hyperlink r:id="rId393" ref="K42"/>
    <hyperlink r:id="rId394" ref="L42"/>
    <hyperlink r:id="rId395" ref="M42"/>
    <hyperlink r:id="rId396" ref="N42"/>
    <hyperlink r:id="rId397" ref="O42"/>
    <hyperlink r:id="rId398" ref="P42"/>
    <hyperlink r:id="rId399" ref="Q42"/>
    <hyperlink r:id="rId400" ref="R42"/>
    <hyperlink r:id="rId401" ref="S42"/>
    <hyperlink r:id="rId402" ref="G43"/>
    <hyperlink r:id="rId403" ref="H43"/>
    <hyperlink r:id="rId404" ref="J43"/>
    <hyperlink r:id="rId405" ref="K43"/>
    <hyperlink r:id="rId406" ref="L43"/>
    <hyperlink r:id="rId407" ref="M43"/>
    <hyperlink r:id="rId408" ref="N43"/>
    <hyperlink r:id="rId409" ref="O43"/>
    <hyperlink r:id="rId410" ref="P43"/>
    <hyperlink r:id="rId411" ref="Q43"/>
    <hyperlink r:id="rId412" ref="G44"/>
    <hyperlink r:id="rId413" ref="H44"/>
    <hyperlink r:id="rId414" ref="J44"/>
    <hyperlink r:id="rId415" ref="K44"/>
    <hyperlink r:id="rId416" ref="L44"/>
    <hyperlink r:id="rId417" ref="M44"/>
    <hyperlink r:id="rId418" ref="N44"/>
    <hyperlink r:id="rId419" ref="O44"/>
    <hyperlink r:id="rId420" ref="P44"/>
    <hyperlink r:id="rId421" ref="Q44"/>
    <hyperlink r:id="rId422" ref="R44"/>
    <hyperlink r:id="rId423" ref="S44"/>
    <hyperlink r:id="rId424" ref="G45"/>
    <hyperlink r:id="rId425" ref="H45"/>
    <hyperlink r:id="rId426" ref="G46"/>
    <hyperlink r:id="rId427" ref="H46"/>
    <hyperlink r:id="rId428" ref="J46"/>
    <hyperlink r:id="rId429" ref="K46"/>
    <hyperlink r:id="rId430" ref="G47"/>
    <hyperlink r:id="rId431" ref="H47"/>
    <hyperlink r:id="rId432" ref="J47"/>
    <hyperlink r:id="rId433" ref="K47"/>
    <hyperlink r:id="rId434" ref="L47"/>
    <hyperlink r:id="rId435" ref="M47"/>
    <hyperlink r:id="rId436" ref="N47"/>
    <hyperlink r:id="rId437" ref="O47"/>
    <hyperlink r:id="rId438" ref="P47"/>
    <hyperlink r:id="rId439" ref="Q47"/>
    <hyperlink r:id="rId440" ref="R47"/>
    <hyperlink r:id="rId441" ref="S47"/>
    <hyperlink r:id="rId442" ref="G48"/>
    <hyperlink r:id="rId443" ref="H48"/>
    <hyperlink r:id="rId444" ref="J48"/>
    <hyperlink r:id="rId445" ref="K48"/>
    <hyperlink r:id="rId446" ref="L48"/>
    <hyperlink r:id="rId447" ref="M48"/>
    <hyperlink r:id="rId448" ref="N48"/>
    <hyperlink r:id="rId449" ref="O48"/>
    <hyperlink r:id="rId450" ref="P48"/>
    <hyperlink r:id="rId451" ref="Q48"/>
    <hyperlink r:id="rId452" ref="R48"/>
    <hyperlink r:id="rId453" ref="S48"/>
    <hyperlink r:id="rId454" ref="G49"/>
    <hyperlink r:id="rId455" ref="H49"/>
    <hyperlink r:id="rId456" ref="J49"/>
    <hyperlink r:id="rId457" ref="K49"/>
    <hyperlink r:id="rId458" ref="L49"/>
    <hyperlink r:id="rId459" ref="M49"/>
    <hyperlink r:id="rId460" ref="N49"/>
    <hyperlink r:id="rId461" ref="O49"/>
    <hyperlink r:id="rId462" ref="P49"/>
    <hyperlink r:id="rId463" ref="Q49"/>
    <hyperlink r:id="rId464" ref="G50"/>
    <hyperlink r:id="rId465" ref="H50"/>
    <hyperlink r:id="rId466" ref="J50"/>
    <hyperlink r:id="rId467" ref="K50"/>
    <hyperlink r:id="rId468" ref="L50"/>
    <hyperlink r:id="rId469" ref="M50"/>
    <hyperlink r:id="rId470" ref="N50"/>
    <hyperlink r:id="rId471" ref="O50"/>
    <hyperlink r:id="rId472" ref="P50"/>
    <hyperlink r:id="rId473" ref="Q50"/>
    <hyperlink r:id="rId474" ref="R50"/>
    <hyperlink r:id="rId475" ref="S50"/>
    <hyperlink r:id="rId476" ref="G51"/>
    <hyperlink r:id="rId477" ref="H51"/>
    <hyperlink r:id="rId478" ref="J51"/>
    <hyperlink r:id="rId479" ref="K51"/>
    <hyperlink r:id="rId480" ref="L51"/>
    <hyperlink r:id="rId481" ref="M51"/>
    <hyperlink r:id="rId482" ref="N51"/>
    <hyperlink r:id="rId483" ref="O51"/>
    <hyperlink r:id="rId484" ref="P51"/>
    <hyperlink r:id="rId485" ref="Q51"/>
    <hyperlink r:id="rId486" ref="R51"/>
    <hyperlink r:id="rId487" ref="S51"/>
    <hyperlink r:id="rId488" ref="G52"/>
    <hyperlink r:id="rId489" ref="H52"/>
    <hyperlink r:id="rId490" ref="J52"/>
    <hyperlink r:id="rId491" ref="K52"/>
    <hyperlink r:id="rId492" ref="L52"/>
    <hyperlink r:id="rId493" ref="M52"/>
    <hyperlink r:id="rId494" ref="N52"/>
    <hyperlink r:id="rId495" ref="O52"/>
    <hyperlink r:id="rId496" ref="P52"/>
    <hyperlink r:id="rId497" ref="Q52"/>
    <hyperlink r:id="rId498" ref="R52"/>
    <hyperlink r:id="rId499" ref="S52"/>
    <hyperlink r:id="rId500" ref="G53"/>
    <hyperlink r:id="rId501" ref="H53"/>
    <hyperlink r:id="rId502" ref="J53"/>
    <hyperlink r:id="rId503" ref="K53"/>
    <hyperlink r:id="rId504" ref="L53"/>
    <hyperlink r:id="rId505" ref="M53"/>
    <hyperlink r:id="rId506" ref="N53"/>
    <hyperlink r:id="rId507" ref="O53"/>
    <hyperlink r:id="rId508" ref="G54"/>
    <hyperlink r:id="rId509" ref="H54"/>
    <hyperlink r:id="rId510" ref="J54"/>
    <hyperlink r:id="rId511" ref="K54"/>
    <hyperlink r:id="rId512" ref="L54"/>
    <hyperlink r:id="rId513" ref="M54"/>
    <hyperlink r:id="rId514" ref="N54"/>
    <hyperlink r:id="rId515" ref="O54"/>
    <hyperlink r:id="rId516" ref="P54"/>
    <hyperlink r:id="rId517" ref="Q54"/>
    <hyperlink r:id="rId518" ref="R54"/>
    <hyperlink r:id="rId519" ref="S54"/>
    <hyperlink r:id="rId520" ref="G55"/>
    <hyperlink r:id="rId521" ref="H55"/>
    <hyperlink r:id="rId522" ref="J55"/>
    <hyperlink r:id="rId523" ref="K55"/>
    <hyperlink r:id="rId524" ref="L55"/>
    <hyperlink r:id="rId525" ref="M55"/>
    <hyperlink r:id="rId526" ref="N55"/>
    <hyperlink r:id="rId527" ref="O55"/>
    <hyperlink r:id="rId528" ref="P55"/>
    <hyperlink r:id="rId529" ref="Q55"/>
    <hyperlink r:id="rId530" ref="R55"/>
    <hyperlink r:id="rId531" ref="S55"/>
    <hyperlink r:id="rId532" ref="G56"/>
    <hyperlink r:id="rId533" ref="H56"/>
    <hyperlink r:id="rId534" ref="J56"/>
    <hyperlink r:id="rId535" ref="K56"/>
    <hyperlink r:id="rId536" ref="L56"/>
    <hyperlink r:id="rId537" ref="M56"/>
    <hyperlink r:id="rId538" ref="N56"/>
    <hyperlink r:id="rId539" ref="O56"/>
    <hyperlink r:id="rId540" ref="P56"/>
    <hyperlink r:id="rId541" ref="Q56"/>
    <hyperlink r:id="rId542" ref="R56"/>
    <hyperlink r:id="rId543" ref="S56"/>
    <hyperlink r:id="rId544" ref="G57"/>
    <hyperlink r:id="rId545" ref="H57"/>
    <hyperlink r:id="rId546" ref="J57"/>
    <hyperlink r:id="rId547" ref="K57"/>
    <hyperlink r:id="rId548" ref="L57"/>
    <hyperlink r:id="rId549" ref="M57"/>
    <hyperlink r:id="rId550" ref="N57"/>
    <hyperlink r:id="rId551" ref="O57"/>
    <hyperlink r:id="rId552" ref="P57"/>
    <hyperlink r:id="rId553" ref="Q57"/>
    <hyperlink r:id="rId554" ref="R57"/>
    <hyperlink r:id="rId555" ref="S57"/>
    <hyperlink r:id="rId556" ref="G58"/>
    <hyperlink r:id="rId557" ref="H58"/>
    <hyperlink r:id="rId558" ref="J58"/>
    <hyperlink r:id="rId559" ref="K58"/>
    <hyperlink r:id="rId560" ref="L58"/>
    <hyperlink r:id="rId561" ref="M58"/>
    <hyperlink r:id="rId562" ref="N58"/>
    <hyperlink r:id="rId563" ref="O58"/>
    <hyperlink r:id="rId564" ref="P58"/>
    <hyperlink r:id="rId565" ref="Q58"/>
    <hyperlink r:id="rId566" ref="R58"/>
    <hyperlink r:id="rId567" ref="G59"/>
    <hyperlink r:id="rId568" ref="H59"/>
    <hyperlink r:id="rId569" ref="J59"/>
    <hyperlink r:id="rId570" ref="K59"/>
    <hyperlink r:id="rId571" ref="L59"/>
    <hyperlink r:id="rId572" ref="M59"/>
    <hyperlink r:id="rId573" ref="N59"/>
    <hyperlink r:id="rId574" ref="O59"/>
    <hyperlink r:id="rId575" ref="G60"/>
    <hyperlink r:id="rId576" ref="H60"/>
    <hyperlink r:id="rId577" ref="J60"/>
    <hyperlink r:id="rId578" ref="K60"/>
    <hyperlink r:id="rId579" ref="L60"/>
    <hyperlink r:id="rId580" ref="M60"/>
    <hyperlink r:id="rId581" ref="N60"/>
    <hyperlink r:id="rId582" ref="O60"/>
    <hyperlink r:id="rId583" ref="P60"/>
    <hyperlink r:id="rId584" ref="Q60"/>
    <hyperlink r:id="rId585" ref="R60"/>
    <hyperlink r:id="rId586" ref="S60"/>
    <hyperlink r:id="rId587" ref="G61"/>
    <hyperlink r:id="rId588" ref="H61"/>
    <hyperlink r:id="rId589" ref="J61"/>
    <hyperlink r:id="rId590" ref="K61"/>
    <hyperlink r:id="rId591" ref="L61"/>
    <hyperlink r:id="rId592" ref="M61"/>
    <hyperlink r:id="rId593" ref="N61"/>
    <hyperlink r:id="rId594" ref="O61"/>
    <hyperlink r:id="rId595" ref="P61"/>
    <hyperlink r:id="rId596" ref="Q61"/>
    <hyperlink r:id="rId597" ref="R61"/>
    <hyperlink r:id="rId598" ref="S61"/>
    <hyperlink r:id="rId599" ref="G62"/>
    <hyperlink r:id="rId600" ref="H62"/>
    <hyperlink r:id="rId601" ref="J62"/>
    <hyperlink r:id="rId602" ref="K62"/>
    <hyperlink r:id="rId603" ref="L62"/>
    <hyperlink r:id="rId604" ref="M62"/>
    <hyperlink r:id="rId605" ref="N62"/>
    <hyperlink r:id="rId606" ref="O62"/>
    <hyperlink r:id="rId607" ref="P62"/>
    <hyperlink r:id="rId608" ref="Q62"/>
    <hyperlink r:id="rId609" ref="R62"/>
    <hyperlink r:id="rId610" ref="S62"/>
    <hyperlink r:id="rId611" ref="G63"/>
    <hyperlink r:id="rId612" ref="H63"/>
    <hyperlink r:id="rId613" ref="J63"/>
    <hyperlink r:id="rId614" ref="K63"/>
    <hyperlink r:id="rId615" ref="L63"/>
    <hyperlink r:id="rId616" ref="M63"/>
    <hyperlink r:id="rId617" ref="N63"/>
    <hyperlink r:id="rId618" ref="O63"/>
    <hyperlink r:id="rId619" ref="P63"/>
    <hyperlink r:id="rId620" ref="Q63"/>
    <hyperlink r:id="rId621" ref="R63"/>
    <hyperlink r:id="rId622" ref="S63"/>
    <hyperlink r:id="rId623" ref="G64"/>
    <hyperlink r:id="rId624" ref="H64"/>
    <hyperlink r:id="rId625" ref="J64"/>
    <hyperlink r:id="rId626" ref="G65"/>
    <hyperlink r:id="rId627" ref="H65"/>
    <hyperlink r:id="rId628" ref="J65"/>
    <hyperlink r:id="rId629" ref="K65"/>
    <hyperlink r:id="rId630" ref="L65"/>
    <hyperlink r:id="rId631" ref="M65"/>
    <hyperlink r:id="rId632" ref="N65"/>
    <hyperlink r:id="rId633" ref="O65"/>
    <hyperlink r:id="rId634" ref="P65"/>
    <hyperlink r:id="rId635" ref="Q65"/>
    <hyperlink r:id="rId636" ref="G66"/>
    <hyperlink r:id="rId637" ref="H66"/>
    <hyperlink r:id="rId638" ref="J66"/>
    <hyperlink r:id="rId639" ref="K66"/>
    <hyperlink r:id="rId640" ref="L66"/>
    <hyperlink r:id="rId641" ref="M66"/>
    <hyperlink r:id="rId642" ref="N66"/>
    <hyperlink r:id="rId643" ref="O66"/>
    <hyperlink r:id="rId644" ref="P66"/>
    <hyperlink r:id="rId645" ref="G67"/>
    <hyperlink r:id="rId646" ref="H67"/>
    <hyperlink r:id="rId647" ref="J67"/>
    <hyperlink r:id="rId648" ref="K67"/>
    <hyperlink r:id="rId649" ref="L67"/>
    <hyperlink r:id="rId650" ref="M67"/>
    <hyperlink r:id="rId651" ref="N67"/>
    <hyperlink r:id="rId652" ref="O67"/>
    <hyperlink r:id="rId653" ref="P67"/>
    <hyperlink r:id="rId654" ref="Q67"/>
    <hyperlink r:id="rId655" ref="R67"/>
    <hyperlink r:id="rId656" ref="G68"/>
    <hyperlink r:id="rId657" ref="H68"/>
    <hyperlink r:id="rId658" ref="J68"/>
    <hyperlink r:id="rId659" ref="K68"/>
    <hyperlink r:id="rId660" ref="L68"/>
    <hyperlink r:id="rId661" ref="M68"/>
    <hyperlink r:id="rId662" ref="N68"/>
    <hyperlink r:id="rId663" ref="O68"/>
    <hyperlink r:id="rId664" ref="P68"/>
    <hyperlink r:id="rId665" ref="Q68"/>
    <hyperlink r:id="rId666" ref="R68"/>
    <hyperlink r:id="rId667" ref="S68"/>
    <hyperlink r:id="rId668" ref="G69"/>
    <hyperlink r:id="rId669" ref="H69"/>
    <hyperlink r:id="rId670" ref="J69"/>
    <hyperlink r:id="rId671" ref="K69"/>
    <hyperlink r:id="rId672" ref="L69"/>
    <hyperlink r:id="rId673" ref="M69"/>
    <hyperlink r:id="rId674" ref="N69"/>
    <hyperlink r:id="rId675" ref="O69"/>
    <hyperlink r:id="rId676" ref="P69"/>
    <hyperlink r:id="rId677" ref="G70"/>
    <hyperlink r:id="rId678" ref="H70"/>
    <hyperlink r:id="rId679" ref="J70"/>
    <hyperlink r:id="rId680" ref="K70"/>
    <hyperlink r:id="rId681" ref="L70"/>
    <hyperlink r:id="rId682" ref="M70"/>
    <hyperlink r:id="rId683" ref="N70"/>
    <hyperlink r:id="rId684" ref="O70"/>
    <hyperlink r:id="rId685" ref="P70"/>
    <hyperlink r:id="rId686" ref="Q70"/>
    <hyperlink r:id="rId687" ref="R70"/>
    <hyperlink r:id="rId688" ref="S70"/>
    <hyperlink r:id="rId689" ref="G71"/>
    <hyperlink r:id="rId690" ref="H71"/>
    <hyperlink r:id="rId691" ref="J71"/>
    <hyperlink r:id="rId692" ref="K71"/>
    <hyperlink r:id="rId693" ref="L71"/>
    <hyperlink r:id="rId694" ref="M71"/>
    <hyperlink r:id="rId695" ref="N71"/>
    <hyperlink r:id="rId696" ref="O71"/>
    <hyperlink r:id="rId697" ref="P71"/>
    <hyperlink r:id="rId698" ref="Q71"/>
    <hyperlink r:id="rId699" ref="G72"/>
    <hyperlink r:id="rId700" ref="H72"/>
    <hyperlink r:id="rId701" ref="J72"/>
    <hyperlink r:id="rId702" ref="K72"/>
    <hyperlink r:id="rId703" ref="L72"/>
    <hyperlink r:id="rId704" ref="M72"/>
    <hyperlink r:id="rId705" ref="N72"/>
    <hyperlink r:id="rId706" ref="O72"/>
    <hyperlink r:id="rId707" ref="P72"/>
    <hyperlink r:id="rId708" ref="Q72"/>
    <hyperlink r:id="rId709" ref="R72"/>
    <hyperlink r:id="rId710" ref="G73"/>
    <hyperlink r:id="rId711" ref="H73"/>
    <hyperlink r:id="rId712" ref="J73"/>
    <hyperlink r:id="rId713" ref="K73"/>
    <hyperlink r:id="rId714" ref="L73"/>
    <hyperlink r:id="rId715" ref="M73"/>
    <hyperlink r:id="rId716" ref="N73"/>
    <hyperlink r:id="rId717" ref="O73"/>
    <hyperlink r:id="rId718" ref="P73"/>
    <hyperlink r:id="rId719" ref="Q73"/>
    <hyperlink r:id="rId720" ref="R73"/>
    <hyperlink r:id="rId721" ref="S73"/>
    <hyperlink r:id="rId722" ref="G74"/>
    <hyperlink r:id="rId723" ref="H74"/>
    <hyperlink r:id="rId724" ref="J74"/>
    <hyperlink r:id="rId725" ref="K74"/>
    <hyperlink r:id="rId726" ref="L74"/>
    <hyperlink r:id="rId727" ref="M74"/>
    <hyperlink r:id="rId728" ref="N74"/>
    <hyperlink r:id="rId729" ref="O74"/>
    <hyperlink r:id="rId730" ref="P74"/>
    <hyperlink r:id="rId731" ref="Q74"/>
    <hyperlink r:id="rId732" ref="R74"/>
    <hyperlink r:id="rId733" ref="S74"/>
    <hyperlink r:id="rId734" ref="G75"/>
    <hyperlink r:id="rId735" ref="H75"/>
    <hyperlink r:id="rId736" ref="J75"/>
    <hyperlink r:id="rId737" ref="K75"/>
    <hyperlink r:id="rId738" ref="L75"/>
    <hyperlink r:id="rId739" ref="M75"/>
    <hyperlink r:id="rId740" ref="N75"/>
    <hyperlink r:id="rId741" ref="O75"/>
    <hyperlink r:id="rId742" ref="P75"/>
    <hyperlink r:id="rId743" ref="Q75"/>
    <hyperlink r:id="rId744" ref="R75"/>
    <hyperlink r:id="rId745" ref="S75"/>
    <hyperlink r:id="rId746" ref="G76"/>
    <hyperlink r:id="rId747" ref="H76"/>
    <hyperlink r:id="rId748" ref="J76"/>
    <hyperlink r:id="rId749" ref="K76"/>
    <hyperlink r:id="rId750" ref="L76"/>
    <hyperlink r:id="rId751" ref="M76"/>
    <hyperlink r:id="rId752" ref="N76"/>
    <hyperlink r:id="rId753" ref="O76"/>
    <hyperlink r:id="rId754" ref="G77"/>
    <hyperlink r:id="rId755" ref="H77"/>
    <hyperlink r:id="rId756" ref="J77"/>
    <hyperlink r:id="rId757" ref="K77"/>
    <hyperlink r:id="rId758" ref="L77"/>
    <hyperlink r:id="rId759" ref="M77"/>
    <hyperlink r:id="rId760" ref="N77"/>
    <hyperlink r:id="rId761" ref="O77"/>
    <hyperlink r:id="rId762" ref="P77"/>
    <hyperlink r:id="rId763" ref="Q77"/>
    <hyperlink r:id="rId764" ref="R77"/>
    <hyperlink r:id="rId765" ref="G78"/>
    <hyperlink r:id="rId766" ref="H78"/>
    <hyperlink r:id="rId767" ref="J78"/>
    <hyperlink r:id="rId768" ref="K78"/>
    <hyperlink r:id="rId769" ref="L78"/>
    <hyperlink r:id="rId770" ref="M78"/>
    <hyperlink r:id="rId771" ref="N78"/>
    <hyperlink r:id="rId772" ref="O78"/>
    <hyperlink r:id="rId773" ref="P78"/>
    <hyperlink r:id="rId774" ref="Q78"/>
    <hyperlink r:id="rId775" ref="R78"/>
    <hyperlink r:id="rId776" ref="G79"/>
    <hyperlink r:id="rId777" ref="H79"/>
    <hyperlink r:id="rId778" ref="J79"/>
    <hyperlink r:id="rId779" ref="K79"/>
    <hyperlink r:id="rId780" ref="L79"/>
    <hyperlink r:id="rId781" ref="M79"/>
    <hyperlink r:id="rId782" ref="N79"/>
    <hyperlink r:id="rId783" ref="O79"/>
    <hyperlink r:id="rId784" ref="P79"/>
    <hyperlink r:id="rId785" ref="Q79"/>
    <hyperlink r:id="rId786" ref="R79"/>
    <hyperlink r:id="rId787" ref="S79"/>
    <hyperlink r:id="rId788" ref="G80"/>
    <hyperlink r:id="rId789" ref="H80"/>
    <hyperlink r:id="rId790" ref="J80"/>
    <hyperlink r:id="rId791" ref="K80"/>
    <hyperlink r:id="rId792" ref="L80"/>
    <hyperlink r:id="rId793" ref="M80"/>
    <hyperlink r:id="rId794" ref="N80"/>
    <hyperlink r:id="rId795" ref="O80"/>
    <hyperlink r:id="rId796" ref="P80"/>
    <hyperlink r:id="rId797" ref="Q80"/>
    <hyperlink r:id="rId798" ref="R80"/>
    <hyperlink r:id="rId799" ref="G81"/>
    <hyperlink r:id="rId800" ref="H81"/>
    <hyperlink r:id="rId801" ref="J81"/>
    <hyperlink r:id="rId802" ref="K81"/>
    <hyperlink r:id="rId803" ref="L81"/>
    <hyperlink r:id="rId804" ref="M81"/>
    <hyperlink r:id="rId805" ref="N81"/>
    <hyperlink r:id="rId806" ref="G82"/>
    <hyperlink r:id="rId807" ref="H82"/>
    <hyperlink r:id="rId808" ref="J82"/>
    <hyperlink r:id="rId809" ref="K82"/>
    <hyperlink r:id="rId810" ref="L82"/>
    <hyperlink r:id="rId811" ref="M82"/>
    <hyperlink r:id="rId812" ref="N82"/>
    <hyperlink r:id="rId813" ref="O82"/>
    <hyperlink r:id="rId814" ref="P82"/>
    <hyperlink r:id="rId815" ref="G83"/>
    <hyperlink r:id="rId816" ref="H83"/>
    <hyperlink r:id="rId817" ref="J83"/>
    <hyperlink r:id="rId818" ref="K83"/>
    <hyperlink r:id="rId819" ref="L83"/>
    <hyperlink r:id="rId820" ref="M83"/>
    <hyperlink r:id="rId821" ref="N83"/>
    <hyperlink r:id="rId822" ref="O83"/>
    <hyperlink r:id="rId823" ref="P83"/>
    <hyperlink r:id="rId824" ref="Q83"/>
    <hyperlink r:id="rId825" ref="R83"/>
    <hyperlink r:id="rId826" ref="G84"/>
    <hyperlink r:id="rId827" ref="H84"/>
    <hyperlink r:id="rId828" ref="J84"/>
    <hyperlink r:id="rId829" ref="K84"/>
    <hyperlink r:id="rId830" ref="L84"/>
    <hyperlink r:id="rId831" ref="M84"/>
    <hyperlink r:id="rId832" ref="N84"/>
    <hyperlink r:id="rId833" ref="O84"/>
    <hyperlink r:id="rId834" ref="P84"/>
    <hyperlink r:id="rId835" ref="Q84"/>
    <hyperlink r:id="rId836" ref="R84"/>
    <hyperlink r:id="rId837" ref="S84"/>
    <hyperlink r:id="rId838" ref="G85"/>
    <hyperlink r:id="rId839" ref="H85"/>
    <hyperlink r:id="rId840" ref="J85"/>
    <hyperlink r:id="rId841" ref="K85"/>
    <hyperlink r:id="rId842" ref="L85"/>
    <hyperlink r:id="rId843" ref="M85"/>
    <hyperlink r:id="rId844" ref="N85"/>
    <hyperlink r:id="rId845" ref="O85"/>
    <hyperlink r:id="rId846" ref="P85"/>
    <hyperlink r:id="rId847" ref="Q85"/>
    <hyperlink r:id="rId848" ref="R85"/>
    <hyperlink r:id="rId849" ref="G86"/>
    <hyperlink r:id="rId850" ref="H86"/>
    <hyperlink r:id="rId851" ref="J86"/>
    <hyperlink r:id="rId852" ref="K86"/>
    <hyperlink r:id="rId853" ref="L86"/>
    <hyperlink r:id="rId854" ref="M86"/>
    <hyperlink r:id="rId855" ref="N86"/>
    <hyperlink r:id="rId856" ref="O86"/>
    <hyperlink r:id="rId857" ref="P86"/>
    <hyperlink r:id="rId858" ref="G87"/>
    <hyperlink r:id="rId859" ref="H87"/>
    <hyperlink r:id="rId860" ref="J87"/>
    <hyperlink r:id="rId861" ref="K87"/>
    <hyperlink r:id="rId862" ref="L87"/>
    <hyperlink r:id="rId863" ref="M87"/>
    <hyperlink r:id="rId864" ref="N87"/>
    <hyperlink r:id="rId865" ref="O87"/>
    <hyperlink r:id="rId866" ref="P87"/>
    <hyperlink r:id="rId867" ref="Q87"/>
    <hyperlink r:id="rId868" ref="R87"/>
    <hyperlink r:id="rId869" ref="S87"/>
    <hyperlink r:id="rId870" ref="G88"/>
    <hyperlink r:id="rId871" ref="H88"/>
    <hyperlink r:id="rId872" ref="J88"/>
    <hyperlink r:id="rId873" ref="K88"/>
    <hyperlink r:id="rId874" ref="L88"/>
    <hyperlink r:id="rId875" ref="M88"/>
    <hyperlink r:id="rId876" ref="N88"/>
    <hyperlink r:id="rId877" ref="O88"/>
    <hyperlink r:id="rId878" ref="P88"/>
    <hyperlink r:id="rId879" ref="Q88"/>
    <hyperlink r:id="rId880" ref="R88"/>
    <hyperlink r:id="rId881" ref="S88"/>
    <hyperlink r:id="rId882" ref="G89"/>
    <hyperlink r:id="rId883" ref="H89"/>
    <hyperlink r:id="rId884" ref="J89"/>
    <hyperlink r:id="rId885" ref="K89"/>
    <hyperlink r:id="rId886" ref="L89"/>
    <hyperlink r:id="rId887" ref="M89"/>
    <hyperlink r:id="rId888" ref="N89"/>
    <hyperlink r:id="rId889" ref="O89"/>
    <hyperlink r:id="rId890" ref="P89"/>
    <hyperlink r:id="rId891" ref="Q89"/>
    <hyperlink r:id="rId892" ref="G90"/>
    <hyperlink r:id="rId893" ref="H90"/>
    <hyperlink r:id="rId894" ref="J90"/>
    <hyperlink r:id="rId895" ref="K90"/>
    <hyperlink r:id="rId896" ref="L90"/>
    <hyperlink r:id="rId897" ref="M90"/>
    <hyperlink r:id="rId898" ref="N90"/>
    <hyperlink r:id="rId899" ref="O90"/>
    <hyperlink r:id="rId900" ref="P90"/>
    <hyperlink r:id="rId901" ref="Q90"/>
    <hyperlink r:id="rId902" ref="R90"/>
    <hyperlink r:id="rId903" ref="S90"/>
    <hyperlink r:id="rId904" ref="G91"/>
    <hyperlink r:id="rId905" ref="H91"/>
    <hyperlink r:id="rId906" ref="J91"/>
    <hyperlink r:id="rId907" ref="K91"/>
    <hyperlink r:id="rId908" ref="L91"/>
    <hyperlink r:id="rId909" ref="M91"/>
    <hyperlink r:id="rId910" ref="N91"/>
    <hyperlink r:id="rId911" ref="O91"/>
    <hyperlink r:id="rId912" ref="P91"/>
    <hyperlink r:id="rId913" ref="Q91"/>
    <hyperlink r:id="rId914" ref="G92"/>
    <hyperlink r:id="rId915" ref="H92"/>
    <hyperlink r:id="rId916" ref="J92"/>
    <hyperlink r:id="rId917" ref="K92"/>
    <hyperlink r:id="rId918" ref="L92"/>
    <hyperlink r:id="rId919" ref="M92"/>
    <hyperlink r:id="rId920" ref="N92"/>
    <hyperlink r:id="rId921" ref="O92"/>
    <hyperlink r:id="rId922" ref="P92"/>
    <hyperlink r:id="rId923" ref="Q92"/>
    <hyperlink r:id="rId924" ref="G93"/>
    <hyperlink r:id="rId925" ref="H93"/>
    <hyperlink r:id="rId926" ref="J93"/>
    <hyperlink r:id="rId927" ref="K93"/>
    <hyperlink r:id="rId928" ref="L93"/>
    <hyperlink r:id="rId929" ref="M93"/>
    <hyperlink r:id="rId930" ref="N93"/>
    <hyperlink r:id="rId931" ref="O93"/>
    <hyperlink r:id="rId932" ref="P93"/>
    <hyperlink r:id="rId933" ref="Q93"/>
    <hyperlink r:id="rId934" ref="R93"/>
    <hyperlink r:id="rId935" ref="S93"/>
    <hyperlink r:id="rId936" ref="G94"/>
    <hyperlink r:id="rId937" ref="H94"/>
    <hyperlink r:id="rId938" ref="J94"/>
    <hyperlink r:id="rId939" ref="K94"/>
    <hyperlink r:id="rId940" ref="L94"/>
    <hyperlink r:id="rId941" ref="M94"/>
    <hyperlink r:id="rId942" ref="N94"/>
    <hyperlink r:id="rId943" ref="O94"/>
    <hyperlink r:id="rId944" ref="P94"/>
    <hyperlink r:id="rId945" ref="Q94"/>
    <hyperlink r:id="rId946" ref="R94"/>
    <hyperlink r:id="rId947" ref="G95"/>
    <hyperlink r:id="rId948" ref="H95"/>
    <hyperlink r:id="rId949" ref="J95"/>
    <hyperlink r:id="rId950" ref="K95"/>
    <hyperlink r:id="rId951" ref="L95"/>
    <hyperlink r:id="rId952" ref="M95"/>
    <hyperlink r:id="rId953" ref="N95"/>
    <hyperlink r:id="rId954" ref="O95"/>
    <hyperlink r:id="rId955" ref="P95"/>
    <hyperlink r:id="rId956" ref="Q95"/>
    <hyperlink r:id="rId957" ref="G96"/>
    <hyperlink r:id="rId958" ref="H96"/>
    <hyperlink r:id="rId959" ref="J96"/>
    <hyperlink r:id="rId960" ref="K96"/>
    <hyperlink r:id="rId961" ref="L96"/>
    <hyperlink r:id="rId962" ref="M96"/>
    <hyperlink r:id="rId963" ref="N96"/>
    <hyperlink r:id="rId964" ref="O96"/>
    <hyperlink r:id="rId965" ref="P96"/>
    <hyperlink r:id="rId966" ref="Q96"/>
    <hyperlink r:id="rId967" ref="R96"/>
    <hyperlink r:id="rId968" ref="S96"/>
    <hyperlink r:id="rId969" ref="G97"/>
    <hyperlink r:id="rId970" ref="H97"/>
    <hyperlink r:id="rId971" ref="J97"/>
    <hyperlink r:id="rId972" ref="K97"/>
    <hyperlink r:id="rId973" ref="L97"/>
    <hyperlink r:id="rId974" ref="G98"/>
    <hyperlink r:id="rId975" ref="H98"/>
    <hyperlink r:id="rId976" ref="J98"/>
    <hyperlink r:id="rId977" ref="K98"/>
    <hyperlink r:id="rId978" ref="L98"/>
    <hyperlink r:id="rId979" ref="M98"/>
    <hyperlink r:id="rId980" ref="N98"/>
    <hyperlink r:id="rId981" ref="G99"/>
    <hyperlink r:id="rId982" ref="H99"/>
    <hyperlink r:id="rId983" ref="J99"/>
    <hyperlink r:id="rId984" ref="K99"/>
    <hyperlink r:id="rId985" ref="L99"/>
    <hyperlink r:id="rId986" ref="M99"/>
    <hyperlink r:id="rId987" ref="N99"/>
    <hyperlink r:id="rId988" ref="O99"/>
    <hyperlink r:id="rId989" ref="P99"/>
    <hyperlink r:id="rId990" ref="Q99"/>
    <hyperlink r:id="rId991" ref="R99"/>
    <hyperlink r:id="rId992" ref="G100"/>
    <hyperlink r:id="rId993" ref="H100"/>
    <hyperlink r:id="rId994" ref="J100"/>
    <hyperlink r:id="rId995" ref="K100"/>
    <hyperlink r:id="rId996" ref="L100"/>
    <hyperlink r:id="rId997" ref="M100"/>
    <hyperlink r:id="rId998" ref="N100"/>
    <hyperlink r:id="rId999" ref="G101"/>
    <hyperlink r:id="rId1000" ref="H101"/>
    <hyperlink r:id="rId1001" ref="J101"/>
    <hyperlink r:id="rId1002" ref="K101"/>
    <hyperlink r:id="rId1003" ref="L101"/>
    <hyperlink r:id="rId1004" ref="M101"/>
    <hyperlink r:id="rId1005" ref="N101"/>
    <hyperlink r:id="rId1006" ref="O101"/>
    <hyperlink r:id="rId1007" ref="P101"/>
    <hyperlink r:id="rId1008" ref="Q101"/>
    <hyperlink r:id="rId1009" ref="R101"/>
    <hyperlink r:id="rId1010" ref="S101"/>
    <hyperlink r:id="rId1011" ref="G102"/>
    <hyperlink r:id="rId1012" ref="H102"/>
    <hyperlink r:id="rId1013" ref="J102"/>
    <hyperlink r:id="rId1014" ref="K102"/>
    <hyperlink r:id="rId1015" ref="L102"/>
    <hyperlink r:id="rId1016" ref="M102"/>
    <hyperlink r:id="rId1017" ref="N102"/>
    <hyperlink r:id="rId1018" ref="O102"/>
    <hyperlink r:id="rId1019" ref="P102"/>
    <hyperlink r:id="rId1020" ref="Q102"/>
    <hyperlink r:id="rId1021" ref="R102"/>
    <hyperlink r:id="rId1022" ref="S102"/>
    <hyperlink r:id="rId1023" ref="G103"/>
    <hyperlink r:id="rId1024" ref="H103"/>
    <hyperlink r:id="rId1025" ref="J103"/>
    <hyperlink r:id="rId1026" ref="K103"/>
    <hyperlink r:id="rId1027" ref="L103"/>
    <hyperlink r:id="rId1028" ref="M103"/>
    <hyperlink r:id="rId1029" ref="N103"/>
    <hyperlink r:id="rId1030" ref="O103"/>
    <hyperlink r:id="rId1031" ref="P103"/>
    <hyperlink r:id="rId1032" ref="G104"/>
    <hyperlink r:id="rId1033" ref="H104"/>
    <hyperlink r:id="rId1034" ref="J104"/>
    <hyperlink r:id="rId1035" ref="K104"/>
    <hyperlink r:id="rId1036" ref="L104"/>
    <hyperlink r:id="rId1037" ref="M104"/>
    <hyperlink r:id="rId1038" ref="N104"/>
    <hyperlink r:id="rId1039" ref="O104"/>
    <hyperlink r:id="rId1040" ref="P104"/>
    <hyperlink r:id="rId1041" ref="Q104"/>
    <hyperlink r:id="rId1042" ref="R104"/>
    <hyperlink r:id="rId1043" ref="S104"/>
    <hyperlink r:id="rId1044" ref="G105"/>
    <hyperlink r:id="rId1045" ref="H105"/>
    <hyperlink r:id="rId1046" ref="J105"/>
    <hyperlink r:id="rId1047" ref="K105"/>
    <hyperlink r:id="rId1048" ref="L105"/>
    <hyperlink r:id="rId1049" ref="M105"/>
    <hyperlink r:id="rId1050" ref="N105"/>
    <hyperlink r:id="rId1051" ref="O105"/>
    <hyperlink r:id="rId1052" ref="P105"/>
    <hyperlink r:id="rId1053" ref="Q105"/>
    <hyperlink r:id="rId1054" ref="R105"/>
    <hyperlink r:id="rId1055" ref="S105"/>
    <hyperlink r:id="rId1056" ref="G106"/>
    <hyperlink r:id="rId1057" ref="H106"/>
    <hyperlink r:id="rId1058" ref="J106"/>
    <hyperlink r:id="rId1059" ref="K106"/>
    <hyperlink r:id="rId1060" ref="L106"/>
    <hyperlink r:id="rId1061" ref="M106"/>
    <hyperlink r:id="rId1062" ref="N106"/>
    <hyperlink r:id="rId1063" ref="O106"/>
    <hyperlink r:id="rId1064" ref="P106"/>
    <hyperlink r:id="rId1065" ref="Q106"/>
    <hyperlink r:id="rId1066" ref="R106"/>
    <hyperlink r:id="rId1067" ref="S106"/>
    <hyperlink r:id="rId1068" ref="G107"/>
    <hyperlink r:id="rId1069" ref="H107"/>
    <hyperlink r:id="rId1070" ref="J107"/>
    <hyperlink r:id="rId1071" ref="K107"/>
    <hyperlink r:id="rId1072" ref="L107"/>
    <hyperlink r:id="rId1073" ref="M107"/>
    <hyperlink r:id="rId1074" ref="N107"/>
    <hyperlink r:id="rId1075" ref="O107"/>
    <hyperlink r:id="rId1076" ref="P107"/>
    <hyperlink r:id="rId1077" ref="Q107"/>
    <hyperlink r:id="rId1078" ref="R107"/>
    <hyperlink r:id="rId1079" ref="S107"/>
    <hyperlink r:id="rId1080" ref="G108"/>
    <hyperlink r:id="rId1081" ref="H108"/>
    <hyperlink r:id="rId1082" ref="J108"/>
    <hyperlink r:id="rId1083" ref="K108"/>
    <hyperlink r:id="rId1084" ref="L108"/>
    <hyperlink r:id="rId1085" ref="M108"/>
    <hyperlink r:id="rId1086" ref="N108"/>
    <hyperlink r:id="rId1087" ref="O108"/>
    <hyperlink r:id="rId1088" ref="P108"/>
    <hyperlink r:id="rId1089" ref="Q108"/>
    <hyperlink r:id="rId1090" ref="R108"/>
    <hyperlink r:id="rId1091" ref="S108"/>
    <hyperlink r:id="rId1092" ref="G109"/>
    <hyperlink r:id="rId1093" ref="H109"/>
    <hyperlink r:id="rId1094" ref="J109"/>
    <hyperlink r:id="rId1095" ref="K109"/>
    <hyperlink r:id="rId1096" ref="L109"/>
    <hyperlink r:id="rId1097" ref="M109"/>
    <hyperlink r:id="rId1098" ref="N109"/>
    <hyperlink r:id="rId1099" ref="O109"/>
    <hyperlink r:id="rId1100" ref="P109"/>
    <hyperlink r:id="rId1101" ref="Q109"/>
    <hyperlink r:id="rId1102" ref="R109"/>
    <hyperlink r:id="rId1103" ref="G110"/>
    <hyperlink r:id="rId1104" ref="H110"/>
    <hyperlink r:id="rId1105" ref="J110"/>
    <hyperlink r:id="rId1106" ref="K110"/>
    <hyperlink r:id="rId1107" ref="L110"/>
    <hyperlink r:id="rId1108" ref="M110"/>
    <hyperlink r:id="rId1109" ref="N110"/>
    <hyperlink r:id="rId1110" ref="O110"/>
    <hyperlink r:id="rId1111" ref="P110"/>
    <hyperlink r:id="rId1112" ref="Q110"/>
    <hyperlink r:id="rId1113" ref="R110"/>
    <hyperlink r:id="rId1114" ref="S110"/>
    <hyperlink r:id="rId1115" ref="G111"/>
    <hyperlink r:id="rId1116" ref="H111"/>
    <hyperlink r:id="rId1117" ref="J111"/>
    <hyperlink r:id="rId1118" ref="K111"/>
    <hyperlink r:id="rId1119" ref="L111"/>
    <hyperlink r:id="rId1120" ref="M111"/>
    <hyperlink r:id="rId1121" ref="N111"/>
    <hyperlink r:id="rId1122" ref="O111"/>
    <hyperlink r:id="rId1123" ref="P111"/>
    <hyperlink r:id="rId1124" ref="Q111"/>
    <hyperlink r:id="rId1125" ref="R111"/>
    <hyperlink r:id="rId1126" ref="S111"/>
    <hyperlink r:id="rId1127" ref="G112"/>
    <hyperlink r:id="rId1128" ref="H112"/>
    <hyperlink r:id="rId1129" ref="J112"/>
    <hyperlink r:id="rId1130" ref="K112"/>
    <hyperlink r:id="rId1131" ref="L112"/>
    <hyperlink r:id="rId1132" ref="M112"/>
    <hyperlink r:id="rId1133" ref="N112"/>
    <hyperlink r:id="rId1134" ref="G113"/>
    <hyperlink r:id="rId1135" ref="H113"/>
    <hyperlink r:id="rId1136" ref="J113"/>
    <hyperlink r:id="rId1137" ref="K113"/>
    <hyperlink r:id="rId1138" ref="L113"/>
    <hyperlink r:id="rId1139" ref="M113"/>
    <hyperlink r:id="rId1140" ref="N113"/>
    <hyperlink r:id="rId1141" ref="O113"/>
    <hyperlink r:id="rId1142" ref="P113"/>
    <hyperlink r:id="rId1143" ref="Q113"/>
    <hyperlink r:id="rId1144" ref="G114"/>
    <hyperlink r:id="rId1145" ref="H114"/>
    <hyperlink r:id="rId1146" ref="J114"/>
    <hyperlink r:id="rId1147" ref="K114"/>
    <hyperlink r:id="rId1148" ref="L114"/>
    <hyperlink r:id="rId1149" ref="M114"/>
    <hyperlink r:id="rId1150" ref="N114"/>
    <hyperlink r:id="rId1151" ref="O114"/>
    <hyperlink r:id="rId1152" ref="P114"/>
    <hyperlink r:id="rId1153" ref="Q114"/>
    <hyperlink r:id="rId1154" ref="R114"/>
    <hyperlink r:id="rId1155" ref="S114"/>
    <hyperlink r:id="rId1156" ref="G115"/>
    <hyperlink r:id="rId1157" ref="H115"/>
    <hyperlink r:id="rId1158" ref="J115"/>
    <hyperlink r:id="rId1159" ref="K115"/>
    <hyperlink r:id="rId1160" ref="L115"/>
    <hyperlink r:id="rId1161" ref="M115"/>
    <hyperlink r:id="rId1162" ref="N115"/>
    <hyperlink r:id="rId1163" ref="O115"/>
    <hyperlink r:id="rId1164" ref="P115"/>
    <hyperlink r:id="rId1165" ref="Q115"/>
    <hyperlink r:id="rId1166" ref="G116"/>
    <hyperlink r:id="rId1167" ref="H116"/>
    <hyperlink r:id="rId1168" ref="J116"/>
    <hyperlink r:id="rId1169" ref="K116"/>
    <hyperlink r:id="rId1170" ref="L116"/>
    <hyperlink r:id="rId1171" ref="M116"/>
    <hyperlink r:id="rId1172" ref="N116"/>
    <hyperlink r:id="rId1173" ref="O116"/>
    <hyperlink r:id="rId1174" ref="P116"/>
    <hyperlink r:id="rId1175" ref="Q116"/>
    <hyperlink r:id="rId1176" ref="R116"/>
    <hyperlink r:id="rId1177" ref="S116"/>
    <hyperlink r:id="rId1178" ref="G117"/>
    <hyperlink r:id="rId1179" ref="H117"/>
    <hyperlink r:id="rId1180" ref="J117"/>
    <hyperlink r:id="rId1181" ref="K117"/>
    <hyperlink r:id="rId1182" ref="L117"/>
    <hyperlink r:id="rId1183" ref="M117"/>
    <hyperlink r:id="rId1184" ref="N117"/>
    <hyperlink r:id="rId1185" ref="O117"/>
    <hyperlink r:id="rId1186" ref="P117"/>
    <hyperlink r:id="rId1187" ref="Q117"/>
    <hyperlink r:id="rId1188" ref="R117"/>
    <hyperlink r:id="rId1189" ref="S117"/>
    <hyperlink r:id="rId1190" ref="G118"/>
    <hyperlink r:id="rId1191" ref="H118"/>
    <hyperlink r:id="rId1192" ref="J118"/>
    <hyperlink r:id="rId1193" ref="K118"/>
    <hyperlink r:id="rId1194" ref="L118"/>
    <hyperlink r:id="rId1195" ref="M118"/>
    <hyperlink r:id="rId1196" ref="N118"/>
    <hyperlink r:id="rId1197" ref="O118"/>
    <hyperlink r:id="rId1198" ref="P118"/>
    <hyperlink r:id="rId1199" ref="Q118"/>
    <hyperlink r:id="rId1200" ref="R118"/>
    <hyperlink r:id="rId1201" ref="S118"/>
    <hyperlink r:id="rId1202" ref="G119"/>
    <hyperlink r:id="rId1203" ref="H119"/>
    <hyperlink r:id="rId1204" ref="J119"/>
    <hyperlink r:id="rId1205" ref="K119"/>
    <hyperlink r:id="rId1206" ref="L119"/>
    <hyperlink r:id="rId1207" ref="M119"/>
    <hyperlink r:id="rId1208" ref="N119"/>
    <hyperlink r:id="rId1209" ref="O119"/>
    <hyperlink r:id="rId1210" ref="P119"/>
    <hyperlink r:id="rId1211" ref="Q119"/>
    <hyperlink r:id="rId1212" ref="R119"/>
    <hyperlink r:id="rId1213" ref="S119"/>
    <hyperlink r:id="rId1214" ref="G120"/>
    <hyperlink r:id="rId1215" ref="H120"/>
    <hyperlink r:id="rId1216" ref="J120"/>
    <hyperlink r:id="rId1217" ref="K120"/>
    <hyperlink r:id="rId1218" ref="L120"/>
    <hyperlink r:id="rId1219" ref="M120"/>
    <hyperlink r:id="rId1220" ref="N120"/>
    <hyperlink r:id="rId1221" ref="O120"/>
    <hyperlink r:id="rId1222" ref="P120"/>
    <hyperlink r:id="rId1223" ref="Q120"/>
    <hyperlink r:id="rId1224" ref="R120"/>
    <hyperlink r:id="rId1225" ref="S120"/>
    <hyperlink r:id="rId1226" ref="G121"/>
    <hyperlink r:id="rId1227" ref="H121"/>
    <hyperlink r:id="rId1228" ref="J121"/>
    <hyperlink r:id="rId1229" ref="K121"/>
    <hyperlink r:id="rId1230" ref="L121"/>
    <hyperlink r:id="rId1231" ref="M121"/>
    <hyperlink r:id="rId1232" ref="N121"/>
    <hyperlink r:id="rId1233" ref="O121"/>
    <hyperlink r:id="rId1234" ref="G122"/>
    <hyperlink r:id="rId1235" ref="H122"/>
    <hyperlink r:id="rId1236" ref="J122"/>
    <hyperlink r:id="rId1237" ref="K122"/>
    <hyperlink r:id="rId1238" ref="L122"/>
    <hyperlink r:id="rId1239" ref="M122"/>
    <hyperlink r:id="rId1240" ref="N122"/>
    <hyperlink r:id="rId1241" ref="O122"/>
    <hyperlink r:id="rId1242" ref="P122"/>
    <hyperlink r:id="rId1243" ref="Q122"/>
    <hyperlink r:id="rId1244" ref="R122"/>
    <hyperlink r:id="rId1245" ref="G123"/>
    <hyperlink r:id="rId1246" ref="H123"/>
    <hyperlink r:id="rId1247" ref="J123"/>
    <hyperlink r:id="rId1248" ref="K123"/>
    <hyperlink r:id="rId1249" ref="L123"/>
    <hyperlink r:id="rId1250" ref="M123"/>
    <hyperlink r:id="rId1251" ref="N123"/>
    <hyperlink r:id="rId1252" ref="O123"/>
    <hyperlink r:id="rId1253" ref="P123"/>
    <hyperlink r:id="rId1254" ref="Q123"/>
    <hyperlink r:id="rId1255" ref="R123"/>
    <hyperlink r:id="rId1256" ref="S123"/>
    <hyperlink r:id="rId1257" ref="G124"/>
    <hyperlink r:id="rId1258" ref="H124"/>
    <hyperlink r:id="rId1259" ref="J124"/>
    <hyperlink r:id="rId1260" ref="K124"/>
    <hyperlink r:id="rId1261" ref="L124"/>
    <hyperlink r:id="rId1262" ref="M124"/>
    <hyperlink r:id="rId1263" ref="N124"/>
    <hyperlink r:id="rId1264" ref="O124"/>
    <hyperlink r:id="rId1265" ref="P124"/>
    <hyperlink r:id="rId1266" ref="Q124"/>
    <hyperlink r:id="rId1267" ref="R124"/>
    <hyperlink r:id="rId1268" ref="G125"/>
    <hyperlink r:id="rId1269" ref="H125"/>
    <hyperlink r:id="rId1270" ref="J125"/>
    <hyperlink r:id="rId1271" ref="K125"/>
    <hyperlink r:id="rId1272" ref="L125"/>
    <hyperlink r:id="rId1273" ref="M125"/>
    <hyperlink r:id="rId1274" ref="N125"/>
    <hyperlink r:id="rId1275" ref="G126"/>
    <hyperlink r:id="rId1276" ref="H126"/>
    <hyperlink r:id="rId1277" ref="J126"/>
    <hyperlink r:id="rId1278" ref="K126"/>
    <hyperlink r:id="rId1279" ref="L126"/>
    <hyperlink r:id="rId1280" ref="M126"/>
    <hyperlink r:id="rId1281" ref="N126"/>
    <hyperlink r:id="rId1282" ref="O126"/>
    <hyperlink r:id="rId1283" ref="P126"/>
    <hyperlink r:id="rId1284" ref="Q126"/>
    <hyperlink r:id="rId1285" ref="R126"/>
    <hyperlink r:id="rId1286" ref="S126"/>
    <hyperlink r:id="rId1287" ref="G127"/>
    <hyperlink r:id="rId1288" ref="H127"/>
    <hyperlink r:id="rId1289" ref="J127"/>
    <hyperlink r:id="rId1290" ref="K127"/>
    <hyperlink r:id="rId1291" ref="L127"/>
    <hyperlink r:id="rId1292" ref="M127"/>
    <hyperlink r:id="rId1293" ref="N127"/>
    <hyperlink r:id="rId1294" ref="O127"/>
    <hyperlink r:id="rId1295" ref="P127"/>
    <hyperlink r:id="rId1296" ref="Q127"/>
    <hyperlink r:id="rId1297" ref="R127"/>
    <hyperlink r:id="rId1298" ref="G128"/>
    <hyperlink r:id="rId1299" ref="H128"/>
    <hyperlink r:id="rId1300" ref="J128"/>
    <hyperlink r:id="rId1301" ref="K128"/>
    <hyperlink r:id="rId1302" ref="L128"/>
    <hyperlink r:id="rId1303" ref="M128"/>
    <hyperlink r:id="rId1304" ref="G129"/>
    <hyperlink r:id="rId1305" ref="H129"/>
    <hyperlink r:id="rId1306" ref="J129"/>
    <hyperlink r:id="rId1307" ref="K129"/>
    <hyperlink r:id="rId1308" ref="L129"/>
    <hyperlink r:id="rId1309" ref="M129"/>
    <hyperlink r:id="rId1310" ref="N129"/>
    <hyperlink r:id="rId1311" ref="O129"/>
    <hyperlink r:id="rId1312" ref="P129"/>
    <hyperlink r:id="rId1313" ref="Q129"/>
    <hyperlink r:id="rId1314" ref="G130"/>
    <hyperlink r:id="rId1315" ref="H130"/>
    <hyperlink r:id="rId1316" ref="J130"/>
    <hyperlink r:id="rId1317" ref="K130"/>
    <hyperlink r:id="rId1318" ref="L130"/>
    <hyperlink r:id="rId1319" ref="M130"/>
    <hyperlink r:id="rId1320" ref="N130"/>
    <hyperlink r:id="rId1321" ref="O130"/>
    <hyperlink r:id="rId1322" ref="P130"/>
    <hyperlink r:id="rId1323" ref="Q130"/>
    <hyperlink r:id="rId1324" ref="R130"/>
    <hyperlink r:id="rId1325" ref="S130"/>
    <hyperlink r:id="rId1326" ref="G131"/>
    <hyperlink r:id="rId1327" ref="H131"/>
    <hyperlink r:id="rId1328" ref="J131"/>
    <hyperlink r:id="rId1329" ref="K131"/>
    <hyperlink r:id="rId1330" ref="L131"/>
    <hyperlink r:id="rId1331" ref="M131"/>
    <hyperlink r:id="rId1332" ref="G132"/>
    <hyperlink r:id="rId1333" ref="H132"/>
    <hyperlink r:id="rId1334" ref="J132"/>
    <hyperlink r:id="rId1335" ref="K132"/>
    <hyperlink r:id="rId1336" ref="L132"/>
    <hyperlink r:id="rId1337" ref="M132"/>
    <hyperlink r:id="rId1338" ref="N132"/>
    <hyperlink r:id="rId1339" ref="O132"/>
    <hyperlink r:id="rId1340" ref="P132"/>
    <hyperlink r:id="rId1341" ref="Q132"/>
    <hyperlink r:id="rId1342" ref="R132"/>
    <hyperlink r:id="rId1343" ref="S132"/>
    <hyperlink r:id="rId1344" ref="G133"/>
    <hyperlink r:id="rId1345" ref="H133"/>
    <hyperlink r:id="rId1346" ref="J133"/>
    <hyperlink r:id="rId1347" ref="K133"/>
    <hyperlink r:id="rId1348" ref="L133"/>
    <hyperlink r:id="rId1349" ref="M133"/>
    <hyperlink r:id="rId1350" ref="N133"/>
    <hyperlink r:id="rId1351" ref="O133"/>
    <hyperlink r:id="rId1352" ref="P133"/>
    <hyperlink r:id="rId1353" ref="Q133"/>
    <hyperlink r:id="rId1354" ref="R133"/>
    <hyperlink r:id="rId1355" ref="S133"/>
    <hyperlink r:id="rId1356" ref="G134"/>
    <hyperlink r:id="rId1357" ref="H134"/>
    <hyperlink r:id="rId1358" ref="G135"/>
    <hyperlink r:id="rId1359" ref="H135"/>
    <hyperlink r:id="rId1360" ref="J135"/>
    <hyperlink r:id="rId1361" ref="K135"/>
    <hyperlink r:id="rId1362" ref="L135"/>
    <hyperlink r:id="rId1363" ref="M135"/>
    <hyperlink r:id="rId1364" ref="N135"/>
    <hyperlink r:id="rId1365" ref="O135"/>
    <hyperlink r:id="rId1366" ref="P135"/>
    <hyperlink r:id="rId1367" ref="Q135"/>
    <hyperlink r:id="rId1368" ref="R135"/>
    <hyperlink r:id="rId1369" ref="S135"/>
    <hyperlink r:id="rId1370" ref="G136"/>
    <hyperlink r:id="rId1371" ref="H136"/>
    <hyperlink r:id="rId1372" ref="J136"/>
    <hyperlink r:id="rId1373" ref="K136"/>
    <hyperlink r:id="rId1374" ref="L136"/>
    <hyperlink r:id="rId1375" ref="M136"/>
    <hyperlink r:id="rId1376" ref="N136"/>
    <hyperlink r:id="rId1377" ref="O136"/>
    <hyperlink r:id="rId1378" ref="P136"/>
    <hyperlink r:id="rId1379" ref="Q136"/>
    <hyperlink r:id="rId1380" ref="R136"/>
    <hyperlink r:id="rId1381" ref="G137"/>
    <hyperlink r:id="rId1382" ref="H137"/>
    <hyperlink r:id="rId1383" ref="J137"/>
    <hyperlink r:id="rId1384" ref="K137"/>
    <hyperlink r:id="rId1385" ref="L137"/>
    <hyperlink r:id="rId1386" ref="M137"/>
    <hyperlink r:id="rId1387" ref="N137"/>
    <hyperlink r:id="rId1388" ref="O137"/>
    <hyperlink r:id="rId1389" ref="P137"/>
    <hyperlink r:id="rId1390" ref="Q137"/>
    <hyperlink r:id="rId1391" ref="R137"/>
    <hyperlink r:id="rId1392" ref="S137"/>
    <hyperlink r:id="rId1393" ref="G138"/>
    <hyperlink r:id="rId1394" ref="H138"/>
    <hyperlink r:id="rId1395" ref="J138"/>
    <hyperlink r:id="rId1396" ref="K138"/>
    <hyperlink r:id="rId1397" ref="L138"/>
    <hyperlink r:id="rId1398" ref="M138"/>
    <hyperlink r:id="rId1399" ref="N138"/>
    <hyperlink r:id="rId1400" ref="O138"/>
    <hyperlink r:id="rId1401" ref="P138"/>
    <hyperlink r:id="rId1402" ref="Q138"/>
    <hyperlink r:id="rId1403" ref="R138"/>
    <hyperlink r:id="rId1404" ref="S138"/>
    <hyperlink r:id="rId1405" ref="G139"/>
    <hyperlink r:id="rId1406" ref="H139"/>
    <hyperlink r:id="rId1407" ref="J139"/>
    <hyperlink r:id="rId1408" ref="K139"/>
    <hyperlink r:id="rId1409" ref="L139"/>
    <hyperlink r:id="rId1410" ref="M139"/>
    <hyperlink r:id="rId1411" ref="N139"/>
    <hyperlink r:id="rId1412" ref="O139"/>
    <hyperlink r:id="rId1413" ref="P139"/>
    <hyperlink r:id="rId1414" ref="Q139"/>
    <hyperlink r:id="rId1415" ref="G140"/>
    <hyperlink r:id="rId1416" ref="H140"/>
    <hyperlink r:id="rId1417" ref="J140"/>
    <hyperlink r:id="rId1418" ref="K140"/>
    <hyperlink r:id="rId1419" ref="L140"/>
    <hyperlink r:id="rId1420" ref="M140"/>
    <hyperlink r:id="rId1421" ref="N140"/>
    <hyperlink r:id="rId1422" ref="O140"/>
    <hyperlink r:id="rId1423" ref="P140"/>
    <hyperlink r:id="rId1424" ref="Q140"/>
    <hyperlink r:id="rId1425" ref="R140"/>
    <hyperlink r:id="rId1426" ref="G141"/>
    <hyperlink r:id="rId1427" ref="H141"/>
    <hyperlink r:id="rId1428" ref="J141"/>
    <hyperlink r:id="rId1429" ref="K141"/>
    <hyperlink r:id="rId1430" ref="L141"/>
    <hyperlink r:id="rId1431" ref="M141"/>
    <hyperlink r:id="rId1432" ref="N141"/>
    <hyperlink r:id="rId1433" ref="O141"/>
    <hyperlink r:id="rId1434" ref="P141"/>
    <hyperlink r:id="rId1435" ref="Q141"/>
    <hyperlink r:id="rId1436" ref="G142"/>
    <hyperlink r:id="rId1437" ref="H142"/>
    <hyperlink r:id="rId1438" ref="J142"/>
    <hyperlink r:id="rId1439" ref="K142"/>
    <hyperlink r:id="rId1440" ref="L142"/>
    <hyperlink r:id="rId1441" ref="M142"/>
    <hyperlink r:id="rId1442" ref="N142"/>
    <hyperlink r:id="rId1443" ref="O142"/>
    <hyperlink r:id="rId1444" ref="P142"/>
    <hyperlink r:id="rId1445" ref="G143"/>
    <hyperlink r:id="rId1446" ref="H143"/>
    <hyperlink r:id="rId1447" ref="J143"/>
    <hyperlink r:id="rId1448" ref="K143"/>
    <hyperlink r:id="rId1449" ref="L143"/>
    <hyperlink r:id="rId1450" ref="M143"/>
    <hyperlink r:id="rId1451" ref="N143"/>
    <hyperlink r:id="rId1452" ref="O143"/>
    <hyperlink r:id="rId1453" ref="P143"/>
    <hyperlink r:id="rId1454" ref="Q143"/>
    <hyperlink r:id="rId1455" ref="R143"/>
    <hyperlink r:id="rId1456" ref="S143"/>
    <hyperlink r:id="rId1457" ref="G144"/>
    <hyperlink r:id="rId1458" ref="H144"/>
    <hyperlink r:id="rId1459" ref="J144"/>
    <hyperlink r:id="rId1460" ref="K144"/>
    <hyperlink r:id="rId1461" ref="L144"/>
    <hyperlink r:id="rId1462" ref="M144"/>
    <hyperlink r:id="rId1463" ref="N144"/>
    <hyperlink r:id="rId1464" ref="O144"/>
    <hyperlink r:id="rId1465" ref="P144"/>
    <hyperlink r:id="rId1466" ref="Q144"/>
    <hyperlink r:id="rId1467" ref="R144"/>
    <hyperlink r:id="rId1468" ref="S144"/>
    <hyperlink r:id="rId1469" ref="G145"/>
    <hyperlink r:id="rId1470" ref="H145"/>
    <hyperlink r:id="rId1471" ref="J145"/>
    <hyperlink r:id="rId1472" ref="K145"/>
    <hyperlink r:id="rId1473" ref="L145"/>
    <hyperlink r:id="rId1474" ref="M145"/>
    <hyperlink r:id="rId1475" ref="N145"/>
    <hyperlink r:id="rId1476" ref="O145"/>
    <hyperlink r:id="rId1477" ref="P145"/>
    <hyperlink r:id="rId1478" ref="Q145"/>
    <hyperlink r:id="rId1479" ref="R145"/>
    <hyperlink r:id="rId1480" ref="S145"/>
    <hyperlink r:id="rId1481" ref="G146"/>
    <hyperlink r:id="rId1482" ref="H146"/>
    <hyperlink r:id="rId1483" ref="J146"/>
    <hyperlink r:id="rId1484" ref="K146"/>
    <hyperlink r:id="rId1485" ref="L146"/>
    <hyperlink r:id="rId1486" ref="M146"/>
    <hyperlink r:id="rId1487" ref="N146"/>
    <hyperlink r:id="rId1488" ref="O146"/>
    <hyperlink r:id="rId1489" ref="P146"/>
    <hyperlink r:id="rId1490" ref="Q146"/>
    <hyperlink r:id="rId1491" ref="G147"/>
    <hyperlink r:id="rId1492" ref="H147"/>
    <hyperlink r:id="rId1493" ref="J147"/>
    <hyperlink r:id="rId1494" ref="K147"/>
    <hyperlink r:id="rId1495" ref="L147"/>
    <hyperlink r:id="rId1496" ref="M147"/>
    <hyperlink r:id="rId1497" ref="N147"/>
    <hyperlink r:id="rId1498" ref="G148"/>
    <hyperlink r:id="rId1499" ref="H148"/>
    <hyperlink r:id="rId1500" ref="J148"/>
    <hyperlink r:id="rId1501" ref="K148"/>
    <hyperlink r:id="rId1502" ref="L148"/>
    <hyperlink r:id="rId1503" ref="M148"/>
    <hyperlink r:id="rId1504" ref="N148"/>
    <hyperlink r:id="rId1505" ref="G149"/>
    <hyperlink r:id="rId1506" ref="H149"/>
    <hyperlink r:id="rId1507" ref="J149"/>
    <hyperlink r:id="rId1508" ref="K149"/>
    <hyperlink r:id="rId1509" ref="L149"/>
    <hyperlink r:id="rId1510" ref="M149"/>
    <hyperlink r:id="rId1511" ref="N149"/>
    <hyperlink r:id="rId1512" ref="O149"/>
    <hyperlink r:id="rId1513" ref="P149"/>
    <hyperlink r:id="rId1514" ref="Q149"/>
    <hyperlink r:id="rId1515" ref="R149"/>
    <hyperlink r:id="rId1516" ref="S149"/>
    <hyperlink r:id="rId1517" ref="G150"/>
    <hyperlink r:id="rId1518" ref="H150"/>
    <hyperlink r:id="rId1519" ref="J150"/>
    <hyperlink r:id="rId1520" ref="K150"/>
    <hyperlink r:id="rId1521" ref="L150"/>
    <hyperlink r:id="rId1522" ref="M150"/>
    <hyperlink r:id="rId1523" ref="N150"/>
    <hyperlink r:id="rId1524" ref="O150"/>
    <hyperlink r:id="rId1525" ref="P150"/>
    <hyperlink r:id="rId1526" ref="Q150"/>
    <hyperlink r:id="rId1527" ref="R150"/>
    <hyperlink r:id="rId1528" ref="S150"/>
    <hyperlink r:id="rId1529" ref="G151"/>
    <hyperlink r:id="rId1530" ref="H151"/>
    <hyperlink r:id="rId1531" ref="J151"/>
    <hyperlink r:id="rId1532" ref="K151"/>
    <hyperlink r:id="rId1533" ref="L151"/>
    <hyperlink r:id="rId1534" ref="M151"/>
    <hyperlink r:id="rId1535" ref="N151"/>
    <hyperlink r:id="rId1536" ref="O151"/>
    <hyperlink r:id="rId1537" ref="P151"/>
    <hyperlink r:id="rId1538" ref="Q151"/>
    <hyperlink r:id="rId1539" ref="R151"/>
    <hyperlink r:id="rId1540" ref="S151"/>
    <hyperlink r:id="rId1541" ref="G152"/>
    <hyperlink r:id="rId1542" ref="H152"/>
    <hyperlink r:id="rId1543" ref="J152"/>
    <hyperlink r:id="rId1544" ref="K152"/>
    <hyperlink r:id="rId1545" ref="L152"/>
    <hyperlink r:id="rId1546" ref="M152"/>
    <hyperlink r:id="rId1547" ref="N152"/>
    <hyperlink r:id="rId1548" ref="O152"/>
    <hyperlink r:id="rId1549" ref="P152"/>
    <hyperlink r:id="rId1550" ref="Q152"/>
    <hyperlink r:id="rId1551" ref="R152"/>
    <hyperlink r:id="rId1552" ref="G153"/>
    <hyperlink r:id="rId1553" ref="H153"/>
    <hyperlink r:id="rId1554" ref="J153"/>
    <hyperlink r:id="rId1555" ref="K153"/>
    <hyperlink r:id="rId1556" ref="L153"/>
    <hyperlink r:id="rId1557" ref="M153"/>
    <hyperlink r:id="rId1558" ref="N153"/>
    <hyperlink r:id="rId1559" ref="O153"/>
    <hyperlink r:id="rId1560" ref="P153"/>
    <hyperlink r:id="rId1561" ref="Q153"/>
    <hyperlink r:id="rId1562" ref="R153"/>
    <hyperlink r:id="rId1563" ref="S153"/>
    <hyperlink r:id="rId1564" ref="G154"/>
    <hyperlink r:id="rId1565" ref="H154"/>
    <hyperlink r:id="rId1566" ref="J154"/>
    <hyperlink r:id="rId1567" ref="K154"/>
    <hyperlink r:id="rId1568" ref="L154"/>
    <hyperlink r:id="rId1569" ref="M154"/>
    <hyperlink r:id="rId1570" ref="N154"/>
    <hyperlink r:id="rId1571" ref="O154"/>
    <hyperlink r:id="rId1572" ref="P154"/>
    <hyperlink r:id="rId1573" ref="Q154"/>
    <hyperlink r:id="rId1574" ref="R154"/>
    <hyperlink r:id="rId1575" ref="G155"/>
    <hyperlink r:id="rId1576" ref="H155"/>
    <hyperlink r:id="rId1577" ref="J155"/>
    <hyperlink r:id="rId1578" ref="K155"/>
    <hyperlink r:id="rId1579" ref="L155"/>
    <hyperlink r:id="rId1580" ref="M155"/>
    <hyperlink r:id="rId1581" ref="N155"/>
    <hyperlink r:id="rId1582" ref="O155"/>
    <hyperlink r:id="rId1583" ref="P155"/>
    <hyperlink r:id="rId1584" ref="Q155"/>
    <hyperlink r:id="rId1585" ref="R155"/>
    <hyperlink r:id="rId1586" ref="S155"/>
    <hyperlink r:id="rId1587" ref="G156"/>
    <hyperlink r:id="rId1588" ref="H156"/>
    <hyperlink r:id="rId1589" ref="J156"/>
    <hyperlink r:id="rId1590" ref="K156"/>
    <hyperlink r:id="rId1591" ref="L156"/>
    <hyperlink r:id="rId1592" ref="M156"/>
    <hyperlink r:id="rId1593" ref="N156"/>
    <hyperlink r:id="rId1594" ref="O156"/>
    <hyperlink r:id="rId1595" ref="P156"/>
    <hyperlink r:id="rId1596" ref="Q156"/>
    <hyperlink r:id="rId1597" ref="R156"/>
    <hyperlink r:id="rId1598" ref="S156"/>
    <hyperlink r:id="rId1599" ref="G157"/>
    <hyperlink r:id="rId1600" ref="H157"/>
    <hyperlink r:id="rId1601" ref="J157"/>
    <hyperlink r:id="rId1602" ref="K157"/>
    <hyperlink r:id="rId1603" ref="L157"/>
    <hyperlink r:id="rId1604" ref="M157"/>
    <hyperlink r:id="rId1605" ref="N157"/>
    <hyperlink r:id="rId1606" ref="O157"/>
    <hyperlink r:id="rId1607" ref="G158"/>
    <hyperlink r:id="rId1608" ref="H158"/>
    <hyperlink r:id="rId1609" ref="J158"/>
    <hyperlink r:id="rId1610" ref="K158"/>
    <hyperlink r:id="rId1611" ref="L158"/>
    <hyperlink r:id="rId1612" ref="M158"/>
    <hyperlink r:id="rId1613" ref="N158"/>
    <hyperlink r:id="rId1614" ref="O158"/>
    <hyperlink r:id="rId1615" ref="P158"/>
    <hyperlink r:id="rId1616" ref="Q158"/>
    <hyperlink r:id="rId1617" ref="R158"/>
    <hyperlink r:id="rId1618" ref="S158"/>
    <hyperlink r:id="rId1619" ref="G159"/>
    <hyperlink r:id="rId1620" ref="H159"/>
    <hyperlink r:id="rId1621" ref="J159"/>
    <hyperlink r:id="rId1622" ref="K159"/>
    <hyperlink r:id="rId1623" ref="L159"/>
    <hyperlink r:id="rId1624" ref="M159"/>
    <hyperlink r:id="rId1625" ref="N159"/>
    <hyperlink r:id="rId1626" ref="O159"/>
    <hyperlink r:id="rId1627" ref="P159"/>
    <hyperlink r:id="rId1628" ref="Q159"/>
    <hyperlink r:id="rId1629" ref="R159"/>
    <hyperlink r:id="rId1630" ref="S159"/>
    <hyperlink r:id="rId1631" ref="G160"/>
    <hyperlink r:id="rId1632" ref="H160"/>
    <hyperlink r:id="rId1633" ref="J160"/>
    <hyperlink r:id="rId1634" ref="K160"/>
    <hyperlink r:id="rId1635" ref="L160"/>
    <hyperlink r:id="rId1636" ref="M160"/>
    <hyperlink r:id="rId1637" ref="N160"/>
    <hyperlink r:id="rId1638" ref="O160"/>
    <hyperlink r:id="rId1639" ref="G161"/>
    <hyperlink r:id="rId1640" ref="H161"/>
    <hyperlink r:id="rId1641" ref="J161"/>
    <hyperlink r:id="rId1642" ref="K161"/>
    <hyperlink r:id="rId1643" ref="L161"/>
    <hyperlink r:id="rId1644" ref="M161"/>
    <hyperlink r:id="rId1645" ref="G162"/>
    <hyperlink r:id="rId1646" ref="H162"/>
    <hyperlink r:id="rId1647" ref="J162"/>
    <hyperlink r:id="rId1648" ref="K162"/>
    <hyperlink r:id="rId1649" ref="L162"/>
    <hyperlink r:id="rId1650" ref="M162"/>
    <hyperlink r:id="rId1651" ref="N162"/>
    <hyperlink r:id="rId1652" ref="G163"/>
    <hyperlink r:id="rId1653" ref="H163"/>
    <hyperlink r:id="rId1654" ref="J163"/>
    <hyperlink r:id="rId1655" ref="K163"/>
    <hyperlink r:id="rId1656" ref="L163"/>
    <hyperlink r:id="rId1657" ref="M163"/>
    <hyperlink r:id="rId1658" ref="N163"/>
    <hyperlink r:id="rId1659" ref="O163"/>
    <hyperlink r:id="rId1660" ref="P163"/>
    <hyperlink r:id="rId1661" ref="Q163"/>
    <hyperlink r:id="rId1662" ref="G164"/>
    <hyperlink r:id="rId1663" ref="H164"/>
    <hyperlink r:id="rId1664" ref="J164"/>
    <hyperlink r:id="rId1665" ref="K164"/>
    <hyperlink r:id="rId1666" ref="L164"/>
    <hyperlink r:id="rId1667" ref="M164"/>
    <hyperlink r:id="rId1668" ref="N164"/>
    <hyperlink r:id="rId1669" ref="O164"/>
    <hyperlink r:id="rId1670" ref="P164"/>
    <hyperlink r:id="rId1671" ref="Q164"/>
    <hyperlink r:id="rId1672" ref="R164"/>
    <hyperlink r:id="rId1673" ref="S164"/>
    <hyperlink r:id="rId1674" ref="G165"/>
    <hyperlink r:id="rId1675" ref="H165"/>
    <hyperlink r:id="rId1676" ref="J165"/>
    <hyperlink r:id="rId1677" ref="K165"/>
    <hyperlink r:id="rId1678" ref="L165"/>
    <hyperlink r:id="rId1679" ref="M165"/>
    <hyperlink r:id="rId1680" ref="N165"/>
    <hyperlink r:id="rId1681" ref="O165"/>
    <hyperlink r:id="rId1682" ref="P165"/>
    <hyperlink r:id="rId1683" ref="Q165"/>
    <hyperlink r:id="rId1684" ref="R165"/>
    <hyperlink r:id="rId1685" ref="S165"/>
    <hyperlink r:id="rId1686" ref="G166"/>
    <hyperlink r:id="rId1687" ref="H166"/>
    <hyperlink r:id="rId1688" ref="J166"/>
    <hyperlink r:id="rId1689" ref="K166"/>
    <hyperlink r:id="rId1690" ref="L166"/>
    <hyperlink r:id="rId1691" ref="M166"/>
    <hyperlink r:id="rId1692" ref="N166"/>
    <hyperlink r:id="rId1693" ref="O166"/>
    <hyperlink r:id="rId1694" ref="P166"/>
    <hyperlink r:id="rId1695" ref="Q166"/>
    <hyperlink r:id="rId1696" ref="R166"/>
    <hyperlink r:id="rId1697" ref="S166"/>
    <hyperlink r:id="rId1698" ref="G167"/>
    <hyperlink r:id="rId1699" ref="H167"/>
    <hyperlink r:id="rId1700" ref="J167"/>
    <hyperlink r:id="rId1701" ref="K167"/>
    <hyperlink r:id="rId1702" ref="L167"/>
    <hyperlink r:id="rId1703" ref="M167"/>
    <hyperlink r:id="rId1704" ref="N167"/>
    <hyperlink r:id="rId1705" ref="O167"/>
    <hyperlink r:id="rId1706" ref="P167"/>
    <hyperlink r:id="rId1707" ref="Q167"/>
    <hyperlink r:id="rId1708" ref="R167"/>
    <hyperlink r:id="rId1709" ref="G168"/>
    <hyperlink r:id="rId1710" ref="H168"/>
    <hyperlink r:id="rId1711" ref="J168"/>
    <hyperlink r:id="rId1712" ref="K168"/>
    <hyperlink r:id="rId1713" ref="L168"/>
    <hyperlink r:id="rId1714" ref="M168"/>
    <hyperlink r:id="rId1715" ref="N168"/>
    <hyperlink r:id="rId1716" ref="O168"/>
    <hyperlink r:id="rId1717" ref="P168"/>
    <hyperlink r:id="rId1718" ref="Q168"/>
    <hyperlink r:id="rId1719" ref="R168"/>
    <hyperlink r:id="rId1720" ref="G169"/>
    <hyperlink r:id="rId1721" ref="H169"/>
    <hyperlink r:id="rId1722" ref="J169"/>
    <hyperlink r:id="rId1723" ref="K169"/>
    <hyperlink r:id="rId1724" ref="L169"/>
    <hyperlink r:id="rId1725" ref="M169"/>
    <hyperlink r:id="rId1726" ref="N169"/>
    <hyperlink r:id="rId1727" ref="O169"/>
    <hyperlink r:id="rId1728" ref="P169"/>
    <hyperlink r:id="rId1729" ref="Q169"/>
    <hyperlink r:id="rId1730" ref="R169"/>
    <hyperlink r:id="rId1731" ref="S169"/>
    <hyperlink r:id="rId1732" ref="G170"/>
    <hyperlink r:id="rId1733" ref="H170"/>
    <hyperlink r:id="rId1734" ref="J170"/>
    <hyperlink r:id="rId1735" ref="K170"/>
    <hyperlink r:id="rId1736" ref="L170"/>
    <hyperlink r:id="rId1737" ref="M170"/>
    <hyperlink r:id="rId1738" ref="N170"/>
    <hyperlink r:id="rId1739" ref="G171"/>
    <hyperlink r:id="rId1740" ref="H171"/>
    <hyperlink r:id="rId1741" ref="J171"/>
    <hyperlink r:id="rId1742" ref="K171"/>
    <hyperlink r:id="rId1743" ref="L171"/>
    <hyperlink r:id="rId1744" ref="M171"/>
    <hyperlink r:id="rId1745" ref="N171"/>
    <hyperlink r:id="rId1746" ref="O171"/>
    <hyperlink r:id="rId1747" ref="P171"/>
    <hyperlink r:id="rId1748" ref="Q171"/>
    <hyperlink r:id="rId1749" ref="R171"/>
    <hyperlink r:id="rId1750" ref="S171"/>
    <hyperlink r:id="rId1751" ref="G172"/>
    <hyperlink r:id="rId1752" ref="H172"/>
    <hyperlink r:id="rId1753" ref="J172"/>
    <hyperlink r:id="rId1754" ref="K172"/>
    <hyperlink r:id="rId1755" ref="L172"/>
    <hyperlink r:id="rId1756" ref="M172"/>
    <hyperlink r:id="rId1757" ref="N172"/>
    <hyperlink r:id="rId1758" ref="O172"/>
    <hyperlink r:id="rId1759" ref="P172"/>
    <hyperlink r:id="rId1760" ref="G173"/>
    <hyperlink r:id="rId1761" ref="H173"/>
    <hyperlink r:id="rId1762" ref="J173"/>
    <hyperlink r:id="rId1763" ref="K173"/>
    <hyperlink r:id="rId1764" ref="L173"/>
    <hyperlink r:id="rId1765" ref="M173"/>
    <hyperlink r:id="rId1766" ref="N173"/>
    <hyperlink r:id="rId1767" ref="O173"/>
    <hyperlink r:id="rId1768" ref="P173"/>
    <hyperlink r:id="rId1769" ref="Q173"/>
    <hyperlink r:id="rId1770" ref="R173"/>
    <hyperlink r:id="rId1771" ref="S173"/>
  </hyperlinks>
  <drawing r:id="rId177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v>1.0</v>
      </c>
      <c r="C1" s="104">
        <v>1.0</v>
      </c>
      <c r="F1" s="104" t="s">
        <v>6080</v>
      </c>
      <c r="G1" s="104" t="s">
        <v>6081</v>
      </c>
      <c r="H1" s="104">
        <v>1.0</v>
      </c>
      <c r="I1" s="104" t="s">
        <v>144</v>
      </c>
    </row>
    <row r="2">
      <c r="A2" s="104">
        <v>-5.0</v>
      </c>
      <c r="C2" s="104">
        <v>3.0</v>
      </c>
      <c r="F2" s="104" t="s">
        <v>6082</v>
      </c>
      <c r="G2" s="104" t="s">
        <v>6083</v>
      </c>
      <c r="H2" s="104">
        <v>2.0</v>
      </c>
      <c r="I2" s="104" t="s">
        <v>170</v>
      </c>
    </row>
    <row r="3">
      <c r="A3" s="104">
        <v>4.0</v>
      </c>
      <c r="C3" s="104">
        <v>0.0</v>
      </c>
      <c r="F3" s="104" t="s">
        <v>6084</v>
      </c>
      <c r="G3" s="104" t="s">
        <v>6085</v>
      </c>
      <c r="H3" s="104">
        <v>3.0</v>
      </c>
      <c r="I3" s="104" t="s">
        <v>267</v>
      </c>
    </row>
    <row r="4">
      <c r="A4" s="104">
        <v>3.0</v>
      </c>
      <c r="C4" s="104">
        <v>2.0</v>
      </c>
      <c r="F4" s="104" t="s">
        <v>6086</v>
      </c>
      <c r="G4" s="104" t="s">
        <v>6083</v>
      </c>
      <c r="H4" s="104">
        <v>4.0</v>
      </c>
      <c r="I4" s="104" t="s">
        <v>183</v>
      </c>
    </row>
    <row r="5">
      <c r="A5" s="104">
        <v>4.0</v>
      </c>
      <c r="C5" s="104">
        <v>4.0</v>
      </c>
      <c r="F5" s="104" t="s">
        <v>6087</v>
      </c>
      <c r="G5" s="104" t="s">
        <v>6083</v>
      </c>
      <c r="H5" s="104">
        <v>5.0</v>
      </c>
      <c r="I5" s="104" t="s">
        <v>215</v>
      </c>
    </row>
    <row r="6">
      <c r="A6" s="104">
        <v>3.0</v>
      </c>
      <c r="C6" s="104">
        <v>-3.0</v>
      </c>
      <c r="F6" s="104" t="s">
        <v>6088</v>
      </c>
      <c r="G6" s="104" t="s">
        <v>6083</v>
      </c>
      <c r="H6" s="104">
        <v>6.0</v>
      </c>
      <c r="I6" s="104" t="s">
        <v>137</v>
      </c>
    </row>
    <row r="7">
      <c r="A7" s="104">
        <v>0.0</v>
      </c>
      <c r="C7" s="104">
        <v>4.0</v>
      </c>
      <c r="F7" s="104" t="s">
        <v>5883</v>
      </c>
      <c r="G7" s="104" t="s">
        <v>6085</v>
      </c>
      <c r="H7" s="104">
        <v>7.0</v>
      </c>
      <c r="I7" s="104" t="s">
        <v>226</v>
      </c>
    </row>
    <row r="8">
      <c r="A8" s="104">
        <v>10.0</v>
      </c>
      <c r="C8" s="104">
        <v>15.0</v>
      </c>
      <c r="F8" s="104" t="s">
        <v>6089</v>
      </c>
      <c r="G8" s="104" t="s">
        <v>6090</v>
      </c>
      <c r="H8" s="104">
        <v>8.0</v>
      </c>
      <c r="I8" s="104" t="s">
        <v>142</v>
      </c>
    </row>
    <row r="9">
      <c r="A9" s="104">
        <v>-8.0</v>
      </c>
      <c r="C9" s="104">
        <v>-12.0</v>
      </c>
      <c r="F9" s="104" t="s">
        <v>5779</v>
      </c>
      <c r="G9" s="104" t="s">
        <v>6085</v>
      </c>
      <c r="H9" s="104">
        <v>9.0</v>
      </c>
      <c r="I9" s="104" t="s">
        <v>251</v>
      </c>
    </row>
    <row r="10">
      <c r="A10" s="104">
        <v>0.0</v>
      </c>
      <c r="C10" s="104">
        <v>10.0</v>
      </c>
      <c r="F10" s="104" t="s">
        <v>5886</v>
      </c>
      <c r="G10" s="104" t="s">
        <v>6083</v>
      </c>
      <c r="H10" s="104">
        <v>10.0</v>
      </c>
      <c r="I10" s="104" t="s">
        <v>280</v>
      </c>
    </row>
    <row r="11">
      <c r="A11" s="104">
        <v>-3.0</v>
      </c>
      <c r="C11" s="104">
        <v>2.0</v>
      </c>
      <c r="F11" s="104" t="s">
        <v>6091</v>
      </c>
      <c r="G11" s="104" t="s">
        <v>6083</v>
      </c>
      <c r="H11" s="104">
        <v>11.0</v>
      </c>
      <c r="I11" s="104" t="s">
        <v>218</v>
      </c>
    </row>
    <row r="12">
      <c r="A12" s="104">
        <v>1.0</v>
      </c>
      <c r="C12" s="104">
        <v>8.0</v>
      </c>
      <c r="F12" s="104" t="s">
        <v>6092</v>
      </c>
      <c r="G12" s="104" t="s">
        <v>6093</v>
      </c>
      <c r="H12" s="104">
        <v>12.0</v>
      </c>
      <c r="I12" s="104" t="s">
        <v>222</v>
      </c>
    </row>
    <row r="13">
      <c r="A13" s="104">
        <v>7.0</v>
      </c>
      <c r="C13" s="104">
        <v>-6.0</v>
      </c>
      <c r="F13" s="104" t="s">
        <v>6045</v>
      </c>
      <c r="G13" s="104" t="s">
        <v>6085</v>
      </c>
      <c r="H13" s="104">
        <v>13.0</v>
      </c>
      <c r="I13" s="104" t="s">
        <v>148</v>
      </c>
    </row>
    <row r="14">
      <c r="A14" s="104">
        <v>-1.0</v>
      </c>
      <c r="C14" s="104">
        <v>-7.0</v>
      </c>
      <c r="F14" s="104" t="s">
        <v>6094</v>
      </c>
      <c r="G14" s="104" t="s">
        <v>6083</v>
      </c>
      <c r="H14" s="104">
        <v>14.0</v>
      </c>
      <c r="I14" s="104" t="s">
        <v>287</v>
      </c>
    </row>
    <row r="15">
      <c r="A15" s="104">
        <v>-5.0</v>
      </c>
      <c r="C15" s="104">
        <v>7.0</v>
      </c>
      <c r="F15" s="104" t="s">
        <v>5829</v>
      </c>
      <c r="G15" s="104" t="s">
        <v>6083</v>
      </c>
      <c r="H15" s="104">
        <v>15.0</v>
      </c>
      <c r="I15" s="104" t="s">
        <v>273</v>
      </c>
    </row>
    <row r="16">
      <c r="A16" s="104">
        <v>1.0</v>
      </c>
      <c r="C16" s="104">
        <v>-1.0</v>
      </c>
      <c r="F16" s="104" t="s">
        <v>6095</v>
      </c>
      <c r="G16" s="104" t="s">
        <v>6083</v>
      </c>
      <c r="H16" s="104">
        <v>16.0</v>
      </c>
      <c r="I16" s="104" t="s">
        <v>261</v>
      </c>
    </row>
    <row r="17">
      <c r="A17" s="104">
        <v>7.0</v>
      </c>
      <c r="C17" s="104">
        <v>3.0</v>
      </c>
      <c r="F17" s="104" t="s">
        <v>6020</v>
      </c>
      <c r="G17" s="104" t="s">
        <v>6083</v>
      </c>
      <c r="H17" s="104">
        <v>17.0</v>
      </c>
      <c r="I17" s="104" t="s">
        <v>284</v>
      </c>
    </row>
    <row r="18">
      <c r="A18" s="104">
        <v>-2.0</v>
      </c>
      <c r="C18" s="104">
        <v>2.0</v>
      </c>
      <c r="F18" s="104" t="s">
        <v>5871</v>
      </c>
      <c r="G18" s="104" t="s">
        <v>6085</v>
      </c>
      <c r="H18" s="104">
        <v>18.0</v>
      </c>
      <c r="I18" s="104" t="s">
        <v>180</v>
      </c>
    </row>
    <row r="19">
      <c r="A19" s="104">
        <v>-2.0</v>
      </c>
      <c r="C19" s="104">
        <v>-11.0</v>
      </c>
      <c r="F19" s="104" t="s">
        <v>5851</v>
      </c>
      <c r="G19" s="104" t="s">
        <v>6096</v>
      </c>
      <c r="H19" s="104">
        <v>19.0</v>
      </c>
      <c r="I19" s="104" t="s">
        <v>253</v>
      </c>
    </row>
    <row r="20">
      <c r="A20" s="104">
        <v>0.0</v>
      </c>
      <c r="C20" s="104">
        <v>-8.0</v>
      </c>
      <c r="F20" s="104" t="s">
        <v>5859</v>
      </c>
      <c r="G20" s="104" t="s">
        <v>6085</v>
      </c>
      <c r="H20" s="104">
        <v>20.0</v>
      </c>
      <c r="I20" s="104" t="s">
        <v>247</v>
      </c>
    </row>
    <row r="21">
      <c r="A21" s="104">
        <v>2.0</v>
      </c>
      <c r="C21" s="104">
        <v>10.0</v>
      </c>
      <c r="F21" s="104" t="s">
        <v>6097</v>
      </c>
      <c r="G21" s="104" t="s">
        <v>6083</v>
      </c>
      <c r="H21" s="104">
        <v>21.0</v>
      </c>
      <c r="I21" s="104" t="s">
        <v>260</v>
      </c>
    </row>
    <row r="22">
      <c r="A22" s="104">
        <v>1.0</v>
      </c>
      <c r="C22" s="104">
        <v>2.0</v>
      </c>
      <c r="F22" s="104" t="s">
        <v>6073</v>
      </c>
      <c r="G22" s="104" t="s">
        <v>6085</v>
      </c>
      <c r="H22" s="104">
        <v>22.0</v>
      </c>
      <c r="I22" s="104" t="s">
        <v>195</v>
      </c>
    </row>
    <row r="23">
      <c r="A23" s="104">
        <v>2.0</v>
      </c>
      <c r="C23" s="104">
        <v>-8.0</v>
      </c>
      <c r="F23" s="104" t="s">
        <v>6098</v>
      </c>
      <c r="G23" s="104" t="s">
        <v>6083</v>
      </c>
      <c r="H23" s="104">
        <v>23.0</v>
      </c>
      <c r="I23" s="104" t="s">
        <v>234</v>
      </c>
    </row>
    <row r="24">
      <c r="A24" s="104">
        <v>-2.0</v>
      </c>
      <c r="C24" s="104">
        <v>3.0</v>
      </c>
      <c r="F24" s="104" t="s">
        <v>6101</v>
      </c>
      <c r="G24" s="104" t="s">
        <v>6085</v>
      </c>
      <c r="H24" s="104">
        <v>24.0</v>
      </c>
      <c r="I24" s="104" t="s">
        <v>176</v>
      </c>
    </row>
    <row r="25">
      <c r="A25" s="104">
        <v>-5.0</v>
      </c>
      <c r="C25" s="104">
        <v>-8.0</v>
      </c>
      <c r="F25" s="104" t="s">
        <v>5904</v>
      </c>
      <c r="G25" s="104" t="s">
        <v>6083</v>
      </c>
      <c r="H25" s="104">
        <v>25.0</v>
      </c>
      <c r="I25" s="104" t="s">
        <v>206</v>
      </c>
    </row>
    <row r="26">
      <c r="A26" s="104">
        <v>3.0</v>
      </c>
      <c r="C26" s="104">
        <v>2.0</v>
      </c>
      <c r="F26" s="104" t="s">
        <v>6077</v>
      </c>
      <c r="G26" s="104" t="s">
        <v>6085</v>
      </c>
      <c r="H26" s="104">
        <v>26.0</v>
      </c>
      <c r="I26" s="104" t="s">
        <v>279</v>
      </c>
    </row>
    <row r="27">
      <c r="A27" s="104">
        <v>6.0</v>
      </c>
      <c r="C27" s="104">
        <v>3.0</v>
      </c>
      <c r="F27" s="104" t="s">
        <v>6064</v>
      </c>
      <c r="G27" s="104" t="s">
        <v>6083</v>
      </c>
      <c r="H27" s="104">
        <v>27.0</v>
      </c>
      <c r="I27" s="104" t="s">
        <v>242</v>
      </c>
    </row>
    <row r="28">
      <c r="A28" s="104">
        <v>12.0</v>
      </c>
      <c r="C28" s="104">
        <v>-8.0</v>
      </c>
      <c r="F28" s="104" t="s">
        <v>5996</v>
      </c>
      <c r="G28" s="104" t="s">
        <v>6083</v>
      </c>
      <c r="H28" s="104">
        <v>28.0</v>
      </c>
      <c r="I28" s="104" t="s">
        <v>230</v>
      </c>
    </row>
    <row r="29">
      <c r="A29" s="104">
        <v>4.0</v>
      </c>
      <c r="C29" s="104">
        <v>6.0</v>
      </c>
      <c r="F29" s="104" t="s">
        <v>6103</v>
      </c>
      <c r="G29" s="104" t="s">
        <v>6083</v>
      </c>
      <c r="H29" s="104">
        <v>29.0</v>
      </c>
      <c r="I29" s="104" t="s">
        <v>315</v>
      </c>
    </row>
    <row r="30">
      <c r="A30" s="104">
        <v>-8.0</v>
      </c>
      <c r="C30" s="104">
        <v>-2.0</v>
      </c>
      <c r="F30" s="104" t="s">
        <v>5938</v>
      </c>
      <c r="G30" s="104" t="s">
        <v>6083</v>
      </c>
      <c r="H30" s="104">
        <v>30.0</v>
      </c>
      <c r="I30" s="104" t="s">
        <v>304</v>
      </c>
    </row>
    <row r="31">
      <c r="A31" s="104">
        <v>2.0</v>
      </c>
      <c r="C31" s="104">
        <v>5.0</v>
      </c>
      <c r="F31" s="104" t="s">
        <v>5929</v>
      </c>
      <c r="G31" s="104" t="s">
        <v>6083</v>
      </c>
      <c r="H31" s="104">
        <v>31.0</v>
      </c>
      <c r="I31" s="104" t="s">
        <v>283</v>
      </c>
    </row>
    <row r="32">
      <c r="A32" s="104">
        <v>1.0</v>
      </c>
      <c r="C32" s="104">
        <v>-1.0</v>
      </c>
      <c r="F32" s="104" t="s">
        <v>6104</v>
      </c>
      <c r="G32" s="104" t="s">
        <v>6085</v>
      </c>
      <c r="H32" s="104">
        <v>32.0</v>
      </c>
      <c r="I32" s="104" t="s">
        <v>143</v>
      </c>
    </row>
    <row r="33">
      <c r="A33" s="104">
        <v>10.0</v>
      </c>
      <c r="C33" s="104">
        <v>-3.0</v>
      </c>
      <c r="F33" s="104" t="s">
        <v>6105</v>
      </c>
      <c r="G33" s="104" t="s">
        <v>6083</v>
      </c>
      <c r="H33" s="104">
        <v>33.0</v>
      </c>
      <c r="I33" s="104" t="s">
        <v>210</v>
      </c>
    </row>
    <row r="34">
      <c r="A34" s="104">
        <v>-5.0</v>
      </c>
      <c r="C34" s="104">
        <v>-9.0</v>
      </c>
      <c r="F34" s="104" t="s">
        <v>6027</v>
      </c>
      <c r="G34" s="104" t="s">
        <v>6083</v>
      </c>
      <c r="H34" s="104">
        <v>34.0</v>
      </c>
      <c r="I34" s="104" t="s">
        <v>237</v>
      </c>
    </row>
    <row r="35">
      <c r="A35" s="104">
        <v>-2.0</v>
      </c>
      <c r="C35" s="104">
        <v>-6.0</v>
      </c>
      <c r="F35" s="104" t="s">
        <v>6051</v>
      </c>
      <c r="G35" s="104" t="s">
        <v>6083</v>
      </c>
      <c r="H35" s="104">
        <v>35.0</v>
      </c>
      <c r="I35" s="104" t="s">
        <v>224</v>
      </c>
    </row>
    <row r="36">
      <c r="A36" s="104">
        <v>2.0</v>
      </c>
      <c r="C36" s="104">
        <v>-4.0</v>
      </c>
      <c r="F36" s="104" t="s">
        <v>6106</v>
      </c>
      <c r="G36" s="104" t="s">
        <v>6083</v>
      </c>
      <c r="H36" s="104">
        <v>36.0</v>
      </c>
      <c r="I36" s="104" t="s">
        <v>321</v>
      </c>
    </row>
    <row r="37">
      <c r="A37" s="104">
        <v>-15.0</v>
      </c>
      <c r="C37" s="104">
        <v>-4.0</v>
      </c>
      <c r="F37" s="104" t="s">
        <v>5907</v>
      </c>
      <c r="G37" s="104" t="s">
        <v>6083</v>
      </c>
      <c r="H37" s="104">
        <v>37.0</v>
      </c>
      <c r="I37" s="104" t="s">
        <v>178</v>
      </c>
    </row>
    <row r="38">
      <c r="A38" s="104">
        <v>-1.0</v>
      </c>
      <c r="C38" s="104">
        <v>-4.0</v>
      </c>
      <c r="F38" s="104" t="s">
        <v>5926</v>
      </c>
      <c r="G38" s="104" t="s">
        <v>6083</v>
      </c>
      <c r="H38" s="104">
        <v>38.0</v>
      </c>
      <c r="I38" s="104" t="s">
        <v>294</v>
      </c>
    </row>
    <row r="39">
      <c r="A39" s="104">
        <v>-3.0</v>
      </c>
      <c r="C39" s="104">
        <v>3.0</v>
      </c>
      <c r="F39" s="104" t="s">
        <v>6054</v>
      </c>
      <c r="G39" s="104" t="s">
        <v>6083</v>
      </c>
      <c r="H39" s="104">
        <v>39.0</v>
      </c>
      <c r="I39" s="104" t="s">
        <v>302</v>
      </c>
    </row>
    <row r="40">
      <c r="A40" s="104">
        <v>-8.0</v>
      </c>
      <c r="C40" s="104">
        <v>-14.0</v>
      </c>
      <c r="F40" s="104" t="s">
        <v>5897</v>
      </c>
      <c r="G40" s="104" t="s">
        <v>6083</v>
      </c>
      <c r="H40" s="104">
        <v>40.0</v>
      </c>
      <c r="I40" s="104" t="s">
        <v>141</v>
      </c>
    </row>
    <row r="41">
      <c r="A41" s="104">
        <v>-5.0</v>
      </c>
      <c r="C41" s="104">
        <v>15.0</v>
      </c>
      <c r="F41" s="104" t="s">
        <v>6107</v>
      </c>
      <c r="G41" s="104" t="s">
        <v>6108</v>
      </c>
      <c r="H41" s="104">
        <v>41.0</v>
      </c>
      <c r="I41" s="104" t="s">
        <v>160</v>
      </c>
    </row>
    <row r="42">
      <c r="A42" s="104">
        <v>0.0</v>
      </c>
      <c r="C42" s="104">
        <v>-2.0</v>
      </c>
      <c r="F42" s="104" t="s">
        <v>5877</v>
      </c>
      <c r="G42" s="104" t="s">
        <v>6083</v>
      </c>
      <c r="H42" s="104">
        <v>42.0</v>
      </c>
      <c r="I42" s="104" t="s">
        <v>233</v>
      </c>
    </row>
    <row r="43">
      <c r="A43" s="104">
        <v>0.0</v>
      </c>
      <c r="C43" s="104">
        <v>-4.0</v>
      </c>
      <c r="F43" s="104" t="s">
        <v>6109</v>
      </c>
      <c r="G43" s="104" t="s">
        <v>6083</v>
      </c>
      <c r="H43" s="104">
        <v>43.0</v>
      </c>
      <c r="I43" s="104" t="s">
        <v>191</v>
      </c>
    </row>
    <row r="44">
      <c r="A44" s="104">
        <v>7.0</v>
      </c>
      <c r="C44" s="104">
        <v>13.0</v>
      </c>
      <c r="F44" s="104" t="s">
        <v>5990</v>
      </c>
      <c r="G44" s="104" t="s">
        <v>6083</v>
      </c>
      <c r="H44" s="104">
        <v>44.0</v>
      </c>
      <c r="I44" s="104" t="s">
        <v>199</v>
      </c>
    </row>
    <row r="45">
      <c r="A45" s="104">
        <v>-10.0</v>
      </c>
      <c r="C45" s="104">
        <v>-3.0</v>
      </c>
      <c r="F45" s="104" t="s">
        <v>6110</v>
      </c>
      <c r="G45" s="104" t="s">
        <v>6111</v>
      </c>
      <c r="H45" s="104">
        <v>45.0</v>
      </c>
      <c r="I45" s="104" t="s">
        <v>320</v>
      </c>
    </row>
    <row r="46">
      <c r="A46" s="104">
        <v>6.0</v>
      </c>
      <c r="C46" s="104">
        <v>-1.0</v>
      </c>
      <c r="F46" s="104" t="s">
        <v>6112</v>
      </c>
      <c r="G46" s="104" t="s">
        <v>6083</v>
      </c>
      <c r="H46" s="104">
        <v>46.0</v>
      </c>
      <c r="I46" s="104" t="s">
        <v>171</v>
      </c>
    </row>
    <row r="47">
      <c r="A47" s="104">
        <v>-1.0</v>
      </c>
      <c r="C47" s="104">
        <v>4.0</v>
      </c>
      <c r="F47" s="104" t="s">
        <v>6113</v>
      </c>
      <c r="G47" s="104" t="s">
        <v>6083</v>
      </c>
      <c r="H47" s="104">
        <v>47.0</v>
      </c>
      <c r="I47" s="104" t="s">
        <v>289</v>
      </c>
    </row>
    <row r="48">
      <c r="A48" s="104">
        <v>-3.0</v>
      </c>
      <c r="C48" s="104">
        <v>12.0</v>
      </c>
      <c r="F48" s="104" t="s">
        <v>6114</v>
      </c>
      <c r="G48" s="104" t="s">
        <v>6083</v>
      </c>
      <c r="H48" s="104">
        <v>48.0</v>
      </c>
      <c r="I48" s="104" t="s">
        <v>193</v>
      </c>
    </row>
    <row r="49">
      <c r="A49" s="104">
        <v>-7.0</v>
      </c>
      <c r="C49" s="104">
        <v>-6.0</v>
      </c>
      <c r="F49" s="104" t="s">
        <v>5799</v>
      </c>
      <c r="G49" s="104" t="s">
        <v>6083</v>
      </c>
      <c r="H49" s="104">
        <v>49.0</v>
      </c>
      <c r="I49" s="104" t="s">
        <v>155</v>
      </c>
    </row>
    <row r="50">
      <c r="A50" s="104">
        <v>0.0</v>
      </c>
      <c r="C50" s="104">
        <v>-12.0</v>
      </c>
      <c r="F50" s="104" t="s">
        <v>5953</v>
      </c>
      <c r="G50" s="104" t="s">
        <v>6085</v>
      </c>
      <c r="H50" s="104">
        <v>50.0</v>
      </c>
      <c r="I50" s="104" t="s">
        <v>223</v>
      </c>
    </row>
    <row r="51">
      <c r="A51" s="104">
        <v>3.0</v>
      </c>
      <c r="C51" s="104">
        <v>4.0</v>
      </c>
      <c r="F51" s="104" t="s">
        <v>6115</v>
      </c>
      <c r="G51" s="104" t="s">
        <v>6083</v>
      </c>
      <c r="H51" s="104">
        <v>51.0</v>
      </c>
      <c r="I51" s="104" t="s">
        <v>296</v>
      </c>
    </row>
    <row r="52">
      <c r="A52" s="104">
        <v>4.0</v>
      </c>
      <c r="C52" s="104">
        <v>-1.0</v>
      </c>
      <c r="F52" s="104" t="s">
        <v>6116</v>
      </c>
      <c r="G52" s="104" t="s">
        <v>6117</v>
      </c>
      <c r="H52" s="104">
        <v>52.0</v>
      </c>
      <c r="I52" s="104" t="s">
        <v>154</v>
      </c>
    </row>
    <row r="53">
      <c r="A53" s="104">
        <v>-1.0</v>
      </c>
      <c r="C53" s="104">
        <v>16.0</v>
      </c>
      <c r="F53" s="104" t="s">
        <v>5950</v>
      </c>
      <c r="G53" s="104" t="s">
        <v>6118</v>
      </c>
      <c r="H53" s="104">
        <v>53.0</v>
      </c>
      <c r="I53" s="104" t="s">
        <v>272</v>
      </c>
    </row>
    <row r="54">
      <c r="A54" s="104">
        <v>-2.0</v>
      </c>
      <c r="C54" s="104">
        <v>5.0</v>
      </c>
      <c r="F54" s="104" t="s">
        <v>5848</v>
      </c>
      <c r="G54" s="104" t="s">
        <v>6083</v>
      </c>
      <c r="H54" s="104">
        <v>54.0</v>
      </c>
      <c r="I54" s="104" t="s">
        <v>128</v>
      </c>
    </row>
    <row r="55">
      <c r="A55" s="104">
        <v>-7.0</v>
      </c>
      <c r="C55" s="104">
        <v>3.0</v>
      </c>
      <c r="F55" s="104" t="s">
        <v>6042</v>
      </c>
      <c r="G55" s="104" t="s">
        <v>6081</v>
      </c>
      <c r="H55" s="104">
        <v>55.0</v>
      </c>
      <c r="I55" s="104" t="s">
        <v>138</v>
      </c>
    </row>
    <row r="56">
      <c r="A56" s="104">
        <v>-3.0</v>
      </c>
      <c r="C56" s="104">
        <v>8.0</v>
      </c>
      <c r="F56" s="104" t="s">
        <v>6121</v>
      </c>
      <c r="G56" s="104" t="s">
        <v>6083</v>
      </c>
      <c r="H56" s="104">
        <v>56.0</v>
      </c>
      <c r="I56" s="104" t="s">
        <v>235</v>
      </c>
    </row>
    <row r="57">
      <c r="A57" s="104">
        <v>2.0</v>
      </c>
      <c r="C57" s="104">
        <v>-6.0</v>
      </c>
      <c r="F57" s="104" t="s">
        <v>6122</v>
      </c>
      <c r="G57" s="104" t="s">
        <v>6083</v>
      </c>
      <c r="H57" s="104">
        <v>57.0</v>
      </c>
      <c r="I57" s="104" t="s">
        <v>288</v>
      </c>
    </row>
    <row r="58">
      <c r="A58" s="104">
        <v>5.0</v>
      </c>
      <c r="C58" s="104">
        <v>16.0</v>
      </c>
      <c r="F58" s="104" t="s">
        <v>5993</v>
      </c>
      <c r="G58" s="104" t="s">
        <v>6123</v>
      </c>
      <c r="H58" s="104">
        <v>58.0</v>
      </c>
      <c r="I58" s="104" t="s">
        <v>225</v>
      </c>
    </row>
    <row r="59">
      <c r="A59" s="104">
        <v>10.0</v>
      </c>
      <c r="C59" s="104">
        <v>2.0</v>
      </c>
      <c r="F59" s="104" t="s">
        <v>5826</v>
      </c>
      <c r="G59" s="104" t="s">
        <v>6085</v>
      </c>
      <c r="H59" s="104">
        <v>59.0</v>
      </c>
      <c r="I59" s="104" t="s">
        <v>169</v>
      </c>
    </row>
    <row r="60">
      <c r="A60" s="104">
        <v>-12.0</v>
      </c>
      <c r="C60" s="104">
        <v>-22.0</v>
      </c>
      <c r="F60" s="104" t="s">
        <v>6125</v>
      </c>
      <c r="G60" s="104" t="s">
        <v>6085</v>
      </c>
      <c r="H60" s="104">
        <v>60.0</v>
      </c>
      <c r="I60" s="104" t="s">
        <v>256</v>
      </c>
    </row>
    <row r="61">
      <c r="A61" s="104">
        <v>-10.0</v>
      </c>
      <c r="C61" s="104">
        <v>-11.0</v>
      </c>
      <c r="F61" s="104" t="s">
        <v>5795</v>
      </c>
      <c r="G61" s="104" t="s">
        <v>6081</v>
      </c>
      <c r="H61" s="104">
        <v>61.0</v>
      </c>
      <c r="I61" s="104" t="s">
        <v>231</v>
      </c>
    </row>
    <row r="62">
      <c r="A62" s="104">
        <v>0.0</v>
      </c>
      <c r="C62" s="104">
        <v>7.0</v>
      </c>
      <c r="F62" s="104" t="s">
        <v>6039</v>
      </c>
      <c r="G62" s="104" t="s">
        <v>6085</v>
      </c>
      <c r="H62" s="104">
        <v>62.0</v>
      </c>
      <c r="I62" s="104" t="s">
        <v>217</v>
      </c>
    </row>
    <row r="63">
      <c r="A63" s="104">
        <v>12.0</v>
      </c>
      <c r="C63" s="104">
        <v>4.0</v>
      </c>
      <c r="F63" s="104" t="s">
        <v>5810</v>
      </c>
      <c r="G63" s="104" t="s">
        <v>6085</v>
      </c>
      <c r="H63" s="104">
        <v>63.0</v>
      </c>
      <c r="I63" s="104" t="s">
        <v>203</v>
      </c>
    </row>
    <row r="64">
      <c r="A64" s="104">
        <v>1.0</v>
      </c>
      <c r="C64" s="104">
        <v>5.0</v>
      </c>
      <c r="F64" s="104" t="s">
        <v>6126</v>
      </c>
      <c r="G64" s="104" t="s">
        <v>6083</v>
      </c>
      <c r="H64" s="104">
        <v>64.0</v>
      </c>
      <c r="I64" s="104" t="s">
        <v>156</v>
      </c>
    </row>
    <row r="65">
      <c r="A65" s="104">
        <v>5.0</v>
      </c>
      <c r="C65" s="104">
        <v>-23.0</v>
      </c>
      <c r="F65" s="104" t="s">
        <v>6127</v>
      </c>
      <c r="G65" s="104" t="s">
        <v>6083</v>
      </c>
      <c r="H65" s="104">
        <v>65.0</v>
      </c>
      <c r="I65" s="104" t="s">
        <v>205</v>
      </c>
    </row>
    <row r="66">
      <c r="A66" s="104">
        <v>6.0</v>
      </c>
      <c r="C66" s="104">
        <v>-9.0</v>
      </c>
      <c r="F66" s="104" t="s">
        <v>6128</v>
      </c>
      <c r="G66" s="104" t="s">
        <v>6111</v>
      </c>
      <c r="H66" s="104">
        <v>66.0</v>
      </c>
      <c r="I66" s="104" t="s">
        <v>145</v>
      </c>
    </row>
    <row r="67">
      <c r="A67" s="104">
        <v>2.0</v>
      </c>
      <c r="C67" s="104">
        <v>2.0</v>
      </c>
      <c r="F67" s="104" t="s">
        <v>5792</v>
      </c>
      <c r="G67" s="104" t="s">
        <v>6083</v>
      </c>
      <c r="H67" s="104">
        <v>67.0</v>
      </c>
      <c r="I67" s="104" t="s">
        <v>140</v>
      </c>
    </row>
    <row r="68">
      <c r="A68" s="104">
        <v>12.0</v>
      </c>
      <c r="C68" s="104">
        <v>-9.0</v>
      </c>
      <c r="F68" s="104" t="s">
        <v>5900</v>
      </c>
      <c r="G68" s="104" t="s">
        <v>6083</v>
      </c>
      <c r="H68" s="104">
        <v>68.0</v>
      </c>
      <c r="I68" s="104" t="s">
        <v>269</v>
      </c>
    </row>
    <row r="69">
      <c r="A69" s="104">
        <v>-6.0</v>
      </c>
      <c r="C69" s="104">
        <v>-6.0</v>
      </c>
      <c r="F69" s="104" t="s">
        <v>6006</v>
      </c>
      <c r="G69" s="104" t="s">
        <v>6083</v>
      </c>
      <c r="H69" s="104">
        <v>69.0</v>
      </c>
      <c r="I69" s="104" t="s">
        <v>194</v>
      </c>
    </row>
    <row r="70">
      <c r="A70" s="104">
        <v>5.0</v>
      </c>
      <c r="C70" s="104">
        <v>3.0</v>
      </c>
      <c r="F70" s="104" t="s">
        <v>5855</v>
      </c>
      <c r="G70" s="104" t="s">
        <v>6083</v>
      </c>
      <c r="H70" s="104">
        <v>70.0</v>
      </c>
      <c r="I70" s="104" t="s">
        <v>172</v>
      </c>
    </row>
    <row r="71">
      <c r="A71" s="104">
        <v>-5.0</v>
      </c>
      <c r="C71" s="104">
        <v>4.0</v>
      </c>
      <c r="F71" s="104" t="s">
        <v>6130</v>
      </c>
      <c r="G71" s="104" t="s">
        <v>6131</v>
      </c>
      <c r="H71" s="104">
        <v>71.0</v>
      </c>
      <c r="I71" s="104" t="s">
        <v>150</v>
      </c>
    </row>
    <row r="72">
      <c r="A72" s="104">
        <v>10.0</v>
      </c>
      <c r="C72" s="104">
        <v>-10.0</v>
      </c>
      <c r="F72" s="104" t="s">
        <v>5970</v>
      </c>
      <c r="G72" s="104" t="s">
        <v>6083</v>
      </c>
      <c r="H72" s="104">
        <v>72.0</v>
      </c>
      <c r="I72" s="104" t="s">
        <v>243</v>
      </c>
    </row>
    <row r="73">
      <c r="A73" s="104">
        <v>8.0</v>
      </c>
      <c r="C73" s="104">
        <v>-6.0</v>
      </c>
      <c r="F73" s="104" t="s">
        <v>6024</v>
      </c>
      <c r="G73" s="104" t="s">
        <v>6085</v>
      </c>
      <c r="H73" s="104">
        <v>73.0</v>
      </c>
      <c r="I73" s="104" t="s">
        <v>132</v>
      </c>
    </row>
    <row r="74">
      <c r="A74" s="104">
        <v>-3.0</v>
      </c>
      <c r="C74" s="104">
        <v>-4.0</v>
      </c>
      <c r="F74" s="104" t="s">
        <v>5814</v>
      </c>
      <c r="G74" s="104" t="s">
        <v>6085</v>
      </c>
      <c r="H74" s="104">
        <v>74.0</v>
      </c>
      <c r="I74" s="104" t="s">
        <v>152</v>
      </c>
    </row>
    <row r="75">
      <c r="A75" s="104">
        <v>-1.0</v>
      </c>
      <c r="C75" s="104">
        <v>-8.0</v>
      </c>
      <c r="F75" s="104" t="s">
        <v>6133</v>
      </c>
      <c r="G75" s="104" t="s">
        <v>6083</v>
      </c>
      <c r="H75" s="104">
        <v>75.0</v>
      </c>
      <c r="I75" s="104" t="s">
        <v>275</v>
      </c>
    </row>
    <row r="76">
      <c r="A76" s="104">
        <v>-4.0</v>
      </c>
      <c r="C76" s="104">
        <v>4.0</v>
      </c>
      <c r="F76" s="104" t="s">
        <v>6002</v>
      </c>
      <c r="G76" s="104" t="s">
        <v>6085</v>
      </c>
      <c r="H76" s="104">
        <v>76.0</v>
      </c>
      <c r="I76" s="104" t="s">
        <v>134</v>
      </c>
    </row>
    <row r="77">
      <c r="A77" s="104">
        <v>3.0</v>
      </c>
      <c r="C77" s="104">
        <v>-15.0</v>
      </c>
      <c r="F77" s="104" t="s">
        <v>5889</v>
      </c>
      <c r="G77" s="104" t="s">
        <v>6085</v>
      </c>
      <c r="H77" s="104">
        <v>77.0</v>
      </c>
      <c r="I77" s="104" t="s">
        <v>185</v>
      </c>
    </row>
    <row r="78">
      <c r="A78" s="104">
        <v>5.0</v>
      </c>
      <c r="C78" s="104">
        <v>14.0</v>
      </c>
      <c r="F78" s="104" t="s">
        <v>6134</v>
      </c>
      <c r="G78" s="104" t="s">
        <v>6083</v>
      </c>
      <c r="H78" s="104">
        <v>78.0</v>
      </c>
      <c r="I78" s="104" t="s">
        <v>319</v>
      </c>
    </row>
    <row r="79">
      <c r="A79" s="104">
        <v>-2.0</v>
      </c>
      <c r="C79" s="104">
        <v>-14.0</v>
      </c>
      <c r="F79" s="104" t="s">
        <v>6135</v>
      </c>
      <c r="G79" s="104" t="s">
        <v>6083</v>
      </c>
      <c r="H79" s="104">
        <v>79.0</v>
      </c>
      <c r="I79" s="104" t="s">
        <v>162</v>
      </c>
    </row>
    <row r="80">
      <c r="A80" s="104">
        <v>-18.0</v>
      </c>
      <c r="C80" s="104">
        <v>-4.0</v>
      </c>
      <c r="F80" s="104" t="s">
        <v>5983</v>
      </c>
      <c r="G80" s="104" t="s">
        <v>6085</v>
      </c>
      <c r="H80" s="104">
        <v>80.0</v>
      </c>
      <c r="I80" s="104" t="s">
        <v>89</v>
      </c>
    </row>
    <row r="81">
      <c r="A81" s="104">
        <v>5.0</v>
      </c>
      <c r="C81" s="104">
        <v>-6.0</v>
      </c>
      <c r="F81" s="104" t="s">
        <v>6136</v>
      </c>
      <c r="G81" s="104" t="s">
        <v>6111</v>
      </c>
      <c r="H81" s="104">
        <v>81.0</v>
      </c>
      <c r="I81" s="104" t="s">
        <v>303</v>
      </c>
    </row>
    <row r="82">
      <c r="A82" s="104">
        <v>-3.0</v>
      </c>
      <c r="C82" s="104">
        <v>5.0</v>
      </c>
      <c r="F82" s="104" t="s">
        <v>6137</v>
      </c>
      <c r="G82" s="104" t="s">
        <v>6083</v>
      </c>
      <c r="H82" s="104">
        <v>82.0</v>
      </c>
      <c r="I82" s="104" t="s">
        <v>278</v>
      </c>
    </row>
    <row r="83">
      <c r="A83" s="104">
        <v>5.0</v>
      </c>
      <c r="C83" s="104">
        <v>-1.0</v>
      </c>
      <c r="F83" s="104" t="s">
        <v>6138</v>
      </c>
      <c r="G83" s="104" t="s">
        <v>6085</v>
      </c>
      <c r="H83" s="104">
        <v>83.0</v>
      </c>
      <c r="I83" s="104" t="s">
        <v>212</v>
      </c>
    </row>
    <row r="84">
      <c r="A84" s="104">
        <v>0.0</v>
      </c>
      <c r="C84" s="104">
        <v>-12.0</v>
      </c>
      <c r="F84" s="104" t="s">
        <v>6139</v>
      </c>
      <c r="G84" s="104" t="s">
        <v>6083</v>
      </c>
      <c r="H84" s="104">
        <v>84.0</v>
      </c>
      <c r="I84" s="104" t="s">
        <v>245</v>
      </c>
    </row>
    <row r="85">
      <c r="A85" s="104">
        <v>-6.0</v>
      </c>
      <c r="C85" s="104">
        <v>-6.0</v>
      </c>
      <c r="F85" s="104" t="s">
        <v>5823</v>
      </c>
      <c r="G85" s="104" t="s">
        <v>6081</v>
      </c>
      <c r="H85" s="104">
        <v>85.0</v>
      </c>
      <c r="I85" s="104" t="s">
        <v>307</v>
      </c>
    </row>
    <row r="86">
      <c r="A86" s="104">
        <v>7.0</v>
      </c>
      <c r="C86" s="104">
        <v>10.0</v>
      </c>
      <c r="F86" s="104" t="s">
        <v>6140</v>
      </c>
      <c r="G86" s="104" t="s">
        <v>6081</v>
      </c>
      <c r="H86" s="104">
        <v>86.0</v>
      </c>
      <c r="I86" s="104" t="s">
        <v>219</v>
      </c>
    </row>
    <row r="87">
      <c r="A87" s="104">
        <v>8.0</v>
      </c>
      <c r="C87" s="104">
        <v>-6.0</v>
      </c>
      <c r="F87" s="104" t="s">
        <v>5865</v>
      </c>
      <c r="G87" s="104" t="s">
        <v>6083</v>
      </c>
      <c r="H87" s="104">
        <v>87.0</v>
      </c>
      <c r="I87" s="104" t="s">
        <v>159</v>
      </c>
    </row>
    <row r="88">
      <c r="A88" s="104">
        <v>-7.0</v>
      </c>
      <c r="C88" s="104">
        <v>5.0</v>
      </c>
      <c r="F88" s="104" t="s">
        <v>6057</v>
      </c>
      <c r="G88" s="104" t="s">
        <v>6111</v>
      </c>
      <c r="H88" s="104">
        <v>88.0</v>
      </c>
      <c r="I88" s="104" t="s">
        <v>164</v>
      </c>
    </row>
    <row r="89">
      <c r="A89" s="104">
        <v>-4.0</v>
      </c>
      <c r="C89" s="104">
        <v>-3.0</v>
      </c>
      <c r="F89" s="104" t="s">
        <v>6017</v>
      </c>
      <c r="G89" s="104" t="s">
        <v>6083</v>
      </c>
      <c r="H89" s="104">
        <v>89.0</v>
      </c>
      <c r="I89" s="104" t="s">
        <v>163</v>
      </c>
    </row>
    <row r="90">
      <c r="A90" s="104">
        <v>2.0</v>
      </c>
      <c r="C90" s="104">
        <v>10.0</v>
      </c>
      <c r="F90" s="104" t="s">
        <v>6141</v>
      </c>
      <c r="G90" s="104" t="s">
        <v>6083</v>
      </c>
      <c r="H90" s="104">
        <v>90.0</v>
      </c>
      <c r="I90" s="104" t="s">
        <v>131</v>
      </c>
    </row>
    <row r="91">
      <c r="A91" s="104">
        <v>3.0</v>
      </c>
      <c r="C91" s="104">
        <v>-10.0</v>
      </c>
      <c r="F91" s="104" t="s">
        <v>6143</v>
      </c>
      <c r="G91" s="104" t="s">
        <v>6144</v>
      </c>
      <c r="H91" s="104">
        <v>91.0</v>
      </c>
      <c r="I91" s="104" t="s">
        <v>241</v>
      </c>
    </row>
    <row r="92">
      <c r="A92" s="104">
        <v>0.0</v>
      </c>
      <c r="C92" s="104">
        <v>2.0</v>
      </c>
      <c r="F92" s="104" t="s">
        <v>6061</v>
      </c>
      <c r="G92" s="104" t="s">
        <v>6083</v>
      </c>
      <c r="H92" s="104">
        <v>92.0</v>
      </c>
      <c r="I92" s="104" t="s">
        <v>229</v>
      </c>
    </row>
    <row r="93">
      <c r="A93" s="104">
        <v>-11.0</v>
      </c>
      <c r="C93" s="104">
        <v>-1.0</v>
      </c>
      <c r="F93" s="104" t="s">
        <v>6146</v>
      </c>
      <c r="G93" s="104" t="s">
        <v>6083</v>
      </c>
      <c r="H93" s="104">
        <v>93.0</v>
      </c>
      <c r="I93" s="104" t="s">
        <v>232</v>
      </c>
    </row>
    <row r="94">
      <c r="A94" s="104">
        <v>-10.0</v>
      </c>
      <c r="C94" s="104">
        <v>4.0</v>
      </c>
      <c r="F94" s="104" t="s">
        <v>5841</v>
      </c>
      <c r="G94" s="104" t="s">
        <v>6083</v>
      </c>
      <c r="H94" s="104">
        <v>94.0</v>
      </c>
      <c r="I94" s="104" t="s">
        <v>181</v>
      </c>
    </row>
    <row r="95">
      <c r="A95" s="104">
        <v>4.0</v>
      </c>
      <c r="C95" s="104">
        <v>12.0</v>
      </c>
      <c r="F95" s="104" t="s">
        <v>5776</v>
      </c>
      <c r="G95" s="104" t="s">
        <v>6083</v>
      </c>
      <c r="H95" s="104">
        <v>95.0</v>
      </c>
      <c r="I95" s="104" t="s">
        <v>133</v>
      </c>
    </row>
    <row r="96">
      <c r="A96" s="104">
        <v>-8.0</v>
      </c>
      <c r="C96" s="104">
        <v>-11.0</v>
      </c>
      <c r="F96" s="104" t="s">
        <v>6147</v>
      </c>
      <c r="G96" s="104" t="s">
        <v>6083</v>
      </c>
      <c r="H96" s="104">
        <v>96.0</v>
      </c>
      <c r="I96" s="104" t="s">
        <v>257</v>
      </c>
    </row>
    <row r="97">
      <c r="A97" s="104">
        <v>-4.0</v>
      </c>
      <c r="C97" s="104">
        <v>5.0</v>
      </c>
      <c r="F97" s="104" t="s">
        <v>6148</v>
      </c>
      <c r="G97" s="104" t="s">
        <v>6083</v>
      </c>
      <c r="H97" s="104">
        <v>97.0</v>
      </c>
      <c r="I97" s="104" t="s">
        <v>168</v>
      </c>
    </row>
    <row r="98">
      <c r="A98" s="104">
        <v>0.0</v>
      </c>
      <c r="C98" s="104">
        <v>-6.0</v>
      </c>
      <c r="F98" s="104" t="s">
        <v>5844</v>
      </c>
      <c r="G98" s="104" t="s">
        <v>6083</v>
      </c>
      <c r="H98" s="104">
        <v>98.0</v>
      </c>
      <c r="I98" s="104" t="s">
        <v>135</v>
      </c>
    </row>
    <row r="99">
      <c r="A99" s="104">
        <v>6.0</v>
      </c>
      <c r="C99" s="104">
        <v>2.0</v>
      </c>
      <c r="F99" s="104" t="s">
        <v>5986</v>
      </c>
      <c r="G99" s="104" t="s">
        <v>6081</v>
      </c>
      <c r="H99" s="104">
        <v>99.0</v>
      </c>
      <c r="I99" s="104" t="s">
        <v>238</v>
      </c>
    </row>
    <row r="100">
      <c r="A100" s="104">
        <v>-5.0</v>
      </c>
      <c r="C100" s="104">
        <v>-3.0</v>
      </c>
      <c r="F100" s="104" t="s">
        <v>5947</v>
      </c>
      <c r="G100" s="104" t="s">
        <v>6085</v>
      </c>
      <c r="H100" s="104">
        <v>100.0</v>
      </c>
      <c r="I100" s="104" t="s">
        <v>228</v>
      </c>
    </row>
    <row r="101">
      <c r="A101" s="104">
        <v>6.0</v>
      </c>
      <c r="C101" s="104">
        <v>-4.0</v>
      </c>
      <c r="F101" s="104" t="s">
        <v>6149</v>
      </c>
      <c r="G101" s="104" t="s">
        <v>6150</v>
      </c>
      <c r="H101" s="104">
        <v>101.0</v>
      </c>
      <c r="I101" s="104" t="s">
        <v>293</v>
      </c>
    </row>
    <row r="102">
      <c r="A102" s="104">
        <v>-5.0</v>
      </c>
      <c r="C102" s="104">
        <v>-10.0</v>
      </c>
      <c r="F102" s="104" t="s">
        <v>6151</v>
      </c>
      <c r="G102" s="104" t="s">
        <v>6083</v>
      </c>
      <c r="H102" s="104">
        <v>102.0</v>
      </c>
      <c r="I102" s="104" t="s">
        <v>298</v>
      </c>
    </row>
    <row r="103">
      <c r="A103" s="104">
        <v>-3.0</v>
      </c>
      <c r="C103" s="104">
        <v>-3.0</v>
      </c>
      <c r="F103" s="104" t="s">
        <v>6099</v>
      </c>
      <c r="G103" s="104" t="s">
        <v>6083</v>
      </c>
      <c r="H103" s="104">
        <v>103.0</v>
      </c>
      <c r="I103" s="104" t="s">
        <v>271</v>
      </c>
    </row>
    <row r="104">
      <c r="A104" s="104">
        <v>-1.0</v>
      </c>
      <c r="C104" s="104">
        <v>-17.0</v>
      </c>
      <c r="F104" s="104" t="s">
        <v>6152</v>
      </c>
      <c r="G104" s="104" t="s">
        <v>6083</v>
      </c>
      <c r="H104" s="104">
        <v>104.0</v>
      </c>
      <c r="I104" s="104" t="s">
        <v>208</v>
      </c>
    </row>
    <row r="105">
      <c r="A105" s="104">
        <v>6.0</v>
      </c>
      <c r="C105" s="104">
        <v>8.0</v>
      </c>
      <c r="F105" s="104" t="s">
        <v>5935</v>
      </c>
      <c r="G105" s="104" t="s">
        <v>6083</v>
      </c>
      <c r="H105" s="104">
        <v>105.0</v>
      </c>
      <c r="I105" s="104" t="s">
        <v>182</v>
      </c>
    </row>
    <row r="106">
      <c r="A106" s="104">
        <v>-11.0</v>
      </c>
      <c r="C106" s="104">
        <v>-3.0</v>
      </c>
      <c r="F106" s="104" t="s">
        <v>6153</v>
      </c>
      <c r="G106" s="104" t="s">
        <v>6083</v>
      </c>
      <c r="H106" s="104">
        <v>106.0</v>
      </c>
      <c r="I106" s="104" t="s">
        <v>196</v>
      </c>
    </row>
    <row r="107">
      <c r="A107" s="104">
        <v>-15.0</v>
      </c>
      <c r="C107" s="104">
        <v>-7.0</v>
      </c>
      <c r="F107" s="104" t="s">
        <v>6154</v>
      </c>
      <c r="G107" s="104" t="s">
        <v>6083</v>
      </c>
      <c r="H107" s="104">
        <v>107.0</v>
      </c>
      <c r="I107" s="104" t="s">
        <v>286</v>
      </c>
    </row>
    <row r="108">
      <c r="A108" s="104">
        <v>0.0</v>
      </c>
      <c r="C108" s="104">
        <v>5.0</v>
      </c>
      <c r="F108" s="104" t="s">
        <v>6155</v>
      </c>
      <c r="G108" s="104" t="s">
        <v>6083</v>
      </c>
      <c r="H108" s="104">
        <v>108.0</v>
      </c>
      <c r="I108" s="104" t="s">
        <v>186</v>
      </c>
    </row>
    <row r="109">
      <c r="A109" s="104">
        <v>9.0</v>
      </c>
      <c r="C109" s="104">
        <v>-4.0</v>
      </c>
      <c r="F109" s="104" t="s">
        <v>6156</v>
      </c>
      <c r="G109" s="104" t="s">
        <v>6083</v>
      </c>
      <c r="H109" s="104">
        <v>109.0</v>
      </c>
      <c r="I109" s="104" t="s">
        <v>161</v>
      </c>
    </row>
    <row r="110">
      <c r="A110" s="104">
        <v>-6.0</v>
      </c>
      <c r="C110" s="104">
        <v>5.0</v>
      </c>
      <c r="F110" s="104" t="s">
        <v>6157</v>
      </c>
      <c r="G110" s="104" t="s">
        <v>6083</v>
      </c>
      <c r="H110" s="104">
        <v>110.0</v>
      </c>
      <c r="I110" s="104" t="s">
        <v>91</v>
      </c>
    </row>
    <row r="111">
      <c r="A111" s="104">
        <v>-5.0</v>
      </c>
      <c r="C111" s="104">
        <v>-21.0</v>
      </c>
      <c r="F111" s="104" t="s">
        <v>6158</v>
      </c>
      <c r="G111" s="104" t="s">
        <v>6085</v>
      </c>
      <c r="H111" s="104">
        <v>111.0</v>
      </c>
      <c r="I111" s="104" t="s">
        <v>184</v>
      </c>
    </row>
    <row r="112">
      <c r="A112" s="104">
        <v>7.0</v>
      </c>
      <c r="C112" s="104">
        <v>15.0</v>
      </c>
      <c r="F112" s="104" t="s">
        <v>6159</v>
      </c>
      <c r="G112" s="104" t="s">
        <v>6083</v>
      </c>
      <c r="H112" s="104">
        <v>112.0</v>
      </c>
      <c r="I112" s="104" t="s">
        <v>190</v>
      </c>
    </row>
    <row r="113">
      <c r="A113" s="104">
        <v>-7.0</v>
      </c>
      <c r="C113" s="104">
        <v>0.0</v>
      </c>
      <c r="F113" s="104" t="s">
        <v>6160</v>
      </c>
      <c r="G113" s="104" t="s">
        <v>6083</v>
      </c>
      <c r="H113" s="104">
        <v>113.0</v>
      </c>
      <c r="I113" s="104" t="s">
        <v>129</v>
      </c>
    </row>
    <row r="114">
      <c r="A114" s="104">
        <v>-12.0</v>
      </c>
      <c r="C114" s="104">
        <v>-6.0</v>
      </c>
      <c r="F114" s="104" t="s">
        <v>5868</v>
      </c>
      <c r="G114" s="104" t="s">
        <v>6083</v>
      </c>
      <c r="H114" s="104">
        <v>114.0</v>
      </c>
      <c r="I114" s="104" t="s">
        <v>311</v>
      </c>
    </row>
    <row r="115">
      <c r="A115" s="104">
        <v>0.0</v>
      </c>
      <c r="C115" s="104">
        <v>-5.0</v>
      </c>
      <c r="F115" s="104" t="s">
        <v>5959</v>
      </c>
      <c r="G115" s="104" t="s">
        <v>6117</v>
      </c>
      <c r="H115" s="104">
        <v>115.0</v>
      </c>
      <c r="I115" s="104" t="s">
        <v>149</v>
      </c>
    </row>
    <row r="116">
      <c r="A116" s="104">
        <v>-1.0</v>
      </c>
      <c r="C116" s="104">
        <v>-8.0</v>
      </c>
      <c r="F116" s="104" t="s">
        <v>6048</v>
      </c>
      <c r="G116" s="104" t="s">
        <v>6085</v>
      </c>
      <c r="H116" s="104">
        <v>116.0</v>
      </c>
      <c r="I116" s="104" t="s">
        <v>244</v>
      </c>
    </row>
    <row r="117">
      <c r="A117" s="104">
        <v>6.0</v>
      </c>
      <c r="C117" s="104">
        <v>9.0</v>
      </c>
      <c r="F117" s="104" t="s">
        <v>6161</v>
      </c>
      <c r="G117" s="104" t="s">
        <v>6083</v>
      </c>
      <c r="H117" s="104">
        <v>117.0</v>
      </c>
      <c r="I117" s="104" t="s">
        <v>291</v>
      </c>
    </row>
    <row r="118">
      <c r="A118" s="104">
        <v>5.0</v>
      </c>
      <c r="C118" s="104">
        <v>2.0</v>
      </c>
      <c r="F118" s="104" t="s">
        <v>5932</v>
      </c>
      <c r="G118" s="104" t="s">
        <v>6083</v>
      </c>
      <c r="H118" s="104">
        <v>118.0</v>
      </c>
      <c r="I118" s="104" t="s">
        <v>290</v>
      </c>
    </row>
    <row r="119">
      <c r="A119" s="104">
        <v>-5.0</v>
      </c>
      <c r="C119" s="104">
        <v>-3.0</v>
      </c>
      <c r="F119" s="104" t="s">
        <v>5976</v>
      </c>
      <c r="G119" s="104" t="s">
        <v>6144</v>
      </c>
      <c r="H119" s="104">
        <v>119.0</v>
      </c>
      <c r="I119" s="104" t="s">
        <v>314</v>
      </c>
    </row>
    <row r="120">
      <c r="A120" s="104">
        <v>-6.0</v>
      </c>
      <c r="C120" s="104">
        <v>-5.0</v>
      </c>
      <c r="F120" s="104" t="s">
        <v>6163</v>
      </c>
      <c r="G120" s="104" t="s">
        <v>6111</v>
      </c>
      <c r="H120" s="104">
        <v>120.0</v>
      </c>
      <c r="I120" s="104" t="s">
        <v>94</v>
      </c>
    </row>
    <row r="121">
      <c r="A121" s="104">
        <v>-5.0</v>
      </c>
      <c r="C121" s="104">
        <v>-3.0</v>
      </c>
      <c r="F121" s="104" t="s">
        <v>5967</v>
      </c>
      <c r="G121" s="104" t="s">
        <v>6083</v>
      </c>
      <c r="H121" s="104">
        <v>121.0</v>
      </c>
      <c r="I121" s="104" t="s">
        <v>179</v>
      </c>
    </row>
    <row r="122">
      <c r="A122" s="104">
        <v>2.0</v>
      </c>
      <c r="C122" s="104">
        <v>-6.0</v>
      </c>
      <c r="F122" s="104" t="s">
        <v>5880</v>
      </c>
      <c r="G122" s="104" t="s">
        <v>6083</v>
      </c>
      <c r="H122" s="104">
        <v>122.0</v>
      </c>
      <c r="I122" s="104" t="s">
        <v>146</v>
      </c>
    </row>
    <row r="123">
      <c r="A123" s="104">
        <v>0.0</v>
      </c>
      <c r="C123" s="104">
        <v>-6.0</v>
      </c>
      <c r="F123" s="104" t="s">
        <v>6164</v>
      </c>
      <c r="G123" s="104" t="s">
        <v>6083</v>
      </c>
      <c r="H123" s="104">
        <v>123.0</v>
      </c>
      <c r="I123" s="104" t="s">
        <v>305</v>
      </c>
    </row>
    <row r="124">
      <c r="A124" s="104">
        <v>-4.0</v>
      </c>
      <c r="C124" s="104">
        <v>8.0</v>
      </c>
      <c r="F124" s="104" t="s">
        <v>6030</v>
      </c>
      <c r="G124" s="104" t="s">
        <v>6083</v>
      </c>
      <c r="H124" s="104">
        <v>124.0</v>
      </c>
      <c r="I124" s="104" t="s">
        <v>313</v>
      </c>
    </row>
    <row r="125">
      <c r="A125" s="104">
        <v>5.0</v>
      </c>
      <c r="C125" s="104">
        <v>3.0</v>
      </c>
      <c r="F125" s="104" t="s">
        <v>6010</v>
      </c>
      <c r="G125" s="104" t="s">
        <v>6085</v>
      </c>
      <c r="H125" s="104">
        <v>125.0</v>
      </c>
      <c r="I125" s="104" t="s">
        <v>174</v>
      </c>
    </row>
    <row r="126">
      <c r="A126" s="104">
        <v>10.0</v>
      </c>
      <c r="C126" s="104">
        <v>-12.0</v>
      </c>
      <c r="F126" s="104" t="s">
        <v>6166</v>
      </c>
      <c r="G126" s="104" t="s">
        <v>6131</v>
      </c>
      <c r="H126" s="104">
        <v>126.0</v>
      </c>
      <c r="I126" s="104" t="s">
        <v>263</v>
      </c>
    </row>
    <row r="127">
      <c r="A127" s="104">
        <v>3.0</v>
      </c>
      <c r="C127" s="104">
        <v>0.0</v>
      </c>
      <c r="F127" s="104" t="s">
        <v>5893</v>
      </c>
      <c r="G127" s="104" t="s">
        <v>6083</v>
      </c>
      <c r="H127" s="104">
        <v>127.0</v>
      </c>
      <c r="I127" s="104" t="s">
        <v>110</v>
      </c>
    </row>
    <row r="128">
      <c r="A128" s="104">
        <v>10.0</v>
      </c>
      <c r="C128" s="104">
        <v>10.0</v>
      </c>
      <c r="F128" s="104" t="s">
        <v>6069</v>
      </c>
      <c r="G128" s="104" t="s">
        <v>6083</v>
      </c>
      <c r="H128" s="104">
        <v>128.0</v>
      </c>
      <c r="I128" s="104" t="s">
        <v>197</v>
      </c>
    </row>
    <row r="129">
      <c r="A129" s="104">
        <v>13.0</v>
      </c>
      <c r="C129" s="104">
        <v>13.0</v>
      </c>
      <c r="F129" s="104" t="s">
        <v>6167</v>
      </c>
      <c r="G129" s="104" t="s">
        <v>6083</v>
      </c>
      <c r="H129" s="104">
        <v>129.0</v>
      </c>
      <c r="I129" s="104" t="s">
        <v>200</v>
      </c>
    </row>
    <row r="130">
      <c r="A130" s="104">
        <v>10.0</v>
      </c>
      <c r="C130" s="104">
        <v>3.0</v>
      </c>
      <c r="F130" s="104" t="s">
        <v>5941</v>
      </c>
      <c r="G130" s="104" t="s">
        <v>6085</v>
      </c>
      <c r="H130" s="104">
        <v>130.0</v>
      </c>
      <c r="I130" s="104" t="s">
        <v>166</v>
      </c>
    </row>
    <row r="131">
      <c r="A131" s="104">
        <v>-1.0</v>
      </c>
      <c r="C131" s="104">
        <v>10.0</v>
      </c>
      <c r="F131" s="104" t="s">
        <v>6168</v>
      </c>
      <c r="G131" s="104" t="s">
        <v>6083</v>
      </c>
      <c r="H131" s="104">
        <v>131.0</v>
      </c>
      <c r="I131" s="104" t="s">
        <v>204</v>
      </c>
    </row>
    <row r="132">
      <c r="A132" s="104">
        <v>-8.0</v>
      </c>
      <c r="C132" s="104">
        <v>5.0</v>
      </c>
      <c r="F132" s="104" t="s">
        <v>6169</v>
      </c>
      <c r="G132" s="104" t="s">
        <v>6083</v>
      </c>
      <c r="H132" s="104">
        <v>132.0</v>
      </c>
      <c r="I132" s="104" t="s">
        <v>198</v>
      </c>
    </row>
    <row r="133">
      <c r="A133" s="104">
        <v>8.0</v>
      </c>
      <c r="C133" s="104">
        <v>10.0</v>
      </c>
      <c r="F133" s="104" t="s">
        <v>5773</v>
      </c>
      <c r="G133" s="104" t="s">
        <v>6083</v>
      </c>
      <c r="H133" s="104">
        <v>133.0</v>
      </c>
      <c r="I133" s="104" t="s">
        <v>262</v>
      </c>
    </row>
    <row r="134">
      <c r="A134" s="104">
        <v>0.0</v>
      </c>
      <c r="C134" s="104">
        <v>16.0</v>
      </c>
      <c r="F134" s="104" t="s">
        <v>5910</v>
      </c>
      <c r="G134" s="104" t="s">
        <v>6083</v>
      </c>
      <c r="H134" s="104">
        <v>134.0</v>
      </c>
      <c r="I134" s="104" t="s">
        <v>151</v>
      </c>
    </row>
    <row r="135">
      <c r="A135" s="104">
        <v>10.0</v>
      </c>
      <c r="C135" s="104">
        <v>15.0</v>
      </c>
      <c r="F135" s="104" t="s">
        <v>6171</v>
      </c>
      <c r="G135" s="104" t="s">
        <v>6083</v>
      </c>
      <c r="H135" s="104">
        <v>135.0</v>
      </c>
      <c r="I135" s="104" t="s">
        <v>122</v>
      </c>
    </row>
    <row r="136">
      <c r="A136" s="104">
        <v>8.0</v>
      </c>
      <c r="C136" s="104">
        <v>8.0</v>
      </c>
      <c r="F136" s="104" t="s">
        <v>5923</v>
      </c>
      <c r="G136" s="104" t="s">
        <v>6083</v>
      </c>
      <c r="H136" s="104">
        <v>136.0</v>
      </c>
      <c r="I136" s="104" t="s">
        <v>281</v>
      </c>
    </row>
    <row r="137">
      <c r="A137" s="104">
        <v>-12.0</v>
      </c>
      <c r="C137" s="104">
        <v>0.0</v>
      </c>
      <c r="F137" s="104" t="s">
        <v>5917</v>
      </c>
      <c r="G137" s="104" t="s">
        <v>6083</v>
      </c>
      <c r="H137" s="104">
        <v>137.0</v>
      </c>
      <c r="I137" s="104" t="s">
        <v>111</v>
      </c>
    </row>
    <row r="138">
      <c r="A138" s="104">
        <v>-5.0</v>
      </c>
      <c r="C138" s="104">
        <v>-9.0</v>
      </c>
      <c r="F138" s="104" t="s">
        <v>5944</v>
      </c>
      <c r="G138" s="104" t="s">
        <v>6083</v>
      </c>
      <c r="H138" s="104">
        <v>138.0</v>
      </c>
      <c r="I138" s="104" t="s">
        <v>285</v>
      </c>
    </row>
    <row r="139">
      <c r="A139" s="104">
        <v>2.0</v>
      </c>
      <c r="C139" s="104">
        <v>1.0</v>
      </c>
      <c r="F139" s="104" t="s">
        <v>5838</v>
      </c>
      <c r="G139" s="104" t="s">
        <v>6083</v>
      </c>
      <c r="H139" s="104">
        <v>139.0</v>
      </c>
      <c r="I139" s="104" t="s">
        <v>108</v>
      </c>
    </row>
    <row r="140">
      <c r="A140" s="104">
        <v>1.0</v>
      </c>
      <c r="C140" s="104">
        <v>4.0</v>
      </c>
      <c r="F140" s="104" t="s">
        <v>5920</v>
      </c>
      <c r="G140" s="104" t="s">
        <v>6083</v>
      </c>
      <c r="H140" s="104">
        <v>140.0</v>
      </c>
      <c r="I140" s="104" t="s">
        <v>214</v>
      </c>
    </row>
    <row r="141">
      <c r="A141" s="104">
        <v>-4.0</v>
      </c>
      <c r="C141" s="104">
        <v>-2.0</v>
      </c>
      <c r="F141" s="104" t="s">
        <v>6036</v>
      </c>
      <c r="G141" s="104" t="s">
        <v>6083</v>
      </c>
      <c r="H141" s="104">
        <v>141.0</v>
      </c>
      <c r="I141" s="104" t="s">
        <v>258</v>
      </c>
    </row>
    <row r="142">
      <c r="A142" s="104">
        <v>0.0</v>
      </c>
      <c r="C142" s="104">
        <v>-5.0</v>
      </c>
      <c r="F142" s="104" t="s">
        <v>6172</v>
      </c>
      <c r="G142" s="104" t="s">
        <v>6083</v>
      </c>
      <c r="H142" s="104">
        <v>142.0</v>
      </c>
      <c r="I142" s="104" t="s">
        <v>264</v>
      </c>
    </row>
    <row r="143">
      <c r="A143" s="104">
        <v>-3.0</v>
      </c>
      <c r="C143" s="104">
        <v>1.0</v>
      </c>
      <c r="F143" s="104" t="s">
        <v>5956</v>
      </c>
      <c r="G143" s="104" t="s">
        <v>6083</v>
      </c>
      <c r="H143" s="104">
        <v>143.0</v>
      </c>
      <c r="I143" s="104" t="s">
        <v>239</v>
      </c>
    </row>
    <row r="144">
      <c r="A144" s="104">
        <v>3.0</v>
      </c>
      <c r="C144" s="104">
        <v>2.0</v>
      </c>
      <c r="F144" s="104" t="s">
        <v>6173</v>
      </c>
      <c r="G144" s="104" t="s">
        <v>6083</v>
      </c>
      <c r="H144" s="104">
        <v>144.0</v>
      </c>
      <c r="I144" s="104" t="s">
        <v>248</v>
      </c>
    </row>
    <row r="145">
      <c r="A145" s="104">
        <v>-4.0</v>
      </c>
      <c r="C145" s="104">
        <v>-3.0</v>
      </c>
      <c r="F145" s="104" t="s">
        <v>5862</v>
      </c>
      <c r="G145" s="104" t="s">
        <v>6083</v>
      </c>
      <c r="H145" s="104">
        <v>145.0</v>
      </c>
      <c r="I145" s="104" t="s">
        <v>250</v>
      </c>
    </row>
    <row r="146">
      <c r="A146" s="104">
        <v>-2.0</v>
      </c>
      <c r="C146" s="104">
        <v>-17.0</v>
      </c>
      <c r="F146" s="104" t="s">
        <v>6175</v>
      </c>
      <c r="G146" s="104" t="s">
        <v>6117</v>
      </c>
      <c r="H146" s="104">
        <v>146.0</v>
      </c>
      <c r="I146" s="104" t="s">
        <v>117</v>
      </c>
    </row>
    <row r="147">
      <c r="A147" s="104">
        <v>1.0</v>
      </c>
      <c r="C147" s="104">
        <v>-3.0</v>
      </c>
      <c r="F147" s="104" t="s">
        <v>6176</v>
      </c>
      <c r="G147" s="104" t="s">
        <v>6177</v>
      </c>
      <c r="H147" s="104">
        <v>147.0</v>
      </c>
      <c r="I147" s="104" t="s">
        <v>221</v>
      </c>
    </row>
    <row r="148">
      <c r="A148" s="104">
        <v>-3.0</v>
      </c>
      <c r="C148" s="104">
        <v>13.0</v>
      </c>
      <c r="F148" s="104" t="s">
        <v>6179</v>
      </c>
      <c r="G148" s="104" t="s">
        <v>6083</v>
      </c>
      <c r="H148" s="104">
        <v>148.0</v>
      </c>
      <c r="I148" s="104" t="s">
        <v>115</v>
      </c>
    </row>
    <row r="149">
      <c r="A149" s="104">
        <v>13.0</v>
      </c>
      <c r="C149" s="104">
        <v>3.0</v>
      </c>
      <c r="F149" s="104" t="s">
        <v>5820</v>
      </c>
      <c r="G149" s="104" t="s">
        <v>6083</v>
      </c>
      <c r="H149" s="104">
        <v>149.0</v>
      </c>
      <c r="I149" s="104" t="s">
        <v>104</v>
      </c>
    </row>
    <row r="150">
      <c r="A150" s="104">
        <v>5.0</v>
      </c>
      <c r="C150" s="104">
        <v>7.0</v>
      </c>
      <c r="F150" s="104" t="s">
        <v>5963</v>
      </c>
      <c r="G150" s="104" t="s">
        <v>6083</v>
      </c>
      <c r="H150" s="104">
        <v>150.0</v>
      </c>
      <c r="I150" s="104" t="s">
        <v>306</v>
      </c>
    </row>
    <row r="151">
      <c r="A151" s="104">
        <v>7.0</v>
      </c>
      <c r="C151" s="104">
        <v>-4.0</v>
      </c>
      <c r="F151" s="104" t="s">
        <v>6013</v>
      </c>
      <c r="G151" s="104" t="s">
        <v>6083</v>
      </c>
      <c r="H151" s="104">
        <v>151.0</v>
      </c>
      <c r="I151" s="104" t="s">
        <v>282</v>
      </c>
    </row>
    <row r="152">
      <c r="A152" s="104">
        <v>3.0</v>
      </c>
      <c r="C152" s="104">
        <v>5.0</v>
      </c>
      <c r="F152" s="104" t="s">
        <v>6180</v>
      </c>
      <c r="G152" s="104" t="s">
        <v>6083</v>
      </c>
      <c r="H152" s="104">
        <v>152.0</v>
      </c>
      <c r="I152" s="104" t="s">
        <v>121</v>
      </c>
    </row>
    <row r="153">
      <c r="A153" s="104">
        <v>7.0</v>
      </c>
      <c r="C153" s="104">
        <v>7.0</v>
      </c>
      <c r="F153" s="104" t="s">
        <v>5979</v>
      </c>
      <c r="G153" s="104" t="s">
        <v>6083</v>
      </c>
      <c r="H153" s="104">
        <v>153.0</v>
      </c>
      <c r="I153" s="104" t="s">
        <v>112</v>
      </c>
    </row>
    <row r="154">
      <c r="A154" s="104">
        <v>8.0</v>
      </c>
      <c r="C154" s="104">
        <v>27.0</v>
      </c>
      <c r="F154" s="104" t="s">
        <v>5807</v>
      </c>
      <c r="G154" s="104" t="s">
        <v>6083</v>
      </c>
      <c r="H154" s="104">
        <v>154.0</v>
      </c>
      <c r="I154" s="104" t="s">
        <v>101</v>
      </c>
    </row>
    <row r="155">
      <c r="A155" s="104">
        <v>2.0</v>
      </c>
      <c r="C155" s="104">
        <v>-3.0</v>
      </c>
      <c r="F155" s="104" t="s">
        <v>6181</v>
      </c>
      <c r="G155" s="104" t="s">
        <v>6085</v>
      </c>
      <c r="H155" s="104">
        <v>155.0</v>
      </c>
      <c r="I155" s="104" t="s">
        <v>274</v>
      </c>
    </row>
    <row r="156">
      <c r="A156" s="104">
        <v>4.0</v>
      </c>
      <c r="C156" s="104">
        <v>8.0</v>
      </c>
      <c r="F156" s="104" t="s">
        <v>6182</v>
      </c>
      <c r="G156" s="104" t="s">
        <v>6083</v>
      </c>
      <c r="H156" s="104">
        <v>156.0</v>
      </c>
      <c r="I156" s="104" t="s">
        <v>116</v>
      </c>
    </row>
    <row r="157">
      <c r="A157" s="104">
        <v>2.0</v>
      </c>
      <c r="C157" s="104">
        <v>-3.0</v>
      </c>
      <c r="F157" s="104" t="s">
        <v>6183</v>
      </c>
      <c r="G157" s="104" t="s">
        <v>6083</v>
      </c>
      <c r="H157" s="104">
        <v>157.0</v>
      </c>
      <c r="I157" s="104" t="s">
        <v>177</v>
      </c>
    </row>
    <row r="158">
      <c r="A158" s="104">
        <v>-3.0</v>
      </c>
      <c r="C158" s="104">
        <v>0.0</v>
      </c>
      <c r="F158" s="104" t="s">
        <v>5999</v>
      </c>
      <c r="G158" s="104" t="s">
        <v>6083</v>
      </c>
      <c r="H158" s="104">
        <v>158.0</v>
      </c>
      <c r="I158" s="104" t="s">
        <v>113</v>
      </c>
    </row>
    <row r="159">
      <c r="A159" s="104">
        <v>-3.0</v>
      </c>
      <c r="C159" s="104">
        <v>3.0</v>
      </c>
      <c r="F159" s="104" t="s">
        <v>6184</v>
      </c>
      <c r="G159" s="104" t="s">
        <v>6085</v>
      </c>
      <c r="H159" s="104">
        <v>159.0</v>
      </c>
      <c r="I159" s="104" t="s">
        <v>119</v>
      </c>
    </row>
    <row r="160">
      <c r="A160" s="104">
        <v>-9.0</v>
      </c>
      <c r="C160" s="104">
        <v>2.0</v>
      </c>
      <c r="F160" s="104" t="s">
        <v>6033</v>
      </c>
      <c r="G160" s="104" t="s">
        <v>6083</v>
      </c>
      <c r="H160" s="104">
        <v>160.0</v>
      </c>
      <c r="I160" s="104" t="s">
        <v>188</v>
      </c>
    </row>
    <row r="161">
      <c r="A161" s="104">
        <v>27.0</v>
      </c>
      <c r="C161" s="104">
        <v>7.0</v>
      </c>
      <c r="F161" s="104" t="s">
        <v>5817</v>
      </c>
      <c r="G161" s="104" t="s">
        <v>6083</v>
      </c>
      <c r="H161" s="104">
        <v>161.0</v>
      </c>
      <c r="I161" s="104" t="s">
        <v>103</v>
      </c>
    </row>
    <row r="162">
      <c r="A162" s="104">
        <v>-3.0</v>
      </c>
      <c r="C162" s="104">
        <v>-3.0</v>
      </c>
      <c r="F162" s="104" t="s">
        <v>5786</v>
      </c>
      <c r="G162" s="104" t="s">
        <v>6083</v>
      </c>
      <c r="H162" s="104">
        <v>162.0</v>
      </c>
      <c r="I162" s="104" t="s">
        <v>75</v>
      </c>
    </row>
    <row r="163">
      <c r="A163" s="104">
        <v>-5.0</v>
      </c>
      <c r="C163" s="104">
        <v>4.0</v>
      </c>
      <c r="F163" s="104" t="s">
        <v>6119</v>
      </c>
      <c r="G163" s="104" t="s">
        <v>6081</v>
      </c>
      <c r="H163" s="104">
        <v>163.0</v>
      </c>
      <c r="I163" s="104" t="s">
        <v>114</v>
      </c>
    </row>
    <row r="164">
      <c r="A164" s="104">
        <v>-2.0</v>
      </c>
      <c r="C164" s="104">
        <v>-5.0</v>
      </c>
      <c r="F164" s="104" t="s">
        <v>5832</v>
      </c>
      <c r="G164" s="104" t="s">
        <v>6085</v>
      </c>
      <c r="H164" s="104">
        <v>164.0</v>
      </c>
      <c r="I164" s="104" t="s">
        <v>105</v>
      </c>
    </row>
    <row r="165">
      <c r="A165" s="104">
        <v>0.0</v>
      </c>
      <c r="C165" s="104">
        <v>-2.0</v>
      </c>
      <c r="F165" s="104" t="s">
        <v>5973</v>
      </c>
      <c r="G165" s="104" t="s">
        <v>6083</v>
      </c>
      <c r="H165" s="104">
        <v>165.0</v>
      </c>
      <c r="I165" s="104" t="s">
        <v>88</v>
      </c>
    </row>
    <row r="166">
      <c r="A166" s="104">
        <v>-3.0</v>
      </c>
      <c r="C166" s="104">
        <v>0.0</v>
      </c>
      <c r="F166" s="104" t="s">
        <v>5803</v>
      </c>
      <c r="G166" s="104" t="s">
        <v>6083</v>
      </c>
      <c r="H166" s="104">
        <v>166.0</v>
      </c>
      <c r="I166" s="104" t="s">
        <v>100</v>
      </c>
    </row>
    <row r="167">
      <c r="A167" s="104">
        <v>-8.0</v>
      </c>
      <c r="C167" s="104">
        <v>5.0</v>
      </c>
      <c r="F167" s="104" t="s">
        <v>5874</v>
      </c>
      <c r="G167" s="104" t="s">
        <v>6083</v>
      </c>
      <c r="H167" s="104">
        <v>167.0</v>
      </c>
      <c r="I167" s="104" t="s">
        <v>265</v>
      </c>
    </row>
    <row r="168">
      <c r="A168" s="104">
        <v>1.0</v>
      </c>
      <c r="C168" s="104">
        <v>-8.0</v>
      </c>
      <c r="F168" s="104" t="s">
        <v>5783</v>
      </c>
      <c r="G168" s="104" t="s">
        <v>6085</v>
      </c>
      <c r="H168" s="104">
        <v>168.0</v>
      </c>
      <c r="I168" s="104" t="s">
        <v>96</v>
      </c>
    </row>
    <row r="169">
      <c r="A169" s="104">
        <v>-1.0</v>
      </c>
      <c r="C169" s="104">
        <v>1.0</v>
      </c>
      <c r="F169" s="104" t="s">
        <v>5789</v>
      </c>
      <c r="G169" s="104" t="s">
        <v>6083</v>
      </c>
      <c r="H169" s="104">
        <v>169.0</v>
      </c>
      <c r="I169" s="104" t="s">
        <v>80</v>
      </c>
    </row>
    <row r="170">
      <c r="A170" s="104">
        <v>-3.0</v>
      </c>
      <c r="C170" s="104">
        <v>-1.0</v>
      </c>
      <c r="F170" s="104" t="s">
        <v>5835</v>
      </c>
      <c r="G170" s="104" t="s">
        <v>6177</v>
      </c>
      <c r="H170" s="104">
        <v>169.0</v>
      </c>
      <c r="I170" s="104" t="s">
        <v>82</v>
      </c>
    </row>
    <row r="171">
      <c r="A171" s="104">
        <v>-3.0</v>
      </c>
      <c r="C171" s="104">
        <v>-3.0</v>
      </c>
      <c r="F171" s="104" t="s">
        <v>5914</v>
      </c>
      <c r="G171" s="104" t="s">
        <v>6083</v>
      </c>
      <c r="H171" s="104">
        <v>169.0</v>
      </c>
      <c r="I171" s="104" t="s">
        <v>86</v>
      </c>
    </row>
    <row r="172">
      <c r="A172" s="104">
        <v>5.0</v>
      </c>
      <c r="C172" s="104">
        <v>-3.0</v>
      </c>
      <c r="F172" s="104" t="s">
        <v>6187</v>
      </c>
      <c r="G172" s="104" t="s">
        <v>6189</v>
      </c>
      <c r="H172" s="104">
        <v>169.0</v>
      </c>
      <c r="I172" s="104" t="s">
        <v>92</v>
      </c>
    </row>
    <row r="173">
      <c r="A173" s="150">
        <f>SUM(A1:A172)</f>
        <v>37</v>
      </c>
      <c r="C173" s="150">
        <f>SUM(C165:C172)</f>
        <v>-11</v>
      </c>
    </row>
  </sheetData>
  <drawing r:id="rId1"/>
</worksheet>
</file>